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空白範例" sheetId="1" state="visible" r:id="rId3"/>
    <sheet name="滾算紀錄單(總紀錄)" sheetId="2" state="visible" r:id="rId4"/>
    <sheet name="p1" sheetId="3" state="visible" r:id="rId5"/>
    <sheet name="p2" sheetId="4" state="visible" r:id="rId6"/>
    <sheet name="p3" sheetId="5" state="visible" r:id="rId7"/>
    <sheet name="p4" sheetId="6" state="visible" r:id="rId8"/>
    <sheet name="p5" sheetId="7" state="visible" r:id="rId9"/>
    <sheet name="p6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<sst xmlns="http://schemas.openxmlformats.org/spreadsheetml/2006/main" count="1306" uniqueCount="191">
  <si>
    <r>
      <rPr>
        <b val="true"/>
        <sz val="12"/>
        <color theme="0"/>
        <rFont val="新細明體"/>
        <family val="2"/>
        <charset val="1"/>
      </rPr>
      <t xml:space="preserve">電站基本資料</t>
    </r>
    <r>
      <rPr>
        <b val="true"/>
        <sz val="12"/>
        <color theme="0"/>
        <rFont val="Calibri"/>
        <family val="2"/>
        <charset val="1"/>
      </rPr>
      <t xml:space="preserve">(</t>
    </r>
    <r>
      <rPr>
        <b val="true"/>
        <sz val="12"/>
        <color theme="0"/>
        <rFont val="新細明體"/>
        <family val="2"/>
        <charset val="1"/>
      </rPr>
      <t xml:space="preserve">請填寫著色處</t>
    </r>
    <r>
      <rPr>
        <b val="true"/>
        <sz val="12"/>
        <color theme="0"/>
        <rFont val="Calibri"/>
        <family val="2"/>
        <charset val="1"/>
      </rPr>
      <t xml:space="preserve">)</t>
    </r>
  </si>
  <si>
    <t xml:space="preserve">說明</t>
  </si>
  <si>
    <t xml:space="preserve">電站名稱</t>
  </si>
  <si>
    <t xml:space="preserve">淡淡大學</t>
  </si>
  <si>
    <t xml:space="preserve">-</t>
  </si>
  <si>
    <t xml:space="preserve">填入本案場名稱</t>
  </si>
  <si>
    <t xml:space="preserve">電站壽命</t>
  </si>
  <si>
    <r>
      <rPr>
        <sz val="10"/>
        <color rgb="FF404040"/>
        <rFont val="新細明體"/>
        <family val="2"/>
        <charset val="1"/>
      </rPr>
      <t xml:space="preserve">預設 </t>
    </r>
    <r>
      <rPr>
        <sz val="10"/>
        <color rgb="FF404040"/>
        <rFont val="Calibri"/>
        <family val="2"/>
        <charset val="1"/>
      </rPr>
      <t xml:space="preserve">20 </t>
    </r>
    <r>
      <rPr>
        <sz val="10"/>
        <color rgb="FF404040"/>
        <rFont val="新細明體"/>
        <family val="2"/>
        <charset val="1"/>
      </rPr>
      <t xml:space="preserve">年，代表財務評估年期。若合約年限不同可依實際情況修改</t>
    </r>
  </si>
  <si>
    <r>
      <rPr>
        <sz val="12"/>
        <color theme="1"/>
        <rFont val="新細明體"/>
        <family val="2"/>
        <charset val="1"/>
      </rPr>
      <t xml:space="preserve">建置量</t>
    </r>
    <r>
      <rPr>
        <sz val="12"/>
        <color theme="1"/>
        <rFont val="Calibri"/>
        <family val="2"/>
        <charset val="1"/>
      </rPr>
      <t xml:space="preserve">(kWp)</t>
    </r>
  </si>
  <si>
    <r>
      <rPr>
        <sz val="10"/>
        <color rgb="FF404040"/>
        <rFont val="新細明體"/>
        <family val="2"/>
        <charset val="1"/>
      </rPr>
      <t xml:space="preserve">填入裝置容量（</t>
    </r>
    <r>
      <rPr>
        <sz val="10"/>
        <color rgb="FF404040"/>
        <rFont val="Calibri"/>
        <family val="2"/>
        <charset val="1"/>
      </rPr>
      <t xml:space="preserve">kWp</t>
    </r>
    <r>
      <rPr>
        <sz val="10"/>
        <color rgb="FF404040"/>
        <rFont val="新細明體"/>
        <family val="2"/>
        <charset val="1"/>
      </rPr>
      <t xml:space="preserve">），通常由設計圖面或報價書取得</t>
    </r>
  </si>
  <si>
    <t xml:space="preserve">起始年度</t>
  </si>
  <si>
    <t xml:space="preserve">結束年度</t>
  </si>
  <si>
    <r>
      <rPr>
        <sz val="10"/>
        <color rgb="FF404040"/>
        <rFont val="新細明體"/>
        <family val="2"/>
        <charset val="1"/>
      </rPr>
      <t xml:space="preserve">填入電站預計掛表的西元年份（例：</t>
    </r>
    <r>
      <rPr>
        <sz val="10"/>
        <color rgb="FF404040"/>
        <rFont val="Calibri"/>
        <family val="2"/>
        <charset val="1"/>
      </rPr>
      <t xml:space="preserve">2025</t>
    </r>
    <r>
      <rPr>
        <sz val="10"/>
        <color rgb="FF404040"/>
        <rFont val="新細明體"/>
        <family val="2"/>
        <charset val="1"/>
      </rPr>
      <t xml:space="preserve">）。結束年度會自動計算</t>
    </r>
  </si>
  <si>
    <r>
      <rPr>
        <b val="true"/>
        <sz val="12"/>
        <color theme="0"/>
        <rFont val="新細明體"/>
        <family val="2"/>
        <charset val="1"/>
      </rPr>
      <t xml:space="preserve">綜合損益表</t>
    </r>
    <r>
      <rPr>
        <b val="true"/>
        <sz val="12"/>
        <color theme="0"/>
        <rFont val="Calibri"/>
        <family val="2"/>
        <charset val="136"/>
      </rPr>
      <t xml:space="preserve">(</t>
    </r>
    <r>
      <rPr>
        <b val="true"/>
        <sz val="12"/>
        <color theme="0"/>
        <rFont val="新細明體"/>
        <family val="2"/>
        <charset val="1"/>
      </rPr>
      <t xml:space="preserve">請填寫著色處</t>
    </r>
    <r>
      <rPr>
        <b val="true"/>
        <sz val="12"/>
        <color theme="0"/>
        <rFont val="Calibri"/>
        <family val="2"/>
        <charset val="136"/>
      </rPr>
      <t xml:space="preserve">)</t>
    </r>
  </si>
  <si>
    <t xml:space="preserve">收入</t>
  </si>
  <si>
    <t xml:space="preserve">收支項目</t>
  </si>
  <si>
    <t xml:space="preserve">相關參數</t>
  </si>
  <si>
    <t xml:space="preserve">參數數值</t>
  </si>
  <si>
    <t xml:space="preserve">年限</t>
  </si>
  <si>
    <t xml:space="preserve">電費收入</t>
  </si>
  <si>
    <r>
      <rPr>
        <sz val="12"/>
        <color theme="1"/>
        <rFont val="新細明體"/>
        <family val="2"/>
        <charset val="1"/>
      </rPr>
      <t xml:space="preserve">年度</t>
    </r>
    <r>
      <rPr>
        <sz val="12"/>
        <color theme="1"/>
        <rFont val="Calibri"/>
        <family val="2"/>
        <charset val="1"/>
      </rPr>
      <t xml:space="preserve">AC</t>
    </r>
    <r>
      <rPr>
        <sz val="12"/>
        <color theme="1"/>
        <rFont val="新細明體"/>
        <family val="2"/>
        <charset val="1"/>
      </rPr>
      <t xml:space="preserve">併網總發電量</t>
    </r>
  </si>
  <si>
    <r>
      <rPr>
        <sz val="10"/>
        <color rgb="FF404040"/>
        <rFont val="新細明體"/>
        <family val="2"/>
        <charset val="1"/>
      </rPr>
      <t xml:space="preserve">預估年發電量（</t>
    </r>
    <r>
      <rPr>
        <sz val="10"/>
        <color rgb="FF404040"/>
        <rFont val="Calibri"/>
        <family val="2"/>
        <charset val="1"/>
      </rPr>
      <t xml:space="preserve">kWh</t>
    </r>
    <r>
      <rPr>
        <sz val="10"/>
        <color rgb="FF404040"/>
        <rFont val="新細明體"/>
        <family val="2"/>
        <charset val="1"/>
      </rPr>
      <t xml:space="preserve">），通常來自 </t>
    </r>
    <r>
      <rPr>
        <sz val="10"/>
        <color rgb="FF404040"/>
        <rFont val="Calibri"/>
        <family val="2"/>
        <charset val="1"/>
      </rPr>
      <t xml:space="preserve">PVsyst </t>
    </r>
    <r>
      <rPr>
        <sz val="10"/>
        <color rgb="FF404040"/>
        <rFont val="新細明體"/>
        <family val="2"/>
        <charset val="1"/>
      </rPr>
      <t xml:space="preserve">模擬或估算：裝置容量 </t>
    </r>
    <r>
      <rPr>
        <sz val="10"/>
        <color rgb="FF404040"/>
        <rFont val="Calibri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年日照時數 </t>
    </r>
    <r>
      <rPr>
        <sz val="10"/>
        <color rgb="FF404040"/>
        <rFont val="Calibri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系統效率</t>
    </r>
  </si>
  <si>
    <t xml:space="preserve">首年衰退率</t>
  </si>
  <si>
    <r>
      <rPr>
        <sz val="10"/>
        <color rgb="FF404040"/>
        <rFont val="新細明體"/>
        <family val="2"/>
        <charset val="1"/>
      </rPr>
      <t xml:space="preserve">第一年發電衰退比率，請填小數（例：</t>
    </r>
    <r>
      <rPr>
        <sz val="10"/>
        <color rgb="FF404040"/>
        <rFont val="Calibri"/>
        <family val="2"/>
        <charset val="1"/>
      </rPr>
      <t xml:space="preserve">1%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0.01</t>
    </r>
    <r>
      <rPr>
        <sz val="10"/>
        <color rgb="FF404040"/>
        <rFont val="新細明體"/>
        <family val="2"/>
        <charset val="1"/>
      </rPr>
      <t xml:space="preserve">）。一般首年衰退約 </t>
    </r>
    <r>
      <rPr>
        <sz val="10"/>
        <color rgb="FF404040"/>
        <rFont val="Calibri"/>
        <family val="2"/>
        <charset val="1"/>
      </rPr>
      <t xml:space="preserve">1~2%(</t>
    </r>
    <r>
      <rPr>
        <sz val="10"/>
        <color rgb="FF404040"/>
        <rFont val="新細明體"/>
        <family val="2"/>
        <charset val="1"/>
      </rPr>
      <t xml:space="preserve">請參考模組規格書</t>
    </r>
    <r>
      <rPr>
        <sz val="10"/>
        <color rgb="FF404040"/>
        <rFont val="Calibri"/>
        <family val="2"/>
        <charset val="1"/>
      </rPr>
      <t xml:space="preserve">)</t>
    </r>
  </si>
  <si>
    <t xml:space="preserve">次年衰退率</t>
  </si>
  <si>
    <r>
      <rPr>
        <sz val="10"/>
        <color rgb="FF404040"/>
        <rFont val="新細明體"/>
        <family val="2"/>
        <charset val="1"/>
      </rPr>
      <t xml:space="preserve">第二年起每年固定衰退比率，請填小數（例：</t>
    </r>
    <r>
      <rPr>
        <sz val="10"/>
        <color rgb="FF404040"/>
        <rFont val="Calibri"/>
        <family val="2"/>
        <charset val="1"/>
      </rPr>
      <t xml:space="preserve">0.4%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0.004</t>
    </r>
    <r>
      <rPr>
        <sz val="10"/>
        <color rgb="FF404040"/>
        <rFont val="新細明體"/>
        <family val="2"/>
        <charset val="1"/>
      </rPr>
      <t xml:space="preserve">）。一般約 </t>
    </r>
    <r>
      <rPr>
        <sz val="10"/>
        <color rgb="FF404040"/>
        <rFont val="Calibri"/>
        <family val="2"/>
        <charset val="1"/>
      </rPr>
      <t xml:space="preserve">0.4~0.7%(</t>
    </r>
    <r>
      <rPr>
        <sz val="10"/>
        <color rgb="FF404040"/>
        <rFont val="新細明體"/>
        <family val="2"/>
        <charset val="1"/>
      </rPr>
      <t xml:space="preserve">請參考模組規格書</t>
    </r>
    <r>
      <rPr>
        <sz val="10"/>
        <color rgb="FF404040"/>
        <rFont val="Calibri"/>
        <family val="2"/>
        <charset val="1"/>
      </rPr>
      <t xml:space="preserve">)</t>
    </r>
  </si>
  <si>
    <r>
      <rPr>
        <sz val="12"/>
        <color theme="1"/>
        <rFont val="新細明體"/>
        <family val="2"/>
        <charset val="1"/>
      </rPr>
      <t xml:space="preserve">躉售費率</t>
    </r>
    <r>
      <rPr>
        <sz val="12"/>
        <color theme="1"/>
        <rFont val="Calibri"/>
        <family val="2"/>
        <charset val="1"/>
      </rPr>
      <t xml:space="preserve">(FIT) / </t>
    </r>
    <r>
      <rPr>
        <sz val="12"/>
        <color theme="1"/>
        <rFont val="新細明體"/>
        <family val="2"/>
        <charset val="1"/>
      </rPr>
      <t xml:space="preserve">綠電費率</t>
    </r>
  </si>
  <si>
    <r>
      <rPr>
        <sz val="10"/>
        <color rgb="FF404040"/>
        <rFont val="新細明體"/>
        <family val="2"/>
        <charset val="1"/>
      </rPr>
      <t xml:space="preserve">與台電簽訂的躉購費率或綠電合約費率，單位：元</t>
    </r>
    <r>
      <rPr>
        <sz val="10"/>
        <color rgb="FF404040"/>
        <rFont val="Calibri"/>
        <family val="2"/>
        <charset val="1"/>
      </rPr>
      <t xml:space="preserve">/</t>
    </r>
    <r>
      <rPr>
        <sz val="10"/>
        <color rgb="FF404040"/>
        <rFont val="新細明體"/>
        <family val="2"/>
        <charset val="1"/>
      </rPr>
      <t xml:space="preserve">度。請參考台電公告或合約內容</t>
    </r>
  </si>
  <si>
    <r>
      <rPr>
        <sz val="12"/>
        <color theme="1"/>
        <rFont val="新細明體"/>
        <family val="2"/>
        <charset val="1"/>
      </rPr>
      <t xml:space="preserve">支出</t>
    </r>
    <r>
      <rPr>
        <sz val="12"/>
        <color theme="1"/>
        <rFont val="Calibri"/>
        <family val="2"/>
        <charset val="136"/>
      </rPr>
      <t xml:space="preserve">(</t>
    </r>
    <r>
      <rPr>
        <sz val="12"/>
        <color theme="1"/>
        <rFont val="新細明體"/>
        <family val="2"/>
        <charset val="1"/>
      </rPr>
      <t xml:space="preserve">請填寫著色處</t>
    </r>
    <r>
      <rPr>
        <sz val="12"/>
        <color theme="1"/>
        <rFont val="Calibri"/>
        <family val="2"/>
        <charset val="136"/>
      </rPr>
      <t xml:space="preserve">)</t>
    </r>
  </si>
  <si>
    <t xml:space="preserve">攤提年限</t>
  </si>
  <si>
    <r>
      <rPr>
        <sz val="12"/>
        <color theme="1"/>
        <rFont val="新細明體"/>
        <family val="2"/>
        <charset val="1"/>
      </rPr>
      <t xml:space="preserve">設備費用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新細明體"/>
        <family val="2"/>
        <charset val="1"/>
      </rPr>
      <t xml:space="preserve">價金</t>
    </r>
    <r>
      <rPr>
        <sz val="12"/>
        <color theme="1"/>
        <rFont val="Calibri"/>
        <family val="2"/>
        <charset val="1"/>
      </rPr>
      <t xml:space="preserve">)</t>
    </r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</si>
  <si>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kWp</t>
    </r>
    <r>
      <rPr>
        <sz val="12"/>
        <color theme="1"/>
        <rFont val="新細明體"/>
        <family val="2"/>
        <charset val="1"/>
      </rPr>
      <t xml:space="preserve">設備成本</t>
    </r>
  </si>
  <si>
    <r>
      <rPr>
        <sz val="10"/>
        <color rgb="FF404040"/>
        <rFont val="新細明體"/>
        <family val="2"/>
        <charset val="1"/>
      </rPr>
      <t xml:space="preserve">每峰瓩設備成本（元</t>
    </r>
    <r>
      <rPr>
        <sz val="10"/>
        <color rgb="FF404040"/>
        <rFont val="Calibri"/>
        <family val="2"/>
        <charset val="1"/>
      </rPr>
      <t xml:space="preserve">/kWp</t>
    </r>
    <r>
      <rPr>
        <sz val="10"/>
        <color rgb="FF404040"/>
        <rFont val="新細明體"/>
        <family val="2"/>
        <charset val="1"/>
      </rPr>
      <t xml:space="preserve">），包含模組、逆變器、支架等硬體，不含工程施工費</t>
    </r>
  </si>
  <si>
    <r>
      <rPr>
        <sz val="12"/>
        <color theme="1"/>
        <rFont val="新細明體"/>
        <family val="2"/>
        <charset val="1"/>
      </rPr>
      <t xml:space="preserve">信邦利潤率</t>
    </r>
    <r>
      <rPr>
        <sz val="12"/>
        <color theme="1"/>
        <rFont val="Calibri"/>
        <family val="2"/>
        <charset val="1"/>
      </rPr>
      <t xml:space="preserve">(ex:20%</t>
    </r>
    <r>
      <rPr>
        <sz val="12"/>
        <color theme="1"/>
        <rFont val="新細明體"/>
        <family val="2"/>
        <charset val="1"/>
      </rPr>
      <t xml:space="preserve">填</t>
    </r>
    <r>
      <rPr>
        <sz val="12"/>
        <color theme="1"/>
        <rFont val="Calibri"/>
        <family val="2"/>
        <charset val="1"/>
      </rPr>
      <t xml:space="preserve">0.2)</t>
    </r>
  </si>
  <si>
    <r>
      <rPr>
        <sz val="10"/>
        <color rgb="FF404040"/>
        <rFont val="新細明體"/>
        <family val="2"/>
        <charset val="1"/>
      </rPr>
      <t xml:space="preserve">公司在設備費用上加計的利潤比率，請填小數（例：</t>
    </r>
    <r>
      <rPr>
        <sz val="10"/>
        <color rgb="FF404040"/>
        <rFont val="Calibri"/>
        <family val="2"/>
        <charset val="1"/>
      </rPr>
      <t xml:space="preserve">20%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）</t>
    </r>
  </si>
  <si>
    <t xml:space="preserve">開發費</t>
  </si>
  <si>
    <r>
      <rPr>
        <sz val="10"/>
        <color rgb="FF404040"/>
        <rFont val="新細明體"/>
        <family val="2"/>
        <charset val="1"/>
      </rPr>
      <t xml:space="preserve">前期開發費用（元），含可行性評估、申請規費、地主溝通等。若無則填 </t>
    </r>
    <r>
      <rPr>
        <sz val="10"/>
        <color rgb="FF404040"/>
        <rFont val="Calibri"/>
        <family val="2"/>
        <charset val="1"/>
      </rPr>
      <t xml:space="preserve">0</t>
    </r>
  </si>
  <si>
    <t xml:space="preserve">租金費用</t>
  </si>
  <si>
    <t xml:space="preserve">租金計算方式</t>
  </si>
  <si>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1 = </t>
    </r>
    <r>
      <rPr>
        <sz val="10"/>
        <color rgb="FF404040"/>
        <rFont val="新細明體"/>
        <family val="2"/>
        <charset val="1"/>
      </rPr>
      <t xml:space="preserve">固定年租金（需填方式</t>
    </r>
    <r>
      <rPr>
        <sz val="10"/>
        <color rgb="FF404040"/>
        <rFont val="Calibri"/>
        <family val="2"/>
        <charset val="1"/>
      </rPr>
      <t xml:space="preserve">1</t>
    </r>
    <r>
      <rPr>
        <sz val="10"/>
        <color rgb="FF404040"/>
        <rFont val="新細明體"/>
        <family val="2"/>
        <charset val="1"/>
      </rPr>
      <t xml:space="preserve">參數）；填 </t>
    </r>
    <r>
      <rPr>
        <sz val="10"/>
        <color rgb="FF404040"/>
        <rFont val="Calibri"/>
        <family val="2"/>
        <charset val="1"/>
      </rPr>
      <t xml:space="preserve">2 = </t>
    </r>
    <r>
      <rPr>
        <sz val="10"/>
        <color rgb="FF404040"/>
        <rFont val="新細明體"/>
        <family val="2"/>
        <charset val="1"/>
      </rPr>
      <t xml:space="preserve">依電費收入抽成（需填方式</t>
    </r>
    <r>
      <rPr>
        <sz val="10"/>
        <color rgb="FF404040"/>
        <rFont val="Calibri"/>
        <family val="2"/>
        <charset val="1"/>
      </rPr>
      <t xml:space="preserve">2</t>
    </r>
    <r>
      <rPr>
        <sz val="10"/>
        <color rgb="FF404040"/>
        <rFont val="新細明體"/>
        <family val="2"/>
        <charset val="1"/>
      </rPr>
      <t xml:space="preserve">參數）</t>
    </r>
  </si>
  <si>
    <r>
      <rPr>
        <sz val="11"/>
        <color theme="1"/>
        <rFont val="新細明體"/>
        <family val="2"/>
        <charset val="1"/>
      </rPr>
      <t xml:space="preserve">【方式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新細明體"/>
        <family val="2"/>
        <charset val="1"/>
      </rPr>
      <t xml:space="preserve">參數】每年相同價格</t>
    </r>
  </si>
  <si>
    <r>
      <rPr>
        <sz val="10"/>
        <color rgb="FF404040"/>
        <rFont val="新細明體"/>
        <family val="2"/>
        <charset val="1"/>
      </rPr>
      <t xml:space="preserve">租金計算方式選「</t>
    </r>
    <r>
      <rPr>
        <sz val="10"/>
        <color rgb="FF404040"/>
        <rFont val="Calibri"/>
        <family val="2"/>
        <charset val="1"/>
      </rPr>
      <t xml:space="preserve">1</t>
    </r>
    <r>
      <rPr>
        <sz val="10"/>
        <color rgb="FF404040"/>
        <rFont val="新細明體"/>
        <family val="2"/>
        <charset val="1"/>
      </rPr>
      <t xml:space="preserve">」時填寫，固定年租金金額（元</t>
    </r>
    <r>
      <rPr>
        <sz val="10"/>
        <color rgb="FF404040"/>
        <rFont val="Calibri"/>
        <family val="2"/>
        <charset val="1"/>
      </rPr>
      <t xml:space="preserve">/</t>
    </r>
    <r>
      <rPr>
        <sz val="10"/>
        <color rgb="FF404040"/>
        <rFont val="新細明體"/>
        <family val="2"/>
        <charset val="1"/>
      </rPr>
      <t xml:space="preserve">年），套用至整個電站壽命期</t>
    </r>
  </si>
  <si>
    <r>
      <rPr>
        <sz val="12"/>
        <color theme="1"/>
        <rFont val="新細明體"/>
        <family val="2"/>
        <charset val="1"/>
      </rPr>
      <t xml:space="preserve">【方式</t>
    </r>
    <r>
      <rPr>
        <sz val="12"/>
        <color theme="1"/>
        <rFont val="Calibri"/>
        <family val="2"/>
        <charset val="1"/>
      </rPr>
      <t xml:space="preserve">2</t>
    </r>
    <r>
      <rPr>
        <sz val="12"/>
        <color theme="1"/>
        <rFont val="新細明體"/>
        <family val="2"/>
        <charset val="1"/>
      </rPr>
      <t xml:space="preserve">參數】抽成比率</t>
    </r>
  </si>
  <si>
    <r>
      <rPr>
        <sz val="10"/>
        <color rgb="FF404040"/>
        <rFont val="新細明體"/>
        <family val="2"/>
        <charset val="1"/>
      </rPr>
      <t xml:space="preserve">租金計算方式選「</t>
    </r>
    <r>
      <rPr>
        <sz val="10"/>
        <color rgb="FF404040"/>
        <rFont val="Calibri"/>
        <family val="2"/>
        <charset val="1"/>
      </rPr>
      <t xml:space="preserve">2</t>
    </r>
    <r>
      <rPr>
        <sz val="10"/>
        <color rgb="FF404040"/>
        <rFont val="新細明體"/>
        <family val="2"/>
        <charset val="1"/>
      </rPr>
      <t xml:space="preserve">」時填寫，請填小數（例：</t>
    </r>
    <r>
      <rPr>
        <sz val="10"/>
        <color rgb="FF404040"/>
        <rFont val="Calibri"/>
        <family val="2"/>
        <charset val="1"/>
      </rPr>
      <t xml:space="preserve">10%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0.1</t>
    </r>
    <r>
      <rPr>
        <sz val="10"/>
        <color rgb="FF404040"/>
        <rFont val="新細明體"/>
        <family val="2"/>
        <charset val="1"/>
      </rPr>
      <t xml:space="preserve">）。租金 </t>
    </r>
    <r>
      <rPr>
        <sz val="10"/>
        <color rgb="FF404040"/>
        <rFont val="Calibri"/>
        <family val="2"/>
        <charset val="1"/>
      </rPr>
      <t xml:space="preserve">= </t>
    </r>
    <r>
      <rPr>
        <sz val="10"/>
        <color rgb="FF404040"/>
        <rFont val="新細明體"/>
        <family val="2"/>
        <charset val="1"/>
      </rPr>
      <t xml:space="preserve">當年電費收入 </t>
    </r>
    <r>
      <rPr>
        <sz val="10"/>
        <color rgb="FF404040"/>
        <rFont val="Calibri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抽成比率</t>
    </r>
  </si>
  <si>
    <t xml:space="preserve">運維費用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</si>
  <si>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運維成本</t>
    </r>
  </si>
  <si>
    <r>
      <rPr>
        <sz val="10"/>
        <color rgb="FF404040"/>
        <rFont val="新細明體"/>
        <family val="2"/>
        <charset val="1"/>
      </rPr>
      <t xml:space="preserve">每峰瓩每年運維費用（元</t>
    </r>
    <r>
      <rPr>
        <sz val="10"/>
        <color rgb="FF404040"/>
        <rFont val="Calibri"/>
        <family val="2"/>
        <charset val="1"/>
      </rPr>
      <t xml:space="preserve">/kWp/</t>
    </r>
    <r>
      <rPr>
        <sz val="10"/>
        <color rgb="FF404040"/>
        <rFont val="新細明體"/>
        <family val="2"/>
        <charset val="1"/>
      </rPr>
      <t xml:space="preserve">年），含清洗、巡檢、維修等。</t>
    </r>
  </si>
  <si>
    <t xml:space="preserve">保險費用</t>
  </si>
  <si>
    <t xml:space="preserve">占整體設備費用比例</t>
  </si>
  <si>
    <r>
      <rPr>
        <sz val="10"/>
        <color rgb="FF404040"/>
        <rFont val="新細明體"/>
        <family val="2"/>
        <charset val="1"/>
      </rPr>
      <t xml:space="preserve">保險費佔設備總費用比率，填小數（例：</t>
    </r>
    <r>
      <rPr>
        <sz val="10"/>
        <color rgb="FF404040"/>
        <rFont val="Calibri"/>
        <family val="2"/>
        <charset val="1"/>
      </rPr>
      <t xml:space="preserve">0.3%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0.003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Calibri"/>
        <family val="2"/>
        <charset val="1"/>
      </rPr>
      <t xml:space="preserve">0.003</t>
    </r>
    <r>
      <rPr>
        <sz val="10"/>
        <color rgb="FF404040"/>
        <rFont val="新細明體"/>
        <family val="2"/>
        <charset val="1"/>
      </rPr>
      <t xml:space="preserve">，可依投保條件調整</t>
    </r>
  </si>
  <si>
    <t xml:space="preserve">模組回收費用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</si>
  <si>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模組回收成本</t>
    </r>
  </si>
  <si>
    <r>
      <rPr>
        <sz val="10"/>
        <color rgb="FF404040"/>
        <rFont val="新細明體"/>
        <family val="2"/>
        <charset val="1"/>
      </rPr>
      <t xml:space="preserve">每峰瓩模組廢棄回收費用（元</t>
    </r>
    <r>
      <rPr>
        <sz val="10"/>
        <color rgb="FF404040"/>
        <rFont val="Calibri"/>
        <family val="2"/>
        <charset val="1"/>
      </rPr>
      <t xml:space="preserve">/kWp</t>
    </r>
    <r>
      <rPr>
        <sz val="10"/>
        <color rgb="FF404040"/>
        <rFont val="新細明體"/>
        <family val="2"/>
        <charset val="1"/>
      </rPr>
      <t xml:space="preserve">），於第 </t>
    </r>
    <r>
      <rPr>
        <sz val="10"/>
        <color rgb="FF404040"/>
        <rFont val="Calibri"/>
        <family val="2"/>
        <charset val="1"/>
      </rPr>
      <t xml:space="preserve">1~10 </t>
    </r>
    <r>
      <rPr>
        <sz val="10"/>
        <color rgb="FF404040"/>
        <rFont val="新細明體"/>
        <family val="2"/>
        <charset val="1"/>
      </rPr>
      <t xml:space="preserve">年計提（攤提 </t>
    </r>
    <r>
      <rPr>
        <sz val="10"/>
        <color rgb="FF404040"/>
        <rFont val="Calibri"/>
        <family val="2"/>
        <charset val="1"/>
      </rPr>
      <t xml:space="preserve">10 </t>
    </r>
    <r>
      <rPr>
        <sz val="10"/>
        <color rgb="FF404040"/>
        <rFont val="新細明體"/>
        <family val="2"/>
        <charset val="1"/>
      </rPr>
      <t xml:space="preserve">年）。</t>
    </r>
  </si>
  <si>
    <t xml:space="preserve">利息費用</t>
  </si>
  <si>
    <t xml:space="preserve">銀行利率</t>
  </si>
  <si>
    <r>
      <rPr>
        <sz val="10"/>
        <color rgb="FF404040"/>
        <rFont val="新細明體"/>
        <family val="2"/>
        <charset val="1"/>
      </rPr>
      <t xml:space="preserve">向銀行貸款的年利率，填小數（例：</t>
    </r>
    <r>
      <rPr>
        <sz val="10"/>
        <color rgb="FF404040"/>
        <rFont val="Calibri"/>
        <family val="2"/>
        <charset val="1"/>
      </rPr>
      <t xml:space="preserve">2.56%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0.0256</t>
    </r>
    <r>
      <rPr>
        <sz val="10"/>
        <color rgb="FF404040"/>
        <rFont val="新細明體"/>
        <family val="2"/>
        <charset val="1"/>
      </rPr>
      <t xml:space="preserve">）。請依銀行核准利率填入</t>
    </r>
  </si>
  <si>
    <t xml:space="preserve">所得稅</t>
  </si>
  <si>
    <t xml:space="preserve">所得稅率</t>
  </si>
  <si>
    <r>
      <rPr>
        <sz val="10"/>
        <color rgb="FF404040"/>
        <rFont val="新細明體"/>
        <family val="2"/>
        <charset val="1"/>
      </rPr>
      <t xml:space="preserve">公司所得稅率，填小數（例：</t>
    </r>
    <r>
      <rPr>
        <sz val="10"/>
        <color rgb="FF404040"/>
        <rFont val="Calibri"/>
        <family val="2"/>
        <charset val="1"/>
      </rPr>
      <t xml:space="preserve">20%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Calibri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，通常不需更改</t>
    </r>
  </si>
  <si>
    <r>
      <rPr>
        <b val="true"/>
        <sz val="12"/>
        <color theme="0"/>
        <rFont val="新細明體"/>
        <family val="2"/>
        <charset val="1"/>
      </rPr>
      <t xml:space="preserve">現金流量表</t>
    </r>
    <r>
      <rPr>
        <b val="true"/>
        <sz val="12"/>
        <color theme="0"/>
        <rFont val="Calibri"/>
        <family val="2"/>
        <charset val="1"/>
      </rPr>
      <t xml:space="preserve">(</t>
    </r>
    <r>
      <rPr>
        <b val="true"/>
        <sz val="12"/>
        <color theme="0"/>
        <rFont val="新細明體"/>
        <family val="2"/>
        <charset val="1"/>
      </rPr>
      <t xml:space="preserve">請填寫著色處</t>
    </r>
    <r>
      <rPr>
        <b val="true"/>
        <sz val="12"/>
        <color theme="0"/>
        <rFont val="Calibri"/>
        <family val="2"/>
        <charset val="1"/>
      </rPr>
      <t xml:space="preserve">)</t>
    </r>
  </si>
  <si>
    <t xml:space="preserve">金流項目</t>
  </si>
  <si>
    <t xml:space="preserve">貸款成數</t>
  </si>
  <si>
    <t xml:space="preserve">占總設備費用比例</t>
  </si>
  <si>
    <r>
      <rPr>
        <sz val="10"/>
        <color rgb="FF404040"/>
        <rFont val="新細明體"/>
        <family val="2"/>
        <charset val="1"/>
      </rPr>
      <t xml:space="preserve">貸款佔設備總費用比例，填小數（例：</t>
    </r>
    <r>
      <rPr>
        <sz val="10"/>
        <color rgb="FF404040"/>
        <rFont val="Calibri"/>
        <family val="2"/>
        <charset val="1"/>
      </rPr>
      <t xml:space="preserve">80%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0.8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Calibri"/>
        <family val="2"/>
        <charset val="1"/>
      </rPr>
      <t xml:space="preserve">0.8 </t>
    </r>
    <r>
      <rPr>
        <sz val="10"/>
        <color rgb="FF404040"/>
        <rFont val="新細明體"/>
        <family val="2"/>
        <charset val="1"/>
      </rPr>
      <t xml:space="preserve">代表貸八成、自備二成</t>
    </r>
  </si>
  <si>
    <t xml:space="preserve">貸款還款</t>
  </si>
  <si>
    <t xml:space="preserve">攤還期數</t>
  </si>
  <si>
    <r>
      <rPr>
        <sz val="10"/>
        <color rgb="FF404040"/>
        <rFont val="新細明體"/>
        <family val="2"/>
        <charset val="1"/>
      </rPr>
      <t xml:space="preserve">貸款還款年數（年）。預設 </t>
    </r>
    <r>
      <rPr>
        <sz val="10"/>
        <color rgb="FF404040"/>
        <rFont val="Calibri"/>
        <family val="2"/>
        <charset val="1"/>
      </rPr>
      <t xml:space="preserve">15 </t>
    </r>
    <r>
      <rPr>
        <sz val="10"/>
        <color rgb="FF404040"/>
        <rFont val="新細明體"/>
        <family val="2"/>
        <charset val="1"/>
      </rPr>
      <t xml:space="preserve">年，代表分 </t>
    </r>
    <r>
      <rPr>
        <sz val="10"/>
        <color rgb="FF404040"/>
        <rFont val="Calibri"/>
        <family val="2"/>
        <charset val="1"/>
      </rPr>
      <t xml:space="preserve">15 </t>
    </r>
    <r>
      <rPr>
        <sz val="10"/>
        <color rgb="FF404040"/>
        <rFont val="新細明體"/>
        <family val="2"/>
        <charset val="1"/>
      </rPr>
      <t xml:space="preserve">年平均攤還本金</t>
    </r>
  </si>
  <si>
    <t xml:space="preserve">現金股利</t>
  </si>
  <si>
    <t xml:space="preserve">股利比率</t>
  </si>
  <si>
    <r>
      <rPr>
        <sz val="10"/>
        <color rgb="FF404040"/>
        <rFont val="新細明體"/>
        <family val="2"/>
        <charset val="1"/>
      </rPr>
      <t xml:space="preserve">稅後現金流中分配給股東的比例，填小數（例：</t>
    </r>
    <r>
      <rPr>
        <sz val="10"/>
        <color rgb="FF404040"/>
        <rFont val="Calibri"/>
        <family val="2"/>
        <charset val="1"/>
      </rPr>
      <t xml:space="preserve">90%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0.9</t>
    </r>
    <r>
      <rPr>
        <sz val="10"/>
        <color rgb="FF404040"/>
        <rFont val="新細明體"/>
        <family val="2"/>
        <charset val="1"/>
      </rPr>
      <t xml:space="preserve">）</t>
    </r>
  </si>
  <si>
    <t xml:space="preserve">年底減資</t>
  </si>
  <si>
    <r>
      <rPr>
        <sz val="10"/>
        <color rgb="FF404040"/>
        <rFont val="新細明體"/>
        <family val="2"/>
        <charset val="1"/>
      </rPr>
      <t xml:space="preserve">年底減資返還股東的年數。預設 </t>
    </r>
    <r>
      <rPr>
        <sz val="10"/>
        <color rgb="FF404040"/>
        <rFont val="Calibri"/>
        <family val="2"/>
        <charset val="1"/>
      </rPr>
      <t xml:space="preserve">4 </t>
    </r>
    <r>
      <rPr>
        <sz val="10"/>
        <color rgb="FF404040"/>
        <rFont val="新細明體"/>
        <family val="2"/>
        <charset val="1"/>
      </rPr>
      <t xml:space="preserve">年，代表 倒數 </t>
    </r>
    <r>
      <rPr>
        <sz val="10"/>
        <color rgb="FF404040"/>
        <rFont val="Calibri"/>
        <family val="2"/>
        <charset val="1"/>
      </rPr>
      <t xml:space="preserve">4 </t>
    </r>
    <r>
      <rPr>
        <sz val="10"/>
        <color rgb="FF404040"/>
        <rFont val="新細明體"/>
        <family val="2"/>
        <charset val="1"/>
      </rPr>
      <t xml:space="preserve">年進行減資，加速資金返還</t>
    </r>
  </si>
  <si>
    <t xml:space="preserve">編號</t>
  </si>
  <si>
    <t xml:space="preserve">價金每KW</t>
  </si>
  <si>
    <t xml:space="preserve">專案法IRR</t>
  </si>
  <si>
    <t xml:space="preserve">成本法IRR</t>
  </si>
  <si>
    <t xml:space="preserve">權益法IRR</t>
  </si>
  <si>
    <t xml:space="preserve">信邦利潤率</t>
  </si>
  <si>
    <t xml:space="preserve">信邦利潤</t>
  </si>
  <si>
    <t xml:space="preserve">每kw信邦利潤</t>
  </si>
  <si>
    <t xml:space="preserve">備註</t>
  </si>
  <si>
    <t xml:space="preserve">初始價金 - 比率模式，每次減少 10.0%，邊界值 20000 元</t>
  </si>
  <si>
    <t xml:space="preserve">第1次滾算，減少 3500 元 - 比率模式，每次減少 10.0%</t>
  </si>
  <si>
    <t xml:space="preserve">第2次滾算，減少 3150 元 - 比率模式，每次減少 10.0%</t>
  </si>
  <si>
    <t xml:space="preserve">第3次滾算，減少 2835 元 - 比率模式，每次減少 10.0%</t>
  </si>
  <si>
    <t xml:space="preserve">第4次滾算，減少 2551 元 - 比率模式，每次減少 10.0%</t>
  </si>
  <si>
    <t xml:space="preserve">第5次滾算，減少 2297 元 - 比率模式，每次減少 10.0%</t>
  </si>
  <si>
    <t xml:space="preserve">電站基本資料</t>
  </si>
  <si>
    <r>
      <rPr>
        <sz val="10"/>
        <color rgb="FF404040"/>
        <rFont val="新細明體"/>
        <family val="2"/>
        <charset val="1"/>
      </rPr>
      <t xml:space="preserve">預設 </t>
    </r>
    <r>
      <rPr>
        <sz val="10"/>
        <color rgb="FF404040"/>
        <rFont val="Noto Sans CJK SC"/>
        <family val="2"/>
        <charset val="1"/>
      </rPr>
      <t xml:space="preserve">20 </t>
    </r>
    <r>
      <rPr>
        <sz val="10"/>
        <color rgb="FF404040"/>
        <rFont val="新細明體"/>
        <family val="2"/>
        <charset val="1"/>
      </rPr>
      <t xml:space="preserve">年，代表財務評估年期。若合約年限不同可依實際情況修改</t>
    </r>
  </si>
  <si>
    <r>
      <rPr>
        <sz val="12"/>
        <color theme="1"/>
        <rFont val="新細明體"/>
        <family val="2"/>
        <charset val="1"/>
      </rPr>
      <t xml:space="preserve">建置量</t>
    </r>
    <r>
      <rPr>
        <sz val="12"/>
        <color theme="1"/>
        <rFont val="Noto Sans CJK SC"/>
        <family val="2"/>
        <charset val="1"/>
      </rPr>
      <t xml:space="preserve">(kWp)</t>
    </r>
  </si>
  <si>
    <r>
      <rPr>
        <sz val="10"/>
        <color rgb="FF404040"/>
        <rFont val="新細明體"/>
        <family val="2"/>
        <charset val="1"/>
      </rPr>
      <t xml:space="preserve">填入裝置容量（</t>
    </r>
    <r>
      <rPr>
        <sz val="10"/>
        <color rgb="FF404040"/>
        <rFont val="Noto Sans CJK SC"/>
        <family val="2"/>
        <charset val="1"/>
      </rPr>
      <t xml:space="preserve">kWp</t>
    </r>
    <r>
      <rPr>
        <sz val="10"/>
        <color rgb="FF404040"/>
        <rFont val="新細明體"/>
        <family val="2"/>
        <charset val="1"/>
      </rPr>
      <t xml:space="preserve">），通常由設計圖面或報價書取得</t>
    </r>
  </si>
  <si>
    <t xml:space="preserve">情境編號: 1</t>
  </si>
  <si>
    <r>
      <rPr>
        <sz val="10"/>
        <color rgb="FF404040"/>
        <rFont val="新細明體"/>
        <family val="2"/>
        <charset val="1"/>
      </rPr>
      <t xml:space="preserve">填入電站預計掛表的西元年份（例：</t>
    </r>
    <r>
      <rPr>
        <sz val="10"/>
        <color rgb="FF404040"/>
        <rFont val="Noto Sans CJK SC"/>
        <family val="2"/>
        <charset val="136"/>
      </rPr>
      <t xml:space="preserve">2025</t>
    </r>
    <r>
      <rPr>
        <sz val="10"/>
        <color rgb="FF404040"/>
        <rFont val="新細明體"/>
        <family val="2"/>
        <charset val="1"/>
      </rPr>
      <t xml:space="preserve">）。結束年度會自動計算</t>
    </r>
  </si>
  <si>
    <t xml:space="preserve">初始價金摘要</t>
  </si>
  <si>
    <t xml:space="preserve">價金: 35000</t>
  </si>
  <si>
    <t xml:space="preserve">綜合損益表</t>
  </si>
  <si>
    <t xml:space="preserve">專案IRR: 2.62</t>
  </si>
  <si>
    <t xml:space="preserve">權益法IRR: 4.45</t>
  </si>
  <si>
    <t xml:space="preserve">利潤率: 30.00%</t>
  </si>
  <si>
    <r>
      <rPr>
        <sz val="12"/>
        <color theme="1"/>
        <rFont val="新細明體"/>
        <family val="2"/>
        <charset val="1"/>
      </rPr>
      <t xml:space="preserve">年度</t>
    </r>
    <r>
      <rPr>
        <sz val="12"/>
        <color theme="1"/>
        <rFont val="Noto Sans CJK SC"/>
        <family val="2"/>
        <charset val="1"/>
      </rPr>
      <t xml:space="preserve">AC</t>
    </r>
    <r>
      <rPr>
        <sz val="12"/>
        <color theme="1"/>
        <rFont val="新細明體"/>
        <family val="2"/>
        <charset val="1"/>
      </rPr>
      <t xml:space="preserve">併網總發電量</t>
    </r>
  </si>
  <si>
    <r>
      <rPr>
        <sz val="10"/>
        <color rgb="FF404040"/>
        <rFont val="新細明體"/>
        <family val="2"/>
        <charset val="1"/>
      </rPr>
      <t xml:space="preserve">預估年發電量（</t>
    </r>
    <r>
      <rPr>
        <sz val="10"/>
        <color rgb="FF404040"/>
        <rFont val="Noto Sans CJK SC"/>
        <family val="2"/>
        <charset val="1"/>
      </rPr>
      <t xml:space="preserve">kWh</t>
    </r>
    <r>
      <rPr>
        <sz val="10"/>
        <color rgb="FF404040"/>
        <rFont val="新細明體"/>
        <family val="2"/>
        <charset val="1"/>
      </rPr>
      <t xml:space="preserve">），通常來自 </t>
    </r>
    <r>
      <rPr>
        <sz val="10"/>
        <color rgb="FF404040"/>
        <rFont val="Noto Sans CJK SC"/>
        <family val="2"/>
        <charset val="1"/>
      </rPr>
      <t xml:space="preserve">PVsyst </t>
    </r>
    <r>
      <rPr>
        <sz val="10"/>
        <color rgb="FF404040"/>
        <rFont val="新細明體"/>
        <family val="2"/>
        <charset val="1"/>
      </rPr>
      <t xml:space="preserve">模擬或估算：裝置容量 </t>
    </r>
    <r>
      <rPr>
        <sz val="10"/>
        <color rgb="FF404040"/>
        <rFont val="Noto Sans CJK SC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年日照時數 </t>
    </r>
    <r>
      <rPr>
        <sz val="10"/>
        <color rgb="FF404040"/>
        <rFont val="Noto Sans CJK SC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系統效率</t>
    </r>
  </si>
  <si>
    <t xml:space="preserve">初始價金 - 比率模式，每次減少 10.0%</t>
  </si>
  <si>
    <r>
      <rPr>
        <sz val="10"/>
        <color rgb="FF404040"/>
        <rFont val="新細明體"/>
        <family val="2"/>
        <charset val="1"/>
      </rPr>
      <t xml:space="preserve">第一年發電衰退比率，請填小數（例：</t>
    </r>
    <r>
      <rPr>
        <sz val="10"/>
        <color rgb="FF404040"/>
        <rFont val="Noto Sans CJK SC"/>
        <family val="2"/>
        <charset val="136"/>
      </rPr>
      <t xml:space="preserve">1%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36"/>
      </rPr>
      <t xml:space="preserve">0.01</t>
    </r>
    <r>
      <rPr>
        <sz val="10"/>
        <color rgb="FF404040"/>
        <rFont val="新細明體"/>
        <family val="2"/>
        <charset val="1"/>
      </rPr>
      <t xml:space="preserve">）。一般首年衰退約 </t>
    </r>
    <r>
      <rPr>
        <sz val="10"/>
        <color rgb="FF404040"/>
        <rFont val="Noto Sans CJK SC"/>
        <family val="2"/>
        <charset val="136"/>
      </rPr>
      <t xml:space="preserve">1~2%(</t>
    </r>
    <r>
      <rPr>
        <sz val="10"/>
        <color rgb="FF404040"/>
        <rFont val="新細明體"/>
        <family val="2"/>
        <charset val="1"/>
      </rPr>
      <t xml:space="preserve">請參考模組規格書</t>
    </r>
    <r>
      <rPr>
        <sz val="10"/>
        <color rgb="FF404040"/>
        <rFont val="Noto Sans CJK SC"/>
        <family val="2"/>
        <charset val="136"/>
      </rPr>
      <t xml:space="preserve">)</t>
    </r>
  </si>
  <si>
    <r>
      <rPr>
        <sz val="10"/>
        <color rgb="FF404040"/>
        <rFont val="新細明體"/>
        <family val="2"/>
        <charset val="1"/>
      </rPr>
      <t xml:space="preserve">第二年起每年固定衰退比率，請填小數（例：</t>
    </r>
    <r>
      <rPr>
        <sz val="10"/>
        <color rgb="FF404040"/>
        <rFont val="Noto Sans CJK SC"/>
        <family val="2"/>
        <charset val="136"/>
      </rPr>
      <t xml:space="preserve">0.4%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36"/>
      </rPr>
      <t xml:space="preserve">0.004</t>
    </r>
    <r>
      <rPr>
        <sz val="10"/>
        <color rgb="FF404040"/>
        <rFont val="新細明體"/>
        <family val="2"/>
        <charset val="1"/>
      </rPr>
      <t xml:space="preserve">）。一般約 </t>
    </r>
    <r>
      <rPr>
        <sz val="10"/>
        <color rgb="FF404040"/>
        <rFont val="Noto Sans CJK SC"/>
        <family val="2"/>
        <charset val="136"/>
      </rPr>
      <t xml:space="preserve">0.4~0.7%(</t>
    </r>
    <r>
      <rPr>
        <sz val="10"/>
        <color rgb="FF404040"/>
        <rFont val="新細明體"/>
        <family val="2"/>
        <charset val="1"/>
      </rPr>
      <t xml:space="preserve">請參考模組規格書</t>
    </r>
    <r>
      <rPr>
        <sz val="10"/>
        <color rgb="FF404040"/>
        <rFont val="Noto Sans CJK SC"/>
        <family val="2"/>
        <charset val="136"/>
      </rPr>
      <t xml:space="preserve">)</t>
    </r>
  </si>
  <si>
    <r>
      <rPr>
        <sz val="12"/>
        <color theme="1"/>
        <rFont val="新細明體"/>
        <family val="2"/>
        <charset val="1"/>
      </rPr>
      <t xml:space="preserve">躉售費率</t>
    </r>
    <r>
      <rPr>
        <sz val="12"/>
        <color theme="1"/>
        <rFont val="Noto Sans CJK SC"/>
        <family val="2"/>
        <charset val="1"/>
      </rPr>
      <t xml:space="preserve">(FIT) / </t>
    </r>
    <r>
      <rPr>
        <sz val="12"/>
        <color theme="1"/>
        <rFont val="新細明體"/>
        <family val="2"/>
        <charset val="1"/>
      </rPr>
      <t xml:space="preserve">綠電費率</t>
    </r>
  </si>
  <si>
    <r>
      <rPr>
        <sz val="10"/>
        <color rgb="FF404040"/>
        <rFont val="新細明體"/>
        <family val="2"/>
        <charset val="1"/>
      </rPr>
      <t xml:space="preserve">與台電簽訂的躉購費率或綠電合約費率，單位：元</t>
    </r>
    <r>
      <rPr>
        <sz val="10"/>
        <color rgb="FF404040"/>
        <rFont val="Noto Sans CJK SC"/>
        <family val="2"/>
        <charset val="1"/>
      </rPr>
      <t xml:space="preserve">/</t>
    </r>
    <r>
      <rPr>
        <sz val="10"/>
        <color rgb="FF404040"/>
        <rFont val="新細明體"/>
        <family val="2"/>
        <charset val="1"/>
      </rPr>
      <t xml:space="preserve">度。請參考台電公告或合約內容</t>
    </r>
  </si>
  <si>
    <t xml:space="preserve">支出</t>
  </si>
  <si>
    <r>
      <rPr>
        <sz val="12"/>
        <color theme="1"/>
        <rFont val="新細明體"/>
        <family val="2"/>
        <charset val="1"/>
      </rPr>
      <t xml:space="preserve">設備費用</t>
    </r>
    <r>
      <rPr>
        <sz val="12"/>
        <color theme="1"/>
        <rFont val="Noto Sans CJK SC"/>
        <family val="2"/>
        <charset val="1"/>
      </rPr>
      <t xml:space="preserve">(</t>
    </r>
    <r>
      <rPr>
        <sz val="12"/>
        <color theme="1"/>
        <rFont val="新細明體"/>
        <family val="2"/>
        <charset val="1"/>
      </rPr>
      <t xml:space="preserve">價金</t>
    </r>
    <r>
      <rPr>
        <sz val="12"/>
        <color theme="1"/>
        <rFont val="Noto Sans CJK SC"/>
        <family val="2"/>
        <charset val="1"/>
      </rPr>
      <t xml:space="preserve">)</t>
    </r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</si>
  <si>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Noto Sans CJK SC"/>
        <family val="2"/>
        <charset val="1"/>
      </rPr>
      <t xml:space="preserve">kWp</t>
    </r>
    <r>
      <rPr>
        <sz val="12"/>
        <color theme="1"/>
        <rFont val="新細明體"/>
        <family val="2"/>
        <charset val="1"/>
      </rPr>
      <t xml:space="preserve">設備成本</t>
    </r>
  </si>
  <si>
    <r>
      <rPr>
        <sz val="10"/>
        <color rgb="FF404040"/>
        <rFont val="新細明體"/>
        <family val="2"/>
        <charset val="1"/>
      </rPr>
      <t xml:space="preserve">每峰瓩設備成本（元</t>
    </r>
    <r>
      <rPr>
        <sz val="10"/>
        <color rgb="FF404040"/>
        <rFont val="Noto Sans CJK SC"/>
        <family val="2"/>
        <charset val="1"/>
      </rPr>
      <t xml:space="preserve">/kWp</t>
    </r>
    <r>
      <rPr>
        <sz val="10"/>
        <color rgb="FF404040"/>
        <rFont val="新細明體"/>
        <family val="2"/>
        <charset val="1"/>
      </rPr>
      <t xml:space="preserve">），包含模組、逆變器、支架等硬體，不含工程施工費</t>
    </r>
  </si>
  <si>
    <r>
      <rPr>
        <sz val="12"/>
        <color theme="1"/>
        <rFont val="新細明體"/>
        <family val="2"/>
        <charset val="1"/>
      </rPr>
      <t xml:space="preserve">信邦利潤率</t>
    </r>
    <r>
      <rPr>
        <sz val="12"/>
        <color theme="1"/>
        <rFont val="Noto Sans CJK SC"/>
        <family val="2"/>
        <charset val="1"/>
      </rPr>
      <t xml:space="preserve">(ex:20%</t>
    </r>
    <r>
      <rPr>
        <sz val="12"/>
        <color theme="1"/>
        <rFont val="新細明體"/>
        <family val="2"/>
        <charset val="1"/>
      </rPr>
      <t xml:space="preserve">填</t>
    </r>
    <r>
      <rPr>
        <sz val="12"/>
        <color theme="1"/>
        <rFont val="Noto Sans CJK SC"/>
        <family val="2"/>
        <charset val="1"/>
      </rPr>
      <t xml:space="preserve">0.2)</t>
    </r>
  </si>
  <si>
    <r>
      <rPr>
        <sz val="10"/>
        <color rgb="FF404040"/>
        <rFont val="新細明體"/>
        <family val="2"/>
        <charset val="1"/>
      </rPr>
      <t xml:space="preserve">公司在設備費用上加計的利潤比率，請填小數（例：</t>
    </r>
    <r>
      <rPr>
        <sz val="10"/>
        <color rgb="FF404040"/>
        <rFont val="Noto Sans CJK SC"/>
        <family val="2"/>
        <charset val="1"/>
      </rPr>
      <t xml:space="preserve">20%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）</t>
    </r>
  </si>
  <si>
    <r>
      <rPr>
        <sz val="10"/>
        <color rgb="FF404040"/>
        <rFont val="新細明體"/>
        <family val="2"/>
        <charset val="1"/>
      </rPr>
      <t xml:space="preserve">前期開發費用（元），含可行性評估、申請規費、地主溝通等。若無則填 </t>
    </r>
    <r>
      <rPr>
        <sz val="10"/>
        <color rgb="FF404040"/>
        <rFont val="Noto Sans CJK SC"/>
        <family val="2"/>
        <charset val="1"/>
      </rPr>
      <t xml:space="preserve">0</t>
    </r>
  </si>
  <si>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1 = </t>
    </r>
    <r>
      <rPr>
        <sz val="10"/>
        <color rgb="FF404040"/>
        <rFont val="新細明體"/>
        <family val="2"/>
        <charset val="1"/>
      </rPr>
      <t xml:space="preserve">固定年租金（需填方式</t>
    </r>
    <r>
      <rPr>
        <sz val="10"/>
        <color rgb="FF404040"/>
        <rFont val="Noto Sans CJK SC"/>
        <family val="2"/>
        <charset val="1"/>
      </rPr>
      <t xml:space="preserve">1</t>
    </r>
    <r>
      <rPr>
        <sz val="10"/>
        <color rgb="FF404040"/>
        <rFont val="新細明體"/>
        <family val="2"/>
        <charset val="1"/>
      </rPr>
      <t xml:space="preserve">參數）；填 </t>
    </r>
    <r>
      <rPr>
        <sz val="10"/>
        <color rgb="FF404040"/>
        <rFont val="Noto Sans CJK SC"/>
        <family val="2"/>
        <charset val="1"/>
      </rPr>
      <t xml:space="preserve">2 = </t>
    </r>
    <r>
      <rPr>
        <sz val="10"/>
        <color rgb="FF404040"/>
        <rFont val="新細明體"/>
        <family val="2"/>
        <charset val="1"/>
      </rPr>
      <t xml:space="preserve">依電費收入抽成（需填方式</t>
    </r>
    <r>
      <rPr>
        <sz val="10"/>
        <color rgb="FF404040"/>
        <rFont val="Noto Sans CJK SC"/>
        <family val="2"/>
        <charset val="1"/>
      </rPr>
      <t xml:space="preserve">2</t>
    </r>
    <r>
      <rPr>
        <sz val="10"/>
        <color rgb="FF404040"/>
        <rFont val="新細明體"/>
        <family val="2"/>
        <charset val="1"/>
      </rPr>
      <t xml:space="preserve">參數）</t>
    </r>
  </si>
  <si>
    <r>
      <rPr>
        <sz val="11"/>
        <color theme="1"/>
        <rFont val="新細明體"/>
        <family val="2"/>
        <charset val="1"/>
      </rPr>
      <t xml:space="preserve">【方式</t>
    </r>
    <r>
      <rPr>
        <sz val="11"/>
        <color theme="1"/>
        <rFont val="Noto Sans CJK SC"/>
        <family val="2"/>
        <charset val="1"/>
      </rPr>
      <t xml:space="preserve">1</t>
    </r>
    <r>
      <rPr>
        <sz val="11"/>
        <color theme="1"/>
        <rFont val="新細明體"/>
        <family val="2"/>
        <charset val="1"/>
      </rPr>
      <t xml:space="preserve">參數】每年相同價格</t>
    </r>
  </si>
  <si>
    <r>
      <rPr>
        <sz val="10"/>
        <color rgb="FF404040"/>
        <rFont val="新細明體"/>
        <family val="2"/>
        <charset val="1"/>
      </rPr>
      <t xml:space="preserve">租金計算方式選「</t>
    </r>
    <r>
      <rPr>
        <sz val="10"/>
        <color rgb="FF404040"/>
        <rFont val="Noto Sans CJK SC"/>
        <family val="2"/>
        <charset val="1"/>
      </rPr>
      <t xml:space="preserve">1</t>
    </r>
    <r>
      <rPr>
        <sz val="10"/>
        <color rgb="FF404040"/>
        <rFont val="新細明體"/>
        <family val="2"/>
        <charset val="1"/>
      </rPr>
      <t xml:space="preserve">」時填寫，固定年租金金額（元</t>
    </r>
    <r>
      <rPr>
        <sz val="10"/>
        <color rgb="FF404040"/>
        <rFont val="Noto Sans CJK SC"/>
        <family val="2"/>
        <charset val="1"/>
      </rPr>
      <t xml:space="preserve">/</t>
    </r>
    <r>
      <rPr>
        <sz val="10"/>
        <color rgb="FF404040"/>
        <rFont val="新細明體"/>
        <family val="2"/>
        <charset val="1"/>
      </rPr>
      <t xml:space="preserve">年），套用至整個電站壽命期</t>
    </r>
  </si>
  <si>
    <r>
      <rPr>
        <sz val="12"/>
        <color theme="1"/>
        <rFont val="新細明體"/>
        <family val="2"/>
        <charset val="1"/>
      </rPr>
      <t xml:space="preserve">【方式</t>
    </r>
    <r>
      <rPr>
        <sz val="12"/>
        <color theme="1"/>
        <rFont val="Noto Sans CJK SC"/>
        <family val="2"/>
        <charset val="1"/>
      </rPr>
      <t xml:space="preserve">2</t>
    </r>
    <r>
      <rPr>
        <sz val="12"/>
        <color theme="1"/>
        <rFont val="新細明體"/>
        <family val="2"/>
        <charset val="1"/>
      </rPr>
      <t xml:space="preserve">參數】抽成比率</t>
    </r>
  </si>
  <si>
    <r>
      <rPr>
        <sz val="10"/>
        <color rgb="FF404040"/>
        <rFont val="新細明體"/>
        <family val="2"/>
        <charset val="1"/>
      </rPr>
      <t xml:space="preserve">租金計算方式選「</t>
    </r>
    <r>
      <rPr>
        <sz val="10"/>
        <color rgb="FF404040"/>
        <rFont val="Noto Sans CJK SC"/>
        <family val="2"/>
        <charset val="1"/>
      </rPr>
      <t xml:space="preserve">2</t>
    </r>
    <r>
      <rPr>
        <sz val="10"/>
        <color rgb="FF404040"/>
        <rFont val="新細明體"/>
        <family val="2"/>
        <charset val="1"/>
      </rPr>
      <t xml:space="preserve">」時填寫，請填小數（例：</t>
    </r>
    <r>
      <rPr>
        <sz val="10"/>
        <color rgb="FF404040"/>
        <rFont val="Noto Sans CJK SC"/>
        <family val="2"/>
        <charset val="1"/>
      </rPr>
      <t xml:space="preserve">10%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0.1</t>
    </r>
    <r>
      <rPr>
        <sz val="10"/>
        <color rgb="FF404040"/>
        <rFont val="新細明體"/>
        <family val="2"/>
        <charset val="1"/>
      </rPr>
      <t xml:space="preserve">）。租金 </t>
    </r>
    <r>
      <rPr>
        <sz val="10"/>
        <color rgb="FF404040"/>
        <rFont val="Noto Sans CJK SC"/>
        <family val="2"/>
        <charset val="1"/>
      </rPr>
      <t xml:space="preserve">= </t>
    </r>
    <r>
      <rPr>
        <sz val="10"/>
        <color rgb="FF404040"/>
        <rFont val="新細明體"/>
        <family val="2"/>
        <charset val="1"/>
      </rPr>
      <t xml:space="preserve">當年電費收入 </t>
    </r>
    <r>
      <rPr>
        <sz val="10"/>
        <color rgb="FF404040"/>
        <rFont val="Noto Sans CJK SC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抽成比率</t>
    </r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</si>
  <si>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Noto Sans CJK SC"/>
        <family val="2"/>
        <charset val="1"/>
      </rPr>
      <t xml:space="preserve">kw</t>
    </r>
    <r>
      <rPr>
        <sz val="12"/>
        <color theme="1"/>
        <rFont val="新細明體"/>
        <family val="2"/>
        <charset val="1"/>
      </rPr>
      <t xml:space="preserve">運維成本</t>
    </r>
  </si>
  <si>
    <r>
      <rPr>
        <sz val="10"/>
        <color rgb="FF404040"/>
        <rFont val="新細明體"/>
        <family val="2"/>
        <charset val="1"/>
      </rPr>
      <t xml:space="preserve">每峰瓩每年運維費用（元</t>
    </r>
    <r>
      <rPr>
        <sz val="10"/>
        <color rgb="FF404040"/>
        <rFont val="Noto Sans CJK SC"/>
        <family val="2"/>
        <charset val="136"/>
      </rPr>
      <t xml:space="preserve">/kWp/</t>
    </r>
    <r>
      <rPr>
        <sz val="10"/>
        <color rgb="FF404040"/>
        <rFont val="新細明體"/>
        <family val="2"/>
        <charset val="1"/>
      </rPr>
      <t xml:space="preserve">年），含清洗、巡檢、維修等。</t>
    </r>
  </si>
  <si>
    <r>
      <rPr>
        <sz val="10"/>
        <color rgb="FF404040"/>
        <rFont val="新細明體"/>
        <family val="2"/>
        <charset val="1"/>
      </rPr>
      <t xml:space="preserve">保險費佔設備總費用比率，填小數（例：</t>
    </r>
    <r>
      <rPr>
        <sz val="10"/>
        <color rgb="FF404040"/>
        <rFont val="Noto Sans CJK SC"/>
        <family val="2"/>
        <charset val="1"/>
      </rPr>
      <t xml:space="preserve">0.3%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0.003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Noto Sans CJK SC"/>
        <family val="2"/>
        <charset val="1"/>
      </rPr>
      <t xml:space="preserve">0.003</t>
    </r>
    <r>
      <rPr>
        <sz val="10"/>
        <color rgb="FF404040"/>
        <rFont val="新細明體"/>
        <family val="2"/>
        <charset val="1"/>
      </rPr>
      <t xml:space="preserve">，可依投保條件調整</t>
    </r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</si>
  <si>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Noto Sans CJK SC"/>
        <family val="2"/>
        <charset val="1"/>
      </rPr>
      <t xml:space="preserve">kw</t>
    </r>
    <r>
      <rPr>
        <sz val="12"/>
        <color theme="1"/>
        <rFont val="新細明體"/>
        <family val="2"/>
        <charset val="1"/>
      </rPr>
      <t xml:space="preserve">模組回收成本</t>
    </r>
  </si>
  <si>
    <r>
      <rPr>
        <sz val="10"/>
        <color rgb="FF404040"/>
        <rFont val="新細明體"/>
        <family val="2"/>
        <charset val="1"/>
      </rPr>
      <t xml:space="preserve">每峰瓩模組廢棄回收費用（元</t>
    </r>
    <r>
      <rPr>
        <sz val="10"/>
        <color rgb="FF404040"/>
        <rFont val="Noto Sans CJK SC"/>
        <family val="2"/>
        <charset val="136"/>
      </rPr>
      <t xml:space="preserve">/kWp</t>
    </r>
    <r>
      <rPr>
        <sz val="10"/>
        <color rgb="FF404040"/>
        <rFont val="新細明體"/>
        <family val="2"/>
        <charset val="1"/>
      </rPr>
      <t xml:space="preserve">），於第 </t>
    </r>
    <r>
      <rPr>
        <sz val="10"/>
        <color rgb="FF404040"/>
        <rFont val="Noto Sans CJK SC"/>
        <family val="2"/>
        <charset val="136"/>
      </rPr>
      <t xml:space="preserve">1~10 </t>
    </r>
    <r>
      <rPr>
        <sz val="10"/>
        <color rgb="FF404040"/>
        <rFont val="新細明體"/>
        <family val="2"/>
        <charset val="1"/>
      </rPr>
      <t xml:space="preserve">年計提（攤提 </t>
    </r>
    <r>
      <rPr>
        <sz val="10"/>
        <color rgb="FF404040"/>
        <rFont val="Noto Sans CJK SC"/>
        <family val="2"/>
        <charset val="136"/>
      </rPr>
      <t xml:space="preserve">10 </t>
    </r>
    <r>
      <rPr>
        <sz val="10"/>
        <color rgb="FF404040"/>
        <rFont val="新細明體"/>
        <family val="2"/>
        <charset val="1"/>
      </rPr>
      <t xml:space="preserve">年）。</t>
    </r>
  </si>
  <si>
    <r>
      <rPr>
        <sz val="10"/>
        <color rgb="FF404040"/>
        <rFont val="新細明體"/>
        <family val="2"/>
        <charset val="1"/>
      </rPr>
      <t xml:space="preserve">向銀行貸款的年利率，填小數（例：</t>
    </r>
    <r>
      <rPr>
        <sz val="10"/>
        <color rgb="FF404040"/>
        <rFont val="Noto Sans CJK SC"/>
        <family val="2"/>
        <charset val="1"/>
      </rPr>
      <t xml:space="preserve">2.56%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0.0256</t>
    </r>
    <r>
      <rPr>
        <sz val="10"/>
        <color rgb="FF404040"/>
        <rFont val="新細明體"/>
        <family val="2"/>
        <charset val="1"/>
      </rPr>
      <t xml:space="preserve">）。請依銀行核准利率填入</t>
    </r>
  </si>
  <si>
    <r>
      <rPr>
        <sz val="10"/>
        <color rgb="FF404040"/>
        <rFont val="新細明體"/>
        <family val="2"/>
        <charset val="1"/>
      </rPr>
      <t xml:space="preserve">公司所得稅率，填小數（例：</t>
    </r>
    <r>
      <rPr>
        <sz val="10"/>
        <color rgb="FF404040"/>
        <rFont val="Noto Sans CJK SC"/>
        <family val="2"/>
        <charset val="1"/>
      </rPr>
      <t xml:space="preserve">20%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Noto Sans CJK SC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，通常不需更改</t>
    </r>
  </si>
  <si>
    <t xml:space="preserve">現金流量表</t>
  </si>
  <si>
    <r>
      <rPr>
        <sz val="10"/>
        <color rgb="FF404040"/>
        <rFont val="新細明體"/>
        <family val="2"/>
        <charset val="1"/>
      </rPr>
      <t xml:space="preserve">貸款佔設備總費用比例，填小數（例：</t>
    </r>
    <r>
      <rPr>
        <sz val="10"/>
        <color rgb="FF404040"/>
        <rFont val="Noto Sans CJK SC"/>
        <family val="2"/>
        <charset val="1"/>
      </rPr>
      <t xml:space="preserve">80%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0.8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Noto Sans CJK SC"/>
        <family val="2"/>
        <charset val="1"/>
      </rPr>
      <t xml:space="preserve">0.8 </t>
    </r>
    <r>
      <rPr>
        <sz val="10"/>
        <color rgb="FF404040"/>
        <rFont val="新細明體"/>
        <family val="2"/>
        <charset val="1"/>
      </rPr>
      <t xml:space="preserve">代表貸八成、自備二成</t>
    </r>
  </si>
  <si>
    <r>
      <rPr>
        <sz val="10"/>
        <color rgb="FF404040"/>
        <rFont val="新細明體"/>
        <family val="2"/>
        <charset val="1"/>
      </rPr>
      <t xml:space="preserve">貸款還款年數（年）。預設 </t>
    </r>
    <r>
      <rPr>
        <sz val="10"/>
        <color rgb="FF404040"/>
        <rFont val="Noto Sans CJK SC"/>
        <family val="2"/>
        <charset val="1"/>
      </rPr>
      <t xml:space="preserve">15 </t>
    </r>
    <r>
      <rPr>
        <sz val="10"/>
        <color rgb="FF404040"/>
        <rFont val="新細明體"/>
        <family val="2"/>
        <charset val="1"/>
      </rPr>
      <t xml:space="preserve">年，代表分 </t>
    </r>
    <r>
      <rPr>
        <sz val="10"/>
        <color rgb="FF404040"/>
        <rFont val="Noto Sans CJK SC"/>
        <family val="2"/>
        <charset val="1"/>
      </rPr>
      <t xml:space="preserve">15 </t>
    </r>
    <r>
      <rPr>
        <sz val="10"/>
        <color rgb="FF404040"/>
        <rFont val="新細明體"/>
        <family val="2"/>
        <charset val="1"/>
      </rPr>
      <t xml:space="preserve">年平均攤還本金</t>
    </r>
  </si>
  <si>
    <r>
      <rPr>
        <sz val="10"/>
        <color rgb="FF404040"/>
        <rFont val="新細明體"/>
        <family val="2"/>
        <charset val="1"/>
      </rPr>
      <t xml:space="preserve">稅後現金流中分配給股東的比例，填小數（例：</t>
    </r>
    <r>
      <rPr>
        <sz val="10"/>
        <color rgb="FF404040"/>
        <rFont val="Noto Sans CJK SC"/>
        <family val="2"/>
        <charset val="1"/>
      </rPr>
      <t xml:space="preserve">90%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0.9</t>
    </r>
    <r>
      <rPr>
        <sz val="10"/>
        <color rgb="FF404040"/>
        <rFont val="新細明體"/>
        <family val="2"/>
        <charset val="1"/>
      </rPr>
      <t xml:space="preserve">）</t>
    </r>
  </si>
  <si>
    <r>
      <rPr>
        <sz val="10"/>
        <color rgb="FF404040"/>
        <rFont val="新細明體"/>
        <family val="2"/>
        <charset val="1"/>
      </rPr>
      <t xml:space="preserve">年底減資返還股東的年數。預設 </t>
    </r>
    <r>
      <rPr>
        <sz val="10"/>
        <color rgb="FF404040"/>
        <rFont val="Noto Sans CJK SC"/>
        <family val="2"/>
        <charset val="136"/>
      </rPr>
      <t xml:space="preserve">4 </t>
    </r>
    <r>
      <rPr>
        <sz val="10"/>
        <color rgb="FF404040"/>
        <rFont val="新細明體"/>
        <family val="2"/>
        <charset val="1"/>
      </rPr>
      <t xml:space="preserve">年，代表 倒數 </t>
    </r>
    <r>
      <rPr>
        <sz val="10"/>
        <color rgb="FF404040"/>
        <rFont val="Noto Sans CJK SC"/>
        <family val="2"/>
        <charset val="136"/>
      </rPr>
      <t xml:space="preserve">4 </t>
    </r>
    <r>
      <rPr>
        <sz val="10"/>
        <color rgb="FF404040"/>
        <rFont val="新細明體"/>
        <family val="2"/>
        <charset val="1"/>
      </rPr>
      <t xml:space="preserve">年進行減資，加速資金返還</t>
    </r>
  </si>
  <si>
    <t xml:space="preserve">年份</t>
  </si>
  <si>
    <t xml:space="preserve">(Unit : Currency)</t>
  </si>
  <si>
    <r>
      <rPr>
        <sz val="12"/>
        <color rgb="FF000000"/>
        <rFont val="新細明體"/>
        <family val="2"/>
        <charset val="1"/>
      </rPr>
      <t xml:space="preserve">發電度數</t>
    </r>
    <r>
      <rPr>
        <sz val="12"/>
        <color rgb="FF000000"/>
        <rFont val="Arial"/>
        <family val="2"/>
        <charset val="1"/>
      </rPr>
      <t xml:space="preserve">(KWH)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</si>
  <si>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電費收入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</si>
  <si>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政府補助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</si>
  <si>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銀行借款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</si>
  <si>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</si>
  <si>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設備放置區域租金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</si>
  <si>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返還借款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</si>
  <si>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利息費用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</si>
  <si>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維運費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</si>
  <si>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保險費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</si>
  <si>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模組回收費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</si>
  <si>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其它費用</t>
    </r>
    <r>
      <rPr>
        <sz val="12"/>
        <color rgb="FF000000"/>
        <rFont val="Arial"/>
        <family val="2"/>
        <charset val="1"/>
      </rPr>
      <t xml:space="preserve">(</t>
    </r>
    <r>
      <rPr>
        <sz val="12"/>
        <color rgb="FF000000"/>
        <rFont val="新細明體"/>
        <family val="2"/>
        <charset val="1"/>
      </rPr>
      <t xml:space="preserve">人事薪資…等</t>
    </r>
    <r>
      <rPr>
        <sz val="12"/>
        <color rgb="FF000000"/>
        <rFont val="Arial"/>
        <family val="2"/>
        <charset val="1"/>
      </rPr>
      <t xml:space="preserve">)</t>
    </r>
  </si>
  <si>
    <r>
      <rPr>
        <sz val="12"/>
        <color rgb="FF000000"/>
        <rFont val="Arial"/>
        <family val="2"/>
        <charset val="1"/>
      </rPr>
      <t xml:space="preserve">1%</t>
    </r>
    <r>
      <rPr>
        <sz val="12"/>
        <color rgb="FF000000"/>
        <rFont val="新細明體"/>
        <family val="2"/>
        <charset val="1"/>
      </rPr>
      <t xml:space="preserve">管理費</t>
    </r>
  </si>
  <si>
    <t xml:space="preserve">績效獎金</t>
  </si>
  <si>
    <t xml:space="preserve">所得稅20%</t>
  </si>
  <si>
    <t xml:space="preserve">現金流</t>
  </si>
  <si>
    <t xml:space="preserve">累計現金流</t>
  </si>
  <si>
    <t xml:space="preserve">回收年限評估</t>
  </si>
  <si>
    <t xml:space="preserve">償還年限</t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</si>
  <si>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設備折舊</t>
    </r>
  </si>
  <si>
    <t xml:space="preserve">稅前淨利</t>
  </si>
  <si>
    <t xml:space="preserve">稅後淨利</t>
  </si>
  <si>
    <t xml:space="preserve">設備折舊</t>
  </si>
  <si>
    <t xml:space="preserve">營運活動現金流量</t>
  </si>
  <si>
    <t xml:space="preserve">投資活動-設備支出</t>
  </si>
  <si>
    <t xml:space="preserve">理財活動-借款</t>
  </si>
  <si>
    <t xml:space="preserve">理財活動-還款</t>
  </si>
  <si>
    <t xml:space="preserve">理財活動-現金增資</t>
  </si>
  <si>
    <t xml:space="preserve">現金淨流入(出 )</t>
  </si>
  <si>
    <t xml:space="preserve">期初淨現金</t>
  </si>
  <si>
    <t xml:space="preserve">期未淨現金</t>
  </si>
  <si>
    <t xml:space="preserve">成本法實際現金流</t>
  </si>
  <si>
    <t xml:space="preserve">權益法實際現金流</t>
  </si>
  <si>
    <t xml:space="preserve">借款餘額</t>
  </si>
  <si>
    <t xml:space="preserve">情境編號: 2</t>
  </si>
  <si>
    <t xml:space="preserve">第1次滾算摘要</t>
  </si>
  <si>
    <t xml:space="preserve">價金: 31500</t>
  </si>
  <si>
    <t xml:space="preserve">專案IRR: 3.59</t>
  </si>
  <si>
    <t xml:space="preserve">權益法IRR: 7.68</t>
  </si>
  <si>
    <t xml:space="preserve">情境編號: 3</t>
  </si>
  <si>
    <t xml:space="preserve">第2次滾算摘要</t>
  </si>
  <si>
    <t xml:space="preserve">價金: 28350</t>
  </si>
  <si>
    <t xml:space="preserve">專案IRR: 4.62</t>
  </si>
  <si>
    <t xml:space="preserve">權益法IRR: 11.46</t>
  </si>
  <si>
    <t xml:space="preserve">情境編號: 4</t>
  </si>
  <si>
    <t xml:space="preserve">第3次滾算摘要</t>
  </si>
  <si>
    <t xml:space="preserve">價金: 25515</t>
  </si>
  <si>
    <t xml:space="preserve">專案IRR: 5.7</t>
  </si>
  <si>
    <t xml:space="preserve">權益法IRR: 16.01</t>
  </si>
  <si>
    <t xml:space="preserve">情境編號: 5</t>
  </si>
  <si>
    <t xml:space="preserve">第4次滾算摘要</t>
  </si>
  <si>
    <t xml:space="preserve">價金: 22964</t>
  </si>
  <si>
    <t xml:space="preserve">專案IRR: 6.83</t>
  </si>
  <si>
    <t xml:space="preserve">權益法IRR: 21.62</t>
  </si>
  <si>
    <t xml:space="preserve">情境編號: 6</t>
  </si>
  <si>
    <t xml:space="preserve">第5次滾算摘要</t>
  </si>
  <si>
    <t xml:space="preserve">價金: 20667</t>
  </si>
  <si>
    <t xml:space="preserve">專案IRR: 8.04</t>
  </si>
  <si>
    <t xml:space="preserve">權益法IRR: 28.78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</si>
</sst>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_);[RED]\(0.00\)"/>
    <numFmt numFmtId="166" formatCode="#,##0"/>
    <numFmt numFmtId="167" formatCode="#,##0_ "/>
    <numFmt numFmtId="168" formatCode="0%"/>
    <numFmt numFmtId="169" formatCode="0.00%"/>
    <numFmt numFmtId="170" formatCode="_-* #,##0_-;\-* #,##0_-;_-* \-??_-;_-@_-"/>
    <numFmt numFmtId="171" formatCode="0_);[RED]\(0\)"/>
    <numFmt numFmtId="172" formatCode="\$#,##0.00_);[RED]&quot;($&quot;#,##0.00\)"/>
    <numFmt numFmtId="173" formatCode="\$#,##0_);[RED]&quot;($&quot;#,##0\)"/>
    <numFmt numFmtId="174" formatCode="_-\$* #,##0_-;&quot;-$&quot;* #,##0_-;_-\$* \-??_-;_-@_-"/>
  </numFmts>
  <fonts count="42">
    <font>
      <sz val="11"/>
      <color theme="1"/>
      <name val="新細明體"/>
      <family val="2"/>
      <charset val="1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2"/>
      <color theme="0"/>
      <name val="新細明體"/>
      <family val="2"/>
      <charset val="1"/>
    </font>
    <font>
      <b val="true"/>
      <sz val="12"/>
      <color theme="0"/>
      <name val="Calibri"/>
      <family val="2"/>
      <charset val="1"/>
    </font>
    <font>
      <b val="true"/>
      <sz val="12"/>
      <name val="新細明體"/>
      <family val="2"/>
      <charset val="1"/>
    </font>
    <font>
      <sz val="11"/>
      <color theme="0" tint="-0.15"/>
      <name val="新細明體"/>
      <family val="2"/>
      <charset val="1"/>
    </font>
    <font>
      <sz val="12"/>
      <color theme="1"/>
      <name val="新細明體"/>
      <family val="2"/>
      <charset val="1"/>
    </font>
    <font>
      <sz val="12"/>
      <color theme="1"/>
      <name val="Microsoft JhengHei"/>
      <family val="2"/>
      <charset val="1"/>
    </font>
    <font>
      <sz val="12"/>
      <color theme="1"/>
      <name val="Calibri"/>
      <family val="2"/>
      <charset val="1"/>
    </font>
    <font>
      <sz val="10"/>
      <color rgb="FF404040"/>
      <name val="新細明體"/>
      <family val="2"/>
      <charset val="1"/>
    </font>
    <font>
      <sz val="10"/>
      <color rgb="FF404040"/>
      <name val="Calibri"/>
      <family val="2"/>
      <charset val="1"/>
    </font>
    <font>
      <b val="true"/>
      <sz val="12"/>
      <color theme="0"/>
      <name val="Calibri"/>
      <family val="2"/>
      <charset val="136"/>
    </font>
    <font>
      <sz val="12"/>
      <color theme="1"/>
      <name val="Calibri"/>
      <family val="2"/>
      <charset val="136"/>
    </font>
    <font>
      <sz val="11"/>
      <color theme="1"/>
      <name val="Calibri"/>
      <family val="2"/>
      <charset val="1"/>
    </font>
    <font>
      <sz val="10"/>
      <color rgb="FF404040"/>
      <name val="微軟正黑體"/>
      <family val="2"/>
      <charset val="136"/>
    </font>
    <font>
      <sz val="10"/>
      <color rgb="FF404040"/>
      <name val="Noto Sans CJK SC"/>
      <family val="2"/>
      <charset val="1"/>
    </font>
    <font>
      <sz val="12"/>
      <color theme="1"/>
      <name val="Noto Sans CJK SC"/>
      <family val="2"/>
      <charset val="1"/>
    </font>
    <font>
      <sz val="10"/>
      <color rgb="FF404040"/>
      <name val="Noto Sans CJK SC"/>
      <family val="2"/>
      <charset val="136"/>
    </font>
    <font>
      <sz val="11"/>
      <color theme="1"/>
      <name val="Noto Sans CJK SC"/>
      <family val="2"/>
      <charset val="1"/>
    </font>
    <font>
      <sz val="12"/>
      <color theme="1"/>
      <name val="微軟正黑體"/>
      <family val="2"/>
      <charset val="136"/>
    </font>
    <font>
      <sz val="12"/>
      <color rgb="FFFFFFFF"/>
      <name val="新細明體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4"/>
      <color theme="1"/>
      <name val="微軟正黑體"/>
      <family val="2"/>
      <charset val="1"/>
    </font>
    <font>
      <sz val="12"/>
      <color theme="1"/>
      <name val="微軟正黑體"/>
      <family val="2"/>
      <charset val="1"/>
    </font>
    <font>
      <sz val="12"/>
      <color theme="1"/>
      <name val="Arial"/>
      <family val="2"/>
      <charset val="1"/>
    </font>
    <font>
      <sz val="12"/>
      <name val="Arial"/>
      <family val="2"/>
      <charset val="1"/>
    </font>
    <font>
      <sz val="12"/>
      <color rgb="FF000000"/>
      <name val="新細明體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細明體"/>
      <family val="2"/>
      <charset val="1"/>
    </font>
    <font>
      <b val="true"/>
      <sz val="12"/>
      <color rgb="FF000000"/>
      <name val="細明體"/>
      <family val="3"/>
      <charset val="136"/>
    </font>
    <font>
      <b val="true"/>
      <sz val="12"/>
      <color theme="1"/>
      <name val="Arial"/>
      <family val="2"/>
      <charset val="1"/>
    </font>
    <font>
      <sz val="12"/>
      <color rgb="FF000080"/>
      <name val="Arial"/>
      <family val="2"/>
      <charset val="1"/>
    </font>
    <font>
      <sz val="12"/>
      <color rgb="FF000080"/>
      <name val="新細明體"/>
      <family val="2"/>
      <charset val="1"/>
    </font>
    <font>
      <b val="true"/>
      <sz val="12"/>
      <color rgb="FF000000"/>
      <name val="細明體"/>
      <family val="2"/>
      <charset val="1"/>
    </font>
    <font>
      <b val="true"/>
      <sz val="12"/>
      <color theme="1"/>
      <name val="細明體"/>
      <family val="2"/>
      <charset val="1"/>
    </font>
    <font>
      <b val="true"/>
      <sz val="12"/>
      <color theme="1"/>
      <name val="新細明體"/>
      <family val="2"/>
      <charset val="1"/>
    </font>
    <font>
      <b val="true"/>
      <sz val="12"/>
      <color theme="1"/>
      <name val="新細明體"/>
      <family val="1"/>
      <charset val="136"/>
    </font>
    <font>
      <b val="true"/>
      <sz val="12"/>
      <color rgb="FFFF0000"/>
      <name val="Arial"/>
      <family val="2"/>
      <charset val="1"/>
    </font>
    <font>
      <b val="true"/>
      <sz val="11"/>
      <color theme="1"/>
      <name val="新細明體"/>
      <family val="1"/>
      <charset val="136"/>
    </font>
    <font>
      <sz val="12"/>
      <color rgb="FF000000"/>
      <name val="微軟正黑體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7" tint="0.7998"/>
        <bgColor rgb="FFDCE6F2"/>
      </patternFill>
    </fill>
    <fill>
      <patternFill patternType="solid">
        <fgColor theme="4" tint="0.7998"/>
        <bgColor rgb="FFE6E0EC"/>
      </patternFill>
    </fill>
    <fill>
      <patternFill patternType="solid">
        <fgColor theme="5" tint="0.3998"/>
        <bgColor rgb="FFFF99CC"/>
      </patternFill>
    </fill>
    <fill>
      <patternFill patternType="solid">
        <fgColor rgb="FF376092"/>
        <bgColor rgb="FF2F75B5"/>
      </patternFill>
    </fill>
    <fill>
      <patternFill patternType="solid">
        <fgColor rgb="FFFFFFCC"/>
        <bgColor rgb="FFFFFFFF"/>
      </patternFill>
    </fill>
    <fill>
      <patternFill patternType="solid">
        <fgColor rgb="FF00CCFF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FFCC00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rgb="FF2F75B5"/>
        <bgColor rgb="FF376092"/>
      </patternFill>
    </fill>
    <fill>
      <patternFill patternType="solid">
        <fgColor rgb="FFFFCCCC"/>
        <bgColor rgb="FFE6E0EC"/>
      </patternFill>
    </fill>
    <fill>
      <patternFill patternType="solid">
        <fgColor rgb="FF9BC2E6"/>
        <bgColor rgb="FFC6C6C6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>
        <color rgb="FFC6C6C6"/>
      </left>
      <right style="thin">
        <color rgb="FFC6C6C6"/>
      </right>
      <top style="medium"/>
      <bottom style="thin">
        <color rgb="FFC6C6C6"/>
      </bottom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>
        <color rgb="FFC6C6C6"/>
      </left>
      <right style="medium"/>
      <top style="thin">
        <color rgb="FFC6C6C6"/>
      </top>
      <bottom style="medium"/>
      <diagonal/>
    </border>
    <border diagonalUp="false" diagonalDown="false">
      <left style="medium"/>
      <right style="thin"/>
      <top style="medium"/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0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21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0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2" fillId="6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3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4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4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5" fillId="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6" fillId="0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8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7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9" fillId="8" borderId="2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6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9" fillId="8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9" fillId="8" borderId="2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8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9" fillId="9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30" fillId="9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31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32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3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4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5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32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6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3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2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1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6" fillId="11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34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7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7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6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3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7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7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12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1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4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4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41" fillId="13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1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41" fillId="0" borderId="3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41" fillId="0" borderId="3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4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4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41" fillId="1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1" fillId="0" borderId="3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41" fillId="0" borderId="3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41" fillId="0" borderId="3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41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41" fillId="0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41" fillId="7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1" fillId="11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DCE6F2"/>
      <rgbColor rgb="FF660066"/>
      <rgbColor rgb="FFD99694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0EC"/>
      <rgbColor rgb="FFCCFFCC"/>
      <rgbColor rgb="FFFFFF99"/>
      <rgbColor rgb="FF9BC2E6"/>
      <rgbColor rgb="FFFF99CC"/>
      <rgbColor rgb="FFCC99FF"/>
      <rgbColor rgb="FFFFCCCC"/>
      <rgbColor rgb="FF2F75B5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4" min="3" style="0" width="10"/>
    <col collapsed="false" customWidth="true" hidden="false" outlineLevel="0" max="5" min="5" style="0" width="50"/>
    <col collapsed="false" customWidth="true" hidden="false" outlineLevel="0" max="15" min="6" style="0" width="8"/>
    <col collapsed="false" customWidth="true" hidden="false" outlineLevel="0" max="27" min="16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6" t="s">
        <v>4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11" t="s">
        <v>4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11" t="s">
        <v>4</v>
      </c>
      <c r="D4" s="12" t="s">
        <v>4</v>
      </c>
      <c r="E4" s="8" t="s">
        <v>9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s">
        <v>11</v>
      </c>
      <c r="D5" s="12" t="n">
        <f aca="false">B5+B3-1</f>
        <v>2039</v>
      </c>
      <c r="E5" s="8" t="s">
        <v>12</v>
      </c>
    </row>
    <row r="6" customFormat="false" ht="20.25" hidden="false" customHeight="true" outlineLevel="0" collapsed="false">
      <c r="A6" s="13"/>
      <c r="B6" s="13"/>
      <c r="C6" s="13"/>
      <c r="D6" s="13"/>
      <c r="E6" s="14"/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f aca="false">B3</f>
        <v>20</v>
      </c>
      <c r="E10" s="8" t="s">
        <v>21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/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/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/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f aca="false">B3</f>
        <v>20</v>
      </c>
      <c r="E16" s="8" t="s">
        <v>32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/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/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s">
        <v>4</v>
      </c>
      <c r="E19" s="8" t="s">
        <v>39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f aca="false">B3</f>
        <v>20</v>
      </c>
      <c r="E20" s="8" t="s">
        <v>41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s">
        <v>4</v>
      </c>
      <c r="E21" s="8" t="s">
        <v>43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f aca="false">B3</f>
        <v>20</v>
      </c>
      <c r="E22" s="8" t="s">
        <v>46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f aca="false">B3</f>
        <v>20</v>
      </c>
      <c r="E23" s="8" t="s">
        <v>49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</v>
      </c>
      <c r="E24" s="8" t="s">
        <v>52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s">
        <v>4</v>
      </c>
      <c r="E25" s="8" t="s">
        <v>55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s">
        <v>4</v>
      </c>
      <c r="E26" s="8" t="s">
        <v>58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/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/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/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/>
      <c r="E34" s="8" t="s">
        <v>71</v>
      </c>
    </row>
    <row r="35" customFormat="false" ht="18.75" hidden="false" customHeight="true" outlineLevel="0" collapsed="false"/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4" min="3" style="0" width="21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50"/>
  </cols>
  <sheetData>
    <row r="1" customFormat="false" ht="15" hidden="false" customHeight="false" outlineLevel="0" collapsed="false">
      <c r="A1" s="0" t="s">
        <v>72</v>
      </c>
      <c r="B1" s="0" t="s">
        <v>73</v>
      </c>
      <c r="C1" s="0" t="s">
        <v>74</v>
      </c>
      <c r="D1" s="0" t="s">
        <v>75</v>
      </c>
      <c r="E1" s="0" t="s">
        <v>76</v>
      </c>
      <c r="F1" s="0" t="s">
        <v>77</v>
      </c>
      <c r="G1" s="0" t="s">
        <v>78</v>
      </c>
      <c r="H1" s="0" t="s">
        <v>79</v>
      </c>
      <c r="I1" s="0" t="s">
        <v>35</v>
      </c>
      <c r="J1" s="0" t="s">
        <v>80</v>
      </c>
    </row>
    <row r="2" customFormat="false" ht="15" hidden="false" customHeight="false" outlineLevel="0" collapsed="false">
      <c r="A2" s="0" t="n">
        <v>1</v>
      </c>
      <c r="B2" s="0" t="n">
        <v>35000</v>
      </c>
      <c r="C2" s="34" t="n">
        <v>0.0262</v>
      </c>
      <c r="D2" s="34" t="n">
        <v>0.0418</v>
      </c>
      <c r="E2" s="34" t="n">
        <v>0.0445</v>
      </c>
      <c r="F2" s="34" t="n">
        <v>0.3</v>
      </c>
      <c r="G2" s="0" t="n">
        <v>6541500</v>
      </c>
      <c r="H2" s="0" t="n">
        <v>15000</v>
      </c>
      <c r="I2" s="0" t="n">
        <v>2000</v>
      </c>
      <c r="J2" s="0" t="s">
        <v>81</v>
      </c>
    </row>
    <row r="3" customFormat="false" ht="15" hidden="false" customHeight="false" outlineLevel="0" collapsed="false">
      <c r="A3" s="0" t="n">
        <v>2</v>
      </c>
      <c r="B3" s="0" t="n">
        <v>31500</v>
      </c>
      <c r="C3" s="34" t="n">
        <v>0.0359</v>
      </c>
      <c r="D3" s="34" t="n">
        <v>0.069</v>
      </c>
      <c r="E3" s="34" t="n">
        <v>0.0768</v>
      </c>
      <c r="F3" s="34" t="n">
        <v>0.3</v>
      </c>
      <c r="G3" s="0" t="n">
        <v>5887350</v>
      </c>
      <c r="H3" s="0" t="n">
        <v>13500</v>
      </c>
      <c r="I3" s="0" t="n">
        <v>2000</v>
      </c>
      <c r="J3" s="0" t="s">
        <v>82</v>
      </c>
    </row>
    <row r="4" customFormat="false" ht="15" hidden="false" customHeight="false" outlineLevel="0" collapsed="false">
      <c r="A4" s="0" t="n">
        <v>3</v>
      </c>
      <c r="B4" s="0" t="n">
        <v>28350</v>
      </c>
      <c r="C4" s="34" t="n">
        <v>0.0462</v>
      </c>
      <c r="D4" s="34" t="n">
        <v>0.0982</v>
      </c>
      <c r="E4" s="34" t="n">
        <v>0.1146</v>
      </c>
      <c r="F4" s="34" t="n">
        <v>0.3</v>
      </c>
      <c r="G4" s="0" t="n">
        <v>5298615</v>
      </c>
      <c r="H4" s="0" t="n">
        <v>12150</v>
      </c>
      <c r="I4" s="0" t="n">
        <v>2000</v>
      </c>
      <c r="J4" s="0" t="s">
        <v>83</v>
      </c>
    </row>
    <row r="5" customFormat="false" ht="15" hidden="false" customHeight="false" outlineLevel="0" collapsed="false">
      <c r="A5" s="0" t="n">
        <v>4</v>
      </c>
      <c r="B5" s="0" t="n">
        <v>25515</v>
      </c>
      <c r="C5" s="34" t="n">
        <v>0.057</v>
      </c>
      <c r="D5" s="34" t="n">
        <v>0.13</v>
      </c>
      <c r="E5" s="34" t="n">
        <v>0.1601</v>
      </c>
      <c r="F5" s="34" t="n">
        <v>0.3</v>
      </c>
      <c r="G5" s="0" t="n">
        <v>4768753.5</v>
      </c>
      <c r="H5" s="0" t="n">
        <v>10935</v>
      </c>
      <c r="I5" s="0" t="n">
        <v>2000</v>
      </c>
      <c r="J5" s="0" t="s">
        <v>84</v>
      </c>
    </row>
    <row r="6" customFormat="false" ht="15" hidden="false" customHeight="false" outlineLevel="0" collapsed="false">
      <c r="A6" s="0" t="n">
        <v>5</v>
      </c>
      <c r="B6" s="0" t="n">
        <v>22964</v>
      </c>
      <c r="C6" s="34" t="n">
        <v>0.0683</v>
      </c>
      <c r="D6" s="34" t="n">
        <v>0.1653</v>
      </c>
      <c r="E6" s="34" t="n">
        <v>0.2162</v>
      </c>
      <c r="F6" s="34" t="n">
        <v>0.3</v>
      </c>
      <c r="G6" s="0" t="n">
        <v>4292096.2</v>
      </c>
      <c r="H6" s="0" t="n">
        <v>9842</v>
      </c>
      <c r="I6" s="0" t="n">
        <v>2000</v>
      </c>
      <c r="J6" s="0" t="s">
        <v>85</v>
      </c>
    </row>
    <row r="7" customFormat="false" ht="15" hidden="false" customHeight="false" outlineLevel="0" collapsed="false">
      <c r="A7" s="0" t="n">
        <v>6</v>
      </c>
      <c r="B7" s="0" t="n">
        <v>20667</v>
      </c>
      <c r="C7" s="34" t="n">
        <v>0.0804</v>
      </c>
      <c r="D7" s="34" t="n">
        <v>0.2048</v>
      </c>
      <c r="E7" s="34" t="n">
        <v>0.2878</v>
      </c>
      <c r="F7" s="34" t="n">
        <v>0.3</v>
      </c>
      <c r="G7" s="0" t="n">
        <v>3862537.7</v>
      </c>
      <c r="H7" s="0" t="n">
        <v>8857</v>
      </c>
      <c r="I7" s="0" t="n">
        <v>2000</v>
      </c>
      <c r="J7" s="0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23" min="7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" t="s">
        <v>87</v>
      </c>
      <c r="C1" s="35"/>
      <c r="D1" s="35"/>
      <c r="E1" s="36"/>
      <c r="F1" s="2" t="s">
        <v>1</v>
      </c>
      <c r="P1" s="3" t="n">
        <f aca="false">1-D11</f>
        <v>0.99</v>
      </c>
      <c r="Q1" s="3" t="n">
        <f aca="false">P1-$D12</f>
        <v>0.986</v>
      </c>
      <c r="R1" s="3" t="n">
        <f aca="false">Q1-$D12</f>
        <v>0.982</v>
      </c>
      <c r="S1" s="3" t="n">
        <f aca="false">R1-$D12</f>
        <v>0.978</v>
      </c>
      <c r="T1" s="3" t="n">
        <f aca="false">S1-$D12</f>
        <v>0.974</v>
      </c>
      <c r="U1" s="3" t="n">
        <f aca="false">T1-$D12</f>
        <v>0.97</v>
      </c>
      <c r="V1" s="3" t="n">
        <f aca="false">U1-$D12</f>
        <v>0.966</v>
      </c>
      <c r="W1" s="3" t="n">
        <f aca="false">V1-$D12</f>
        <v>0.962</v>
      </c>
      <c r="X1" s="3" t="n">
        <f aca="false">W1-$D12</f>
        <v>0.958</v>
      </c>
      <c r="Y1" s="3" t="n">
        <f aca="false">X1-$D12</f>
        <v>0.954</v>
      </c>
      <c r="Z1" s="3" t="n">
        <f aca="false">Y1-$D12</f>
        <v>0.95</v>
      </c>
      <c r="AA1" s="3" t="n">
        <f aca="false">Z1-$D12</f>
        <v>0.946</v>
      </c>
      <c r="AB1" s="3" t="n">
        <f aca="false">AA1-$D12</f>
        <v>0.942</v>
      </c>
      <c r="AC1" s="3" t="n">
        <f aca="false">AB1-$D12</f>
        <v>0.938</v>
      </c>
      <c r="AD1" s="3" t="n">
        <f aca="false">AC1-$D12</f>
        <v>0.934</v>
      </c>
      <c r="AE1" s="3" t="n">
        <f aca="false">AD1-$D12</f>
        <v>0.93</v>
      </c>
      <c r="AF1" s="3" t="n">
        <f aca="false">AE1-$D12</f>
        <v>0.926</v>
      </c>
      <c r="AG1" s="3" t="n">
        <f aca="false">AF1-$D12</f>
        <v>0.922</v>
      </c>
      <c r="AH1" s="3" t="n">
        <f aca="false">AG1-$D12</f>
        <v>0.918</v>
      </c>
      <c r="AI1" s="3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6" t="s">
        <v>4</v>
      </c>
      <c r="E2" s="7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1" t="s">
        <v>4</v>
      </c>
      <c r="E3" s="12" t="s">
        <v>4</v>
      </c>
      <c r="F3" s="8" t="s">
        <v>88</v>
      </c>
    </row>
    <row r="4" customFormat="false" ht="21.75" hidden="false" customHeight="true" outlineLevel="0" collapsed="false">
      <c r="B4" s="40" t="s">
        <v>89</v>
      </c>
      <c r="C4" s="41" t="n">
        <v>436.1</v>
      </c>
      <c r="D4" s="11" t="s">
        <v>4</v>
      </c>
      <c r="E4" s="12" t="s">
        <v>4</v>
      </c>
      <c r="F4" s="8" t="s">
        <v>90</v>
      </c>
      <c r="M4" s="0" t="s">
        <v>91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8" t="s">
        <v>92</v>
      </c>
      <c r="M5" s="0" t="s">
        <v>93</v>
      </c>
    </row>
    <row r="6" customFormat="false" ht="20.25" hidden="false" customHeight="true" outlineLevel="0" collapsed="false">
      <c r="B6" s="13"/>
      <c r="C6" s="13"/>
      <c r="D6" s="13"/>
      <c r="E6" s="13"/>
      <c r="M6" s="0" t="s">
        <v>94</v>
      </c>
    </row>
    <row r="7" customFormat="false" ht="22.5" hidden="false" customHeight="true" outlineLevel="0" collapsed="false">
      <c r="B7" s="1" t="s">
        <v>95</v>
      </c>
      <c r="C7" s="35"/>
      <c r="D7" s="35"/>
      <c r="E7" s="36"/>
      <c r="M7" s="0" t="s">
        <v>96</v>
      </c>
    </row>
    <row r="8" customFormat="false" ht="22.5" hidden="false" customHeight="true" outlineLevel="0" collapsed="false">
      <c r="B8" s="15" t="s">
        <v>14</v>
      </c>
      <c r="E8" s="44"/>
      <c r="M8" s="0" t="s">
        <v>97</v>
      </c>
    </row>
    <row r="9" customFormat="false" ht="22.5" hidden="false" customHeight="true" outlineLevel="0" collapsed="false">
      <c r="B9" s="45" t="s">
        <v>15</v>
      </c>
      <c r="C9" s="46" t="s">
        <v>16</v>
      </c>
      <c r="D9" s="46" t="s">
        <v>17</v>
      </c>
      <c r="E9" s="47" t="s">
        <v>18</v>
      </c>
      <c r="F9" s="2" t="s">
        <v>1</v>
      </c>
      <c r="M9" s="0" t="s">
        <v>98</v>
      </c>
    </row>
    <row r="10" customFormat="false" ht="30" hidden="false" customHeight="true" outlineLevel="0" collapsed="false">
      <c r="B10" s="48" t="s">
        <v>19</v>
      </c>
      <c r="C10" s="49" t="s">
        <v>99</v>
      </c>
      <c r="D10" s="50" t="n">
        <v>547002</v>
      </c>
      <c r="E10" s="21" t="n">
        <v>20</v>
      </c>
      <c r="F10" s="8" t="s">
        <v>100</v>
      </c>
      <c r="M10" s="0" t="s">
        <v>101</v>
      </c>
    </row>
    <row r="11" customFormat="false" ht="30" hidden="false" customHeight="true" outlineLevel="0" collapsed="false">
      <c r="B11" s="51"/>
      <c r="C11" s="42" t="s">
        <v>22</v>
      </c>
      <c r="D11" s="52" t="n">
        <v>0.01</v>
      </c>
      <c r="E11" s="53"/>
      <c r="F11" s="8" t="s">
        <v>102</v>
      </c>
    </row>
    <row r="12" customFormat="false" ht="30" hidden="false" customHeight="true" outlineLevel="0" collapsed="false">
      <c r="B12" s="51"/>
      <c r="C12" s="42" t="s">
        <v>24</v>
      </c>
      <c r="D12" s="54" t="n">
        <v>0.004</v>
      </c>
      <c r="E12" s="53"/>
      <c r="F12" s="8" t="s">
        <v>103</v>
      </c>
    </row>
    <row r="13" customFormat="false" ht="22.5" hidden="false" customHeight="true" outlineLevel="0" collapsed="false">
      <c r="B13" s="51"/>
      <c r="C13" s="55" t="s">
        <v>104</v>
      </c>
      <c r="D13" s="56" t="n">
        <v>4</v>
      </c>
      <c r="E13" s="53"/>
      <c r="F13" s="8" t="s">
        <v>105</v>
      </c>
    </row>
    <row r="14" customFormat="false" ht="22.5" hidden="false" customHeight="true" outlineLevel="0" collapsed="false">
      <c r="B14" s="26" t="s">
        <v>106</v>
      </c>
      <c r="C14" s="35"/>
      <c r="D14" s="35"/>
      <c r="E14" s="36"/>
    </row>
    <row r="15" customFormat="false" ht="22.5" hidden="false" customHeight="true" outlineLevel="0" collapsed="false">
      <c r="B15" s="45" t="s">
        <v>15</v>
      </c>
      <c r="C15" s="46" t="s">
        <v>16</v>
      </c>
      <c r="D15" s="46" t="s">
        <v>17</v>
      </c>
      <c r="E15" s="47" t="s">
        <v>29</v>
      </c>
      <c r="F15" s="2" t="s">
        <v>1</v>
      </c>
    </row>
    <row r="16" customFormat="false" ht="21.75" hidden="false" customHeight="true" outlineLevel="0" collapsed="false">
      <c r="B16" s="49" t="s">
        <v>107</v>
      </c>
      <c r="C16" s="49" t="s">
        <v>108</v>
      </c>
      <c r="D16" s="57" t="n">
        <v>35000</v>
      </c>
      <c r="E16" s="7" t="n">
        <v>20</v>
      </c>
      <c r="F16" s="8" t="s">
        <v>109</v>
      </c>
    </row>
    <row r="17" customFormat="false" ht="21.75" hidden="false" customHeight="true" outlineLevel="0" collapsed="false">
      <c r="B17" s="51"/>
      <c r="C17" s="42" t="s">
        <v>110</v>
      </c>
      <c r="D17" s="58" t="n">
        <v>0.3</v>
      </c>
      <c r="E17" s="53"/>
      <c r="F17" s="8" t="s">
        <v>111</v>
      </c>
    </row>
    <row r="18" customFormat="false" ht="21.75" hidden="false" customHeight="true" outlineLevel="0" collapsed="false">
      <c r="B18" s="59"/>
      <c r="C18" s="42" t="s">
        <v>35</v>
      </c>
      <c r="D18" s="60" t="n">
        <v>2000</v>
      </c>
      <c r="E18" s="61"/>
      <c r="F18" s="8" t="s">
        <v>112</v>
      </c>
    </row>
    <row r="19" customFormat="false" ht="54" hidden="false" customHeight="true" outlineLevel="0" collapsed="false">
      <c r="B19" s="42" t="s">
        <v>37</v>
      </c>
      <c r="C19" s="62" t="s">
        <v>38</v>
      </c>
      <c r="D19" s="58" t="n">
        <v>1</v>
      </c>
      <c r="E19" s="7" t="n">
        <v>20</v>
      </c>
      <c r="F19" s="8" t="s">
        <v>113</v>
      </c>
    </row>
    <row r="20" customFormat="false" ht="20.25" hidden="false" customHeight="true" outlineLevel="0" collapsed="false">
      <c r="B20" s="51"/>
      <c r="C20" s="63" t="s">
        <v>114</v>
      </c>
      <c r="D20" s="60" t="n">
        <v>290201</v>
      </c>
      <c r="E20" s="7" t="n">
        <v>20</v>
      </c>
      <c r="F20" s="8" t="s">
        <v>115</v>
      </c>
    </row>
    <row r="21" customFormat="false" ht="30" hidden="false" customHeight="true" outlineLevel="0" collapsed="false">
      <c r="B21" s="59"/>
      <c r="C21" s="42" t="s">
        <v>116</v>
      </c>
      <c r="D21" s="58" t="n">
        <v>0</v>
      </c>
      <c r="E21" s="12" t="n">
        <v>20</v>
      </c>
      <c r="F21" s="8" t="s">
        <v>117</v>
      </c>
    </row>
    <row r="22" customFormat="false" ht="30" hidden="false" customHeight="true" outlineLevel="0" collapsed="false">
      <c r="B22" s="42" t="s">
        <v>44</v>
      </c>
      <c r="C22" s="42" t="s">
        <v>118</v>
      </c>
      <c r="D22" s="64" t="n">
        <v>400</v>
      </c>
      <c r="E22" s="12" t="n">
        <v>20</v>
      </c>
      <c r="F22" s="8" t="s">
        <v>119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8" t="n">
        <v>0.003</v>
      </c>
      <c r="E23" s="12" t="n">
        <v>20</v>
      </c>
      <c r="F23" s="8" t="s">
        <v>120</v>
      </c>
    </row>
    <row r="24" customFormat="false" ht="30" hidden="false" customHeight="true" outlineLevel="0" collapsed="false">
      <c r="B24" s="42" t="s">
        <v>50</v>
      </c>
      <c r="C24" s="42" t="s">
        <v>121</v>
      </c>
      <c r="D24" s="64" t="n">
        <v>1000</v>
      </c>
      <c r="E24" s="31" t="n">
        <v>10</v>
      </c>
      <c r="F24" s="8" t="s">
        <v>122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5" t="n">
        <v>0.0256</v>
      </c>
      <c r="E25" s="12" t="n">
        <v>20</v>
      </c>
      <c r="F25" s="8" t="s">
        <v>123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8" t="n">
        <v>0.2</v>
      </c>
      <c r="E26" s="12" t="n">
        <v>20</v>
      </c>
      <c r="F26" s="8" t="s">
        <v>124</v>
      </c>
    </row>
    <row r="27" customFormat="false" ht="20.25" hidden="false" customHeight="true" outlineLevel="0" collapsed="false">
      <c r="B27" s="13"/>
      <c r="C27" s="13"/>
      <c r="D27" s="13"/>
      <c r="E27" s="13"/>
    </row>
    <row r="28" customFormat="false" ht="20.25" hidden="false" customHeight="true" outlineLevel="0" collapsed="false">
      <c r="B28" s="13"/>
      <c r="C28" s="13"/>
      <c r="D28" s="13"/>
      <c r="E28" s="13"/>
    </row>
    <row r="29" customFormat="false" ht="22.5" hidden="false" customHeight="true" outlineLevel="0" collapsed="false">
      <c r="B29" s="1" t="s">
        <v>125</v>
      </c>
      <c r="C29" s="35"/>
      <c r="D29" s="36"/>
      <c r="E29" s="13"/>
    </row>
    <row r="30" customFormat="false" ht="22.5" hidden="false" customHeight="true" outlineLevel="0" collapsed="false">
      <c r="B30" s="45" t="s">
        <v>60</v>
      </c>
      <c r="C30" s="66" t="s">
        <v>16</v>
      </c>
      <c r="D30" s="67" t="s">
        <v>17</v>
      </c>
      <c r="E30" s="13"/>
      <c r="F30" s="2" t="s">
        <v>1</v>
      </c>
    </row>
    <row r="31" customFormat="false" ht="30" hidden="false" customHeight="true" outlineLevel="0" collapsed="false">
      <c r="B31" s="49" t="s">
        <v>61</v>
      </c>
      <c r="C31" s="37" t="s">
        <v>62</v>
      </c>
      <c r="D31" s="68" t="n">
        <v>0.8</v>
      </c>
      <c r="E31" s="13"/>
      <c r="F31" s="8" t="s">
        <v>126</v>
      </c>
    </row>
    <row r="32" customFormat="false" ht="18.75" hidden="false" customHeight="true" outlineLevel="0" collapsed="false">
      <c r="B32" s="49" t="s">
        <v>64</v>
      </c>
      <c r="C32" s="37" t="s">
        <v>65</v>
      </c>
      <c r="D32" s="68" t="n">
        <v>15</v>
      </c>
      <c r="E32" s="13"/>
      <c r="F32" s="8" t="s">
        <v>127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8" t="n">
        <v>0.9</v>
      </c>
      <c r="E33" s="13"/>
      <c r="F33" s="8" t="s">
        <v>128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8" t="n">
        <v>4</v>
      </c>
      <c r="E34" s="13"/>
      <c r="F34" s="8" t="s">
        <v>129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9"/>
      <c r="C37" s="70" t="s">
        <v>130</v>
      </c>
      <c r="D37" s="70" t="n">
        <v>2020</v>
      </c>
      <c r="E37" s="70" t="n">
        <v>2021</v>
      </c>
      <c r="F37" s="70" t="n">
        <v>2022</v>
      </c>
      <c r="G37" s="70" t="n">
        <v>2023</v>
      </c>
      <c r="H37" s="70" t="n">
        <v>2024</v>
      </c>
      <c r="I37" s="70" t="n">
        <v>2025</v>
      </c>
      <c r="J37" s="70" t="n">
        <v>2026</v>
      </c>
      <c r="K37" s="70" t="n">
        <v>2027</v>
      </c>
      <c r="L37" s="70" t="n">
        <v>2028</v>
      </c>
      <c r="M37" s="70" t="n">
        <v>2029</v>
      </c>
      <c r="N37" s="70" t="n">
        <v>2030</v>
      </c>
      <c r="O37" s="70" t="n">
        <v>2031</v>
      </c>
      <c r="P37" s="70" t="n">
        <v>2032</v>
      </c>
      <c r="Q37" s="70" t="n">
        <v>2033</v>
      </c>
      <c r="R37" s="70" t="n">
        <v>2034</v>
      </c>
      <c r="S37" s="70" t="n">
        <v>2035</v>
      </c>
      <c r="T37" s="70" t="n">
        <v>2036</v>
      </c>
      <c r="U37" s="70" t="n">
        <v>2037</v>
      </c>
      <c r="V37" s="70" t="n">
        <v>2038</v>
      </c>
      <c r="W37" s="70" t="n">
        <v>2039</v>
      </c>
      <c r="X37" s="70"/>
    </row>
    <row r="38" customFormat="false" ht="18.75" hidden="false" customHeight="true" outlineLevel="0" collapsed="false">
      <c r="B38" s="71" t="n">
        <v>0</v>
      </c>
      <c r="C38" s="72"/>
      <c r="D38" s="73"/>
      <c r="E38" s="73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5"/>
      <c r="V38" s="75"/>
      <c r="W38" s="75"/>
      <c r="X38" s="77"/>
    </row>
    <row r="39" customFormat="false" ht="18.75" hidden="false" customHeight="true" outlineLevel="0" collapsed="false">
      <c r="B39" s="78" t="s">
        <v>131</v>
      </c>
      <c r="C39" s="79" t="n">
        <v>0</v>
      </c>
      <c r="D39" s="80" t="n">
        <v>1</v>
      </c>
      <c r="E39" s="80" t="n">
        <v>2</v>
      </c>
      <c r="F39" s="80" t="n">
        <v>3</v>
      </c>
      <c r="G39" s="80" t="n">
        <v>4</v>
      </c>
      <c r="H39" s="80" t="n">
        <v>5</v>
      </c>
      <c r="I39" s="80" t="n">
        <v>6</v>
      </c>
      <c r="J39" s="80" t="n">
        <v>7</v>
      </c>
      <c r="K39" s="80" t="n">
        <v>8</v>
      </c>
      <c r="L39" s="80" t="n">
        <v>9</v>
      </c>
      <c r="M39" s="80" t="n">
        <v>10</v>
      </c>
      <c r="N39" s="80" t="n">
        <v>11</v>
      </c>
      <c r="O39" s="80" t="n">
        <v>12</v>
      </c>
      <c r="P39" s="80" t="n">
        <v>13</v>
      </c>
      <c r="Q39" s="80" t="n">
        <v>14</v>
      </c>
      <c r="R39" s="80" t="n">
        <v>15</v>
      </c>
      <c r="S39" s="80" t="n">
        <v>16</v>
      </c>
      <c r="T39" s="81" t="n">
        <v>17</v>
      </c>
      <c r="U39" s="80" t="n">
        <v>18</v>
      </c>
      <c r="V39" s="80" t="n">
        <v>19</v>
      </c>
      <c r="W39" s="80" t="n">
        <v>20</v>
      </c>
      <c r="X39" s="82"/>
    </row>
    <row r="40" customFormat="false" ht="18.75" hidden="false" customHeight="true" outlineLevel="0" collapsed="false">
      <c r="B40" s="83" t="s">
        <v>132</v>
      </c>
      <c r="C40" s="84" t="n">
        <v>0</v>
      </c>
      <c r="D40" s="85" t="n">
        <f aca="false">$D$10*P1</f>
        <v>541531.98</v>
      </c>
      <c r="E40" s="85" t="n">
        <f aca="false">$D$10*Q1</f>
        <v>539343.972</v>
      </c>
      <c r="F40" s="85" t="n">
        <f aca="false">$D$10*R1</f>
        <v>537155.964</v>
      </c>
      <c r="G40" s="85" t="n">
        <f aca="false">$D$10*S1</f>
        <v>534967.956</v>
      </c>
      <c r="H40" s="85" t="n">
        <f aca="false">$D$10*T1</f>
        <v>532779.948</v>
      </c>
      <c r="I40" s="85" t="n">
        <f aca="false">$D$10*U1</f>
        <v>530591.94</v>
      </c>
      <c r="J40" s="85" t="n">
        <f aca="false">$D$10*V1</f>
        <v>528403.932</v>
      </c>
      <c r="K40" s="85" t="n">
        <f aca="false">$D$10*W1</f>
        <v>526215.924</v>
      </c>
      <c r="L40" s="85" t="n">
        <f aca="false">$D$10*X1</f>
        <v>524027.916</v>
      </c>
      <c r="M40" s="85" t="n">
        <f aca="false">$D$10*Y1</f>
        <v>521839.908</v>
      </c>
      <c r="N40" s="85" t="n">
        <f aca="false">$D$10*Z1</f>
        <v>519651.9</v>
      </c>
      <c r="O40" s="85" t="n">
        <f aca="false">$D$10*AA1</f>
        <v>517463.892</v>
      </c>
      <c r="P40" s="85" t="n">
        <f aca="false">$D$10*AB1</f>
        <v>515275.884</v>
      </c>
      <c r="Q40" s="85" t="n">
        <f aca="false">$D$10*AC1</f>
        <v>513087.876</v>
      </c>
      <c r="R40" s="85" t="n">
        <f aca="false">$D$10*AD1</f>
        <v>510899.868</v>
      </c>
      <c r="S40" s="85" t="n">
        <f aca="false">$D$10*AE1</f>
        <v>508711.86</v>
      </c>
      <c r="T40" s="85" t="n">
        <f aca="false">$D$10*AF1</f>
        <v>506523.852</v>
      </c>
      <c r="U40" s="85" t="n">
        <f aca="false">$D$10*AG1</f>
        <v>504335.844</v>
      </c>
      <c r="V40" s="85" t="n">
        <f aca="false">$D$10*AH1</f>
        <v>502147.836</v>
      </c>
      <c r="W40" s="85" t="n">
        <f aca="false">$D$10*AI1</f>
        <v>499959.828</v>
      </c>
      <c r="X40" s="86"/>
    </row>
    <row r="41" customFormat="false" ht="18.75" hidden="false" customHeight="true" outlineLevel="0" collapsed="false">
      <c r="B41" s="87" t="s">
        <v>133</v>
      </c>
      <c r="C41" s="88" t="s">
        <v>4</v>
      </c>
      <c r="D41" s="89" t="n">
        <f aca="false">D40*$D$13</f>
        <v>2166127.92</v>
      </c>
      <c r="E41" s="89" t="n">
        <f aca="false">E40*$D$13</f>
        <v>2157375.888</v>
      </c>
      <c r="F41" s="89" t="n">
        <f aca="false">F40*$D$13</f>
        <v>2148623.856</v>
      </c>
      <c r="G41" s="89" t="n">
        <f aca="false">G40*$D$13</f>
        <v>2139871.824</v>
      </c>
      <c r="H41" s="89" t="n">
        <f aca="false">H40*$D$13</f>
        <v>2131119.792</v>
      </c>
      <c r="I41" s="89" t="n">
        <f aca="false">I40*$D$13</f>
        <v>2122367.76</v>
      </c>
      <c r="J41" s="89" t="n">
        <f aca="false">J40*$D$13</f>
        <v>2113615.728</v>
      </c>
      <c r="K41" s="89" t="n">
        <f aca="false">K40*$D$13</f>
        <v>2104863.696</v>
      </c>
      <c r="L41" s="89" t="n">
        <f aca="false">L40*$D$13</f>
        <v>2096111.664</v>
      </c>
      <c r="M41" s="89" t="n">
        <f aca="false">M40*$D$13</f>
        <v>2087359.632</v>
      </c>
      <c r="N41" s="89" t="n">
        <f aca="false">N40*$D$13</f>
        <v>2078607.6</v>
      </c>
      <c r="O41" s="89" t="n">
        <f aca="false">O40*$D$13</f>
        <v>2069855.568</v>
      </c>
      <c r="P41" s="89" t="n">
        <f aca="false">P40*$D$13</f>
        <v>2061103.536</v>
      </c>
      <c r="Q41" s="89" t="n">
        <f aca="false">Q40*$D$13</f>
        <v>2052351.504</v>
      </c>
      <c r="R41" s="89" t="n">
        <f aca="false">R40*$D$13</f>
        <v>2043599.472</v>
      </c>
      <c r="S41" s="89" t="n">
        <f aca="false">S40*$D$13</f>
        <v>2034847.44</v>
      </c>
      <c r="T41" s="89" t="n">
        <f aca="false">T40*$D$13</f>
        <v>2026095.408</v>
      </c>
      <c r="U41" s="89" t="n">
        <f aca="false">U40*$D$13</f>
        <v>2017343.376</v>
      </c>
      <c r="V41" s="89" t="n">
        <f aca="false">V40*$D$13</f>
        <v>2008591.344</v>
      </c>
      <c r="W41" s="89" t="n">
        <f aca="false">W40*$D$13</f>
        <v>1999839.312</v>
      </c>
      <c r="X41" s="90"/>
    </row>
    <row r="42" customFormat="false" ht="18.75" hidden="false" customHeight="true" outlineLevel="0" collapsed="false">
      <c r="B42" s="91" t="s">
        <v>134</v>
      </c>
      <c r="C42" s="92" t="s">
        <v>4</v>
      </c>
      <c r="D42" s="93"/>
      <c r="E42" s="93"/>
      <c r="F42" s="93"/>
      <c r="G42" s="94" t="s">
        <v>4</v>
      </c>
      <c r="H42" s="94" t="s">
        <v>4</v>
      </c>
      <c r="I42" s="94" t="s">
        <v>4</v>
      </c>
      <c r="J42" s="94" t="s">
        <v>4</v>
      </c>
      <c r="K42" s="94" t="s">
        <v>4</v>
      </c>
      <c r="L42" s="94" t="s">
        <v>4</v>
      </c>
      <c r="M42" s="94" t="s">
        <v>4</v>
      </c>
      <c r="N42" s="94" t="s">
        <v>4</v>
      </c>
      <c r="O42" s="94" t="s">
        <v>4</v>
      </c>
      <c r="P42" s="94" t="s">
        <v>4</v>
      </c>
      <c r="Q42" s="94" t="s">
        <v>4</v>
      </c>
      <c r="R42" s="94" t="s">
        <v>4</v>
      </c>
      <c r="S42" s="94" t="s">
        <v>4</v>
      </c>
      <c r="T42" s="94" t="s">
        <v>4</v>
      </c>
      <c r="U42" s="94" t="s">
        <v>4</v>
      </c>
      <c r="V42" s="94" t="s">
        <v>4</v>
      </c>
      <c r="W42" s="94" t="s">
        <v>4</v>
      </c>
      <c r="X42" s="95"/>
    </row>
    <row r="43" customFormat="false" ht="18.75" hidden="false" customHeight="true" outlineLevel="0" collapsed="false">
      <c r="B43" s="96" t="s">
        <v>135</v>
      </c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customFormat="false" ht="18.75" hidden="false" customHeight="true" outlineLevel="0" collapsed="false">
      <c r="B44" s="100" t="s">
        <v>136</v>
      </c>
      <c r="C44" s="101" t="n">
        <f aca="false">-(D16/(1-D17)+D18)*C4</f>
        <v>-22677200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customFormat="false" ht="18.75" hidden="false" customHeight="true" outlineLevel="0" collapsed="false">
      <c r="B45" s="100" t="s">
        <v>137</v>
      </c>
      <c r="C45" s="92" t="s">
        <v>4</v>
      </c>
      <c r="D45" s="0" t="n">
        <v>-290201</v>
      </c>
      <c r="E45" s="102" t="n">
        <v>-290201</v>
      </c>
      <c r="F45" s="102" t="n">
        <v>-290201</v>
      </c>
      <c r="G45" s="102" t="n">
        <v>-290201</v>
      </c>
      <c r="H45" s="102" t="n">
        <v>-290201</v>
      </c>
      <c r="I45" s="102" t="n">
        <v>-290201</v>
      </c>
      <c r="J45" s="102" t="n">
        <v>-290201</v>
      </c>
      <c r="K45" s="102" t="n">
        <v>-290201</v>
      </c>
      <c r="L45" s="102" t="n">
        <v>-290201</v>
      </c>
      <c r="M45" s="102" t="n">
        <v>-290201</v>
      </c>
      <c r="N45" s="102" t="n">
        <v>-290201</v>
      </c>
      <c r="O45" s="102" t="n">
        <v>-290201</v>
      </c>
      <c r="P45" s="102" t="n">
        <v>-290201</v>
      </c>
      <c r="Q45" s="102" t="n">
        <v>-290201</v>
      </c>
      <c r="R45" s="102" t="n">
        <v>-290201</v>
      </c>
      <c r="S45" s="102" t="n">
        <v>-290201</v>
      </c>
      <c r="T45" s="102" t="n">
        <v>-290201</v>
      </c>
      <c r="U45" s="102" t="n">
        <v>-290201</v>
      </c>
      <c r="V45" s="102" t="n">
        <v>-290201</v>
      </c>
      <c r="W45" s="102" t="n">
        <v>-290201</v>
      </c>
      <c r="X45" s="102"/>
    </row>
    <row r="46" customFormat="false" ht="18.75" hidden="false" customHeight="true" outlineLevel="0" collapsed="false">
      <c r="B46" s="100" t="s">
        <v>138</v>
      </c>
      <c r="C46" s="9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customFormat="false" ht="18.75" hidden="false" customHeight="true" outlineLevel="0" collapsed="false">
      <c r="B47" s="100" t="s">
        <v>139</v>
      </c>
      <c r="C47" s="92" t="s">
        <v>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18.75" hidden="false" customHeight="true" outlineLevel="0" collapsed="false">
      <c r="B48" s="100" t="s">
        <v>140</v>
      </c>
      <c r="C48" s="92" t="s">
        <v>4</v>
      </c>
      <c r="D48" s="102" t="n">
        <v>-174440</v>
      </c>
      <c r="E48" s="102" t="n">
        <v>-174440</v>
      </c>
      <c r="F48" s="102" t="n">
        <v>-174440</v>
      </c>
      <c r="G48" s="102" t="n">
        <v>-174440</v>
      </c>
      <c r="H48" s="102" t="n">
        <v>-174440</v>
      </c>
      <c r="I48" s="102" t="n">
        <v>-174440</v>
      </c>
      <c r="J48" s="102" t="n">
        <v>-174440</v>
      </c>
      <c r="K48" s="102" t="n">
        <v>-174440</v>
      </c>
      <c r="L48" s="102" t="n">
        <v>-174440</v>
      </c>
      <c r="M48" s="102" t="n">
        <v>-174440</v>
      </c>
      <c r="N48" s="102" t="n">
        <v>-174440</v>
      </c>
      <c r="O48" s="102" t="n">
        <v>-174440</v>
      </c>
      <c r="P48" s="102" t="n">
        <v>-174440</v>
      </c>
      <c r="Q48" s="102" t="n">
        <v>-174440</v>
      </c>
      <c r="R48" s="102" t="n">
        <v>-174440</v>
      </c>
      <c r="S48" s="102" t="n">
        <v>-174440</v>
      </c>
      <c r="T48" s="102" t="n">
        <v>-174440</v>
      </c>
      <c r="U48" s="102" t="n">
        <v>-174440</v>
      </c>
      <c r="V48" s="102" t="n">
        <v>-174440</v>
      </c>
      <c r="W48" s="102" t="n">
        <v>-174440</v>
      </c>
      <c r="X48" s="102"/>
    </row>
    <row r="49" customFormat="false" ht="18.75" hidden="false" customHeight="true" outlineLevel="0" collapsed="false">
      <c r="B49" s="100" t="s">
        <v>141</v>
      </c>
      <c r="C49" s="92" t="s">
        <v>4</v>
      </c>
      <c r="D49" s="102" t="n">
        <v>-45790.5</v>
      </c>
      <c r="E49" s="102" t="n">
        <v>-45790.5</v>
      </c>
      <c r="F49" s="102" t="n">
        <v>-45790.5</v>
      </c>
      <c r="G49" s="102" t="n">
        <v>-45790.5</v>
      </c>
      <c r="H49" s="102" t="n">
        <v>-45790.5</v>
      </c>
      <c r="I49" s="102" t="n">
        <v>-45790.5</v>
      </c>
      <c r="J49" s="102" t="n">
        <v>-45790.5</v>
      </c>
      <c r="K49" s="102" t="n">
        <v>-45790.5</v>
      </c>
      <c r="L49" s="102" t="n">
        <v>-45790.5</v>
      </c>
      <c r="M49" s="102" t="n">
        <v>-45790.5</v>
      </c>
      <c r="N49" s="102" t="n">
        <v>-45790.5</v>
      </c>
      <c r="O49" s="102" t="n">
        <v>-45790.5</v>
      </c>
      <c r="P49" s="102" t="n">
        <v>-45790.5</v>
      </c>
      <c r="Q49" s="102" t="n">
        <v>-45790.5</v>
      </c>
      <c r="R49" s="102" t="n">
        <v>-45790.5</v>
      </c>
      <c r="S49" s="102" t="n">
        <v>-45790.5</v>
      </c>
      <c r="T49" s="102" t="n">
        <v>-45790.5</v>
      </c>
      <c r="U49" s="102" t="n">
        <v>-45790.5</v>
      </c>
      <c r="V49" s="102" t="n">
        <v>-45790.5</v>
      </c>
      <c r="W49" s="102" t="n">
        <v>-45790.5</v>
      </c>
      <c r="X49" s="102"/>
    </row>
    <row r="50" customFormat="false" ht="18.75" hidden="false" customHeight="true" outlineLevel="0" collapsed="false">
      <c r="B50" s="100" t="s">
        <v>142</v>
      </c>
      <c r="C50" s="92"/>
      <c r="D50" s="102" t="n">
        <v>-43610</v>
      </c>
      <c r="E50" s="102" t="n">
        <v>-43610</v>
      </c>
      <c r="F50" s="102" t="n">
        <v>-43610</v>
      </c>
      <c r="G50" s="102" t="n">
        <v>-43610</v>
      </c>
      <c r="H50" s="102" t="n">
        <v>-43610</v>
      </c>
      <c r="I50" s="102" t="n">
        <v>-43610</v>
      </c>
      <c r="J50" s="102" t="n">
        <v>-43610</v>
      </c>
      <c r="K50" s="102" t="n">
        <v>-43610</v>
      </c>
      <c r="L50" s="102" t="n">
        <v>-43610</v>
      </c>
      <c r="M50" s="102" t="n">
        <v>-43610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0</v>
      </c>
      <c r="S50" s="102" t="n">
        <v>0</v>
      </c>
      <c r="T50" s="102" t="n">
        <v>0</v>
      </c>
      <c r="U50" s="102" t="n">
        <v>0</v>
      </c>
      <c r="V50" s="102" t="n">
        <v>0</v>
      </c>
      <c r="W50" s="102" t="n">
        <v>0</v>
      </c>
      <c r="X50" s="102"/>
    </row>
    <row r="51" customFormat="false" ht="18.75" hidden="false" customHeight="true" outlineLevel="0" collapsed="false">
      <c r="B51" s="100" t="s">
        <v>143</v>
      </c>
      <c r="C51" s="103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customFormat="false" ht="18.75" hidden="false" customHeight="true" outlineLevel="0" collapsed="false">
      <c r="B52" s="100" t="s">
        <v>144</v>
      </c>
      <c r="C52" s="103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customFormat="false" ht="18.75" hidden="false" customHeight="true" outlineLevel="0" collapsed="false">
      <c r="B53" s="104" t="s">
        <v>145</v>
      </c>
      <c r="C53" s="103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customFormat="false" ht="18.75" hidden="false" customHeight="true" outlineLevel="0" collapsed="false">
      <c r="B54" s="104" t="s">
        <v>146</v>
      </c>
      <c r="C54" s="103"/>
      <c r="D54" s="102" t="n">
        <f aca="false">-(D64+D67+D68+D71+D72+D73+D74)*0.2</f>
        <v>-153685.484</v>
      </c>
      <c r="E54" s="102" t="n">
        <f aca="false">-(E64+E67+E68+E71+E72+E73+E74)*0.2</f>
        <v>-93894.8776</v>
      </c>
      <c r="F54" s="102" t="n">
        <f aca="false">-(F64+F67+F68+F71+F72+F73+F74)*0.2</f>
        <v>-92144.4712</v>
      </c>
      <c r="G54" s="102" t="n">
        <f aca="false">-(G64+G67+G68+G71+G72+G73+G74)*0.2</f>
        <v>-90394.0648</v>
      </c>
      <c r="H54" s="102" t="n">
        <f aca="false">-(H64+H67+H68+H71+H72+H73+H74)*0.2</f>
        <v>-88643.6584</v>
      </c>
      <c r="I54" s="102" t="n">
        <f aca="false">-(I64+I67+I68+I71+I72+I73+I74)*0.2</f>
        <v>-86893.252</v>
      </c>
      <c r="J54" s="102" t="n">
        <f aca="false">-(J64+J67+J68+J71+J72+J73+J74)*0.2</f>
        <v>-85142.8456</v>
      </c>
      <c r="K54" s="102" t="n">
        <f aca="false">-(K64+K67+K68+K71+K72+K73+K74)*0.2</f>
        <v>-83392.4392</v>
      </c>
      <c r="L54" s="102" t="n">
        <f aca="false">-(L64+L67+L68+L71+L72+L73+L74)*0.2</f>
        <v>-81642.0328</v>
      </c>
      <c r="M54" s="102" t="n">
        <f aca="false">-(M64+M67+M68+M71+M72+M73+M74)*0.2</f>
        <v>-79891.6264</v>
      </c>
      <c r="N54" s="102" t="n">
        <f aca="false">-(N64+N67+N68+N71+N72+N73+N74)*0.2</f>
        <v>-86863.22</v>
      </c>
      <c r="O54" s="102" t="n">
        <f aca="false">-(O64+O67+O68+O71+O72+O73+O74)*0.2</f>
        <v>-85112.8136</v>
      </c>
      <c r="P54" s="102" t="n">
        <f aca="false">-(P64+P67+P68+P71+P72+P73+P74)*0.2</f>
        <v>-83362.4072</v>
      </c>
      <c r="Q54" s="102" t="n">
        <f aca="false">-(Q64+Q67+Q68+Q71+Q72+Q73+Q74)*0.2</f>
        <v>-81612.0008</v>
      </c>
      <c r="R54" s="102" t="n">
        <f aca="false">-(R64+R67+R68+R71+R72+R73+R74)*0.2</f>
        <v>-79861.5944</v>
      </c>
      <c r="S54" s="102" t="n">
        <f aca="false">-(S64+S67+S68+S71+S72+S73+S74)*0.2</f>
        <v>-78111.188</v>
      </c>
      <c r="T54" s="102" t="n">
        <f aca="false">-(T64+T67+T68+T71+T72+T73+T74)*0.2</f>
        <v>-76360.7816</v>
      </c>
      <c r="U54" s="102" t="n">
        <f aca="false">-(U64+U67+U68+U71+U72+U73+U74)*0.2</f>
        <v>-74610.3752</v>
      </c>
      <c r="V54" s="102" t="n">
        <f aca="false">-(V64+V67+V68+V71+V72+V73+V74)*0.2</f>
        <v>-72859.9688</v>
      </c>
      <c r="W54" s="102" t="n">
        <f aca="false">-(W64+W67+W68+W71+W72+W73+W74)*0.2</f>
        <v>-71109.5624</v>
      </c>
      <c r="X54" s="93"/>
    </row>
    <row r="55" customFormat="false" ht="18.75" hidden="false" customHeight="true" outlineLevel="0" collapsed="false">
      <c r="B55" s="105" t="s">
        <v>147</v>
      </c>
      <c r="C55" s="106" t="n">
        <f aca="false">C44</f>
        <v>-22677200</v>
      </c>
      <c r="D55" s="107" t="n">
        <f aca="false">SUM(D41:D54)</f>
        <v>1458400.936</v>
      </c>
      <c r="E55" s="107" t="n">
        <f aca="false">SUM(E41:E54)</f>
        <v>1509439.5104</v>
      </c>
      <c r="F55" s="107" t="n">
        <f aca="false">SUM(F41:F54)</f>
        <v>1502437.8848</v>
      </c>
      <c r="G55" s="107" t="n">
        <f aca="false">SUM(G41:G54)</f>
        <v>1495436.2592</v>
      </c>
      <c r="H55" s="107" t="n">
        <f aca="false">SUM(H41:H54)</f>
        <v>1488434.6336</v>
      </c>
      <c r="I55" s="107" t="n">
        <f aca="false">SUM(I41:I54)</f>
        <v>1481433.008</v>
      </c>
      <c r="J55" s="107" t="n">
        <f aca="false">SUM(J41:J54)</f>
        <v>1474431.3824</v>
      </c>
      <c r="K55" s="107" t="n">
        <f aca="false">SUM(K41:K54)</f>
        <v>1467429.7568</v>
      </c>
      <c r="L55" s="107" t="n">
        <f aca="false">SUM(L41:L54)</f>
        <v>1460428.1312</v>
      </c>
      <c r="M55" s="107" t="n">
        <f aca="false">SUM(M41:M54)</f>
        <v>1453426.5056</v>
      </c>
      <c r="N55" s="107" t="n">
        <f aca="false">SUM(N41:N54)</f>
        <v>1481312.88</v>
      </c>
      <c r="O55" s="107" t="n">
        <f aca="false">SUM(O41:O54)</f>
        <v>1474311.2544</v>
      </c>
      <c r="P55" s="107" t="n">
        <f aca="false">SUM(P41:P54)</f>
        <v>1467309.6288</v>
      </c>
      <c r="Q55" s="107" t="n">
        <f aca="false">SUM(Q41:Q54)</f>
        <v>1460308.0032</v>
      </c>
      <c r="R55" s="107" t="n">
        <f aca="false">SUM(R41:R54)</f>
        <v>1453306.3776</v>
      </c>
      <c r="S55" s="107" t="n">
        <f aca="false">SUM(S41:S54)</f>
        <v>1446304.752</v>
      </c>
      <c r="T55" s="107" t="n">
        <f aca="false">SUM(T41:T54)</f>
        <v>1439303.1264</v>
      </c>
      <c r="U55" s="107" t="n">
        <f aca="false">SUM(U41:U54)</f>
        <v>1432301.5008</v>
      </c>
      <c r="V55" s="107" t="n">
        <f aca="false">SUM(V41:V54)</f>
        <v>1425299.8752</v>
      </c>
      <c r="W55" s="107" t="n">
        <f aca="false">SUM(W41:W54)</f>
        <v>1418298.2496</v>
      </c>
      <c r="X55" s="108"/>
      <c r="Y55" s="109"/>
      <c r="Z55" s="110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</row>
    <row r="56" customFormat="false" ht="18.75" hidden="false" customHeight="true" outlineLevel="0" collapsed="false">
      <c r="B56" s="111" t="s">
        <v>148</v>
      </c>
      <c r="D56" s="112" t="n">
        <f aca="false">C55+D55</f>
        <v>-21218799.064</v>
      </c>
      <c r="E56" s="112" t="n">
        <f aca="false">D56+E55</f>
        <v>-19709359.5536</v>
      </c>
      <c r="F56" s="112" t="n">
        <f aca="false">E56+F55</f>
        <v>-18206921.6688</v>
      </c>
      <c r="G56" s="112" t="n">
        <f aca="false">F56+G55</f>
        <v>-16711485.4096</v>
      </c>
      <c r="H56" s="112" t="n">
        <f aca="false">G56+H55</f>
        <v>-15223050.776</v>
      </c>
      <c r="I56" s="112" t="n">
        <f aca="false">H56+I55</f>
        <v>-13741617.768</v>
      </c>
      <c r="J56" s="112" t="n">
        <f aca="false">I56+J55</f>
        <v>-12267186.3856</v>
      </c>
      <c r="K56" s="112" t="n">
        <f aca="false">J56+K55</f>
        <v>-10799756.6288</v>
      </c>
      <c r="L56" s="112" t="n">
        <f aca="false">K56+L55</f>
        <v>-9339328.4976</v>
      </c>
      <c r="M56" s="112" t="n">
        <f aca="false">L56+M55</f>
        <v>-7885901.992</v>
      </c>
      <c r="N56" s="112" t="n">
        <f aca="false">M56+N55</f>
        <v>-6404589.112</v>
      </c>
      <c r="O56" s="112" t="n">
        <f aca="false">N56+O55</f>
        <v>-4930277.8576</v>
      </c>
      <c r="P56" s="112" t="n">
        <f aca="false">O56+P55</f>
        <v>-3462968.2288</v>
      </c>
      <c r="Q56" s="112" t="n">
        <f aca="false">P56+Q55</f>
        <v>-2002660.2256</v>
      </c>
      <c r="R56" s="112" t="n">
        <f aca="false">Q56+R55</f>
        <v>-549353.847999997</v>
      </c>
      <c r="S56" s="112" t="n">
        <f aca="false">R56+S55</f>
        <v>896950.904000003</v>
      </c>
      <c r="T56" s="112" t="n">
        <f aca="false">S56+T55</f>
        <v>2336254.0304</v>
      </c>
      <c r="U56" s="112" t="n">
        <f aca="false">T56+U55</f>
        <v>3768555.5312</v>
      </c>
      <c r="V56" s="112" t="n">
        <f aca="false">U56+V55</f>
        <v>5193855.4064</v>
      </c>
      <c r="W56" s="112" t="n">
        <f aca="false">V56+W55</f>
        <v>6612153.656</v>
      </c>
      <c r="X56" s="112" t="n">
        <f aca="false">W56+X55</f>
        <v>6612153.656</v>
      </c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 customFormat="false" ht="18.75" hidden="false" customHeight="true" outlineLevel="0" collapsed="false">
      <c r="B57" s="113" t="s">
        <v>149</v>
      </c>
      <c r="C57" s="114"/>
      <c r="D57" s="115" t="str">
        <f aca="false">IF((D56)&gt;0,"回收","未回收")</f>
        <v>未回收</v>
      </c>
      <c r="E57" s="116" t="str">
        <f aca="false">IF((E56)&gt;0,"回收","未回收")</f>
        <v>未回收</v>
      </c>
      <c r="F57" s="116" t="str">
        <f aca="false">IF((F56)&gt;0,"回收","未回收")</f>
        <v>未回收</v>
      </c>
      <c r="G57" s="116" t="str">
        <f aca="false">IF((G56)&gt;0,"回收","未回收")</f>
        <v>未回收</v>
      </c>
      <c r="H57" s="116" t="str">
        <f aca="false">IF((H56)&gt;0,"回收","未回收")</f>
        <v>未回收</v>
      </c>
      <c r="I57" s="116" t="str">
        <f aca="false">IF((I56)&gt;0,"回收","未回收")</f>
        <v>未回收</v>
      </c>
      <c r="J57" s="116" t="str">
        <f aca="false">IF((J56)&gt;0,"回收","未回收")</f>
        <v>未回收</v>
      </c>
      <c r="K57" s="116" t="str">
        <f aca="false">IF((K56)&gt;0,"回收","未回收")</f>
        <v>未回收</v>
      </c>
      <c r="L57" s="116" t="str">
        <f aca="false">IF((L56)&gt;0,"回收","未回收")</f>
        <v>未回收</v>
      </c>
      <c r="M57" s="116" t="str">
        <f aca="false">IF((M56)&gt;0,"回收","未回收")</f>
        <v>未回收</v>
      </c>
      <c r="N57" s="116" t="str">
        <f aca="false">IF((N56)&gt;0,"回收","未回收")</f>
        <v>未回收</v>
      </c>
      <c r="O57" s="116" t="str">
        <f aca="false">IF((O56)&gt;0,"回收","未回收")</f>
        <v>未回收</v>
      </c>
      <c r="P57" s="116" t="str">
        <f aca="false">IF((P56)&gt;0,"回收","未回收")</f>
        <v>未回收</v>
      </c>
      <c r="Q57" s="116" t="str">
        <f aca="false">IF((Q56)&gt;0,"回收","未回收")</f>
        <v>未回收</v>
      </c>
      <c r="R57" s="116" t="str">
        <f aca="false">IF((R56)&gt;0,"回收","未回收")</f>
        <v>未回收</v>
      </c>
      <c r="S57" s="116" t="str">
        <f aca="false">IF((S56)&gt;0,"回收","未回收")</f>
        <v>回收</v>
      </c>
      <c r="T57" s="116" t="str">
        <f aca="false">IF((T56)&gt;0,"回收","未回收")</f>
        <v>回收</v>
      </c>
      <c r="U57" s="116" t="str">
        <f aca="false">IF((U56)&gt;0,"回收","未回收")</f>
        <v>回收</v>
      </c>
      <c r="V57" s="116" t="str">
        <f aca="false">IF((V56)&gt;0,"回收","未回收")</f>
        <v>回收</v>
      </c>
      <c r="W57" s="116" t="str">
        <f aca="false">IF((W56)&gt;0,"回收","未回收")</f>
        <v>回收</v>
      </c>
      <c r="X57" s="116" t="str">
        <f aca="false">IF((X56)&gt;0,"回收","未回收")</f>
        <v>回收</v>
      </c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</row>
    <row r="58" customFormat="false" ht="18.75" hidden="false" customHeight="true" outlineLevel="0" collapsed="false">
      <c r="B58" s="117" t="s">
        <v>74</v>
      </c>
      <c r="C58" s="118" t="n">
        <f aca="false">IRR(C55:W55)</f>
        <v>0.0259252299402913</v>
      </c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20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69"/>
      <c r="C60" s="70" t="s">
        <v>130</v>
      </c>
      <c r="D60" s="70" t="n">
        <f aca="false">D37</f>
        <v>2020</v>
      </c>
      <c r="E60" s="70" t="n">
        <f aca="false">E37</f>
        <v>2021</v>
      </c>
      <c r="F60" s="70" t="n">
        <f aca="false">F37</f>
        <v>2022</v>
      </c>
      <c r="G60" s="70" t="n">
        <f aca="false">G37</f>
        <v>2023</v>
      </c>
      <c r="H60" s="70" t="n">
        <f aca="false">H37</f>
        <v>2024</v>
      </c>
      <c r="I60" s="70" t="n">
        <f aca="false">I37</f>
        <v>2025</v>
      </c>
      <c r="J60" s="70" t="n">
        <f aca="false">J37</f>
        <v>2026</v>
      </c>
      <c r="K60" s="70" t="n">
        <f aca="false">K37</f>
        <v>2027</v>
      </c>
      <c r="L60" s="70" t="n">
        <f aca="false">L37</f>
        <v>2028</v>
      </c>
      <c r="M60" s="70" t="n">
        <f aca="false">M37</f>
        <v>2029</v>
      </c>
      <c r="N60" s="70" t="n">
        <f aca="false">N37</f>
        <v>2030</v>
      </c>
      <c r="O60" s="70" t="n">
        <f aca="false">O37</f>
        <v>2031</v>
      </c>
      <c r="P60" s="70" t="n">
        <f aca="false">P37</f>
        <v>2032</v>
      </c>
      <c r="Q60" s="70" t="n">
        <f aca="false">Q37</f>
        <v>2033</v>
      </c>
      <c r="R60" s="70" t="n">
        <f aca="false">R37</f>
        <v>2034</v>
      </c>
      <c r="S60" s="70" t="n">
        <f aca="false">S37</f>
        <v>2035</v>
      </c>
      <c r="T60" s="70" t="n">
        <f aca="false">T37</f>
        <v>2036</v>
      </c>
      <c r="U60" s="70" t="n">
        <f aca="false">U37</f>
        <v>2037</v>
      </c>
      <c r="V60" s="70" t="n">
        <f aca="false">V37</f>
        <v>2038</v>
      </c>
      <c r="W60" s="70" t="n">
        <f aca="false">W37</f>
        <v>2039</v>
      </c>
      <c r="X60" s="70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customFormat="false" ht="18.75" hidden="false" customHeight="true" outlineLevel="0" collapsed="false">
      <c r="B61" s="71" t="n">
        <v>0</v>
      </c>
      <c r="C61" s="72"/>
      <c r="D61" s="73"/>
      <c r="E61" s="73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23" t="s">
        <v>150</v>
      </c>
      <c r="U61" s="75"/>
      <c r="V61" s="75"/>
      <c r="W61" s="75"/>
      <c r="X61" s="77"/>
    </row>
    <row r="62" customFormat="false" ht="18.75" hidden="false" customHeight="true" outlineLevel="0" collapsed="false">
      <c r="B62" s="78" t="s">
        <v>131</v>
      </c>
      <c r="C62" s="79" t="n">
        <v>0</v>
      </c>
      <c r="D62" s="80" t="n">
        <v>1</v>
      </c>
      <c r="E62" s="80" t="n">
        <v>2</v>
      </c>
      <c r="F62" s="80" t="n">
        <v>3</v>
      </c>
      <c r="G62" s="80" t="n">
        <v>4</v>
      </c>
      <c r="H62" s="80" t="n">
        <v>5</v>
      </c>
      <c r="I62" s="80" t="n">
        <v>6</v>
      </c>
      <c r="J62" s="80" t="n">
        <v>7</v>
      </c>
      <c r="K62" s="80" t="n">
        <v>8</v>
      </c>
      <c r="L62" s="80" t="n">
        <v>9</v>
      </c>
      <c r="M62" s="80" t="n">
        <v>10</v>
      </c>
      <c r="N62" s="80" t="n">
        <v>11</v>
      </c>
      <c r="O62" s="80" t="n">
        <v>12</v>
      </c>
      <c r="P62" s="80" t="n">
        <v>13</v>
      </c>
      <c r="Q62" s="80" t="n">
        <v>14</v>
      </c>
      <c r="R62" s="80" t="n">
        <v>15</v>
      </c>
      <c r="S62" s="80" t="n">
        <v>16</v>
      </c>
      <c r="T62" s="124" t="n">
        <v>17</v>
      </c>
      <c r="U62" s="80" t="n">
        <v>18</v>
      </c>
      <c r="V62" s="80" t="n">
        <v>19</v>
      </c>
      <c r="W62" s="80" t="n">
        <v>20</v>
      </c>
      <c r="X62" s="82"/>
    </row>
    <row r="63" customFormat="false" ht="18.75" hidden="false" customHeight="true" outlineLevel="0" collapsed="false">
      <c r="B63" s="83" t="s">
        <v>132</v>
      </c>
      <c r="C63" s="84" t="n">
        <v>0</v>
      </c>
      <c r="D63" s="85" t="n">
        <f aca="false">D40</f>
        <v>541531.98</v>
      </c>
      <c r="E63" s="85" t="n">
        <f aca="false">E40</f>
        <v>539343.972</v>
      </c>
      <c r="F63" s="85" t="n">
        <f aca="false">F40</f>
        <v>537155.964</v>
      </c>
      <c r="G63" s="85" t="n">
        <f aca="false">G40</f>
        <v>534967.956</v>
      </c>
      <c r="H63" s="85" t="n">
        <f aca="false">H40</f>
        <v>532779.948</v>
      </c>
      <c r="I63" s="85" t="n">
        <f aca="false">I40</f>
        <v>530591.94</v>
      </c>
      <c r="J63" s="85" t="n">
        <f aca="false">J40</f>
        <v>528403.932</v>
      </c>
      <c r="K63" s="85" t="n">
        <f aca="false">K40</f>
        <v>526215.924</v>
      </c>
      <c r="L63" s="85" t="n">
        <f aca="false">L40</f>
        <v>524027.916</v>
      </c>
      <c r="M63" s="85" t="n">
        <f aca="false">M40</f>
        <v>521839.908</v>
      </c>
      <c r="N63" s="85" t="n">
        <f aca="false">N40</f>
        <v>519651.9</v>
      </c>
      <c r="O63" s="85" t="n">
        <f aca="false">O40</f>
        <v>517463.892</v>
      </c>
      <c r="P63" s="85" t="n">
        <f aca="false">P40</f>
        <v>515275.884</v>
      </c>
      <c r="Q63" s="85" t="n">
        <f aca="false">Q40</f>
        <v>513087.876</v>
      </c>
      <c r="R63" s="85" t="n">
        <f aca="false">R40</f>
        <v>510899.868</v>
      </c>
      <c r="S63" s="85" t="n">
        <f aca="false">S40</f>
        <v>508711.86</v>
      </c>
      <c r="T63" s="85" t="n">
        <f aca="false">T40</f>
        <v>506523.852</v>
      </c>
      <c r="U63" s="85" t="n">
        <f aca="false">U40</f>
        <v>504335.844</v>
      </c>
      <c r="V63" s="85" t="n">
        <f aca="false">V40</f>
        <v>502147.836</v>
      </c>
      <c r="W63" s="85" t="n">
        <f aca="false">W40</f>
        <v>499959.828</v>
      </c>
      <c r="X63" s="86"/>
    </row>
    <row r="64" customFormat="false" ht="18.75" hidden="false" customHeight="true" outlineLevel="0" collapsed="false">
      <c r="B64" s="87" t="s">
        <v>133</v>
      </c>
      <c r="C64" s="88" t="s">
        <v>4</v>
      </c>
      <c r="D64" s="89" t="n">
        <f aca="false">D41</f>
        <v>2166127.92</v>
      </c>
      <c r="E64" s="89" t="n">
        <f aca="false">E41</f>
        <v>2157375.888</v>
      </c>
      <c r="F64" s="89" t="n">
        <f aca="false">F41</f>
        <v>2148623.856</v>
      </c>
      <c r="G64" s="89" t="n">
        <f aca="false">G41</f>
        <v>2139871.824</v>
      </c>
      <c r="H64" s="89" t="n">
        <f aca="false">H41</f>
        <v>2131119.792</v>
      </c>
      <c r="I64" s="89" t="n">
        <f aca="false">I41</f>
        <v>2122367.76</v>
      </c>
      <c r="J64" s="89" t="n">
        <f aca="false">J41</f>
        <v>2113615.728</v>
      </c>
      <c r="K64" s="89" t="n">
        <f aca="false">K41</f>
        <v>2104863.696</v>
      </c>
      <c r="L64" s="89" t="n">
        <f aca="false">L41</f>
        <v>2096111.664</v>
      </c>
      <c r="M64" s="89" t="n">
        <f aca="false">M41</f>
        <v>2087359.632</v>
      </c>
      <c r="N64" s="89" t="n">
        <f aca="false">N41</f>
        <v>2078607.6</v>
      </c>
      <c r="O64" s="89" t="n">
        <f aca="false">O41</f>
        <v>2069855.568</v>
      </c>
      <c r="P64" s="89" t="n">
        <f aca="false">P41</f>
        <v>2061103.536</v>
      </c>
      <c r="Q64" s="89" t="n">
        <f aca="false">Q41</f>
        <v>2052351.504</v>
      </c>
      <c r="R64" s="89" t="n">
        <f aca="false">R41</f>
        <v>2043599.472</v>
      </c>
      <c r="S64" s="89" t="n">
        <f aca="false">S41</f>
        <v>2034847.44</v>
      </c>
      <c r="T64" s="89" t="n">
        <f aca="false">T41</f>
        <v>2026095.408</v>
      </c>
      <c r="U64" s="89" t="n">
        <f aca="false">U41</f>
        <v>2017343.376</v>
      </c>
      <c r="V64" s="89" t="n">
        <f aca="false">V41</f>
        <v>2008591.344</v>
      </c>
      <c r="W64" s="89" t="n">
        <f aca="false">W41</f>
        <v>1999839.312</v>
      </c>
      <c r="X64" s="90"/>
    </row>
    <row r="65" customFormat="false" ht="18.75" hidden="false" customHeight="true" outlineLevel="0" collapsed="false">
      <c r="B65" s="91" t="s">
        <v>134</v>
      </c>
      <c r="C65" s="92" t="s">
        <v>4</v>
      </c>
      <c r="D65" s="93"/>
      <c r="E65" s="93"/>
      <c r="F65" s="93"/>
      <c r="G65" s="94" t="s">
        <v>4</v>
      </c>
      <c r="H65" s="94" t="s">
        <v>4</v>
      </c>
      <c r="I65" s="94" t="s">
        <v>4</v>
      </c>
      <c r="J65" s="94" t="s">
        <v>4</v>
      </c>
      <c r="K65" s="94" t="s">
        <v>4</v>
      </c>
      <c r="L65" s="94" t="s">
        <v>4</v>
      </c>
      <c r="M65" s="94" t="s">
        <v>4</v>
      </c>
      <c r="N65" s="94" t="s">
        <v>4</v>
      </c>
      <c r="O65" s="94" t="s">
        <v>4</v>
      </c>
      <c r="P65" s="94" t="s">
        <v>4</v>
      </c>
      <c r="Q65" s="94" t="s">
        <v>4</v>
      </c>
      <c r="R65" s="94" t="s">
        <v>4</v>
      </c>
      <c r="S65" s="94" t="s">
        <v>4</v>
      </c>
      <c r="T65" s="94" t="s">
        <v>4</v>
      </c>
      <c r="U65" s="94" t="s">
        <v>4</v>
      </c>
      <c r="V65" s="94" t="s">
        <v>4</v>
      </c>
      <c r="W65" s="94" t="s">
        <v>4</v>
      </c>
      <c r="X65" s="95"/>
    </row>
    <row r="66" customFormat="false" ht="18.75" hidden="false" customHeight="true" outlineLevel="0" collapsed="false">
      <c r="B66" s="96" t="s">
        <v>135</v>
      </c>
      <c r="C66" s="97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customFormat="false" ht="18.75" hidden="false" customHeight="true" outlineLevel="0" collapsed="false">
      <c r="B67" s="100" t="s">
        <v>151</v>
      </c>
      <c r="C67" s="92"/>
      <c r="D67" s="125" t="n">
        <f aca="false">$C$44/$E$16</f>
        <v>-1133860</v>
      </c>
      <c r="E67" s="125" t="n">
        <f aca="false">$C$44/$E$16</f>
        <v>-1133860</v>
      </c>
      <c r="F67" s="125" t="n">
        <f aca="false">$C$44/$E$16</f>
        <v>-1133860</v>
      </c>
      <c r="G67" s="125" t="n">
        <f aca="false">$C$44/$E$16</f>
        <v>-1133860</v>
      </c>
      <c r="H67" s="125" t="n">
        <f aca="false">$C$44/$E$16</f>
        <v>-1133860</v>
      </c>
      <c r="I67" s="125" t="n">
        <f aca="false">$C$44/$E$16</f>
        <v>-1133860</v>
      </c>
      <c r="J67" s="125" t="n">
        <f aca="false">$C$44/$E$16</f>
        <v>-1133860</v>
      </c>
      <c r="K67" s="125" t="n">
        <f aca="false">$C$44/$E$16</f>
        <v>-1133860</v>
      </c>
      <c r="L67" s="125" t="n">
        <f aca="false">$C$44/$E$16</f>
        <v>-1133860</v>
      </c>
      <c r="M67" s="125" t="n">
        <f aca="false">$C$44/$E$16</f>
        <v>-1133860</v>
      </c>
      <c r="N67" s="125" t="n">
        <f aca="false">$C$44/$E$16</f>
        <v>-1133860</v>
      </c>
      <c r="O67" s="125" t="n">
        <f aca="false">$C$44/$E$16</f>
        <v>-1133860</v>
      </c>
      <c r="P67" s="125" t="n">
        <f aca="false">$C$44/$E$16</f>
        <v>-1133860</v>
      </c>
      <c r="Q67" s="125" t="n">
        <f aca="false">$C$44/$E$16</f>
        <v>-1133860</v>
      </c>
      <c r="R67" s="125" t="n">
        <f aca="false">$C$44/$E$16</f>
        <v>-1133860</v>
      </c>
      <c r="S67" s="125" t="n">
        <f aca="false">$C$44/$E$16</f>
        <v>-1133860</v>
      </c>
      <c r="T67" s="125" t="n">
        <f aca="false">$C$44/$E$16</f>
        <v>-1133860</v>
      </c>
      <c r="U67" s="125" t="n">
        <f aca="false">$C$44/$E$16</f>
        <v>-1133860</v>
      </c>
      <c r="V67" s="125" t="n">
        <f aca="false">$C$44/$E$16</f>
        <v>-1133860</v>
      </c>
      <c r="W67" s="125" t="n">
        <f aca="false">$C$44/$E$16</f>
        <v>-1133860</v>
      </c>
      <c r="X67" s="95"/>
    </row>
    <row r="68" customFormat="false" ht="18.75" hidden="false" customHeight="true" outlineLevel="0" collapsed="false">
      <c r="B68" s="100" t="s">
        <v>137</v>
      </c>
      <c r="C68" s="92" t="s">
        <v>4</v>
      </c>
      <c r="D68" s="102" t="n">
        <f aca="false">D44</f>
        <v>0</v>
      </c>
      <c r="E68" s="102" t="n">
        <f aca="false">E45</f>
        <v>-290201</v>
      </c>
      <c r="F68" s="102" t="n">
        <f aca="false">F45</f>
        <v>-290201</v>
      </c>
      <c r="G68" s="102" t="n">
        <f aca="false">G45</f>
        <v>-290201</v>
      </c>
      <c r="H68" s="102" t="n">
        <f aca="false">H45</f>
        <v>-290201</v>
      </c>
      <c r="I68" s="102" t="n">
        <f aca="false">I45</f>
        <v>-290201</v>
      </c>
      <c r="J68" s="102" t="n">
        <f aca="false">J45</f>
        <v>-290201</v>
      </c>
      <c r="K68" s="102" t="n">
        <f aca="false">K45</f>
        <v>-290201</v>
      </c>
      <c r="L68" s="102" t="n">
        <f aca="false">L45</f>
        <v>-290201</v>
      </c>
      <c r="M68" s="102" t="n">
        <f aca="false">M45</f>
        <v>-290201</v>
      </c>
      <c r="N68" s="102" t="n">
        <f aca="false">N45</f>
        <v>-290201</v>
      </c>
      <c r="O68" s="102" t="n">
        <f aca="false">O45</f>
        <v>-290201</v>
      </c>
      <c r="P68" s="102" t="n">
        <f aca="false">P45</f>
        <v>-290201</v>
      </c>
      <c r="Q68" s="102" t="n">
        <f aca="false">Q45</f>
        <v>-290201</v>
      </c>
      <c r="R68" s="102" t="n">
        <f aca="false">R45</f>
        <v>-290201</v>
      </c>
      <c r="S68" s="102" t="n">
        <f aca="false">S45</f>
        <v>-290201</v>
      </c>
      <c r="T68" s="102" t="n">
        <f aca="false">T45</f>
        <v>-290201</v>
      </c>
      <c r="U68" s="102" t="n">
        <f aca="false">U45</f>
        <v>-290201</v>
      </c>
      <c r="V68" s="102" t="n">
        <f aca="false">V45</f>
        <v>-290201</v>
      </c>
      <c r="W68" s="102" t="n">
        <f aca="false">W45</f>
        <v>-290201</v>
      </c>
      <c r="X68" s="95"/>
    </row>
    <row r="69" customFormat="false" ht="18.75" hidden="false" customHeight="true" outlineLevel="0" collapsed="false">
      <c r="B69" s="100" t="s">
        <v>138</v>
      </c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  <row r="70" customFormat="false" ht="18.75" hidden="false" customHeight="true" outlineLevel="0" collapsed="false">
      <c r="B70" s="100" t="s">
        <v>139</v>
      </c>
      <c r="C70" s="92" t="s">
        <v>4</v>
      </c>
      <c r="D70" s="102" t="n">
        <f aca="false">-D109*$D25</f>
        <v>-464429.056</v>
      </c>
      <c r="E70" s="102" t="n">
        <f aca="false">-E109*$D25</f>
        <v>-433467.118933333</v>
      </c>
      <c r="F70" s="102" t="n">
        <f aca="false">-F109*$D25</f>
        <v>-402505.181866667</v>
      </c>
      <c r="G70" s="102" t="n">
        <f aca="false">-G109*$D25</f>
        <v>-371543.2448</v>
      </c>
      <c r="H70" s="102" t="n">
        <f aca="false">-H109*$D25</f>
        <v>-340581.307733333</v>
      </c>
      <c r="I70" s="102" t="n">
        <f aca="false">-I109*$D25</f>
        <v>-309619.370666667</v>
      </c>
      <c r="J70" s="102" t="n">
        <f aca="false">-J109*$D25</f>
        <v>-278657.4336</v>
      </c>
      <c r="K70" s="102" t="n">
        <f aca="false">-K109*$D25</f>
        <v>-247695.496533333</v>
      </c>
      <c r="L70" s="102" t="n">
        <f aca="false">-L109*$D25</f>
        <v>-216733.559466666</v>
      </c>
      <c r="M70" s="102" t="n">
        <f aca="false">-M109*$D25</f>
        <v>-185771.6224</v>
      </c>
      <c r="N70" s="102" t="n">
        <f aca="false">-N109*$D25</f>
        <v>-154809.685333333</v>
      </c>
      <c r="O70" s="102" t="n">
        <f aca="false">-O109*$D25</f>
        <v>-123847.748266666</v>
      </c>
      <c r="P70" s="102" t="n">
        <f aca="false">-P109*$D25</f>
        <v>-92885.8111999997</v>
      </c>
      <c r="Q70" s="102" t="n">
        <f aca="false">-Q109*$D25</f>
        <v>-61923.874133333</v>
      </c>
      <c r="R70" s="102" t="n">
        <f aca="false">-R109*$D25</f>
        <v>-30961.9370666664</v>
      </c>
      <c r="S70" s="102" t="n">
        <f aca="false">-S109*$D25</f>
        <v>3.09944152832031E-010</v>
      </c>
      <c r="T70" s="102" t="n">
        <f aca="false">-T109*$D25</f>
        <v>3.09944152832031E-010</v>
      </c>
      <c r="U70" s="102" t="n">
        <f aca="false">-U109*$D25</f>
        <v>3.09944152832031E-010</v>
      </c>
      <c r="V70" s="102" t="n">
        <f aca="false">-V109*$D25</f>
        <v>3.09944152832031E-010</v>
      </c>
      <c r="W70" s="102" t="n">
        <f aca="false">-W109*$D25</f>
        <v>3.09944152832031E-010</v>
      </c>
      <c r="X70" s="95"/>
    </row>
    <row r="71" customFormat="false" ht="18.75" hidden="false" customHeight="true" outlineLevel="0" collapsed="false">
      <c r="B71" s="100" t="s">
        <v>140</v>
      </c>
      <c r="C71" s="92" t="s">
        <v>4</v>
      </c>
      <c r="D71" s="102" t="n">
        <f aca="false">D48</f>
        <v>-174440</v>
      </c>
      <c r="E71" s="102" t="n">
        <f aca="false">E48</f>
        <v>-174440</v>
      </c>
      <c r="F71" s="102" t="n">
        <f aca="false">F48</f>
        <v>-174440</v>
      </c>
      <c r="G71" s="102" t="n">
        <f aca="false">G48</f>
        <v>-174440</v>
      </c>
      <c r="H71" s="102" t="n">
        <f aca="false">H48</f>
        <v>-174440</v>
      </c>
      <c r="I71" s="102" t="n">
        <f aca="false">I48</f>
        <v>-174440</v>
      </c>
      <c r="J71" s="102" t="n">
        <f aca="false">J48</f>
        <v>-174440</v>
      </c>
      <c r="K71" s="102" t="n">
        <f aca="false">K48</f>
        <v>-174440</v>
      </c>
      <c r="L71" s="102" t="n">
        <f aca="false">L48</f>
        <v>-174440</v>
      </c>
      <c r="M71" s="102" t="n">
        <f aca="false">M48</f>
        <v>-174440</v>
      </c>
      <c r="N71" s="102" t="n">
        <f aca="false">N48</f>
        <v>-174440</v>
      </c>
      <c r="O71" s="102" t="n">
        <f aca="false">O48</f>
        <v>-174440</v>
      </c>
      <c r="P71" s="102" t="n">
        <f aca="false">P48</f>
        <v>-174440</v>
      </c>
      <c r="Q71" s="102" t="n">
        <f aca="false">Q48</f>
        <v>-174440</v>
      </c>
      <c r="R71" s="102" t="n">
        <f aca="false">R48</f>
        <v>-174440</v>
      </c>
      <c r="S71" s="102" t="n">
        <f aca="false">S48</f>
        <v>-174440</v>
      </c>
      <c r="T71" s="102" t="n">
        <f aca="false">T48</f>
        <v>-174440</v>
      </c>
      <c r="U71" s="102" t="n">
        <f aca="false">U48</f>
        <v>-174440</v>
      </c>
      <c r="V71" s="102" t="n">
        <f aca="false">V48</f>
        <v>-174440</v>
      </c>
      <c r="W71" s="102" t="n">
        <f aca="false">W48</f>
        <v>-174440</v>
      </c>
      <c r="X71" s="95"/>
    </row>
    <row r="72" customFormat="false" ht="18.75" hidden="false" customHeight="true" outlineLevel="0" collapsed="false">
      <c r="B72" s="100" t="s">
        <v>141</v>
      </c>
      <c r="C72" s="92" t="s">
        <v>4</v>
      </c>
      <c r="D72" s="102" t="n">
        <f aca="false">D49</f>
        <v>-45790.5</v>
      </c>
      <c r="E72" s="102" t="n">
        <f aca="false">E49</f>
        <v>-45790.5</v>
      </c>
      <c r="F72" s="102" t="n">
        <f aca="false">F49</f>
        <v>-45790.5</v>
      </c>
      <c r="G72" s="102" t="n">
        <f aca="false">G49</f>
        <v>-45790.5</v>
      </c>
      <c r="H72" s="102" t="n">
        <f aca="false">H49</f>
        <v>-45790.5</v>
      </c>
      <c r="I72" s="102" t="n">
        <f aca="false">I49</f>
        <v>-45790.5</v>
      </c>
      <c r="J72" s="102" t="n">
        <f aca="false">J49</f>
        <v>-45790.5</v>
      </c>
      <c r="K72" s="102" t="n">
        <f aca="false">K49</f>
        <v>-45790.5</v>
      </c>
      <c r="L72" s="102" t="n">
        <f aca="false">L49</f>
        <v>-45790.5</v>
      </c>
      <c r="M72" s="102" t="n">
        <f aca="false">M49</f>
        <v>-45790.5</v>
      </c>
      <c r="N72" s="102" t="n">
        <f aca="false">N49</f>
        <v>-45790.5</v>
      </c>
      <c r="O72" s="102" t="n">
        <f aca="false">O49</f>
        <v>-45790.5</v>
      </c>
      <c r="P72" s="102" t="n">
        <f aca="false">P49</f>
        <v>-45790.5</v>
      </c>
      <c r="Q72" s="102" t="n">
        <f aca="false">Q49</f>
        <v>-45790.5</v>
      </c>
      <c r="R72" s="102" t="n">
        <f aca="false">R49</f>
        <v>-45790.5</v>
      </c>
      <c r="S72" s="102" t="n">
        <f aca="false">S49</f>
        <v>-45790.5</v>
      </c>
      <c r="T72" s="102" t="n">
        <f aca="false">T49</f>
        <v>-45790.5</v>
      </c>
      <c r="U72" s="102" t="n">
        <f aca="false">U49</f>
        <v>-45790.5</v>
      </c>
      <c r="V72" s="102" t="n">
        <f aca="false">V49</f>
        <v>-45790.5</v>
      </c>
      <c r="W72" s="102" t="n">
        <f aca="false">W49</f>
        <v>-45790.5</v>
      </c>
      <c r="X72" s="95"/>
    </row>
    <row r="73" customFormat="false" ht="18.75" hidden="false" customHeight="true" outlineLevel="0" collapsed="false">
      <c r="B73" s="100" t="s">
        <v>142</v>
      </c>
      <c r="C73" s="92"/>
      <c r="D73" s="102" t="n">
        <f aca="false">D50</f>
        <v>-43610</v>
      </c>
      <c r="E73" s="102" t="n">
        <f aca="false">E50</f>
        <v>-43610</v>
      </c>
      <c r="F73" s="102" t="n">
        <f aca="false">F50</f>
        <v>-43610</v>
      </c>
      <c r="G73" s="102" t="n">
        <f aca="false">G50</f>
        <v>-43610</v>
      </c>
      <c r="H73" s="102" t="n">
        <f aca="false">H50</f>
        <v>-43610</v>
      </c>
      <c r="I73" s="102" t="n">
        <f aca="false">I50</f>
        <v>-43610</v>
      </c>
      <c r="J73" s="102" t="n">
        <f aca="false">J50</f>
        <v>-43610</v>
      </c>
      <c r="K73" s="102" t="n">
        <f aca="false">K50</f>
        <v>-43610</v>
      </c>
      <c r="L73" s="102" t="n">
        <f aca="false">L50</f>
        <v>-43610</v>
      </c>
      <c r="M73" s="102" t="n">
        <f aca="false">M50</f>
        <v>-43610</v>
      </c>
      <c r="N73" s="102" t="n">
        <f aca="false">N50</f>
        <v>0</v>
      </c>
      <c r="O73" s="102" t="n">
        <f aca="false">O50</f>
        <v>0</v>
      </c>
      <c r="P73" s="102" t="n">
        <f aca="false">P50</f>
        <v>0</v>
      </c>
      <c r="Q73" s="102" t="n">
        <f aca="false">Q50</f>
        <v>0</v>
      </c>
      <c r="R73" s="102" t="n">
        <f aca="false">R50</f>
        <v>0</v>
      </c>
      <c r="S73" s="102" t="n">
        <f aca="false">S50</f>
        <v>0</v>
      </c>
      <c r="T73" s="102" t="n">
        <f aca="false">T50</f>
        <v>0</v>
      </c>
      <c r="U73" s="102" t="n">
        <f aca="false">U50</f>
        <v>0</v>
      </c>
      <c r="V73" s="102" t="n">
        <f aca="false">V50</f>
        <v>0</v>
      </c>
      <c r="W73" s="102" t="n">
        <f aca="false">W50</f>
        <v>0</v>
      </c>
      <c r="X73" s="95"/>
    </row>
    <row r="74" customFormat="false" ht="18.75" hidden="false" customHeight="true" outlineLevel="0" collapsed="false">
      <c r="B74" s="100" t="s">
        <v>143</v>
      </c>
      <c r="C74" s="103"/>
      <c r="D74" s="126"/>
      <c r="E74" s="127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5"/>
    </row>
    <row r="75" customFormat="false" ht="18.75" hidden="false" customHeight="true" outlineLevel="0" collapsed="false">
      <c r="B75" s="100" t="s">
        <v>144</v>
      </c>
      <c r="C75" s="10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5"/>
    </row>
    <row r="76" customFormat="false" ht="18.75" hidden="false" customHeight="true" outlineLevel="0" collapsed="false">
      <c r="B76" s="105" t="s">
        <v>152</v>
      </c>
      <c r="C76" s="128"/>
      <c r="D76" s="107" t="n">
        <f aca="false">SUM(D64:D75)</f>
        <v>303998.364</v>
      </c>
      <c r="E76" s="107" t="n">
        <f aca="false">SUM(E64:E75)</f>
        <v>36007.2690666665</v>
      </c>
      <c r="F76" s="107" t="n">
        <f aca="false">SUM(F64:F75)</f>
        <v>58217.1741333335</v>
      </c>
      <c r="G76" s="107" t="n">
        <f aca="false">SUM(G64:G75)</f>
        <v>80427.0792000001</v>
      </c>
      <c r="H76" s="107" t="n">
        <f aca="false">SUM(H64:H75)</f>
        <v>102636.984266667</v>
      </c>
      <c r="I76" s="107" t="n">
        <f aca="false">SUM(I64:I75)</f>
        <v>124846.889333333</v>
      </c>
      <c r="J76" s="107" t="n">
        <f aca="false">SUM(J64:J75)</f>
        <v>147056.7944</v>
      </c>
      <c r="K76" s="107" t="n">
        <f aca="false">SUM(K64:K75)</f>
        <v>169266.699466667</v>
      </c>
      <c r="L76" s="107" t="n">
        <f aca="false">SUM(L64:L75)</f>
        <v>191476.604533333</v>
      </c>
      <c r="M76" s="107" t="n">
        <f aca="false">SUM(M64:M75)</f>
        <v>213686.5096</v>
      </c>
      <c r="N76" s="107" t="n">
        <f aca="false">SUM(N64:N75)</f>
        <v>279506.414666667</v>
      </c>
      <c r="O76" s="107" t="n">
        <f aca="false">SUM(O64:O75)</f>
        <v>301716.319733334</v>
      </c>
      <c r="P76" s="107" t="n">
        <f aca="false">SUM(P64:P75)</f>
        <v>323926.2248</v>
      </c>
      <c r="Q76" s="107" t="n">
        <f aca="false">SUM(Q64:Q75)</f>
        <v>346136.129866667</v>
      </c>
      <c r="R76" s="107" t="n">
        <f aca="false">SUM(R64:R75)</f>
        <v>368346.034933333</v>
      </c>
      <c r="S76" s="107" t="n">
        <f aca="false">SUM(S64:S75)</f>
        <v>390555.94</v>
      </c>
      <c r="T76" s="107" t="n">
        <f aca="false">SUM(T64:T75)</f>
        <v>381803.908</v>
      </c>
      <c r="U76" s="107" t="n">
        <f aca="false">SUM(U64:U75)</f>
        <v>373051.876</v>
      </c>
      <c r="V76" s="107" t="n">
        <f aca="false">SUM(V64:V75)</f>
        <v>364299.844</v>
      </c>
      <c r="W76" s="107" t="n">
        <f aca="false">SUM(W64:W75)</f>
        <v>355547.812</v>
      </c>
      <c r="X76" s="107" t="n">
        <f aca="false">SUM(X64:X75)</f>
        <v>0</v>
      </c>
    </row>
    <row r="77" customFormat="false" ht="18.75" hidden="false" customHeight="true" outlineLevel="0" collapsed="false">
      <c r="B77" s="104" t="s">
        <v>146</v>
      </c>
      <c r="C77" s="103"/>
      <c r="D77" s="102" t="n">
        <f aca="false">-D76*0.2</f>
        <v>-60799.6728</v>
      </c>
      <c r="E77" s="102" t="n">
        <f aca="false">-E76*0.2</f>
        <v>-7201.4538133333</v>
      </c>
      <c r="F77" s="102" t="n">
        <f aca="false">-F76*0.2</f>
        <v>-11643.4348266667</v>
      </c>
      <c r="G77" s="102" t="n">
        <f aca="false">-G76*0.2</f>
        <v>-16085.41584</v>
      </c>
      <c r="H77" s="102" t="n">
        <f aca="false">-H76*0.2</f>
        <v>-20527.3968533333</v>
      </c>
      <c r="I77" s="102" t="n">
        <f aca="false">-I76*0.2</f>
        <v>-24969.3778666666</v>
      </c>
      <c r="J77" s="102" t="n">
        <f aca="false">-J76*0.2</f>
        <v>-29411.3588800001</v>
      </c>
      <c r="K77" s="102" t="n">
        <f aca="false">-K76*0.2</f>
        <v>-33853.3398933334</v>
      </c>
      <c r="L77" s="102" t="n">
        <f aca="false">-L76*0.2</f>
        <v>-38295.3209066667</v>
      </c>
      <c r="M77" s="102" t="n">
        <f aca="false">-M76*0.2</f>
        <v>-42737.3019200001</v>
      </c>
      <c r="N77" s="102" t="n">
        <f aca="false">-N76*0.2</f>
        <v>-55901.2829333334</v>
      </c>
      <c r="O77" s="102" t="n">
        <f aca="false">-O76*0.2</f>
        <v>-60343.2639466667</v>
      </c>
      <c r="P77" s="102" t="n">
        <f aca="false">-P76*0.2</f>
        <v>-64785.24496</v>
      </c>
      <c r="Q77" s="102" t="n">
        <f aca="false">-Q76*0.2</f>
        <v>-69227.2259733334</v>
      </c>
      <c r="R77" s="102" t="n">
        <f aca="false">-R76*0.2</f>
        <v>-73669.2069866667</v>
      </c>
      <c r="S77" s="102" t="n">
        <f aca="false">-S76*0.2</f>
        <v>-78111.1880000001</v>
      </c>
      <c r="T77" s="102" t="n">
        <f aca="false">-T76*0.2</f>
        <v>-76360.7816</v>
      </c>
      <c r="U77" s="102" t="n">
        <f aca="false">-U76*0.2</f>
        <v>-74610.3752000001</v>
      </c>
      <c r="V77" s="102" t="n">
        <f aca="false">-V76*0.2</f>
        <v>-72859.9688</v>
      </c>
      <c r="W77" s="102" t="n">
        <f aca="false">-W76*0.2</f>
        <v>-71109.5624</v>
      </c>
      <c r="X77" s="102" t="n">
        <f aca="false">-X76*0.2</f>
        <v>-0</v>
      </c>
    </row>
    <row r="78" customFormat="false" ht="15.75" hidden="false" customHeight="true" outlineLevel="0" collapsed="false">
      <c r="B78" s="129" t="s">
        <v>153</v>
      </c>
      <c r="D78" s="102" t="n">
        <f aca="false">SUM(D76:D77)</f>
        <v>243198.6912</v>
      </c>
      <c r="E78" s="102" t="n">
        <f aca="false">SUM(E76:E77)</f>
        <v>28805.8152533332</v>
      </c>
      <c r="F78" s="102" t="n">
        <f aca="false">SUM(F76:F77)</f>
        <v>46573.7393066668</v>
      </c>
      <c r="G78" s="102" t="n">
        <f aca="false">SUM(G76:G77)</f>
        <v>64341.6633600001</v>
      </c>
      <c r="H78" s="102" t="n">
        <f aca="false">SUM(H76:H77)</f>
        <v>82109.5874133334</v>
      </c>
      <c r="I78" s="102" t="n">
        <f aca="false">SUM(I76:I77)</f>
        <v>99877.5114666666</v>
      </c>
      <c r="J78" s="102" t="n">
        <f aca="false">SUM(J76:J77)</f>
        <v>117645.43552</v>
      </c>
      <c r="K78" s="102" t="n">
        <f aca="false">SUM(K76:K77)</f>
        <v>135413.359573334</v>
      </c>
      <c r="L78" s="102" t="n">
        <f aca="false">SUM(L76:L77)</f>
        <v>153181.283626667</v>
      </c>
      <c r="M78" s="102" t="n">
        <f aca="false">SUM(M76:M77)</f>
        <v>170949.20768</v>
      </c>
      <c r="N78" s="102" t="n">
        <f aca="false">SUM(N76:N77)</f>
        <v>223605.131733333</v>
      </c>
      <c r="O78" s="102" t="n">
        <f aca="false">SUM(O76:O77)</f>
        <v>241373.055786667</v>
      </c>
      <c r="P78" s="102" t="n">
        <f aca="false">SUM(P76:P77)</f>
        <v>259140.97984</v>
      </c>
      <c r="Q78" s="102" t="n">
        <f aca="false">SUM(Q76:Q77)</f>
        <v>276908.903893334</v>
      </c>
      <c r="R78" s="102" t="n">
        <f aca="false">SUM(R76:R77)</f>
        <v>294676.827946667</v>
      </c>
      <c r="S78" s="102" t="n">
        <f aca="false">SUM(S76:S77)</f>
        <v>312444.752</v>
      </c>
      <c r="T78" s="102" t="n">
        <f aca="false">SUM(T76:T77)</f>
        <v>305443.1264</v>
      </c>
      <c r="U78" s="102" t="n">
        <f aca="false">SUM(U76:U77)</f>
        <v>298441.5008</v>
      </c>
      <c r="V78" s="102" t="n">
        <f aca="false">SUM(V76:V77)</f>
        <v>291439.8752</v>
      </c>
      <c r="W78" s="102" t="n">
        <f aca="false">SUM(W76:W77)</f>
        <v>284438.2496</v>
      </c>
      <c r="X78" s="102" t="n">
        <f aca="false">SUM(X76:X77)</f>
        <v>0</v>
      </c>
    </row>
    <row r="79" customFormat="false" ht="18.75" hidden="false" customHeight="true" outlineLevel="0" collapsed="false">
      <c r="B79" s="111" t="s">
        <v>148</v>
      </c>
      <c r="C79" s="114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1"/>
    </row>
    <row r="80" customFormat="false" ht="18.75" hidden="false" customHeight="true" outlineLevel="0" collapsed="false">
      <c r="B80" s="132" t="s">
        <v>149</v>
      </c>
      <c r="C80" s="133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5"/>
    </row>
    <row r="81" customFormat="false" ht="18.75" hidden="false" customHeight="true" outlineLevel="0" collapsed="false">
      <c r="B81" s="120"/>
      <c r="C81" s="119"/>
      <c r="D81" s="119"/>
      <c r="E81" s="119"/>
      <c r="F81" s="120"/>
      <c r="G81" s="120"/>
      <c r="H81" s="120"/>
      <c r="I81" s="120"/>
      <c r="J81" s="120"/>
      <c r="K81" s="120"/>
      <c r="L81" s="120"/>
      <c r="M81" s="119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</row>
    <row r="82" customFormat="false" ht="18.75" hidden="false" customHeight="true" outlineLevel="0" collapsed="false">
      <c r="C82" s="136" t="s">
        <v>130</v>
      </c>
      <c r="D82" s="137" t="n">
        <f aca="false">D37</f>
        <v>2020</v>
      </c>
      <c r="E82" s="137" t="n">
        <f aca="false">E37</f>
        <v>2021</v>
      </c>
      <c r="F82" s="137" t="n">
        <f aca="false">F37</f>
        <v>2022</v>
      </c>
      <c r="G82" s="137" t="n">
        <f aca="false">G37</f>
        <v>2023</v>
      </c>
      <c r="H82" s="137" t="n">
        <f aca="false">H37</f>
        <v>2024</v>
      </c>
      <c r="I82" s="137" t="n">
        <f aca="false">I37</f>
        <v>2025</v>
      </c>
      <c r="J82" s="137" t="n">
        <f aca="false">J37</f>
        <v>2026</v>
      </c>
      <c r="K82" s="137" t="n">
        <f aca="false">K37</f>
        <v>2027</v>
      </c>
      <c r="L82" s="137" t="n">
        <f aca="false">L37</f>
        <v>2028</v>
      </c>
      <c r="M82" s="137" t="n">
        <f aca="false">M37</f>
        <v>2029</v>
      </c>
      <c r="N82" s="137" t="n">
        <f aca="false">N37</f>
        <v>2030</v>
      </c>
      <c r="O82" s="137" t="n">
        <f aca="false">O37</f>
        <v>2031</v>
      </c>
      <c r="P82" s="137" t="n">
        <f aca="false">P37</f>
        <v>2032</v>
      </c>
      <c r="Q82" s="137" t="n">
        <f aca="false">Q37</f>
        <v>2033</v>
      </c>
      <c r="R82" s="137" t="n">
        <f aca="false">R37</f>
        <v>2034</v>
      </c>
      <c r="S82" s="137" t="n">
        <f aca="false">S37</f>
        <v>2035</v>
      </c>
      <c r="T82" s="137" t="n">
        <f aca="false">T37</f>
        <v>2036</v>
      </c>
      <c r="U82" s="137" t="n">
        <f aca="false">U37</f>
        <v>2037</v>
      </c>
      <c r="V82" s="137" t="n">
        <f aca="false">V37</f>
        <v>2038</v>
      </c>
      <c r="W82" s="137" t="n">
        <f aca="false">W37</f>
        <v>2039</v>
      </c>
      <c r="X82" s="12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138" t="s">
        <v>131</v>
      </c>
      <c r="C84" s="138" t="n">
        <v>0</v>
      </c>
      <c r="D84" s="138" t="n">
        <v>1</v>
      </c>
      <c r="E84" s="138" t="n">
        <v>2</v>
      </c>
      <c r="F84" s="138" t="n">
        <v>3</v>
      </c>
      <c r="G84" s="138" t="n">
        <v>4</v>
      </c>
      <c r="H84" s="138" t="n">
        <v>5</v>
      </c>
      <c r="I84" s="138" t="n">
        <v>6</v>
      </c>
      <c r="J84" s="138" t="n">
        <v>7</v>
      </c>
      <c r="K84" s="138" t="n">
        <v>8</v>
      </c>
      <c r="L84" s="138" t="n">
        <v>9</v>
      </c>
      <c r="M84" s="138" t="n">
        <v>10</v>
      </c>
      <c r="N84" s="138" t="n">
        <v>11</v>
      </c>
      <c r="O84" s="138" t="n">
        <v>12</v>
      </c>
      <c r="P84" s="138" t="n">
        <v>13</v>
      </c>
      <c r="Q84" s="138" t="n">
        <v>14</v>
      </c>
      <c r="R84" s="138" t="n">
        <v>15</v>
      </c>
      <c r="S84" s="138" t="n">
        <v>16</v>
      </c>
      <c r="T84" s="138" t="n">
        <v>17</v>
      </c>
      <c r="U84" s="138" t="n">
        <v>18</v>
      </c>
      <c r="V84" s="138" t="n">
        <v>19</v>
      </c>
      <c r="W84" s="138" t="n">
        <v>20</v>
      </c>
      <c r="X84" s="139"/>
    </row>
    <row r="85" customFormat="false" ht="18.75" hidden="false" customHeight="true" outlineLevel="0" collapsed="false">
      <c r="B85" s="140" t="s">
        <v>153</v>
      </c>
      <c r="C85" s="140"/>
      <c r="D85" s="141" t="n">
        <f aca="false">D78</f>
        <v>243198.6912</v>
      </c>
      <c r="E85" s="141" t="n">
        <f aca="false">E78</f>
        <v>28805.8152533332</v>
      </c>
      <c r="F85" s="141" t="n">
        <f aca="false">F78</f>
        <v>46573.7393066668</v>
      </c>
      <c r="G85" s="141" t="n">
        <f aca="false">G78</f>
        <v>64341.6633600001</v>
      </c>
      <c r="H85" s="141" t="n">
        <f aca="false">H78</f>
        <v>82109.5874133334</v>
      </c>
      <c r="I85" s="141" t="n">
        <f aca="false">I78</f>
        <v>99877.5114666666</v>
      </c>
      <c r="J85" s="141" t="n">
        <f aca="false">J78</f>
        <v>117645.43552</v>
      </c>
      <c r="K85" s="141" t="n">
        <f aca="false">K78</f>
        <v>135413.359573334</v>
      </c>
      <c r="L85" s="141" t="n">
        <f aca="false">L78</f>
        <v>153181.283626667</v>
      </c>
      <c r="M85" s="141" t="n">
        <f aca="false">M78</f>
        <v>170949.20768</v>
      </c>
      <c r="N85" s="141" t="n">
        <f aca="false">N78</f>
        <v>223605.131733333</v>
      </c>
      <c r="O85" s="141" t="n">
        <f aca="false">O78</f>
        <v>241373.055786667</v>
      </c>
      <c r="P85" s="141" t="n">
        <f aca="false">P78</f>
        <v>259140.97984</v>
      </c>
      <c r="Q85" s="141" t="n">
        <f aca="false">Q78</f>
        <v>276908.903893334</v>
      </c>
      <c r="R85" s="141" t="n">
        <f aca="false">R78</f>
        <v>294676.827946667</v>
      </c>
      <c r="S85" s="141" t="n">
        <f aca="false">S78</f>
        <v>312444.752</v>
      </c>
      <c r="T85" s="141" t="n">
        <f aca="false">T78</f>
        <v>305443.1264</v>
      </c>
      <c r="U85" s="141" t="n">
        <f aca="false">U78</f>
        <v>298441.5008</v>
      </c>
      <c r="V85" s="141" t="n">
        <f aca="false">V78</f>
        <v>291439.8752</v>
      </c>
      <c r="W85" s="141" t="n">
        <f aca="false">W78</f>
        <v>284438.2496</v>
      </c>
      <c r="X85" s="140"/>
      <c r="Y85" s="140"/>
    </row>
    <row r="86" customFormat="false" ht="15.75" hidden="false" customHeight="true" outlineLevel="0" collapsed="false">
      <c r="B86" s="140" t="s">
        <v>154</v>
      </c>
      <c r="C86" s="140"/>
      <c r="D86" s="142" t="n">
        <f aca="false">-D67</f>
        <v>1133860</v>
      </c>
      <c r="E86" s="142" t="n">
        <f aca="false">-E67</f>
        <v>1133860</v>
      </c>
      <c r="F86" s="142" t="n">
        <f aca="false">-F67</f>
        <v>1133860</v>
      </c>
      <c r="G86" s="142" t="n">
        <f aca="false">-G67</f>
        <v>1133860</v>
      </c>
      <c r="H86" s="142" t="n">
        <f aca="false">-H67</f>
        <v>1133860</v>
      </c>
      <c r="I86" s="142" t="n">
        <f aca="false">-I67</f>
        <v>1133860</v>
      </c>
      <c r="J86" s="142" t="n">
        <f aca="false">-J67</f>
        <v>1133860</v>
      </c>
      <c r="K86" s="142" t="n">
        <f aca="false">-K67</f>
        <v>1133860</v>
      </c>
      <c r="L86" s="142" t="n">
        <f aca="false">-L67</f>
        <v>1133860</v>
      </c>
      <c r="M86" s="142" t="n">
        <f aca="false">-M67</f>
        <v>1133860</v>
      </c>
      <c r="N86" s="142" t="n">
        <f aca="false">-N67</f>
        <v>1133860</v>
      </c>
      <c r="O86" s="142" t="n">
        <f aca="false">-O67</f>
        <v>1133860</v>
      </c>
      <c r="P86" s="142" t="n">
        <f aca="false">-P67</f>
        <v>1133860</v>
      </c>
      <c r="Q86" s="142" t="n">
        <f aca="false">-Q67</f>
        <v>1133860</v>
      </c>
      <c r="R86" s="142" t="n">
        <f aca="false">-R67</f>
        <v>1133860</v>
      </c>
      <c r="S86" s="142" t="n">
        <f aca="false">-S67</f>
        <v>1133860</v>
      </c>
      <c r="T86" s="142" t="n">
        <f aca="false">-T67</f>
        <v>1133860</v>
      </c>
      <c r="U86" s="142" t="n">
        <f aca="false">-U67</f>
        <v>1133860</v>
      </c>
      <c r="V86" s="142" t="n">
        <f aca="false">-V67</f>
        <v>1133860</v>
      </c>
      <c r="W86" s="142" t="n">
        <f aca="false">-W67</f>
        <v>1133860</v>
      </c>
      <c r="X86" s="143"/>
      <c r="Y86" s="143"/>
    </row>
    <row r="87" customFormat="false" ht="15.75" hidden="false" customHeight="true" outlineLevel="0" collapsed="false">
      <c r="B87" s="140" t="s">
        <v>155</v>
      </c>
      <c r="C87" s="140"/>
      <c r="D87" s="144" t="n">
        <f aca="false">SUM(D85:D86)</f>
        <v>1377058.6912</v>
      </c>
      <c r="E87" s="144" t="n">
        <f aca="false">SUM(E85:E86)</f>
        <v>1162665.81525333</v>
      </c>
      <c r="F87" s="144" t="n">
        <f aca="false">SUM(F85:F86)</f>
        <v>1180433.73930667</v>
      </c>
      <c r="G87" s="144" t="n">
        <f aca="false">SUM(G85:G86)</f>
        <v>1198201.66336</v>
      </c>
      <c r="H87" s="144" t="n">
        <f aca="false">SUM(H85:H86)</f>
        <v>1215969.58741333</v>
      </c>
      <c r="I87" s="144" t="n">
        <f aca="false">SUM(I85:I86)</f>
        <v>1233737.51146667</v>
      </c>
      <c r="J87" s="144" t="n">
        <f aca="false">SUM(J85:J86)</f>
        <v>1251505.43552</v>
      </c>
      <c r="K87" s="144" t="n">
        <f aca="false">SUM(K85:K86)</f>
        <v>1269273.35957333</v>
      </c>
      <c r="L87" s="144" t="n">
        <f aca="false">SUM(L85:L86)</f>
        <v>1287041.28362667</v>
      </c>
      <c r="M87" s="144" t="n">
        <f aca="false">SUM(M85:M86)</f>
        <v>1304809.20768</v>
      </c>
      <c r="N87" s="144" t="n">
        <f aca="false">SUM(N85:N86)</f>
        <v>1357465.13173333</v>
      </c>
      <c r="O87" s="144" t="n">
        <f aca="false">SUM(O85:O86)</f>
        <v>1375233.05578667</v>
      </c>
      <c r="P87" s="144" t="n">
        <f aca="false">SUM(P85:P86)</f>
        <v>1393000.97984</v>
      </c>
      <c r="Q87" s="144" t="n">
        <f aca="false">SUM(Q85:Q86)</f>
        <v>1410768.90389333</v>
      </c>
      <c r="R87" s="144" t="n">
        <f aca="false">SUM(R85:R86)</f>
        <v>1428536.82794667</v>
      </c>
      <c r="S87" s="144" t="n">
        <f aca="false">SUM(S85:S86)</f>
        <v>1446304.752</v>
      </c>
      <c r="T87" s="144" t="n">
        <f aca="false">SUM(T85:T86)</f>
        <v>1439303.1264</v>
      </c>
      <c r="U87" s="144" t="n">
        <f aca="false">SUM(U85:U86)</f>
        <v>1432301.5008</v>
      </c>
      <c r="V87" s="144" t="n">
        <f aca="false">SUM(V85:V86)</f>
        <v>1425299.8752</v>
      </c>
      <c r="W87" s="144" t="n">
        <f aca="false">SUM(W85:W86)</f>
        <v>1418298.2496</v>
      </c>
      <c r="X87" s="110"/>
    </row>
    <row r="88" customFormat="false" ht="15.75" hidden="false" customHeight="true" outlineLevel="0" collapsed="false">
      <c r="B88" s="140"/>
      <c r="C88" s="140"/>
      <c r="D88" s="140"/>
      <c r="E88" s="140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9"/>
    </row>
    <row r="89" customFormat="false" ht="15.75" hidden="false" customHeight="true" outlineLevel="0" collapsed="false">
      <c r="B89" s="146" t="s">
        <v>156</v>
      </c>
      <c r="C89" s="147"/>
      <c r="D89" s="148" t="n">
        <f aca="false">C44</f>
        <v>-22677200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9"/>
    </row>
    <row r="90" customFormat="false" ht="15.75" hidden="false" customHeight="true" outlineLevel="0" collapsed="false">
      <c r="B90" s="140"/>
      <c r="C90" s="140"/>
      <c r="D90" s="140"/>
      <c r="E90" s="140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9"/>
    </row>
    <row r="91" customFormat="false" ht="15.75" hidden="false" customHeight="true" outlineLevel="0" collapsed="false">
      <c r="B91" s="140"/>
      <c r="C91" s="140"/>
      <c r="D91" s="140"/>
      <c r="E91" s="140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9"/>
    </row>
    <row r="92" customFormat="false" ht="15.75" hidden="false" customHeight="true" outlineLevel="0" collapsed="false">
      <c r="B92" s="146" t="s">
        <v>157</v>
      </c>
      <c r="C92" s="147"/>
      <c r="D92" s="148" t="n">
        <f aca="false">-D89*D31</f>
        <v>18141760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09"/>
    </row>
    <row r="93" customFormat="false" ht="15.75" hidden="false" customHeight="true" outlineLevel="0" collapsed="false">
      <c r="B93" s="140" t="s">
        <v>158</v>
      </c>
      <c r="C93" s="140"/>
      <c r="D93" s="150"/>
      <c r="E93" s="150" t="n">
        <v>-1209450.66666667</v>
      </c>
      <c r="F93" s="150" t="n">
        <v>-1209450.66666667</v>
      </c>
      <c r="G93" s="150" t="n">
        <v>-1209450.66666667</v>
      </c>
      <c r="H93" s="150" t="n">
        <v>-1209450.66666667</v>
      </c>
      <c r="I93" s="150" t="n">
        <v>-1209450.66666667</v>
      </c>
      <c r="J93" s="150" t="n">
        <v>-1209450.66666667</v>
      </c>
      <c r="K93" s="150" t="n">
        <v>-1209450.66666667</v>
      </c>
      <c r="L93" s="150" t="n">
        <v>-1209450.66666667</v>
      </c>
      <c r="M93" s="150" t="n">
        <v>-1209450.66666667</v>
      </c>
      <c r="N93" s="150" t="n">
        <v>-1209450.66666667</v>
      </c>
      <c r="O93" s="150" t="n">
        <v>-1209450.66666667</v>
      </c>
      <c r="P93" s="150" t="n">
        <v>-1209450.66666667</v>
      </c>
      <c r="Q93" s="150" t="n">
        <v>-1209450.66666667</v>
      </c>
      <c r="R93" s="150" t="n">
        <v>-1209450.66666667</v>
      </c>
      <c r="S93" s="150" t="n">
        <v>-1209450.66666667</v>
      </c>
      <c r="T93" s="150" t="n">
        <v>0</v>
      </c>
      <c r="U93" s="150" t="n">
        <v>0</v>
      </c>
      <c r="V93" s="150" t="n">
        <v>0</v>
      </c>
      <c r="W93" s="150" t="n">
        <v>0</v>
      </c>
      <c r="X93" s="149"/>
    </row>
    <row r="94" customFormat="false" ht="15.75" hidden="false" customHeight="true" outlineLevel="0" collapsed="false">
      <c r="B94" s="140" t="s">
        <v>159</v>
      </c>
      <c r="C94" s="145"/>
      <c r="D94" s="141" t="n">
        <f aca="false">-D89*(1-D31)</f>
        <v>4535440</v>
      </c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10"/>
    </row>
    <row r="95" customFormat="false" ht="15.75" hidden="false" customHeight="true" outlineLevel="0" collapsed="false">
      <c r="B95" s="140" t="s">
        <v>67</v>
      </c>
      <c r="C95" s="145"/>
      <c r="D95" s="145"/>
      <c r="E95" s="151" t="n">
        <f aca="false">-D85*$D$33</f>
        <v>-218878.82208</v>
      </c>
      <c r="F95" s="151" t="n">
        <f aca="false">-E85*$D$33</f>
        <v>-25925.2337279999</v>
      </c>
      <c r="G95" s="151" t="n">
        <f aca="false">-F85*$D$33</f>
        <v>-41916.3653760001</v>
      </c>
      <c r="H95" s="151" t="n">
        <f aca="false">-G85*$D$33</f>
        <v>-57907.4970240001</v>
      </c>
      <c r="I95" s="151" t="n">
        <f aca="false">-H85*$D$33</f>
        <v>-73898.628672</v>
      </c>
      <c r="J95" s="151" t="n">
        <f aca="false">-I85*$D$33</f>
        <v>-89889.7603199999</v>
      </c>
      <c r="K95" s="151" t="n">
        <f aca="false">-J85*$D$33</f>
        <v>-105880.891968</v>
      </c>
      <c r="L95" s="151" t="n">
        <f aca="false">-K85*$D$33</f>
        <v>-121872.023616</v>
      </c>
      <c r="M95" s="151" t="n">
        <f aca="false">-L85*$D$33</f>
        <v>-137863.155264</v>
      </c>
      <c r="N95" s="151" t="n">
        <f aca="false">-M85*$D$33</f>
        <v>-153854.286912</v>
      </c>
      <c r="O95" s="151" t="n">
        <f aca="false">-N85*$D$33</f>
        <v>-201244.61856</v>
      </c>
      <c r="P95" s="151" t="n">
        <f aca="false">-O85*$D$33</f>
        <v>-217235.750208</v>
      </c>
      <c r="Q95" s="151" t="n">
        <f aca="false">-P85*$D$33</f>
        <v>-233226.881856</v>
      </c>
      <c r="R95" s="151" t="n">
        <f aca="false">-Q85*$D$33</f>
        <v>-249218.013504</v>
      </c>
      <c r="S95" s="151" t="n">
        <f aca="false">-R85*$D$33</f>
        <v>-265209.145152</v>
      </c>
      <c r="T95" s="151" t="n">
        <f aca="false">-S85*$D$33</f>
        <v>-281200.2768</v>
      </c>
      <c r="U95" s="151" t="n">
        <f aca="false">-T85*$D$33</f>
        <v>-274898.81376</v>
      </c>
      <c r="V95" s="151" t="n">
        <f aca="false">-U85*$D$33</f>
        <v>-268597.35072</v>
      </c>
      <c r="W95" s="151" t="n">
        <f aca="false">-V85*$D$33</f>
        <v>-262295.88768</v>
      </c>
      <c r="X95" s="151" t="n">
        <f aca="false">-W85*$D$33</f>
        <v>-255994.42464</v>
      </c>
    </row>
    <row r="96" customFormat="false" ht="15.75" hidden="false" customHeight="true" outlineLevel="0" collapsed="false">
      <c r="B96" s="152" t="s">
        <v>70</v>
      </c>
      <c r="C96" s="153"/>
      <c r="D96" s="153" t="n">
        <v>0</v>
      </c>
      <c r="E96" s="154" t="n">
        <v>0</v>
      </c>
      <c r="F96" s="154" t="n">
        <v>0</v>
      </c>
      <c r="G96" s="154" t="n">
        <v>0</v>
      </c>
      <c r="H96" s="154" t="n">
        <v>0</v>
      </c>
      <c r="I96" s="154" t="n">
        <v>0</v>
      </c>
      <c r="J96" s="154" t="n">
        <v>0</v>
      </c>
      <c r="K96" s="154" t="n">
        <v>0</v>
      </c>
      <c r="L96" s="154" t="n">
        <v>0</v>
      </c>
      <c r="M96" s="154" t="n">
        <v>0</v>
      </c>
      <c r="N96" s="154" t="n">
        <v>0</v>
      </c>
      <c r="O96" s="154" t="n">
        <v>0</v>
      </c>
      <c r="P96" s="154" t="n">
        <v>0</v>
      </c>
      <c r="Q96" s="154" t="n">
        <v>0</v>
      </c>
      <c r="R96" s="154" t="n">
        <v>0</v>
      </c>
      <c r="S96" s="154" t="n">
        <v>0</v>
      </c>
      <c r="T96" s="154" t="n">
        <v>-1133860</v>
      </c>
      <c r="U96" s="154" t="n">
        <v>-1133860</v>
      </c>
      <c r="V96" s="154" t="n">
        <v>-1133860</v>
      </c>
      <c r="W96" s="154" t="n">
        <v>-1133860</v>
      </c>
      <c r="X96" s="155" t="n">
        <f aca="false">-W101-X95</f>
        <v>-393000.869759995</v>
      </c>
    </row>
    <row r="97" customFormat="false" ht="15.75" hidden="false" customHeight="true" outlineLevel="0" collapsed="false"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10"/>
    </row>
    <row r="98" customFormat="false" ht="15.75" hidden="false" customHeight="true" outlineLevel="0" collapsed="false"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10"/>
    </row>
    <row r="99" customFormat="false" ht="15.75" hidden="false" customHeight="true" outlineLevel="0" collapsed="false">
      <c r="B99" s="140" t="s">
        <v>160</v>
      </c>
      <c r="C99" s="141" t="n">
        <v>0</v>
      </c>
      <c r="D99" s="141" t="n">
        <f aca="false">SUM(D87:D96)</f>
        <v>1377058.6912</v>
      </c>
      <c r="E99" s="141" t="n">
        <f aca="false">SUM(E87:E96)</f>
        <v>-265663.673493334</v>
      </c>
      <c r="F99" s="141" t="n">
        <f aca="false">SUM(F87:F96)</f>
        <v>-54942.161088</v>
      </c>
      <c r="G99" s="141" t="n">
        <f aca="false">SUM(G87:G96)</f>
        <v>-53165.368682667</v>
      </c>
      <c r="H99" s="141" t="n">
        <f aca="false">SUM(H87:H96)</f>
        <v>-51388.5762773337</v>
      </c>
      <c r="I99" s="141" t="n">
        <f aca="false">SUM(I87:I96)</f>
        <v>-49611.7838720004</v>
      </c>
      <c r="J99" s="141" t="n">
        <f aca="false">SUM(J87:J96)</f>
        <v>-47834.9914666666</v>
      </c>
      <c r="K99" s="141" t="n">
        <f aca="false">SUM(K87:K96)</f>
        <v>-46058.1990613337</v>
      </c>
      <c r="L99" s="141" t="n">
        <f aca="false">SUM(L87:L96)</f>
        <v>-44281.4066560004</v>
      </c>
      <c r="M99" s="141" t="n">
        <f aca="false">SUM(M87:M96)</f>
        <v>-42504.6142506668</v>
      </c>
      <c r="N99" s="141" t="n">
        <f aca="false">SUM(N87:N96)</f>
        <v>-5839.82184533367</v>
      </c>
      <c r="O99" s="141" t="n">
        <f aca="false">SUM(O87:O96)</f>
        <v>-35462.2294400001</v>
      </c>
      <c r="P99" s="141" t="n">
        <f aca="false">SUM(P87:P96)</f>
        <v>-33685.437034667</v>
      </c>
      <c r="Q99" s="141" t="n">
        <f aca="false">SUM(Q87:Q96)</f>
        <v>-31908.6446293337</v>
      </c>
      <c r="R99" s="141" t="n">
        <f aca="false">SUM(R87:R96)</f>
        <v>-30131.8522240005</v>
      </c>
      <c r="S99" s="141" t="n">
        <f aca="false">SUM(S87:S96)</f>
        <v>-28355.0598186667</v>
      </c>
      <c r="T99" s="141" t="n">
        <f aca="false">SUM(T87:T96)</f>
        <v>24242.8495999998</v>
      </c>
      <c r="U99" s="141" t="n">
        <f aca="false">SUM(U87:U96)</f>
        <v>23542.68704</v>
      </c>
      <c r="V99" s="141" t="n">
        <f aca="false">SUM(V87:V96)</f>
        <v>22842.5244799999</v>
      </c>
      <c r="W99" s="141" t="n">
        <f aca="false">SUM(W87:W96)</f>
        <v>22142.3619200001</v>
      </c>
      <c r="X99" s="110"/>
    </row>
    <row r="100" customFormat="false" ht="15.75" hidden="false" customHeight="true" outlineLevel="0" collapsed="false">
      <c r="B100" s="140" t="s">
        <v>161</v>
      </c>
      <c r="C100" s="141" t="n">
        <v>0</v>
      </c>
      <c r="D100" s="141" t="n">
        <f aca="false">C101</f>
        <v>0</v>
      </c>
      <c r="E100" s="141" t="n">
        <f aca="false">D101</f>
        <v>1377058.6912</v>
      </c>
      <c r="F100" s="141" t="n">
        <f aca="false">E101</f>
        <v>1111395.01770667</v>
      </c>
      <c r="G100" s="141" t="n">
        <f aca="false">F101</f>
        <v>1056452.85661867</v>
      </c>
      <c r="H100" s="141" t="n">
        <f aca="false">G101</f>
        <v>1003287.487936</v>
      </c>
      <c r="I100" s="141" t="n">
        <f aca="false">H101</f>
        <v>951898.911658665</v>
      </c>
      <c r="J100" s="141" t="n">
        <f aca="false">I101</f>
        <v>902287.127786665</v>
      </c>
      <c r="K100" s="141" t="n">
        <f aca="false">J101</f>
        <v>854452.136319998</v>
      </c>
      <c r="L100" s="141" t="n">
        <f aca="false">K101</f>
        <v>808393.937258664</v>
      </c>
      <c r="M100" s="141" t="n">
        <f aca="false">L101</f>
        <v>764112.530602664</v>
      </c>
      <c r="N100" s="141" t="n">
        <f aca="false">M101</f>
        <v>721607.916351997</v>
      </c>
      <c r="O100" s="141" t="n">
        <f aca="false">N101</f>
        <v>715768.094506664</v>
      </c>
      <c r="P100" s="141" t="n">
        <f aca="false">O101</f>
        <v>680305.865066663</v>
      </c>
      <c r="Q100" s="141" t="n">
        <f aca="false">P101</f>
        <v>646620.428031996</v>
      </c>
      <c r="R100" s="141" t="n">
        <f aca="false">Q101</f>
        <v>614711.783402663</v>
      </c>
      <c r="S100" s="141" t="n">
        <f aca="false">R101</f>
        <v>584579.931178662</v>
      </c>
      <c r="T100" s="141" t="n">
        <f aca="false">S101</f>
        <v>556224.871359996</v>
      </c>
      <c r="U100" s="141" t="n">
        <f aca="false">T101</f>
        <v>580467.720959995</v>
      </c>
      <c r="V100" s="141" t="n">
        <f aca="false">U101</f>
        <v>604010.407999995</v>
      </c>
      <c r="W100" s="141" t="n">
        <f aca="false">V101</f>
        <v>626852.932479995</v>
      </c>
      <c r="X100" s="109"/>
    </row>
    <row r="101" customFormat="false" ht="15.75" hidden="false" customHeight="true" outlineLevel="0" collapsed="false">
      <c r="B101" s="140" t="s">
        <v>162</v>
      </c>
      <c r="C101" s="141" t="n">
        <v>0</v>
      </c>
      <c r="D101" s="141" t="n">
        <f aca="false">D99+D100</f>
        <v>1377058.6912</v>
      </c>
      <c r="E101" s="141" t="n">
        <f aca="false">E99+E100</f>
        <v>1111395.01770667</v>
      </c>
      <c r="F101" s="141" t="n">
        <f aca="false">F99+F100</f>
        <v>1056452.85661867</v>
      </c>
      <c r="G101" s="141" t="n">
        <f aca="false">G99+G100</f>
        <v>1003287.487936</v>
      </c>
      <c r="H101" s="141" t="n">
        <f aca="false">H99+H100</f>
        <v>951898.911658665</v>
      </c>
      <c r="I101" s="141" t="n">
        <f aca="false">I99+I100</f>
        <v>902287.127786665</v>
      </c>
      <c r="J101" s="141" t="n">
        <f aca="false">J99+J100</f>
        <v>854452.136319998</v>
      </c>
      <c r="K101" s="141" t="n">
        <f aca="false">K99+K100</f>
        <v>808393.937258664</v>
      </c>
      <c r="L101" s="141" t="n">
        <f aca="false">L99+L100</f>
        <v>764112.530602664</v>
      </c>
      <c r="M101" s="141" t="n">
        <f aca="false">M99+M100</f>
        <v>721607.916351997</v>
      </c>
      <c r="N101" s="141" t="n">
        <f aca="false">N99+N100</f>
        <v>715768.094506664</v>
      </c>
      <c r="O101" s="141" t="n">
        <f aca="false">O99+O100</f>
        <v>680305.865066663</v>
      </c>
      <c r="P101" s="141" t="n">
        <f aca="false">P99+P100</f>
        <v>646620.428031996</v>
      </c>
      <c r="Q101" s="141" t="n">
        <f aca="false">Q99+Q100</f>
        <v>614711.783402663</v>
      </c>
      <c r="R101" s="141" t="n">
        <f aca="false">R99+R100</f>
        <v>584579.931178662</v>
      </c>
      <c r="S101" s="141" t="n">
        <f aca="false">S99+S100</f>
        <v>556224.871359996</v>
      </c>
      <c r="T101" s="141" t="n">
        <f aca="false">T99+T100</f>
        <v>580467.720959995</v>
      </c>
      <c r="U101" s="141" t="n">
        <f aca="false">U99+U100</f>
        <v>604010.407999995</v>
      </c>
      <c r="V101" s="141" t="n">
        <f aca="false">V99+V100</f>
        <v>626852.932479995</v>
      </c>
      <c r="W101" s="141" t="n">
        <f aca="false">W99+W100</f>
        <v>648995.294399995</v>
      </c>
      <c r="X101" s="109"/>
    </row>
    <row r="102" customFormat="false" ht="15.75" hidden="false" customHeight="true" outlineLevel="0" collapsed="false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</row>
    <row r="103" customFormat="false" ht="15.75" hidden="false" customHeight="true" outlineLevel="0" collapsed="false">
      <c r="B103" s="140"/>
      <c r="C103" s="140"/>
      <c r="D103" s="140"/>
      <c r="E103" s="140"/>
      <c r="F103" s="145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</row>
    <row r="104" customFormat="false" ht="15.75" hidden="false" customHeight="true" outlineLevel="0" collapsed="false">
      <c r="B104" s="156" t="s">
        <v>163</v>
      </c>
      <c r="C104" s="157"/>
      <c r="D104" s="158" t="n">
        <f aca="false">-D94</f>
        <v>-4535440</v>
      </c>
      <c r="E104" s="144" t="n">
        <f aca="false">-E95-E96</f>
        <v>218878.82208</v>
      </c>
      <c r="F104" s="144" t="n">
        <f aca="false">-F95-F96</f>
        <v>25925.2337279999</v>
      </c>
      <c r="G104" s="144" t="n">
        <f aca="false">-G95-G96</f>
        <v>41916.3653760001</v>
      </c>
      <c r="H104" s="144" t="n">
        <f aca="false">-H95-H96</f>
        <v>57907.4970240001</v>
      </c>
      <c r="I104" s="144" t="n">
        <f aca="false">-I95-I96</f>
        <v>73898.628672</v>
      </c>
      <c r="J104" s="144" t="n">
        <f aca="false">-J95-J96</f>
        <v>89889.7603199999</v>
      </c>
      <c r="K104" s="144" t="n">
        <f aca="false">-K95-K96</f>
        <v>105880.891968</v>
      </c>
      <c r="L104" s="144" t="n">
        <f aca="false">-L95-L96</f>
        <v>121872.023616</v>
      </c>
      <c r="M104" s="144" t="n">
        <f aca="false">-M95-M96</f>
        <v>137863.155264</v>
      </c>
      <c r="N104" s="144" t="n">
        <f aca="false">-N95-N96</f>
        <v>153854.286912</v>
      </c>
      <c r="O104" s="144" t="n">
        <f aca="false">-O95-O96</f>
        <v>201244.61856</v>
      </c>
      <c r="P104" s="144" t="n">
        <f aca="false">-P95-P96</f>
        <v>217235.750208</v>
      </c>
      <c r="Q104" s="144" t="n">
        <f aca="false">-Q95-Q96</f>
        <v>233226.881856</v>
      </c>
      <c r="R104" s="144" t="n">
        <f aca="false">-R95-R96</f>
        <v>249218.013504</v>
      </c>
      <c r="S104" s="144" t="n">
        <f aca="false">-S95-S96</f>
        <v>265209.145152</v>
      </c>
      <c r="T104" s="144" t="n">
        <f aca="false">-T95-T96</f>
        <v>1415060.2768</v>
      </c>
      <c r="U104" s="144" t="n">
        <f aca="false">-U95-U96</f>
        <v>1408758.81376</v>
      </c>
      <c r="V104" s="144" t="n">
        <f aca="false">-V95-V96</f>
        <v>1402457.35072</v>
      </c>
      <c r="W104" s="144" t="n">
        <f aca="false">-W95-W96</f>
        <v>1396155.88768</v>
      </c>
      <c r="X104" s="144" t="n">
        <f aca="false">-X95-X96</f>
        <v>648995.294399995</v>
      </c>
    </row>
    <row r="105" customFormat="false" ht="15.75" hidden="false" customHeight="true" outlineLevel="0" collapsed="false">
      <c r="B105" s="140" t="s">
        <v>75</v>
      </c>
      <c r="C105" s="159" t="n">
        <f aca="false">IRR(D104:X104)</f>
        <v>0.0417663875429979</v>
      </c>
      <c r="D105" s="145"/>
      <c r="E105" s="145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</row>
    <row r="106" customFormat="false" ht="15.75" hidden="false" customHeight="true" outlineLevel="0" collapsed="false">
      <c r="B106" s="156" t="s">
        <v>164</v>
      </c>
      <c r="C106" s="157"/>
      <c r="D106" s="158" t="n">
        <f aca="false">D85-D94</f>
        <v>-4292241.3088</v>
      </c>
      <c r="E106" s="144" t="n">
        <f aca="false">E85</f>
        <v>28805.8152533332</v>
      </c>
      <c r="F106" s="144" t="n">
        <f aca="false">F85-F96</f>
        <v>46573.7393066668</v>
      </c>
      <c r="G106" s="144" t="n">
        <f aca="false">G85-G96</f>
        <v>64341.6633600001</v>
      </c>
      <c r="H106" s="144" t="n">
        <f aca="false">H85-H96</f>
        <v>82109.5874133334</v>
      </c>
      <c r="I106" s="144" t="n">
        <f aca="false">I85-I96</f>
        <v>99877.5114666666</v>
      </c>
      <c r="J106" s="144" t="n">
        <f aca="false">J85-J96</f>
        <v>117645.43552</v>
      </c>
      <c r="K106" s="144" t="n">
        <f aca="false">K85-K96</f>
        <v>135413.359573334</v>
      </c>
      <c r="L106" s="144" t="n">
        <f aca="false">L85-L96</f>
        <v>153181.283626667</v>
      </c>
      <c r="M106" s="144" t="n">
        <f aca="false">M85-M96</f>
        <v>170949.20768</v>
      </c>
      <c r="N106" s="144" t="n">
        <f aca="false">N85-N96</f>
        <v>223605.131733333</v>
      </c>
      <c r="O106" s="144" t="n">
        <f aca="false">O85-O96</f>
        <v>241373.055786667</v>
      </c>
      <c r="P106" s="144" t="n">
        <f aca="false">P85-P96</f>
        <v>259140.97984</v>
      </c>
      <c r="Q106" s="144" t="n">
        <f aca="false">Q85-Q96</f>
        <v>276908.903893334</v>
      </c>
      <c r="R106" s="144" t="n">
        <f aca="false">R85-R96</f>
        <v>294676.827946667</v>
      </c>
      <c r="S106" s="144" t="n">
        <f aca="false">S85-S96</f>
        <v>312444.752</v>
      </c>
      <c r="T106" s="144" t="n">
        <f aca="false">T85-T96</f>
        <v>1439303.1264</v>
      </c>
      <c r="U106" s="144" t="n">
        <f aca="false">U85-U96</f>
        <v>1432301.5008</v>
      </c>
      <c r="V106" s="144" t="n">
        <f aca="false">V85-V96</f>
        <v>1425299.8752</v>
      </c>
      <c r="W106" s="144" t="n">
        <f aca="false">W85-W96</f>
        <v>1418298.2496</v>
      </c>
      <c r="X106" s="149"/>
    </row>
    <row r="107" customFormat="false" ht="15.75" hidden="false" customHeight="true" outlineLevel="0" collapsed="false">
      <c r="B107" s="156" t="s">
        <v>76</v>
      </c>
      <c r="C107" s="159" t="n">
        <f aca="false">IRR(D106:W106)</f>
        <v>0.0444559697117646</v>
      </c>
      <c r="D107" s="145"/>
      <c r="E107" s="145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</row>
    <row r="108" customFormat="false" ht="15.75" hidden="false" customHeight="true" outlineLevel="0" collapsed="false"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</row>
    <row r="109" customFormat="false" ht="15.75" hidden="false" customHeight="true" outlineLevel="0" collapsed="false">
      <c r="B109" s="140" t="s">
        <v>165</v>
      </c>
      <c r="C109" s="141" t="n">
        <v>0</v>
      </c>
      <c r="D109" s="141" t="n">
        <f aca="false">D92</f>
        <v>18141760</v>
      </c>
      <c r="E109" s="141" t="n">
        <f aca="false">D109+E93</f>
        <v>16932309.3333333</v>
      </c>
      <c r="F109" s="141" t="n">
        <f aca="false">E109+F93</f>
        <v>15722858.6666667</v>
      </c>
      <c r="G109" s="141" t="n">
        <f aca="false">F109+G93</f>
        <v>14513408</v>
      </c>
      <c r="H109" s="141" t="n">
        <f aca="false">G109+H93</f>
        <v>13303957.3333333</v>
      </c>
      <c r="I109" s="141" t="n">
        <f aca="false">H109+I93</f>
        <v>12094506.6666667</v>
      </c>
      <c r="J109" s="141" t="n">
        <f aca="false">I109+J93</f>
        <v>10885056</v>
      </c>
      <c r="K109" s="141" t="n">
        <f aca="false">J109+K93</f>
        <v>9675605.33333333</v>
      </c>
      <c r="L109" s="141" t="n">
        <f aca="false">K109+L93</f>
        <v>8466154.66666666</v>
      </c>
      <c r="M109" s="141" t="n">
        <f aca="false">L109+M93</f>
        <v>7256703.99999999</v>
      </c>
      <c r="N109" s="141" t="n">
        <f aca="false">M109+N93</f>
        <v>6047253.33333332</v>
      </c>
      <c r="O109" s="141" t="n">
        <f aca="false">N109+O93</f>
        <v>4837802.66666666</v>
      </c>
      <c r="P109" s="141" t="n">
        <f aca="false">O109+P93</f>
        <v>3628351.99999999</v>
      </c>
      <c r="Q109" s="141" t="n">
        <f aca="false">P109+Q93</f>
        <v>2418901.33333332</v>
      </c>
      <c r="R109" s="141" t="n">
        <f aca="false">Q109+R93</f>
        <v>1209450.66666665</v>
      </c>
      <c r="S109" s="141" t="n">
        <f aca="false">R109+S93</f>
        <v>-1.21071934700012E-008</v>
      </c>
      <c r="T109" s="141" t="n">
        <f aca="false">S109+T93</f>
        <v>-1.21071934700012E-008</v>
      </c>
      <c r="U109" s="141" t="n">
        <f aca="false">T109+U93</f>
        <v>-1.21071934700012E-008</v>
      </c>
      <c r="V109" s="141" t="n">
        <f aca="false">U109+V93</f>
        <v>-1.21071934700012E-008</v>
      </c>
      <c r="W109" s="141" t="n">
        <f aca="false">V109+W93</f>
        <v>-1.21071934700012E-008</v>
      </c>
      <c r="X1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" t="s">
        <v>87</v>
      </c>
      <c r="C1" s="35"/>
      <c r="D1" s="35"/>
      <c r="E1" s="36"/>
      <c r="F1" s="2" t="s">
        <v>1</v>
      </c>
      <c r="P1" s="3" t="n">
        <f aca="false">1-D11</f>
        <v>0.99</v>
      </c>
      <c r="Q1" s="3" t="n">
        <f aca="false">P1-$D12</f>
        <v>0.986</v>
      </c>
      <c r="R1" s="3" t="n">
        <f aca="false">Q1-$D12</f>
        <v>0.982</v>
      </c>
      <c r="S1" s="3" t="n">
        <f aca="false">R1-$D12</f>
        <v>0.978</v>
      </c>
      <c r="T1" s="3" t="n">
        <f aca="false">S1-$D12</f>
        <v>0.974</v>
      </c>
      <c r="U1" s="3" t="n">
        <f aca="false">T1-$D12</f>
        <v>0.97</v>
      </c>
      <c r="V1" s="3" t="n">
        <f aca="false">U1-$D12</f>
        <v>0.966</v>
      </c>
      <c r="W1" s="3" t="n">
        <f aca="false">V1-$D12</f>
        <v>0.962</v>
      </c>
      <c r="X1" s="3" t="n">
        <f aca="false">W1-$D12</f>
        <v>0.958</v>
      </c>
      <c r="Y1" s="3" t="n">
        <f aca="false">X1-$D12</f>
        <v>0.954</v>
      </c>
      <c r="Z1" s="3" t="n">
        <f aca="false">Y1-$D12</f>
        <v>0.95</v>
      </c>
      <c r="AA1" s="3" t="n">
        <f aca="false">Z1-$D12</f>
        <v>0.946</v>
      </c>
      <c r="AB1" s="3" t="n">
        <f aca="false">AA1-$D12</f>
        <v>0.942</v>
      </c>
      <c r="AC1" s="3" t="n">
        <f aca="false">AB1-$D12</f>
        <v>0.938</v>
      </c>
      <c r="AD1" s="3" t="n">
        <f aca="false">AC1-$D12</f>
        <v>0.934</v>
      </c>
      <c r="AE1" s="3" t="n">
        <f aca="false">AD1-$D12</f>
        <v>0.93</v>
      </c>
      <c r="AF1" s="3" t="n">
        <f aca="false">AE1-$D12</f>
        <v>0.926</v>
      </c>
      <c r="AG1" s="3" t="n">
        <f aca="false">AF1-$D12</f>
        <v>0.922</v>
      </c>
      <c r="AH1" s="3" t="n">
        <f aca="false">AG1-$D12</f>
        <v>0.918</v>
      </c>
      <c r="AI1" s="3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6" t="s">
        <v>4</v>
      </c>
      <c r="E2" s="7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1" t="s">
        <v>4</v>
      </c>
      <c r="E3" s="12" t="s">
        <v>4</v>
      </c>
      <c r="F3" s="8" t="s">
        <v>88</v>
      </c>
    </row>
    <row r="4" customFormat="false" ht="21.75" hidden="false" customHeight="true" outlineLevel="0" collapsed="false">
      <c r="B4" s="40" t="s">
        <v>89</v>
      </c>
      <c r="C4" s="41" t="n">
        <v>436.1</v>
      </c>
      <c r="D4" s="11" t="s">
        <v>4</v>
      </c>
      <c r="E4" s="12" t="s">
        <v>4</v>
      </c>
      <c r="F4" s="8" t="s">
        <v>90</v>
      </c>
      <c r="M4" s="0" t="s">
        <v>166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8" t="s">
        <v>92</v>
      </c>
      <c r="M5" s="0" t="s">
        <v>167</v>
      </c>
    </row>
    <row r="6" customFormat="false" ht="20.25" hidden="false" customHeight="true" outlineLevel="0" collapsed="false">
      <c r="B6" s="13"/>
      <c r="C6" s="13"/>
      <c r="D6" s="13"/>
      <c r="E6" s="13"/>
      <c r="M6" s="0" t="s">
        <v>168</v>
      </c>
    </row>
    <row r="7" customFormat="false" ht="22.5" hidden="false" customHeight="true" outlineLevel="0" collapsed="false">
      <c r="B7" s="1" t="s">
        <v>95</v>
      </c>
      <c r="C7" s="35"/>
      <c r="D7" s="35"/>
      <c r="E7" s="36"/>
      <c r="M7" s="0" t="s">
        <v>169</v>
      </c>
    </row>
    <row r="8" customFormat="false" ht="22.5" hidden="false" customHeight="true" outlineLevel="0" collapsed="false">
      <c r="B8" s="15" t="s">
        <v>14</v>
      </c>
      <c r="E8" s="44"/>
      <c r="M8" s="0" t="s">
        <v>170</v>
      </c>
    </row>
    <row r="9" customFormat="false" ht="22.5" hidden="false" customHeight="true" outlineLevel="0" collapsed="false">
      <c r="B9" s="45" t="s">
        <v>15</v>
      </c>
      <c r="C9" s="46" t="s">
        <v>16</v>
      </c>
      <c r="D9" s="46" t="s">
        <v>17</v>
      </c>
      <c r="E9" s="47" t="s">
        <v>18</v>
      </c>
      <c r="F9" s="2" t="s">
        <v>1</v>
      </c>
      <c r="M9" s="0" t="s">
        <v>98</v>
      </c>
    </row>
    <row r="10" customFormat="false" ht="30" hidden="false" customHeight="true" outlineLevel="0" collapsed="false">
      <c r="B10" s="48" t="s">
        <v>19</v>
      </c>
      <c r="C10" s="49" t="s">
        <v>99</v>
      </c>
      <c r="D10" s="50" t="n">
        <v>547002</v>
      </c>
      <c r="E10" s="21" t="n">
        <v>20</v>
      </c>
      <c r="F10" s="8" t="s">
        <v>100</v>
      </c>
      <c r="M10" s="0" t="s">
        <v>82</v>
      </c>
    </row>
    <row r="11" customFormat="false" ht="30" hidden="false" customHeight="true" outlineLevel="0" collapsed="false">
      <c r="B11" s="51"/>
      <c r="C11" s="42" t="s">
        <v>22</v>
      </c>
      <c r="D11" s="52" t="n">
        <v>0.01</v>
      </c>
      <c r="E11" s="53"/>
      <c r="F11" s="8" t="s">
        <v>102</v>
      </c>
    </row>
    <row r="12" customFormat="false" ht="30" hidden="false" customHeight="true" outlineLevel="0" collapsed="false">
      <c r="B12" s="51"/>
      <c r="C12" s="42" t="s">
        <v>24</v>
      </c>
      <c r="D12" s="54" t="n">
        <v>0.004</v>
      </c>
      <c r="E12" s="53"/>
      <c r="F12" s="8" t="s">
        <v>103</v>
      </c>
    </row>
    <row r="13" customFormat="false" ht="22.5" hidden="false" customHeight="true" outlineLevel="0" collapsed="false">
      <c r="B13" s="51"/>
      <c r="C13" s="55" t="s">
        <v>104</v>
      </c>
      <c r="D13" s="56" t="n">
        <v>4</v>
      </c>
      <c r="E13" s="53"/>
      <c r="F13" s="8" t="s">
        <v>105</v>
      </c>
    </row>
    <row r="14" customFormat="false" ht="22.5" hidden="false" customHeight="true" outlineLevel="0" collapsed="false">
      <c r="B14" s="26" t="s">
        <v>106</v>
      </c>
      <c r="C14" s="35"/>
      <c r="D14" s="35"/>
      <c r="E14" s="36"/>
    </row>
    <row r="15" customFormat="false" ht="22.5" hidden="false" customHeight="true" outlineLevel="0" collapsed="false">
      <c r="B15" s="45" t="s">
        <v>15</v>
      </c>
      <c r="C15" s="46" t="s">
        <v>16</v>
      </c>
      <c r="D15" s="46" t="s">
        <v>17</v>
      </c>
      <c r="E15" s="47" t="s">
        <v>29</v>
      </c>
      <c r="F15" s="2" t="s">
        <v>1</v>
      </c>
    </row>
    <row r="16" customFormat="false" ht="21.75" hidden="false" customHeight="true" outlineLevel="0" collapsed="false">
      <c r="B16" s="49" t="s">
        <v>107</v>
      </c>
      <c r="C16" s="49" t="s">
        <v>108</v>
      </c>
      <c r="D16" s="57" t="n">
        <v>31500</v>
      </c>
      <c r="E16" s="7" t="n">
        <v>20</v>
      </c>
      <c r="F16" s="8" t="s">
        <v>109</v>
      </c>
    </row>
    <row r="17" customFormat="false" ht="21.75" hidden="false" customHeight="true" outlineLevel="0" collapsed="false">
      <c r="B17" s="51"/>
      <c r="C17" s="42" t="s">
        <v>110</v>
      </c>
      <c r="D17" s="58" t="n">
        <v>0.3</v>
      </c>
      <c r="E17" s="53"/>
      <c r="F17" s="8" t="s">
        <v>111</v>
      </c>
    </row>
    <row r="18" customFormat="false" ht="21.75" hidden="false" customHeight="true" outlineLevel="0" collapsed="false">
      <c r="B18" s="59"/>
      <c r="C18" s="42" t="s">
        <v>35</v>
      </c>
      <c r="D18" s="60" t="n">
        <v>2000</v>
      </c>
      <c r="E18" s="61"/>
      <c r="F18" s="8" t="s">
        <v>112</v>
      </c>
    </row>
    <row r="19" customFormat="false" ht="54" hidden="false" customHeight="true" outlineLevel="0" collapsed="false">
      <c r="B19" s="42" t="s">
        <v>37</v>
      </c>
      <c r="C19" s="62" t="s">
        <v>38</v>
      </c>
      <c r="D19" s="58" t="n">
        <v>1</v>
      </c>
      <c r="E19" s="7" t="n">
        <v>20</v>
      </c>
      <c r="F19" s="8" t="s">
        <v>113</v>
      </c>
    </row>
    <row r="20" customFormat="false" ht="20.25" hidden="false" customHeight="true" outlineLevel="0" collapsed="false">
      <c r="B20" s="51"/>
      <c r="C20" s="63" t="s">
        <v>114</v>
      </c>
      <c r="D20" s="60" t="n">
        <v>290201</v>
      </c>
      <c r="E20" s="7" t="n">
        <v>20</v>
      </c>
      <c r="F20" s="8" t="s">
        <v>115</v>
      </c>
    </row>
    <row r="21" customFormat="false" ht="30" hidden="false" customHeight="true" outlineLevel="0" collapsed="false">
      <c r="B21" s="59"/>
      <c r="C21" s="42" t="s">
        <v>116</v>
      </c>
      <c r="D21" s="58" t="n">
        <v>0</v>
      </c>
      <c r="E21" s="12" t="n">
        <v>20</v>
      </c>
      <c r="F21" s="8" t="s">
        <v>117</v>
      </c>
    </row>
    <row r="22" customFormat="false" ht="30" hidden="false" customHeight="true" outlineLevel="0" collapsed="false">
      <c r="B22" s="42" t="s">
        <v>44</v>
      </c>
      <c r="C22" s="42" t="s">
        <v>118</v>
      </c>
      <c r="D22" s="64" t="n">
        <v>400</v>
      </c>
      <c r="E22" s="12" t="n">
        <v>20</v>
      </c>
      <c r="F22" s="8" t="s">
        <v>119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8" t="n">
        <v>0.003</v>
      </c>
      <c r="E23" s="12" t="n">
        <v>20</v>
      </c>
      <c r="F23" s="8" t="s">
        <v>120</v>
      </c>
    </row>
    <row r="24" customFormat="false" ht="30" hidden="false" customHeight="true" outlineLevel="0" collapsed="false">
      <c r="B24" s="42" t="s">
        <v>50</v>
      </c>
      <c r="C24" s="42" t="s">
        <v>121</v>
      </c>
      <c r="D24" s="64" t="n">
        <v>1000</v>
      </c>
      <c r="E24" s="31" t="n">
        <v>10</v>
      </c>
      <c r="F24" s="8" t="s">
        <v>122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5" t="n">
        <v>0.0256</v>
      </c>
      <c r="E25" s="12" t="n">
        <v>20</v>
      </c>
      <c r="F25" s="8" t="s">
        <v>123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8" t="n">
        <v>0.2</v>
      </c>
      <c r="E26" s="12" t="n">
        <v>20</v>
      </c>
      <c r="F26" s="8" t="s">
        <v>124</v>
      </c>
    </row>
    <row r="27" customFormat="false" ht="20.25" hidden="false" customHeight="true" outlineLevel="0" collapsed="false">
      <c r="B27" s="13"/>
      <c r="C27" s="13"/>
      <c r="D27" s="13"/>
      <c r="E27" s="13"/>
    </row>
    <row r="28" customFormat="false" ht="20.25" hidden="false" customHeight="true" outlineLevel="0" collapsed="false">
      <c r="B28" s="13"/>
      <c r="C28" s="13"/>
      <c r="D28" s="13"/>
      <c r="E28" s="13"/>
    </row>
    <row r="29" customFormat="false" ht="22.5" hidden="false" customHeight="true" outlineLevel="0" collapsed="false">
      <c r="B29" s="1" t="s">
        <v>125</v>
      </c>
      <c r="C29" s="35"/>
      <c r="D29" s="36"/>
      <c r="E29" s="13"/>
    </row>
    <row r="30" customFormat="false" ht="22.5" hidden="false" customHeight="true" outlineLevel="0" collapsed="false">
      <c r="B30" s="45" t="s">
        <v>60</v>
      </c>
      <c r="C30" s="66" t="s">
        <v>16</v>
      </c>
      <c r="D30" s="67" t="s">
        <v>17</v>
      </c>
      <c r="E30" s="13"/>
      <c r="F30" s="2" t="s">
        <v>1</v>
      </c>
    </row>
    <row r="31" customFormat="false" ht="30" hidden="false" customHeight="true" outlineLevel="0" collapsed="false">
      <c r="B31" s="49" t="s">
        <v>61</v>
      </c>
      <c r="C31" s="37" t="s">
        <v>62</v>
      </c>
      <c r="D31" s="68" t="n">
        <v>0.8</v>
      </c>
      <c r="E31" s="13"/>
      <c r="F31" s="8" t="s">
        <v>126</v>
      </c>
    </row>
    <row r="32" customFormat="false" ht="18.75" hidden="false" customHeight="true" outlineLevel="0" collapsed="false">
      <c r="B32" s="49" t="s">
        <v>64</v>
      </c>
      <c r="C32" s="37" t="s">
        <v>65</v>
      </c>
      <c r="D32" s="68" t="n">
        <v>15</v>
      </c>
      <c r="E32" s="13"/>
      <c r="F32" s="8" t="s">
        <v>127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8" t="n">
        <v>0.9</v>
      </c>
      <c r="E33" s="13"/>
      <c r="F33" s="8" t="s">
        <v>128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8" t="n">
        <v>4</v>
      </c>
      <c r="E34" s="13"/>
      <c r="F34" s="8" t="s">
        <v>129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9"/>
      <c r="C37" s="70" t="s">
        <v>130</v>
      </c>
      <c r="D37" s="70" t="n">
        <v>2020</v>
      </c>
      <c r="E37" s="70" t="n">
        <v>2021</v>
      </c>
      <c r="F37" s="70" t="n">
        <v>2022</v>
      </c>
      <c r="G37" s="70" t="n">
        <v>2023</v>
      </c>
      <c r="H37" s="70" t="n">
        <v>2024</v>
      </c>
      <c r="I37" s="70" t="n">
        <v>2025</v>
      </c>
      <c r="J37" s="70" t="n">
        <v>2026</v>
      </c>
      <c r="K37" s="70" t="n">
        <v>2027</v>
      </c>
      <c r="L37" s="70" t="n">
        <v>2028</v>
      </c>
      <c r="M37" s="70" t="n">
        <v>2029</v>
      </c>
      <c r="N37" s="70" t="n">
        <v>2030</v>
      </c>
      <c r="O37" s="70" t="n">
        <v>2031</v>
      </c>
      <c r="P37" s="70" t="n">
        <v>2032</v>
      </c>
      <c r="Q37" s="70" t="n">
        <v>2033</v>
      </c>
      <c r="R37" s="70" t="n">
        <v>2034</v>
      </c>
      <c r="S37" s="70" t="n">
        <v>2035</v>
      </c>
      <c r="T37" s="70" t="n">
        <v>2036</v>
      </c>
      <c r="U37" s="70" t="n">
        <v>2037</v>
      </c>
      <c r="V37" s="70" t="n">
        <v>2038</v>
      </c>
      <c r="W37" s="70" t="n">
        <v>2039</v>
      </c>
      <c r="X37" s="70"/>
    </row>
    <row r="38" customFormat="false" ht="18.75" hidden="false" customHeight="true" outlineLevel="0" collapsed="false">
      <c r="B38" s="71" t="n">
        <v>0</v>
      </c>
      <c r="C38" s="72"/>
      <c r="D38" s="73"/>
      <c r="E38" s="73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5"/>
      <c r="V38" s="75"/>
      <c r="W38" s="75"/>
      <c r="X38" s="77"/>
    </row>
    <row r="39" customFormat="false" ht="18.75" hidden="false" customHeight="true" outlineLevel="0" collapsed="false">
      <c r="B39" s="78" t="s">
        <v>131</v>
      </c>
      <c r="C39" s="79" t="n">
        <v>0</v>
      </c>
      <c r="D39" s="80" t="n">
        <v>1</v>
      </c>
      <c r="E39" s="80" t="n">
        <v>2</v>
      </c>
      <c r="F39" s="80" t="n">
        <v>3</v>
      </c>
      <c r="G39" s="80" t="n">
        <v>4</v>
      </c>
      <c r="H39" s="80" t="n">
        <v>5</v>
      </c>
      <c r="I39" s="80" t="n">
        <v>6</v>
      </c>
      <c r="J39" s="80" t="n">
        <v>7</v>
      </c>
      <c r="K39" s="80" t="n">
        <v>8</v>
      </c>
      <c r="L39" s="80" t="n">
        <v>9</v>
      </c>
      <c r="M39" s="80" t="n">
        <v>10</v>
      </c>
      <c r="N39" s="80" t="n">
        <v>11</v>
      </c>
      <c r="O39" s="80" t="n">
        <v>12</v>
      </c>
      <c r="P39" s="80" t="n">
        <v>13</v>
      </c>
      <c r="Q39" s="80" t="n">
        <v>14</v>
      </c>
      <c r="R39" s="80" t="n">
        <v>15</v>
      </c>
      <c r="S39" s="80" t="n">
        <v>16</v>
      </c>
      <c r="T39" s="81" t="n">
        <v>17</v>
      </c>
      <c r="U39" s="80" t="n">
        <v>18</v>
      </c>
      <c r="V39" s="80" t="n">
        <v>19</v>
      </c>
      <c r="W39" s="80" t="n">
        <v>20</v>
      </c>
      <c r="X39" s="82"/>
    </row>
    <row r="40" customFormat="false" ht="18.75" hidden="false" customHeight="true" outlineLevel="0" collapsed="false">
      <c r="B40" s="83" t="s">
        <v>132</v>
      </c>
      <c r="C40" s="84" t="n">
        <v>0</v>
      </c>
      <c r="D40" s="85" t="n">
        <f aca="false">$D$10*P1</f>
        <v>541531.98</v>
      </c>
      <c r="E40" s="85" t="n">
        <f aca="false">$D$10*Q1</f>
        <v>539343.972</v>
      </c>
      <c r="F40" s="85" t="n">
        <f aca="false">$D$10*R1</f>
        <v>537155.964</v>
      </c>
      <c r="G40" s="85" t="n">
        <f aca="false">$D$10*S1</f>
        <v>534967.956</v>
      </c>
      <c r="H40" s="85" t="n">
        <f aca="false">$D$10*T1</f>
        <v>532779.948</v>
      </c>
      <c r="I40" s="85" t="n">
        <f aca="false">$D$10*U1</f>
        <v>530591.94</v>
      </c>
      <c r="J40" s="85" t="n">
        <f aca="false">$D$10*V1</f>
        <v>528403.932</v>
      </c>
      <c r="K40" s="85" t="n">
        <f aca="false">$D$10*W1</f>
        <v>526215.924</v>
      </c>
      <c r="L40" s="85" t="n">
        <f aca="false">$D$10*X1</f>
        <v>524027.916</v>
      </c>
      <c r="M40" s="85" t="n">
        <f aca="false">$D$10*Y1</f>
        <v>521839.908</v>
      </c>
      <c r="N40" s="85" t="n">
        <f aca="false">$D$10*Z1</f>
        <v>519651.9</v>
      </c>
      <c r="O40" s="85" t="n">
        <f aca="false">$D$10*AA1</f>
        <v>517463.892</v>
      </c>
      <c r="P40" s="85" t="n">
        <f aca="false">$D$10*AB1</f>
        <v>515275.884</v>
      </c>
      <c r="Q40" s="85" t="n">
        <f aca="false">$D$10*AC1</f>
        <v>513087.876</v>
      </c>
      <c r="R40" s="85" t="n">
        <f aca="false">$D$10*AD1</f>
        <v>510899.868</v>
      </c>
      <c r="S40" s="85" t="n">
        <f aca="false">$D$10*AE1</f>
        <v>508711.86</v>
      </c>
      <c r="T40" s="85" t="n">
        <f aca="false">$D$10*AF1</f>
        <v>506523.852</v>
      </c>
      <c r="U40" s="85" t="n">
        <f aca="false">$D$10*AG1</f>
        <v>504335.844</v>
      </c>
      <c r="V40" s="85" t="n">
        <f aca="false">$D$10*AH1</f>
        <v>502147.836</v>
      </c>
      <c r="W40" s="85" t="n">
        <f aca="false">$D$10*AI1</f>
        <v>499959.828</v>
      </c>
      <c r="X40" s="86"/>
    </row>
    <row r="41" customFormat="false" ht="18.75" hidden="false" customHeight="true" outlineLevel="0" collapsed="false">
      <c r="B41" s="87" t="s">
        <v>133</v>
      </c>
      <c r="C41" s="88" t="s">
        <v>4</v>
      </c>
      <c r="D41" s="89" t="n">
        <f aca="false">D40*$D$13</f>
        <v>2166127.92</v>
      </c>
      <c r="E41" s="89" t="n">
        <f aca="false">E40*$D$13</f>
        <v>2157375.888</v>
      </c>
      <c r="F41" s="89" t="n">
        <f aca="false">F40*$D$13</f>
        <v>2148623.856</v>
      </c>
      <c r="G41" s="89" t="n">
        <f aca="false">G40*$D$13</f>
        <v>2139871.824</v>
      </c>
      <c r="H41" s="89" t="n">
        <f aca="false">H40*$D$13</f>
        <v>2131119.792</v>
      </c>
      <c r="I41" s="89" t="n">
        <f aca="false">I40*$D$13</f>
        <v>2122367.76</v>
      </c>
      <c r="J41" s="89" t="n">
        <f aca="false">J40*$D$13</f>
        <v>2113615.728</v>
      </c>
      <c r="K41" s="89" t="n">
        <f aca="false">K40*$D$13</f>
        <v>2104863.696</v>
      </c>
      <c r="L41" s="89" t="n">
        <f aca="false">L40*$D$13</f>
        <v>2096111.664</v>
      </c>
      <c r="M41" s="89" t="n">
        <f aca="false">M40*$D$13</f>
        <v>2087359.632</v>
      </c>
      <c r="N41" s="89" t="n">
        <f aca="false">N40*$D$13</f>
        <v>2078607.6</v>
      </c>
      <c r="O41" s="89" t="n">
        <f aca="false">O40*$D$13</f>
        <v>2069855.568</v>
      </c>
      <c r="P41" s="89" t="n">
        <f aca="false">P40*$D$13</f>
        <v>2061103.536</v>
      </c>
      <c r="Q41" s="89" t="n">
        <f aca="false">Q40*$D$13</f>
        <v>2052351.504</v>
      </c>
      <c r="R41" s="89" t="n">
        <f aca="false">R40*$D$13</f>
        <v>2043599.472</v>
      </c>
      <c r="S41" s="89" t="n">
        <f aca="false">S40*$D$13</f>
        <v>2034847.44</v>
      </c>
      <c r="T41" s="89" t="n">
        <f aca="false">T40*$D$13</f>
        <v>2026095.408</v>
      </c>
      <c r="U41" s="89" t="n">
        <f aca="false">U40*$D$13</f>
        <v>2017343.376</v>
      </c>
      <c r="V41" s="89" t="n">
        <f aca="false">V40*$D$13</f>
        <v>2008591.344</v>
      </c>
      <c r="W41" s="89" t="n">
        <f aca="false">W40*$D$13</f>
        <v>1999839.312</v>
      </c>
      <c r="X41" s="90"/>
    </row>
    <row r="42" customFormat="false" ht="18.75" hidden="false" customHeight="true" outlineLevel="0" collapsed="false">
      <c r="B42" s="91" t="s">
        <v>134</v>
      </c>
      <c r="C42" s="92" t="s">
        <v>4</v>
      </c>
      <c r="D42" s="93"/>
      <c r="E42" s="93"/>
      <c r="F42" s="93"/>
      <c r="G42" s="94" t="s">
        <v>4</v>
      </c>
      <c r="H42" s="94" t="s">
        <v>4</v>
      </c>
      <c r="I42" s="94" t="s">
        <v>4</v>
      </c>
      <c r="J42" s="94" t="s">
        <v>4</v>
      </c>
      <c r="K42" s="94" t="s">
        <v>4</v>
      </c>
      <c r="L42" s="94" t="s">
        <v>4</v>
      </c>
      <c r="M42" s="94" t="s">
        <v>4</v>
      </c>
      <c r="N42" s="94" t="s">
        <v>4</v>
      </c>
      <c r="O42" s="94" t="s">
        <v>4</v>
      </c>
      <c r="P42" s="94" t="s">
        <v>4</v>
      </c>
      <c r="Q42" s="94" t="s">
        <v>4</v>
      </c>
      <c r="R42" s="94" t="s">
        <v>4</v>
      </c>
      <c r="S42" s="94" t="s">
        <v>4</v>
      </c>
      <c r="T42" s="94" t="s">
        <v>4</v>
      </c>
      <c r="U42" s="94" t="s">
        <v>4</v>
      </c>
      <c r="V42" s="94" t="s">
        <v>4</v>
      </c>
      <c r="W42" s="94" t="s">
        <v>4</v>
      </c>
      <c r="X42" s="95"/>
    </row>
    <row r="43" customFormat="false" ht="18.75" hidden="false" customHeight="true" outlineLevel="0" collapsed="false">
      <c r="B43" s="96" t="s">
        <v>135</v>
      </c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customFormat="false" ht="18.75" hidden="false" customHeight="true" outlineLevel="0" collapsed="false">
      <c r="B44" s="100" t="s">
        <v>136</v>
      </c>
      <c r="C44" s="101" t="n">
        <f aca="false">-(D16/(1-D17)+D18)*C4</f>
        <v>-20496700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customFormat="false" ht="18.75" hidden="false" customHeight="true" outlineLevel="0" collapsed="false">
      <c r="B45" s="100" t="s">
        <v>137</v>
      </c>
      <c r="C45" s="92" t="s">
        <v>4</v>
      </c>
      <c r="D45" s="0" t="n">
        <v>-290201</v>
      </c>
      <c r="E45" s="102" t="n">
        <v>-290201</v>
      </c>
      <c r="F45" s="102" t="n">
        <v>-290201</v>
      </c>
      <c r="G45" s="102" t="n">
        <v>-290201</v>
      </c>
      <c r="H45" s="102" t="n">
        <v>-290201</v>
      </c>
      <c r="I45" s="102" t="n">
        <v>-290201</v>
      </c>
      <c r="J45" s="102" t="n">
        <v>-290201</v>
      </c>
      <c r="K45" s="102" t="n">
        <v>-290201</v>
      </c>
      <c r="L45" s="102" t="n">
        <v>-290201</v>
      </c>
      <c r="M45" s="102" t="n">
        <v>-290201</v>
      </c>
      <c r="N45" s="102" t="n">
        <v>-290201</v>
      </c>
      <c r="O45" s="102" t="n">
        <v>-290201</v>
      </c>
      <c r="P45" s="102" t="n">
        <v>-290201</v>
      </c>
      <c r="Q45" s="102" t="n">
        <v>-290201</v>
      </c>
      <c r="R45" s="102" t="n">
        <v>-290201</v>
      </c>
      <c r="S45" s="102" t="n">
        <v>-290201</v>
      </c>
      <c r="T45" s="102" t="n">
        <v>-290201</v>
      </c>
      <c r="U45" s="102" t="n">
        <v>-290201</v>
      </c>
      <c r="V45" s="102" t="n">
        <v>-290201</v>
      </c>
      <c r="W45" s="102" t="n">
        <v>-290201</v>
      </c>
      <c r="X45" s="102"/>
    </row>
    <row r="46" customFormat="false" ht="18.75" hidden="false" customHeight="true" outlineLevel="0" collapsed="false">
      <c r="B46" s="100" t="s">
        <v>138</v>
      </c>
      <c r="C46" s="9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customFormat="false" ht="18.75" hidden="false" customHeight="true" outlineLevel="0" collapsed="false">
      <c r="B47" s="100" t="s">
        <v>139</v>
      </c>
      <c r="C47" s="92" t="s">
        <v>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18.75" hidden="false" customHeight="true" outlineLevel="0" collapsed="false">
      <c r="B48" s="100" t="s">
        <v>140</v>
      </c>
      <c r="C48" s="92" t="s">
        <v>4</v>
      </c>
      <c r="D48" s="102" t="n">
        <v>-174440</v>
      </c>
      <c r="E48" s="102" t="n">
        <v>-174440</v>
      </c>
      <c r="F48" s="102" t="n">
        <v>-174440</v>
      </c>
      <c r="G48" s="102" t="n">
        <v>-174440</v>
      </c>
      <c r="H48" s="102" t="n">
        <v>-174440</v>
      </c>
      <c r="I48" s="102" t="n">
        <v>-174440</v>
      </c>
      <c r="J48" s="102" t="n">
        <v>-174440</v>
      </c>
      <c r="K48" s="102" t="n">
        <v>-174440</v>
      </c>
      <c r="L48" s="102" t="n">
        <v>-174440</v>
      </c>
      <c r="M48" s="102" t="n">
        <v>-174440</v>
      </c>
      <c r="N48" s="102" t="n">
        <v>-174440</v>
      </c>
      <c r="O48" s="102" t="n">
        <v>-174440</v>
      </c>
      <c r="P48" s="102" t="n">
        <v>-174440</v>
      </c>
      <c r="Q48" s="102" t="n">
        <v>-174440</v>
      </c>
      <c r="R48" s="102" t="n">
        <v>-174440</v>
      </c>
      <c r="S48" s="102" t="n">
        <v>-174440</v>
      </c>
      <c r="T48" s="102" t="n">
        <v>-174440</v>
      </c>
      <c r="U48" s="102" t="n">
        <v>-174440</v>
      </c>
      <c r="V48" s="102" t="n">
        <v>-174440</v>
      </c>
      <c r="W48" s="102" t="n">
        <v>-174440</v>
      </c>
      <c r="X48" s="102"/>
    </row>
    <row r="49" customFormat="false" ht="18.75" hidden="false" customHeight="true" outlineLevel="0" collapsed="false">
      <c r="B49" s="100" t="s">
        <v>141</v>
      </c>
      <c r="C49" s="92" t="s">
        <v>4</v>
      </c>
      <c r="D49" s="102" t="n">
        <v>-41211.45</v>
      </c>
      <c r="E49" s="102" t="n">
        <v>-41211.45</v>
      </c>
      <c r="F49" s="102" t="n">
        <v>-41211.45</v>
      </c>
      <c r="G49" s="102" t="n">
        <v>-41211.45</v>
      </c>
      <c r="H49" s="102" t="n">
        <v>-41211.45</v>
      </c>
      <c r="I49" s="102" t="n">
        <v>-41211.45</v>
      </c>
      <c r="J49" s="102" t="n">
        <v>-41211.45</v>
      </c>
      <c r="K49" s="102" t="n">
        <v>-41211.45</v>
      </c>
      <c r="L49" s="102" t="n">
        <v>-41211.45</v>
      </c>
      <c r="M49" s="102" t="n">
        <v>-41211.45</v>
      </c>
      <c r="N49" s="102" t="n">
        <v>-41211.45</v>
      </c>
      <c r="O49" s="102" t="n">
        <v>-41211.45</v>
      </c>
      <c r="P49" s="102" t="n">
        <v>-41211.45</v>
      </c>
      <c r="Q49" s="102" t="n">
        <v>-41211.45</v>
      </c>
      <c r="R49" s="102" t="n">
        <v>-41211.45</v>
      </c>
      <c r="S49" s="102" t="n">
        <v>-41211.45</v>
      </c>
      <c r="T49" s="102" t="n">
        <v>-41211.45</v>
      </c>
      <c r="U49" s="102" t="n">
        <v>-41211.45</v>
      </c>
      <c r="V49" s="102" t="n">
        <v>-41211.45</v>
      </c>
      <c r="W49" s="102" t="n">
        <v>-41211.45</v>
      </c>
      <c r="X49" s="102"/>
    </row>
    <row r="50" customFormat="false" ht="18.75" hidden="false" customHeight="true" outlineLevel="0" collapsed="false">
      <c r="B50" s="100" t="s">
        <v>142</v>
      </c>
      <c r="C50" s="92"/>
      <c r="D50" s="102" t="n">
        <v>-43610</v>
      </c>
      <c r="E50" s="102" t="n">
        <v>-43610</v>
      </c>
      <c r="F50" s="102" t="n">
        <v>-43610</v>
      </c>
      <c r="G50" s="102" t="n">
        <v>-43610</v>
      </c>
      <c r="H50" s="102" t="n">
        <v>-43610</v>
      </c>
      <c r="I50" s="102" t="n">
        <v>-43610</v>
      </c>
      <c r="J50" s="102" t="n">
        <v>-43610</v>
      </c>
      <c r="K50" s="102" t="n">
        <v>-43610</v>
      </c>
      <c r="L50" s="102" t="n">
        <v>-43610</v>
      </c>
      <c r="M50" s="102" t="n">
        <v>-43610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0</v>
      </c>
      <c r="S50" s="102" t="n">
        <v>0</v>
      </c>
      <c r="T50" s="102" t="n">
        <v>0</v>
      </c>
      <c r="U50" s="102" t="n">
        <v>0</v>
      </c>
      <c r="V50" s="102" t="n">
        <v>0</v>
      </c>
      <c r="W50" s="102" t="n">
        <v>0</v>
      </c>
      <c r="X50" s="102"/>
    </row>
    <row r="51" customFormat="false" ht="18.75" hidden="false" customHeight="true" outlineLevel="0" collapsed="false">
      <c r="B51" s="100" t="s">
        <v>143</v>
      </c>
      <c r="C51" s="103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customFormat="false" ht="18.75" hidden="false" customHeight="true" outlineLevel="0" collapsed="false">
      <c r="B52" s="100" t="s">
        <v>144</v>
      </c>
      <c r="C52" s="103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customFormat="false" ht="18.75" hidden="false" customHeight="true" outlineLevel="0" collapsed="false">
      <c r="B53" s="104" t="s">
        <v>145</v>
      </c>
      <c r="C53" s="103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customFormat="false" ht="18.75" hidden="false" customHeight="true" outlineLevel="0" collapsed="false">
      <c r="B54" s="104" t="s">
        <v>146</v>
      </c>
      <c r="C54" s="103"/>
      <c r="D54" s="102" t="n">
        <f aca="false">-(D64+D67+D68+D71+D72+D73+D74)*0.2</f>
        <v>-176406.294</v>
      </c>
      <c r="E54" s="102" t="n">
        <f aca="false">-(E64+E67+E68+E71+E72+E73+E74)*0.2</f>
        <v>-116615.6876</v>
      </c>
      <c r="F54" s="102" t="n">
        <f aca="false">-(F64+F67+F68+F71+F72+F73+F74)*0.2</f>
        <v>-114865.2812</v>
      </c>
      <c r="G54" s="102" t="n">
        <f aca="false">-(G64+G67+G68+G71+G72+G73+G74)*0.2</f>
        <v>-113114.8748</v>
      </c>
      <c r="H54" s="102" t="n">
        <f aca="false">-(H64+H67+H68+H71+H72+H73+H74)*0.2</f>
        <v>-111364.4684</v>
      </c>
      <c r="I54" s="102" t="n">
        <f aca="false">-(I64+I67+I68+I71+I72+I73+I74)*0.2</f>
        <v>-109614.062</v>
      </c>
      <c r="J54" s="102" t="n">
        <f aca="false">-(J64+J67+J68+J71+J72+J73+J74)*0.2</f>
        <v>-107863.6556</v>
      </c>
      <c r="K54" s="102" t="n">
        <f aca="false">-(K64+K67+K68+K71+K72+K73+K74)*0.2</f>
        <v>-106113.2492</v>
      </c>
      <c r="L54" s="102" t="n">
        <f aca="false">-(L64+L67+L68+L71+L72+L73+L74)*0.2</f>
        <v>-104362.8428</v>
      </c>
      <c r="M54" s="102" t="n">
        <f aca="false">-(M64+M67+M68+M71+M72+M73+M74)*0.2</f>
        <v>-102612.4364</v>
      </c>
      <c r="N54" s="102" t="n">
        <f aca="false">-(N64+N67+N68+N71+N72+N73+N74)*0.2</f>
        <v>-109584.03</v>
      </c>
      <c r="O54" s="102" t="n">
        <f aca="false">-(O64+O67+O68+O71+O72+O73+O74)*0.2</f>
        <v>-107833.6236</v>
      </c>
      <c r="P54" s="102" t="n">
        <f aca="false">-(P64+P67+P68+P71+P72+P73+P74)*0.2</f>
        <v>-106083.2172</v>
      </c>
      <c r="Q54" s="102" t="n">
        <f aca="false">-(Q64+Q67+Q68+Q71+Q72+Q73+Q74)*0.2</f>
        <v>-104332.8108</v>
      </c>
      <c r="R54" s="102" t="n">
        <f aca="false">-(R64+R67+R68+R71+R72+R73+R74)*0.2</f>
        <v>-102582.4044</v>
      </c>
      <c r="S54" s="102" t="n">
        <f aca="false">-(S64+S67+S68+S71+S72+S73+S74)*0.2</f>
        <v>-100831.998</v>
      </c>
      <c r="T54" s="102" t="n">
        <f aca="false">-(T64+T67+T68+T71+T72+T73+T74)*0.2</f>
        <v>-99081.5916</v>
      </c>
      <c r="U54" s="102" t="n">
        <f aca="false">-(U64+U67+U68+U71+U72+U73+U74)*0.2</f>
        <v>-97331.1852</v>
      </c>
      <c r="V54" s="102" t="n">
        <f aca="false">-(V64+V67+V68+V71+V72+V73+V74)*0.2</f>
        <v>-95580.7788</v>
      </c>
      <c r="W54" s="102" t="n">
        <f aca="false">-(W64+W67+W68+W71+W72+W73+W74)*0.2</f>
        <v>-93830.3724</v>
      </c>
      <c r="X54" s="93"/>
    </row>
    <row r="55" customFormat="false" ht="18.75" hidden="false" customHeight="true" outlineLevel="0" collapsed="false">
      <c r="B55" s="105" t="s">
        <v>147</v>
      </c>
      <c r="C55" s="106" t="n">
        <f aca="false">C44</f>
        <v>-20496700</v>
      </c>
      <c r="D55" s="107" t="n">
        <f aca="false">SUM(D41:D54)</f>
        <v>1440259.176</v>
      </c>
      <c r="E55" s="107" t="n">
        <f aca="false">SUM(E41:E54)</f>
        <v>1491297.7504</v>
      </c>
      <c r="F55" s="107" t="n">
        <f aca="false">SUM(F41:F54)</f>
        <v>1484296.1248</v>
      </c>
      <c r="G55" s="107" t="n">
        <f aca="false">SUM(G41:G54)</f>
        <v>1477294.4992</v>
      </c>
      <c r="H55" s="107" t="n">
        <f aca="false">SUM(H41:H54)</f>
        <v>1470292.8736</v>
      </c>
      <c r="I55" s="107" t="n">
        <f aca="false">SUM(I41:I54)</f>
        <v>1463291.248</v>
      </c>
      <c r="J55" s="107" t="n">
        <f aca="false">SUM(J41:J54)</f>
        <v>1456289.6224</v>
      </c>
      <c r="K55" s="107" t="n">
        <f aca="false">SUM(K41:K54)</f>
        <v>1449287.9968</v>
      </c>
      <c r="L55" s="107" t="n">
        <f aca="false">SUM(L41:L54)</f>
        <v>1442286.3712</v>
      </c>
      <c r="M55" s="107" t="n">
        <f aca="false">SUM(M41:M54)</f>
        <v>1435284.7456</v>
      </c>
      <c r="N55" s="107" t="n">
        <f aca="false">SUM(N41:N54)</f>
        <v>1463171.12</v>
      </c>
      <c r="O55" s="107" t="n">
        <f aca="false">SUM(O41:O54)</f>
        <v>1456169.4944</v>
      </c>
      <c r="P55" s="107" t="n">
        <f aca="false">SUM(P41:P54)</f>
        <v>1449167.8688</v>
      </c>
      <c r="Q55" s="107" t="n">
        <f aca="false">SUM(Q41:Q54)</f>
        <v>1442166.2432</v>
      </c>
      <c r="R55" s="107" t="n">
        <f aca="false">SUM(R41:R54)</f>
        <v>1435164.6176</v>
      </c>
      <c r="S55" s="107" t="n">
        <f aca="false">SUM(S41:S54)</f>
        <v>1428162.992</v>
      </c>
      <c r="T55" s="107" t="n">
        <f aca="false">SUM(T41:T54)</f>
        <v>1421161.3664</v>
      </c>
      <c r="U55" s="107" t="n">
        <f aca="false">SUM(U41:U54)</f>
        <v>1414159.7408</v>
      </c>
      <c r="V55" s="107" t="n">
        <f aca="false">SUM(V41:V54)</f>
        <v>1407158.1152</v>
      </c>
      <c r="W55" s="107" t="n">
        <f aca="false">SUM(W41:W54)</f>
        <v>1400156.4896</v>
      </c>
      <c r="X55" s="108"/>
      <c r="Y55" s="109"/>
      <c r="Z55" s="110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</row>
    <row r="56" customFormat="false" ht="18.75" hidden="false" customHeight="true" outlineLevel="0" collapsed="false">
      <c r="B56" s="111" t="s">
        <v>148</v>
      </c>
      <c r="D56" s="112" t="n">
        <f aca="false">C55+D55</f>
        <v>-19056440.824</v>
      </c>
      <c r="E56" s="112" t="n">
        <f aca="false">D56+E55</f>
        <v>-17565143.0736</v>
      </c>
      <c r="F56" s="112" t="n">
        <f aca="false">E56+F55</f>
        <v>-16080846.9488</v>
      </c>
      <c r="G56" s="112" t="n">
        <f aca="false">F56+G55</f>
        <v>-14603552.4496</v>
      </c>
      <c r="H56" s="112" t="n">
        <f aca="false">G56+H55</f>
        <v>-13133259.576</v>
      </c>
      <c r="I56" s="112" t="n">
        <f aca="false">H56+I55</f>
        <v>-11669968.328</v>
      </c>
      <c r="J56" s="112" t="n">
        <f aca="false">I56+J55</f>
        <v>-10213678.7056</v>
      </c>
      <c r="K56" s="112" t="n">
        <f aca="false">J56+K55</f>
        <v>-8764390.7088</v>
      </c>
      <c r="L56" s="112" t="n">
        <f aca="false">K56+L55</f>
        <v>-7322104.3376</v>
      </c>
      <c r="M56" s="112" t="n">
        <f aca="false">L56+M55</f>
        <v>-5886819.592</v>
      </c>
      <c r="N56" s="112" t="n">
        <f aca="false">M56+N55</f>
        <v>-4423648.472</v>
      </c>
      <c r="O56" s="112" t="n">
        <f aca="false">N56+O55</f>
        <v>-2967478.9776</v>
      </c>
      <c r="P56" s="112" t="n">
        <f aca="false">O56+P55</f>
        <v>-1518311.1088</v>
      </c>
      <c r="Q56" s="112" t="n">
        <f aca="false">P56+Q55</f>
        <v>-76144.8656000011</v>
      </c>
      <c r="R56" s="112" t="n">
        <f aca="false">Q56+R55</f>
        <v>1359019.752</v>
      </c>
      <c r="S56" s="112" t="n">
        <f aca="false">R56+S55</f>
        <v>2787182.744</v>
      </c>
      <c r="T56" s="112" t="n">
        <f aca="false">S56+T55</f>
        <v>4208344.1104</v>
      </c>
      <c r="U56" s="112" t="n">
        <f aca="false">T56+U55</f>
        <v>5622503.8512</v>
      </c>
      <c r="V56" s="112" t="n">
        <f aca="false">U56+V55</f>
        <v>7029661.9664</v>
      </c>
      <c r="W56" s="112" t="n">
        <f aca="false">V56+W55</f>
        <v>8429818.456</v>
      </c>
      <c r="X56" s="112" t="n">
        <f aca="false">W56+X55</f>
        <v>8429818.456</v>
      </c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 customFormat="false" ht="18.75" hidden="false" customHeight="true" outlineLevel="0" collapsed="false">
      <c r="B57" s="113" t="s">
        <v>149</v>
      </c>
      <c r="C57" s="114"/>
      <c r="D57" s="115" t="str">
        <f aca="false">IF((D56)&gt;0,"回收","未回收")</f>
        <v>未回收</v>
      </c>
      <c r="E57" s="116" t="str">
        <f aca="false">IF((E56)&gt;0,"回收","未回收")</f>
        <v>未回收</v>
      </c>
      <c r="F57" s="116" t="str">
        <f aca="false">IF((F56)&gt;0,"回收","未回收")</f>
        <v>未回收</v>
      </c>
      <c r="G57" s="116" t="str">
        <f aca="false">IF((G56)&gt;0,"回收","未回收")</f>
        <v>未回收</v>
      </c>
      <c r="H57" s="116" t="str">
        <f aca="false">IF((H56)&gt;0,"回收","未回收")</f>
        <v>未回收</v>
      </c>
      <c r="I57" s="116" t="str">
        <f aca="false">IF((I56)&gt;0,"回收","未回收")</f>
        <v>未回收</v>
      </c>
      <c r="J57" s="116" t="str">
        <f aca="false">IF((J56)&gt;0,"回收","未回收")</f>
        <v>未回收</v>
      </c>
      <c r="K57" s="116" t="str">
        <f aca="false">IF((K56)&gt;0,"回收","未回收")</f>
        <v>未回收</v>
      </c>
      <c r="L57" s="116" t="str">
        <f aca="false">IF((L56)&gt;0,"回收","未回收")</f>
        <v>未回收</v>
      </c>
      <c r="M57" s="116" t="str">
        <f aca="false">IF((M56)&gt;0,"回收","未回收")</f>
        <v>未回收</v>
      </c>
      <c r="N57" s="116" t="str">
        <f aca="false">IF((N56)&gt;0,"回收","未回收")</f>
        <v>未回收</v>
      </c>
      <c r="O57" s="116" t="str">
        <f aca="false">IF((O56)&gt;0,"回收","未回收")</f>
        <v>未回收</v>
      </c>
      <c r="P57" s="116" t="str">
        <f aca="false">IF((P56)&gt;0,"回收","未回收")</f>
        <v>未回收</v>
      </c>
      <c r="Q57" s="116" t="str">
        <f aca="false">IF((Q56)&gt;0,"回收","未回收")</f>
        <v>未回收</v>
      </c>
      <c r="R57" s="116" t="str">
        <f aca="false">IF((R56)&gt;0,"回收","未回收")</f>
        <v>回收</v>
      </c>
      <c r="S57" s="116" t="str">
        <f aca="false">IF((S56)&gt;0,"回收","未回收")</f>
        <v>回收</v>
      </c>
      <c r="T57" s="116" t="str">
        <f aca="false">IF((T56)&gt;0,"回收","未回收")</f>
        <v>回收</v>
      </c>
      <c r="U57" s="116" t="str">
        <f aca="false">IF((U56)&gt;0,"回收","未回收")</f>
        <v>回收</v>
      </c>
      <c r="V57" s="116" t="str">
        <f aca="false">IF((V56)&gt;0,"回收","未回收")</f>
        <v>回收</v>
      </c>
      <c r="W57" s="116" t="str">
        <f aca="false">IF((W56)&gt;0,"回收","未回收")</f>
        <v>回收</v>
      </c>
      <c r="X57" s="116" t="str">
        <f aca="false">IF((X56)&gt;0,"回收","未回收")</f>
        <v>回收</v>
      </c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</row>
    <row r="58" customFormat="false" ht="18.75" hidden="false" customHeight="true" outlineLevel="0" collapsed="false">
      <c r="B58" s="117" t="s">
        <v>74</v>
      </c>
      <c r="C58" s="118" t="n">
        <f aca="false">IRR(C55:W55)</f>
        <v>0.0356238874146794</v>
      </c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20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69"/>
      <c r="C60" s="70" t="s">
        <v>130</v>
      </c>
      <c r="D60" s="70" t="n">
        <f aca="false">D37</f>
        <v>2020</v>
      </c>
      <c r="E60" s="70" t="n">
        <f aca="false">E37</f>
        <v>2021</v>
      </c>
      <c r="F60" s="70" t="n">
        <f aca="false">F37</f>
        <v>2022</v>
      </c>
      <c r="G60" s="70" t="n">
        <f aca="false">G37</f>
        <v>2023</v>
      </c>
      <c r="H60" s="70" t="n">
        <f aca="false">H37</f>
        <v>2024</v>
      </c>
      <c r="I60" s="70" t="n">
        <f aca="false">I37</f>
        <v>2025</v>
      </c>
      <c r="J60" s="70" t="n">
        <f aca="false">J37</f>
        <v>2026</v>
      </c>
      <c r="K60" s="70" t="n">
        <f aca="false">K37</f>
        <v>2027</v>
      </c>
      <c r="L60" s="70" t="n">
        <f aca="false">L37</f>
        <v>2028</v>
      </c>
      <c r="M60" s="70" t="n">
        <f aca="false">M37</f>
        <v>2029</v>
      </c>
      <c r="N60" s="70" t="n">
        <f aca="false">N37</f>
        <v>2030</v>
      </c>
      <c r="O60" s="70" t="n">
        <f aca="false">O37</f>
        <v>2031</v>
      </c>
      <c r="P60" s="70" t="n">
        <f aca="false">P37</f>
        <v>2032</v>
      </c>
      <c r="Q60" s="70" t="n">
        <f aca="false">Q37</f>
        <v>2033</v>
      </c>
      <c r="R60" s="70" t="n">
        <f aca="false">R37</f>
        <v>2034</v>
      </c>
      <c r="S60" s="70" t="n">
        <f aca="false">S37</f>
        <v>2035</v>
      </c>
      <c r="T60" s="70" t="n">
        <f aca="false">T37</f>
        <v>2036</v>
      </c>
      <c r="U60" s="70" t="n">
        <f aca="false">U37</f>
        <v>2037</v>
      </c>
      <c r="V60" s="70" t="n">
        <f aca="false">V37</f>
        <v>2038</v>
      </c>
      <c r="W60" s="70" t="n">
        <f aca="false">W37</f>
        <v>2039</v>
      </c>
      <c r="X60" s="70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customFormat="false" ht="18.75" hidden="false" customHeight="true" outlineLevel="0" collapsed="false">
      <c r="B61" s="71" t="n">
        <v>0</v>
      </c>
      <c r="C61" s="72"/>
      <c r="D61" s="73"/>
      <c r="E61" s="73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23" t="s">
        <v>150</v>
      </c>
      <c r="U61" s="75"/>
      <c r="V61" s="75"/>
      <c r="W61" s="75"/>
      <c r="X61" s="77"/>
    </row>
    <row r="62" customFormat="false" ht="18.75" hidden="false" customHeight="true" outlineLevel="0" collapsed="false">
      <c r="B62" s="78" t="s">
        <v>131</v>
      </c>
      <c r="C62" s="79" t="n">
        <v>0</v>
      </c>
      <c r="D62" s="80" t="n">
        <v>1</v>
      </c>
      <c r="E62" s="80" t="n">
        <v>2</v>
      </c>
      <c r="F62" s="80" t="n">
        <v>3</v>
      </c>
      <c r="G62" s="80" t="n">
        <v>4</v>
      </c>
      <c r="H62" s="80" t="n">
        <v>5</v>
      </c>
      <c r="I62" s="80" t="n">
        <v>6</v>
      </c>
      <c r="J62" s="80" t="n">
        <v>7</v>
      </c>
      <c r="K62" s="80" t="n">
        <v>8</v>
      </c>
      <c r="L62" s="80" t="n">
        <v>9</v>
      </c>
      <c r="M62" s="80" t="n">
        <v>10</v>
      </c>
      <c r="N62" s="80" t="n">
        <v>11</v>
      </c>
      <c r="O62" s="80" t="n">
        <v>12</v>
      </c>
      <c r="P62" s="80" t="n">
        <v>13</v>
      </c>
      <c r="Q62" s="80" t="n">
        <v>14</v>
      </c>
      <c r="R62" s="80" t="n">
        <v>15</v>
      </c>
      <c r="S62" s="80" t="n">
        <v>16</v>
      </c>
      <c r="T62" s="124" t="n">
        <v>17</v>
      </c>
      <c r="U62" s="80" t="n">
        <v>18</v>
      </c>
      <c r="V62" s="80" t="n">
        <v>19</v>
      </c>
      <c r="W62" s="80" t="n">
        <v>20</v>
      </c>
      <c r="X62" s="82"/>
    </row>
    <row r="63" customFormat="false" ht="18.75" hidden="false" customHeight="true" outlineLevel="0" collapsed="false">
      <c r="B63" s="83" t="s">
        <v>132</v>
      </c>
      <c r="C63" s="84" t="n">
        <v>0</v>
      </c>
      <c r="D63" s="85" t="n">
        <f aca="false">D40</f>
        <v>541531.98</v>
      </c>
      <c r="E63" s="85" t="n">
        <f aca="false">E40</f>
        <v>539343.972</v>
      </c>
      <c r="F63" s="85" t="n">
        <f aca="false">F40</f>
        <v>537155.964</v>
      </c>
      <c r="G63" s="85" t="n">
        <f aca="false">G40</f>
        <v>534967.956</v>
      </c>
      <c r="H63" s="85" t="n">
        <f aca="false">H40</f>
        <v>532779.948</v>
      </c>
      <c r="I63" s="85" t="n">
        <f aca="false">I40</f>
        <v>530591.94</v>
      </c>
      <c r="J63" s="85" t="n">
        <f aca="false">J40</f>
        <v>528403.932</v>
      </c>
      <c r="K63" s="85" t="n">
        <f aca="false">K40</f>
        <v>526215.924</v>
      </c>
      <c r="L63" s="85" t="n">
        <f aca="false">L40</f>
        <v>524027.916</v>
      </c>
      <c r="M63" s="85" t="n">
        <f aca="false">M40</f>
        <v>521839.908</v>
      </c>
      <c r="N63" s="85" t="n">
        <f aca="false">N40</f>
        <v>519651.9</v>
      </c>
      <c r="O63" s="85" t="n">
        <f aca="false">O40</f>
        <v>517463.892</v>
      </c>
      <c r="P63" s="85" t="n">
        <f aca="false">P40</f>
        <v>515275.884</v>
      </c>
      <c r="Q63" s="85" t="n">
        <f aca="false">Q40</f>
        <v>513087.876</v>
      </c>
      <c r="R63" s="85" t="n">
        <f aca="false">R40</f>
        <v>510899.868</v>
      </c>
      <c r="S63" s="85" t="n">
        <f aca="false">S40</f>
        <v>508711.86</v>
      </c>
      <c r="T63" s="85" t="n">
        <f aca="false">T40</f>
        <v>506523.852</v>
      </c>
      <c r="U63" s="85" t="n">
        <f aca="false">U40</f>
        <v>504335.844</v>
      </c>
      <c r="V63" s="85" t="n">
        <f aca="false">V40</f>
        <v>502147.836</v>
      </c>
      <c r="W63" s="85" t="n">
        <f aca="false">W40</f>
        <v>499959.828</v>
      </c>
      <c r="X63" s="86"/>
    </row>
    <row r="64" customFormat="false" ht="18.75" hidden="false" customHeight="true" outlineLevel="0" collapsed="false">
      <c r="B64" s="87" t="s">
        <v>133</v>
      </c>
      <c r="C64" s="88" t="s">
        <v>4</v>
      </c>
      <c r="D64" s="89" t="n">
        <f aca="false">D41</f>
        <v>2166127.92</v>
      </c>
      <c r="E64" s="89" t="n">
        <f aca="false">E41</f>
        <v>2157375.888</v>
      </c>
      <c r="F64" s="89" t="n">
        <f aca="false">F41</f>
        <v>2148623.856</v>
      </c>
      <c r="G64" s="89" t="n">
        <f aca="false">G41</f>
        <v>2139871.824</v>
      </c>
      <c r="H64" s="89" t="n">
        <f aca="false">H41</f>
        <v>2131119.792</v>
      </c>
      <c r="I64" s="89" t="n">
        <f aca="false">I41</f>
        <v>2122367.76</v>
      </c>
      <c r="J64" s="89" t="n">
        <f aca="false">J41</f>
        <v>2113615.728</v>
      </c>
      <c r="K64" s="89" t="n">
        <f aca="false">K41</f>
        <v>2104863.696</v>
      </c>
      <c r="L64" s="89" t="n">
        <f aca="false">L41</f>
        <v>2096111.664</v>
      </c>
      <c r="M64" s="89" t="n">
        <f aca="false">M41</f>
        <v>2087359.632</v>
      </c>
      <c r="N64" s="89" t="n">
        <f aca="false">N41</f>
        <v>2078607.6</v>
      </c>
      <c r="O64" s="89" t="n">
        <f aca="false">O41</f>
        <v>2069855.568</v>
      </c>
      <c r="P64" s="89" t="n">
        <f aca="false">P41</f>
        <v>2061103.536</v>
      </c>
      <c r="Q64" s="89" t="n">
        <f aca="false">Q41</f>
        <v>2052351.504</v>
      </c>
      <c r="R64" s="89" t="n">
        <f aca="false">R41</f>
        <v>2043599.472</v>
      </c>
      <c r="S64" s="89" t="n">
        <f aca="false">S41</f>
        <v>2034847.44</v>
      </c>
      <c r="T64" s="89" t="n">
        <f aca="false">T41</f>
        <v>2026095.408</v>
      </c>
      <c r="U64" s="89" t="n">
        <f aca="false">U41</f>
        <v>2017343.376</v>
      </c>
      <c r="V64" s="89" t="n">
        <f aca="false">V41</f>
        <v>2008591.344</v>
      </c>
      <c r="W64" s="89" t="n">
        <f aca="false">W41</f>
        <v>1999839.312</v>
      </c>
      <c r="X64" s="90"/>
    </row>
    <row r="65" customFormat="false" ht="18.75" hidden="false" customHeight="true" outlineLevel="0" collapsed="false">
      <c r="B65" s="91" t="s">
        <v>134</v>
      </c>
      <c r="C65" s="92" t="s">
        <v>4</v>
      </c>
      <c r="D65" s="93"/>
      <c r="E65" s="93"/>
      <c r="F65" s="93"/>
      <c r="G65" s="94" t="s">
        <v>4</v>
      </c>
      <c r="H65" s="94" t="s">
        <v>4</v>
      </c>
      <c r="I65" s="94" t="s">
        <v>4</v>
      </c>
      <c r="J65" s="94" t="s">
        <v>4</v>
      </c>
      <c r="K65" s="94" t="s">
        <v>4</v>
      </c>
      <c r="L65" s="94" t="s">
        <v>4</v>
      </c>
      <c r="M65" s="94" t="s">
        <v>4</v>
      </c>
      <c r="N65" s="94" t="s">
        <v>4</v>
      </c>
      <c r="O65" s="94" t="s">
        <v>4</v>
      </c>
      <c r="P65" s="94" t="s">
        <v>4</v>
      </c>
      <c r="Q65" s="94" t="s">
        <v>4</v>
      </c>
      <c r="R65" s="94" t="s">
        <v>4</v>
      </c>
      <c r="S65" s="94" t="s">
        <v>4</v>
      </c>
      <c r="T65" s="94" t="s">
        <v>4</v>
      </c>
      <c r="U65" s="94" t="s">
        <v>4</v>
      </c>
      <c r="V65" s="94" t="s">
        <v>4</v>
      </c>
      <c r="W65" s="94" t="s">
        <v>4</v>
      </c>
      <c r="X65" s="95"/>
    </row>
    <row r="66" customFormat="false" ht="18.75" hidden="false" customHeight="true" outlineLevel="0" collapsed="false">
      <c r="B66" s="96" t="s">
        <v>135</v>
      </c>
      <c r="C66" s="97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customFormat="false" ht="18.75" hidden="false" customHeight="true" outlineLevel="0" collapsed="false">
      <c r="B67" s="100" t="s">
        <v>151</v>
      </c>
      <c r="C67" s="92"/>
      <c r="D67" s="125" t="n">
        <f aca="false">$C$44/$E$16</f>
        <v>-1024835</v>
      </c>
      <c r="E67" s="125" t="n">
        <f aca="false">$C$44/$E$16</f>
        <v>-1024835</v>
      </c>
      <c r="F67" s="125" t="n">
        <f aca="false">$C$44/$E$16</f>
        <v>-1024835</v>
      </c>
      <c r="G67" s="125" t="n">
        <f aca="false">$C$44/$E$16</f>
        <v>-1024835</v>
      </c>
      <c r="H67" s="125" t="n">
        <f aca="false">$C$44/$E$16</f>
        <v>-1024835</v>
      </c>
      <c r="I67" s="125" t="n">
        <f aca="false">$C$44/$E$16</f>
        <v>-1024835</v>
      </c>
      <c r="J67" s="125" t="n">
        <f aca="false">$C$44/$E$16</f>
        <v>-1024835</v>
      </c>
      <c r="K67" s="125" t="n">
        <f aca="false">$C$44/$E$16</f>
        <v>-1024835</v>
      </c>
      <c r="L67" s="125" t="n">
        <f aca="false">$C$44/$E$16</f>
        <v>-1024835</v>
      </c>
      <c r="M67" s="125" t="n">
        <f aca="false">$C$44/$E$16</f>
        <v>-1024835</v>
      </c>
      <c r="N67" s="125" t="n">
        <f aca="false">$C$44/$E$16</f>
        <v>-1024835</v>
      </c>
      <c r="O67" s="125" t="n">
        <f aca="false">$C$44/$E$16</f>
        <v>-1024835</v>
      </c>
      <c r="P67" s="125" t="n">
        <f aca="false">$C$44/$E$16</f>
        <v>-1024835</v>
      </c>
      <c r="Q67" s="125" t="n">
        <f aca="false">$C$44/$E$16</f>
        <v>-1024835</v>
      </c>
      <c r="R67" s="125" t="n">
        <f aca="false">$C$44/$E$16</f>
        <v>-1024835</v>
      </c>
      <c r="S67" s="125" t="n">
        <f aca="false">$C$44/$E$16</f>
        <v>-1024835</v>
      </c>
      <c r="T67" s="125" t="n">
        <f aca="false">$C$44/$E$16</f>
        <v>-1024835</v>
      </c>
      <c r="U67" s="125" t="n">
        <f aca="false">$C$44/$E$16</f>
        <v>-1024835</v>
      </c>
      <c r="V67" s="125" t="n">
        <f aca="false">$C$44/$E$16</f>
        <v>-1024835</v>
      </c>
      <c r="W67" s="125" t="n">
        <f aca="false">$C$44/$E$16</f>
        <v>-1024835</v>
      </c>
      <c r="X67" s="95"/>
    </row>
    <row r="68" customFormat="false" ht="18.75" hidden="false" customHeight="true" outlineLevel="0" collapsed="false">
      <c r="B68" s="100" t="s">
        <v>137</v>
      </c>
      <c r="C68" s="92" t="s">
        <v>4</v>
      </c>
      <c r="D68" s="102" t="n">
        <f aca="false">D44</f>
        <v>0</v>
      </c>
      <c r="E68" s="102" t="n">
        <f aca="false">E45</f>
        <v>-290201</v>
      </c>
      <c r="F68" s="102" t="n">
        <f aca="false">F45</f>
        <v>-290201</v>
      </c>
      <c r="G68" s="102" t="n">
        <f aca="false">G45</f>
        <v>-290201</v>
      </c>
      <c r="H68" s="102" t="n">
        <f aca="false">H45</f>
        <v>-290201</v>
      </c>
      <c r="I68" s="102" t="n">
        <f aca="false">I45</f>
        <v>-290201</v>
      </c>
      <c r="J68" s="102" t="n">
        <f aca="false">J45</f>
        <v>-290201</v>
      </c>
      <c r="K68" s="102" t="n">
        <f aca="false">K45</f>
        <v>-290201</v>
      </c>
      <c r="L68" s="102" t="n">
        <f aca="false">L45</f>
        <v>-290201</v>
      </c>
      <c r="M68" s="102" t="n">
        <f aca="false">M45</f>
        <v>-290201</v>
      </c>
      <c r="N68" s="102" t="n">
        <f aca="false">N45</f>
        <v>-290201</v>
      </c>
      <c r="O68" s="102" t="n">
        <f aca="false">O45</f>
        <v>-290201</v>
      </c>
      <c r="P68" s="102" t="n">
        <f aca="false">P45</f>
        <v>-290201</v>
      </c>
      <c r="Q68" s="102" t="n">
        <f aca="false">Q45</f>
        <v>-290201</v>
      </c>
      <c r="R68" s="102" t="n">
        <f aca="false">R45</f>
        <v>-290201</v>
      </c>
      <c r="S68" s="102" t="n">
        <f aca="false">S45</f>
        <v>-290201</v>
      </c>
      <c r="T68" s="102" t="n">
        <f aca="false">T45</f>
        <v>-290201</v>
      </c>
      <c r="U68" s="102" t="n">
        <f aca="false">U45</f>
        <v>-290201</v>
      </c>
      <c r="V68" s="102" t="n">
        <f aca="false">V45</f>
        <v>-290201</v>
      </c>
      <c r="W68" s="102" t="n">
        <f aca="false">W45</f>
        <v>-290201</v>
      </c>
      <c r="X68" s="95"/>
    </row>
    <row r="69" customFormat="false" ht="18.75" hidden="false" customHeight="true" outlineLevel="0" collapsed="false">
      <c r="B69" s="100" t="s">
        <v>138</v>
      </c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  <row r="70" customFormat="false" ht="18.75" hidden="false" customHeight="true" outlineLevel="0" collapsed="false">
      <c r="B70" s="100" t="s">
        <v>139</v>
      </c>
      <c r="C70" s="92" t="s">
        <v>4</v>
      </c>
      <c r="D70" s="102" t="n">
        <f aca="false">-D109*$D25</f>
        <v>-419772.416</v>
      </c>
      <c r="E70" s="102" t="n">
        <f aca="false">-E109*$D25</f>
        <v>-391787.588266667</v>
      </c>
      <c r="F70" s="102" t="n">
        <f aca="false">-F109*$D25</f>
        <v>-363802.760533333</v>
      </c>
      <c r="G70" s="102" t="n">
        <f aca="false">-G109*$D25</f>
        <v>-335817.9328</v>
      </c>
      <c r="H70" s="102" t="n">
        <f aca="false">-H109*$D25</f>
        <v>-307833.105066667</v>
      </c>
      <c r="I70" s="102" t="n">
        <f aca="false">-I109*$D25</f>
        <v>-279848.277333334</v>
      </c>
      <c r="J70" s="102" t="n">
        <f aca="false">-J109*$D25</f>
        <v>-251863.4496</v>
      </c>
      <c r="K70" s="102" t="n">
        <f aca="false">-K109*$D25</f>
        <v>-223878.621866667</v>
      </c>
      <c r="L70" s="102" t="n">
        <f aca="false">-L109*$D25</f>
        <v>-195893.794133334</v>
      </c>
      <c r="M70" s="102" t="n">
        <f aca="false">-M109*$D25</f>
        <v>-167908.9664</v>
      </c>
      <c r="N70" s="102" t="n">
        <f aca="false">-N109*$D25</f>
        <v>-139924.138666667</v>
      </c>
      <c r="O70" s="102" t="n">
        <f aca="false">-O109*$D25</f>
        <v>-111939.310933334</v>
      </c>
      <c r="P70" s="102" t="n">
        <f aca="false">-P109*$D25</f>
        <v>-83954.4832000003</v>
      </c>
      <c r="Q70" s="102" t="n">
        <f aca="false">-Q109*$D25</f>
        <v>-55969.6554666669</v>
      </c>
      <c r="R70" s="102" t="n">
        <f aca="false">-R109*$D25</f>
        <v>-27984.8277333336</v>
      </c>
      <c r="S70" s="102" t="n">
        <f aca="false">-S109*$D25</f>
        <v>-2.86102294921875E-010</v>
      </c>
      <c r="T70" s="102" t="n">
        <f aca="false">-T109*$D25</f>
        <v>-2.86102294921875E-010</v>
      </c>
      <c r="U70" s="102" t="n">
        <f aca="false">-U109*$D25</f>
        <v>-2.86102294921875E-010</v>
      </c>
      <c r="V70" s="102" t="n">
        <f aca="false">-V109*$D25</f>
        <v>-2.86102294921875E-010</v>
      </c>
      <c r="W70" s="102" t="n">
        <f aca="false">-W109*$D25</f>
        <v>-2.86102294921875E-010</v>
      </c>
      <c r="X70" s="95"/>
    </row>
    <row r="71" customFormat="false" ht="18.75" hidden="false" customHeight="true" outlineLevel="0" collapsed="false">
      <c r="B71" s="100" t="s">
        <v>140</v>
      </c>
      <c r="C71" s="92" t="s">
        <v>4</v>
      </c>
      <c r="D71" s="102" t="n">
        <f aca="false">D48</f>
        <v>-174440</v>
      </c>
      <c r="E71" s="102" t="n">
        <f aca="false">E48</f>
        <v>-174440</v>
      </c>
      <c r="F71" s="102" t="n">
        <f aca="false">F48</f>
        <v>-174440</v>
      </c>
      <c r="G71" s="102" t="n">
        <f aca="false">G48</f>
        <v>-174440</v>
      </c>
      <c r="H71" s="102" t="n">
        <f aca="false">H48</f>
        <v>-174440</v>
      </c>
      <c r="I71" s="102" t="n">
        <f aca="false">I48</f>
        <v>-174440</v>
      </c>
      <c r="J71" s="102" t="n">
        <f aca="false">J48</f>
        <v>-174440</v>
      </c>
      <c r="K71" s="102" t="n">
        <f aca="false">K48</f>
        <v>-174440</v>
      </c>
      <c r="L71" s="102" t="n">
        <f aca="false">L48</f>
        <v>-174440</v>
      </c>
      <c r="M71" s="102" t="n">
        <f aca="false">M48</f>
        <v>-174440</v>
      </c>
      <c r="N71" s="102" t="n">
        <f aca="false">N48</f>
        <v>-174440</v>
      </c>
      <c r="O71" s="102" t="n">
        <f aca="false">O48</f>
        <v>-174440</v>
      </c>
      <c r="P71" s="102" t="n">
        <f aca="false">P48</f>
        <v>-174440</v>
      </c>
      <c r="Q71" s="102" t="n">
        <f aca="false">Q48</f>
        <v>-174440</v>
      </c>
      <c r="R71" s="102" t="n">
        <f aca="false">R48</f>
        <v>-174440</v>
      </c>
      <c r="S71" s="102" t="n">
        <f aca="false">S48</f>
        <v>-174440</v>
      </c>
      <c r="T71" s="102" t="n">
        <f aca="false">T48</f>
        <v>-174440</v>
      </c>
      <c r="U71" s="102" t="n">
        <f aca="false">U48</f>
        <v>-174440</v>
      </c>
      <c r="V71" s="102" t="n">
        <f aca="false">V48</f>
        <v>-174440</v>
      </c>
      <c r="W71" s="102" t="n">
        <f aca="false">W48</f>
        <v>-174440</v>
      </c>
      <c r="X71" s="95"/>
    </row>
    <row r="72" customFormat="false" ht="18.75" hidden="false" customHeight="true" outlineLevel="0" collapsed="false">
      <c r="B72" s="100" t="s">
        <v>141</v>
      </c>
      <c r="C72" s="92" t="s">
        <v>4</v>
      </c>
      <c r="D72" s="102" t="n">
        <f aca="false">D49</f>
        <v>-41211.45</v>
      </c>
      <c r="E72" s="102" t="n">
        <f aca="false">E49</f>
        <v>-41211.45</v>
      </c>
      <c r="F72" s="102" t="n">
        <f aca="false">F49</f>
        <v>-41211.45</v>
      </c>
      <c r="G72" s="102" t="n">
        <f aca="false">G49</f>
        <v>-41211.45</v>
      </c>
      <c r="H72" s="102" t="n">
        <f aca="false">H49</f>
        <v>-41211.45</v>
      </c>
      <c r="I72" s="102" t="n">
        <f aca="false">I49</f>
        <v>-41211.45</v>
      </c>
      <c r="J72" s="102" t="n">
        <f aca="false">J49</f>
        <v>-41211.45</v>
      </c>
      <c r="K72" s="102" t="n">
        <f aca="false">K49</f>
        <v>-41211.45</v>
      </c>
      <c r="L72" s="102" t="n">
        <f aca="false">L49</f>
        <v>-41211.45</v>
      </c>
      <c r="M72" s="102" t="n">
        <f aca="false">M49</f>
        <v>-41211.45</v>
      </c>
      <c r="N72" s="102" t="n">
        <f aca="false">N49</f>
        <v>-41211.45</v>
      </c>
      <c r="O72" s="102" t="n">
        <f aca="false">O49</f>
        <v>-41211.45</v>
      </c>
      <c r="P72" s="102" t="n">
        <f aca="false">P49</f>
        <v>-41211.45</v>
      </c>
      <c r="Q72" s="102" t="n">
        <f aca="false">Q49</f>
        <v>-41211.45</v>
      </c>
      <c r="R72" s="102" t="n">
        <f aca="false">R49</f>
        <v>-41211.45</v>
      </c>
      <c r="S72" s="102" t="n">
        <f aca="false">S49</f>
        <v>-41211.45</v>
      </c>
      <c r="T72" s="102" t="n">
        <f aca="false">T49</f>
        <v>-41211.45</v>
      </c>
      <c r="U72" s="102" t="n">
        <f aca="false">U49</f>
        <v>-41211.45</v>
      </c>
      <c r="V72" s="102" t="n">
        <f aca="false">V49</f>
        <v>-41211.45</v>
      </c>
      <c r="W72" s="102" t="n">
        <f aca="false">W49</f>
        <v>-41211.45</v>
      </c>
      <c r="X72" s="95"/>
    </row>
    <row r="73" customFormat="false" ht="18.75" hidden="false" customHeight="true" outlineLevel="0" collapsed="false">
      <c r="B73" s="100" t="s">
        <v>142</v>
      </c>
      <c r="C73" s="92"/>
      <c r="D73" s="102" t="n">
        <f aca="false">D50</f>
        <v>-43610</v>
      </c>
      <c r="E73" s="102" t="n">
        <f aca="false">E50</f>
        <v>-43610</v>
      </c>
      <c r="F73" s="102" t="n">
        <f aca="false">F50</f>
        <v>-43610</v>
      </c>
      <c r="G73" s="102" t="n">
        <f aca="false">G50</f>
        <v>-43610</v>
      </c>
      <c r="H73" s="102" t="n">
        <f aca="false">H50</f>
        <v>-43610</v>
      </c>
      <c r="I73" s="102" t="n">
        <f aca="false">I50</f>
        <v>-43610</v>
      </c>
      <c r="J73" s="102" t="n">
        <f aca="false">J50</f>
        <v>-43610</v>
      </c>
      <c r="K73" s="102" t="n">
        <f aca="false">K50</f>
        <v>-43610</v>
      </c>
      <c r="L73" s="102" t="n">
        <f aca="false">L50</f>
        <v>-43610</v>
      </c>
      <c r="M73" s="102" t="n">
        <f aca="false">M50</f>
        <v>-43610</v>
      </c>
      <c r="N73" s="102" t="n">
        <f aca="false">N50</f>
        <v>0</v>
      </c>
      <c r="O73" s="102" t="n">
        <f aca="false">O50</f>
        <v>0</v>
      </c>
      <c r="P73" s="102" t="n">
        <f aca="false">P50</f>
        <v>0</v>
      </c>
      <c r="Q73" s="102" t="n">
        <f aca="false">Q50</f>
        <v>0</v>
      </c>
      <c r="R73" s="102" t="n">
        <f aca="false">R50</f>
        <v>0</v>
      </c>
      <c r="S73" s="102" t="n">
        <f aca="false">S50</f>
        <v>0</v>
      </c>
      <c r="T73" s="102" t="n">
        <f aca="false">T50</f>
        <v>0</v>
      </c>
      <c r="U73" s="102" t="n">
        <f aca="false">U50</f>
        <v>0</v>
      </c>
      <c r="V73" s="102" t="n">
        <f aca="false">V50</f>
        <v>0</v>
      </c>
      <c r="W73" s="102" t="n">
        <f aca="false">W50</f>
        <v>0</v>
      </c>
      <c r="X73" s="95"/>
    </row>
    <row r="74" customFormat="false" ht="18.75" hidden="false" customHeight="true" outlineLevel="0" collapsed="false">
      <c r="B74" s="100" t="s">
        <v>143</v>
      </c>
      <c r="C74" s="103"/>
      <c r="D74" s="126"/>
      <c r="E74" s="127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5"/>
    </row>
    <row r="75" customFormat="false" ht="18.75" hidden="false" customHeight="true" outlineLevel="0" collapsed="false">
      <c r="B75" s="100" t="s">
        <v>144</v>
      </c>
      <c r="C75" s="10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5"/>
    </row>
    <row r="76" customFormat="false" ht="18.75" hidden="false" customHeight="true" outlineLevel="0" collapsed="false">
      <c r="B76" s="105" t="s">
        <v>152</v>
      </c>
      <c r="C76" s="128"/>
      <c r="D76" s="107" t="n">
        <f aca="false">SUM(D64:D75)</f>
        <v>462259.054</v>
      </c>
      <c r="E76" s="107" t="n">
        <f aca="false">SUM(E64:E75)</f>
        <v>191290.849733333</v>
      </c>
      <c r="F76" s="107" t="n">
        <f aca="false">SUM(F64:F75)</f>
        <v>210523.645466667</v>
      </c>
      <c r="G76" s="107" t="n">
        <f aca="false">SUM(G64:G75)</f>
        <v>229756.4412</v>
      </c>
      <c r="H76" s="107" t="n">
        <f aca="false">SUM(H64:H75)</f>
        <v>248989.236933333</v>
      </c>
      <c r="I76" s="107" t="n">
        <f aca="false">SUM(I64:I75)</f>
        <v>268222.032666666</v>
      </c>
      <c r="J76" s="107" t="n">
        <f aca="false">SUM(J64:J75)</f>
        <v>287454.8284</v>
      </c>
      <c r="K76" s="107" t="n">
        <f aca="false">SUM(K64:K75)</f>
        <v>306687.624133333</v>
      </c>
      <c r="L76" s="107" t="n">
        <f aca="false">SUM(L64:L75)</f>
        <v>325920.419866666</v>
      </c>
      <c r="M76" s="107" t="n">
        <f aca="false">SUM(M64:M75)</f>
        <v>345153.2156</v>
      </c>
      <c r="N76" s="107" t="n">
        <f aca="false">SUM(N64:N75)</f>
        <v>407996.011333333</v>
      </c>
      <c r="O76" s="107" t="n">
        <f aca="false">SUM(O64:O75)</f>
        <v>427228.807066666</v>
      </c>
      <c r="P76" s="107" t="n">
        <f aca="false">SUM(P64:P75)</f>
        <v>446461.6028</v>
      </c>
      <c r="Q76" s="107" t="n">
        <f aca="false">SUM(Q64:Q75)</f>
        <v>465694.398533333</v>
      </c>
      <c r="R76" s="107" t="n">
        <f aca="false">SUM(R64:R75)</f>
        <v>484927.194266666</v>
      </c>
      <c r="S76" s="107" t="n">
        <f aca="false">SUM(S64:S75)</f>
        <v>504159.99</v>
      </c>
      <c r="T76" s="107" t="n">
        <f aca="false">SUM(T64:T75)</f>
        <v>495407.958</v>
      </c>
      <c r="U76" s="107" t="n">
        <f aca="false">SUM(U64:U75)</f>
        <v>486655.926</v>
      </c>
      <c r="V76" s="107" t="n">
        <f aca="false">SUM(V64:V75)</f>
        <v>477903.894</v>
      </c>
      <c r="W76" s="107" t="n">
        <f aca="false">SUM(W64:W75)</f>
        <v>469151.862</v>
      </c>
      <c r="X76" s="107" t="n">
        <f aca="false">SUM(X64:X75)</f>
        <v>0</v>
      </c>
    </row>
    <row r="77" customFormat="false" ht="18.75" hidden="false" customHeight="true" outlineLevel="0" collapsed="false">
      <c r="B77" s="104" t="s">
        <v>146</v>
      </c>
      <c r="C77" s="103"/>
      <c r="D77" s="102" t="n">
        <f aca="false">-D76*0.2</f>
        <v>-92451.8108</v>
      </c>
      <c r="E77" s="102" t="n">
        <f aca="false">-E76*0.2</f>
        <v>-38258.1699466666</v>
      </c>
      <c r="F77" s="102" t="n">
        <f aca="false">-F76*0.2</f>
        <v>-42104.7290933334</v>
      </c>
      <c r="G77" s="102" t="n">
        <f aca="false">-G76*0.2</f>
        <v>-45951.28824</v>
      </c>
      <c r="H77" s="102" t="n">
        <f aca="false">-H76*0.2</f>
        <v>-49797.8473866666</v>
      </c>
      <c r="I77" s="102" t="n">
        <f aca="false">-I76*0.2</f>
        <v>-53644.4065333333</v>
      </c>
      <c r="J77" s="102" t="n">
        <f aca="false">-J76*0.2</f>
        <v>-57490.96568</v>
      </c>
      <c r="K77" s="102" t="n">
        <f aca="false">-K76*0.2</f>
        <v>-61337.5248266666</v>
      </c>
      <c r="L77" s="102" t="n">
        <f aca="false">-L76*0.2</f>
        <v>-65184.0839733333</v>
      </c>
      <c r="M77" s="102" t="n">
        <f aca="false">-M76*0.2</f>
        <v>-69030.64312</v>
      </c>
      <c r="N77" s="102" t="n">
        <f aca="false">-N76*0.2</f>
        <v>-81599.2022666666</v>
      </c>
      <c r="O77" s="102" t="n">
        <f aca="false">-O76*0.2</f>
        <v>-85445.7614133333</v>
      </c>
      <c r="P77" s="102" t="n">
        <f aca="false">-P76*0.2</f>
        <v>-89292.3205599999</v>
      </c>
      <c r="Q77" s="102" t="n">
        <f aca="false">-Q76*0.2</f>
        <v>-93138.8797066666</v>
      </c>
      <c r="R77" s="102" t="n">
        <f aca="false">-R76*0.2</f>
        <v>-96985.4388533333</v>
      </c>
      <c r="S77" s="102" t="n">
        <f aca="false">-S76*0.2</f>
        <v>-100831.998</v>
      </c>
      <c r="T77" s="102" t="n">
        <f aca="false">-T76*0.2</f>
        <v>-99081.5915999999</v>
      </c>
      <c r="U77" s="102" t="n">
        <f aca="false">-U76*0.2</f>
        <v>-97331.1852</v>
      </c>
      <c r="V77" s="102" t="n">
        <f aca="false">-V76*0.2</f>
        <v>-95580.7787999999</v>
      </c>
      <c r="W77" s="102" t="n">
        <f aca="false">-W76*0.2</f>
        <v>-93830.3723999999</v>
      </c>
      <c r="X77" s="102" t="n">
        <f aca="false">-X76*0.2</f>
        <v>-0</v>
      </c>
    </row>
    <row r="78" customFormat="false" ht="15.75" hidden="false" customHeight="true" outlineLevel="0" collapsed="false">
      <c r="B78" s="129" t="s">
        <v>153</v>
      </c>
      <c r="D78" s="102" t="n">
        <f aca="false">SUM(D76:D77)</f>
        <v>369807.2432</v>
      </c>
      <c r="E78" s="102" t="n">
        <f aca="false">SUM(E76:E77)</f>
        <v>153032.679786666</v>
      </c>
      <c r="F78" s="102" t="n">
        <f aca="false">SUM(F76:F77)</f>
        <v>168418.916373333</v>
      </c>
      <c r="G78" s="102" t="n">
        <f aca="false">SUM(G76:G77)</f>
        <v>183805.15296</v>
      </c>
      <c r="H78" s="102" t="n">
        <f aca="false">SUM(H76:H77)</f>
        <v>199191.389546666</v>
      </c>
      <c r="I78" s="102" t="n">
        <f aca="false">SUM(I76:I77)</f>
        <v>214577.626133333</v>
      </c>
      <c r="J78" s="102" t="n">
        <f aca="false">SUM(J76:J77)</f>
        <v>229963.86272</v>
      </c>
      <c r="K78" s="102" t="n">
        <f aca="false">SUM(K76:K77)</f>
        <v>245350.099306666</v>
      </c>
      <c r="L78" s="102" t="n">
        <f aca="false">SUM(L76:L77)</f>
        <v>260736.335893333</v>
      </c>
      <c r="M78" s="102" t="n">
        <f aca="false">SUM(M76:M77)</f>
        <v>276122.57248</v>
      </c>
      <c r="N78" s="102" t="n">
        <f aca="false">SUM(N76:N77)</f>
        <v>326396.809066666</v>
      </c>
      <c r="O78" s="102" t="n">
        <f aca="false">SUM(O76:O77)</f>
        <v>341783.045653333</v>
      </c>
      <c r="P78" s="102" t="n">
        <f aca="false">SUM(P76:P77)</f>
        <v>357169.28224</v>
      </c>
      <c r="Q78" s="102" t="n">
        <f aca="false">SUM(Q76:Q77)</f>
        <v>372555.518826666</v>
      </c>
      <c r="R78" s="102" t="n">
        <f aca="false">SUM(R76:R77)</f>
        <v>387941.755413333</v>
      </c>
      <c r="S78" s="102" t="n">
        <f aca="false">SUM(S76:S77)</f>
        <v>403327.992</v>
      </c>
      <c r="T78" s="102" t="n">
        <f aca="false">SUM(T76:T77)</f>
        <v>396326.3664</v>
      </c>
      <c r="U78" s="102" t="n">
        <f aca="false">SUM(U76:U77)</f>
        <v>389324.7408</v>
      </c>
      <c r="V78" s="102" t="n">
        <f aca="false">SUM(V76:V77)</f>
        <v>382323.1152</v>
      </c>
      <c r="W78" s="102" t="n">
        <f aca="false">SUM(W76:W77)</f>
        <v>375321.4896</v>
      </c>
      <c r="X78" s="102" t="n">
        <f aca="false">SUM(X76:X77)</f>
        <v>0</v>
      </c>
    </row>
    <row r="79" customFormat="false" ht="18.75" hidden="false" customHeight="true" outlineLevel="0" collapsed="false">
      <c r="B79" s="111" t="s">
        <v>148</v>
      </c>
      <c r="C79" s="114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1"/>
    </row>
    <row r="80" customFormat="false" ht="18.75" hidden="false" customHeight="true" outlineLevel="0" collapsed="false">
      <c r="B80" s="132" t="s">
        <v>149</v>
      </c>
      <c r="C80" s="133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5"/>
    </row>
    <row r="81" customFormat="false" ht="18.75" hidden="false" customHeight="true" outlineLevel="0" collapsed="false">
      <c r="B81" s="120"/>
      <c r="C81" s="119"/>
      <c r="D81" s="119"/>
      <c r="E81" s="119"/>
      <c r="F81" s="120"/>
      <c r="G81" s="120"/>
      <c r="H81" s="120"/>
      <c r="I81" s="120"/>
      <c r="J81" s="120"/>
      <c r="K81" s="120"/>
      <c r="L81" s="120"/>
      <c r="M81" s="119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</row>
    <row r="82" customFormat="false" ht="18.75" hidden="false" customHeight="true" outlineLevel="0" collapsed="false">
      <c r="C82" s="136" t="s">
        <v>130</v>
      </c>
      <c r="D82" s="137" t="n">
        <f aca="false">D37</f>
        <v>2020</v>
      </c>
      <c r="E82" s="137" t="n">
        <f aca="false">E37</f>
        <v>2021</v>
      </c>
      <c r="F82" s="137" t="n">
        <f aca="false">F37</f>
        <v>2022</v>
      </c>
      <c r="G82" s="137" t="n">
        <f aca="false">G37</f>
        <v>2023</v>
      </c>
      <c r="H82" s="137" t="n">
        <f aca="false">H37</f>
        <v>2024</v>
      </c>
      <c r="I82" s="137" t="n">
        <f aca="false">I37</f>
        <v>2025</v>
      </c>
      <c r="J82" s="137" t="n">
        <f aca="false">J37</f>
        <v>2026</v>
      </c>
      <c r="K82" s="137" t="n">
        <f aca="false">K37</f>
        <v>2027</v>
      </c>
      <c r="L82" s="137" t="n">
        <f aca="false">L37</f>
        <v>2028</v>
      </c>
      <c r="M82" s="137" t="n">
        <f aca="false">M37</f>
        <v>2029</v>
      </c>
      <c r="N82" s="137" t="n">
        <f aca="false">N37</f>
        <v>2030</v>
      </c>
      <c r="O82" s="137" t="n">
        <f aca="false">O37</f>
        <v>2031</v>
      </c>
      <c r="P82" s="137" t="n">
        <f aca="false">P37</f>
        <v>2032</v>
      </c>
      <c r="Q82" s="137" t="n">
        <f aca="false">Q37</f>
        <v>2033</v>
      </c>
      <c r="R82" s="137" t="n">
        <f aca="false">R37</f>
        <v>2034</v>
      </c>
      <c r="S82" s="137" t="n">
        <f aca="false">S37</f>
        <v>2035</v>
      </c>
      <c r="T82" s="137" t="n">
        <f aca="false">T37</f>
        <v>2036</v>
      </c>
      <c r="U82" s="137" t="n">
        <f aca="false">U37</f>
        <v>2037</v>
      </c>
      <c r="V82" s="137" t="n">
        <f aca="false">V37</f>
        <v>2038</v>
      </c>
      <c r="W82" s="137" t="n">
        <f aca="false">W37</f>
        <v>2039</v>
      </c>
      <c r="X82" s="12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138" t="s">
        <v>131</v>
      </c>
      <c r="C84" s="138" t="n">
        <v>0</v>
      </c>
      <c r="D84" s="138" t="n">
        <v>1</v>
      </c>
      <c r="E84" s="138" t="n">
        <v>2</v>
      </c>
      <c r="F84" s="138" t="n">
        <v>3</v>
      </c>
      <c r="G84" s="138" t="n">
        <v>4</v>
      </c>
      <c r="H84" s="138" t="n">
        <v>5</v>
      </c>
      <c r="I84" s="138" t="n">
        <v>6</v>
      </c>
      <c r="J84" s="138" t="n">
        <v>7</v>
      </c>
      <c r="K84" s="138" t="n">
        <v>8</v>
      </c>
      <c r="L84" s="138" t="n">
        <v>9</v>
      </c>
      <c r="M84" s="138" t="n">
        <v>10</v>
      </c>
      <c r="N84" s="138" t="n">
        <v>11</v>
      </c>
      <c r="O84" s="138" t="n">
        <v>12</v>
      </c>
      <c r="P84" s="138" t="n">
        <v>13</v>
      </c>
      <c r="Q84" s="138" t="n">
        <v>14</v>
      </c>
      <c r="R84" s="138" t="n">
        <v>15</v>
      </c>
      <c r="S84" s="138" t="n">
        <v>16</v>
      </c>
      <c r="T84" s="138" t="n">
        <v>17</v>
      </c>
      <c r="U84" s="138" t="n">
        <v>18</v>
      </c>
      <c r="V84" s="138" t="n">
        <v>19</v>
      </c>
      <c r="W84" s="138" t="n">
        <v>20</v>
      </c>
      <c r="X84" s="139"/>
    </row>
    <row r="85" customFormat="false" ht="18.75" hidden="false" customHeight="true" outlineLevel="0" collapsed="false">
      <c r="B85" s="140" t="s">
        <v>153</v>
      </c>
      <c r="C85" s="140"/>
      <c r="D85" s="141" t="n">
        <f aca="false">D78</f>
        <v>369807.2432</v>
      </c>
      <c r="E85" s="141" t="n">
        <f aca="false">E78</f>
        <v>153032.679786666</v>
      </c>
      <c r="F85" s="141" t="n">
        <f aca="false">F78</f>
        <v>168418.916373333</v>
      </c>
      <c r="G85" s="141" t="n">
        <f aca="false">G78</f>
        <v>183805.15296</v>
      </c>
      <c r="H85" s="141" t="n">
        <f aca="false">H78</f>
        <v>199191.389546666</v>
      </c>
      <c r="I85" s="141" t="n">
        <f aca="false">I78</f>
        <v>214577.626133333</v>
      </c>
      <c r="J85" s="141" t="n">
        <f aca="false">J78</f>
        <v>229963.86272</v>
      </c>
      <c r="K85" s="141" t="n">
        <f aca="false">K78</f>
        <v>245350.099306666</v>
      </c>
      <c r="L85" s="141" t="n">
        <f aca="false">L78</f>
        <v>260736.335893333</v>
      </c>
      <c r="M85" s="141" t="n">
        <f aca="false">M78</f>
        <v>276122.57248</v>
      </c>
      <c r="N85" s="141" t="n">
        <f aca="false">N78</f>
        <v>326396.809066666</v>
      </c>
      <c r="O85" s="141" t="n">
        <f aca="false">O78</f>
        <v>341783.045653333</v>
      </c>
      <c r="P85" s="141" t="n">
        <f aca="false">P78</f>
        <v>357169.28224</v>
      </c>
      <c r="Q85" s="141" t="n">
        <f aca="false">Q78</f>
        <v>372555.518826666</v>
      </c>
      <c r="R85" s="141" t="n">
        <f aca="false">R78</f>
        <v>387941.755413333</v>
      </c>
      <c r="S85" s="141" t="n">
        <f aca="false">S78</f>
        <v>403327.992</v>
      </c>
      <c r="T85" s="141" t="n">
        <f aca="false">T78</f>
        <v>396326.3664</v>
      </c>
      <c r="U85" s="141" t="n">
        <f aca="false">U78</f>
        <v>389324.7408</v>
      </c>
      <c r="V85" s="141" t="n">
        <f aca="false">V78</f>
        <v>382323.1152</v>
      </c>
      <c r="W85" s="141" t="n">
        <f aca="false">W78</f>
        <v>375321.4896</v>
      </c>
      <c r="X85" s="140"/>
      <c r="Y85" s="140"/>
    </row>
    <row r="86" customFormat="false" ht="15.75" hidden="false" customHeight="true" outlineLevel="0" collapsed="false">
      <c r="B86" s="140" t="s">
        <v>154</v>
      </c>
      <c r="C86" s="140"/>
      <c r="D86" s="142" t="n">
        <f aca="false">-D67</f>
        <v>1024835</v>
      </c>
      <c r="E86" s="142" t="n">
        <f aca="false">-E67</f>
        <v>1024835</v>
      </c>
      <c r="F86" s="142" t="n">
        <f aca="false">-F67</f>
        <v>1024835</v>
      </c>
      <c r="G86" s="142" t="n">
        <f aca="false">-G67</f>
        <v>1024835</v>
      </c>
      <c r="H86" s="142" t="n">
        <f aca="false">-H67</f>
        <v>1024835</v>
      </c>
      <c r="I86" s="142" t="n">
        <f aca="false">-I67</f>
        <v>1024835</v>
      </c>
      <c r="J86" s="142" t="n">
        <f aca="false">-J67</f>
        <v>1024835</v>
      </c>
      <c r="K86" s="142" t="n">
        <f aca="false">-K67</f>
        <v>1024835</v>
      </c>
      <c r="L86" s="142" t="n">
        <f aca="false">-L67</f>
        <v>1024835</v>
      </c>
      <c r="M86" s="142" t="n">
        <f aca="false">-M67</f>
        <v>1024835</v>
      </c>
      <c r="N86" s="142" t="n">
        <f aca="false">-N67</f>
        <v>1024835</v>
      </c>
      <c r="O86" s="142" t="n">
        <f aca="false">-O67</f>
        <v>1024835</v>
      </c>
      <c r="P86" s="142" t="n">
        <f aca="false">-P67</f>
        <v>1024835</v>
      </c>
      <c r="Q86" s="142" t="n">
        <f aca="false">-Q67</f>
        <v>1024835</v>
      </c>
      <c r="R86" s="142" t="n">
        <f aca="false">-R67</f>
        <v>1024835</v>
      </c>
      <c r="S86" s="142" t="n">
        <f aca="false">-S67</f>
        <v>1024835</v>
      </c>
      <c r="T86" s="142" t="n">
        <f aca="false">-T67</f>
        <v>1024835</v>
      </c>
      <c r="U86" s="142" t="n">
        <f aca="false">-U67</f>
        <v>1024835</v>
      </c>
      <c r="V86" s="142" t="n">
        <f aca="false">-V67</f>
        <v>1024835</v>
      </c>
      <c r="W86" s="142" t="n">
        <f aca="false">-W67</f>
        <v>1024835</v>
      </c>
      <c r="X86" s="143"/>
      <c r="Y86" s="143"/>
    </row>
    <row r="87" customFormat="false" ht="15.75" hidden="false" customHeight="true" outlineLevel="0" collapsed="false">
      <c r="B87" s="140" t="s">
        <v>155</v>
      </c>
      <c r="C87" s="140"/>
      <c r="D87" s="144" t="n">
        <f aca="false">SUM(D85:D86)</f>
        <v>1394642.2432</v>
      </c>
      <c r="E87" s="144" t="n">
        <f aca="false">SUM(E85:E86)</f>
        <v>1177867.67978667</v>
      </c>
      <c r="F87" s="144" t="n">
        <f aca="false">SUM(F85:F86)</f>
        <v>1193253.91637333</v>
      </c>
      <c r="G87" s="144" t="n">
        <f aca="false">SUM(G85:G86)</f>
        <v>1208640.15296</v>
      </c>
      <c r="H87" s="144" t="n">
        <f aca="false">SUM(H85:H86)</f>
        <v>1224026.38954667</v>
      </c>
      <c r="I87" s="144" t="n">
        <f aca="false">SUM(I85:I86)</f>
        <v>1239412.62613333</v>
      </c>
      <c r="J87" s="144" t="n">
        <f aca="false">SUM(J85:J86)</f>
        <v>1254798.86272</v>
      </c>
      <c r="K87" s="144" t="n">
        <f aca="false">SUM(K85:K86)</f>
        <v>1270185.09930667</v>
      </c>
      <c r="L87" s="144" t="n">
        <f aca="false">SUM(L85:L86)</f>
        <v>1285571.33589333</v>
      </c>
      <c r="M87" s="144" t="n">
        <f aca="false">SUM(M85:M86)</f>
        <v>1300957.57248</v>
      </c>
      <c r="N87" s="144" t="n">
        <f aca="false">SUM(N85:N86)</f>
        <v>1351231.80906667</v>
      </c>
      <c r="O87" s="144" t="n">
        <f aca="false">SUM(O85:O86)</f>
        <v>1366618.04565333</v>
      </c>
      <c r="P87" s="144" t="n">
        <f aca="false">SUM(P85:P86)</f>
        <v>1382004.28224</v>
      </c>
      <c r="Q87" s="144" t="n">
        <f aca="false">SUM(Q85:Q86)</f>
        <v>1397390.51882667</v>
      </c>
      <c r="R87" s="144" t="n">
        <f aca="false">SUM(R85:R86)</f>
        <v>1412776.75541333</v>
      </c>
      <c r="S87" s="144" t="n">
        <f aca="false">SUM(S85:S86)</f>
        <v>1428162.992</v>
      </c>
      <c r="T87" s="144" t="n">
        <f aca="false">SUM(T85:T86)</f>
        <v>1421161.3664</v>
      </c>
      <c r="U87" s="144" t="n">
        <f aca="false">SUM(U85:U86)</f>
        <v>1414159.7408</v>
      </c>
      <c r="V87" s="144" t="n">
        <f aca="false">SUM(V85:V86)</f>
        <v>1407158.1152</v>
      </c>
      <c r="W87" s="144" t="n">
        <f aca="false">SUM(W85:W86)</f>
        <v>1400156.4896</v>
      </c>
      <c r="X87" s="110"/>
    </row>
    <row r="88" customFormat="false" ht="15.75" hidden="false" customHeight="true" outlineLevel="0" collapsed="false">
      <c r="B88" s="140"/>
      <c r="C88" s="140"/>
      <c r="D88" s="140"/>
      <c r="E88" s="140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9"/>
    </row>
    <row r="89" customFormat="false" ht="15.75" hidden="false" customHeight="true" outlineLevel="0" collapsed="false">
      <c r="B89" s="146" t="s">
        <v>156</v>
      </c>
      <c r="C89" s="147"/>
      <c r="D89" s="148" t="n">
        <f aca="false">C44</f>
        <v>-20496700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9"/>
    </row>
    <row r="90" customFormat="false" ht="15.75" hidden="false" customHeight="true" outlineLevel="0" collapsed="false">
      <c r="B90" s="140"/>
      <c r="C90" s="140"/>
      <c r="D90" s="140"/>
      <c r="E90" s="140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9"/>
    </row>
    <row r="91" customFormat="false" ht="15.75" hidden="false" customHeight="true" outlineLevel="0" collapsed="false">
      <c r="B91" s="140"/>
      <c r="C91" s="140"/>
      <c r="D91" s="140"/>
      <c r="E91" s="140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9"/>
    </row>
    <row r="92" customFormat="false" ht="15.75" hidden="false" customHeight="true" outlineLevel="0" collapsed="false">
      <c r="B92" s="146" t="s">
        <v>157</v>
      </c>
      <c r="C92" s="147"/>
      <c r="D92" s="148" t="n">
        <f aca="false">-D89*D31</f>
        <v>16397360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09"/>
    </row>
    <row r="93" customFormat="false" ht="15.75" hidden="false" customHeight="true" outlineLevel="0" collapsed="false">
      <c r="B93" s="140" t="s">
        <v>158</v>
      </c>
      <c r="C93" s="140"/>
      <c r="D93" s="150"/>
      <c r="E93" s="150" t="n">
        <v>-1093157.33333333</v>
      </c>
      <c r="F93" s="150" t="n">
        <v>-1093157.33333333</v>
      </c>
      <c r="G93" s="150" t="n">
        <v>-1093157.33333333</v>
      </c>
      <c r="H93" s="150" t="n">
        <v>-1093157.33333333</v>
      </c>
      <c r="I93" s="150" t="n">
        <v>-1093157.33333333</v>
      </c>
      <c r="J93" s="150" t="n">
        <v>-1093157.33333333</v>
      </c>
      <c r="K93" s="150" t="n">
        <v>-1093157.33333333</v>
      </c>
      <c r="L93" s="150" t="n">
        <v>-1093157.33333333</v>
      </c>
      <c r="M93" s="150" t="n">
        <v>-1093157.33333333</v>
      </c>
      <c r="N93" s="150" t="n">
        <v>-1093157.33333333</v>
      </c>
      <c r="O93" s="150" t="n">
        <v>-1093157.33333333</v>
      </c>
      <c r="P93" s="150" t="n">
        <v>-1093157.33333333</v>
      </c>
      <c r="Q93" s="150" t="n">
        <v>-1093157.33333333</v>
      </c>
      <c r="R93" s="150" t="n">
        <v>-1093157.33333333</v>
      </c>
      <c r="S93" s="150" t="n">
        <v>-1093157.33333333</v>
      </c>
      <c r="T93" s="150" t="n">
        <v>0</v>
      </c>
      <c r="U93" s="150" t="n">
        <v>0</v>
      </c>
      <c r="V93" s="150" t="n">
        <v>0</v>
      </c>
      <c r="W93" s="150" t="n">
        <v>0</v>
      </c>
      <c r="X93" s="149"/>
    </row>
    <row r="94" customFormat="false" ht="15.75" hidden="false" customHeight="true" outlineLevel="0" collapsed="false">
      <c r="B94" s="140" t="s">
        <v>159</v>
      </c>
      <c r="C94" s="145"/>
      <c r="D94" s="141" t="n">
        <f aca="false">-D89*(1-D31)</f>
        <v>4099340</v>
      </c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10"/>
    </row>
    <row r="95" customFormat="false" ht="15.75" hidden="false" customHeight="true" outlineLevel="0" collapsed="false">
      <c r="B95" s="140" t="s">
        <v>67</v>
      </c>
      <c r="C95" s="145"/>
      <c r="D95" s="145"/>
      <c r="E95" s="151" t="n">
        <f aca="false">-D85*$D$33</f>
        <v>-332826.51888</v>
      </c>
      <c r="F95" s="151" t="n">
        <f aca="false">-E85*$D$33</f>
        <v>-137729.411808</v>
      </c>
      <c r="G95" s="151" t="n">
        <f aca="false">-F85*$D$33</f>
        <v>-151577.024736</v>
      </c>
      <c r="H95" s="151" t="n">
        <f aca="false">-G85*$D$33</f>
        <v>-165424.637664</v>
      </c>
      <c r="I95" s="151" t="n">
        <f aca="false">-H85*$D$33</f>
        <v>-179272.250592</v>
      </c>
      <c r="J95" s="151" t="n">
        <f aca="false">-I85*$D$33</f>
        <v>-193119.86352</v>
      </c>
      <c r="K95" s="151" t="n">
        <f aca="false">-J85*$D$33</f>
        <v>-206967.476448</v>
      </c>
      <c r="L95" s="151" t="n">
        <f aca="false">-K85*$D$33</f>
        <v>-220815.089376</v>
      </c>
      <c r="M95" s="151" t="n">
        <f aca="false">-L85*$D$33</f>
        <v>-234662.702304</v>
      </c>
      <c r="N95" s="151" t="n">
        <f aca="false">-M85*$D$33</f>
        <v>-248510.315232</v>
      </c>
      <c r="O95" s="151" t="n">
        <f aca="false">-N85*$D$33</f>
        <v>-293757.12816</v>
      </c>
      <c r="P95" s="151" t="n">
        <f aca="false">-O85*$D$33</f>
        <v>-307604.741088</v>
      </c>
      <c r="Q95" s="151" t="n">
        <f aca="false">-P85*$D$33</f>
        <v>-321452.354016</v>
      </c>
      <c r="R95" s="151" t="n">
        <f aca="false">-Q85*$D$33</f>
        <v>-335299.966944</v>
      </c>
      <c r="S95" s="151" t="n">
        <f aca="false">-R85*$D$33</f>
        <v>-349147.579872</v>
      </c>
      <c r="T95" s="151" t="n">
        <f aca="false">-S85*$D$33</f>
        <v>-362995.1928</v>
      </c>
      <c r="U95" s="151" t="n">
        <f aca="false">-T85*$D$33</f>
        <v>-356693.72976</v>
      </c>
      <c r="V95" s="151" t="n">
        <f aca="false">-U85*$D$33</f>
        <v>-350392.26672</v>
      </c>
      <c r="W95" s="151" t="n">
        <f aca="false">-V85*$D$33</f>
        <v>-344090.80368</v>
      </c>
      <c r="X95" s="151" t="n">
        <f aca="false">-W85*$D$33</f>
        <v>-337789.34064</v>
      </c>
    </row>
    <row r="96" customFormat="false" ht="15.75" hidden="false" customHeight="true" outlineLevel="0" collapsed="false">
      <c r="B96" s="152" t="s">
        <v>70</v>
      </c>
      <c r="C96" s="153"/>
      <c r="D96" s="153" t="n">
        <v>0</v>
      </c>
      <c r="E96" s="154" t="n">
        <v>0</v>
      </c>
      <c r="F96" s="154" t="n">
        <v>0</v>
      </c>
      <c r="G96" s="154" t="n">
        <v>0</v>
      </c>
      <c r="H96" s="154" t="n">
        <v>0</v>
      </c>
      <c r="I96" s="154" t="n">
        <v>0</v>
      </c>
      <c r="J96" s="154" t="n">
        <v>0</v>
      </c>
      <c r="K96" s="154" t="n">
        <v>0</v>
      </c>
      <c r="L96" s="154" t="n">
        <v>0</v>
      </c>
      <c r="M96" s="154" t="n">
        <v>0</v>
      </c>
      <c r="N96" s="154" t="n">
        <v>0</v>
      </c>
      <c r="O96" s="154" t="n">
        <v>0</v>
      </c>
      <c r="P96" s="154" t="n">
        <v>0</v>
      </c>
      <c r="Q96" s="154" t="n">
        <v>0</v>
      </c>
      <c r="R96" s="154" t="n">
        <v>0</v>
      </c>
      <c r="S96" s="154" t="n">
        <v>0</v>
      </c>
      <c r="T96" s="154" t="n">
        <v>-1024835</v>
      </c>
      <c r="U96" s="154" t="n">
        <v>-1024835</v>
      </c>
      <c r="V96" s="154" t="n">
        <v>-1024835</v>
      </c>
      <c r="W96" s="154" t="n">
        <v>-1024835</v>
      </c>
      <c r="X96" s="155" t="n">
        <f aca="false">-W101-X95</f>
        <v>-603347.599360003</v>
      </c>
    </row>
    <row r="97" customFormat="false" ht="15.75" hidden="false" customHeight="true" outlineLevel="0" collapsed="false"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10"/>
    </row>
    <row r="98" customFormat="false" ht="15.75" hidden="false" customHeight="true" outlineLevel="0" collapsed="false"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10"/>
    </row>
    <row r="99" customFormat="false" ht="15.75" hidden="false" customHeight="true" outlineLevel="0" collapsed="false">
      <c r="B99" s="140" t="s">
        <v>160</v>
      </c>
      <c r="C99" s="141" t="n">
        <v>0</v>
      </c>
      <c r="D99" s="141" t="n">
        <f aca="false">SUM(D87:D96)</f>
        <v>1394642.2432</v>
      </c>
      <c r="E99" s="141" t="n">
        <f aca="false">SUM(E87:E96)</f>
        <v>-248116.172426666</v>
      </c>
      <c r="F99" s="141" t="n">
        <f aca="false">SUM(F87:F96)</f>
        <v>-37632.8287679994</v>
      </c>
      <c r="G99" s="141" t="n">
        <f aca="false">SUM(G87:G96)</f>
        <v>-36094.2051093332</v>
      </c>
      <c r="H99" s="141" t="n">
        <f aca="false">SUM(H87:H96)</f>
        <v>-34555.5814506664</v>
      </c>
      <c r="I99" s="141" t="n">
        <f aca="false">SUM(I87:I96)</f>
        <v>-33016.9577919999</v>
      </c>
      <c r="J99" s="141" t="n">
        <f aca="false">SUM(J87:J96)</f>
        <v>-31478.3341333329</v>
      </c>
      <c r="K99" s="141" t="n">
        <f aca="false">SUM(K87:K96)</f>
        <v>-29939.7104746664</v>
      </c>
      <c r="L99" s="141" t="n">
        <f aca="false">SUM(L87:L96)</f>
        <v>-28401.0868159999</v>
      </c>
      <c r="M99" s="141" t="n">
        <f aca="false">SUM(M87:M96)</f>
        <v>-26862.4631573329</v>
      </c>
      <c r="N99" s="141" t="n">
        <f aca="false">SUM(N87:N96)</f>
        <v>9564.16050133345</v>
      </c>
      <c r="O99" s="141" t="n">
        <f aca="false">SUM(O87:O96)</f>
        <v>-20296.4158399998</v>
      </c>
      <c r="P99" s="141" t="n">
        <f aca="false">SUM(P87:P96)</f>
        <v>-18757.7921813332</v>
      </c>
      <c r="Q99" s="141" t="n">
        <f aca="false">SUM(Q87:Q96)</f>
        <v>-17219.1685226664</v>
      </c>
      <c r="R99" s="141" t="n">
        <f aca="false">SUM(R87:R96)</f>
        <v>-15680.5448639998</v>
      </c>
      <c r="S99" s="141" t="n">
        <f aca="false">SUM(S87:S96)</f>
        <v>-14141.9212053331</v>
      </c>
      <c r="T99" s="141" t="n">
        <f aca="false">SUM(T87:T96)</f>
        <v>33331.1735999999</v>
      </c>
      <c r="U99" s="141" t="n">
        <f aca="false">SUM(U87:U96)</f>
        <v>32631.0110400002</v>
      </c>
      <c r="V99" s="141" t="n">
        <f aca="false">SUM(V87:V96)</f>
        <v>31930.8484799999</v>
      </c>
      <c r="W99" s="141" t="n">
        <f aca="false">SUM(W87:W96)</f>
        <v>31230.6859200001</v>
      </c>
      <c r="X99" s="110"/>
    </row>
    <row r="100" customFormat="false" ht="15.75" hidden="false" customHeight="true" outlineLevel="0" collapsed="false">
      <c r="B100" s="140" t="s">
        <v>161</v>
      </c>
      <c r="C100" s="141" t="n">
        <v>0</v>
      </c>
      <c r="D100" s="141" t="n">
        <f aca="false">C101</f>
        <v>0</v>
      </c>
      <c r="E100" s="141" t="n">
        <f aca="false">D101</f>
        <v>1394642.2432</v>
      </c>
      <c r="F100" s="141" t="n">
        <f aca="false">E101</f>
        <v>1146526.07077333</v>
      </c>
      <c r="G100" s="141" t="n">
        <f aca="false">F101</f>
        <v>1108893.24200533</v>
      </c>
      <c r="H100" s="141" t="n">
        <f aca="false">G101</f>
        <v>1072799.036896</v>
      </c>
      <c r="I100" s="141" t="n">
        <f aca="false">H101</f>
        <v>1038243.45544533</v>
      </c>
      <c r="J100" s="141" t="n">
        <f aca="false">I101</f>
        <v>1005226.49765333</v>
      </c>
      <c r="K100" s="141" t="n">
        <f aca="false">J101</f>
        <v>973748.163520001</v>
      </c>
      <c r="L100" s="141" t="n">
        <f aca="false">K101</f>
        <v>943808.453045334</v>
      </c>
      <c r="M100" s="141" t="n">
        <f aca="false">L101</f>
        <v>915407.366229335</v>
      </c>
      <c r="N100" s="141" t="n">
        <f aca="false">M101</f>
        <v>888544.903072002</v>
      </c>
      <c r="O100" s="141" t="n">
        <f aca="false">N101</f>
        <v>898109.063573335</v>
      </c>
      <c r="P100" s="141" t="n">
        <f aca="false">O101</f>
        <v>877812.647733335</v>
      </c>
      <c r="Q100" s="141" t="n">
        <f aca="false">P101</f>
        <v>859054.855552002</v>
      </c>
      <c r="R100" s="141" t="n">
        <f aca="false">Q101</f>
        <v>841835.687029336</v>
      </c>
      <c r="S100" s="141" t="n">
        <f aca="false">R101</f>
        <v>826155.142165336</v>
      </c>
      <c r="T100" s="141" t="n">
        <f aca="false">S101</f>
        <v>812013.220960003</v>
      </c>
      <c r="U100" s="141" t="n">
        <f aca="false">T101</f>
        <v>845344.394560003</v>
      </c>
      <c r="V100" s="141" t="n">
        <f aca="false">U101</f>
        <v>877975.405600003</v>
      </c>
      <c r="W100" s="141" t="n">
        <f aca="false">V101</f>
        <v>909906.254080003</v>
      </c>
      <c r="X100" s="109"/>
    </row>
    <row r="101" customFormat="false" ht="15.75" hidden="false" customHeight="true" outlineLevel="0" collapsed="false">
      <c r="B101" s="140" t="s">
        <v>162</v>
      </c>
      <c r="C101" s="141" t="n">
        <v>0</v>
      </c>
      <c r="D101" s="141" t="n">
        <f aca="false">D99+D100</f>
        <v>1394642.2432</v>
      </c>
      <c r="E101" s="141" t="n">
        <f aca="false">E99+E100</f>
        <v>1146526.07077333</v>
      </c>
      <c r="F101" s="141" t="n">
        <f aca="false">F99+F100</f>
        <v>1108893.24200533</v>
      </c>
      <c r="G101" s="141" t="n">
        <f aca="false">G99+G100</f>
        <v>1072799.036896</v>
      </c>
      <c r="H101" s="141" t="n">
        <f aca="false">H99+H100</f>
        <v>1038243.45544533</v>
      </c>
      <c r="I101" s="141" t="n">
        <f aca="false">I99+I100</f>
        <v>1005226.49765333</v>
      </c>
      <c r="J101" s="141" t="n">
        <f aca="false">J99+J100</f>
        <v>973748.163520001</v>
      </c>
      <c r="K101" s="141" t="n">
        <f aca="false">K99+K100</f>
        <v>943808.453045334</v>
      </c>
      <c r="L101" s="141" t="n">
        <f aca="false">L99+L100</f>
        <v>915407.366229335</v>
      </c>
      <c r="M101" s="141" t="n">
        <f aca="false">M99+M100</f>
        <v>888544.903072002</v>
      </c>
      <c r="N101" s="141" t="n">
        <f aca="false">N99+N100</f>
        <v>898109.063573335</v>
      </c>
      <c r="O101" s="141" t="n">
        <f aca="false">O99+O100</f>
        <v>877812.647733335</v>
      </c>
      <c r="P101" s="141" t="n">
        <f aca="false">P99+P100</f>
        <v>859054.855552002</v>
      </c>
      <c r="Q101" s="141" t="n">
        <f aca="false">Q99+Q100</f>
        <v>841835.687029336</v>
      </c>
      <c r="R101" s="141" t="n">
        <f aca="false">R99+R100</f>
        <v>826155.142165336</v>
      </c>
      <c r="S101" s="141" t="n">
        <f aca="false">S99+S100</f>
        <v>812013.220960003</v>
      </c>
      <c r="T101" s="141" t="n">
        <f aca="false">T99+T100</f>
        <v>845344.394560003</v>
      </c>
      <c r="U101" s="141" t="n">
        <f aca="false">U99+U100</f>
        <v>877975.405600003</v>
      </c>
      <c r="V101" s="141" t="n">
        <f aca="false">V99+V100</f>
        <v>909906.254080003</v>
      </c>
      <c r="W101" s="141" t="n">
        <f aca="false">W99+W100</f>
        <v>941136.940000003</v>
      </c>
      <c r="X101" s="109"/>
    </row>
    <row r="102" customFormat="false" ht="15.75" hidden="false" customHeight="true" outlineLevel="0" collapsed="false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</row>
    <row r="103" customFormat="false" ht="15.75" hidden="false" customHeight="true" outlineLevel="0" collapsed="false">
      <c r="B103" s="140"/>
      <c r="C103" s="140"/>
      <c r="D103" s="140"/>
      <c r="E103" s="140"/>
      <c r="F103" s="145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</row>
    <row r="104" customFormat="false" ht="15.75" hidden="false" customHeight="true" outlineLevel="0" collapsed="false">
      <c r="B104" s="156" t="s">
        <v>163</v>
      </c>
      <c r="C104" s="157"/>
      <c r="D104" s="158" t="n">
        <f aca="false">-D94</f>
        <v>-4099340</v>
      </c>
      <c r="E104" s="144" t="n">
        <f aca="false">-E95-E96</f>
        <v>332826.51888</v>
      </c>
      <c r="F104" s="144" t="n">
        <f aca="false">-F95-F96</f>
        <v>137729.411808</v>
      </c>
      <c r="G104" s="144" t="n">
        <f aca="false">-G95-G96</f>
        <v>151577.024736</v>
      </c>
      <c r="H104" s="144" t="n">
        <f aca="false">-H95-H96</f>
        <v>165424.637664</v>
      </c>
      <c r="I104" s="144" t="n">
        <f aca="false">-I95-I96</f>
        <v>179272.250592</v>
      </c>
      <c r="J104" s="144" t="n">
        <f aca="false">-J95-J96</f>
        <v>193119.86352</v>
      </c>
      <c r="K104" s="144" t="n">
        <f aca="false">-K95-K96</f>
        <v>206967.476448</v>
      </c>
      <c r="L104" s="144" t="n">
        <f aca="false">-L95-L96</f>
        <v>220815.089376</v>
      </c>
      <c r="M104" s="144" t="n">
        <f aca="false">-M95-M96</f>
        <v>234662.702304</v>
      </c>
      <c r="N104" s="144" t="n">
        <f aca="false">-N95-N96</f>
        <v>248510.315232</v>
      </c>
      <c r="O104" s="144" t="n">
        <f aca="false">-O95-O96</f>
        <v>293757.12816</v>
      </c>
      <c r="P104" s="144" t="n">
        <f aca="false">-P95-P96</f>
        <v>307604.741088</v>
      </c>
      <c r="Q104" s="144" t="n">
        <f aca="false">-Q95-Q96</f>
        <v>321452.354016</v>
      </c>
      <c r="R104" s="144" t="n">
        <f aca="false">-R95-R96</f>
        <v>335299.966944</v>
      </c>
      <c r="S104" s="144" t="n">
        <f aca="false">-S95-S96</f>
        <v>349147.579872</v>
      </c>
      <c r="T104" s="144" t="n">
        <f aca="false">-T95-T96</f>
        <v>1387830.1928</v>
      </c>
      <c r="U104" s="144" t="n">
        <f aca="false">-U95-U96</f>
        <v>1381528.72976</v>
      </c>
      <c r="V104" s="144" t="n">
        <f aca="false">-V95-V96</f>
        <v>1375227.26672</v>
      </c>
      <c r="W104" s="144" t="n">
        <f aca="false">-W95-W96</f>
        <v>1368925.80368</v>
      </c>
      <c r="X104" s="144" t="n">
        <f aca="false">-X95-X96</f>
        <v>941136.940000003</v>
      </c>
    </row>
    <row r="105" customFormat="false" ht="15.75" hidden="false" customHeight="true" outlineLevel="0" collapsed="false">
      <c r="B105" s="140" t="s">
        <v>75</v>
      </c>
      <c r="C105" s="159" t="n">
        <f aca="false">IRR(D104:X104)</f>
        <v>0.0689839448236074</v>
      </c>
      <c r="D105" s="145"/>
      <c r="E105" s="145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</row>
    <row r="106" customFormat="false" ht="15.75" hidden="false" customHeight="true" outlineLevel="0" collapsed="false">
      <c r="B106" s="156" t="s">
        <v>164</v>
      </c>
      <c r="C106" s="157"/>
      <c r="D106" s="158" t="n">
        <f aca="false">D85-D94</f>
        <v>-3729532.7568</v>
      </c>
      <c r="E106" s="144" t="n">
        <f aca="false">E85</f>
        <v>153032.679786666</v>
      </c>
      <c r="F106" s="144" t="n">
        <f aca="false">F85-F96</f>
        <v>168418.916373333</v>
      </c>
      <c r="G106" s="144" t="n">
        <f aca="false">G85-G96</f>
        <v>183805.15296</v>
      </c>
      <c r="H106" s="144" t="n">
        <f aca="false">H85-H96</f>
        <v>199191.389546666</v>
      </c>
      <c r="I106" s="144" t="n">
        <f aca="false">I85-I96</f>
        <v>214577.626133333</v>
      </c>
      <c r="J106" s="144" t="n">
        <f aca="false">J85-J96</f>
        <v>229963.86272</v>
      </c>
      <c r="K106" s="144" t="n">
        <f aca="false">K85-K96</f>
        <v>245350.099306666</v>
      </c>
      <c r="L106" s="144" t="n">
        <f aca="false">L85-L96</f>
        <v>260736.335893333</v>
      </c>
      <c r="M106" s="144" t="n">
        <f aca="false">M85-M96</f>
        <v>276122.57248</v>
      </c>
      <c r="N106" s="144" t="n">
        <f aca="false">N85-N96</f>
        <v>326396.809066666</v>
      </c>
      <c r="O106" s="144" t="n">
        <f aca="false">O85-O96</f>
        <v>341783.045653333</v>
      </c>
      <c r="P106" s="144" t="n">
        <f aca="false">P85-P96</f>
        <v>357169.28224</v>
      </c>
      <c r="Q106" s="144" t="n">
        <f aca="false">Q85-Q96</f>
        <v>372555.518826666</v>
      </c>
      <c r="R106" s="144" t="n">
        <f aca="false">R85-R96</f>
        <v>387941.755413333</v>
      </c>
      <c r="S106" s="144" t="n">
        <f aca="false">S85-S96</f>
        <v>403327.992</v>
      </c>
      <c r="T106" s="144" t="n">
        <f aca="false">T85-T96</f>
        <v>1421161.3664</v>
      </c>
      <c r="U106" s="144" t="n">
        <f aca="false">U85-U96</f>
        <v>1414159.7408</v>
      </c>
      <c r="V106" s="144" t="n">
        <f aca="false">V85-V96</f>
        <v>1407158.1152</v>
      </c>
      <c r="W106" s="144" t="n">
        <f aca="false">W85-W96</f>
        <v>1400156.4896</v>
      </c>
      <c r="X106" s="149"/>
    </row>
    <row r="107" customFormat="false" ht="15.75" hidden="false" customHeight="true" outlineLevel="0" collapsed="false">
      <c r="B107" s="156" t="s">
        <v>76</v>
      </c>
      <c r="C107" s="159" t="n">
        <f aca="false">IRR(D106:W106)</f>
        <v>0.0768017937827447</v>
      </c>
      <c r="D107" s="145"/>
      <c r="E107" s="145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</row>
    <row r="108" customFormat="false" ht="15.75" hidden="false" customHeight="true" outlineLevel="0" collapsed="false"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</row>
    <row r="109" customFormat="false" ht="15.75" hidden="false" customHeight="true" outlineLevel="0" collapsed="false">
      <c r="B109" s="140" t="s">
        <v>165</v>
      </c>
      <c r="C109" s="141" t="n">
        <v>0</v>
      </c>
      <c r="D109" s="141" t="n">
        <f aca="false">D92</f>
        <v>16397360</v>
      </c>
      <c r="E109" s="141" t="n">
        <f aca="false">D109+E93</f>
        <v>15304202.6666667</v>
      </c>
      <c r="F109" s="141" t="n">
        <f aca="false">E109+F93</f>
        <v>14211045.3333333</v>
      </c>
      <c r="G109" s="141" t="n">
        <f aca="false">F109+G93</f>
        <v>13117888</v>
      </c>
      <c r="H109" s="141" t="n">
        <f aca="false">G109+H93</f>
        <v>12024730.6666667</v>
      </c>
      <c r="I109" s="141" t="n">
        <f aca="false">H109+I93</f>
        <v>10931573.3333333</v>
      </c>
      <c r="J109" s="141" t="n">
        <f aca="false">I109+J93</f>
        <v>9838416.00000001</v>
      </c>
      <c r="K109" s="141" t="n">
        <f aca="false">J109+K93</f>
        <v>8745258.66666668</v>
      </c>
      <c r="L109" s="141" t="n">
        <f aca="false">K109+L93</f>
        <v>7652101.33333334</v>
      </c>
      <c r="M109" s="141" t="n">
        <f aca="false">L109+M93</f>
        <v>6558944.00000001</v>
      </c>
      <c r="N109" s="141" t="n">
        <f aca="false">M109+N93</f>
        <v>5465786.66666668</v>
      </c>
      <c r="O109" s="141" t="n">
        <f aca="false">N109+O93</f>
        <v>4372629.33333334</v>
      </c>
      <c r="P109" s="141" t="n">
        <f aca="false">O109+P93</f>
        <v>3279472.00000001</v>
      </c>
      <c r="Q109" s="141" t="n">
        <f aca="false">P109+Q93</f>
        <v>2186314.66666668</v>
      </c>
      <c r="R109" s="141" t="n">
        <f aca="false">Q109+R93</f>
        <v>1093157.33333334</v>
      </c>
      <c r="S109" s="141" t="n">
        <f aca="false">R109+S93</f>
        <v>1.11758708953857E-008</v>
      </c>
      <c r="T109" s="141" t="n">
        <f aca="false">S109+T93</f>
        <v>1.11758708953857E-008</v>
      </c>
      <c r="U109" s="141" t="n">
        <f aca="false">T109+U93</f>
        <v>1.11758708953857E-008</v>
      </c>
      <c r="V109" s="141" t="n">
        <f aca="false">U109+V93</f>
        <v>1.11758708953857E-008</v>
      </c>
      <c r="W109" s="141" t="n">
        <f aca="false">V109+W93</f>
        <v>1.11758708953857E-008</v>
      </c>
      <c r="X1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" t="s">
        <v>87</v>
      </c>
      <c r="C1" s="35"/>
      <c r="D1" s="35"/>
      <c r="E1" s="36"/>
      <c r="F1" s="2" t="s">
        <v>1</v>
      </c>
      <c r="P1" s="3" t="n">
        <f aca="false">1-D11</f>
        <v>0.99</v>
      </c>
      <c r="Q1" s="3" t="n">
        <f aca="false">P1-$D12</f>
        <v>0.986</v>
      </c>
      <c r="R1" s="3" t="n">
        <f aca="false">Q1-$D12</f>
        <v>0.982</v>
      </c>
      <c r="S1" s="3" t="n">
        <f aca="false">R1-$D12</f>
        <v>0.978</v>
      </c>
      <c r="T1" s="3" t="n">
        <f aca="false">S1-$D12</f>
        <v>0.974</v>
      </c>
      <c r="U1" s="3" t="n">
        <f aca="false">T1-$D12</f>
        <v>0.97</v>
      </c>
      <c r="V1" s="3" t="n">
        <f aca="false">U1-$D12</f>
        <v>0.966</v>
      </c>
      <c r="W1" s="3" t="n">
        <f aca="false">V1-$D12</f>
        <v>0.962</v>
      </c>
      <c r="X1" s="3" t="n">
        <f aca="false">W1-$D12</f>
        <v>0.958</v>
      </c>
      <c r="Y1" s="3" t="n">
        <f aca="false">X1-$D12</f>
        <v>0.954</v>
      </c>
      <c r="Z1" s="3" t="n">
        <f aca="false">Y1-$D12</f>
        <v>0.95</v>
      </c>
      <c r="AA1" s="3" t="n">
        <f aca="false">Z1-$D12</f>
        <v>0.946</v>
      </c>
      <c r="AB1" s="3" t="n">
        <f aca="false">AA1-$D12</f>
        <v>0.942</v>
      </c>
      <c r="AC1" s="3" t="n">
        <f aca="false">AB1-$D12</f>
        <v>0.938</v>
      </c>
      <c r="AD1" s="3" t="n">
        <f aca="false">AC1-$D12</f>
        <v>0.934</v>
      </c>
      <c r="AE1" s="3" t="n">
        <f aca="false">AD1-$D12</f>
        <v>0.93</v>
      </c>
      <c r="AF1" s="3" t="n">
        <f aca="false">AE1-$D12</f>
        <v>0.926</v>
      </c>
      <c r="AG1" s="3" t="n">
        <f aca="false">AF1-$D12</f>
        <v>0.922</v>
      </c>
      <c r="AH1" s="3" t="n">
        <f aca="false">AG1-$D12</f>
        <v>0.918</v>
      </c>
      <c r="AI1" s="3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6" t="s">
        <v>4</v>
      </c>
      <c r="E2" s="7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1" t="s">
        <v>4</v>
      </c>
      <c r="E3" s="12" t="s">
        <v>4</v>
      </c>
      <c r="F3" s="8" t="s">
        <v>88</v>
      </c>
    </row>
    <row r="4" customFormat="false" ht="21.75" hidden="false" customHeight="true" outlineLevel="0" collapsed="false">
      <c r="B4" s="40" t="s">
        <v>89</v>
      </c>
      <c r="C4" s="41" t="n">
        <v>436.1</v>
      </c>
      <c r="D4" s="11" t="s">
        <v>4</v>
      </c>
      <c r="E4" s="12" t="s">
        <v>4</v>
      </c>
      <c r="F4" s="8" t="s">
        <v>90</v>
      </c>
      <c r="M4" s="0" t="s">
        <v>171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8" t="s">
        <v>92</v>
      </c>
      <c r="M5" s="0" t="s">
        <v>172</v>
      </c>
    </row>
    <row r="6" customFormat="false" ht="20.25" hidden="false" customHeight="true" outlineLevel="0" collapsed="false">
      <c r="B6" s="13"/>
      <c r="C6" s="13"/>
      <c r="D6" s="13"/>
      <c r="E6" s="13"/>
      <c r="M6" s="0" t="s">
        <v>173</v>
      </c>
    </row>
    <row r="7" customFormat="false" ht="22.5" hidden="false" customHeight="true" outlineLevel="0" collapsed="false">
      <c r="B7" s="1" t="s">
        <v>95</v>
      </c>
      <c r="C7" s="35"/>
      <c r="D7" s="35"/>
      <c r="E7" s="36"/>
      <c r="M7" s="0" t="s">
        <v>174</v>
      </c>
    </row>
    <row r="8" customFormat="false" ht="22.5" hidden="false" customHeight="true" outlineLevel="0" collapsed="false">
      <c r="B8" s="15" t="s">
        <v>14</v>
      </c>
      <c r="E8" s="44"/>
      <c r="M8" s="0" t="s">
        <v>175</v>
      </c>
    </row>
    <row r="9" customFormat="false" ht="22.5" hidden="false" customHeight="true" outlineLevel="0" collapsed="false">
      <c r="B9" s="45" t="s">
        <v>15</v>
      </c>
      <c r="C9" s="46" t="s">
        <v>16</v>
      </c>
      <c r="D9" s="46" t="s">
        <v>17</v>
      </c>
      <c r="E9" s="47" t="s">
        <v>18</v>
      </c>
      <c r="F9" s="2" t="s">
        <v>1</v>
      </c>
      <c r="M9" s="0" t="s">
        <v>98</v>
      </c>
    </row>
    <row r="10" customFormat="false" ht="30" hidden="false" customHeight="true" outlineLevel="0" collapsed="false">
      <c r="B10" s="48" t="s">
        <v>19</v>
      </c>
      <c r="C10" s="49" t="s">
        <v>99</v>
      </c>
      <c r="D10" s="50" t="n">
        <v>547002</v>
      </c>
      <c r="E10" s="21" t="n">
        <v>20</v>
      </c>
      <c r="F10" s="8" t="s">
        <v>100</v>
      </c>
      <c r="M10" s="0" t="s">
        <v>83</v>
      </c>
    </row>
    <row r="11" customFormat="false" ht="30" hidden="false" customHeight="true" outlineLevel="0" collapsed="false">
      <c r="B11" s="51"/>
      <c r="C11" s="42" t="s">
        <v>22</v>
      </c>
      <c r="D11" s="52" t="n">
        <v>0.01</v>
      </c>
      <c r="E11" s="53"/>
      <c r="F11" s="8" t="s">
        <v>102</v>
      </c>
    </row>
    <row r="12" customFormat="false" ht="30" hidden="false" customHeight="true" outlineLevel="0" collapsed="false">
      <c r="B12" s="51"/>
      <c r="C12" s="42" t="s">
        <v>24</v>
      </c>
      <c r="D12" s="54" t="n">
        <v>0.004</v>
      </c>
      <c r="E12" s="53"/>
      <c r="F12" s="8" t="s">
        <v>103</v>
      </c>
    </row>
    <row r="13" customFormat="false" ht="22.5" hidden="false" customHeight="true" outlineLevel="0" collapsed="false">
      <c r="B13" s="51"/>
      <c r="C13" s="55" t="s">
        <v>104</v>
      </c>
      <c r="D13" s="56" t="n">
        <v>4</v>
      </c>
      <c r="E13" s="53"/>
      <c r="F13" s="8" t="s">
        <v>105</v>
      </c>
    </row>
    <row r="14" customFormat="false" ht="22.5" hidden="false" customHeight="true" outlineLevel="0" collapsed="false">
      <c r="B14" s="26" t="s">
        <v>106</v>
      </c>
      <c r="C14" s="35"/>
      <c r="D14" s="35"/>
      <c r="E14" s="36"/>
    </row>
    <row r="15" customFormat="false" ht="22.5" hidden="false" customHeight="true" outlineLevel="0" collapsed="false">
      <c r="B15" s="45" t="s">
        <v>15</v>
      </c>
      <c r="C15" s="46" t="s">
        <v>16</v>
      </c>
      <c r="D15" s="46" t="s">
        <v>17</v>
      </c>
      <c r="E15" s="47" t="s">
        <v>29</v>
      </c>
      <c r="F15" s="2" t="s">
        <v>1</v>
      </c>
    </row>
    <row r="16" customFormat="false" ht="21.75" hidden="false" customHeight="true" outlineLevel="0" collapsed="false">
      <c r="B16" s="49" t="s">
        <v>107</v>
      </c>
      <c r="C16" s="49" t="s">
        <v>108</v>
      </c>
      <c r="D16" s="57" t="n">
        <v>28350</v>
      </c>
      <c r="E16" s="7" t="n">
        <v>20</v>
      </c>
      <c r="F16" s="8" t="s">
        <v>109</v>
      </c>
    </row>
    <row r="17" customFormat="false" ht="21.75" hidden="false" customHeight="true" outlineLevel="0" collapsed="false">
      <c r="B17" s="51"/>
      <c r="C17" s="42" t="s">
        <v>110</v>
      </c>
      <c r="D17" s="58" t="n">
        <v>0.3</v>
      </c>
      <c r="E17" s="53"/>
      <c r="F17" s="8" t="s">
        <v>111</v>
      </c>
    </row>
    <row r="18" customFormat="false" ht="21.75" hidden="false" customHeight="true" outlineLevel="0" collapsed="false">
      <c r="B18" s="59"/>
      <c r="C18" s="42" t="s">
        <v>35</v>
      </c>
      <c r="D18" s="60" t="n">
        <v>2000</v>
      </c>
      <c r="E18" s="61"/>
      <c r="F18" s="8" t="s">
        <v>112</v>
      </c>
    </row>
    <row r="19" customFormat="false" ht="54" hidden="false" customHeight="true" outlineLevel="0" collapsed="false">
      <c r="B19" s="42" t="s">
        <v>37</v>
      </c>
      <c r="C19" s="62" t="s">
        <v>38</v>
      </c>
      <c r="D19" s="58" t="n">
        <v>1</v>
      </c>
      <c r="E19" s="7" t="n">
        <v>20</v>
      </c>
      <c r="F19" s="8" t="s">
        <v>113</v>
      </c>
    </row>
    <row r="20" customFormat="false" ht="20.25" hidden="false" customHeight="true" outlineLevel="0" collapsed="false">
      <c r="B20" s="51"/>
      <c r="C20" s="63" t="s">
        <v>114</v>
      </c>
      <c r="D20" s="60" t="n">
        <v>290201</v>
      </c>
      <c r="E20" s="7" t="n">
        <v>20</v>
      </c>
      <c r="F20" s="8" t="s">
        <v>115</v>
      </c>
    </row>
    <row r="21" customFormat="false" ht="30" hidden="false" customHeight="true" outlineLevel="0" collapsed="false">
      <c r="B21" s="59"/>
      <c r="C21" s="42" t="s">
        <v>116</v>
      </c>
      <c r="D21" s="58" t="n">
        <v>0</v>
      </c>
      <c r="E21" s="12" t="n">
        <v>20</v>
      </c>
      <c r="F21" s="8" t="s">
        <v>117</v>
      </c>
    </row>
    <row r="22" customFormat="false" ht="30" hidden="false" customHeight="true" outlineLevel="0" collapsed="false">
      <c r="B22" s="42" t="s">
        <v>44</v>
      </c>
      <c r="C22" s="42" t="s">
        <v>118</v>
      </c>
      <c r="D22" s="64" t="n">
        <v>400</v>
      </c>
      <c r="E22" s="12" t="n">
        <v>20</v>
      </c>
      <c r="F22" s="8" t="s">
        <v>119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8" t="n">
        <v>0.003</v>
      </c>
      <c r="E23" s="12" t="n">
        <v>20</v>
      </c>
      <c r="F23" s="8" t="s">
        <v>120</v>
      </c>
    </row>
    <row r="24" customFormat="false" ht="30" hidden="false" customHeight="true" outlineLevel="0" collapsed="false">
      <c r="B24" s="42" t="s">
        <v>50</v>
      </c>
      <c r="C24" s="42" t="s">
        <v>121</v>
      </c>
      <c r="D24" s="64" t="n">
        <v>1000</v>
      </c>
      <c r="E24" s="31" t="n">
        <v>10</v>
      </c>
      <c r="F24" s="8" t="s">
        <v>122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5" t="n">
        <v>0.0256</v>
      </c>
      <c r="E25" s="12" t="n">
        <v>20</v>
      </c>
      <c r="F25" s="8" t="s">
        <v>123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8" t="n">
        <v>0.2</v>
      </c>
      <c r="E26" s="12" t="n">
        <v>20</v>
      </c>
      <c r="F26" s="8" t="s">
        <v>124</v>
      </c>
    </row>
    <row r="27" customFormat="false" ht="20.25" hidden="false" customHeight="true" outlineLevel="0" collapsed="false">
      <c r="B27" s="13"/>
      <c r="C27" s="13"/>
      <c r="D27" s="13"/>
      <c r="E27" s="13"/>
    </row>
    <row r="28" customFormat="false" ht="20.25" hidden="false" customHeight="true" outlineLevel="0" collapsed="false">
      <c r="B28" s="13"/>
      <c r="C28" s="13"/>
      <c r="D28" s="13"/>
      <c r="E28" s="13"/>
    </row>
    <row r="29" customFormat="false" ht="22.5" hidden="false" customHeight="true" outlineLevel="0" collapsed="false">
      <c r="B29" s="1" t="s">
        <v>125</v>
      </c>
      <c r="C29" s="35"/>
      <c r="D29" s="36"/>
      <c r="E29" s="13"/>
    </row>
    <row r="30" customFormat="false" ht="22.5" hidden="false" customHeight="true" outlineLevel="0" collapsed="false">
      <c r="B30" s="45" t="s">
        <v>60</v>
      </c>
      <c r="C30" s="66" t="s">
        <v>16</v>
      </c>
      <c r="D30" s="67" t="s">
        <v>17</v>
      </c>
      <c r="E30" s="13"/>
      <c r="F30" s="2" t="s">
        <v>1</v>
      </c>
    </row>
    <row r="31" customFormat="false" ht="30" hidden="false" customHeight="true" outlineLevel="0" collapsed="false">
      <c r="B31" s="49" t="s">
        <v>61</v>
      </c>
      <c r="C31" s="37" t="s">
        <v>62</v>
      </c>
      <c r="D31" s="68" t="n">
        <v>0.8</v>
      </c>
      <c r="E31" s="13"/>
      <c r="F31" s="8" t="s">
        <v>126</v>
      </c>
    </row>
    <row r="32" customFormat="false" ht="18.75" hidden="false" customHeight="true" outlineLevel="0" collapsed="false">
      <c r="B32" s="49" t="s">
        <v>64</v>
      </c>
      <c r="C32" s="37" t="s">
        <v>65</v>
      </c>
      <c r="D32" s="68" t="n">
        <v>15</v>
      </c>
      <c r="E32" s="13"/>
      <c r="F32" s="8" t="s">
        <v>127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8" t="n">
        <v>0.9</v>
      </c>
      <c r="E33" s="13"/>
      <c r="F33" s="8" t="s">
        <v>128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8" t="n">
        <v>4</v>
      </c>
      <c r="E34" s="13"/>
      <c r="F34" s="8" t="s">
        <v>129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9"/>
      <c r="C37" s="70" t="s">
        <v>130</v>
      </c>
      <c r="D37" s="70" t="n">
        <v>2020</v>
      </c>
      <c r="E37" s="70" t="n">
        <v>2021</v>
      </c>
      <c r="F37" s="70" t="n">
        <v>2022</v>
      </c>
      <c r="G37" s="70" t="n">
        <v>2023</v>
      </c>
      <c r="H37" s="70" t="n">
        <v>2024</v>
      </c>
      <c r="I37" s="70" t="n">
        <v>2025</v>
      </c>
      <c r="J37" s="70" t="n">
        <v>2026</v>
      </c>
      <c r="K37" s="70" t="n">
        <v>2027</v>
      </c>
      <c r="L37" s="70" t="n">
        <v>2028</v>
      </c>
      <c r="M37" s="70" t="n">
        <v>2029</v>
      </c>
      <c r="N37" s="70" t="n">
        <v>2030</v>
      </c>
      <c r="O37" s="70" t="n">
        <v>2031</v>
      </c>
      <c r="P37" s="70" t="n">
        <v>2032</v>
      </c>
      <c r="Q37" s="70" t="n">
        <v>2033</v>
      </c>
      <c r="R37" s="70" t="n">
        <v>2034</v>
      </c>
      <c r="S37" s="70" t="n">
        <v>2035</v>
      </c>
      <c r="T37" s="70" t="n">
        <v>2036</v>
      </c>
      <c r="U37" s="70" t="n">
        <v>2037</v>
      </c>
      <c r="V37" s="70" t="n">
        <v>2038</v>
      </c>
      <c r="W37" s="70" t="n">
        <v>2039</v>
      </c>
      <c r="X37" s="70"/>
    </row>
    <row r="38" customFormat="false" ht="18.75" hidden="false" customHeight="true" outlineLevel="0" collapsed="false">
      <c r="B38" s="71" t="n">
        <v>0</v>
      </c>
      <c r="C38" s="72"/>
      <c r="D38" s="73"/>
      <c r="E38" s="73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5"/>
      <c r="V38" s="75"/>
      <c r="W38" s="75"/>
      <c r="X38" s="77"/>
    </row>
    <row r="39" customFormat="false" ht="18.75" hidden="false" customHeight="true" outlineLevel="0" collapsed="false">
      <c r="B39" s="78" t="s">
        <v>131</v>
      </c>
      <c r="C39" s="79" t="n">
        <v>0</v>
      </c>
      <c r="D39" s="80" t="n">
        <v>1</v>
      </c>
      <c r="E39" s="80" t="n">
        <v>2</v>
      </c>
      <c r="F39" s="80" t="n">
        <v>3</v>
      </c>
      <c r="G39" s="80" t="n">
        <v>4</v>
      </c>
      <c r="H39" s="80" t="n">
        <v>5</v>
      </c>
      <c r="I39" s="80" t="n">
        <v>6</v>
      </c>
      <c r="J39" s="80" t="n">
        <v>7</v>
      </c>
      <c r="K39" s="80" t="n">
        <v>8</v>
      </c>
      <c r="L39" s="80" t="n">
        <v>9</v>
      </c>
      <c r="M39" s="80" t="n">
        <v>10</v>
      </c>
      <c r="N39" s="80" t="n">
        <v>11</v>
      </c>
      <c r="O39" s="80" t="n">
        <v>12</v>
      </c>
      <c r="P39" s="80" t="n">
        <v>13</v>
      </c>
      <c r="Q39" s="80" t="n">
        <v>14</v>
      </c>
      <c r="R39" s="80" t="n">
        <v>15</v>
      </c>
      <c r="S39" s="80" t="n">
        <v>16</v>
      </c>
      <c r="T39" s="81" t="n">
        <v>17</v>
      </c>
      <c r="U39" s="80" t="n">
        <v>18</v>
      </c>
      <c r="V39" s="80" t="n">
        <v>19</v>
      </c>
      <c r="W39" s="80" t="n">
        <v>20</v>
      </c>
      <c r="X39" s="82"/>
    </row>
    <row r="40" customFormat="false" ht="18.75" hidden="false" customHeight="true" outlineLevel="0" collapsed="false">
      <c r="B40" s="83" t="s">
        <v>132</v>
      </c>
      <c r="C40" s="84" t="n">
        <v>0</v>
      </c>
      <c r="D40" s="85" t="n">
        <f aca="false">$D$10*P1</f>
        <v>541531.98</v>
      </c>
      <c r="E40" s="85" t="n">
        <f aca="false">$D$10*Q1</f>
        <v>539343.972</v>
      </c>
      <c r="F40" s="85" t="n">
        <f aca="false">$D$10*R1</f>
        <v>537155.964</v>
      </c>
      <c r="G40" s="85" t="n">
        <f aca="false">$D$10*S1</f>
        <v>534967.956</v>
      </c>
      <c r="H40" s="85" t="n">
        <f aca="false">$D$10*T1</f>
        <v>532779.948</v>
      </c>
      <c r="I40" s="85" t="n">
        <f aca="false">$D$10*U1</f>
        <v>530591.94</v>
      </c>
      <c r="J40" s="85" t="n">
        <f aca="false">$D$10*V1</f>
        <v>528403.932</v>
      </c>
      <c r="K40" s="85" t="n">
        <f aca="false">$D$10*W1</f>
        <v>526215.924</v>
      </c>
      <c r="L40" s="85" t="n">
        <f aca="false">$D$10*X1</f>
        <v>524027.916</v>
      </c>
      <c r="M40" s="85" t="n">
        <f aca="false">$D$10*Y1</f>
        <v>521839.908</v>
      </c>
      <c r="N40" s="85" t="n">
        <f aca="false">$D$10*Z1</f>
        <v>519651.9</v>
      </c>
      <c r="O40" s="85" t="n">
        <f aca="false">$D$10*AA1</f>
        <v>517463.892</v>
      </c>
      <c r="P40" s="85" t="n">
        <f aca="false">$D$10*AB1</f>
        <v>515275.884</v>
      </c>
      <c r="Q40" s="85" t="n">
        <f aca="false">$D$10*AC1</f>
        <v>513087.876</v>
      </c>
      <c r="R40" s="85" t="n">
        <f aca="false">$D$10*AD1</f>
        <v>510899.868</v>
      </c>
      <c r="S40" s="85" t="n">
        <f aca="false">$D$10*AE1</f>
        <v>508711.86</v>
      </c>
      <c r="T40" s="85" t="n">
        <f aca="false">$D$10*AF1</f>
        <v>506523.852</v>
      </c>
      <c r="U40" s="85" t="n">
        <f aca="false">$D$10*AG1</f>
        <v>504335.844</v>
      </c>
      <c r="V40" s="85" t="n">
        <f aca="false">$D$10*AH1</f>
        <v>502147.836</v>
      </c>
      <c r="W40" s="85" t="n">
        <f aca="false">$D$10*AI1</f>
        <v>499959.828</v>
      </c>
      <c r="X40" s="86"/>
    </row>
    <row r="41" customFormat="false" ht="18.75" hidden="false" customHeight="true" outlineLevel="0" collapsed="false">
      <c r="B41" s="87" t="s">
        <v>133</v>
      </c>
      <c r="C41" s="88" t="s">
        <v>4</v>
      </c>
      <c r="D41" s="89" t="n">
        <f aca="false">D40*$D$13</f>
        <v>2166127.92</v>
      </c>
      <c r="E41" s="89" t="n">
        <f aca="false">E40*$D$13</f>
        <v>2157375.888</v>
      </c>
      <c r="F41" s="89" t="n">
        <f aca="false">F40*$D$13</f>
        <v>2148623.856</v>
      </c>
      <c r="G41" s="89" t="n">
        <f aca="false">G40*$D$13</f>
        <v>2139871.824</v>
      </c>
      <c r="H41" s="89" t="n">
        <f aca="false">H40*$D$13</f>
        <v>2131119.792</v>
      </c>
      <c r="I41" s="89" t="n">
        <f aca="false">I40*$D$13</f>
        <v>2122367.76</v>
      </c>
      <c r="J41" s="89" t="n">
        <f aca="false">J40*$D$13</f>
        <v>2113615.728</v>
      </c>
      <c r="K41" s="89" t="n">
        <f aca="false">K40*$D$13</f>
        <v>2104863.696</v>
      </c>
      <c r="L41" s="89" t="n">
        <f aca="false">L40*$D$13</f>
        <v>2096111.664</v>
      </c>
      <c r="M41" s="89" t="n">
        <f aca="false">M40*$D$13</f>
        <v>2087359.632</v>
      </c>
      <c r="N41" s="89" t="n">
        <f aca="false">N40*$D$13</f>
        <v>2078607.6</v>
      </c>
      <c r="O41" s="89" t="n">
        <f aca="false">O40*$D$13</f>
        <v>2069855.568</v>
      </c>
      <c r="P41" s="89" t="n">
        <f aca="false">P40*$D$13</f>
        <v>2061103.536</v>
      </c>
      <c r="Q41" s="89" t="n">
        <f aca="false">Q40*$D$13</f>
        <v>2052351.504</v>
      </c>
      <c r="R41" s="89" t="n">
        <f aca="false">R40*$D$13</f>
        <v>2043599.472</v>
      </c>
      <c r="S41" s="89" t="n">
        <f aca="false">S40*$D$13</f>
        <v>2034847.44</v>
      </c>
      <c r="T41" s="89" t="n">
        <f aca="false">T40*$D$13</f>
        <v>2026095.408</v>
      </c>
      <c r="U41" s="89" t="n">
        <f aca="false">U40*$D$13</f>
        <v>2017343.376</v>
      </c>
      <c r="V41" s="89" t="n">
        <f aca="false">V40*$D$13</f>
        <v>2008591.344</v>
      </c>
      <c r="W41" s="89" t="n">
        <f aca="false">W40*$D$13</f>
        <v>1999839.312</v>
      </c>
      <c r="X41" s="90"/>
    </row>
    <row r="42" customFormat="false" ht="18.75" hidden="false" customHeight="true" outlineLevel="0" collapsed="false">
      <c r="B42" s="91" t="s">
        <v>134</v>
      </c>
      <c r="C42" s="92" t="s">
        <v>4</v>
      </c>
      <c r="D42" s="93"/>
      <c r="E42" s="93"/>
      <c r="F42" s="93"/>
      <c r="G42" s="94" t="s">
        <v>4</v>
      </c>
      <c r="H42" s="94" t="s">
        <v>4</v>
      </c>
      <c r="I42" s="94" t="s">
        <v>4</v>
      </c>
      <c r="J42" s="94" t="s">
        <v>4</v>
      </c>
      <c r="K42" s="94" t="s">
        <v>4</v>
      </c>
      <c r="L42" s="94" t="s">
        <v>4</v>
      </c>
      <c r="M42" s="94" t="s">
        <v>4</v>
      </c>
      <c r="N42" s="94" t="s">
        <v>4</v>
      </c>
      <c r="O42" s="94" t="s">
        <v>4</v>
      </c>
      <c r="P42" s="94" t="s">
        <v>4</v>
      </c>
      <c r="Q42" s="94" t="s">
        <v>4</v>
      </c>
      <c r="R42" s="94" t="s">
        <v>4</v>
      </c>
      <c r="S42" s="94" t="s">
        <v>4</v>
      </c>
      <c r="T42" s="94" t="s">
        <v>4</v>
      </c>
      <c r="U42" s="94" t="s">
        <v>4</v>
      </c>
      <c r="V42" s="94" t="s">
        <v>4</v>
      </c>
      <c r="W42" s="94" t="s">
        <v>4</v>
      </c>
      <c r="X42" s="95"/>
    </row>
    <row r="43" customFormat="false" ht="18.75" hidden="false" customHeight="true" outlineLevel="0" collapsed="false">
      <c r="B43" s="96" t="s">
        <v>135</v>
      </c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customFormat="false" ht="18.75" hidden="false" customHeight="true" outlineLevel="0" collapsed="false">
      <c r="B44" s="100" t="s">
        <v>136</v>
      </c>
      <c r="C44" s="101" t="n">
        <f aca="false">-(D16/(1-D17)+D18)*C4</f>
        <v>-18534250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customFormat="false" ht="18.75" hidden="false" customHeight="true" outlineLevel="0" collapsed="false">
      <c r="B45" s="100" t="s">
        <v>137</v>
      </c>
      <c r="C45" s="92" t="s">
        <v>4</v>
      </c>
      <c r="D45" s="0" t="n">
        <v>-290201</v>
      </c>
      <c r="E45" s="102" t="n">
        <v>-290201</v>
      </c>
      <c r="F45" s="102" t="n">
        <v>-290201</v>
      </c>
      <c r="G45" s="102" t="n">
        <v>-290201</v>
      </c>
      <c r="H45" s="102" t="n">
        <v>-290201</v>
      </c>
      <c r="I45" s="102" t="n">
        <v>-290201</v>
      </c>
      <c r="J45" s="102" t="n">
        <v>-290201</v>
      </c>
      <c r="K45" s="102" t="n">
        <v>-290201</v>
      </c>
      <c r="L45" s="102" t="n">
        <v>-290201</v>
      </c>
      <c r="M45" s="102" t="n">
        <v>-290201</v>
      </c>
      <c r="N45" s="102" t="n">
        <v>-290201</v>
      </c>
      <c r="O45" s="102" t="n">
        <v>-290201</v>
      </c>
      <c r="P45" s="102" t="n">
        <v>-290201</v>
      </c>
      <c r="Q45" s="102" t="n">
        <v>-290201</v>
      </c>
      <c r="R45" s="102" t="n">
        <v>-290201</v>
      </c>
      <c r="S45" s="102" t="n">
        <v>-290201</v>
      </c>
      <c r="T45" s="102" t="n">
        <v>-290201</v>
      </c>
      <c r="U45" s="102" t="n">
        <v>-290201</v>
      </c>
      <c r="V45" s="102" t="n">
        <v>-290201</v>
      </c>
      <c r="W45" s="102" t="n">
        <v>-290201</v>
      </c>
      <c r="X45" s="102"/>
    </row>
    <row r="46" customFormat="false" ht="18.75" hidden="false" customHeight="true" outlineLevel="0" collapsed="false">
      <c r="B46" s="100" t="s">
        <v>138</v>
      </c>
      <c r="C46" s="9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customFormat="false" ht="18.75" hidden="false" customHeight="true" outlineLevel="0" collapsed="false">
      <c r="B47" s="100" t="s">
        <v>139</v>
      </c>
      <c r="C47" s="92" t="s">
        <v>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18.75" hidden="false" customHeight="true" outlineLevel="0" collapsed="false">
      <c r="B48" s="100" t="s">
        <v>140</v>
      </c>
      <c r="C48" s="92" t="s">
        <v>4</v>
      </c>
      <c r="D48" s="102" t="n">
        <v>-174440</v>
      </c>
      <c r="E48" s="102" t="n">
        <v>-174440</v>
      </c>
      <c r="F48" s="102" t="n">
        <v>-174440</v>
      </c>
      <c r="G48" s="102" t="n">
        <v>-174440</v>
      </c>
      <c r="H48" s="102" t="n">
        <v>-174440</v>
      </c>
      <c r="I48" s="102" t="n">
        <v>-174440</v>
      </c>
      <c r="J48" s="102" t="n">
        <v>-174440</v>
      </c>
      <c r="K48" s="102" t="n">
        <v>-174440</v>
      </c>
      <c r="L48" s="102" t="n">
        <v>-174440</v>
      </c>
      <c r="M48" s="102" t="n">
        <v>-174440</v>
      </c>
      <c r="N48" s="102" t="n">
        <v>-174440</v>
      </c>
      <c r="O48" s="102" t="n">
        <v>-174440</v>
      </c>
      <c r="P48" s="102" t="n">
        <v>-174440</v>
      </c>
      <c r="Q48" s="102" t="n">
        <v>-174440</v>
      </c>
      <c r="R48" s="102" t="n">
        <v>-174440</v>
      </c>
      <c r="S48" s="102" t="n">
        <v>-174440</v>
      </c>
      <c r="T48" s="102" t="n">
        <v>-174440</v>
      </c>
      <c r="U48" s="102" t="n">
        <v>-174440</v>
      </c>
      <c r="V48" s="102" t="n">
        <v>-174440</v>
      </c>
      <c r="W48" s="102" t="n">
        <v>-174440</v>
      </c>
      <c r="X48" s="102"/>
    </row>
    <row r="49" customFormat="false" ht="18.75" hidden="false" customHeight="true" outlineLevel="0" collapsed="false">
      <c r="B49" s="100" t="s">
        <v>141</v>
      </c>
      <c r="C49" s="92" t="s">
        <v>4</v>
      </c>
      <c r="D49" s="102" t="n">
        <v>-37090.305</v>
      </c>
      <c r="E49" s="102" t="n">
        <v>-37090.305</v>
      </c>
      <c r="F49" s="102" t="n">
        <v>-37090.305</v>
      </c>
      <c r="G49" s="102" t="n">
        <v>-37090.305</v>
      </c>
      <c r="H49" s="102" t="n">
        <v>-37090.305</v>
      </c>
      <c r="I49" s="102" t="n">
        <v>-37090.305</v>
      </c>
      <c r="J49" s="102" t="n">
        <v>-37090.305</v>
      </c>
      <c r="K49" s="102" t="n">
        <v>-37090.305</v>
      </c>
      <c r="L49" s="102" t="n">
        <v>-37090.305</v>
      </c>
      <c r="M49" s="102" t="n">
        <v>-37090.305</v>
      </c>
      <c r="N49" s="102" t="n">
        <v>-37090.305</v>
      </c>
      <c r="O49" s="102" t="n">
        <v>-37090.305</v>
      </c>
      <c r="P49" s="102" t="n">
        <v>-37090.305</v>
      </c>
      <c r="Q49" s="102" t="n">
        <v>-37090.305</v>
      </c>
      <c r="R49" s="102" t="n">
        <v>-37090.305</v>
      </c>
      <c r="S49" s="102" t="n">
        <v>-37090.305</v>
      </c>
      <c r="T49" s="102" t="n">
        <v>-37090.305</v>
      </c>
      <c r="U49" s="102" t="n">
        <v>-37090.305</v>
      </c>
      <c r="V49" s="102" t="n">
        <v>-37090.305</v>
      </c>
      <c r="W49" s="102" t="n">
        <v>-37090.305</v>
      </c>
      <c r="X49" s="102"/>
    </row>
    <row r="50" customFormat="false" ht="18.75" hidden="false" customHeight="true" outlineLevel="0" collapsed="false">
      <c r="B50" s="100" t="s">
        <v>142</v>
      </c>
      <c r="C50" s="92"/>
      <c r="D50" s="102" t="n">
        <v>-43610</v>
      </c>
      <c r="E50" s="102" t="n">
        <v>-43610</v>
      </c>
      <c r="F50" s="102" t="n">
        <v>-43610</v>
      </c>
      <c r="G50" s="102" t="n">
        <v>-43610</v>
      </c>
      <c r="H50" s="102" t="n">
        <v>-43610</v>
      </c>
      <c r="I50" s="102" t="n">
        <v>-43610</v>
      </c>
      <c r="J50" s="102" t="n">
        <v>-43610</v>
      </c>
      <c r="K50" s="102" t="n">
        <v>-43610</v>
      </c>
      <c r="L50" s="102" t="n">
        <v>-43610</v>
      </c>
      <c r="M50" s="102" t="n">
        <v>-43610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0</v>
      </c>
      <c r="S50" s="102" t="n">
        <v>0</v>
      </c>
      <c r="T50" s="102" t="n">
        <v>0</v>
      </c>
      <c r="U50" s="102" t="n">
        <v>0</v>
      </c>
      <c r="V50" s="102" t="n">
        <v>0</v>
      </c>
      <c r="W50" s="102" t="n">
        <v>0</v>
      </c>
      <c r="X50" s="102"/>
    </row>
    <row r="51" customFormat="false" ht="18.75" hidden="false" customHeight="true" outlineLevel="0" collapsed="false">
      <c r="B51" s="100" t="s">
        <v>143</v>
      </c>
      <c r="C51" s="103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customFormat="false" ht="18.75" hidden="false" customHeight="true" outlineLevel="0" collapsed="false">
      <c r="B52" s="100" t="s">
        <v>144</v>
      </c>
      <c r="C52" s="103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customFormat="false" ht="18.75" hidden="false" customHeight="true" outlineLevel="0" collapsed="false">
      <c r="B53" s="104" t="s">
        <v>145</v>
      </c>
      <c r="C53" s="103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customFormat="false" ht="18.75" hidden="false" customHeight="true" outlineLevel="0" collapsed="false">
      <c r="B54" s="104" t="s">
        <v>146</v>
      </c>
      <c r="C54" s="103"/>
      <c r="D54" s="102" t="n">
        <f aca="false">-(D64+D67+D68+D71+D72+D73+D74)*0.2</f>
        <v>-196855.023</v>
      </c>
      <c r="E54" s="102" t="n">
        <f aca="false">-(E64+E67+E68+E71+E72+E73+E74)*0.2</f>
        <v>-137064.4166</v>
      </c>
      <c r="F54" s="102" t="n">
        <f aca="false">-(F64+F67+F68+F71+F72+F73+F74)*0.2</f>
        <v>-135314.0102</v>
      </c>
      <c r="G54" s="102" t="n">
        <f aca="false">-(G64+G67+G68+G71+G72+G73+G74)*0.2</f>
        <v>-133563.6038</v>
      </c>
      <c r="H54" s="102" t="n">
        <f aca="false">-(H64+H67+H68+H71+H72+H73+H74)*0.2</f>
        <v>-131813.1974</v>
      </c>
      <c r="I54" s="102" t="n">
        <f aca="false">-(I64+I67+I68+I71+I72+I73+I74)*0.2</f>
        <v>-130062.791</v>
      </c>
      <c r="J54" s="102" t="n">
        <f aca="false">-(J64+J67+J68+J71+J72+J73+J74)*0.2</f>
        <v>-128312.3846</v>
      </c>
      <c r="K54" s="102" t="n">
        <f aca="false">-(K64+K67+K68+K71+K72+K73+K74)*0.2</f>
        <v>-126561.9782</v>
      </c>
      <c r="L54" s="102" t="n">
        <f aca="false">-(L64+L67+L68+L71+L72+L73+L74)*0.2</f>
        <v>-124811.5718</v>
      </c>
      <c r="M54" s="102" t="n">
        <f aca="false">-(M64+M67+M68+M71+M72+M73+M74)*0.2</f>
        <v>-123061.1654</v>
      </c>
      <c r="N54" s="102" t="n">
        <f aca="false">-(N64+N67+N68+N71+N72+N73+N74)*0.2</f>
        <v>-130032.759</v>
      </c>
      <c r="O54" s="102" t="n">
        <f aca="false">-(O64+O67+O68+O71+O72+O73+O74)*0.2</f>
        <v>-128282.3526</v>
      </c>
      <c r="P54" s="102" t="n">
        <f aca="false">-(P64+P67+P68+P71+P72+P73+P74)*0.2</f>
        <v>-126531.9462</v>
      </c>
      <c r="Q54" s="102" t="n">
        <f aca="false">-(Q64+Q67+Q68+Q71+Q72+Q73+Q74)*0.2</f>
        <v>-124781.5398</v>
      </c>
      <c r="R54" s="102" t="n">
        <f aca="false">-(R64+R67+R68+R71+R72+R73+R74)*0.2</f>
        <v>-123031.1334</v>
      </c>
      <c r="S54" s="102" t="n">
        <f aca="false">-(S64+S67+S68+S71+S72+S73+S74)*0.2</f>
        <v>-121280.727</v>
      </c>
      <c r="T54" s="102" t="n">
        <f aca="false">-(T64+T67+T68+T71+T72+T73+T74)*0.2</f>
        <v>-119530.3206</v>
      </c>
      <c r="U54" s="102" t="n">
        <f aca="false">-(U64+U67+U68+U71+U72+U73+U74)*0.2</f>
        <v>-117779.9142</v>
      </c>
      <c r="V54" s="102" t="n">
        <f aca="false">-(V64+V67+V68+V71+V72+V73+V74)*0.2</f>
        <v>-116029.5078</v>
      </c>
      <c r="W54" s="102" t="n">
        <f aca="false">-(W64+W67+W68+W71+W72+W73+W74)*0.2</f>
        <v>-114279.1014</v>
      </c>
      <c r="X54" s="93"/>
    </row>
    <row r="55" customFormat="false" ht="18.75" hidden="false" customHeight="true" outlineLevel="0" collapsed="false">
      <c r="B55" s="105" t="s">
        <v>147</v>
      </c>
      <c r="C55" s="106" t="n">
        <f aca="false">C44</f>
        <v>-18534250</v>
      </c>
      <c r="D55" s="107" t="n">
        <f aca="false">SUM(D41:D54)</f>
        <v>1423931.592</v>
      </c>
      <c r="E55" s="107" t="n">
        <f aca="false">SUM(E41:E54)</f>
        <v>1474970.1664</v>
      </c>
      <c r="F55" s="107" t="n">
        <f aca="false">SUM(F41:F54)</f>
        <v>1467968.5408</v>
      </c>
      <c r="G55" s="107" t="n">
        <f aca="false">SUM(G41:G54)</f>
        <v>1460966.9152</v>
      </c>
      <c r="H55" s="107" t="n">
        <f aca="false">SUM(H41:H54)</f>
        <v>1453965.2896</v>
      </c>
      <c r="I55" s="107" t="n">
        <f aca="false">SUM(I41:I54)</f>
        <v>1446963.664</v>
      </c>
      <c r="J55" s="107" t="n">
        <f aca="false">SUM(J41:J54)</f>
        <v>1439962.0384</v>
      </c>
      <c r="K55" s="107" t="n">
        <f aca="false">SUM(K41:K54)</f>
        <v>1432960.4128</v>
      </c>
      <c r="L55" s="107" t="n">
        <f aca="false">SUM(L41:L54)</f>
        <v>1425958.7872</v>
      </c>
      <c r="M55" s="107" t="n">
        <f aca="false">SUM(M41:M54)</f>
        <v>1418957.1616</v>
      </c>
      <c r="N55" s="107" t="n">
        <f aca="false">SUM(N41:N54)</f>
        <v>1446843.536</v>
      </c>
      <c r="O55" s="107" t="n">
        <f aca="false">SUM(O41:O54)</f>
        <v>1439841.9104</v>
      </c>
      <c r="P55" s="107" t="n">
        <f aca="false">SUM(P41:P54)</f>
        <v>1432840.2848</v>
      </c>
      <c r="Q55" s="107" t="n">
        <f aca="false">SUM(Q41:Q54)</f>
        <v>1425838.6592</v>
      </c>
      <c r="R55" s="107" t="n">
        <f aca="false">SUM(R41:R54)</f>
        <v>1418837.0336</v>
      </c>
      <c r="S55" s="107" t="n">
        <f aca="false">SUM(S41:S54)</f>
        <v>1411835.408</v>
      </c>
      <c r="T55" s="107" t="n">
        <f aca="false">SUM(T41:T54)</f>
        <v>1404833.7824</v>
      </c>
      <c r="U55" s="107" t="n">
        <f aca="false">SUM(U41:U54)</f>
        <v>1397832.1568</v>
      </c>
      <c r="V55" s="107" t="n">
        <f aca="false">SUM(V41:V54)</f>
        <v>1390830.5312</v>
      </c>
      <c r="W55" s="107" t="n">
        <f aca="false">SUM(W41:W54)</f>
        <v>1383828.9056</v>
      </c>
      <c r="X55" s="108"/>
      <c r="Y55" s="109"/>
      <c r="Z55" s="110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</row>
    <row r="56" customFormat="false" ht="18.75" hidden="false" customHeight="true" outlineLevel="0" collapsed="false">
      <c r="B56" s="111" t="s">
        <v>148</v>
      </c>
      <c r="D56" s="112" t="n">
        <f aca="false">C55+D55</f>
        <v>-17110318.408</v>
      </c>
      <c r="E56" s="112" t="n">
        <f aca="false">D56+E55</f>
        <v>-15635348.2416</v>
      </c>
      <c r="F56" s="112" t="n">
        <f aca="false">E56+F55</f>
        <v>-14167379.7008</v>
      </c>
      <c r="G56" s="112" t="n">
        <f aca="false">F56+G55</f>
        <v>-12706412.7856</v>
      </c>
      <c r="H56" s="112" t="n">
        <f aca="false">G56+H55</f>
        <v>-11252447.496</v>
      </c>
      <c r="I56" s="112" t="n">
        <f aca="false">H56+I55</f>
        <v>-9805483.832</v>
      </c>
      <c r="J56" s="112" t="n">
        <f aca="false">I56+J55</f>
        <v>-8365521.7936</v>
      </c>
      <c r="K56" s="112" t="n">
        <f aca="false">J56+K55</f>
        <v>-6932561.3808</v>
      </c>
      <c r="L56" s="112" t="n">
        <f aca="false">K56+L55</f>
        <v>-5506602.5936</v>
      </c>
      <c r="M56" s="112" t="n">
        <f aca="false">L56+M55</f>
        <v>-4087645.432</v>
      </c>
      <c r="N56" s="112" t="n">
        <f aca="false">M56+N55</f>
        <v>-2640801.896</v>
      </c>
      <c r="O56" s="112" t="n">
        <f aca="false">N56+O55</f>
        <v>-1200959.9856</v>
      </c>
      <c r="P56" s="112" t="n">
        <f aca="false">O56+P55</f>
        <v>231880.299200002</v>
      </c>
      <c r="Q56" s="112" t="n">
        <f aca="false">P56+Q55</f>
        <v>1657718.9584</v>
      </c>
      <c r="R56" s="112" t="n">
        <f aca="false">Q56+R55</f>
        <v>3076555.992</v>
      </c>
      <c r="S56" s="112" t="n">
        <f aca="false">R56+S55</f>
        <v>4488391.4</v>
      </c>
      <c r="T56" s="112" t="n">
        <f aca="false">S56+T55</f>
        <v>5893225.1824</v>
      </c>
      <c r="U56" s="112" t="n">
        <f aca="false">T56+U55</f>
        <v>7291057.3392</v>
      </c>
      <c r="V56" s="112" t="n">
        <f aca="false">U56+V55</f>
        <v>8681887.8704</v>
      </c>
      <c r="W56" s="112" t="n">
        <f aca="false">V56+W55</f>
        <v>10065716.776</v>
      </c>
      <c r="X56" s="112" t="n">
        <f aca="false">W56+X55</f>
        <v>10065716.776</v>
      </c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 customFormat="false" ht="18.75" hidden="false" customHeight="true" outlineLevel="0" collapsed="false">
      <c r="B57" s="113" t="s">
        <v>149</v>
      </c>
      <c r="C57" s="114"/>
      <c r="D57" s="115" t="str">
        <f aca="false">IF((D56)&gt;0,"回收","未回收")</f>
        <v>未回收</v>
      </c>
      <c r="E57" s="116" t="str">
        <f aca="false">IF((E56)&gt;0,"回收","未回收")</f>
        <v>未回收</v>
      </c>
      <c r="F57" s="116" t="str">
        <f aca="false">IF((F56)&gt;0,"回收","未回收")</f>
        <v>未回收</v>
      </c>
      <c r="G57" s="116" t="str">
        <f aca="false">IF((G56)&gt;0,"回收","未回收")</f>
        <v>未回收</v>
      </c>
      <c r="H57" s="116" t="str">
        <f aca="false">IF((H56)&gt;0,"回收","未回收")</f>
        <v>未回收</v>
      </c>
      <c r="I57" s="116" t="str">
        <f aca="false">IF((I56)&gt;0,"回收","未回收")</f>
        <v>未回收</v>
      </c>
      <c r="J57" s="116" t="str">
        <f aca="false">IF((J56)&gt;0,"回收","未回收")</f>
        <v>未回收</v>
      </c>
      <c r="K57" s="116" t="str">
        <f aca="false">IF((K56)&gt;0,"回收","未回收")</f>
        <v>未回收</v>
      </c>
      <c r="L57" s="116" t="str">
        <f aca="false">IF((L56)&gt;0,"回收","未回收")</f>
        <v>未回收</v>
      </c>
      <c r="M57" s="116" t="str">
        <f aca="false">IF((M56)&gt;0,"回收","未回收")</f>
        <v>未回收</v>
      </c>
      <c r="N57" s="116" t="str">
        <f aca="false">IF((N56)&gt;0,"回收","未回收")</f>
        <v>未回收</v>
      </c>
      <c r="O57" s="116" t="str">
        <f aca="false">IF((O56)&gt;0,"回收","未回收")</f>
        <v>未回收</v>
      </c>
      <c r="P57" s="116" t="str">
        <f aca="false">IF((P56)&gt;0,"回收","未回收")</f>
        <v>回收</v>
      </c>
      <c r="Q57" s="116" t="str">
        <f aca="false">IF((Q56)&gt;0,"回收","未回收")</f>
        <v>回收</v>
      </c>
      <c r="R57" s="116" t="str">
        <f aca="false">IF((R56)&gt;0,"回收","未回收")</f>
        <v>回收</v>
      </c>
      <c r="S57" s="116" t="str">
        <f aca="false">IF((S56)&gt;0,"回收","未回收")</f>
        <v>回收</v>
      </c>
      <c r="T57" s="116" t="str">
        <f aca="false">IF((T56)&gt;0,"回收","未回收")</f>
        <v>回收</v>
      </c>
      <c r="U57" s="116" t="str">
        <f aca="false">IF((U56)&gt;0,"回收","未回收")</f>
        <v>回收</v>
      </c>
      <c r="V57" s="116" t="str">
        <f aca="false">IF((V56)&gt;0,"回收","未回收")</f>
        <v>回收</v>
      </c>
      <c r="W57" s="116" t="str">
        <f aca="false">IF((W56)&gt;0,"回收","未回收")</f>
        <v>回收</v>
      </c>
      <c r="X57" s="116" t="str">
        <f aca="false">IF((X56)&gt;0,"回收","未回收")</f>
        <v>回收</v>
      </c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</row>
    <row r="58" customFormat="false" ht="18.75" hidden="false" customHeight="true" outlineLevel="0" collapsed="false">
      <c r="B58" s="117" t="s">
        <v>74</v>
      </c>
      <c r="C58" s="118" t="n">
        <f aca="false">IRR(C55:W55)</f>
        <v>0.0458256162241457</v>
      </c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20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69"/>
      <c r="C60" s="70" t="s">
        <v>130</v>
      </c>
      <c r="D60" s="70" t="n">
        <f aca="false">D37</f>
        <v>2020</v>
      </c>
      <c r="E60" s="70" t="n">
        <f aca="false">E37</f>
        <v>2021</v>
      </c>
      <c r="F60" s="70" t="n">
        <f aca="false">F37</f>
        <v>2022</v>
      </c>
      <c r="G60" s="70" t="n">
        <f aca="false">G37</f>
        <v>2023</v>
      </c>
      <c r="H60" s="70" t="n">
        <f aca="false">H37</f>
        <v>2024</v>
      </c>
      <c r="I60" s="70" t="n">
        <f aca="false">I37</f>
        <v>2025</v>
      </c>
      <c r="J60" s="70" t="n">
        <f aca="false">J37</f>
        <v>2026</v>
      </c>
      <c r="K60" s="70" t="n">
        <f aca="false">K37</f>
        <v>2027</v>
      </c>
      <c r="L60" s="70" t="n">
        <f aca="false">L37</f>
        <v>2028</v>
      </c>
      <c r="M60" s="70" t="n">
        <f aca="false">M37</f>
        <v>2029</v>
      </c>
      <c r="N60" s="70" t="n">
        <f aca="false">N37</f>
        <v>2030</v>
      </c>
      <c r="O60" s="70" t="n">
        <f aca="false">O37</f>
        <v>2031</v>
      </c>
      <c r="P60" s="70" t="n">
        <f aca="false">P37</f>
        <v>2032</v>
      </c>
      <c r="Q60" s="70" t="n">
        <f aca="false">Q37</f>
        <v>2033</v>
      </c>
      <c r="R60" s="70" t="n">
        <f aca="false">R37</f>
        <v>2034</v>
      </c>
      <c r="S60" s="70" t="n">
        <f aca="false">S37</f>
        <v>2035</v>
      </c>
      <c r="T60" s="70" t="n">
        <f aca="false">T37</f>
        <v>2036</v>
      </c>
      <c r="U60" s="70" t="n">
        <f aca="false">U37</f>
        <v>2037</v>
      </c>
      <c r="V60" s="70" t="n">
        <f aca="false">V37</f>
        <v>2038</v>
      </c>
      <c r="W60" s="70" t="n">
        <f aca="false">W37</f>
        <v>2039</v>
      </c>
      <c r="X60" s="70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customFormat="false" ht="18.75" hidden="false" customHeight="true" outlineLevel="0" collapsed="false">
      <c r="B61" s="71" t="n">
        <v>0</v>
      </c>
      <c r="C61" s="72"/>
      <c r="D61" s="73"/>
      <c r="E61" s="73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23" t="s">
        <v>150</v>
      </c>
      <c r="U61" s="75"/>
      <c r="V61" s="75"/>
      <c r="W61" s="75"/>
      <c r="X61" s="77"/>
    </row>
    <row r="62" customFormat="false" ht="18.75" hidden="false" customHeight="true" outlineLevel="0" collapsed="false">
      <c r="B62" s="78" t="s">
        <v>131</v>
      </c>
      <c r="C62" s="79" t="n">
        <v>0</v>
      </c>
      <c r="D62" s="80" t="n">
        <v>1</v>
      </c>
      <c r="E62" s="80" t="n">
        <v>2</v>
      </c>
      <c r="F62" s="80" t="n">
        <v>3</v>
      </c>
      <c r="G62" s="80" t="n">
        <v>4</v>
      </c>
      <c r="H62" s="80" t="n">
        <v>5</v>
      </c>
      <c r="I62" s="80" t="n">
        <v>6</v>
      </c>
      <c r="J62" s="80" t="n">
        <v>7</v>
      </c>
      <c r="K62" s="80" t="n">
        <v>8</v>
      </c>
      <c r="L62" s="80" t="n">
        <v>9</v>
      </c>
      <c r="M62" s="80" t="n">
        <v>10</v>
      </c>
      <c r="N62" s="80" t="n">
        <v>11</v>
      </c>
      <c r="O62" s="80" t="n">
        <v>12</v>
      </c>
      <c r="P62" s="80" t="n">
        <v>13</v>
      </c>
      <c r="Q62" s="80" t="n">
        <v>14</v>
      </c>
      <c r="R62" s="80" t="n">
        <v>15</v>
      </c>
      <c r="S62" s="80" t="n">
        <v>16</v>
      </c>
      <c r="T62" s="124" t="n">
        <v>17</v>
      </c>
      <c r="U62" s="80" t="n">
        <v>18</v>
      </c>
      <c r="V62" s="80" t="n">
        <v>19</v>
      </c>
      <c r="W62" s="80" t="n">
        <v>20</v>
      </c>
      <c r="X62" s="82"/>
    </row>
    <row r="63" customFormat="false" ht="18.75" hidden="false" customHeight="true" outlineLevel="0" collapsed="false">
      <c r="B63" s="83" t="s">
        <v>132</v>
      </c>
      <c r="C63" s="84" t="n">
        <v>0</v>
      </c>
      <c r="D63" s="85" t="n">
        <f aca="false">D40</f>
        <v>541531.98</v>
      </c>
      <c r="E63" s="85" t="n">
        <f aca="false">E40</f>
        <v>539343.972</v>
      </c>
      <c r="F63" s="85" t="n">
        <f aca="false">F40</f>
        <v>537155.964</v>
      </c>
      <c r="G63" s="85" t="n">
        <f aca="false">G40</f>
        <v>534967.956</v>
      </c>
      <c r="H63" s="85" t="n">
        <f aca="false">H40</f>
        <v>532779.948</v>
      </c>
      <c r="I63" s="85" t="n">
        <f aca="false">I40</f>
        <v>530591.94</v>
      </c>
      <c r="J63" s="85" t="n">
        <f aca="false">J40</f>
        <v>528403.932</v>
      </c>
      <c r="K63" s="85" t="n">
        <f aca="false">K40</f>
        <v>526215.924</v>
      </c>
      <c r="L63" s="85" t="n">
        <f aca="false">L40</f>
        <v>524027.916</v>
      </c>
      <c r="M63" s="85" t="n">
        <f aca="false">M40</f>
        <v>521839.908</v>
      </c>
      <c r="N63" s="85" t="n">
        <f aca="false">N40</f>
        <v>519651.9</v>
      </c>
      <c r="O63" s="85" t="n">
        <f aca="false">O40</f>
        <v>517463.892</v>
      </c>
      <c r="P63" s="85" t="n">
        <f aca="false">P40</f>
        <v>515275.884</v>
      </c>
      <c r="Q63" s="85" t="n">
        <f aca="false">Q40</f>
        <v>513087.876</v>
      </c>
      <c r="R63" s="85" t="n">
        <f aca="false">R40</f>
        <v>510899.868</v>
      </c>
      <c r="S63" s="85" t="n">
        <f aca="false">S40</f>
        <v>508711.86</v>
      </c>
      <c r="T63" s="85" t="n">
        <f aca="false">T40</f>
        <v>506523.852</v>
      </c>
      <c r="U63" s="85" t="n">
        <f aca="false">U40</f>
        <v>504335.844</v>
      </c>
      <c r="V63" s="85" t="n">
        <f aca="false">V40</f>
        <v>502147.836</v>
      </c>
      <c r="W63" s="85" t="n">
        <f aca="false">W40</f>
        <v>499959.828</v>
      </c>
      <c r="X63" s="86"/>
    </row>
    <row r="64" customFormat="false" ht="18.75" hidden="false" customHeight="true" outlineLevel="0" collapsed="false">
      <c r="B64" s="87" t="s">
        <v>133</v>
      </c>
      <c r="C64" s="88" t="s">
        <v>4</v>
      </c>
      <c r="D64" s="89" t="n">
        <f aca="false">D41</f>
        <v>2166127.92</v>
      </c>
      <c r="E64" s="89" t="n">
        <f aca="false">E41</f>
        <v>2157375.888</v>
      </c>
      <c r="F64" s="89" t="n">
        <f aca="false">F41</f>
        <v>2148623.856</v>
      </c>
      <c r="G64" s="89" t="n">
        <f aca="false">G41</f>
        <v>2139871.824</v>
      </c>
      <c r="H64" s="89" t="n">
        <f aca="false">H41</f>
        <v>2131119.792</v>
      </c>
      <c r="I64" s="89" t="n">
        <f aca="false">I41</f>
        <v>2122367.76</v>
      </c>
      <c r="J64" s="89" t="n">
        <f aca="false">J41</f>
        <v>2113615.728</v>
      </c>
      <c r="K64" s="89" t="n">
        <f aca="false">K41</f>
        <v>2104863.696</v>
      </c>
      <c r="L64" s="89" t="n">
        <f aca="false">L41</f>
        <v>2096111.664</v>
      </c>
      <c r="M64" s="89" t="n">
        <f aca="false">M41</f>
        <v>2087359.632</v>
      </c>
      <c r="N64" s="89" t="n">
        <f aca="false">N41</f>
        <v>2078607.6</v>
      </c>
      <c r="O64" s="89" t="n">
        <f aca="false">O41</f>
        <v>2069855.568</v>
      </c>
      <c r="P64" s="89" t="n">
        <f aca="false">P41</f>
        <v>2061103.536</v>
      </c>
      <c r="Q64" s="89" t="n">
        <f aca="false">Q41</f>
        <v>2052351.504</v>
      </c>
      <c r="R64" s="89" t="n">
        <f aca="false">R41</f>
        <v>2043599.472</v>
      </c>
      <c r="S64" s="89" t="n">
        <f aca="false">S41</f>
        <v>2034847.44</v>
      </c>
      <c r="T64" s="89" t="n">
        <f aca="false">T41</f>
        <v>2026095.408</v>
      </c>
      <c r="U64" s="89" t="n">
        <f aca="false">U41</f>
        <v>2017343.376</v>
      </c>
      <c r="V64" s="89" t="n">
        <f aca="false">V41</f>
        <v>2008591.344</v>
      </c>
      <c r="W64" s="89" t="n">
        <f aca="false">W41</f>
        <v>1999839.312</v>
      </c>
      <c r="X64" s="90"/>
    </row>
    <row r="65" customFormat="false" ht="18.75" hidden="false" customHeight="true" outlineLevel="0" collapsed="false">
      <c r="B65" s="91" t="s">
        <v>134</v>
      </c>
      <c r="C65" s="92" t="s">
        <v>4</v>
      </c>
      <c r="D65" s="93"/>
      <c r="E65" s="93"/>
      <c r="F65" s="93"/>
      <c r="G65" s="94" t="s">
        <v>4</v>
      </c>
      <c r="H65" s="94" t="s">
        <v>4</v>
      </c>
      <c r="I65" s="94" t="s">
        <v>4</v>
      </c>
      <c r="J65" s="94" t="s">
        <v>4</v>
      </c>
      <c r="K65" s="94" t="s">
        <v>4</v>
      </c>
      <c r="L65" s="94" t="s">
        <v>4</v>
      </c>
      <c r="M65" s="94" t="s">
        <v>4</v>
      </c>
      <c r="N65" s="94" t="s">
        <v>4</v>
      </c>
      <c r="O65" s="94" t="s">
        <v>4</v>
      </c>
      <c r="P65" s="94" t="s">
        <v>4</v>
      </c>
      <c r="Q65" s="94" t="s">
        <v>4</v>
      </c>
      <c r="R65" s="94" t="s">
        <v>4</v>
      </c>
      <c r="S65" s="94" t="s">
        <v>4</v>
      </c>
      <c r="T65" s="94" t="s">
        <v>4</v>
      </c>
      <c r="U65" s="94" t="s">
        <v>4</v>
      </c>
      <c r="V65" s="94" t="s">
        <v>4</v>
      </c>
      <c r="W65" s="94" t="s">
        <v>4</v>
      </c>
      <c r="X65" s="95"/>
    </row>
    <row r="66" customFormat="false" ht="18.75" hidden="false" customHeight="true" outlineLevel="0" collapsed="false">
      <c r="B66" s="96" t="s">
        <v>135</v>
      </c>
      <c r="C66" s="97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customFormat="false" ht="18.75" hidden="false" customHeight="true" outlineLevel="0" collapsed="false">
      <c r="B67" s="100" t="s">
        <v>151</v>
      </c>
      <c r="C67" s="92"/>
      <c r="D67" s="125" t="n">
        <f aca="false">$C$44/$E$16</f>
        <v>-926712.5</v>
      </c>
      <c r="E67" s="125" t="n">
        <f aca="false">$C$44/$E$16</f>
        <v>-926712.5</v>
      </c>
      <c r="F67" s="125" t="n">
        <f aca="false">$C$44/$E$16</f>
        <v>-926712.5</v>
      </c>
      <c r="G67" s="125" t="n">
        <f aca="false">$C$44/$E$16</f>
        <v>-926712.5</v>
      </c>
      <c r="H67" s="125" t="n">
        <f aca="false">$C$44/$E$16</f>
        <v>-926712.5</v>
      </c>
      <c r="I67" s="125" t="n">
        <f aca="false">$C$44/$E$16</f>
        <v>-926712.5</v>
      </c>
      <c r="J67" s="125" t="n">
        <f aca="false">$C$44/$E$16</f>
        <v>-926712.5</v>
      </c>
      <c r="K67" s="125" t="n">
        <f aca="false">$C$44/$E$16</f>
        <v>-926712.5</v>
      </c>
      <c r="L67" s="125" t="n">
        <f aca="false">$C$44/$E$16</f>
        <v>-926712.5</v>
      </c>
      <c r="M67" s="125" t="n">
        <f aca="false">$C$44/$E$16</f>
        <v>-926712.5</v>
      </c>
      <c r="N67" s="125" t="n">
        <f aca="false">$C$44/$E$16</f>
        <v>-926712.5</v>
      </c>
      <c r="O67" s="125" t="n">
        <f aca="false">$C$44/$E$16</f>
        <v>-926712.5</v>
      </c>
      <c r="P67" s="125" t="n">
        <f aca="false">$C$44/$E$16</f>
        <v>-926712.5</v>
      </c>
      <c r="Q67" s="125" t="n">
        <f aca="false">$C$44/$E$16</f>
        <v>-926712.5</v>
      </c>
      <c r="R67" s="125" t="n">
        <f aca="false">$C$44/$E$16</f>
        <v>-926712.5</v>
      </c>
      <c r="S67" s="125" t="n">
        <f aca="false">$C$44/$E$16</f>
        <v>-926712.5</v>
      </c>
      <c r="T67" s="125" t="n">
        <f aca="false">$C$44/$E$16</f>
        <v>-926712.5</v>
      </c>
      <c r="U67" s="125" t="n">
        <f aca="false">$C$44/$E$16</f>
        <v>-926712.5</v>
      </c>
      <c r="V67" s="125" t="n">
        <f aca="false">$C$44/$E$16</f>
        <v>-926712.5</v>
      </c>
      <c r="W67" s="125" t="n">
        <f aca="false">$C$44/$E$16</f>
        <v>-926712.5</v>
      </c>
      <c r="X67" s="95"/>
    </row>
    <row r="68" customFormat="false" ht="18.75" hidden="false" customHeight="true" outlineLevel="0" collapsed="false">
      <c r="B68" s="100" t="s">
        <v>137</v>
      </c>
      <c r="C68" s="92" t="s">
        <v>4</v>
      </c>
      <c r="D68" s="102" t="n">
        <f aca="false">D44</f>
        <v>0</v>
      </c>
      <c r="E68" s="102" t="n">
        <f aca="false">E45</f>
        <v>-290201</v>
      </c>
      <c r="F68" s="102" t="n">
        <f aca="false">F45</f>
        <v>-290201</v>
      </c>
      <c r="G68" s="102" t="n">
        <f aca="false">G45</f>
        <v>-290201</v>
      </c>
      <c r="H68" s="102" t="n">
        <f aca="false">H45</f>
        <v>-290201</v>
      </c>
      <c r="I68" s="102" t="n">
        <f aca="false">I45</f>
        <v>-290201</v>
      </c>
      <c r="J68" s="102" t="n">
        <f aca="false">J45</f>
        <v>-290201</v>
      </c>
      <c r="K68" s="102" t="n">
        <f aca="false">K45</f>
        <v>-290201</v>
      </c>
      <c r="L68" s="102" t="n">
        <f aca="false">L45</f>
        <v>-290201</v>
      </c>
      <c r="M68" s="102" t="n">
        <f aca="false">M45</f>
        <v>-290201</v>
      </c>
      <c r="N68" s="102" t="n">
        <f aca="false">N45</f>
        <v>-290201</v>
      </c>
      <c r="O68" s="102" t="n">
        <f aca="false">O45</f>
        <v>-290201</v>
      </c>
      <c r="P68" s="102" t="n">
        <f aca="false">P45</f>
        <v>-290201</v>
      </c>
      <c r="Q68" s="102" t="n">
        <f aca="false">Q45</f>
        <v>-290201</v>
      </c>
      <c r="R68" s="102" t="n">
        <f aca="false">R45</f>
        <v>-290201</v>
      </c>
      <c r="S68" s="102" t="n">
        <f aca="false">S45</f>
        <v>-290201</v>
      </c>
      <c r="T68" s="102" t="n">
        <f aca="false">T45</f>
        <v>-290201</v>
      </c>
      <c r="U68" s="102" t="n">
        <f aca="false">U45</f>
        <v>-290201</v>
      </c>
      <c r="V68" s="102" t="n">
        <f aca="false">V45</f>
        <v>-290201</v>
      </c>
      <c r="W68" s="102" t="n">
        <f aca="false">W45</f>
        <v>-290201</v>
      </c>
      <c r="X68" s="95"/>
    </row>
    <row r="69" customFormat="false" ht="18.75" hidden="false" customHeight="true" outlineLevel="0" collapsed="false">
      <c r="B69" s="100" t="s">
        <v>138</v>
      </c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  <row r="70" customFormat="false" ht="18.75" hidden="false" customHeight="true" outlineLevel="0" collapsed="false">
      <c r="B70" s="100" t="s">
        <v>139</v>
      </c>
      <c r="C70" s="92" t="s">
        <v>4</v>
      </c>
      <c r="D70" s="102" t="n">
        <f aca="false">-D109*$D25</f>
        <v>-379581.44</v>
      </c>
      <c r="E70" s="102" t="n">
        <f aca="false">-E109*$D25</f>
        <v>-354276.010666667</v>
      </c>
      <c r="F70" s="102" t="n">
        <f aca="false">-F109*$D25</f>
        <v>-328970.581333333</v>
      </c>
      <c r="G70" s="102" t="n">
        <f aca="false">-G109*$D25</f>
        <v>-303665.152</v>
      </c>
      <c r="H70" s="102" t="n">
        <f aca="false">-H109*$D25</f>
        <v>-278359.722666667</v>
      </c>
      <c r="I70" s="102" t="n">
        <f aca="false">-I109*$D25</f>
        <v>-253054.293333333</v>
      </c>
      <c r="J70" s="102" t="n">
        <f aca="false">-J109*$D25</f>
        <v>-227748.864</v>
      </c>
      <c r="K70" s="102" t="n">
        <f aca="false">-K109*$D25</f>
        <v>-202443.434666667</v>
      </c>
      <c r="L70" s="102" t="n">
        <f aca="false">-L109*$D25</f>
        <v>-177138.005333333</v>
      </c>
      <c r="M70" s="102" t="n">
        <f aca="false">-M109*$D25</f>
        <v>-151832.576</v>
      </c>
      <c r="N70" s="102" t="n">
        <f aca="false">-N109*$D25</f>
        <v>-126527.146666667</v>
      </c>
      <c r="O70" s="102" t="n">
        <f aca="false">-O109*$D25</f>
        <v>-101221.717333333</v>
      </c>
      <c r="P70" s="102" t="n">
        <f aca="false">-P109*$D25</f>
        <v>-75916.2879999999</v>
      </c>
      <c r="Q70" s="102" t="n">
        <f aca="false">-Q109*$D25</f>
        <v>-50610.8586666666</v>
      </c>
      <c r="R70" s="102" t="n">
        <f aca="false">-R109*$D25</f>
        <v>-25305.4293333333</v>
      </c>
      <c r="S70" s="102" t="n">
        <f aca="false">-S109*$D25</f>
        <v>-0</v>
      </c>
      <c r="T70" s="102" t="n">
        <f aca="false">-T109*$D25</f>
        <v>-0</v>
      </c>
      <c r="U70" s="102" t="n">
        <f aca="false">-U109*$D25</f>
        <v>-0</v>
      </c>
      <c r="V70" s="102" t="n">
        <f aca="false">-V109*$D25</f>
        <v>-0</v>
      </c>
      <c r="W70" s="102" t="n">
        <f aca="false">-W109*$D25</f>
        <v>-0</v>
      </c>
      <c r="X70" s="95"/>
    </row>
    <row r="71" customFormat="false" ht="18.75" hidden="false" customHeight="true" outlineLevel="0" collapsed="false">
      <c r="B71" s="100" t="s">
        <v>140</v>
      </c>
      <c r="C71" s="92" t="s">
        <v>4</v>
      </c>
      <c r="D71" s="102" t="n">
        <f aca="false">D48</f>
        <v>-174440</v>
      </c>
      <c r="E71" s="102" t="n">
        <f aca="false">E48</f>
        <v>-174440</v>
      </c>
      <c r="F71" s="102" t="n">
        <f aca="false">F48</f>
        <v>-174440</v>
      </c>
      <c r="G71" s="102" t="n">
        <f aca="false">G48</f>
        <v>-174440</v>
      </c>
      <c r="H71" s="102" t="n">
        <f aca="false">H48</f>
        <v>-174440</v>
      </c>
      <c r="I71" s="102" t="n">
        <f aca="false">I48</f>
        <v>-174440</v>
      </c>
      <c r="J71" s="102" t="n">
        <f aca="false">J48</f>
        <v>-174440</v>
      </c>
      <c r="K71" s="102" t="n">
        <f aca="false">K48</f>
        <v>-174440</v>
      </c>
      <c r="L71" s="102" t="n">
        <f aca="false">L48</f>
        <v>-174440</v>
      </c>
      <c r="M71" s="102" t="n">
        <f aca="false">M48</f>
        <v>-174440</v>
      </c>
      <c r="N71" s="102" t="n">
        <f aca="false">N48</f>
        <v>-174440</v>
      </c>
      <c r="O71" s="102" t="n">
        <f aca="false">O48</f>
        <v>-174440</v>
      </c>
      <c r="P71" s="102" t="n">
        <f aca="false">P48</f>
        <v>-174440</v>
      </c>
      <c r="Q71" s="102" t="n">
        <f aca="false">Q48</f>
        <v>-174440</v>
      </c>
      <c r="R71" s="102" t="n">
        <f aca="false">R48</f>
        <v>-174440</v>
      </c>
      <c r="S71" s="102" t="n">
        <f aca="false">S48</f>
        <v>-174440</v>
      </c>
      <c r="T71" s="102" t="n">
        <f aca="false">T48</f>
        <v>-174440</v>
      </c>
      <c r="U71" s="102" t="n">
        <f aca="false">U48</f>
        <v>-174440</v>
      </c>
      <c r="V71" s="102" t="n">
        <f aca="false">V48</f>
        <v>-174440</v>
      </c>
      <c r="W71" s="102" t="n">
        <f aca="false">W48</f>
        <v>-174440</v>
      </c>
      <c r="X71" s="95"/>
    </row>
    <row r="72" customFormat="false" ht="18.75" hidden="false" customHeight="true" outlineLevel="0" collapsed="false">
      <c r="B72" s="100" t="s">
        <v>141</v>
      </c>
      <c r="C72" s="92" t="s">
        <v>4</v>
      </c>
      <c r="D72" s="102" t="n">
        <f aca="false">D49</f>
        <v>-37090.305</v>
      </c>
      <c r="E72" s="102" t="n">
        <f aca="false">E49</f>
        <v>-37090.305</v>
      </c>
      <c r="F72" s="102" t="n">
        <f aca="false">F49</f>
        <v>-37090.305</v>
      </c>
      <c r="G72" s="102" t="n">
        <f aca="false">G49</f>
        <v>-37090.305</v>
      </c>
      <c r="H72" s="102" t="n">
        <f aca="false">H49</f>
        <v>-37090.305</v>
      </c>
      <c r="I72" s="102" t="n">
        <f aca="false">I49</f>
        <v>-37090.305</v>
      </c>
      <c r="J72" s="102" t="n">
        <f aca="false">J49</f>
        <v>-37090.305</v>
      </c>
      <c r="K72" s="102" t="n">
        <f aca="false">K49</f>
        <v>-37090.305</v>
      </c>
      <c r="L72" s="102" t="n">
        <f aca="false">L49</f>
        <v>-37090.305</v>
      </c>
      <c r="M72" s="102" t="n">
        <f aca="false">M49</f>
        <v>-37090.305</v>
      </c>
      <c r="N72" s="102" t="n">
        <f aca="false">N49</f>
        <v>-37090.305</v>
      </c>
      <c r="O72" s="102" t="n">
        <f aca="false">O49</f>
        <v>-37090.305</v>
      </c>
      <c r="P72" s="102" t="n">
        <f aca="false">P49</f>
        <v>-37090.305</v>
      </c>
      <c r="Q72" s="102" t="n">
        <f aca="false">Q49</f>
        <v>-37090.305</v>
      </c>
      <c r="R72" s="102" t="n">
        <f aca="false">R49</f>
        <v>-37090.305</v>
      </c>
      <c r="S72" s="102" t="n">
        <f aca="false">S49</f>
        <v>-37090.305</v>
      </c>
      <c r="T72" s="102" t="n">
        <f aca="false">T49</f>
        <v>-37090.305</v>
      </c>
      <c r="U72" s="102" t="n">
        <f aca="false">U49</f>
        <v>-37090.305</v>
      </c>
      <c r="V72" s="102" t="n">
        <f aca="false">V49</f>
        <v>-37090.305</v>
      </c>
      <c r="W72" s="102" t="n">
        <f aca="false">W49</f>
        <v>-37090.305</v>
      </c>
      <c r="X72" s="95"/>
    </row>
    <row r="73" customFormat="false" ht="18.75" hidden="false" customHeight="true" outlineLevel="0" collapsed="false">
      <c r="B73" s="100" t="s">
        <v>142</v>
      </c>
      <c r="C73" s="92"/>
      <c r="D73" s="102" t="n">
        <f aca="false">D50</f>
        <v>-43610</v>
      </c>
      <c r="E73" s="102" t="n">
        <f aca="false">E50</f>
        <v>-43610</v>
      </c>
      <c r="F73" s="102" t="n">
        <f aca="false">F50</f>
        <v>-43610</v>
      </c>
      <c r="G73" s="102" t="n">
        <f aca="false">G50</f>
        <v>-43610</v>
      </c>
      <c r="H73" s="102" t="n">
        <f aca="false">H50</f>
        <v>-43610</v>
      </c>
      <c r="I73" s="102" t="n">
        <f aca="false">I50</f>
        <v>-43610</v>
      </c>
      <c r="J73" s="102" t="n">
        <f aca="false">J50</f>
        <v>-43610</v>
      </c>
      <c r="K73" s="102" t="n">
        <f aca="false">K50</f>
        <v>-43610</v>
      </c>
      <c r="L73" s="102" t="n">
        <f aca="false">L50</f>
        <v>-43610</v>
      </c>
      <c r="M73" s="102" t="n">
        <f aca="false">M50</f>
        <v>-43610</v>
      </c>
      <c r="N73" s="102" t="n">
        <f aca="false">N50</f>
        <v>0</v>
      </c>
      <c r="O73" s="102" t="n">
        <f aca="false">O50</f>
        <v>0</v>
      </c>
      <c r="P73" s="102" t="n">
        <f aca="false">P50</f>
        <v>0</v>
      </c>
      <c r="Q73" s="102" t="n">
        <f aca="false">Q50</f>
        <v>0</v>
      </c>
      <c r="R73" s="102" t="n">
        <f aca="false">R50</f>
        <v>0</v>
      </c>
      <c r="S73" s="102" t="n">
        <f aca="false">S50</f>
        <v>0</v>
      </c>
      <c r="T73" s="102" t="n">
        <f aca="false">T50</f>
        <v>0</v>
      </c>
      <c r="U73" s="102" t="n">
        <f aca="false">U50</f>
        <v>0</v>
      </c>
      <c r="V73" s="102" t="n">
        <f aca="false">V50</f>
        <v>0</v>
      </c>
      <c r="W73" s="102" t="n">
        <f aca="false">W50</f>
        <v>0</v>
      </c>
      <c r="X73" s="95"/>
    </row>
    <row r="74" customFormat="false" ht="18.75" hidden="false" customHeight="true" outlineLevel="0" collapsed="false">
      <c r="B74" s="100" t="s">
        <v>143</v>
      </c>
      <c r="C74" s="103"/>
      <c r="D74" s="126"/>
      <c r="E74" s="127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5"/>
    </row>
    <row r="75" customFormat="false" ht="18.75" hidden="false" customHeight="true" outlineLevel="0" collapsed="false">
      <c r="B75" s="100" t="s">
        <v>144</v>
      </c>
      <c r="C75" s="10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5"/>
    </row>
    <row r="76" customFormat="false" ht="18.75" hidden="false" customHeight="true" outlineLevel="0" collapsed="false">
      <c r="B76" s="105" t="s">
        <v>152</v>
      </c>
      <c r="C76" s="128"/>
      <c r="D76" s="107" t="n">
        <f aca="false">SUM(D64:D75)</f>
        <v>604693.675</v>
      </c>
      <c r="E76" s="107" t="n">
        <f aca="false">SUM(E64:E75)</f>
        <v>331046.072333333</v>
      </c>
      <c r="F76" s="107" t="n">
        <f aca="false">SUM(F64:F75)</f>
        <v>347599.469666667</v>
      </c>
      <c r="G76" s="107" t="n">
        <f aca="false">SUM(G64:G75)</f>
        <v>364152.867</v>
      </c>
      <c r="H76" s="107" t="n">
        <f aca="false">SUM(H64:H75)</f>
        <v>380706.264333333</v>
      </c>
      <c r="I76" s="107" t="n">
        <f aca="false">SUM(I64:I75)</f>
        <v>397259.661666667</v>
      </c>
      <c r="J76" s="107" t="n">
        <f aca="false">SUM(J64:J75)</f>
        <v>413813.059</v>
      </c>
      <c r="K76" s="107" t="n">
        <f aca="false">SUM(K64:K75)</f>
        <v>430366.456333333</v>
      </c>
      <c r="L76" s="107" t="n">
        <f aca="false">SUM(L64:L75)</f>
        <v>446919.853666667</v>
      </c>
      <c r="M76" s="107" t="n">
        <f aca="false">SUM(M64:M75)</f>
        <v>463473.251</v>
      </c>
      <c r="N76" s="107" t="n">
        <f aca="false">SUM(N64:N75)</f>
        <v>523636.648333333</v>
      </c>
      <c r="O76" s="107" t="n">
        <f aca="false">SUM(O64:O75)</f>
        <v>540190.045666667</v>
      </c>
      <c r="P76" s="107" t="n">
        <f aca="false">SUM(P64:P75)</f>
        <v>556743.443</v>
      </c>
      <c r="Q76" s="107" t="n">
        <f aca="false">SUM(Q64:Q75)</f>
        <v>573296.840333333</v>
      </c>
      <c r="R76" s="107" t="n">
        <f aca="false">SUM(R64:R75)</f>
        <v>589850.237666667</v>
      </c>
      <c r="S76" s="107" t="n">
        <f aca="false">SUM(S64:S75)</f>
        <v>606403.635</v>
      </c>
      <c r="T76" s="107" t="n">
        <f aca="false">SUM(T64:T75)</f>
        <v>597651.603</v>
      </c>
      <c r="U76" s="107" t="n">
        <f aca="false">SUM(U64:U75)</f>
        <v>588899.571</v>
      </c>
      <c r="V76" s="107" t="n">
        <f aca="false">SUM(V64:V75)</f>
        <v>580147.539</v>
      </c>
      <c r="W76" s="107" t="n">
        <f aca="false">SUM(W64:W75)</f>
        <v>571395.507</v>
      </c>
      <c r="X76" s="107" t="n">
        <f aca="false">SUM(X64:X75)</f>
        <v>0</v>
      </c>
    </row>
    <row r="77" customFormat="false" ht="18.75" hidden="false" customHeight="true" outlineLevel="0" collapsed="false">
      <c r="B77" s="104" t="s">
        <v>146</v>
      </c>
      <c r="C77" s="103"/>
      <c r="D77" s="102" t="n">
        <f aca="false">-D76*0.2</f>
        <v>-120938.735</v>
      </c>
      <c r="E77" s="102" t="n">
        <f aca="false">-E76*0.2</f>
        <v>-66209.2144666666</v>
      </c>
      <c r="F77" s="102" t="n">
        <f aca="false">-F76*0.2</f>
        <v>-69519.8939333334</v>
      </c>
      <c r="G77" s="102" t="n">
        <f aca="false">-G76*0.2</f>
        <v>-72830.5734</v>
      </c>
      <c r="H77" s="102" t="n">
        <f aca="false">-H76*0.2</f>
        <v>-76141.2528666667</v>
      </c>
      <c r="I77" s="102" t="n">
        <f aca="false">-I76*0.2</f>
        <v>-79451.9323333333</v>
      </c>
      <c r="J77" s="102" t="n">
        <f aca="false">-J76*0.2</f>
        <v>-82762.6118</v>
      </c>
      <c r="K77" s="102" t="n">
        <f aca="false">-K76*0.2</f>
        <v>-86073.2912666667</v>
      </c>
      <c r="L77" s="102" t="n">
        <f aca="false">-L76*0.2</f>
        <v>-89383.9707333333</v>
      </c>
      <c r="M77" s="102" t="n">
        <f aca="false">-M76*0.2</f>
        <v>-92694.6502</v>
      </c>
      <c r="N77" s="102" t="n">
        <f aca="false">-N76*0.2</f>
        <v>-104727.329666667</v>
      </c>
      <c r="O77" s="102" t="n">
        <f aca="false">-O76*0.2</f>
        <v>-108038.009133333</v>
      </c>
      <c r="P77" s="102" t="n">
        <f aca="false">-P76*0.2</f>
        <v>-111348.6886</v>
      </c>
      <c r="Q77" s="102" t="n">
        <f aca="false">-Q76*0.2</f>
        <v>-114659.368066667</v>
      </c>
      <c r="R77" s="102" t="n">
        <f aca="false">-R76*0.2</f>
        <v>-117970.047533333</v>
      </c>
      <c r="S77" s="102" t="n">
        <f aca="false">-S76*0.2</f>
        <v>-121280.727</v>
      </c>
      <c r="T77" s="102" t="n">
        <f aca="false">-T76*0.2</f>
        <v>-119530.3206</v>
      </c>
      <c r="U77" s="102" t="n">
        <f aca="false">-U76*0.2</f>
        <v>-117779.9142</v>
      </c>
      <c r="V77" s="102" t="n">
        <f aca="false">-V76*0.2</f>
        <v>-116029.5078</v>
      </c>
      <c r="W77" s="102" t="n">
        <f aca="false">-W76*0.2</f>
        <v>-114279.1014</v>
      </c>
      <c r="X77" s="102" t="n">
        <f aca="false">-X76*0.2</f>
        <v>-0</v>
      </c>
    </row>
    <row r="78" customFormat="false" ht="15.75" hidden="false" customHeight="true" outlineLevel="0" collapsed="false">
      <c r="B78" s="129" t="s">
        <v>153</v>
      </c>
      <c r="D78" s="102" t="n">
        <f aca="false">SUM(D76:D77)</f>
        <v>483754.94</v>
      </c>
      <c r="E78" s="102" t="n">
        <f aca="false">SUM(E76:E77)</f>
        <v>264836.857866667</v>
      </c>
      <c r="F78" s="102" t="n">
        <f aca="false">SUM(F76:F77)</f>
        <v>278079.575733334</v>
      </c>
      <c r="G78" s="102" t="n">
        <f aca="false">SUM(G76:G77)</f>
        <v>291322.2936</v>
      </c>
      <c r="H78" s="102" t="n">
        <f aca="false">SUM(H76:H77)</f>
        <v>304565.011466667</v>
      </c>
      <c r="I78" s="102" t="n">
        <f aca="false">SUM(I76:I77)</f>
        <v>317807.729333333</v>
      </c>
      <c r="J78" s="102" t="n">
        <f aca="false">SUM(J76:J77)</f>
        <v>331050.4472</v>
      </c>
      <c r="K78" s="102" t="n">
        <f aca="false">SUM(K76:K77)</f>
        <v>344293.165066667</v>
      </c>
      <c r="L78" s="102" t="n">
        <f aca="false">SUM(L76:L77)</f>
        <v>357535.882933333</v>
      </c>
      <c r="M78" s="102" t="n">
        <f aca="false">SUM(M76:M77)</f>
        <v>370778.6008</v>
      </c>
      <c r="N78" s="102" t="n">
        <f aca="false">SUM(N76:N77)</f>
        <v>418909.318666667</v>
      </c>
      <c r="O78" s="102" t="n">
        <f aca="false">SUM(O76:O77)</f>
        <v>432152.036533333</v>
      </c>
      <c r="P78" s="102" t="n">
        <f aca="false">SUM(P76:P77)</f>
        <v>445394.7544</v>
      </c>
      <c r="Q78" s="102" t="n">
        <f aca="false">SUM(Q76:Q77)</f>
        <v>458637.472266667</v>
      </c>
      <c r="R78" s="102" t="n">
        <f aca="false">SUM(R76:R77)</f>
        <v>471880.190133333</v>
      </c>
      <c r="S78" s="102" t="n">
        <f aca="false">SUM(S76:S77)</f>
        <v>485122.908</v>
      </c>
      <c r="T78" s="102" t="n">
        <f aca="false">SUM(T76:T77)</f>
        <v>478121.2824</v>
      </c>
      <c r="U78" s="102" t="n">
        <f aca="false">SUM(U76:U77)</f>
        <v>471119.6568</v>
      </c>
      <c r="V78" s="102" t="n">
        <f aca="false">SUM(V76:V77)</f>
        <v>464118.0312</v>
      </c>
      <c r="W78" s="102" t="n">
        <f aca="false">SUM(W76:W77)</f>
        <v>457116.4056</v>
      </c>
      <c r="X78" s="102" t="n">
        <f aca="false">SUM(X76:X77)</f>
        <v>0</v>
      </c>
    </row>
    <row r="79" customFormat="false" ht="18.75" hidden="false" customHeight="true" outlineLevel="0" collapsed="false">
      <c r="B79" s="111" t="s">
        <v>148</v>
      </c>
      <c r="C79" s="114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1"/>
    </row>
    <row r="80" customFormat="false" ht="18.75" hidden="false" customHeight="true" outlineLevel="0" collapsed="false">
      <c r="B80" s="132" t="s">
        <v>149</v>
      </c>
      <c r="C80" s="133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5"/>
    </row>
    <row r="81" customFormat="false" ht="18.75" hidden="false" customHeight="true" outlineLevel="0" collapsed="false">
      <c r="B81" s="120"/>
      <c r="C81" s="119"/>
      <c r="D81" s="119"/>
      <c r="E81" s="119"/>
      <c r="F81" s="120"/>
      <c r="G81" s="120"/>
      <c r="H81" s="120"/>
      <c r="I81" s="120"/>
      <c r="J81" s="120"/>
      <c r="K81" s="120"/>
      <c r="L81" s="120"/>
      <c r="M81" s="119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</row>
    <row r="82" customFormat="false" ht="18.75" hidden="false" customHeight="true" outlineLevel="0" collapsed="false">
      <c r="C82" s="136" t="s">
        <v>130</v>
      </c>
      <c r="D82" s="137" t="n">
        <f aca="false">D37</f>
        <v>2020</v>
      </c>
      <c r="E82" s="137" t="n">
        <f aca="false">E37</f>
        <v>2021</v>
      </c>
      <c r="F82" s="137" t="n">
        <f aca="false">F37</f>
        <v>2022</v>
      </c>
      <c r="G82" s="137" t="n">
        <f aca="false">G37</f>
        <v>2023</v>
      </c>
      <c r="H82" s="137" t="n">
        <f aca="false">H37</f>
        <v>2024</v>
      </c>
      <c r="I82" s="137" t="n">
        <f aca="false">I37</f>
        <v>2025</v>
      </c>
      <c r="J82" s="137" t="n">
        <f aca="false">J37</f>
        <v>2026</v>
      </c>
      <c r="K82" s="137" t="n">
        <f aca="false">K37</f>
        <v>2027</v>
      </c>
      <c r="L82" s="137" t="n">
        <f aca="false">L37</f>
        <v>2028</v>
      </c>
      <c r="M82" s="137" t="n">
        <f aca="false">M37</f>
        <v>2029</v>
      </c>
      <c r="N82" s="137" t="n">
        <f aca="false">N37</f>
        <v>2030</v>
      </c>
      <c r="O82" s="137" t="n">
        <f aca="false">O37</f>
        <v>2031</v>
      </c>
      <c r="P82" s="137" t="n">
        <f aca="false">P37</f>
        <v>2032</v>
      </c>
      <c r="Q82" s="137" t="n">
        <f aca="false">Q37</f>
        <v>2033</v>
      </c>
      <c r="R82" s="137" t="n">
        <f aca="false">R37</f>
        <v>2034</v>
      </c>
      <c r="S82" s="137" t="n">
        <f aca="false">S37</f>
        <v>2035</v>
      </c>
      <c r="T82" s="137" t="n">
        <f aca="false">T37</f>
        <v>2036</v>
      </c>
      <c r="U82" s="137" t="n">
        <f aca="false">U37</f>
        <v>2037</v>
      </c>
      <c r="V82" s="137" t="n">
        <f aca="false">V37</f>
        <v>2038</v>
      </c>
      <c r="W82" s="137" t="n">
        <f aca="false">W37</f>
        <v>2039</v>
      </c>
      <c r="X82" s="12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138" t="s">
        <v>131</v>
      </c>
      <c r="C84" s="138" t="n">
        <v>0</v>
      </c>
      <c r="D84" s="138" t="n">
        <v>1</v>
      </c>
      <c r="E84" s="138" t="n">
        <v>2</v>
      </c>
      <c r="F84" s="138" t="n">
        <v>3</v>
      </c>
      <c r="G84" s="138" t="n">
        <v>4</v>
      </c>
      <c r="H84" s="138" t="n">
        <v>5</v>
      </c>
      <c r="I84" s="138" t="n">
        <v>6</v>
      </c>
      <c r="J84" s="138" t="n">
        <v>7</v>
      </c>
      <c r="K84" s="138" t="n">
        <v>8</v>
      </c>
      <c r="L84" s="138" t="n">
        <v>9</v>
      </c>
      <c r="M84" s="138" t="n">
        <v>10</v>
      </c>
      <c r="N84" s="138" t="n">
        <v>11</v>
      </c>
      <c r="O84" s="138" t="n">
        <v>12</v>
      </c>
      <c r="P84" s="138" t="n">
        <v>13</v>
      </c>
      <c r="Q84" s="138" t="n">
        <v>14</v>
      </c>
      <c r="R84" s="138" t="n">
        <v>15</v>
      </c>
      <c r="S84" s="138" t="n">
        <v>16</v>
      </c>
      <c r="T84" s="138" t="n">
        <v>17</v>
      </c>
      <c r="U84" s="138" t="n">
        <v>18</v>
      </c>
      <c r="V84" s="138" t="n">
        <v>19</v>
      </c>
      <c r="W84" s="138" t="n">
        <v>20</v>
      </c>
      <c r="X84" s="139"/>
    </row>
    <row r="85" customFormat="false" ht="18.75" hidden="false" customHeight="true" outlineLevel="0" collapsed="false">
      <c r="B85" s="140" t="s">
        <v>153</v>
      </c>
      <c r="C85" s="140"/>
      <c r="D85" s="141" t="n">
        <f aca="false">D78</f>
        <v>483754.94</v>
      </c>
      <c r="E85" s="141" t="n">
        <f aca="false">E78</f>
        <v>264836.857866667</v>
      </c>
      <c r="F85" s="141" t="n">
        <f aca="false">F78</f>
        <v>278079.575733334</v>
      </c>
      <c r="G85" s="141" t="n">
        <f aca="false">G78</f>
        <v>291322.2936</v>
      </c>
      <c r="H85" s="141" t="n">
        <f aca="false">H78</f>
        <v>304565.011466667</v>
      </c>
      <c r="I85" s="141" t="n">
        <f aca="false">I78</f>
        <v>317807.729333333</v>
      </c>
      <c r="J85" s="141" t="n">
        <f aca="false">J78</f>
        <v>331050.4472</v>
      </c>
      <c r="K85" s="141" t="n">
        <f aca="false">K78</f>
        <v>344293.165066667</v>
      </c>
      <c r="L85" s="141" t="n">
        <f aca="false">L78</f>
        <v>357535.882933333</v>
      </c>
      <c r="M85" s="141" t="n">
        <f aca="false">M78</f>
        <v>370778.6008</v>
      </c>
      <c r="N85" s="141" t="n">
        <f aca="false">N78</f>
        <v>418909.318666667</v>
      </c>
      <c r="O85" s="141" t="n">
        <f aca="false">O78</f>
        <v>432152.036533333</v>
      </c>
      <c r="P85" s="141" t="n">
        <f aca="false">P78</f>
        <v>445394.7544</v>
      </c>
      <c r="Q85" s="141" t="n">
        <f aca="false">Q78</f>
        <v>458637.472266667</v>
      </c>
      <c r="R85" s="141" t="n">
        <f aca="false">R78</f>
        <v>471880.190133333</v>
      </c>
      <c r="S85" s="141" t="n">
        <f aca="false">S78</f>
        <v>485122.908</v>
      </c>
      <c r="T85" s="141" t="n">
        <f aca="false">T78</f>
        <v>478121.2824</v>
      </c>
      <c r="U85" s="141" t="n">
        <f aca="false">U78</f>
        <v>471119.6568</v>
      </c>
      <c r="V85" s="141" t="n">
        <f aca="false">V78</f>
        <v>464118.0312</v>
      </c>
      <c r="W85" s="141" t="n">
        <f aca="false">W78</f>
        <v>457116.4056</v>
      </c>
      <c r="X85" s="140"/>
      <c r="Y85" s="140"/>
    </row>
    <row r="86" customFormat="false" ht="15.75" hidden="false" customHeight="true" outlineLevel="0" collapsed="false">
      <c r="B86" s="140" t="s">
        <v>154</v>
      </c>
      <c r="C86" s="140"/>
      <c r="D86" s="142" t="n">
        <f aca="false">-D67</f>
        <v>926712.5</v>
      </c>
      <c r="E86" s="142" t="n">
        <f aca="false">-E67</f>
        <v>926712.5</v>
      </c>
      <c r="F86" s="142" t="n">
        <f aca="false">-F67</f>
        <v>926712.5</v>
      </c>
      <c r="G86" s="142" t="n">
        <f aca="false">-G67</f>
        <v>926712.5</v>
      </c>
      <c r="H86" s="142" t="n">
        <f aca="false">-H67</f>
        <v>926712.5</v>
      </c>
      <c r="I86" s="142" t="n">
        <f aca="false">-I67</f>
        <v>926712.5</v>
      </c>
      <c r="J86" s="142" t="n">
        <f aca="false">-J67</f>
        <v>926712.5</v>
      </c>
      <c r="K86" s="142" t="n">
        <f aca="false">-K67</f>
        <v>926712.5</v>
      </c>
      <c r="L86" s="142" t="n">
        <f aca="false">-L67</f>
        <v>926712.5</v>
      </c>
      <c r="M86" s="142" t="n">
        <f aca="false">-M67</f>
        <v>926712.5</v>
      </c>
      <c r="N86" s="142" t="n">
        <f aca="false">-N67</f>
        <v>926712.5</v>
      </c>
      <c r="O86" s="142" t="n">
        <f aca="false">-O67</f>
        <v>926712.5</v>
      </c>
      <c r="P86" s="142" t="n">
        <f aca="false">-P67</f>
        <v>926712.5</v>
      </c>
      <c r="Q86" s="142" t="n">
        <f aca="false">-Q67</f>
        <v>926712.5</v>
      </c>
      <c r="R86" s="142" t="n">
        <f aca="false">-R67</f>
        <v>926712.5</v>
      </c>
      <c r="S86" s="142" t="n">
        <f aca="false">-S67</f>
        <v>926712.5</v>
      </c>
      <c r="T86" s="142" t="n">
        <f aca="false">-T67</f>
        <v>926712.5</v>
      </c>
      <c r="U86" s="142" t="n">
        <f aca="false">-U67</f>
        <v>926712.5</v>
      </c>
      <c r="V86" s="142" t="n">
        <f aca="false">-V67</f>
        <v>926712.5</v>
      </c>
      <c r="W86" s="142" t="n">
        <f aca="false">-W67</f>
        <v>926712.5</v>
      </c>
      <c r="X86" s="143"/>
      <c r="Y86" s="143"/>
    </row>
    <row r="87" customFormat="false" ht="15.75" hidden="false" customHeight="true" outlineLevel="0" collapsed="false">
      <c r="B87" s="140" t="s">
        <v>155</v>
      </c>
      <c r="C87" s="140"/>
      <c r="D87" s="144" t="n">
        <f aca="false">SUM(D85:D86)</f>
        <v>1410467.44</v>
      </c>
      <c r="E87" s="144" t="n">
        <f aca="false">SUM(E85:E86)</f>
        <v>1191549.35786667</v>
      </c>
      <c r="F87" s="144" t="n">
        <f aca="false">SUM(F85:F86)</f>
        <v>1204792.07573333</v>
      </c>
      <c r="G87" s="144" t="n">
        <f aca="false">SUM(G85:G86)</f>
        <v>1218034.7936</v>
      </c>
      <c r="H87" s="144" t="n">
        <f aca="false">SUM(H85:H86)</f>
        <v>1231277.51146667</v>
      </c>
      <c r="I87" s="144" t="n">
        <f aca="false">SUM(I85:I86)</f>
        <v>1244520.22933333</v>
      </c>
      <c r="J87" s="144" t="n">
        <f aca="false">SUM(J85:J86)</f>
        <v>1257762.9472</v>
      </c>
      <c r="K87" s="144" t="n">
        <f aca="false">SUM(K85:K86)</f>
        <v>1271005.66506667</v>
      </c>
      <c r="L87" s="144" t="n">
        <f aca="false">SUM(L85:L86)</f>
        <v>1284248.38293333</v>
      </c>
      <c r="M87" s="144" t="n">
        <f aca="false">SUM(M85:M86)</f>
        <v>1297491.1008</v>
      </c>
      <c r="N87" s="144" t="n">
        <f aca="false">SUM(N85:N86)</f>
        <v>1345621.81866667</v>
      </c>
      <c r="O87" s="144" t="n">
        <f aca="false">SUM(O85:O86)</f>
        <v>1358864.53653333</v>
      </c>
      <c r="P87" s="144" t="n">
        <f aca="false">SUM(P85:P86)</f>
        <v>1372107.2544</v>
      </c>
      <c r="Q87" s="144" t="n">
        <f aca="false">SUM(Q85:Q86)</f>
        <v>1385349.97226667</v>
      </c>
      <c r="R87" s="144" t="n">
        <f aca="false">SUM(R85:R86)</f>
        <v>1398592.69013333</v>
      </c>
      <c r="S87" s="144" t="n">
        <f aca="false">SUM(S85:S86)</f>
        <v>1411835.408</v>
      </c>
      <c r="T87" s="144" t="n">
        <f aca="false">SUM(T85:T86)</f>
        <v>1404833.7824</v>
      </c>
      <c r="U87" s="144" t="n">
        <f aca="false">SUM(U85:U86)</f>
        <v>1397832.1568</v>
      </c>
      <c r="V87" s="144" t="n">
        <f aca="false">SUM(V85:V86)</f>
        <v>1390830.5312</v>
      </c>
      <c r="W87" s="144" t="n">
        <f aca="false">SUM(W85:W86)</f>
        <v>1383828.9056</v>
      </c>
      <c r="X87" s="110"/>
    </row>
    <row r="88" customFormat="false" ht="15.75" hidden="false" customHeight="true" outlineLevel="0" collapsed="false">
      <c r="B88" s="140"/>
      <c r="C88" s="140"/>
      <c r="D88" s="140"/>
      <c r="E88" s="140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9"/>
    </row>
    <row r="89" customFormat="false" ht="15.75" hidden="false" customHeight="true" outlineLevel="0" collapsed="false">
      <c r="B89" s="146" t="s">
        <v>156</v>
      </c>
      <c r="C89" s="147"/>
      <c r="D89" s="148" t="n">
        <f aca="false">C44</f>
        <v>-18534250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9"/>
    </row>
    <row r="90" customFormat="false" ht="15.75" hidden="false" customHeight="true" outlineLevel="0" collapsed="false">
      <c r="B90" s="140"/>
      <c r="C90" s="140"/>
      <c r="D90" s="140"/>
      <c r="E90" s="140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9"/>
    </row>
    <row r="91" customFormat="false" ht="15.75" hidden="false" customHeight="true" outlineLevel="0" collapsed="false">
      <c r="B91" s="140"/>
      <c r="C91" s="140"/>
      <c r="D91" s="140"/>
      <c r="E91" s="140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9"/>
    </row>
    <row r="92" customFormat="false" ht="15.75" hidden="false" customHeight="true" outlineLevel="0" collapsed="false">
      <c r="B92" s="146" t="s">
        <v>157</v>
      </c>
      <c r="C92" s="147"/>
      <c r="D92" s="148" t="n">
        <f aca="false">-D89*D31</f>
        <v>14827400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09"/>
    </row>
    <row r="93" customFormat="false" ht="15.75" hidden="false" customHeight="true" outlineLevel="0" collapsed="false">
      <c r="B93" s="140" t="s">
        <v>158</v>
      </c>
      <c r="C93" s="140"/>
      <c r="D93" s="150"/>
      <c r="E93" s="150" t="n">
        <v>-988493.333333333</v>
      </c>
      <c r="F93" s="150" t="n">
        <v>-988493.333333333</v>
      </c>
      <c r="G93" s="150" t="n">
        <v>-988493.333333333</v>
      </c>
      <c r="H93" s="150" t="n">
        <v>-988493.333333333</v>
      </c>
      <c r="I93" s="150" t="n">
        <v>-988493.333333333</v>
      </c>
      <c r="J93" s="150" t="n">
        <v>-988493.333333333</v>
      </c>
      <c r="K93" s="150" t="n">
        <v>-988493.333333333</v>
      </c>
      <c r="L93" s="150" t="n">
        <v>-988493.333333333</v>
      </c>
      <c r="M93" s="150" t="n">
        <v>-988493.333333333</v>
      </c>
      <c r="N93" s="150" t="n">
        <v>-988493.333333333</v>
      </c>
      <c r="O93" s="150" t="n">
        <v>-988493.333333333</v>
      </c>
      <c r="P93" s="150" t="n">
        <v>-988493.333333333</v>
      </c>
      <c r="Q93" s="150" t="n">
        <v>-988493.333333333</v>
      </c>
      <c r="R93" s="150" t="n">
        <v>-988493.333333333</v>
      </c>
      <c r="S93" s="150" t="n">
        <v>-988493.333333333</v>
      </c>
      <c r="T93" s="150" t="n">
        <v>0</v>
      </c>
      <c r="U93" s="150" t="n">
        <v>0</v>
      </c>
      <c r="V93" s="150" t="n">
        <v>0</v>
      </c>
      <c r="W93" s="150" t="n">
        <v>0</v>
      </c>
      <c r="X93" s="149"/>
    </row>
    <row r="94" customFormat="false" ht="15.75" hidden="false" customHeight="true" outlineLevel="0" collapsed="false">
      <c r="B94" s="140" t="s">
        <v>159</v>
      </c>
      <c r="C94" s="145"/>
      <c r="D94" s="141" t="n">
        <f aca="false">-D89*(1-D31)</f>
        <v>3706850</v>
      </c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10"/>
    </row>
    <row r="95" customFormat="false" ht="15.75" hidden="false" customHeight="true" outlineLevel="0" collapsed="false">
      <c r="B95" s="140" t="s">
        <v>67</v>
      </c>
      <c r="C95" s="145"/>
      <c r="D95" s="145"/>
      <c r="E95" s="151" t="n">
        <f aca="false">-D85*$D$33</f>
        <v>-435379.446</v>
      </c>
      <c r="F95" s="151" t="n">
        <f aca="false">-E85*$D$33</f>
        <v>-238353.17208</v>
      </c>
      <c r="G95" s="151" t="n">
        <f aca="false">-F85*$D$33</f>
        <v>-250271.61816</v>
      </c>
      <c r="H95" s="151" t="n">
        <f aca="false">-G85*$D$33</f>
        <v>-262190.06424</v>
      </c>
      <c r="I95" s="151" t="n">
        <f aca="false">-H85*$D$33</f>
        <v>-274108.51032</v>
      </c>
      <c r="J95" s="151" t="n">
        <f aca="false">-I85*$D$33</f>
        <v>-286026.9564</v>
      </c>
      <c r="K95" s="151" t="n">
        <f aca="false">-J85*$D$33</f>
        <v>-297945.40248</v>
      </c>
      <c r="L95" s="151" t="n">
        <f aca="false">-K85*$D$33</f>
        <v>-309863.84856</v>
      </c>
      <c r="M95" s="151" t="n">
        <f aca="false">-L85*$D$33</f>
        <v>-321782.29464</v>
      </c>
      <c r="N95" s="151" t="n">
        <f aca="false">-M85*$D$33</f>
        <v>-333700.74072</v>
      </c>
      <c r="O95" s="151" t="n">
        <f aca="false">-N85*$D$33</f>
        <v>-377018.3868</v>
      </c>
      <c r="P95" s="151" t="n">
        <f aca="false">-O85*$D$33</f>
        <v>-388936.83288</v>
      </c>
      <c r="Q95" s="151" t="n">
        <f aca="false">-P85*$D$33</f>
        <v>-400855.27896</v>
      </c>
      <c r="R95" s="151" t="n">
        <f aca="false">-Q85*$D$33</f>
        <v>-412773.72504</v>
      </c>
      <c r="S95" s="151" t="n">
        <f aca="false">-R85*$D$33</f>
        <v>-424692.17112</v>
      </c>
      <c r="T95" s="151" t="n">
        <f aca="false">-S85*$D$33</f>
        <v>-436610.6172</v>
      </c>
      <c r="U95" s="151" t="n">
        <f aca="false">-T85*$D$33</f>
        <v>-430309.15416</v>
      </c>
      <c r="V95" s="151" t="n">
        <f aca="false">-U85*$D$33</f>
        <v>-424007.69112</v>
      </c>
      <c r="W95" s="151" t="n">
        <f aca="false">-V85*$D$33</f>
        <v>-417706.22808</v>
      </c>
      <c r="X95" s="151" t="n">
        <f aca="false">-W85*$D$33</f>
        <v>-411404.76504</v>
      </c>
    </row>
    <row r="96" customFormat="false" ht="15.75" hidden="false" customHeight="true" outlineLevel="0" collapsed="false">
      <c r="B96" s="152" t="s">
        <v>70</v>
      </c>
      <c r="C96" s="153"/>
      <c r="D96" s="153" t="n">
        <v>0</v>
      </c>
      <c r="E96" s="154" t="n">
        <v>0</v>
      </c>
      <c r="F96" s="154" t="n">
        <v>0</v>
      </c>
      <c r="G96" s="154" t="n">
        <v>0</v>
      </c>
      <c r="H96" s="154" t="n">
        <v>0</v>
      </c>
      <c r="I96" s="154" t="n">
        <v>0</v>
      </c>
      <c r="J96" s="154" t="n">
        <v>0</v>
      </c>
      <c r="K96" s="154" t="n">
        <v>0</v>
      </c>
      <c r="L96" s="154" t="n">
        <v>0</v>
      </c>
      <c r="M96" s="154" t="n">
        <v>0</v>
      </c>
      <c r="N96" s="154" t="n">
        <v>0</v>
      </c>
      <c r="O96" s="154" t="n">
        <v>0</v>
      </c>
      <c r="P96" s="154" t="n">
        <v>0</v>
      </c>
      <c r="Q96" s="154" t="n">
        <v>0</v>
      </c>
      <c r="R96" s="154" t="n">
        <v>0</v>
      </c>
      <c r="S96" s="154" t="n">
        <v>0</v>
      </c>
      <c r="T96" s="154" t="n">
        <v>-926712.5</v>
      </c>
      <c r="U96" s="154" t="n">
        <v>-926712.5</v>
      </c>
      <c r="V96" s="154" t="n">
        <v>-926712.5</v>
      </c>
      <c r="W96" s="154" t="n">
        <v>-926712.5</v>
      </c>
      <c r="X96" s="155" t="n">
        <f aca="false">-W101-X95</f>
        <v>-792659.655999998</v>
      </c>
    </row>
    <row r="97" customFormat="false" ht="15.75" hidden="false" customHeight="true" outlineLevel="0" collapsed="false"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10"/>
    </row>
    <row r="98" customFormat="false" ht="15.75" hidden="false" customHeight="true" outlineLevel="0" collapsed="false"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10"/>
    </row>
    <row r="99" customFormat="false" ht="15.75" hidden="false" customHeight="true" outlineLevel="0" collapsed="false">
      <c r="B99" s="140" t="s">
        <v>160</v>
      </c>
      <c r="C99" s="141" t="n">
        <v>0</v>
      </c>
      <c r="D99" s="141" t="n">
        <f aca="false">SUM(D87:D96)</f>
        <v>1410467.44</v>
      </c>
      <c r="E99" s="141" t="n">
        <f aca="false">SUM(E87:E96)</f>
        <v>-232323.421466667</v>
      </c>
      <c r="F99" s="141" t="n">
        <f aca="false">SUM(F87:F96)</f>
        <v>-22054.4296799999</v>
      </c>
      <c r="G99" s="141" t="n">
        <f aca="false">SUM(G87:G96)</f>
        <v>-20730.1578933335</v>
      </c>
      <c r="H99" s="141" t="n">
        <f aca="false">SUM(H87:H96)</f>
        <v>-19405.8861066669</v>
      </c>
      <c r="I99" s="141" t="n">
        <f aca="false">SUM(I87:I96)</f>
        <v>-18081.6143200002</v>
      </c>
      <c r="J99" s="141" t="n">
        <f aca="false">SUM(J87:J96)</f>
        <v>-16757.342533333</v>
      </c>
      <c r="K99" s="141" t="n">
        <f aca="false">SUM(K87:K96)</f>
        <v>-15433.0707466669</v>
      </c>
      <c r="L99" s="141" t="n">
        <f aca="false">SUM(L87:L96)</f>
        <v>-14108.7989600002</v>
      </c>
      <c r="M99" s="141" t="n">
        <f aca="false">SUM(M87:M96)</f>
        <v>-12784.5271733332</v>
      </c>
      <c r="N99" s="141" t="n">
        <f aca="false">SUM(N87:N96)</f>
        <v>23427.7446133334</v>
      </c>
      <c r="O99" s="141" t="n">
        <f aca="false">SUM(O87:O96)</f>
        <v>-6647.18359999999</v>
      </c>
      <c r="P99" s="141" t="n">
        <f aca="false">SUM(P87:P96)</f>
        <v>-5322.91181333334</v>
      </c>
      <c r="Q99" s="141" t="n">
        <f aca="false">SUM(Q87:Q96)</f>
        <v>-3998.64002666669</v>
      </c>
      <c r="R99" s="141" t="n">
        <f aca="false">SUM(R87:R96)</f>
        <v>-2674.36824000021</v>
      </c>
      <c r="S99" s="141" t="n">
        <f aca="false">SUM(S87:S96)</f>
        <v>-1350.09645333345</v>
      </c>
      <c r="T99" s="141" t="n">
        <f aca="false">SUM(T87:T96)</f>
        <v>41510.6651999999</v>
      </c>
      <c r="U99" s="141" t="n">
        <f aca="false">SUM(U87:U96)</f>
        <v>40810.5026400002</v>
      </c>
      <c r="V99" s="141" t="n">
        <f aca="false">SUM(V87:V96)</f>
        <v>40110.34008</v>
      </c>
      <c r="W99" s="141" t="n">
        <f aca="false">SUM(W87:W96)</f>
        <v>39410.1775200001</v>
      </c>
      <c r="X99" s="110"/>
    </row>
    <row r="100" customFormat="false" ht="15.75" hidden="false" customHeight="true" outlineLevel="0" collapsed="false">
      <c r="B100" s="140" t="s">
        <v>161</v>
      </c>
      <c r="C100" s="141" t="n">
        <v>0</v>
      </c>
      <c r="D100" s="141" t="n">
        <f aca="false">C101</f>
        <v>0</v>
      </c>
      <c r="E100" s="141" t="n">
        <f aca="false">D101</f>
        <v>1410467.44</v>
      </c>
      <c r="F100" s="141" t="n">
        <f aca="false">E101</f>
        <v>1178144.01853333</v>
      </c>
      <c r="G100" s="141" t="n">
        <f aca="false">F101</f>
        <v>1156089.58885333</v>
      </c>
      <c r="H100" s="141" t="n">
        <f aca="false">G101</f>
        <v>1135359.43096</v>
      </c>
      <c r="I100" s="141" t="n">
        <f aca="false">H101</f>
        <v>1115953.54485333</v>
      </c>
      <c r="J100" s="141" t="n">
        <f aca="false">I101</f>
        <v>1097871.93053333</v>
      </c>
      <c r="K100" s="141" t="n">
        <f aca="false">J101</f>
        <v>1081114.588</v>
      </c>
      <c r="L100" s="141" t="n">
        <f aca="false">K101</f>
        <v>1065681.51725333</v>
      </c>
      <c r="M100" s="141" t="n">
        <f aca="false">L101</f>
        <v>1051572.71829333</v>
      </c>
      <c r="N100" s="141" t="n">
        <f aca="false">M101</f>
        <v>1038788.19112</v>
      </c>
      <c r="O100" s="141" t="n">
        <f aca="false">N101</f>
        <v>1062215.93573333</v>
      </c>
      <c r="P100" s="141" t="n">
        <f aca="false">O101</f>
        <v>1055568.75213333</v>
      </c>
      <c r="Q100" s="141" t="n">
        <f aca="false">P101</f>
        <v>1050245.84032</v>
      </c>
      <c r="R100" s="141" t="n">
        <f aca="false">Q101</f>
        <v>1046247.20029333</v>
      </c>
      <c r="S100" s="141" t="n">
        <f aca="false">R101</f>
        <v>1043572.83205333</v>
      </c>
      <c r="T100" s="141" t="n">
        <f aca="false">S101</f>
        <v>1042222.7356</v>
      </c>
      <c r="U100" s="141" t="n">
        <f aca="false">T101</f>
        <v>1083733.4008</v>
      </c>
      <c r="V100" s="141" t="n">
        <f aca="false">U101</f>
        <v>1124543.90344</v>
      </c>
      <c r="W100" s="141" t="n">
        <f aca="false">V101</f>
        <v>1164654.24352</v>
      </c>
      <c r="X100" s="109"/>
    </row>
    <row r="101" customFormat="false" ht="15.75" hidden="false" customHeight="true" outlineLevel="0" collapsed="false">
      <c r="B101" s="140" t="s">
        <v>162</v>
      </c>
      <c r="C101" s="141" t="n">
        <v>0</v>
      </c>
      <c r="D101" s="141" t="n">
        <f aca="false">D99+D100</f>
        <v>1410467.44</v>
      </c>
      <c r="E101" s="141" t="n">
        <f aca="false">E99+E100</f>
        <v>1178144.01853333</v>
      </c>
      <c r="F101" s="141" t="n">
        <f aca="false">F99+F100</f>
        <v>1156089.58885333</v>
      </c>
      <c r="G101" s="141" t="n">
        <f aca="false">G99+G100</f>
        <v>1135359.43096</v>
      </c>
      <c r="H101" s="141" t="n">
        <f aca="false">H99+H100</f>
        <v>1115953.54485333</v>
      </c>
      <c r="I101" s="141" t="n">
        <f aca="false">I99+I100</f>
        <v>1097871.93053333</v>
      </c>
      <c r="J101" s="141" t="n">
        <f aca="false">J99+J100</f>
        <v>1081114.588</v>
      </c>
      <c r="K101" s="141" t="n">
        <f aca="false">K99+K100</f>
        <v>1065681.51725333</v>
      </c>
      <c r="L101" s="141" t="n">
        <f aca="false">L99+L100</f>
        <v>1051572.71829333</v>
      </c>
      <c r="M101" s="141" t="n">
        <f aca="false">M99+M100</f>
        <v>1038788.19112</v>
      </c>
      <c r="N101" s="141" t="n">
        <f aca="false">N99+N100</f>
        <v>1062215.93573333</v>
      </c>
      <c r="O101" s="141" t="n">
        <f aca="false">O99+O100</f>
        <v>1055568.75213333</v>
      </c>
      <c r="P101" s="141" t="n">
        <f aca="false">P99+P100</f>
        <v>1050245.84032</v>
      </c>
      <c r="Q101" s="141" t="n">
        <f aca="false">Q99+Q100</f>
        <v>1046247.20029333</v>
      </c>
      <c r="R101" s="141" t="n">
        <f aca="false">R99+R100</f>
        <v>1043572.83205333</v>
      </c>
      <c r="S101" s="141" t="n">
        <f aca="false">S99+S100</f>
        <v>1042222.7356</v>
      </c>
      <c r="T101" s="141" t="n">
        <f aca="false">T99+T100</f>
        <v>1083733.4008</v>
      </c>
      <c r="U101" s="141" t="n">
        <f aca="false">U99+U100</f>
        <v>1124543.90344</v>
      </c>
      <c r="V101" s="141" t="n">
        <f aca="false">V99+V100</f>
        <v>1164654.24352</v>
      </c>
      <c r="W101" s="141" t="n">
        <f aca="false">W99+W100</f>
        <v>1204064.42104</v>
      </c>
      <c r="X101" s="109"/>
    </row>
    <row r="102" customFormat="false" ht="15.75" hidden="false" customHeight="true" outlineLevel="0" collapsed="false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</row>
    <row r="103" customFormat="false" ht="15.75" hidden="false" customHeight="true" outlineLevel="0" collapsed="false">
      <c r="B103" s="140"/>
      <c r="C103" s="140"/>
      <c r="D103" s="140"/>
      <c r="E103" s="140"/>
      <c r="F103" s="145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</row>
    <row r="104" customFormat="false" ht="15.75" hidden="false" customHeight="true" outlineLevel="0" collapsed="false">
      <c r="B104" s="156" t="s">
        <v>163</v>
      </c>
      <c r="C104" s="157"/>
      <c r="D104" s="158" t="n">
        <f aca="false">-D94</f>
        <v>-3706850</v>
      </c>
      <c r="E104" s="144" t="n">
        <f aca="false">-E95-E96</f>
        <v>435379.446</v>
      </c>
      <c r="F104" s="144" t="n">
        <f aca="false">-F95-F96</f>
        <v>238353.17208</v>
      </c>
      <c r="G104" s="144" t="n">
        <f aca="false">-G95-G96</f>
        <v>250271.61816</v>
      </c>
      <c r="H104" s="144" t="n">
        <f aca="false">-H95-H96</f>
        <v>262190.06424</v>
      </c>
      <c r="I104" s="144" t="n">
        <f aca="false">-I95-I96</f>
        <v>274108.51032</v>
      </c>
      <c r="J104" s="144" t="n">
        <f aca="false">-J95-J96</f>
        <v>286026.9564</v>
      </c>
      <c r="K104" s="144" t="n">
        <f aca="false">-K95-K96</f>
        <v>297945.40248</v>
      </c>
      <c r="L104" s="144" t="n">
        <f aca="false">-L95-L96</f>
        <v>309863.84856</v>
      </c>
      <c r="M104" s="144" t="n">
        <f aca="false">-M95-M96</f>
        <v>321782.29464</v>
      </c>
      <c r="N104" s="144" t="n">
        <f aca="false">-N95-N96</f>
        <v>333700.74072</v>
      </c>
      <c r="O104" s="144" t="n">
        <f aca="false">-O95-O96</f>
        <v>377018.3868</v>
      </c>
      <c r="P104" s="144" t="n">
        <f aca="false">-P95-P96</f>
        <v>388936.83288</v>
      </c>
      <c r="Q104" s="144" t="n">
        <f aca="false">-Q95-Q96</f>
        <v>400855.27896</v>
      </c>
      <c r="R104" s="144" t="n">
        <f aca="false">-R95-R96</f>
        <v>412773.72504</v>
      </c>
      <c r="S104" s="144" t="n">
        <f aca="false">-S95-S96</f>
        <v>424692.17112</v>
      </c>
      <c r="T104" s="144" t="n">
        <f aca="false">-T95-T96</f>
        <v>1363323.1172</v>
      </c>
      <c r="U104" s="144" t="n">
        <f aca="false">-U95-U96</f>
        <v>1357021.65416</v>
      </c>
      <c r="V104" s="144" t="n">
        <f aca="false">-V95-V96</f>
        <v>1350720.19112</v>
      </c>
      <c r="W104" s="144" t="n">
        <f aca="false">-W95-W96</f>
        <v>1344418.72808</v>
      </c>
      <c r="X104" s="144" t="n">
        <f aca="false">-X95-X96</f>
        <v>1204064.42104</v>
      </c>
    </row>
    <row r="105" customFormat="false" ht="15.75" hidden="false" customHeight="true" outlineLevel="0" collapsed="false">
      <c r="B105" s="140" t="s">
        <v>75</v>
      </c>
      <c r="C105" s="159" t="n">
        <f aca="false">IRR(D104:X104)</f>
        <v>0.0981711704233909</v>
      </c>
      <c r="D105" s="145"/>
      <c r="E105" s="145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</row>
    <row r="106" customFormat="false" ht="15.75" hidden="false" customHeight="true" outlineLevel="0" collapsed="false">
      <c r="B106" s="156" t="s">
        <v>164</v>
      </c>
      <c r="C106" s="157"/>
      <c r="D106" s="158" t="n">
        <f aca="false">D85-D94</f>
        <v>-3223095.06</v>
      </c>
      <c r="E106" s="144" t="n">
        <f aca="false">E85</f>
        <v>264836.857866667</v>
      </c>
      <c r="F106" s="144" t="n">
        <f aca="false">F85-F96</f>
        <v>278079.575733334</v>
      </c>
      <c r="G106" s="144" t="n">
        <f aca="false">G85-G96</f>
        <v>291322.2936</v>
      </c>
      <c r="H106" s="144" t="n">
        <f aca="false">H85-H96</f>
        <v>304565.011466667</v>
      </c>
      <c r="I106" s="144" t="n">
        <f aca="false">I85-I96</f>
        <v>317807.729333333</v>
      </c>
      <c r="J106" s="144" t="n">
        <f aca="false">J85-J96</f>
        <v>331050.4472</v>
      </c>
      <c r="K106" s="144" t="n">
        <f aca="false">K85-K96</f>
        <v>344293.165066667</v>
      </c>
      <c r="L106" s="144" t="n">
        <f aca="false">L85-L96</f>
        <v>357535.882933333</v>
      </c>
      <c r="M106" s="144" t="n">
        <f aca="false">M85-M96</f>
        <v>370778.6008</v>
      </c>
      <c r="N106" s="144" t="n">
        <f aca="false">N85-N96</f>
        <v>418909.318666667</v>
      </c>
      <c r="O106" s="144" t="n">
        <f aca="false">O85-O96</f>
        <v>432152.036533333</v>
      </c>
      <c r="P106" s="144" t="n">
        <f aca="false">P85-P96</f>
        <v>445394.7544</v>
      </c>
      <c r="Q106" s="144" t="n">
        <f aca="false">Q85-Q96</f>
        <v>458637.472266667</v>
      </c>
      <c r="R106" s="144" t="n">
        <f aca="false">R85-R96</f>
        <v>471880.190133333</v>
      </c>
      <c r="S106" s="144" t="n">
        <f aca="false">S85-S96</f>
        <v>485122.908</v>
      </c>
      <c r="T106" s="144" t="n">
        <f aca="false">T85-T96</f>
        <v>1404833.7824</v>
      </c>
      <c r="U106" s="144" t="n">
        <f aca="false">U85-U96</f>
        <v>1397832.1568</v>
      </c>
      <c r="V106" s="144" t="n">
        <f aca="false">V85-V96</f>
        <v>1390830.5312</v>
      </c>
      <c r="W106" s="144" t="n">
        <f aca="false">W85-W96</f>
        <v>1383828.9056</v>
      </c>
      <c r="X106" s="149"/>
    </row>
    <row r="107" customFormat="false" ht="15.75" hidden="false" customHeight="true" outlineLevel="0" collapsed="false">
      <c r="B107" s="156" t="s">
        <v>76</v>
      </c>
      <c r="C107" s="159" t="n">
        <f aca="false">IRR(D106:W106)</f>
        <v>0.114621579831285</v>
      </c>
      <c r="D107" s="145"/>
      <c r="E107" s="145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</row>
    <row r="108" customFormat="false" ht="15.75" hidden="false" customHeight="true" outlineLevel="0" collapsed="false"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</row>
    <row r="109" customFormat="false" ht="15.75" hidden="false" customHeight="true" outlineLevel="0" collapsed="false">
      <c r="B109" s="140" t="s">
        <v>165</v>
      </c>
      <c r="C109" s="141" t="n">
        <v>0</v>
      </c>
      <c r="D109" s="141" t="n">
        <f aca="false">D92</f>
        <v>14827400</v>
      </c>
      <c r="E109" s="141" t="n">
        <f aca="false">D109+E93</f>
        <v>13838906.6666667</v>
      </c>
      <c r="F109" s="141" t="n">
        <f aca="false">E109+F93</f>
        <v>12850413.3333333</v>
      </c>
      <c r="G109" s="141" t="n">
        <f aca="false">F109+G93</f>
        <v>11861920</v>
      </c>
      <c r="H109" s="141" t="n">
        <f aca="false">G109+H93</f>
        <v>10873426.6666667</v>
      </c>
      <c r="I109" s="141" t="n">
        <f aca="false">H109+I93</f>
        <v>9884933.33333333</v>
      </c>
      <c r="J109" s="141" t="n">
        <f aca="false">I109+J93</f>
        <v>8896440</v>
      </c>
      <c r="K109" s="141" t="n">
        <f aca="false">J109+K93</f>
        <v>7907946.66666666</v>
      </c>
      <c r="L109" s="141" t="n">
        <f aca="false">K109+L93</f>
        <v>6919453.33333333</v>
      </c>
      <c r="M109" s="141" t="n">
        <f aca="false">L109+M93</f>
        <v>5930960</v>
      </c>
      <c r="N109" s="141" t="n">
        <f aca="false">M109+N93</f>
        <v>4942466.66666666</v>
      </c>
      <c r="O109" s="141" t="n">
        <f aca="false">N109+O93</f>
        <v>3953973.33333333</v>
      </c>
      <c r="P109" s="141" t="n">
        <f aca="false">O109+P93</f>
        <v>2965480</v>
      </c>
      <c r="Q109" s="141" t="n">
        <f aca="false">P109+Q93</f>
        <v>1976986.66666666</v>
      </c>
      <c r="R109" s="141" t="n">
        <f aca="false">Q109+R93</f>
        <v>988493.33333333</v>
      </c>
      <c r="S109" s="141" t="n">
        <f aca="false">R109+S93</f>
        <v>0</v>
      </c>
      <c r="T109" s="141" t="n">
        <f aca="false">S109+T93</f>
        <v>0</v>
      </c>
      <c r="U109" s="141" t="n">
        <f aca="false">T109+U93</f>
        <v>0</v>
      </c>
      <c r="V109" s="141" t="n">
        <f aca="false">U109+V93</f>
        <v>0</v>
      </c>
      <c r="W109" s="141" t="n">
        <f aca="false">V109+W93</f>
        <v>0</v>
      </c>
      <c r="X1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" t="s">
        <v>87</v>
      </c>
      <c r="C1" s="35"/>
      <c r="D1" s="35"/>
      <c r="E1" s="36"/>
      <c r="F1" s="2" t="s">
        <v>1</v>
      </c>
      <c r="P1" s="3" t="n">
        <f aca="false">1-D11</f>
        <v>0.99</v>
      </c>
      <c r="Q1" s="3" t="n">
        <f aca="false">P1-$D12</f>
        <v>0.986</v>
      </c>
      <c r="R1" s="3" t="n">
        <f aca="false">Q1-$D12</f>
        <v>0.982</v>
      </c>
      <c r="S1" s="3" t="n">
        <f aca="false">R1-$D12</f>
        <v>0.978</v>
      </c>
      <c r="T1" s="3" t="n">
        <f aca="false">S1-$D12</f>
        <v>0.974</v>
      </c>
      <c r="U1" s="3" t="n">
        <f aca="false">T1-$D12</f>
        <v>0.97</v>
      </c>
      <c r="V1" s="3" t="n">
        <f aca="false">U1-$D12</f>
        <v>0.966</v>
      </c>
      <c r="W1" s="3" t="n">
        <f aca="false">V1-$D12</f>
        <v>0.962</v>
      </c>
      <c r="X1" s="3" t="n">
        <f aca="false">W1-$D12</f>
        <v>0.958</v>
      </c>
      <c r="Y1" s="3" t="n">
        <f aca="false">X1-$D12</f>
        <v>0.954</v>
      </c>
      <c r="Z1" s="3" t="n">
        <f aca="false">Y1-$D12</f>
        <v>0.95</v>
      </c>
      <c r="AA1" s="3" t="n">
        <f aca="false">Z1-$D12</f>
        <v>0.946</v>
      </c>
      <c r="AB1" s="3" t="n">
        <f aca="false">AA1-$D12</f>
        <v>0.942</v>
      </c>
      <c r="AC1" s="3" t="n">
        <f aca="false">AB1-$D12</f>
        <v>0.938</v>
      </c>
      <c r="AD1" s="3" t="n">
        <f aca="false">AC1-$D12</f>
        <v>0.934</v>
      </c>
      <c r="AE1" s="3" t="n">
        <f aca="false">AD1-$D12</f>
        <v>0.93</v>
      </c>
      <c r="AF1" s="3" t="n">
        <f aca="false">AE1-$D12</f>
        <v>0.926</v>
      </c>
      <c r="AG1" s="3" t="n">
        <f aca="false">AF1-$D12</f>
        <v>0.922</v>
      </c>
      <c r="AH1" s="3" t="n">
        <f aca="false">AG1-$D12</f>
        <v>0.918</v>
      </c>
      <c r="AI1" s="3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6" t="s">
        <v>4</v>
      </c>
      <c r="E2" s="7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1" t="s">
        <v>4</v>
      </c>
      <c r="E3" s="12" t="s">
        <v>4</v>
      </c>
      <c r="F3" s="8" t="s">
        <v>88</v>
      </c>
    </row>
    <row r="4" customFormat="false" ht="21.75" hidden="false" customHeight="true" outlineLevel="0" collapsed="false">
      <c r="B4" s="40" t="s">
        <v>89</v>
      </c>
      <c r="C4" s="41" t="n">
        <v>436.1</v>
      </c>
      <c r="D4" s="11" t="s">
        <v>4</v>
      </c>
      <c r="E4" s="12" t="s">
        <v>4</v>
      </c>
      <c r="F4" s="8" t="s">
        <v>90</v>
      </c>
      <c r="M4" s="0" t="s">
        <v>176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8" t="s">
        <v>92</v>
      </c>
      <c r="M5" s="0" t="s">
        <v>177</v>
      </c>
    </row>
    <row r="6" customFormat="false" ht="20.25" hidden="false" customHeight="true" outlineLevel="0" collapsed="false">
      <c r="B6" s="13"/>
      <c r="C6" s="13"/>
      <c r="D6" s="13"/>
      <c r="E6" s="13"/>
      <c r="M6" s="0" t="s">
        <v>178</v>
      </c>
    </row>
    <row r="7" customFormat="false" ht="22.5" hidden="false" customHeight="true" outlineLevel="0" collapsed="false">
      <c r="B7" s="1" t="s">
        <v>95</v>
      </c>
      <c r="C7" s="35"/>
      <c r="D7" s="35"/>
      <c r="E7" s="36"/>
      <c r="M7" s="0" t="s">
        <v>179</v>
      </c>
    </row>
    <row r="8" customFormat="false" ht="22.5" hidden="false" customHeight="true" outlineLevel="0" collapsed="false">
      <c r="B8" s="15" t="s">
        <v>14</v>
      </c>
      <c r="E8" s="44"/>
      <c r="M8" s="0" t="s">
        <v>180</v>
      </c>
    </row>
    <row r="9" customFormat="false" ht="22.5" hidden="false" customHeight="true" outlineLevel="0" collapsed="false">
      <c r="B9" s="45" t="s">
        <v>15</v>
      </c>
      <c r="C9" s="46" t="s">
        <v>16</v>
      </c>
      <c r="D9" s="46" t="s">
        <v>17</v>
      </c>
      <c r="E9" s="47" t="s">
        <v>18</v>
      </c>
      <c r="F9" s="2" t="s">
        <v>1</v>
      </c>
      <c r="M9" s="0" t="s">
        <v>98</v>
      </c>
    </row>
    <row r="10" customFormat="false" ht="30" hidden="false" customHeight="true" outlineLevel="0" collapsed="false">
      <c r="B10" s="48" t="s">
        <v>19</v>
      </c>
      <c r="C10" s="49" t="s">
        <v>99</v>
      </c>
      <c r="D10" s="50" t="n">
        <v>547002</v>
      </c>
      <c r="E10" s="21" t="n">
        <v>20</v>
      </c>
      <c r="F10" s="8" t="s">
        <v>100</v>
      </c>
      <c r="M10" s="0" t="s">
        <v>84</v>
      </c>
    </row>
    <row r="11" customFormat="false" ht="30" hidden="false" customHeight="true" outlineLevel="0" collapsed="false">
      <c r="B11" s="51"/>
      <c r="C11" s="42" t="s">
        <v>22</v>
      </c>
      <c r="D11" s="52" t="n">
        <v>0.01</v>
      </c>
      <c r="E11" s="53"/>
      <c r="F11" s="8" t="s">
        <v>102</v>
      </c>
    </row>
    <row r="12" customFormat="false" ht="30" hidden="false" customHeight="true" outlineLevel="0" collapsed="false">
      <c r="B12" s="51"/>
      <c r="C12" s="42" t="s">
        <v>24</v>
      </c>
      <c r="D12" s="54" t="n">
        <v>0.004</v>
      </c>
      <c r="E12" s="53"/>
      <c r="F12" s="8" t="s">
        <v>103</v>
      </c>
    </row>
    <row r="13" customFormat="false" ht="22.5" hidden="false" customHeight="true" outlineLevel="0" collapsed="false">
      <c r="B13" s="51"/>
      <c r="C13" s="55" t="s">
        <v>104</v>
      </c>
      <c r="D13" s="56" t="n">
        <v>4</v>
      </c>
      <c r="E13" s="53"/>
      <c r="F13" s="8" t="s">
        <v>105</v>
      </c>
    </row>
    <row r="14" customFormat="false" ht="22.5" hidden="false" customHeight="true" outlineLevel="0" collapsed="false">
      <c r="B14" s="26" t="s">
        <v>106</v>
      </c>
      <c r="C14" s="35"/>
      <c r="D14" s="35"/>
      <c r="E14" s="36"/>
    </row>
    <row r="15" customFormat="false" ht="22.5" hidden="false" customHeight="true" outlineLevel="0" collapsed="false">
      <c r="B15" s="45" t="s">
        <v>15</v>
      </c>
      <c r="C15" s="46" t="s">
        <v>16</v>
      </c>
      <c r="D15" s="46" t="s">
        <v>17</v>
      </c>
      <c r="E15" s="47" t="s">
        <v>29</v>
      </c>
      <c r="F15" s="2" t="s">
        <v>1</v>
      </c>
    </row>
    <row r="16" customFormat="false" ht="21.75" hidden="false" customHeight="true" outlineLevel="0" collapsed="false">
      <c r="B16" s="49" t="s">
        <v>107</v>
      </c>
      <c r="C16" s="49" t="s">
        <v>108</v>
      </c>
      <c r="D16" s="57" t="n">
        <v>25515</v>
      </c>
      <c r="E16" s="7" t="n">
        <v>20</v>
      </c>
      <c r="F16" s="8" t="s">
        <v>109</v>
      </c>
    </row>
    <row r="17" customFormat="false" ht="21.75" hidden="false" customHeight="true" outlineLevel="0" collapsed="false">
      <c r="B17" s="51"/>
      <c r="C17" s="42" t="s">
        <v>110</v>
      </c>
      <c r="D17" s="58" t="n">
        <v>0.3</v>
      </c>
      <c r="E17" s="53"/>
      <c r="F17" s="8" t="s">
        <v>111</v>
      </c>
    </row>
    <row r="18" customFormat="false" ht="21.75" hidden="false" customHeight="true" outlineLevel="0" collapsed="false">
      <c r="B18" s="59"/>
      <c r="C18" s="42" t="s">
        <v>35</v>
      </c>
      <c r="D18" s="60" t="n">
        <v>2000</v>
      </c>
      <c r="E18" s="61"/>
      <c r="F18" s="8" t="s">
        <v>112</v>
      </c>
    </row>
    <row r="19" customFormat="false" ht="54" hidden="false" customHeight="true" outlineLevel="0" collapsed="false">
      <c r="B19" s="42" t="s">
        <v>37</v>
      </c>
      <c r="C19" s="62" t="s">
        <v>38</v>
      </c>
      <c r="D19" s="58" t="n">
        <v>1</v>
      </c>
      <c r="E19" s="7" t="n">
        <v>20</v>
      </c>
      <c r="F19" s="8" t="s">
        <v>113</v>
      </c>
    </row>
    <row r="20" customFormat="false" ht="20.25" hidden="false" customHeight="true" outlineLevel="0" collapsed="false">
      <c r="B20" s="51"/>
      <c r="C20" s="63" t="s">
        <v>114</v>
      </c>
      <c r="D20" s="60" t="n">
        <v>290201</v>
      </c>
      <c r="E20" s="7" t="n">
        <v>20</v>
      </c>
      <c r="F20" s="8" t="s">
        <v>115</v>
      </c>
    </row>
    <row r="21" customFormat="false" ht="30" hidden="false" customHeight="true" outlineLevel="0" collapsed="false">
      <c r="B21" s="59"/>
      <c r="C21" s="42" t="s">
        <v>116</v>
      </c>
      <c r="D21" s="58" t="n">
        <v>0</v>
      </c>
      <c r="E21" s="12" t="n">
        <v>20</v>
      </c>
      <c r="F21" s="8" t="s">
        <v>117</v>
      </c>
    </row>
    <row r="22" customFormat="false" ht="30" hidden="false" customHeight="true" outlineLevel="0" collapsed="false">
      <c r="B22" s="42" t="s">
        <v>44</v>
      </c>
      <c r="C22" s="42" t="s">
        <v>118</v>
      </c>
      <c r="D22" s="64" t="n">
        <v>400</v>
      </c>
      <c r="E22" s="12" t="n">
        <v>20</v>
      </c>
      <c r="F22" s="8" t="s">
        <v>119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8" t="n">
        <v>0.003</v>
      </c>
      <c r="E23" s="12" t="n">
        <v>20</v>
      </c>
      <c r="F23" s="8" t="s">
        <v>120</v>
      </c>
    </row>
    <row r="24" customFormat="false" ht="30" hidden="false" customHeight="true" outlineLevel="0" collapsed="false">
      <c r="B24" s="42" t="s">
        <v>50</v>
      </c>
      <c r="C24" s="42" t="s">
        <v>121</v>
      </c>
      <c r="D24" s="64" t="n">
        <v>1000</v>
      </c>
      <c r="E24" s="31" t="n">
        <v>10</v>
      </c>
      <c r="F24" s="8" t="s">
        <v>122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5" t="n">
        <v>0.0256</v>
      </c>
      <c r="E25" s="12" t="n">
        <v>20</v>
      </c>
      <c r="F25" s="8" t="s">
        <v>123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8" t="n">
        <v>0.2</v>
      </c>
      <c r="E26" s="12" t="n">
        <v>20</v>
      </c>
      <c r="F26" s="8" t="s">
        <v>124</v>
      </c>
    </row>
    <row r="27" customFormat="false" ht="20.25" hidden="false" customHeight="true" outlineLevel="0" collapsed="false">
      <c r="B27" s="13"/>
      <c r="C27" s="13"/>
      <c r="D27" s="13"/>
      <c r="E27" s="13"/>
    </row>
    <row r="28" customFormat="false" ht="20.25" hidden="false" customHeight="true" outlineLevel="0" collapsed="false">
      <c r="B28" s="13"/>
      <c r="C28" s="13"/>
      <c r="D28" s="13"/>
      <c r="E28" s="13"/>
    </row>
    <row r="29" customFormat="false" ht="22.5" hidden="false" customHeight="true" outlineLevel="0" collapsed="false">
      <c r="B29" s="1" t="s">
        <v>125</v>
      </c>
      <c r="C29" s="35"/>
      <c r="D29" s="36"/>
      <c r="E29" s="13"/>
    </row>
    <row r="30" customFormat="false" ht="22.5" hidden="false" customHeight="true" outlineLevel="0" collapsed="false">
      <c r="B30" s="45" t="s">
        <v>60</v>
      </c>
      <c r="C30" s="66" t="s">
        <v>16</v>
      </c>
      <c r="D30" s="67" t="s">
        <v>17</v>
      </c>
      <c r="E30" s="13"/>
      <c r="F30" s="2" t="s">
        <v>1</v>
      </c>
    </row>
    <row r="31" customFormat="false" ht="30" hidden="false" customHeight="true" outlineLevel="0" collapsed="false">
      <c r="B31" s="49" t="s">
        <v>61</v>
      </c>
      <c r="C31" s="37" t="s">
        <v>62</v>
      </c>
      <c r="D31" s="68" t="n">
        <v>0.8</v>
      </c>
      <c r="E31" s="13"/>
      <c r="F31" s="8" t="s">
        <v>126</v>
      </c>
    </row>
    <row r="32" customFormat="false" ht="18.75" hidden="false" customHeight="true" outlineLevel="0" collapsed="false">
      <c r="B32" s="49" t="s">
        <v>64</v>
      </c>
      <c r="C32" s="37" t="s">
        <v>65</v>
      </c>
      <c r="D32" s="68" t="n">
        <v>15</v>
      </c>
      <c r="E32" s="13"/>
      <c r="F32" s="8" t="s">
        <v>127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8" t="n">
        <v>0.9</v>
      </c>
      <c r="E33" s="13"/>
      <c r="F33" s="8" t="s">
        <v>128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8" t="n">
        <v>4</v>
      </c>
      <c r="E34" s="13"/>
      <c r="F34" s="8" t="s">
        <v>129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9"/>
      <c r="C37" s="70" t="s">
        <v>130</v>
      </c>
      <c r="D37" s="70" t="n">
        <v>2020</v>
      </c>
      <c r="E37" s="70" t="n">
        <v>2021</v>
      </c>
      <c r="F37" s="70" t="n">
        <v>2022</v>
      </c>
      <c r="G37" s="70" t="n">
        <v>2023</v>
      </c>
      <c r="H37" s="70" t="n">
        <v>2024</v>
      </c>
      <c r="I37" s="70" t="n">
        <v>2025</v>
      </c>
      <c r="J37" s="70" t="n">
        <v>2026</v>
      </c>
      <c r="K37" s="70" t="n">
        <v>2027</v>
      </c>
      <c r="L37" s="70" t="n">
        <v>2028</v>
      </c>
      <c r="M37" s="70" t="n">
        <v>2029</v>
      </c>
      <c r="N37" s="70" t="n">
        <v>2030</v>
      </c>
      <c r="O37" s="70" t="n">
        <v>2031</v>
      </c>
      <c r="P37" s="70" t="n">
        <v>2032</v>
      </c>
      <c r="Q37" s="70" t="n">
        <v>2033</v>
      </c>
      <c r="R37" s="70" t="n">
        <v>2034</v>
      </c>
      <c r="S37" s="70" t="n">
        <v>2035</v>
      </c>
      <c r="T37" s="70" t="n">
        <v>2036</v>
      </c>
      <c r="U37" s="70" t="n">
        <v>2037</v>
      </c>
      <c r="V37" s="70" t="n">
        <v>2038</v>
      </c>
      <c r="W37" s="70" t="n">
        <v>2039</v>
      </c>
      <c r="X37" s="70"/>
    </row>
    <row r="38" customFormat="false" ht="18.75" hidden="false" customHeight="true" outlineLevel="0" collapsed="false">
      <c r="B38" s="71" t="n">
        <v>0</v>
      </c>
      <c r="C38" s="72"/>
      <c r="D38" s="73"/>
      <c r="E38" s="73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5"/>
      <c r="V38" s="75"/>
      <c r="W38" s="75"/>
      <c r="X38" s="77"/>
    </row>
    <row r="39" customFormat="false" ht="18.75" hidden="false" customHeight="true" outlineLevel="0" collapsed="false">
      <c r="B39" s="78" t="s">
        <v>131</v>
      </c>
      <c r="C39" s="79" t="n">
        <v>0</v>
      </c>
      <c r="D39" s="80" t="n">
        <v>1</v>
      </c>
      <c r="E39" s="80" t="n">
        <v>2</v>
      </c>
      <c r="F39" s="80" t="n">
        <v>3</v>
      </c>
      <c r="G39" s="80" t="n">
        <v>4</v>
      </c>
      <c r="H39" s="80" t="n">
        <v>5</v>
      </c>
      <c r="I39" s="80" t="n">
        <v>6</v>
      </c>
      <c r="J39" s="80" t="n">
        <v>7</v>
      </c>
      <c r="K39" s="80" t="n">
        <v>8</v>
      </c>
      <c r="L39" s="80" t="n">
        <v>9</v>
      </c>
      <c r="M39" s="80" t="n">
        <v>10</v>
      </c>
      <c r="N39" s="80" t="n">
        <v>11</v>
      </c>
      <c r="O39" s="80" t="n">
        <v>12</v>
      </c>
      <c r="P39" s="80" t="n">
        <v>13</v>
      </c>
      <c r="Q39" s="80" t="n">
        <v>14</v>
      </c>
      <c r="R39" s="80" t="n">
        <v>15</v>
      </c>
      <c r="S39" s="80" t="n">
        <v>16</v>
      </c>
      <c r="T39" s="81" t="n">
        <v>17</v>
      </c>
      <c r="U39" s="80" t="n">
        <v>18</v>
      </c>
      <c r="V39" s="80" t="n">
        <v>19</v>
      </c>
      <c r="W39" s="80" t="n">
        <v>20</v>
      </c>
      <c r="X39" s="82"/>
    </row>
    <row r="40" customFormat="false" ht="18.75" hidden="false" customHeight="true" outlineLevel="0" collapsed="false">
      <c r="B40" s="83" t="s">
        <v>132</v>
      </c>
      <c r="C40" s="84" t="n">
        <v>0</v>
      </c>
      <c r="D40" s="85" t="n">
        <f aca="false">$D$10*P1</f>
        <v>541531.98</v>
      </c>
      <c r="E40" s="85" t="n">
        <f aca="false">$D$10*Q1</f>
        <v>539343.972</v>
      </c>
      <c r="F40" s="85" t="n">
        <f aca="false">$D$10*R1</f>
        <v>537155.964</v>
      </c>
      <c r="G40" s="85" t="n">
        <f aca="false">$D$10*S1</f>
        <v>534967.956</v>
      </c>
      <c r="H40" s="85" t="n">
        <f aca="false">$D$10*T1</f>
        <v>532779.948</v>
      </c>
      <c r="I40" s="85" t="n">
        <f aca="false">$D$10*U1</f>
        <v>530591.94</v>
      </c>
      <c r="J40" s="85" t="n">
        <f aca="false">$D$10*V1</f>
        <v>528403.932</v>
      </c>
      <c r="K40" s="85" t="n">
        <f aca="false">$D$10*W1</f>
        <v>526215.924</v>
      </c>
      <c r="L40" s="85" t="n">
        <f aca="false">$D$10*X1</f>
        <v>524027.916</v>
      </c>
      <c r="M40" s="85" t="n">
        <f aca="false">$D$10*Y1</f>
        <v>521839.908</v>
      </c>
      <c r="N40" s="85" t="n">
        <f aca="false">$D$10*Z1</f>
        <v>519651.9</v>
      </c>
      <c r="O40" s="85" t="n">
        <f aca="false">$D$10*AA1</f>
        <v>517463.892</v>
      </c>
      <c r="P40" s="85" t="n">
        <f aca="false">$D$10*AB1</f>
        <v>515275.884</v>
      </c>
      <c r="Q40" s="85" t="n">
        <f aca="false">$D$10*AC1</f>
        <v>513087.876</v>
      </c>
      <c r="R40" s="85" t="n">
        <f aca="false">$D$10*AD1</f>
        <v>510899.868</v>
      </c>
      <c r="S40" s="85" t="n">
        <f aca="false">$D$10*AE1</f>
        <v>508711.86</v>
      </c>
      <c r="T40" s="85" t="n">
        <f aca="false">$D$10*AF1</f>
        <v>506523.852</v>
      </c>
      <c r="U40" s="85" t="n">
        <f aca="false">$D$10*AG1</f>
        <v>504335.844</v>
      </c>
      <c r="V40" s="85" t="n">
        <f aca="false">$D$10*AH1</f>
        <v>502147.836</v>
      </c>
      <c r="W40" s="85" t="n">
        <f aca="false">$D$10*AI1</f>
        <v>499959.828</v>
      </c>
      <c r="X40" s="86"/>
    </row>
    <row r="41" customFormat="false" ht="18.75" hidden="false" customHeight="true" outlineLevel="0" collapsed="false">
      <c r="B41" s="87" t="s">
        <v>133</v>
      </c>
      <c r="C41" s="88" t="s">
        <v>4</v>
      </c>
      <c r="D41" s="89" t="n">
        <f aca="false">D40*$D$13</f>
        <v>2166127.92</v>
      </c>
      <c r="E41" s="89" t="n">
        <f aca="false">E40*$D$13</f>
        <v>2157375.888</v>
      </c>
      <c r="F41" s="89" t="n">
        <f aca="false">F40*$D$13</f>
        <v>2148623.856</v>
      </c>
      <c r="G41" s="89" t="n">
        <f aca="false">G40*$D$13</f>
        <v>2139871.824</v>
      </c>
      <c r="H41" s="89" t="n">
        <f aca="false">H40*$D$13</f>
        <v>2131119.792</v>
      </c>
      <c r="I41" s="89" t="n">
        <f aca="false">I40*$D$13</f>
        <v>2122367.76</v>
      </c>
      <c r="J41" s="89" t="n">
        <f aca="false">J40*$D$13</f>
        <v>2113615.728</v>
      </c>
      <c r="K41" s="89" t="n">
        <f aca="false">K40*$D$13</f>
        <v>2104863.696</v>
      </c>
      <c r="L41" s="89" t="n">
        <f aca="false">L40*$D$13</f>
        <v>2096111.664</v>
      </c>
      <c r="M41" s="89" t="n">
        <f aca="false">M40*$D$13</f>
        <v>2087359.632</v>
      </c>
      <c r="N41" s="89" t="n">
        <f aca="false">N40*$D$13</f>
        <v>2078607.6</v>
      </c>
      <c r="O41" s="89" t="n">
        <f aca="false">O40*$D$13</f>
        <v>2069855.568</v>
      </c>
      <c r="P41" s="89" t="n">
        <f aca="false">P40*$D$13</f>
        <v>2061103.536</v>
      </c>
      <c r="Q41" s="89" t="n">
        <f aca="false">Q40*$D$13</f>
        <v>2052351.504</v>
      </c>
      <c r="R41" s="89" t="n">
        <f aca="false">R40*$D$13</f>
        <v>2043599.472</v>
      </c>
      <c r="S41" s="89" t="n">
        <f aca="false">S40*$D$13</f>
        <v>2034847.44</v>
      </c>
      <c r="T41" s="89" t="n">
        <f aca="false">T40*$D$13</f>
        <v>2026095.408</v>
      </c>
      <c r="U41" s="89" t="n">
        <f aca="false">U40*$D$13</f>
        <v>2017343.376</v>
      </c>
      <c r="V41" s="89" t="n">
        <f aca="false">V40*$D$13</f>
        <v>2008591.344</v>
      </c>
      <c r="W41" s="89" t="n">
        <f aca="false">W40*$D$13</f>
        <v>1999839.312</v>
      </c>
      <c r="X41" s="90"/>
    </row>
    <row r="42" customFormat="false" ht="18.75" hidden="false" customHeight="true" outlineLevel="0" collapsed="false">
      <c r="B42" s="91" t="s">
        <v>134</v>
      </c>
      <c r="C42" s="92" t="s">
        <v>4</v>
      </c>
      <c r="D42" s="93"/>
      <c r="E42" s="93"/>
      <c r="F42" s="93"/>
      <c r="G42" s="94" t="s">
        <v>4</v>
      </c>
      <c r="H42" s="94" t="s">
        <v>4</v>
      </c>
      <c r="I42" s="94" t="s">
        <v>4</v>
      </c>
      <c r="J42" s="94" t="s">
        <v>4</v>
      </c>
      <c r="K42" s="94" t="s">
        <v>4</v>
      </c>
      <c r="L42" s="94" t="s">
        <v>4</v>
      </c>
      <c r="M42" s="94" t="s">
        <v>4</v>
      </c>
      <c r="N42" s="94" t="s">
        <v>4</v>
      </c>
      <c r="O42" s="94" t="s">
        <v>4</v>
      </c>
      <c r="P42" s="94" t="s">
        <v>4</v>
      </c>
      <c r="Q42" s="94" t="s">
        <v>4</v>
      </c>
      <c r="R42" s="94" t="s">
        <v>4</v>
      </c>
      <c r="S42" s="94" t="s">
        <v>4</v>
      </c>
      <c r="T42" s="94" t="s">
        <v>4</v>
      </c>
      <c r="U42" s="94" t="s">
        <v>4</v>
      </c>
      <c r="V42" s="94" t="s">
        <v>4</v>
      </c>
      <c r="W42" s="94" t="s">
        <v>4</v>
      </c>
      <c r="X42" s="95"/>
    </row>
    <row r="43" customFormat="false" ht="18.75" hidden="false" customHeight="true" outlineLevel="0" collapsed="false">
      <c r="B43" s="96" t="s">
        <v>135</v>
      </c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customFormat="false" ht="18.75" hidden="false" customHeight="true" outlineLevel="0" collapsed="false">
      <c r="B44" s="100" t="s">
        <v>136</v>
      </c>
      <c r="C44" s="101" t="n">
        <f aca="false">-(D16/(1-D17)+D18)*C4</f>
        <v>-16768045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customFormat="false" ht="18.75" hidden="false" customHeight="true" outlineLevel="0" collapsed="false">
      <c r="B45" s="100" t="s">
        <v>137</v>
      </c>
      <c r="C45" s="92" t="s">
        <v>4</v>
      </c>
      <c r="D45" s="0" t="n">
        <v>-290201</v>
      </c>
      <c r="E45" s="102" t="n">
        <v>-290201</v>
      </c>
      <c r="F45" s="102" t="n">
        <v>-290201</v>
      </c>
      <c r="G45" s="102" t="n">
        <v>-290201</v>
      </c>
      <c r="H45" s="102" t="n">
        <v>-290201</v>
      </c>
      <c r="I45" s="102" t="n">
        <v>-290201</v>
      </c>
      <c r="J45" s="102" t="n">
        <v>-290201</v>
      </c>
      <c r="K45" s="102" t="n">
        <v>-290201</v>
      </c>
      <c r="L45" s="102" t="n">
        <v>-290201</v>
      </c>
      <c r="M45" s="102" t="n">
        <v>-290201</v>
      </c>
      <c r="N45" s="102" t="n">
        <v>-290201</v>
      </c>
      <c r="O45" s="102" t="n">
        <v>-290201</v>
      </c>
      <c r="P45" s="102" t="n">
        <v>-290201</v>
      </c>
      <c r="Q45" s="102" t="n">
        <v>-290201</v>
      </c>
      <c r="R45" s="102" t="n">
        <v>-290201</v>
      </c>
      <c r="S45" s="102" t="n">
        <v>-290201</v>
      </c>
      <c r="T45" s="102" t="n">
        <v>-290201</v>
      </c>
      <c r="U45" s="102" t="n">
        <v>-290201</v>
      </c>
      <c r="V45" s="102" t="n">
        <v>-290201</v>
      </c>
      <c r="W45" s="102" t="n">
        <v>-290201</v>
      </c>
      <c r="X45" s="102"/>
    </row>
    <row r="46" customFormat="false" ht="18.75" hidden="false" customHeight="true" outlineLevel="0" collapsed="false">
      <c r="B46" s="100" t="s">
        <v>138</v>
      </c>
      <c r="C46" s="9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customFormat="false" ht="18.75" hidden="false" customHeight="true" outlineLevel="0" collapsed="false">
      <c r="B47" s="100" t="s">
        <v>139</v>
      </c>
      <c r="C47" s="92" t="s">
        <v>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18.75" hidden="false" customHeight="true" outlineLevel="0" collapsed="false">
      <c r="B48" s="100" t="s">
        <v>140</v>
      </c>
      <c r="C48" s="92" t="s">
        <v>4</v>
      </c>
      <c r="D48" s="102" t="n">
        <v>-174440</v>
      </c>
      <c r="E48" s="102" t="n">
        <v>-174440</v>
      </c>
      <c r="F48" s="102" t="n">
        <v>-174440</v>
      </c>
      <c r="G48" s="102" t="n">
        <v>-174440</v>
      </c>
      <c r="H48" s="102" t="n">
        <v>-174440</v>
      </c>
      <c r="I48" s="102" t="n">
        <v>-174440</v>
      </c>
      <c r="J48" s="102" t="n">
        <v>-174440</v>
      </c>
      <c r="K48" s="102" t="n">
        <v>-174440</v>
      </c>
      <c r="L48" s="102" t="n">
        <v>-174440</v>
      </c>
      <c r="M48" s="102" t="n">
        <v>-174440</v>
      </c>
      <c r="N48" s="102" t="n">
        <v>-174440</v>
      </c>
      <c r="O48" s="102" t="n">
        <v>-174440</v>
      </c>
      <c r="P48" s="102" t="n">
        <v>-174440</v>
      </c>
      <c r="Q48" s="102" t="n">
        <v>-174440</v>
      </c>
      <c r="R48" s="102" t="n">
        <v>-174440</v>
      </c>
      <c r="S48" s="102" t="n">
        <v>-174440</v>
      </c>
      <c r="T48" s="102" t="n">
        <v>-174440</v>
      </c>
      <c r="U48" s="102" t="n">
        <v>-174440</v>
      </c>
      <c r="V48" s="102" t="n">
        <v>-174440</v>
      </c>
      <c r="W48" s="102" t="n">
        <v>-174440</v>
      </c>
      <c r="X48" s="102"/>
    </row>
    <row r="49" customFormat="false" ht="18.75" hidden="false" customHeight="true" outlineLevel="0" collapsed="false">
      <c r="B49" s="100" t="s">
        <v>141</v>
      </c>
      <c r="C49" s="92" t="s">
        <v>4</v>
      </c>
      <c r="D49" s="102" t="n">
        <v>-33381.2745</v>
      </c>
      <c r="E49" s="102" t="n">
        <v>-33381.2745</v>
      </c>
      <c r="F49" s="102" t="n">
        <v>-33381.2745</v>
      </c>
      <c r="G49" s="102" t="n">
        <v>-33381.2745</v>
      </c>
      <c r="H49" s="102" t="n">
        <v>-33381.2745</v>
      </c>
      <c r="I49" s="102" t="n">
        <v>-33381.2745</v>
      </c>
      <c r="J49" s="102" t="n">
        <v>-33381.2745</v>
      </c>
      <c r="K49" s="102" t="n">
        <v>-33381.2745</v>
      </c>
      <c r="L49" s="102" t="n">
        <v>-33381.2745</v>
      </c>
      <c r="M49" s="102" t="n">
        <v>-33381.2745</v>
      </c>
      <c r="N49" s="102" t="n">
        <v>-33381.2745</v>
      </c>
      <c r="O49" s="102" t="n">
        <v>-33381.2745</v>
      </c>
      <c r="P49" s="102" t="n">
        <v>-33381.2745</v>
      </c>
      <c r="Q49" s="102" t="n">
        <v>-33381.2745</v>
      </c>
      <c r="R49" s="102" t="n">
        <v>-33381.2745</v>
      </c>
      <c r="S49" s="102" t="n">
        <v>-33381.2745</v>
      </c>
      <c r="T49" s="102" t="n">
        <v>-33381.2745</v>
      </c>
      <c r="U49" s="102" t="n">
        <v>-33381.2745</v>
      </c>
      <c r="V49" s="102" t="n">
        <v>-33381.2745</v>
      </c>
      <c r="W49" s="102" t="n">
        <v>-33381.2745</v>
      </c>
      <c r="X49" s="102"/>
    </row>
    <row r="50" customFormat="false" ht="18.75" hidden="false" customHeight="true" outlineLevel="0" collapsed="false">
      <c r="B50" s="100" t="s">
        <v>142</v>
      </c>
      <c r="C50" s="92"/>
      <c r="D50" s="102" t="n">
        <v>-43610</v>
      </c>
      <c r="E50" s="102" t="n">
        <v>-43610</v>
      </c>
      <c r="F50" s="102" t="n">
        <v>-43610</v>
      </c>
      <c r="G50" s="102" t="n">
        <v>-43610</v>
      </c>
      <c r="H50" s="102" t="n">
        <v>-43610</v>
      </c>
      <c r="I50" s="102" t="n">
        <v>-43610</v>
      </c>
      <c r="J50" s="102" t="n">
        <v>-43610</v>
      </c>
      <c r="K50" s="102" t="n">
        <v>-43610</v>
      </c>
      <c r="L50" s="102" t="n">
        <v>-43610</v>
      </c>
      <c r="M50" s="102" t="n">
        <v>-43610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0</v>
      </c>
      <c r="S50" s="102" t="n">
        <v>0</v>
      </c>
      <c r="T50" s="102" t="n">
        <v>0</v>
      </c>
      <c r="U50" s="102" t="n">
        <v>0</v>
      </c>
      <c r="V50" s="102" t="n">
        <v>0</v>
      </c>
      <c r="W50" s="102" t="n">
        <v>0</v>
      </c>
      <c r="X50" s="102"/>
    </row>
    <row r="51" customFormat="false" ht="18.75" hidden="false" customHeight="true" outlineLevel="0" collapsed="false">
      <c r="B51" s="100" t="s">
        <v>143</v>
      </c>
      <c r="C51" s="103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customFormat="false" ht="18.75" hidden="false" customHeight="true" outlineLevel="0" collapsed="false">
      <c r="B52" s="100" t="s">
        <v>144</v>
      </c>
      <c r="C52" s="103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customFormat="false" ht="18.75" hidden="false" customHeight="true" outlineLevel="0" collapsed="false">
      <c r="B53" s="104" t="s">
        <v>145</v>
      </c>
      <c r="C53" s="103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customFormat="false" ht="18.75" hidden="false" customHeight="true" outlineLevel="0" collapsed="false">
      <c r="B54" s="104" t="s">
        <v>146</v>
      </c>
      <c r="C54" s="103"/>
      <c r="D54" s="102" t="n">
        <f aca="false">-(D64+D67+D68+D71+D72+D73+D74)*0.2</f>
        <v>-215258.8791</v>
      </c>
      <c r="E54" s="102" t="n">
        <f aca="false">-(E64+E67+E68+E71+E72+E73+E74)*0.2</f>
        <v>-155468.2727</v>
      </c>
      <c r="F54" s="102" t="n">
        <f aca="false">-(F64+F67+F68+F71+F72+F73+F74)*0.2</f>
        <v>-153717.8663</v>
      </c>
      <c r="G54" s="102" t="n">
        <f aca="false">-(G64+G67+G68+G71+G72+G73+G74)*0.2</f>
        <v>-151967.4599</v>
      </c>
      <c r="H54" s="102" t="n">
        <f aca="false">-(H64+H67+H68+H71+H72+H73+H74)*0.2</f>
        <v>-150217.0535</v>
      </c>
      <c r="I54" s="102" t="n">
        <f aca="false">-(I64+I67+I68+I71+I72+I73+I74)*0.2</f>
        <v>-148466.6471</v>
      </c>
      <c r="J54" s="102" t="n">
        <f aca="false">-(J64+J67+J68+J71+J72+J73+J74)*0.2</f>
        <v>-146716.2407</v>
      </c>
      <c r="K54" s="102" t="n">
        <f aca="false">-(K64+K67+K68+K71+K72+K73+K74)*0.2</f>
        <v>-144965.8343</v>
      </c>
      <c r="L54" s="102" t="n">
        <f aca="false">-(L64+L67+L68+L71+L72+L73+L74)*0.2</f>
        <v>-143215.4279</v>
      </c>
      <c r="M54" s="102" t="n">
        <f aca="false">-(M64+M67+M68+M71+M72+M73+M74)*0.2</f>
        <v>-141465.0215</v>
      </c>
      <c r="N54" s="102" t="n">
        <f aca="false">-(N64+N67+N68+N71+N72+N73+N74)*0.2</f>
        <v>-148436.6151</v>
      </c>
      <c r="O54" s="102" t="n">
        <f aca="false">-(O64+O67+O68+O71+O72+O73+O74)*0.2</f>
        <v>-146686.2087</v>
      </c>
      <c r="P54" s="102" t="n">
        <f aca="false">-(P64+P67+P68+P71+P72+P73+P74)*0.2</f>
        <v>-144935.8023</v>
      </c>
      <c r="Q54" s="102" t="n">
        <f aca="false">-(Q64+Q67+Q68+Q71+Q72+Q73+Q74)*0.2</f>
        <v>-143185.3959</v>
      </c>
      <c r="R54" s="102" t="n">
        <f aca="false">-(R64+R67+R68+R71+R72+R73+R74)*0.2</f>
        <v>-141434.9895</v>
      </c>
      <c r="S54" s="102" t="n">
        <f aca="false">-(S64+S67+S68+S71+S72+S73+S74)*0.2</f>
        <v>-139684.5831</v>
      </c>
      <c r="T54" s="102" t="n">
        <f aca="false">-(T64+T67+T68+T71+T72+T73+T74)*0.2</f>
        <v>-137934.1767</v>
      </c>
      <c r="U54" s="102" t="n">
        <f aca="false">-(U64+U67+U68+U71+U72+U73+U74)*0.2</f>
        <v>-136183.7703</v>
      </c>
      <c r="V54" s="102" t="n">
        <f aca="false">-(V64+V67+V68+V71+V72+V73+V74)*0.2</f>
        <v>-134433.3639</v>
      </c>
      <c r="W54" s="102" t="n">
        <f aca="false">-(W64+W67+W68+W71+W72+W73+W74)*0.2</f>
        <v>-132682.9575</v>
      </c>
      <c r="X54" s="93"/>
    </row>
    <row r="55" customFormat="false" ht="18.75" hidden="false" customHeight="true" outlineLevel="0" collapsed="false">
      <c r="B55" s="105" t="s">
        <v>147</v>
      </c>
      <c r="C55" s="106" t="n">
        <f aca="false">C44</f>
        <v>-16768045</v>
      </c>
      <c r="D55" s="107" t="n">
        <f aca="false">SUM(D41:D54)</f>
        <v>1409236.7664</v>
      </c>
      <c r="E55" s="107" t="n">
        <f aca="false">SUM(E41:E54)</f>
        <v>1460275.3408</v>
      </c>
      <c r="F55" s="107" t="n">
        <f aca="false">SUM(F41:F54)</f>
        <v>1453273.7152</v>
      </c>
      <c r="G55" s="107" t="n">
        <f aca="false">SUM(G41:G54)</f>
        <v>1446272.0896</v>
      </c>
      <c r="H55" s="107" t="n">
        <f aca="false">SUM(H41:H54)</f>
        <v>1439270.464</v>
      </c>
      <c r="I55" s="107" t="n">
        <f aca="false">SUM(I41:I54)</f>
        <v>1432268.8384</v>
      </c>
      <c r="J55" s="107" t="n">
        <f aca="false">SUM(J41:J54)</f>
        <v>1425267.2128</v>
      </c>
      <c r="K55" s="107" t="n">
        <f aca="false">SUM(K41:K54)</f>
        <v>1418265.5872</v>
      </c>
      <c r="L55" s="107" t="n">
        <f aca="false">SUM(L41:L54)</f>
        <v>1411263.9616</v>
      </c>
      <c r="M55" s="107" t="n">
        <f aca="false">SUM(M41:M54)</f>
        <v>1404262.336</v>
      </c>
      <c r="N55" s="107" t="n">
        <f aca="false">SUM(N41:N54)</f>
        <v>1432148.7104</v>
      </c>
      <c r="O55" s="107" t="n">
        <f aca="false">SUM(O41:O54)</f>
        <v>1425147.0848</v>
      </c>
      <c r="P55" s="107" t="n">
        <f aca="false">SUM(P41:P54)</f>
        <v>1418145.4592</v>
      </c>
      <c r="Q55" s="107" t="n">
        <f aca="false">SUM(Q41:Q54)</f>
        <v>1411143.8336</v>
      </c>
      <c r="R55" s="107" t="n">
        <f aca="false">SUM(R41:R54)</f>
        <v>1404142.208</v>
      </c>
      <c r="S55" s="107" t="n">
        <f aca="false">SUM(S41:S54)</f>
        <v>1397140.5824</v>
      </c>
      <c r="T55" s="107" t="n">
        <f aca="false">SUM(T41:T54)</f>
        <v>1390138.9568</v>
      </c>
      <c r="U55" s="107" t="n">
        <f aca="false">SUM(U41:U54)</f>
        <v>1383137.3312</v>
      </c>
      <c r="V55" s="107" t="n">
        <f aca="false">SUM(V41:V54)</f>
        <v>1376135.7056</v>
      </c>
      <c r="W55" s="107" t="n">
        <f aca="false">SUM(W41:W54)</f>
        <v>1369134.08</v>
      </c>
      <c r="X55" s="108"/>
      <c r="Y55" s="109"/>
      <c r="Z55" s="110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</row>
    <row r="56" customFormat="false" ht="18.75" hidden="false" customHeight="true" outlineLevel="0" collapsed="false">
      <c r="B56" s="111" t="s">
        <v>148</v>
      </c>
      <c r="D56" s="112" t="n">
        <f aca="false">C55+D55</f>
        <v>-15358808.2336</v>
      </c>
      <c r="E56" s="112" t="n">
        <f aca="false">D56+E55</f>
        <v>-13898532.8928</v>
      </c>
      <c r="F56" s="112" t="n">
        <f aca="false">E56+F55</f>
        <v>-12445259.1776</v>
      </c>
      <c r="G56" s="112" t="n">
        <f aca="false">F56+G55</f>
        <v>-10998987.088</v>
      </c>
      <c r="H56" s="112" t="n">
        <f aca="false">G56+H55</f>
        <v>-9559716.624</v>
      </c>
      <c r="I56" s="112" t="n">
        <f aca="false">H56+I55</f>
        <v>-8127447.7856</v>
      </c>
      <c r="J56" s="112" t="n">
        <f aca="false">I56+J55</f>
        <v>-6702180.5728</v>
      </c>
      <c r="K56" s="112" t="n">
        <f aca="false">J56+K55</f>
        <v>-5283914.9856</v>
      </c>
      <c r="L56" s="112" t="n">
        <f aca="false">K56+L55</f>
        <v>-3872651.024</v>
      </c>
      <c r="M56" s="112" t="n">
        <f aca="false">L56+M55</f>
        <v>-2468388.688</v>
      </c>
      <c r="N56" s="112" t="n">
        <f aca="false">M56+N55</f>
        <v>-1036239.9776</v>
      </c>
      <c r="O56" s="112" t="n">
        <f aca="false">N56+O55</f>
        <v>388907.1072</v>
      </c>
      <c r="P56" s="112" t="n">
        <f aca="false">O56+P55</f>
        <v>1807052.5664</v>
      </c>
      <c r="Q56" s="112" t="n">
        <f aca="false">P56+Q55</f>
        <v>3218196.4</v>
      </c>
      <c r="R56" s="112" t="n">
        <f aca="false">Q56+R55</f>
        <v>4622338.608</v>
      </c>
      <c r="S56" s="112" t="n">
        <f aca="false">R56+S55</f>
        <v>6019479.1904</v>
      </c>
      <c r="T56" s="112" t="n">
        <f aca="false">S56+T55</f>
        <v>7409618.1472</v>
      </c>
      <c r="U56" s="112" t="n">
        <f aca="false">T56+U55</f>
        <v>8792755.4784</v>
      </c>
      <c r="V56" s="112" t="n">
        <f aca="false">U56+V55</f>
        <v>10168891.184</v>
      </c>
      <c r="W56" s="112" t="n">
        <f aca="false">V56+W55</f>
        <v>11538025.264</v>
      </c>
      <c r="X56" s="112" t="n">
        <f aca="false">W56+X55</f>
        <v>11538025.264</v>
      </c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 customFormat="false" ht="18.75" hidden="false" customHeight="true" outlineLevel="0" collapsed="false">
      <c r="B57" s="113" t="s">
        <v>149</v>
      </c>
      <c r="C57" s="114"/>
      <c r="D57" s="115" t="str">
        <f aca="false">IF((D56)&gt;0,"回收","未回收")</f>
        <v>未回收</v>
      </c>
      <c r="E57" s="116" t="str">
        <f aca="false">IF((E56)&gt;0,"回收","未回收")</f>
        <v>未回收</v>
      </c>
      <c r="F57" s="116" t="str">
        <f aca="false">IF((F56)&gt;0,"回收","未回收")</f>
        <v>未回收</v>
      </c>
      <c r="G57" s="116" t="str">
        <f aca="false">IF((G56)&gt;0,"回收","未回收")</f>
        <v>未回收</v>
      </c>
      <c r="H57" s="116" t="str">
        <f aca="false">IF((H56)&gt;0,"回收","未回收")</f>
        <v>未回收</v>
      </c>
      <c r="I57" s="116" t="str">
        <f aca="false">IF((I56)&gt;0,"回收","未回收")</f>
        <v>未回收</v>
      </c>
      <c r="J57" s="116" t="str">
        <f aca="false">IF((J56)&gt;0,"回收","未回收")</f>
        <v>未回收</v>
      </c>
      <c r="K57" s="116" t="str">
        <f aca="false">IF((K56)&gt;0,"回收","未回收")</f>
        <v>未回收</v>
      </c>
      <c r="L57" s="116" t="str">
        <f aca="false">IF((L56)&gt;0,"回收","未回收")</f>
        <v>未回收</v>
      </c>
      <c r="M57" s="116" t="str">
        <f aca="false">IF((M56)&gt;0,"回收","未回收")</f>
        <v>未回收</v>
      </c>
      <c r="N57" s="116" t="str">
        <f aca="false">IF((N56)&gt;0,"回收","未回收")</f>
        <v>未回收</v>
      </c>
      <c r="O57" s="116" t="str">
        <f aca="false">IF((O56)&gt;0,"回收","未回收")</f>
        <v>回收</v>
      </c>
      <c r="P57" s="116" t="str">
        <f aca="false">IF((P56)&gt;0,"回收","未回收")</f>
        <v>回收</v>
      </c>
      <c r="Q57" s="116" t="str">
        <f aca="false">IF((Q56)&gt;0,"回收","未回收")</f>
        <v>回收</v>
      </c>
      <c r="R57" s="116" t="str">
        <f aca="false">IF((R56)&gt;0,"回收","未回收")</f>
        <v>回收</v>
      </c>
      <c r="S57" s="116" t="str">
        <f aca="false">IF((S56)&gt;0,"回收","未回收")</f>
        <v>回收</v>
      </c>
      <c r="T57" s="116" t="str">
        <f aca="false">IF((T56)&gt;0,"回收","未回收")</f>
        <v>回收</v>
      </c>
      <c r="U57" s="116" t="str">
        <f aca="false">IF((U56)&gt;0,"回收","未回收")</f>
        <v>回收</v>
      </c>
      <c r="V57" s="116" t="str">
        <f aca="false">IF((V56)&gt;0,"回收","未回收")</f>
        <v>回收</v>
      </c>
      <c r="W57" s="116" t="str">
        <f aca="false">IF((W56)&gt;0,"回收","未回收")</f>
        <v>回收</v>
      </c>
      <c r="X57" s="116" t="str">
        <f aca="false">IF((X56)&gt;0,"回收","未回收")</f>
        <v>回收</v>
      </c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</row>
    <row r="58" customFormat="false" ht="18.75" hidden="false" customHeight="true" outlineLevel="0" collapsed="false">
      <c r="B58" s="117" t="s">
        <v>74</v>
      </c>
      <c r="C58" s="118" t="n">
        <f aca="false">IRR(C55:W55)</f>
        <v>0.0565659796789293</v>
      </c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20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69"/>
      <c r="C60" s="70" t="s">
        <v>130</v>
      </c>
      <c r="D60" s="70" t="n">
        <f aca="false">D37</f>
        <v>2020</v>
      </c>
      <c r="E60" s="70" t="n">
        <f aca="false">E37</f>
        <v>2021</v>
      </c>
      <c r="F60" s="70" t="n">
        <f aca="false">F37</f>
        <v>2022</v>
      </c>
      <c r="G60" s="70" t="n">
        <f aca="false">G37</f>
        <v>2023</v>
      </c>
      <c r="H60" s="70" t="n">
        <f aca="false">H37</f>
        <v>2024</v>
      </c>
      <c r="I60" s="70" t="n">
        <f aca="false">I37</f>
        <v>2025</v>
      </c>
      <c r="J60" s="70" t="n">
        <f aca="false">J37</f>
        <v>2026</v>
      </c>
      <c r="K60" s="70" t="n">
        <f aca="false">K37</f>
        <v>2027</v>
      </c>
      <c r="L60" s="70" t="n">
        <f aca="false">L37</f>
        <v>2028</v>
      </c>
      <c r="M60" s="70" t="n">
        <f aca="false">M37</f>
        <v>2029</v>
      </c>
      <c r="N60" s="70" t="n">
        <f aca="false">N37</f>
        <v>2030</v>
      </c>
      <c r="O60" s="70" t="n">
        <f aca="false">O37</f>
        <v>2031</v>
      </c>
      <c r="P60" s="70" t="n">
        <f aca="false">P37</f>
        <v>2032</v>
      </c>
      <c r="Q60" s="70" t="n">
        <f aca="false">Q37</f>
        <v>2033</v>
      </c>
      <c r="R60" s="70" t="n">
        <f aca="false">R37</f>
        <v>2034</v>
      </c>
      <c r="S60" s="70" t="n">
        <f aca="false">S37</f>
        <v>2035</v>
      </c>
      <c r="T60" s="70" t="n">
        <f aca="false">T37</f>
        <v>2036</v>
      </c>
      <c r="U60" s="70" t="n">
        <f aca="false">U37</f>
        <v>2037</v>
      </c>
      <c r="V60" s="70" t="n">
        <f aca="false">V37</f>
        <v>2038</v>
      </c>
      <c r="W60" s="70" t="n">
        <f aca="false">W37</f>
        <v>2039</v>
      </c>
      <c r="X60" s="70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customFormat="false" ht="18.75" hidden="false" customHeight="true" outlineLevel="0" collapsed="false">
      <c r="B61" s="71" t="n">
        <v>0</v>
      </c>
      <c r="C61" s="72"/>
      <c r="D61" s="73"/>
      <c r="E61" s="73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23" t="s">
        <v>150</v>
      </c>
      <c r="U61" s="75"/>
      <c r="V61" s="75"/>
      <c r="W61" s="75"/>
      <c r="X61" s="77"/>
    </row>
    <row r="62" customFormat="false" ht="18.75" hidden="false" customHeight="true" outlineLevel="0" collapsed="false">
      <c r="B62" s="78" t="s">
        <v>131</v>
      </c>
      <c r="C62" s="79" t="n">
        <v>0</v>
      </c>
      <c r="D62" s="80" t="n">
        <v>1</v>
      </c>
      <c r="E62" s="80" t="n">
        <v>2</v>
      </c>
      <c r="F62" s="80" t="n">
        <v>3</v>
      </c>
      <c r="G62" s="80" t="n">
        <v>4</v>
      </c>
      <c r="H62" s="80" t="n">
        <v>5</v>
      </c>
      <c r="I62" s="80" t="n">
        <v>6</v>
      </c>
      <c r="J62" s="80" t="n">
        <v>7</v>
      </c>
      <c r="K62" s="80" t="n">
        <v>8</v>
      </c>
      <c r="L62" s="80" t="n">
        <v>9</v>
      </c>
      <c r="M62" s="80" t="n">
        <v>10</v>
      </c>
      <c r="N62" s="80" t="n">
        <v>11</v>
      </c>
      <c r="O62" s="80" t="n">
        <v>12</v>
      </c>
      <c r="P62" s="80" t="n">
        <v>13</v>
      </c>
      <c r="Q62" s="80" t="n">
        <v>14</v>
      </c>
      <c r="R62" s="80" t="n">
        <v>15</v>
      </c>
      <c r="S62" s="80" t="n">
        <v>16</v>
      </c>
      <c r="T62" s="124" t="n">
        <v>17</v>
      </c>
      <c r="U62" s="80" t="n">
        <v>18</v>
      </c>
      <c r="V62" s="80" t="n">
        <v>19</v>
      </c>
      <c r="W62" s="80" t="n">
        <v>20</v>
      </c>
      <c r="X62" s="82"/>
    </row>
    <row r="63" customFormat="false" ht="18.75" hidden="false" customHeight="true" outlineLevel="0" collapsed="false">
      <c r="B63" s="83" t="s">
        <v>132</v>
      </c>
      <c r="C63" s="84" t="n">
        <v>0</v>
      </c>
      <c r="D63" s="85" t="n">
        <f aca="false">D40</f>
        <v>541531.98</v>
      </c>
      <c r="E63" s="85" t="n">
        <f aca="false">E40</f>
        <v>539343.972</v>
      </c>
      <c r="F63" s="85" t="n">
        <f aca="false">F40</f>
        <v>537155.964</v>
      </c>
      <c r="G63" s="85" t="n">
        <f aca="false">G40</f>
        <v>534967.956</v>
      </c>
      <c r="H63" s="85" t="n">
        <f aca="false">H40</f>
        <v>532779.948</v>
      </c>
      <c r="I63" s="85" t="n">
        <f aca="false">I40</f>
        <v>530591.94</v>
      </c>
      <c r="J63" s="85" t="n">
        <f aca="false">J40</f>
        <v>528403.932</v>
      </c>
      <c r="K63" s="85" t="n">
        <f aca="false">K40</f>
        <v>526215.924</v>
      </c>
      <c r="L63" s="85" t="n">
        <f aca="false">L40</f>
        <v>524027.916</v>
      </c>
      <c r="M63" s="85" t="n">
        <f aca="false">M40</f>
        <v>521839.908</v>
      </c>
      <c r="N63" s="85" t="n">
        <f aca="false">N40</f>
        <v>519651.9</v>
      </c>
      <c r="O63" s="85" t="n">
        <f aca="false">O40</f>
        <v>517463.892</v>
      </c>
      <c r="P63" s="85" t="n">
        <f aca="false">P40</f>
        <v>515275.884</v>
      </c>
      <c r="Q63" s="85" t="n">
        <f aca="false">Q40</f>
        <v>513087.876</v>
      </c>
      <c r="R63" s="85" t="n">
        <f aca="false">R40</f>
        <v>510899.868</v>
      </c>
      <c r="S63" s="85" t="n">
        <f aca="false">S40</f>
        <v>508711.86</v>
      </c>
      <c r="T63" s="85" t="n">
        <f aca="false">T40</f>
        <v>506523.852</v>
      </c>
      <c r="U63" s="85" t="n">
        <f aca="false">U40</f>
        <v>504335.844</v>
      </c>
      <c r="V63" s="85" t="n">
        <f aca="false">V40</f>
        <v>502147.836</v>
      </c>
      <c r="W63" s="85" t="n">
        <f aca="false">W40</f>
        <v>499959.828</v>
      </c>
      <c r="X63" s="86"/>
    </row>
    <row r="64" customFormat="false" ht="18.75" hidden="false" customHeight="true" outlineLevel="0" collapsed="false">
      <c r="B64" s="87" t="s">
        <v>133</v>
      </c>
      <c r="C64" s="88" t="s">
        <v>4</v>
      </c>
      <c r="D64" s="89" t="n">
        <f aca="false">D41</f>
        <v>2166127.92</v>
      </c>
      <c r="E64" s="89" t="n">
        <f aca="false">E41</f>
        <v>2157375.888</v>
      </c>
      <c r="F64" s="89" t="n">
        <f aca="false">F41</f>
        <v>2148623.856</v>
      </c>
      <c r="G64" s="89" t="n">
        <f aca="false">G41</f>
        <v>2139871.824</v>
      </c>
      <c r="H64" s="89" t="n">
        <f aca="false">H41</f>
        <v>2131119.792</v>
      </c>
      <c r="I64" s="89" t="n">
        <f aca="false">I41</f>
        <v>2122367.76</v>
      </c>
      <c r="J64" s="89" t="n">
        <f aca="false">J41</f>
        <v>2113615.728</v>
      </c>
      <c r="K64" s="89" t="n">
        <f aca="false">K41</f>
        <v>2104863.696</v>
      </c>
      <c r="L64" s="89" t="n">
        <f aca="false">L41</f>
        <v>2096111.664</v>
      </c>
      <c r="M64" s="89" t="n">
        <f aca="false">M41</f>
        <v>2087359.632</v>
      </c>
      <c r="N64" s="89" t="n">
        <f aca="false">N41</f>
        <v>2078607.6</v>
      </c>
      <c r="O64" s="89" t="n">
        <f aca="false">O41</f>
        <v>2069855.568</v>
      </c>
      <c r="P64" s="89" t="n">
        <f aca="false">P41</f>
        <v>2061103.536</v>
      </c>
      <c r="Q64" s="89" t="n">
        <f aca="false">Q41</f>
        <v>2052351.504</v>
      </c>
      <c r="R64" s="89" t="n">
        <f aca="false">R41</f>
        <v>2043599.472</v>
      </c>
      <c r="S64" s="89" t="n">
        <f aca="false">S41</f>
        <v>2034847.44</v>
      </c>
      <c r="T64" s="89" t="n">
        <f aca="false">T41</f>
        <v>2026095.408</v>
      </c>
      <c r="U64" s="89" t="n">
        <f aca="false">U41</f>
        <v>2017343.376</v>
      </c>
      <c r="V64" s="89" t="n">
        <f aca="false">V41</f>
        <v>2008591.344</v>
      </c>
      <c r="W64" s="89" t="n">
        <f aca="false">W41</f>
        <v>1999839.312</v>
      </c>
      <c r="X64" s="90"/>
    </row>
    <row r="65" customFormat="false" ht="18.75" hidden="false" customHeight="true" outlineLevel="0" collapsed="false">
      <c r="B65" s="91" t="s">
        <v>134</v>
      </c>
      <c r="C65" s="92" t="s">
        <v>4</v>
      </c>
      <c r="D65" s="93"/>
      <c r="E65" s="93"/>
      <c r="F65" s="93"/>
      <c r="G65" s="94" t="s">
        <v>4</v>
      </c>
      <c r="H65" s="94" t="s">
        <v>4</v>
      </c>
      <c r="I65" s="94" t="s">
        <v>4</v>
      </c>
      <c r="J65" s="94" t="s">
        <v>4</v>
      </c>
      <c r="K65" s="94" t="s">
        <v>4</v>
      </c>
      <c r="L65" s="94" t="s">
        <v>4</v>
      </c>
      <c r="M65" s="94" t="s">
        <v>4</v>
      </c>
      <c r="N65" s="94" t="s">
        <v>4</v>
      </c>
      <c r="O65" s="94" t="s">
        <v>4</v>
      </c>
      <c r="P65" s="94" t="s">
        <v>4</v>
      </c>
      <c r="Q65" s="94" t="s">
        <v>4</v>
      </c>
      <c r="R65" s="94" t="s">
        <v>4</v>
      </c>
      <c r="S65" s="94" t="s">
        <v>4</v>
      </c>
      <c r="T65" s="94" t="s">
        <v>4</v>
      </c>
      <c r="U65" s="94" t="s">
        <v>4</v>
      </c>
      <c r="V65" s="94" t="s">
        <v>4</v>
      </c>
      <c r="W65" s="94" t="s">
        <v>4</v>
      </c>
      <c r="X65" s="95"/>
    </row>
    <row r="66" customFormat="false" ht="18.75" hidden="false" customHeight="true" outlineLevel="0" collapsed="false">
      <c r="B66" s="96" t="s">
        <v>135</v>
      </c>
      <c r="C66" s="97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customFormat="false" ht="18.75" hidden="false" customHeight="true" outlineLevel="0" collapsed="false">
      <c r="B67" s="100" t="s">
        <v>151</v>
      </c>
      <c r="C67" s="92"/>
      <c r="D67" s="125" t="n">
        <f aca="false">$C$44/$E$16</f>
        <v>-838402.25</v>
      </c>
      <c r="E67" s="125" t="n">
        <f aca="false">$C$44/$E$16</f>
        <v>-838402.25</v>
      </c>
      <c r="F67" s="125" t="n">
        <f aca="false">$C$44/$E$16</f>
        <v>-838402.25</v>
      </c>
      <c r="G67" s="125" t="n">
        <f aca="false">$C$44/$E$16</f>
        <v>-838402.25</v>
      </c>
      <c r="H67" s="125" t="n">
        <f aca="false">$C$44/$E$16</f>
        <v>-838402.25</v>
      </c>
      <c r="I67" s="125" t="n">
        <f aca="false">$C$44/$E$16</f>
        <v>-838402.25</v>
      </c>
      <c r="J67" s="125" t="n">
        <f aca="false">$C$44/$E$16</f>
        <v>-838402.25</v>
      </c>
      <c r="K67" s="125" t="n">
        <f aca="false">$C$44/$E$16</f>
        <v>-838402.25</v>
      </c>
      <c r="L67" s="125" t="n">
        <f aca="false">$C$44/$E$16</f>
        <v>-838402.25</v>
      </c>
      <c r="M67" s="125" t="n">
        <f aca="false">$C$44/$E$16</f>
        <v>-838402.25</v>
      </c>
      <c r="N67" s="125" t="n">
        <f aca="false">$C$44/$E$16</f>
        <v>-838402.25</v>
      </c>
      <c r="O67" s="125" t="n">
        <f aca="false">$C$44/$E$16</f>
        <v>-838402.25</v>
      </c>
      <c r="P67" s="125" t="n">
        <f aca="false">$C$44/$E$16</f>
        <v>-838402.25</v>
      </c>
      <c r="Q67" s="125" t="n">
        <f aca="false">$C$44/$E$16</f>
        <v>-838402.25</v>
      </c>
      <c r="R67" s="125" t="n">
        <f aca="false">$C$44/$E$16</f>
        <v>-838402.25</v>
      </c>
      <c r="S67" s="125" t="n">
        <f aca="false">$C$44/$E$16</f>
        <v>-838402.25</v>
      </c>
      <c r="T67" s="125" t="n">
        <f aca="false">$C$44/$E$16</f>
        <v>-838402.25</v>
      </c>
      <c r="U67" s="125" t="n">
        <f aca="false">$C$44/$E$16</f>
        <v>-838402.25</v>
      </c>
      <c r="V67" s="125" t="n">
        <f aca="false">$C$44/$E$16</f>
        <v>-838402.25</v>
      </c>
      <c r="W67" s="125" t="n">
        <f aca="false">$C$44/$E$16</f>
        <v>-838402.25</v>
      </c>
      <c r="X67" s="95"/>
    </row>
    <row r="68" customFormat="false" ht="18.75" hidden="false" customHeight="true" outlineLevel="0" collapsed="false">
      <c r="B68" s="100" t="s">
        <v>137</v>
      </c>
      <c r="C68" s="92" t="s">
        <v>4</v>
      </c>
      <c r="D68" s="102" t="n">
        <f aca="false">D44</f>
        <v>0</v>
      </c>
      <c r="E68" s="102" t="n">
        <f aca="false">E45</f>
        <v>-290201</v>
      </c>
      <c r="F68" s="102" t="n">
        <f aca="false">F45</f>
        <v>-290201</v>
      </c>
      <c r="G68" s="102" t="n">
        <f aca="false">G45</f>
        <v>-290201</v>
      </c>
      <c r="H68" s="102" t="n">
        <f aca="false">H45</f>
        <v>-290201</v>
      </c>
      <c r="I68" s="102" t="n">
        <f aca="false">I45</f>
        <v>-290201</v>
      </c>
      <c r="J68" s="102" t="n">
        <f aca="false">J45</f>
        <v>-290201</v>
      </c>
      <c r="K68" s="102" t="n">
        <f aca="false">K45</f>
        <v>-290201</v>
      </c>
      <c r="L68" s="102" t="n">
        <f aca="false">L45</f>
        <v>-290201</v>
      </c>
      <c r="M68" s="102" t="n">
        <f aca="false">M45</f>
        <v>-290201</v>
      </c>
      <c r="N68" s="102" t="n">
        <f aca="false">N45</f>
        <v>-290201</v>
      </c>
      <c r="O68" s="102" t="n">
        <f aca="false">O45</f>
        <v>-290201</v>
      </c>
      <c r="P68" s="102" t="n">
        <f aca="false">P45</f>
        <v>-290201</v>
      </c>
      <c r="Q68" s="102" t="n">
        <f aca="false">Q45</f>
        <v>-290201</v>
      </c>
      <c r="R68" s="102" t="n">
        <f aca="false">R45</f>
        <v>-290201</v>
      </c>
      <c r="S68" s="102" t="n">
        <f aca="false">S45</f>
        <v>-290201</v>
      </c>
      <c r="T68" s="102" t="n">
        <f aca="false">T45</f>
        <v>-290201</v>
      </c>
      <c r="U68" s="102" t="n">
        <f aca="false">U45</f>
        <v>-290201</v>
      </c>
      <c r="V68" s="102" t="n">
        <f aca="false">V45</f>
        <v>-290201</v>
      </c>
      <c r="W68" s="102" t="n">
        <f aca="false">W45</f>
        <v>-290201</v>
      </c>
      <c r="X68" s="95"/>
    </row>
    <row r="69" customFormat="false" ht="18.75" hidden="false" customHeight="true" outlineLevel="0" collapsed="false">
      <c r="B69" s="100" t="s">
        <v>138</v>
      </c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  <row r="70" customFormat="false" ht="18.75" hidden="false" customHeight="true" outlineLevel="0" collapsed="false">
      <c r="B70" s="100" t="s">
        <v>139</v>
      </c>
      <c r="C70" s="92" t="s">
        <v>4</v>
      </c>
      <c r="D70" s="102" t="n">
        <f aca="false">-D109*$D25</f>
        <v>-343409.5616</v>
      </c>
      <c r="E70" s="102" t="n">
        <f aca="false">-E109*$D25</f>
        <v>-320515.590826667</v>
      </c>
      <c r="F70" s="102" t="n">
        <f aca="false">-F109*$D25</f>
        <v>-297621.620053333</v>
      </c>
      <c r="G70" s="102" t="n">
        <f aca="false">-G109*$D25</f>
        <v>-274727.64928</v>
      </c>
      <c r="H70" s="102" t="n">
        <f aca="false">-H109*$D25</f>
        <v>-251833.678506667</v>
      </c>
      <c r="I70" s="102" t="n">
        <f aca="false">-I109*$D25</f>
        <v>-228939.707733333</v>
      </c>
      <c r="J70" s="102" t="n">
        <f aca="false">-J109*$D25</f>
        <v>-206045.73696</v>
      </c>
      <c r="K70" s="102" t="n">
        <f aca="false">-K109*$D25</f>
        <v>-183151.766186667</v>
      </c>
      <c r="L70" s="102" t="n">
        <f aca="false">-L109*$D25</f>
        <v>-160257.795413333</v>
      </c>
      <c r="M70" s="102" t="n">
        <f aca="false">-M109*$D25</f>
        <v>-137363.82464</v>
      </c>
      <c r="N70" s="102" t="n">
        <f aca="false">-N109*$D25</f>
        <v>-114469.853866667</v>
      </c>
      <c r="O70" s="102" t="n">
        <f aca="false">-O109*$D25</f>
        <v>-91575.8830933334</v>
      </c>
      <c r="P70" s="102" t="n">
        <f aca="false">-P109*$D25</f>
        <v>-68681.9123200001</v>
      </c>
      <c r="Q70" s="102" t="n">
        <f aca="false">-Q109*$D25</f>
        <v>-45787.9415466668</v>
      </c>
      <c r="R70" s="102" t="n">
        <f aca="false">-R109*$D25</f>
        <v>-22893.9707733334</v>
      </c>
      <c r="S70" s="102" t="n">
        <f aca="false">-S109*$D25</f>
        <v>-1.01327896118164E-010</v>
      </c>
      <c r="T70" s="102" t="n">
        <f aca="false">-T109*$D25</f>
        <v>-1.01327896118164E-010</v>
      </c>
      <c r="U70" s="102" t="n">
        <f aca="false">-U109*$D25</f>
        <v>-1.01327896118164E-010</v>
      </c>
      <c r="V70" s="102" t="n">
        <f aca="false">-V109*$D25</f>
        <v>-1.01327896118164E-010</v>
      </c>
      <c r="W70" s="102" t="n">
        <f aca="false">-W109*$D25</f>
        <v>-1.01327896118164E-010</v>
      </c>
      <c r="X70" s="95"/>
    </row>
    <row r="71" customFormat="false" ht="18.75" hidden="false" customHeight="true" outlineLevel="0" collapsed="false">
      <c r="B71" s="100" t="s">
        <v>140</v>
      </c>
      <c r="C71" s="92" t="s">
        <v>4</v>
      </c>
      <c r="D71" s="102" t="n">
        <f aca="false">D48</f>
        <v>-174440</v>
      </c>
      <c r="E71" s="102" t="n">
        <f aca="false">E48</f>
        <v>-174440</v>
      </c>
      <c r="F71" s="102" t="n">
        <f aca="false">F48</f>
        <v>-174440</v>
      </c>
      <c r="G71" s="102" t="n">
        <f aca="false">G48</f>
        <v>-174440</v>
      </c>
      <c r="H71" s="102" t="n">
        <f aca="false">H48</f>
        <v>-174440</v>
      </c>
      <c r="I71" s="102" t="n">
        <f aca="false">I48</f>
        <v>-174440</v>
      </c>
      <c r="J71" s="102" t="n">
        <f aca="false">J48</f>
        <v>-174440</v>
      </c>
      <c r="K71" s="102" t="n">
        <f aca="false">K48</f>
        <v>-174440</v>
      </c>
      <c r="L71" s="102" t="n">
        <f aca="false">L48</f>
        <v>-174440</v>
      </c>
      <c r="M71" s="102" t="n">
        <f aca="false">M48</f>
        <v>-174440</v>
      </c>
      <c r="N71" s="102" t="n">
        <f aca="false">N48</f>
        <v>-174440</v>
      </c>
      <c r="O71" s="102" t="n">
        <f aca="false">O48</f>
        <v>-174440</v>
      </c>
      <c r="P71" s="102" t="n">
        <f aca="false">P48</f>
        <v>-174440</v>
      </c>
      <c r="Q71" s="102" t="n">
        <f aca="false">Q48</f>
        <v>-174440</v>
      </c>
      <c r="R71" s="102" t="n">
        <f aca="false">R48</f>
        <v>-174440</v>
      </c>
      <c r="S71" s="102" t="n">
        <f aca="false">S48</f>
        <v>-174440</v>
      </c>
      <c r="T71" s="102" t="n">
        <f aca="false">T48</f>
        <v>-174440</v>
      </c>
      <c r="U71" s="102" t="n">
        <f aca="false">U48</f>
        <v>-174440</v>
      </c>
      <c r="V71" s="102" t="n">
        <f aca="false">V48</f>
        <v>-174440</v>
      </c>
      <c r="W71" s="102" t="n">
        <f aca="false">W48</f>
        <v>-174440</v>
      </c>
      <c r="X71" s="95"/>
    </row>
    <row r="72" customFormat="false" ht="18.75" hidden="false" customHeight="true" outlineLevel="0" collapsed="false">
      <c r="B72" s="100" t="s">
        <v>141</v>
      </c>
      <c r="C72" s="92" t="s">
        <v>4</v>
      </c>
      <c r="D72" s="102" t="n">
        <f aca="false">D49</f>
        <v>-33381.2745</v>
      </c>
      <c r="E72" s="102" t="n">
        <f aca="false">E49</f>
        <v>-33381.2745</v>
      </c>
      <c r="F72" s="102" t="n">
        <f aca="false">F49</f>
        <v>-33381.2745</v>
      </c>
      <c r="G72" s="102" t="n">
        <f aca="false">G49</f>
        <v>-33381.2745</v>
      </c>
      <c r="H72" s="102" t="n">
        <f aca="false">H49</f>
        <v>-33381.2745</v>
      </c>
      <c r="I72" s="102" t="n">
        <f aca="false">I49</f>
        <v>-33381.2745</v>
      </c>
      <c r="J72" s="102" t="n">
        <f aca="false">J49</f>
        <v>-33381.2745</v>
      </c>
      <c r="K72" s="102" t="n">
        <f aca="false">K49</f>
        <v>-33381.2745</v>
      </c>
      <c r="L72" s="102" t="n">
        <f aca="false">L49</f>
        <v>-33381.2745</v>
      </c>
      <c r="M72" s="102" t="n">
        <f aca="false">M49</f>
        <v>-33381.2745</v>
      </c>
      <c r="N72" s="102" t="n">
        <f aca="false">N49</f>
        <v>-33381.2745</v>
      </c>
      <c r="O72" s="102" t="n">
        <f aca="false">O49</f>
        <v>-33381.2745</v>
      </c>
      <c r="P72" s="102" t="n">
        <f aca="false">P49</f>
        <v>-33381.2745</v>
      </c>
      <c r="Q72" s="102" t="n">
        <f aca="false">Q49</f>
        <v>-33381.2745</v>
      </c>
      <c r="R72" s="102" t="n">
        <f aca="false">R49</f>
        <v>-33381.2745</v>
      </c>
      <c r="S72" s="102" t="n">
        <f aca="false">S49</f>
        <v>-33381.2745</v>
      </c>
      <c r="T72" s="102" t="n">
        <f aca="false">T49</f>
        <v>-33381.2745</v>
      </c>
      <c r="U72" s="102" t="n">
        <f aca="false">U49</f>
        <v>-33381.2745</v>
      </c>
      <c r="V72" s="102" t="n">
        <f aca="false">V49</f>
        <v>-33381.2745</v>
      </c>
      <c r="W72" s="102" t="n">
        <f aca="false">W49</f>
        <v>-33381.2745</v>
      </c>
      <c r="X72" s="95"/>
    </row>
    <row r="73" customFormat="false" ht="18.75" hidden="false" customHeight="true" outlineLevel="0" collapsed="false">
      <c r="B73" s="100" t="s">
        <v>142</v>
      </c>
      <c r="C73" s="92"/>
      <c r="D73" s="102" t="n">
        <f aca="false">D50</f>
        <v>-43610</v>
      </c>
      <c r="E73" s="102" t="n">
        <f aca="false">E50</f>
        <v>-43610</v>
      </c>
      <c r="F73" s="102" t="n">
        <f aca="false">F50</f>
        <v>-43610</v>
      </c>
      <c r="G73" s="102" t="n">
        <f aca="false">G50</f>
        <v>-43610</v>
      </c>
      <c r="H73" s="102" t="n">
        <f aca="false">H50</f>
        <v>-43610</v>
      </c>
      <c r="I73" s="102" t="n">
        <f aca="false">I50</f>
        <v>-43610</v>
      </c>
      <c r="J73" s="102" t="n">
        <f aca="false">J50</f>
        <v>-43610</v>
      </c>
      <c r="K73" s="102" t="n">
        <f aca="false">K50</f>
        <v>-43610</v>
      </c>
      <c r="L73" s="102" t="n">
        <f aca="false">L50</f>
        <v>-43610</v>
      </c>
      <c r="M73" s="102" t="n">
        <f aca="false">M50</f>
        <v>-43610</v>
      </c>
      <c r="N73" s="102" t="n">
        <f aca="false">N50</f>
        <v>0</v>
      </c>
      <c r="O73" s="102" t="n">
        <f aca="false">O50</f>
        <v>0</v>
      </c>
      <c r="P73" s="102" t="n">
        <f aca="false">P50</f>
        <v>0</v>
      </c>
      <c r="Q73" s="102" t="n">
        <f aca="false">Q50</f>
        <v>0</v>
      </c>
      <c r="R73" s="102" t="n">
        <f aca="false">R50</f>
        <v>0</v>
      </c>
      <c r="S73" s="102" t="n">
        <f aca="false">S50</f>
        <v>0</v>
      </c>
      <c r="T73" s="102" t="n">
        <f aca="false">T50</f>
        <v>0</v>
      </c>
      <c r="U73" s="102" t="n">
        <f aca="false">U50</f>
        <v>0</v>
      </c>
      <c r="V73" s="102" t="n">
        <f aca="false">V50</f>
        <v>0</v>
      </c>
      <c r="W73" s="102" t="n">
        <f aca="false">W50</f>
        <v>0</v>
      </c>
      <c r="X73" s="95"/>
    </row>
    <row r="74" customFormat="false" ht="18.75" hidden="false" customHeight="true" outlineLevel="0" collapsed="false">
      <c r="B74" s="100" t="s">
        <v>143</v>
      </c>
      <c r="C74" s="103"/>
      <c r="D74" s="126"/>
      <c r="E74" s="127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5"/>
    </row>
    <row r="75" customFormat="false" ht="18.75" hidden="false" customHeight="true" outlineLevel="0" collapsed="false">
      <c r="B75" s="100" t="s">
        <v>144</v>
      </c>
      <c r="C75" s="10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5"/>
    </row>
    <row r="76" customFormat="false" ht="18.75" hidden="false" customHeight="true" outlineLevel="0" collapsed="false">
      <c r="B76" s="105" t="s">
        <v>152</v>
      </c>
      <c r="C76" s="128"/>
      <c r="D76" s="107" t="n">
        <f aca="false">SUM(D64:D75)</f>
        <v>732884.8339</v>
      </c>
      <c r="E76" s="107" t="n">
        <f aca="false">SUM(E64:E75)</f>
        <v>456825.772673333</v>
      </c>
      <c r="F76" s="107" t="n">
        <f aca="false">SUM(F64:F75)</f>
        <v>470967.711446667</v>
      </c>
      <c r="G76" s="107" t="n">
        <f aca="false">SUM(G64:G75)</f>
        <v>485109.65022</v>
      </c>
      <c r="H76" s="107" t="n">
        <f aca="false">SUM(H64:H75)</f>
        <v>499251.588993333</v>
      </c>
      <c r="I76" s="107" t="n">
        <f aca="false">SUM(I64:I75)</f>
        <v>513393.527766666</v>
      </c>
      <c r="J76" s="107" t="n">
        <f aca="false">SUM(J64:J75)</f>
        <v>527535.46654</v>
      </c>
      <c r="K76" s="107" t="n">
        <f aca="false">SUM(K64:K75)</f>
        <v>541677.405313333</v>
      </c>
      <c r="L76" s="107" t="n">
        <f aca="false">SUM(L64:L75)</f>
        <v>555819.344086666</v>
      </c>
      <c r="M76" s="107" t="n">
        <f aca="false">SUM(M64:M75)</f>
        <v>569961.28286</v>
      </c>
      <c r="N76" s="107" t="n">
        <f aca="false">SUM(N64:N75)</f>
        <v>627713.221633333</v>
      </c>
      <c r="O76" s="107" t="n">
        <f aca="false">SUM(O64:O75)</f>
        <v>641855.160406667</v>
      </c>
      <c r="P76" s="107" t="n">
        <f aca="false">SUM(P64:P75)</f>
        <v>655997.09918</v>
      </c>
      <c r="Q76" s="107" t="n">
        <f aca="false">SUM(Q64:Q75)</f>
        <v>670139.037953333</v>
      </c>
      <c r="R76" s="107" t="n">
        <f aca="false">SUM(R64:R75)</f>
        <v>684280.976726666</v>
      </c>
      <c r="S76" s="107" t="n">
        <f aca="false">SUM(S64:S75)</f>
        <v>698422.9155</v>
      </c>
      <c r="T76" s="107" t="n">
        <f aca="false">SUM(T64:T75)</f>
        <v>689670.8835</v>
      </c>
      <c r="U76" s="107" t="n">
        <f aca="false">SUM(U64:U75)</f>
        <v>680918.8515</v>
      </c>
      <c r="V76" s="107" t="n">
        <f aca="false">SUM(V64:V75)</f>
        <v>672166.8195</v>
      </c>
      <c r="W76" s="107" t="n">
        <f aca="false">SUM(W64:W75)</f>
        <v>663414.7875</v>
      </c>
      <c r="X76" s="107" t="n">
        <f aca="false">SUM(X64:X75)</f>
        <v>0</v>
      </c>
    </row>
    <row r="77" customFormat="false" ht="18.75" hidden="false" customHeight="true" outlineLevel="0" collapsed="false">
      <c r="B77" s="104" t="s">
        <v>146</v>
      </c>
      <c r="C77" s="103"/>
      <c r="D77" s="102" t="n">
        <f aca="false">-D76*0.2</f>
        <v>-146576.96678</v>
      </c>
      <c r="E77" s="102" t="n">
        <f aca="false">-E76*0.2</f>
        <v>-91365.1545346666</v>
      </c>
      <c r="F77" s="102" t="n">
        <f aca="false">-F76*0.2</f>
        <v>-94193.5422893334</v>
      </c>
      <c r="G77" s="102" t="n">
        <f aca="false">-G76*0.2</f>
        <v>-97021.930044</v>
      </c>
      <c r="H77" s="102" t="n">
        <f aca="false">-H76*0.2</f>
        <v>-99850.3177986666</v>
      </c>
      <c r="I77" s="102" t="n">
        <f aca="false">-I76*0.2</f>
        <v>-102678.705553333</v>
      </c>
      <c r="J77" s="102" t="n">
        <f aca="false">-J76*0.2</f>
        <v>-105507.093308</v>
      </c>
      <c r="K77" s="102" t="n">
        <f aca="false">-K76*0.2</f>
        <v>-108335.481062667</v>
      </c>
      <c r="L77" s="102" t="n">
        <f aca="false">-L76*0.2</f>
        <v>-111163.868817333</v>
      </c>
      <c r="M77" s="102" t="n">
        <f aca="false">-M76*0.2</f>
        <v>-113992.256572</v>
      </c>
      <c r="N77" s="102" t="n">
        <f aca="false">-N76*0.2</f>
        <v>-125542.644326667</v>
      </c>
      <c r="O77" s="102" t="n">
        <f aca="false">-O76*0.2</f>
        <v>-128371.032081333</v>
      </c>
      <c r="P77" s="102" t="n">
        <f aca="false">-P76*0.2</f>
        <v>-131199.419836</v>
      </c>
      <c r="Q77" s="102" t="n">
        <f aca="false">-Q76*0.2</f>
        <v>-134027.807590667</v>
      </c>
      <c r="R77" s="102" t="n">
        <f aca="false">-R76*0.2</f>
        <v>-136856.195345333</v>
      </c>
      <c r="S77" s="102" t="n">
        <f aca="false">-S76*0.2</f>
        <v>-139684.5831</v>
      </c>
      <c r="T77" s="102" t="n">
        <f aca="false">-T76*0.2</f>
        <v>-137934.1767</v>
      </c>
      <c r="U77" s="102" t="n">
        <f aca="false">-U76*0.2</f>
        <v>-136183.7703</v>
      </c>
      <c r="V77" s="102" t="n">
        <f aca="false">-V76*0.2</f>
        <v>-134433.3639</v>
      </c>
      <c r="W77" s="102" t="n">
        <f aca="false">-W76*0.2</f>
        <v>-132682.9575</v>
      </c>
      <c r="X77" s="102" t="n">
        <f aca="false">-X76*0.2</f>
        <v>-0</v>
      </c>
    </row>
    <row r="78" customFormat="false" ht="15.75" hidden="false" customHeight="true" outlineLevel="0" collapsed="false">
      <c r="B78" s="129" t="s">
        <v>153</v>
      </c>
      <c r="D78" s="102" t="n">
        <f aca="false">SUM(D76:D77)</f>
        <v>586307.86712</v>
      </c>
      <c r="E78" s="102" t="n">
        <f aca="false">SUM(E76:E77)</f>
        <v>365460.618138667</v>
      </c>
      <c r="F78" s="102" t="n">
        <f aca="false">SUM(F76:F77)</f>
        <v>376774.169157333</v>
      </c>
      <c r="G78" s="102" t="n">
        <f aca="false">SUM(G76:G77)</f>
        <v>388087.720176</v>
      </c>
      <c r="H78" s="102" t="n">
        <f aca="false">SUM(H76:H77)</f>
        <v>399401.271194667</v>
      </c>
      <c r="I78" s="102" t="n">
        <f aca="false">SUM(I76:I77)</f>
        <v>410714.822213333</v>
      </c>
      <c r="J78" s="102" t="n">
        <f aca="false">SUM(J76:J77)</f>
        <v>422028.373232</v>
      </c>
      <c r="K78" s="102" t="n">
        <f aca="false">SUM(K76:K77)</f>
        <v>433341.924250667</v>
      </c>
      <c r="L78" s="102" t="n">
        <f aca="false">SUM(L76:L77)</f>
        <v>444655.475269333</v>
      </c>
      <c r="M78" s="102" t="n">
        <f aca="false">SUM(M76:M77)</f>
        <v>455969.026288</v>
      </c>
      <c r="N78" s="102" t="n">
        <f aca="false">SUM(N76:N77)</f>
        <v>502170.577306666</v>
      </c>
      <c r="O78" s="102" t="n">
        <f aca="false">SUM(O76:O77)</f>
        <v>513484.128325333</v>
      </c>
      <c r="P78" s="102" t="n">
        <f aca="false">SUM(P76:P77)</f>
        <v>524797.679344</v>
      </c>
      <c r="Q78" s="102" t="n">
        <f aca="false">SUM(Q76:Q77)</f>
        <v>536111.230362667</v>
      </c>
      <c r="R78" s="102" t="n">
        <f aca="false">SUM(R76:R77)</f>
        <v>547424.781381333</v>
      </c>
      <c r="S78" s="102" t="n">
        <f aca="false">SUM(S76:S77)</f>
        <v>558738.3324</v>
      </c>
      <c r="T78" s="102" t="n">
        <f aca="false">SUM(T76:T77)</f>
        <v>551736.7068</v>
      </c>
      <c r="U78" s="102" t="n">
        <f aca="false">SUM(U76:U77)</f>
        <v>544735.0812</v>
      </c>
      <c r="V78" s="102" t="n">
        <f aca="false">SUM(V76:V77)</f>
        <v>537733.4556</v>
      </c>
      <c r="W78" s="102" t="n">
        <f aca="false">SUM(W76:W77)</f>
        <v>530731.83</v>
      </c>
      <c r="X78" s="102" t="n">
        <f aca="false">SUM(X76:X77)</f>
        <v>0</v>
      </c>
    </row>
    <row r="79" customFormat="false" ht="18.75" hidden="false" customHeight="true" outlineLevel="0" collapsed="false">
      <c r="B79" s="111" t="s">
        <v>148</v>
      </c>
      <c r="C79" s="114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1"/>
    </row>
    <row r="80" customFormat="false" ht="18.75" hidden="false" customHeight="true" outlineLevel="0" collapsed="false">
      <c r="B80" s="132" t="s">
        <v>149</v>
      </c>
      <c r="C80" s="133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5"/>
    </row>
    <row r="81" customFormat="false" ht="18.75" hidden="false" customHeight="true" outlineLevel="0" collapsed="false">
      <c r="B81" s="120"/>
      <c r="C81" s="119"/>
      <c r="D81" s="119"/>
      <c r="E81" s="119"/>
      <c r="F81" s="120"/>
      <c r="G81" s="120"/>
      <c r="H81" s="120"/>
      <c r="I81" s="120"/>
      <c r="J81" s="120"/>
      <c r="K81" s="120"/>
      <c r="L81" s="120"/>
      <c r="M81" s="119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</row>
    <row r="82" customFormat="false" ht="18.75" hidden="false" customHeight="true" outlineLevel="0" collapsed="false">
      <c r="C82" s="136" t="s">
        <v>130</v>
      </c>
      <c r="D82" s="137" t="n">
        <f aca="false">D37</f>
        <v>2020</v>
      </c>
      <c r="E82" s="137" t="n">
        <f aca="false">E37</f>
        <v>2021</v>
      </c>
      <c r="F82" s="137" t="n">
        <f aca="false">F37</f>
        <v>2022</v>
      </c>
      <c r="G82" s="137" t="n">
        <f aca="false">G37</f>
        <v>2023</v>
      </c>
      <c r="H82" s="137" t="n">
        <f aca="false">H37</f>
        <v>2024</v>
      </c>
      <c r="I82" s="137" t="n">
        <f aca="false">I37</f>
        <v>2025</v>
      </c>
      <c r="J82" s="137" t="n">
        <f aca="false">J37</f>
        <v>2026</v>
      </c>
      <c r="K82" s="137" t="n">
        <f aca="false">K37</f>
        <v>2027</v>
      </c>
      <c r="L82" s="137" t="n">
        <f aca="false">L37</f>
        <v>2028</v>
      </c>
      <c r="M82" s="137" t="n">
        <f aca="false">M37</f>
        <v>2029</v>
      </c>
      <c r="N82" s="137" t="n">
        <f aca="false">N37</f>
        <v>2030</v>
      </c>
      <c r="O82" s="137" t="n">
        <f aca="false">O37</f>
        <v>2031</v>
      </c>
      <c r="P82" s="137" t="n">
        <f aca="false">P37</f>
        <v>2032</v>
      </c>
      <c r="Q82" s="137" t="n">
        <f aca="false">Q37</f>
        <v>2033</v>
      </c>
      <c r="R82" s="137" t="n">
        <f aca="false">R37</f>
        <v>2034</v>
      </c>
      <c r="S82" s="137" t="n">
        <f aca="false">S37</f>
        <v>2035</v>
      </c>
      <c r="T82" s="137" t="n">
        <f aca="false">T37</f>
        <v>2036</v>
      </c>
      <c r="U82" s="137" t="n">
        <f aca="false">U37</f>
        <v>2037</v>
      </c>
      <c r="V82" s="137" t="n">
        <f aca="false">V37</f>
        <v>2038</v>
      </c>
      <c r="W82" s="137" t="n">
        <f aca="false">W37</f>
        <v>2039</v>
      </c>
      <c r="X82" s="12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138" t="s">
        <v>131</v>
      </c>
      <c r="C84" s="138" t="n">
        <v>0</v>
      </c>
      <c r="D84" s="138" t="n">
        <v>1</v>
      </c>
      <c r="E84" s="138" t="n">
        <v>2</v>
      </c>
      <c r="F84" s="138" t="n">
        <v>3</v>
      </c>
      <c r="G84" s="138" t="n">
        <v>4</v>
      </c>
      <c r="H84" s="138" t="n">
        <v>5</v>
      </c>
      <c r="I84" s="138" t="n">
        <v>6</v>
      </c>
      <c r="J84" s="138" t="n">
        <v>7</v>
      </c>
      <c r="K84" s="138" t="n">
        <v>8</v>
      </c>
      <c r="L84" s="138" t="n">
        <v>9</v>
      </c>
      <c r="M84" s="138" t="n">
        <v>10</v>
      </c>
      <c r="N84" s="138" t="n">
        <v>11</v>
      </c>
      <c r="O84" s="138" t="n">
        <v>12</v>
      </c>
      <c r="P84" s="138" t="n">
        <v>13</v>
      </c>
      <c r="Q84" s="138" t="n">
        <v>14</v>
      </c>
      <c r="R84" s="138" t="n">
        <v>15</v>
      </c>
      <c r="S84" s="138" t="n">
        <v>16</v>
      </c>
      <c r="T84" s="138" t="n">
        <v>17</v>
      </c>
      <c r="U84" s="138" t="n">
        <v>18</v>
      </c>
      <c r="V84" s="138" t="n">
        <v>19</v>
      </c>
      <c r="W84" s="138" t="n">
        <v>20</v>
      </c>
      <c r="X84" s="139"/>
    </row>
    <row r="85" customFormat="false" ht="18.75" hidden="false" customHeight="true" outlineLevel="0" collapsed="false">
      <c r="B85" s="140" t="s">
        <v>153</v>
      </c>
      <c r="C85" s="140"/>
      <c r="D85" s="141" t="n">
        <f aca="false">D78</f>
        <v>586307.86712</v>
      </c>
      <c r="E85" s="141" t="n">
        <f aca="false">E78</f>
        <v>365460.618138667</v>
      </c>
      <c r="F85" s="141" t="n">
        <f aca="false">F78</f>
        <v>376774.169157333</v>
      </c>
      <c r="G85" s="141" t="n">
        <f aca="false">G78</f>
        <v>388087.720176</v>
      </c>
      <c r="H85" s="141" t="n">
        <f aca="false">H78</f>
        <v>399401.271194667</v>
      </c>
      <c r="I85" s="141" t="n">
        <f aca="false">I78</f>
        <v>410714.822213333</v>
      </c>
      <c r="J85" s="141" t="n">
        <f aca="false">J78</f>
        <v>422028.373232</v>
      </c>
      <c r="K85" s="141" t="n">
        <f aca="false">K78</f>
        <v>433341.924250667</v>
      </c>
      <c r="L85" s="141" t="n">
        <f aca="false">L78</f>
        <v>444655.475269333</v>
      </c>
      <c r="M85" s="141" t="n">
        <f aca="false">M78</f>
        <v>455969.026288</v>
      </c>
      <c r="N85" s="141" t="n">
        <f aca="false">N78</f>
        <v>502170.577306666</v>
      </c>
      <c r="O85" s="141" t="n">
        <f aca="false">O78</f>
        <v>513484.128325333</v>
      </c>
      <c r="P85" s="141" t="n">
        <f aca="false">P78</f>
        <v>524797.679344</v>
      </c>
      <c r="Q85" s="141" t="n">
        <f aca="false">Q78</f>
        <v>536111.230362667</v>
      </c>
      <c r="R85" s="141" t="n">
        <f aca="false">R78</f>
        <v>547424.781381333</v>
      </c>
      <c r="S85" s="141" t="n">
        <f aca="false">S78</f>
        <v>558738.3324</v>
      </c>
      <c r="T85" s="141" t="n">
        <f aca="false">T78</f>
        <v>551736.7068</v>
      </c>
      <c r="U85" s="141" t="n">
        <f aca="false">U78</f>
        <v>544735.0812</v>
      </c>
      <c r="V85" s="141" t="n">
        <f aca="false">V78</f>
        <v>537733.4556</v>
      </c>
      <c r="W85" s="141" t="n">
        <f aca="false">W78</f>
        <v>530731.83</v>
      </c>
      <c r="X85" s="140"/>
      <c r="Y85" s="140"/>
    </row>
    <row r="86" customFormat="false" ht="15.75" hidden="false" customHeight="true" outlineLevel="0" collapsed="false">
      <c r="B86" s="140" t="s">
        <v>154</v>
      </c>
      <c r="C86" s="140"/>
      <c r="D86" s="142" t="n">
        <f aca="false">-D67</f>
        <v>838402.25</v>
      </c>
      <c r="E86" s="142" t="n">
        <f aca="false">-E67</f>
        <v>838402.25</v>
      </c>
      <c r="F86" s="142" t="n">
        <f aca="false">-F67</f>
        <v>838402.25</v>
      </c>
      <c r="G86" s="142" t="n">
        <f aca="false">-G67</f>
        <v>838402.25</v>
      </c>
      <c r="H86" s="142" t="n">
        <f aca="false">-H67</f>
        <v>838402.25</v>
      </c>
      <c r="I86" s="142" t="n">
        <f aca="false">-I67</f>
        <v>838402.25</v>
      </c>
      <c r="J86" s="142" t="n">
        <f aca="false">-J67</f>
        <v>838402.25</v>
      </c>
      <c r="K86" s="142" t="n">
        <f aca="false">-K67</f>
        <v>838402.25</v>
      </c>
      <c r="L86" s="142" t="n">
        <f aca="false">-L67</f>
        <v>838402.25</v>
      </c>
      <c r="M86" s="142" t="n">
        <f aca="false">-M67</f>
        <v>838402.25</v>
      </c>
      <c r="N86" s="142" t="n">
        <f aca="false">-N67</f>
        <v>838402.25</v>
      </c>
      <c r="O86" s="142" t="n">
        <f aca="false">-O67</f>
        <v>838402.25</v>
      </c>
      <c r="P86" s="142" t="n">
        <f aca="false">-P67</f>
        <v>838402.25</v>
      </c>
      <c r="Q86" s="142" t="n">
        <f aca="false">-Q67</f>
        <v>838402.25</v>
      </c>
      <c r="R86" s="142" t="n">
        <f aca="false">-R67</f>
        <v>838402.25</v>
      </c>
      <c r="S86" s="142" t="n">
        <f aca="false">-S67</f>
        <v>838402.25</v>
      </c>
      <c r="T86" s="142" t="n">
        <f aca="false">-T67</f>
        <v>838402.25</v>
      </c>
      <c r="U86" s="142" t="n">
        <f aca="false">-U67</f>
        <v>838402.25</v>
      </c>
      <c r="V86" s="142" t="n">
        <f aca="false">-V67</f>
        <v>838402.25</v>
      </c>
      <c r="W86" s="142" t="n">
        <f aca="false">-W67</f>
        <v>838402.25</v>
      </c>
      <c r="X86" s="143"/>
      <c r="Y86" s="143"/>
    </row>
    <row r="87" customFormat="false" ht="15.75" hidden="false" customHeight="true" outlineLevel="0" collapsed="false">
      <c r="B87" s="140" t="s">
        <v>155</v>
      </c>
      <c r="C87" s="140"/>
      <c r="D87" s="144" t="n">
        <f aca="false">SUM(D85:D86)</f>
        <v>1424710.11712</v>
      </c>
      <c r="E87" s="144" t="n">
        <f aca="false">SUM(E85:E86)</f>
        <v>1203862.86813867</v>
      </c>
      <c r="F87" s="144" t="n">
        <f aca="false">SUM(F85:F86)</f>
        <v>1215176.41915733</v>
      </c>
      <c r="G87" s="144" t="n">
        <f aca="false">SUM(G85:G86)</f>
        <v>1226489.970176</v>
      </c>
      <c r="H87" s="144" t="n">
        <f aca="false">SUM(H85:H86)</f>
        <v>1237803.52119467</v>
      </c>
      <c r="I87" s="144" t="n">
        <f aca="false">SUM(I85:I86)</f>
        <v>1249117.07221333</v>
      </c>
      <c r="J87" s="144" t="n">
        <f aca="false">SUM(J85:J86)</f>
        <v>1260430.623232</v>
      </c>
      <c r="K87" s="144" t="n">
        <f aca="false">SUM(K85:K86)</f>
        <v>1271744.17425067</v>
      </c>
      <c r="L87" s="144" t="n">
        <f aca="false">SUM(L85:L86)</f>
        <v>1283057.72526933</v>
      </c>
      <c r="M87" s="144" t="n">
        <f aca="false">SUM(M85:M86)</f>
        <v>1294371.276288</v>
      </c>
      <c r="N87" s="144" t="n">
        <f aca="false">SUM(N85:N86)</f>
        <v>1340572.82730667</v>
      </c>
      <c r="O87" s="144" t="n">
        <f aca="false">SUM(O85:O86)</f>
        <v>1351886.37832533</v>
      </c>
      <c r="P87" s="144" t="n">
        <f aca="false">SUM(P85:P86)</f>
        <v>1363199.929344</v>
      </c>
      <c r="Q87" s="144" t="n">
        <f aca="false">SUM(Q85:Q86)</f>
        <v>1374513.48036267</v>
      </c>
      <c r="R87" s="144" t="n">
        <f aca="false">SUM(R85:R86)</f>
        <v>1385827.03138133</v>
      </c>
      <c r="S87" s="144" t="n">
        <f aca="false">SUM(S85:S86)</f>
        <v>1397140.5824</v>
      </c>
      <c r="T87" s="144" t="n">
        <f aca="false">SUM(T85:T86)</f>
        <v>1390138.9568</v>
      </c>
      <c r="U87" s="144" t="n">
        <f aca="false">SUM(U85:U86)</f>
        <v>1383137.3312</v>
      </c>
      <c r="V87" s="144" t="n">
        <f aca="false">SUM(V85:V86)</f>
        <v>1376135.7056</v>
      </c>
      <c r="W87" s="144" t="n">
        <f aca="false">SUM(W85:W86)</f>
        <v>1369134.08</v>
      </c>
      <c r="X87" s="110"/>
    </row>
    <row r="88" customFormat="false" ht="15.75" hidden="false" customHeight="true" outlineLevel="0" collapsed="false">
      <c r="B88" s="140"/>
      <c r="C88" s="140"/>
      <c r="D88" s="140"/>
      <c r="E88" s="140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9"/>
    </row>
    <row r="89" customFormat="false" ht="15.75" hidden="false" customHeight="true" outlineLevel="0" collapsed="false">
      <c r="B89" s="146" t="s">
        <v>156</v>
      </c>
      <c r="C89" s="147"/>
      <c r="D89" s="148" t="n">
        <f aca="false">C44</f>
        <v>-16768045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9"/>
    </row>
    <row r="90" customFormat="false" ht="15.75" hidden="false" customHeight="true" outlineLevel="0" collapsed="false">
      <c r="B90" s="140"/>
      <c r="C90" s="140"/>
      <c r="D90" s="140"/>
      <c r="E90" s="140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9"/>
    </row>
    <row r="91" customFormat="false" ht="15.75" hidden="false" customHeight="true" outlineLevel="0" collapsed="false">
      <c r="B91" s="140"/>
      <c r="C91" s="140"/>
      <c r="D91" s="140"/>
      <c r="E91" s="140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9"/>
    </row>
    <row r="92" customFormat="false" ht="15.75" hidden="false" customHeight="true" outlineLevel="0" collapsed="false">
      <c r="B92" s="146" t="s">
        <v>157</v>
      </c>
      <c r="C92" s="147"/>
      <c r="D92" s="148" t="n">
        <f aca="false">-D89*D31</f>
        <v>13414436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09"/>
    </row>
    <row r="93" customFormat="false" ht="15.75" hidden="false" customHeight="true" outlineLevel="0" collapsed="false">
      <c r="B93" s="140" t="s">
        <v>158</v>
      </c>
      <c r="C93" s="140"/>
      <c r="D93" s="150"/>
      <c r="E93" s="150" t="n">
        <v>-894295.733333333</v>
      </c>
      <c r="F93" s="150" t="n">
        <v>-894295.733333333</v>
      </c>
      <c r="G93" s="150" t="n">
        <v>-894295.733333333</v>
      </c>
      <c r="H93" s="150" t="n">
        <v>-894295.733333333</v>
      </c>
      <c r="I93" s="150" t="n">
        <v>-894295.733333333</v>
      </c>
      <c r="J93" s="150" t="n">
        <v>-894295.733333333</v>
      </c>
      <c r="K93" s="150" t="n">
        <v>-894295.733333333</v>
      </c>
      <c r="L93" s="150" t="n">
        <v>-894295.733333333</v>
      </c>
      <c r="M93" s="150" t="n">
        <v>-894295.733333333</v>
      </c>
      <c r="N93" s="150" t="n">
        <v>-894295.733333333</v>
      </c>
      <c r="O93" s="150" t="n">
        <v>-894295.733333333</v>
      </c>
      <c r="P93" s="150" t="n">
        <v>-894295.733333333</v>
      </c>
      <c r="Q93" s="150" t="n">
        <v>-894295.733333333</v>
      </c>
      <c r="R93" s="150" t="n">
        <v>-894295.733333333</v>
      </c>
      <c r="S93" s="150" t="n">
        <v>-894295.733333333</v>
      </c>
      <c r="T93" s="150" t="n">
        <v>0</v>
      </c>
      <c r="U93" s="150" t="n">
        <v>0</v>
      </c>
      <c r="V93" s="150" t="n">
        <v>0</v>
      </c>
      <c r="W93" s="150" t="n">
        <v>0</v>
      </c>
      <c r="X93" s="149"/>
    </row>
    <row r="94" customFormat="false" ht="15.75" hidden="false" customHeight="true" outlineLevel="0" collapsed="false">
      <c r="B94" s="140" t="s">
        <v>159</v>
      </c>
      <c r="C94" s="145"/>
      <c r="D94" s="141" t="n">
        <f aca="false">-D89*(1-D31)</f>
        <v>3353609</v>
      </c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10"/>
    </row>
    <row r="95" customFormat="false" ht="15.75" hidden="false" customHeight="true" outlineLevel="0" collapsed="false">
      <c r="B95" s="140" t="s">
        <v>67</v>
      </c>
      <c r="C95" s="145"/>
      <c r="D95" s="145"/>
      <c r="E95" s="151" t="n">
        <f aca="false">-D85*$D$33</f>
        <v>-527677.080408</v>
      </c>
      <c r="F95" s="151" t="n">
        <f aca="false">-E85*$D$33</f>
        <v>-328914.5563248</v>
      </c>
      <c r="G95" s="151" t="n">
        <f aca="false">-F85*$D$33</f>
        <v>-339096.7522416</v>
      </c>
      <c r="H95" s="151" t="n">
        <f aca="false">-G85*$D$33</f>
        <v>-349278.9481584</v>
      </c>
      <c r="I95" s="151" t="n">
        <f aca="false">-H85*$D$33</f>
        <v>-359461.1440752</v>
      </c>
      <c r="J95" s="151" t="n">
        <f aca="false">-I85*$D$33</f>
        <v>-369643.339992</v>
      </c>
      <c r="K95" s="151" t="n">
        <f aca="false">-J85*$D$33</f>
        <v>-379825.5359088</v>
      </c>
      <c r="L95" s="151" t="n">
        <f aca="false">-K85*$D$33</f>
        <v>-390007.7318256</v>
      </c>
      <c r="M95" s="151" t="n">
        <f aca="false">-L85*$D$33</f>
        <v>-400189.9277424</v>
      </c>
      <c r="N95" s="151" t="n">
        <f aca="false">-M85*$D$33</f>
        <v>-410372.1236592</v>
      </c>
      <c r="O95" s="151" t="n">
        <f aca="false">-N85*$D$33</f>
        <v>-451953.519576</v>
      </c>
      <c r="P95" s="151" t="n">
        <f aca="false">-O85*$D$33</f>
        <v>-462135.7154928</v>
      </c>
      <c r="Q95" s="151" t="n">
        <f aca="false">-P85*$D$33</f>
        <v>-472317.9114096</v>
      </c>
      <c r="R95" s="151" t="n">
        <f aca="false">-Q85*$D$33</f>
        <v>-482500.1073264</v>
      </c>
      <c r="S95" s="151" t="n">
        <f aca="false">-R85*$D$33</f>
        <v>-492682.3032432</v>
      </c>
      <c r="T95" s="151" t="n">
        <f aca="false">-S85*$D$33</f>
        <v>-502864.49916</v>
      </c>
      <c r="U95" s="151" t="n">
        <f aca="false">-T85*$D$33</f>
        <v>-496563.03612</v>
      </c>
      <c r="V95" s="151" t="n">
        <f aca="false">-U85*$D$33</f>
        <v>-490261.57308</v>
      </c>
      <c r="W95" s="151" t="n">
        <f aca="false">-V85*$D$33</f>
        <v>-483960.11004</v>
      </c>
      <c r="X95" s="151" t="n">
        <f aca="false">-W85*$D$33</f>
        <v>-477658.647</v>
      </c>
    </row>
    <row r="96" customFormat="false" ht="15.75" hidden="false" customHeight="true" outlineLevel="0" collapsed="false">
      <c r="B96" s="152" t="s">
        <v>70</v>
      </c>
      <c r="C96" s="153"/>
      <c r="D96" s="153" t="n">
        <v>0</v>
      </c>
      <c r="E96" s="154" t="n">
        <v>0</v>
      </c>
      <c r="F96" s="154" t="n">
        <v>0</v>
      </c>
      <c r="G96" s="154" t="n">
        <v>0</v>
      </c>
      <c r="H96" s="154" t="n">
        <v>0</v>
      </c>
      <c r="I96" s="154" t="n">
        <v>0</v>
      </c>
      <c r="J96" s="154" t="n">
        <v>0</v>
      </c>
      <c r="K96" s="154" t="n">
        <v>0</v>
      </c>
      <c r="L96" s="154" t="n">
        <v>0</v>
      </c>
      <c r="M96" s="154" t="n">
        <v>0</v>
      </c>
      <c r="N96" s="154" t="n">
        <v>0</v>
      </c>
      <c r="O96" s="154" t="n">
        <v>0</v>
      </c>
      <c r="P96" s="154" t="n">
        <v>0</v>
      </c>
      <c r="Q96" s="154" t="n">
        <v>0</v>
      </c>
      <c r="R96" s="154" t="n">
        <v>0</v>
      </c>
      <c r="S96" s="154" t="n">
        <v>0</v>
      </c>
      <c r="T96" s="154" t="n">
        <v>-838402.25</v>
      </c>
      <c r="U96" s="154" t="n">
        <v>-838402.25</v>
      </c>
      <c r="V96" s="154" t="n">
        <v>-838402.25</v>
      </c>
      <c r="W96" s="154" t="n">
        <v>-838402.25</v>
      </c>
      <c r="X96" s="155" t="n">
        <f aca="false">-W101-X95</f>
        <v>-963040.506976</v>
      </c>
    </row>
    <row r="97" customFormat="false" ht="15.75" hidden="false" customHeight="true" outlineLevel="0" collapsed="false"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10"/>
    </row>
    <row r="98" customFormat="false" ht="15.75" hidden="false" customHeight="true" outlineLevel="0" collapsed="false"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10"/>
    </row>
    <row r="99" customFormat="false" ht="15.75" hidden="false" customHeight="true" outlineLevel="0" collapsed="false">
      <c r="B99" s="140" t="s">
        <v>160</v>
      </c>
      <c r="C99" s="141" t="n">
        <v>0</v>
      </c>
      <c r="D99" s="141" t="n">
        <f aca="false">SUM(D87:D96)</f>
        <v>1424710.11712</v>
      </c>
      <c r="E99" s="141" t="n">
        <f aca="false">SUM(E87:E96)</f>
        <v>-218109.945602667</v>
      </c>
      <c r="F99" s="141" t="n">
        <f aca="false">SUM(F87:F96)</f>
        <v>-8033.87050079968</v>
      </c>
      <c r="G99" s="141" t="n">
        <f aca="false">SUM(G87:G96)</f>
        <v>-6902.51539893344</v>
      </c>
      <c r="H99" s="141" t="n">
        <f aca="false">SUM(H87:H96)</f>
        <v>-5771.16029706661</v>
      </c>
      <c r="I99" s="141" t="n">
        <f aca="false">SUM(I87:I96)</f>
        <v>-4639.80519520002</v>
      </c>
      <c r="J99" s="141" t="n">
        <f aca="false">SUM(J87:J96)</f>
        <v>-3508.45009333303</v>
      </c>
      <c r="K99" s="141" t="n">
        <f aca="false">SUM(K87:K96)</f>
        <v>-2377.09499146673</v>
      </c>
      <c r="L99" s="141" t="n">
        <f aca="false">SUM(L87:L96)</f>
        <v>-1245.73988960026</v>
      </c>
      <c r="M99" s="141" t="n">
        <f aca="false">SUM(M87:M96)</f>
        <v>-114.384787733143</v>
      </c>
      <c r="N99" s="141" t="n">
        <f aca="false">SUM(N87:N96)</f>
        <v>35904.9703141332</v>
      </c>
      <c r="O99" s="141" t="n">
        <f aca="false">SUM(O87:O96)</f>
        <v>5637.12541600032</v>
      </c>
      <c r="P99" s="141" t="n">
        <f aca="false">SUM(P87:P96)</f>
        <v>6768.48051786661</v>
      </c>
      <c r="Q99" s="141" t="n">
        <f aca="false">SUM(Q87:Q96)</f>
        <v>7899.83561973349</v>
      </c>
      <c r="R99" s="141" t="n">
        <f aca="false">SUM(R87:R96)</f>
        <v>9031.19072159985</v>
      </c>
      <c r="S99" s="141" t="n">
        <f aca="false">SUM(S87:S96)</f>
        <v>10162.545823467</v>
      </c>
      <c r="T99" s="141" t="n">
        <f aca="false">SUM(T87:T96)</f>
        <v>48872.2076399999</v>
      </c>
      <c r="U99" s="141" t="n">
        <f aca="false">SUM(U87:U96)</f>
        <v>48172.0450800001</v>
      </c>
      <c r="V99" s="141" t="n">
        <f aca="false">SUM(V87:V96)</f>
        <v>47471.8825199998</v>
      </c>
      <c r="W99" s="141" t="n">
        <f aca="false">SUM(W87:W96)</f>
        <v>46771.7199600001</v>
      </c>
      <c r="X99" s="110"/>
    </row>
    <row r="100" customFormat="false" ht="15.75" hidden="false" customHeight="true" outlineLevel="0" collapsed="false">
      <c r="B100" s="140" t="s">
        <v>161</v>
      </c>
      <c r="C100" s="141" t="n">
        <v>0</v>
      </c>
      <c r="D100" s="141" t="n">
        <f aca="false">C101</f>
        <v>0</v>
      </c>
      <c r="E100" s="141" t="n">
        <f aca="false">D101</f>
        <v>1424710.11712</v>
      </c>
      <c r="F100" s="141" t="n">
        <f aca="false">E101</f>
        <v>1206600.17151733</v>
      </c>
      <c r="G100" s="141" t="n">
        <f aca="false">F101</f>
        <v>1198566.30101653</v>
      </c>
      <c r="H100" s="141" t="n">
        <f aca="false">G101</f>
        <v>1191663.7856176</v>
      </c>
      <c r="I100" s="141" t="n">
        <f aca="false">H101</f>
        <v>1185892.62532053</v>
      </c>
      <c r="J100" s="141" t="n">
        <f aca="false">I101</f>
        <v>1181252.82012533</v>
      </c>
      <c r="K100" s="141" t="n">
        <f aca="false">J101</f>
        <v>1177744.370032</v>
      </c>
      <c r="L100" s="141" t="n">
        <f aca="false">K101</f>
        <v>1175367.27504053</v>
      </c>
      <c r="M100" s="141" t="n">
        <f aca="false">L101</f>
        <v>1174121.53515093</v>
      </c>
      <c r="N100" s="141" t="n">
        <f aca="false">M101</f>
        <v>1174007.1503632</v>
      </c>
      <c r="O100" s="141" t="n">
        <f aca="false">N101</f>
        <v>1209912.12067733</v>
      </c>
      <c r="P100" s="141" t="n">
        <f aca="false">O101</f>
        <v>1215549.24609333</v>
      </c>
      <c r="Q100" s="141" t="n">
        <f aca="false">P101</f>
        <v>1222317.7266112</v>
      </c>
      <c r="R100" s="141" t="n">
        <f aca="false">Q101</f>
        <v>1230217.56223093</v>
      </c>
      <c r="S100" s="141" t="n">
        <f aca="false">R101</f>
        <v>1239248.75295253</v>
      </c>
      <c r="T100" s="141" t="n">
        <f aca="false">S101</f>
        <v>1249411.298776</v>
      </c>
      <c r="U100" s="141" t="n">
        <f aca="false">T101</f>
        <v>1298283.506416</v>
      </c>
      <c r="V100" s="141" t="n">
        <f aca="false">U101</f>
        <v>1346455.551496</v>
      </c>
      <c r="W100" s="141" t="n">
        <f aca="false">V101</f>
        <v>1393927.434016</v>
      </c>
      <c r="X100" s="109"/>
    </row>
    <row r="101" customFormat="false" ht="15.75" hidden="false" customHeight="true" outlineLevel="0" collapsed="false">
      <c r="B101" s="140" t="s">
        <v>162</v>
      </c>
      <c r="C101" s="141" t="n">
        <v>0</v>
      </c>
      <c r="D101" s="141" t="n">
        <f aca="false">D99+D100</f>
        <v>1424710.11712</v>
      </c>
      <c r="E101" s="141" t="n">
        <f aca="false">E99+E100</f>
        <v>1206600.17151733</v>
      </c>
      <c r="F101" s="141" t="n">
        <f aca="false">F99+F100</f>
        <v>1198566.30101653</v>
      </c>
      <c r="G101" s="141" t="n">
        <f aca="false">G99+G100</f>
        <v>1191663.7856176</v>
      </c>
      <c r="H101" s="141" t="n">
        <f aca="false">H99+H100</f>
        <v>1185892.62532053</v>
      </c>
      <c r="I101" s="141" t="n">
        <f aca="false">I99+I100</f>
        <v>1181252.82012533</v>
      </c>
      <c r="J101" s="141" t="n">
        <f aca="false">J99+J100</f>
        <v>1177744.370032</v>
      </c>
      <c r="K101" s="141" t="n">
        <f aca="false">K99+K100</f>
        <v>1175367.27504053</v>
      </c>
      <c r="L101" s="141" t="n">
        <f aca="false">L99+L100</f>
        <v>1174121.53515093</v>
      </c>
      <c r="M101" s="141" t="n">
        <f aca="false">M99+M100</f>
        <v>1174007.1503632</v>
      </c>
      <c r="N101" s="141" t="n">
        <f aca="false">N99+N100</f>
        <v>1209912.12067733</v>
      </c>
      <c r="O101" s="141" t="n">
        <f aca="false">O99+O100</f>
        <v>1215549.24609333</v>
      </c>
      <c r="P101" s="141" t="n">
        <f aca="false">P99+P100</f>
        <v>1222317.7266112</v>
      </c>
      <c r="Q101" s="141" t="n">
        <f aca="false">Q99+Q100</f>
        <v>1230217.56223093</v>
      </c>
      <c r="R101" s="141" t="n">
        <f aca="false">R99+R100</f>
        <v>1239248.75295253</v>
      </c>
      <c r="S101" s="141" t="n">
        <f aca="false">S99+S100</f>
        <v>1249411.298776</v>
      </c>
      <c r="T101" s="141" t="n">
        <f aca="false">T99+T100</f>
        <v>1298283.506416</v>
      </c>
      <c r="U101" s="141" t="n">
        <f aca="false">U99+U100</f>
        <v>1346455.551496</v>
      </c>
      <c r="V101" s="141" t="n">
        <f aca="false">V99+V100</f>
        <v>1393927.434016</v>
      </c>
      <c r="W101" s="141" t="n">
        <f aca="false">W99+W100</f>
        <v>1440699.153976</v>
      </c>
      <c r="X101" s="109"/>
    </row>
    <row r="102" customFormat="false" ht="15.75" hidden="false" customHeight="true" outlineLevel="0" collapsed="false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</row>
    <row r="103" customFormat="false" ht="15.75" hidden="false" customHeight="true" outlineLevel="0" collapsed="false">
      <c r="B103" s="140"/>
      <c r="C103" s="140"/>
      <c r="D103" s="140"/>
      <c r="E103" s="140"/>
      <c r="F103" s="145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</row>
    <row r="104" customFormat="false" ht="15.75" hidden="false" customHeight="true" outlineLevel="0" collapsed="false">
      <c r="B104" s="156" t="s">
        <v>163</v>
      </c>
      <c r="C104" s="157"/>
      <c r="D104" s="158" t="n">
        <f aca="false">-D94</f>
        <v>-3353609</v>
      </c>
      <c r="E104" s="144" t="n">
        <f aca="false">-E95-E96</f>
        <v>527677.080408</v>
      </c>
      <c r="F104" s="144" t="n">
        <f aca="false">-F95-F96</f>
        <v>328914.5563248</v>
      </c>
      <c r="G104" s="144" t="n">
        <f aca="false">-G95-G96</f>
        <v>339096.7522416</v>
      </c>
      <c r="H104" s="144" t="n">
        <f aca="false">-H95-H96</f>
        <v>349278.9481584</v>
      </c>
      <c r="I104" s="144" t="n">
        <f aca="false">-I95-I96</f>
        <v>359461.1440752</v>
      </c>
      <c r="J104" s="144" t="n">
        <f aca="false">-J95-J96</f>
        <v>369643.339992</v>
      </c>
      <c r="K104" s="144" t="n">
        <f aca="false">-K95-K96</f>
        <v>379825.5359088</v>
      </c>
      <c r="L104" s="144" t="n">
        <f aca="false">-L95-L96</f>
        <v>390007.7318256</v>
      </c>
      <c r="M104" s="144" t="n">
        <f aca="false">-M95-M96</f>
        <v>400189.9277424</v>
      </c>
      <c r="N104" s="144" t="n">
        <f aca="false">-N95-N96</f>
        <v>410372.1236592</v>
      </c>
      <c r="O104" s="144" t="n">
        <f aca="false">-O95-O96</f>
        <v>451953.519576</v>
      </c>
      <c r="P104" s="144" t="n">
        <f aca="false">-P95-P96</f>
        <v>462135.7154928</v>
      </c>
      <c r="Q104" s="144" t="n">
        <f aca="false">-Q95-Q96</f>
        <v>472317.9114096</v>
      </c>
      <c r="R104" s="144" t="n">
        <f aca="false">-R95-R96</f>
        <v>482500.1073264</v>
      </c>
      <c r="S104" s="144" t="n">
        <f aca="false">-S95-S96</f>
        <v>492682.3032432</v>
      </c>
      <c r="T104" s="144" t="n">
        <f aca="false">-T95-T96</f>
        <v>1341266.74916</v>
      </c>
      <c r="U104" s="144" t="n">
        <f aca="false">-U95-U96</f>
        <v>1334965.28612</v>
      </c>
      <c r="V104" s="144" t="n">
        <f aca="false">-V95-V96</f>
        <v>1328663.82308</v>
      </c>
      <c r="W104" s="144" t="n">
        <f aca="false">-W95-W96</f>
        <v>1322362.36004</v>
      </c>
      <c r="X104" s="144" t="n">
        <f aca="false">-X95-X96</f>
        <v>1440699.153976</v>
      </c>
    </row>
    <row r="105" customFormat="false" ht="15.75" hidden="false" customHeight="true" outlineLevel="0" collapsed="false">
      <c r="B105" s="140" t="s">
        <v>75</v>
      </c>
      <c r="C105" s="159" t="n">
        <f aca="false">IRR(D104:X104)</f>
        <v>0.130030953290254</v>
      </c>
      <c r="D105" s="145"/>
      <c r="E105" s="145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</row>
    <row r="106" customFormat="false" ht="15.75" hidden="false" customHeight="true" outlineLevel="0" collapsed="false">
      <c r="B106" s="156" t="s">
        <v>164</v>
      </c>
      <c r="C106" s="157"/>
      <c r="D106" s="158" t="n">
        <f aca="false">D85-D94</f>
        <v>-2767301.13288</v>
      </c>
      <c r="E106" s="144" t="n">
        <f aca="false">E85</f>
        <v>365460.618138667</v>
      </c>
      <c r="F106" s="144" t="n">
        <f aca="false">F85-F96</f>
        <v>376774.169157333</v>
      </c>
      <c r="G106" s="144" t="n">
        <f aca="false">G85-G96</f>
        <v>388087.720176</v>
      </c>
      <c r="H106" s="144" t="n">
        <f aca="false">H85-H96</f>
        <v>399401.271194667</v>
      </c>
      <c r="I106" s="144" t="n">
        <f aca="false">I85-I96</f>
        <v>410714.822213333</v>
      </c>
      <c r="J106" s="144" t="n">
        <f aca="false">J85-J96</f>
        <v>422028.373232</v>
      </c>
      <c r="K106" s="144" t="n">
        <f aca="false">K85-K96</f>
        <v>433341.924250667</v>
      </c>
      <c r="L106" s="144" t="n">
        <f aca="false">L85-L96</f>
        <v>444655.475269333</v>
      </c>
      <c r="M106" s="144" t="n">
        <f aca="false">M85-M96</f>
        <v>455969.026288</v>
      </c>
      <c r="N106" s="144" t="n">
        <f aca="false">N85-N96</f>
        <v>502170.577306666</v>
      </c>
      <c r="O106" s="144" t="n">
        <f aca="false">O85-O96</f>
        <v>513484.128325333</v>
      </c>
      <c r="P106" s="144" t="n">
        <f aca="false">P85-P96</f>
        <v>524797.679344</v>
      </c>
      <c r="Q106" s="144" t="n">
        <f aca="false">Q85-Q96</f>
        <v>536111.230362667</v>
      </c>
      <c r="R106" s="144" t="n">
        <f aca="false">R85-R96</f>
        <v>547424.781381333</v>
      </c>
      <c r="S106" s="144" t="n">
        <f aca="false">S85-S96</f>
        <v>558738.3324</v>
      </c>
      <c r="T106" s="144" t="n">
        <f aca="false">T85-T96</f>
        <v>1390138.9568</v>
      </c>
      <c r="U106" s="144" t="n">
        <f aca="false">U85-U96</f>
        <v>1383137.3312</v>
      </c>
      <c r="V106" s="144" t="n">
        <f aca="false">V85-V96</f>
        <v>1376135.7056</v>
      </c>
      <c r="W106" s="144" t="n">
        <f aca="false">W85-W96</f>
        <v>1369134.08</v>
      </c>
      <c r="X106" s="149"/>
    </row>
    <row r="107" customFormat="false" ht="15.75" hidden="false" customHeight="true" outlineLevel="0" collapsed="false">
      <c r="B107" s="156" t="s">
        <v>76</v>
      </c>
      <c r="C107" s="159" t="n">
        <f aca="false">IRR(D106:W106)</f>
        <v>0.160050323950129</v>
      </c>
      <c r="D107" s="145"/>
      <c r="E107" s="145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</row>
    <row r="108" customFormat="false" ht="15.75" hidden="false" customHeight="true" outlineLevel="0" collapsed="false"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</row>
    <row r="109" customFormat="false" ht="15.75" hidden="false" customHeight="true" outlineLevel="0" collapsed="false">
      <c r="B109" s="140" t="s">
        <v>165</v>
      </c>
      <c r="C109" s="141" t="n">
        <v>0</v>
      </c>
      <c r="D109" s="141" t="n">
        <f aca="false">D92</f>
        <v>13414436</v>
      </c>
      <c r="E109" s="141" t="n">
        <f aca="false">D109+E93</f>
        <v>12520140.2666667</v>
      </c>
      <c r="F109" s="141" t="n">
        <f aca="false">E109+F93</f>
        <v>11625844.5333333</v>
      </c>
      <c r="G109" s="141" t="n">
        <f aca="false">F109+G93</f>
        <v>10731548.8</v>
      </c>
      <c r="H109" s="141" t="n">
        <f aca="false">G109+H93</f>
        <v>9837253.06666667</v>
      </c>
      <c r="I109" s="141" t="n">
        <f aca="false">H109+I93</f>
        <v>8942957.33333334</v>
      </c>
      <c r="J109" s="141" t="n">
        <f aca="false">I109+J93</f>
        <v>8048661.6</v>
      </c>
      <c r="K109" s="141" t="n">
        <f aca="false">J109+K93</f>
        <v>7154365.86666667</v>
      </c>
      <c r="L109" s="141" t="n">
        <f aca="false">K109+L93</f>
        <v>6260070.13333334</v>
      </c>
      <c r="M109" s="141" t="n">
        <f aca="false">L109+M93</f>
        <v>5365774.4</v>
      </c>
      <c r="N109" s="141" t="n">
        <f aca="false">M109+N93</f>
        <v>4471478.66666667</v>
      </c>
      <c r="O109" s="141" t="n">
        <f aca="false">N109+O93</f>
        <v>3577182.93333334</v>
      </c>
      <c r="P109" s="141" t="n">
        <f aca="false">O109+P93</f>
        <v>2682887.2</v>
      </c>
      <c r="Q109" s="141" t="n">
        <f aca="false">P109+Q93</f>
        <v>1788591.46666667</v>
      </c>
      <c r="R109" s="141" t="n">
        <f aca="false">Q109+R93</f>
        <v>894295.733333337</v>
      </c>
      <c r="S109" s="141" t="n">
        <f aca="false">R109+S93</f>
        <v>3.95812094211578E-009</v>
      </c>
      <c r="T109" s="141" t="n">
        <f aca="false">S109+T93</f>
        <v>3.95812094211578E-009</v>
      </c>
      <c r="U109" s="141" t="n">
        <f aca="false">T109+U93</f>
        <v>3.95812094211578E-009</v>
      </c>
      <c r="V109" s="141" t="n">
        <f aca="false">U109+V93</f>
        <v>3.95812094211578E-009</v>
      </c>
      <c r="W109" s="141" t="n">
        <f aca="false">V109+W93</f>
        <v>3.95812094211578E-009</v>
      </c>
      <c r="X1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" t="s">
        <v>87</v>
      </c>
      <c r="C1" s="35"/>
      <c r="D1" s="35"/>
      <c r="E1" s="36"/>
      <c r="F1" s="2" t="s">
        <v>1</v>
      </c>
      <c r="P1" s="3" t="n">
        <f aca="false">1-D11</f>
        <v>0.99</v>
      </c>
      <c r="Q1" s="3" t="n">
        <f aca="false">P1-$D12</f>
        <v>0.986</v>
      </c>
      <c r="R1" s="3" t="n">
        <f aca="false">Q1-$D12</f>
        <v>0.982</v>
      </c>
      <c r="S1" s="3" t="n">
        <f aca="false">R1-$D12</f>
        <v>0.978</v>
      </c>
      <c r="T1" s="3" t="n">
        <f aca="false">S1-$D12</f>
        <v>0.974</v>
      </c>
      <c r="U1" s="3" t="n">
        <f aca="false">T1-$D12</f>
        <v>0.97</v>
      </c>
      <c r="V1" s="3" t="n">
        <f aca="false">U1-$D12</f>
        <v>0.966</v>
      </c>
      <c r="W1" s="3" t="n">
        <f aca="false">V1-$D12</f>
        <v>0.962</v>
      </c>
      <c r="X1" s="3" t="n">
        <f aca="false">W1-$D12</f>
        <v>0.958</v>
      </c>
      <c r="Y1" s="3" t="n">
        <f aca="false">X1-$D12</f>
        <v>0.954</v>
      </c>
      <c r="Z1" s="3" t="n">
        <f aca="false">Y1-$D12</f>
        <v>0.95</v>
      </c>
      <c r="AA1" s="3" t="n">
        <f aca="false">Z1-$D12</f>
        <v>0.946</v>
      </c>
      <c r="AB1" s="3" t="n">
        <f aca="false">AA1-$D12</f>
        <v>0.942</v>
      </c>
      <c r="AC1" s="3" t="n">
        <f aca="false">AB1-$D12</f>
        <v>0.938</v>
      </c>
      <c r="AD1" s="3" t="n">
        <f aca="false">AC1-$D12</f>
        <v>0.934</v>
      </c>
      <c r="AE1" s="3" t="n">
        <f aca="false">AD1-$D12</f>
        <v>0.93</v>
      </c>
      <c r="AF1" s="3" t="n">
        <f aca="false">AE1-$D12</f>
        <v>0.926</v>
      </c>
      <c r="AG1" s="3" t="n">
        <f aca="false">AF1-$D12</f>
        <v>0.922</v>
      </c>
      <c r="AH1" s="3" t="n">
        <f aca="false">AG1-$D12</f>
        <v>0.918</v>
      </c>
      <c r="AI1" s="3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6" t="s">
        <v>4</v>
      </c>
      <c r="E2" s="7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1" t="s">
        <v>4</v>
      </c>
      <c r="E3" s="12" t="s">
        <v>4</v>
      </c>
      <c r="F3" s="8" t="s">
        <v>88</v>
      </c>
    </row>
    <row r="4" customFormat="false" ht="21.75" hidden="false" customHeight="true" outlineLevel="0" collapsed="false">
      <c r="B4" s="40" t="s">
        <v>89</v>
      </c>
      <c r="C4" s="41" t="n">
        <v>436.1</v>
      </c>
      <c r="D4" s="11" t="s">
        <v>4</v>
      </c>
      <c r="E4" s="12" t="s">
        <v>4</v>
      </c>
      <c r="F4" s="8" t="s">
        <v>90</v>
      </c>
      <c r="M4" s="0" t="s">
        <v>181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8" t="s">
        <v>92</v>
      </c>
      <c r="M5" s="0" t="s">
        <v>182</v>
      </c>
    </row>
    <row r="6" customFormat="false" ht="20.25" hidden="false" customHeight="true" outlineLevel="0" collapsed="false">
      <c r="B6" s="13"/>
      <c r="C6" s="13"/>
      <c r="D6" s="13"/>
      <c r="E6" s="13"/>
      <c r="M6" s="0" t="s">
        <v>183</v>
      </c>
    </row>
    <row r="7" customFormat="false" ht="22.5" hidden="false" customHeight="true" outlineLevel="0" collapsed="false">
      <c r="B7" s="1" t="s">
        <v>95</v>
      </c>
      <c r="C7" s="35"/>
      <c r="D7" s="35"/>
      <c r="E7" s="36"/>
      <c r="M7" s="0" t="s">
        <v>184</v>
      </c>
    </row>
    <row r="8" customFormat="false" ht="22.5" hidden="false" customHeight="true" outlineLevel="0" collapsed="false">
      <c r="B8" s="15" t="s">
        <v>14</v>
      </c>
      <c r="E8" s="44"/>
      <c r="M8" s="0" t="s">
        <v>185</v>
      </c>
    </row>
    <row r="9" customFormat="false" ht="22.5" hidden="false" customHeight="true" outlineLevel="0" collapsed="false">
      <c r="B9" s="45" t="s">
        <v>15</v>
      </c>
      <c r="C9" s="46" t="s">
        <v>16</v>
      </c>
      <c r="D9" s="46" t="s">
        <v>17</v>
      </c>
      <c r="E9" s="47" t="s">
        <v>18</v>
      </c>
      <c r="F9" s="2" t="s">
        <v>1</v>
      </c>
      <c r="M9" s="0" t="s">
        <v>98</v>
      </c>
    </row>
    <row r="10" customFormat="false" ht="30" hidden="false" customHeight="true" outlineLevel="0" collapsed="false">
      <c r="B10" s="48" t="s">
        <v>19</v>
      </c>
      <c r="C10" s="49" t="s">
        <v>99</v>
      </c>
      <c r="D10" s="50" t="n">
        <v>547002</v>
      </c>
      <c r="E10" s="21" t="n">
        <v>20</v>
      </c>
      <c r="F10" s="8" t="s">
        <v>100</v>
      </c>
      <c r="M10" s="0" t="s">
        <v>85</v>
      </c>
    </row>
    <row r="11" customFormat="false" ht="30" hidden="false" customHeight="true" outlineLevel="0" collapsed="false">
      <c r="B11" s="51"/>
      <c r="C11" s="42" t="s">
        <v>22</v>
      </c>
      <c r="D11" s="52" t="n">
        <v>0.01</v>
      </c>
      <c r="E11" s="53"/>
      <c r="F11" s="8" t="s">
        <v>102</v>
      </c>
    </row>
    <row r="12" customFormat="false" ht="30" hidden="false" customHeight="true" outlineLevel="0" collapsed="false">
      <c r="B12" s="51"/>
      <c r="C12" s="42" t="s">
        <v>24</v>
      </c>
      <c r="D12" s="54" t="n">
        <v>0.004</v>
      </c>
      <c r="E12" s="53"/>
      <c r="F12" s="8" t="s">
        <v>103</v>
      </c>
    </row>
    <row r="13" customFormat="false" ht="22.5" hidden="false" customHeight="true" outlineLevel="0" collapsed="false">
      <c r="B13" s="51"/>
      <c r="C13" s="55" t="s">
        <v>104</v>
      </c>
      <c r="D13" s="56" t="n">
        <v>4</v>
      </c>
      <c r="E13" s="53"/>
      <c r="F13" s="8" t="s">
        <v>105</v>
      </c>
    </row>
    <row r="14" customFormat="false" ht="22.5" hidden="false" customHeight="true" outlineLevel="0" collapsed="false">
      <c r="B14" s="26" t="s">
        <v>106</v>
      </c>
      <c r="C14" s="35"/>
      <c r="D14" s="35"/>
      <c r="E14" s="36"/>
    </row>
    <row r="15" customFormat="false" ht="22.5" hidden="false" customHeight="true" outlineLevel="0" collapsed="false">
      <c r="B15" s="45" t="s">
        <v>15</v>
      </c>
      <c r="C15" s="46" t="s">
        <v>16</v>
      </c>
      <c r="D15" s="46" t="s">
        <v>17</v>
      </c>
      <c r="E15" s="47" t="s">
        <v>29</v>
      </c>
      <c r="F15" s="2" t="s">
        <v>1</v>
      </c>
    </row>
    <row r="16" customFormat="false" ht="21.75" hidden="false" customHeight="true" outlineLevel="0" collapsed="false">
      <c r="B16" s="49" t="s">
        <v>107</v>
      </c>
      <c r="C16" s="49" t="s">
        <v>108</v>
      </c>
      <c r="D16" s="57" t="n">
        <v>22964</v>
      </c>
      <c r="E16" s="7" t="n">
        <v>20</v>
      </c>
      <c r="F16" s="8" t="s">
        <v>109</v>
      </c>
    </row>
    <row r="17" customFormat="false" ht="21.75" hidden="false" customHeight="true" outlineLevel="0" collapsed="false">
      <c r="B17" s="51"/>
      <c r="C17" s="42" t="s">
        <v>110</v>
      </c>
      <c r="D17" s="58" t="n">
        <v>0.3</v>
      </c>
      <c r="E17" s="53"/>
      <c r="F17" s="8" t="s">
        <v>111</v>
      </c>
    </row>
    <row r="18" customFormat="false" ht="21.75" hidden="false" customHeight="true" outlineLevel="0" collapsed="false">
      <c r="B18" s="59"/>
      <c r="C18" s="42" t="s">
        <v>35</v>
      </c>
      <c r="D18" s="60" t="n">
        <v>2000</v>
      </c>
      <c r="E18" s="61"/>
      <c r="F18" s="8" t="s">
        <v>112</v>
      </c>
    </row>
    <row r="19" customFormat="false" ht="54" hidden="false" customHeight="true" outlineLevel="0" collapsed="false">
      <c r="B19" s="42" t="s">
        <v>37</v>
      </c>
      <c r="C19" s="62" t="s">
        <v>38</v>
      </c>
      <c r="D19" s="58" t="n">
        <v>1</v>
      </c>
      <c r="E19" s="7" t="n">
        <v>20</v>
      </c>
      <c r="F19" s="8" t="s">
        <v>113</v>
      </c>
    </row>
    <row r="20" customFormat="false" ht="20.25" hidden="false" customHeight="true" outlineLevel="0" collapsed="false">
      <c r="B20" s="51"/>
      <c r="C20" s="63" t="s">
        <v>114</v>
      </c>
      <c r="D20" s="60" t="n">
        <v>290201</v>
      </c>
      <c r="E20" s="7" t="n">
        <v>20</v>
      </c>
      <c r="F20" s="8" t="s">
        <v>115</v>
      </c>
    </row>
    <row r="21" customFormat="false" ht="30" hidden="false" customHeight="true" outlineLevel="0" collapsed="false">
      <c r="B21" s="59"/>
      <c r="C21" s="42" t="s">
        <v>116</v>
      </c>
      <c r="D21" s="58" t="n">
        <v>0</v>
      </c>
      <c r="E21" s="12" t="n">
        <v>20</v>
      </c>
      <c r="F21" s="8" t="s">
        <v>117</v>
      </c>
    </row>
    <row r="22" customFormat="false" ht="30" hidden="false" customHeight="true" outlineLevel="0" collapsed="false">
      <c r="B22" s="42" t="s">
        <v>44</v>
      </c>
      <c r="C22" s="42" t="s">
        <v>118</v>
      </c>
      <c r="D22" s="64" t="n">
        <v>400</v>
      </c>
      <c r="E22" s="12" t="n">
        <v>20</v>
      </c>
      <c r="F22" s="8" t="s">
        <v>119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8" t="n">
        <v>0.003</v>
      </c>
      <c r="E23" s="12" t="n">
        <v>20</v>
      </c>
      <c r="F23" s="8" t="s">
        <v>120</v>
      </c>
    </row>
    <row r="24" customFormat="false" ht="30" hidden="false" customHeight="true" outlineLevel="0" collapsed="false">
      <c r="B24" s="42" t="s">
        <v>50</v>
      </c>
      <c r="C24" s="42" t="s">
        <v>121</v>
      </c>
      <c r="D24" s="64" t="n">
        <v>1000</v>
      </c>
      <c r="E24" s="31" t="n">
        <v>10</v>
      </c>
      <c r="F24" s="8" t="s">
        <v>122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5" t="n">
        <v>0.0256</v>
      </c>
      <c r="E25" s="12" t="n">
        <v>20</v>
      </c>
      <c r="F25" s="8" t="s">
        <v>123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8" t="n">
        <v>0.2</v>
      </c>
      <c r="E26" s="12" t="n">
        <v>20</v>
      </c>
      <c r="F26" s="8" t="s">
        <v>124</v>
      </c>
    </row>
    <row r="27" customFormat="false" ht="20.25" hidden="false" customHeight="true" outlineLevel="0" collapsed="false">
      <c r="B27" s="13"/>
      <c r="C27" s="13"/>
      <c r="D27" s="13"/>
      <c r="E27" s="13"/>
    </row>
    <row r="28" customFormat="false" ht="20.25" hidden="false" customHeight="true" outlineLevel="0" collapsed="false">
      <c r="B28" s="13"/>
      <c r="C28" s="13"/>
      <c r="D28" s="13"/>
      <c r="E28" s="13"/>
    </row>
    <row r="29" customFormat="false" ht="22.5" hidden="false" customHeight="true" outlineLevel="0" collapsed="false">
      <c r="B29" s="1" t="s">
        <v>125</v>
      </c>
      <c r="C29" s="35"/>
      <c r="D29" s="36"/>
      <c r="E29" s="13"/>
    </row>
    <row r="30" customFormat="false" ht="22.5" hidden="false" customHeight="true" outlineLevel="0" collapsed="false">
      <c r="B30" s="45" t="s">
        <v>60</v>
      </c>
      <c r="C30" s="66" t="s">
        <v>16</v>
      </c>
      <c r="D30" s="67" t="s">
        <v>17</v>
      </c>
      <c r="E30" s="13"/>
      <c r="F30" s="2" t="s">
        <v>1</v>
      </c>
    </row>
    <row r="31" customFormat="false" ht="30" hidden="false" customHeight="true" outlineLevel="0" collapsed="false">
      <c r="B31" s="49" t="s">
        <v>61</v>
      </c>
      <c r="C31" s="37" t="s">
        <v>62</v>
      </c>
      <c r="D31" s="68" t="n">
        <v>0.8</v>
      </c>
      <c r="E31" s="13"/>
      <c r="F31" s="8" t="s">
        <v>126</v>
      </c>
    </row>
    <row r="32" customFormat="false" ht="18.75" hidden="false" customHeight="true" outlineLevel="0" collapsed="false">
      <c r="B32" s="49" t="s">
        <v>64</v>
      </c>
      <c r="C32" s="37" t="s">
        <v>65</v>
      </c>
      <c r="D32" s="68" t="n">
        <v>15</v>
      </c>
      <c r="E32" s="13"/>
      <c r="F32" s="8" t="s">
        <v>127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8" t="n">
        <v>0.9</v>
      </c>
      <c r="E33" s="13"/>
      <c r="F33" s="8" t="s">
        <v>128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8" t="n">
        <v>4</v>
      </c>
      <c r="E34" s="13"/>
      <c r="F34" s="8" t="s">
        <v>129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9"/>
      <c r="C37" s="70" t="s">
        <v>130</v>
      </c>
      <c r="D37" s="70" t="n">
        <v>2020</v>
      </c>
      <c r="E37" s="70" t="n">
        <v>2021</v>
      </c>
      <c r="F37" s="70" t="n">
        <v>2022</v>
      </c>
      <c r="G37" s="70" t="n">
        <v>2023</v>
      </c>
      <c r="H37" s="70" t="n">
        <v>2024</v>
      </c>
      <c r="I37" s="70" t="n">
        <v>2025</v>
      </c>
      <c r="J37" s="70" t="n">
        <v>2026</v>
      </c>
      <c r="K37" s="70" t="n">
        <v>2027</v>
      </c>
      <c r="L37" s="70" t="n">
        <v>2028</v>
      </c>
      <c r="M37" s="70" t="n">
        <v>2029</v>
      </c>
      <c r="N37" s="70" t="n">
        <v>2030</v>
      </c>
      <c r="O37" s="70" t="n">
        <v>2031</v>
      </c>
      <c r="P37" s="70" t="n">
        <v>2032</v>
      </c>
      <c r="Q37" s="70" t="n">
        <v>2033</v>
      </c>
      <c r="R37" s="70" t="n">
        <v>2034</v>
      </c>
      <c r="S37" s="70" t="n">
        <v>2035</v>
      </c>
      <c r="T37" s="70" t="n">
        <v>2036</v>
      </c>
      <c r="U37" s="70" t="n">
        <v>2037</v>
      </c>
      <c r="V37" s="70" t="n">
        <v>2038</v>
      </c>
      <c r="W37" s="70" t="n">
        <v>2039</v>
      </c>
      <c r="X37" s="70"/>
    </row>
    <row r="38" customFormat="false" ht="18.75" hidden="false" customHeight="true" outlineLevel="0" collapsed="false">
      <c r="B38" s="71" t="n">
        <v>0</v>
      </c>
      <c r="C38" s="72"/>
      <c r="D38" s="73"/>
      <c r="E38" s="73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5"/>
      <c r="V38" s="75"/>
      <c r="W38" s="75"/>
      <c r="X38" s="77"/>
    </row>
    <row r="39" customFormat="false" ht="18.75" hidden="false" customHeight="true" outlineLevel="0" collapsed="false">
      <c r="B39" s="78" t="s">
        <v>131</v>
      </c>
      <c r="C39" s="79" t="n">
        <v>0</v>
      </c>
      <c r="D39" s="80" t="n">
        <v>1</v>
      </c>
      <c r="E39" s="80" t="n">
        <v>2</v>
      </c>
      <c r="F39" s="80" t="n">
        <v>3</v>
      </c>
      <c r="G39" s="80" t="n">
        <v>4</v>
      </c>
      <c r="H39" s="80" t="n">
        <v>5</v>
      </c>
      <c r="I39" s="80" t="n">
        <v>6</v>
      </c>
      <c r="J39" s="80" t="n">
        <v>7</v>
      </c>
      <c r="K39" s="80" t="n">
        <v>8</v>
      </c>
      <c r="L39" s="80" t="n">
        <v>9</v>
      </c>
      <c r="M39" s="80" t="n">
        <v>10</v>
      </c>
      <c r="N39" s="80" t="n">
        <v>11</v>
      </c>
      <c r="O39" s="80" t="n">
        <v>12</v>
      </c>
      <c r="P39" s="80" t="n">
        <v>13</v>
      </c>
      <c r="Q39" s="80" t="n">
        <v>14</v>
      </c>
      <c r="R39" s="80" t="n">
        <v>15</v>
      </c>
      <c r="S39" s="80" t="n">
        <v>16</v>
      </c>
      <c r="T39" s="81" t="n">
        <v>17</v>
      </c>
      <c r="U39" s="80" t="n">
        <v>18</v>
      </c>
      <c r="V39" s="80" t="n">
        <v>19</v>
      </c>
      <c r="W39" s="80" t="n">
        <v>20</v>
      </c>
      <c r="X39" s="82"/>
    </row>
    <row r="40" customFormat="false" ht="18.75" hidden="false" customHeight="true" outlineLevel="0" collapsed="false">
      <c r="B40" s="83" t="s">
        <v>132</v>
      </c>
      <c r="C40" s="84" t="n">
        <v>0</v>
      </c>
      <c r="D40" s="85" t="n">
        <f aca="false">$D$10*P1</f>
        <v>541531.98</v>
      </c>
      <c r="E40" s="85" t="n">
        <f aca="false">$D$10*Q1</f>
        <v>539343.972</v>
      </c>
      <c r="F40" s="85" t="n">
        <f aca="false">$D$10*R1</f>
        <v>537155.964</v>
      </c>
      <c r="G40" s="85" t="n">
        <f aca="false">$D$10*S1</f>
        <v>534967.956</v>
      </c>
      <c r="H40" s="85" t="n">
        <f aca="false">$D$10*T1</f>
        <v>532779.948</v>
      </c>
      <c r="I40" s="85" t="n">
        <f aca="false">$D$10*U1</f>
        <v>530591.94</v>
      </c>
      <c r="J40" s="85" t="n">
        <f aca="false">$D$10*V1</f>
        <v>528403.932</v>
      </c>
      <c r="K40" s="85" t="n">
        <f aca="false">$D$10*W1</f>
        <v>526215.924</v>
      </c>
      <c r="L40" s="85" t="n">
        <f aca="false">$D$10*X1</f>
        <v>524027.916</v>
      </c>
      <c r="M40" s="85" t="n">
        <f aca="false">$D$10*Y1</f>
        <v>521839.908</v>
      </c>
      <c r="N40" s="85" t="n">
        <f aca="false">$D$10*Z1</f>
        <v>519651.9</v>
      </c>
      <c r="O40" s="85" t="n">
        <f aca="false">$D$10*AA1</f>
        <v>517463.892</v>
      </c>
      <c r="P40" s="85" t="n">
        <f aca="false">$D$10*AB1</f>
        <v>515275.884</v>
      </c>
      <c r="Q40" s="85" t="n">
        <f aca="false">$D$10*AC1</f>
        <v>513087.876</v>
      </c>
      <c r="R40" s="85" t="n">
        <f aca="false">$D$10*AD1</f>
        <v>510899.868</v>
      </c>
      <c r="S40" s="85" t="n">
        <f aca="false">$D$10*AE1</f>
        <v>508711.86</v>
      </c>
      <c r="T40" s="85" t="n">
        <f aca="false">$D$10*AF1</f>
        <v>506523.852</v>
      </c>
      <c r="U40" s="85" t="n">
        <f aca="false">$D$10*AG1</f>
        <v>504335.844</v>
      </c>
      <c r="V40" s="85" t="n">
        <f aca="false">$D$10*AH1</f>
        <v>502147.836</v>
      </c>
      <c r="W40" s="85" t="n">
        <f aca="false">$D$10*AI1</f>
        <v>499959.828</v>
      </c>
      <c r="X40" s="86"/>
    </row>
    <row r="41" customFormat="false" ht="18.75" hidden="false" customHeight="true" outlineLevel="0" collapsed="false">
      <c r="B41" s="87" t="s">
        <v>133</v>
      </c>
      <c r="C41" s="88" t="s">
        <v>4</v>
      </c>
      <c r="D41" s="89" t="n">
        <f aca="false">D40*$D$13</f>
        <v>2166127.92</v>
      </c>
      <c r="E41" s="89" t="n">
        <f aca="false">E40*$D$13</f>
        <v>2157375.888</v>
      </c>
      <c r="F41" s="89" t="n">
        <f aca="false">F40*$D$13</f>
        <v>2148623.856</v>
      </c>
      <c r="G41" s="89" t="n">
        <f aca="false">G40*$D$13</f>
        <v>2139871.824</v>
      </c>
      <c r="H41" s="89" t="n">
        <f aca="false">H40*$D$13</f>
        <v>2131119.792</v>
      </c>
      <c r="I41" s="89" t="n">
        <f aca="false">I40*$D$13</f>
        <v>2122367.76</v>
      </c>
      <c r="J41" s="89" t="n">
        <f aca="false">J40*$D$13</f>
        <v>2113615.728</v>
      </c>
      <c r="K41" s="89" t="n">
        <f aca="false">K40*$D$13</f>
        <v>2104863.696</v>
      </c>
      <c r="L41" s="89" t="n">
        <f aca="false">L40*$D$13</f>
        <v>2096111.664</v>
      </c>
      <c r="M41" s="89" t="n">
        <f aca="false">M40*$D$13</f>
        <v>2087359.632</v>
      </c>
      <c r="N41" s="89" t="n">
        <f aca="false">N40*$D$13</f>
        <v>2078607.6</v>
      </c>
      <c r="O41" s="89" t="n">
        <f aca="false">O40*$D$13</f>
        <v>2069855.568</v>
      </c>
      <c r="P41" s="89" t="n">
        <f aca="false">P40*$D$13</f>
        <v>2061103.536</v>
      </c>
      <c r="Q41" s="89" t="n">
        <f aca="false">Q40*$D$13</f>
        <v>2052351.504</v>
      </c>
      <c r="R41" s="89" t="n">
        <f aca="false">R40*$D$13</f>
        <v>2043599.472</v>
      </c>
      <c r="S41" s="89" t="n">
        <f aca="false">S40*$D$13</f>
        <v>2034847.44</v>
      </c>
      <c r="T41" s="89" t="n">
        <f aca="false">T40*$D$13</f>
        <v>2026095.408</v>
      </c>
      <c r="U41" s="89" t="n">
        <f aca="false">U40*$D$13</f>
        <v>2017343.376</v>
      </c>
      <c r="V41" s="89" t="n">
        <f aca="false">V40*$D$13</f>
        <v>2008591.344</v>
      </c>
      <c r="W41" s="89" t="n">
        <f aca="false">W40*$D$13</f>
        <v>1999839.312</v>
      </c>
      <c r="X41" s="90"/>
    </row>
    <row r="42" customFormat="false" ht="18.75" hidden="false" customHeight="true" outlineLevel="0" collapsed="false">
      <c r="B42" s="91" t="s">
        <v>134</v>
      </c>
      <c r="C42" s="92" t="s">
        <v>4</v>
      </c>
      <c r="D42" s="93"/>
      <c r="E42" s="93"/>
      <c r="F42" s="93"/>
      <c r="G42" s="94" t="s">
        <v>4</v>
      </c>
      <c r="H42" s="94" t="s">
        <v>4</v>
      </c>
      <c r="I42" s="94" t="s">
        <v>4</v>
      </c>
      <c r="J42" s="94" t="s">
        <v>4</v>
      </c>
      <c r="K42" s="94" t="s">
        <v>4</v>
      </c>
      <c r="L42" s="94" t="s">
        <v>4</v>
      </c>
      <c r="M42" s="94" t="s">
        <v>4</v>
      </c>
      <c r="N42" s="94" t="s">
        <v>4</v>
      </c>
      <c r="O42" s="94" t="s">
        <v>4</v>
      </c>
      <c r="P42" s="94" t="s">
        <v>4</v>
      </c>
      <c r="Q42" s="94" t="s">
        <v>4</v>
      </c>
      <c r="R42" s="94" t="s">
        <v>4</v>
      </c>
      <c r="S42" s="94" t="s">
        <v>4</v>
      </c>
      <c r="T42" s="94" t="s">
        <v>4</v>
      </c>
      <c r="U42" s="94" t="s">
        <v>4</v>
      </c>
      <c r="V42" s="94" t="s">
        <v>4</v>
      </c>
      <c r="W42" s="94" t="s">
        <v>4</v>
      </c>
      <c r="X42" s="95"/>
    </row>
    <row r="43" customFormat="false" ht="18.75" hidden="false" customHeight="true" outlineLevel="0" collapsed="false">
      <c r="B43" s="96" t="s">
        <v>135</v>
      </c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customFormat="false" ht="18.75" hidden="false" customHeight="true" outlineLevel="0" collapsed="false">
      <c r="B44" s="100" t="s">
        <v>136</v>
      </c>
      <c r="C44" s="101" t="n">
        <f aca="false">-(D16/(1-D17)+D18)*C4</f>
        <v>-15178772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customFormat="false" ht="18.75" hidden="false" customHeight="true" outlineLevel="0" collapsed="false">
      <c r="B45" s="100" t="s">
        <v>137</v>
      </c>
      <c r="C45" s="92" t="s">
        <v>4</v>
      </c>
      <c r="D45" s="0" t="n">
        <v>-290201</v>
      </c>
      <c r="E45" s="102" t="n">
        <v>-290201</v>
      </c>
      <c r="F45" s="102" t="n">
        <v>-290201</v>
      </c>
      <c r="G45" s="102" t="n">
        <v>-290201</v>
      </c>
      <c r="H45" s="102" t="n">
        <v>-290201</v>
      </c>
      <c r="I45" s="102" t="n">
        <v>-290201</v>
      </c>
      <c r="J45" s="102" t="n">
        <v>-290201</v>
      </c>
      <c r="K45" s="102" t="n">
        <v>-290201</v>
      </c>
      <c r="L45" s="102" t="n">
        <v>-290201</v>
      </c>
      <c r="M45" s="102" t="n">
        <v>-290201</v>
      </c>
      <c r="N45" s="102" t="n">
        <v>-290201</v>
      </c>
      <c r="O45" s="102" t="n">
        <v>-290201</v>
      </c>
      <c r="P45" s="102" t="n">
        <v>-290201</v>
      </c>
      <c r="Q45" s="102" t="n">
        <v>-290201</v>
      </c>
      <c r="R45" s="102" t="n">
        <v>-290201</v>
      </c>
      <c r="S45" s="102" t="n">
        <v>-290201</v>
      </c>
      <c r="T45" s="102" t="n">
        <v>-290201</v>
      </c>
      <c r="U45" s="102" t="n">
        <v>-290201</v>
      </c>
      <c r="V45" s="102" t="n">
        <v>-290201</v>
      </c>
      <c r="W45" s="102" t="n">
        <v>-290201</v>
      </c>
      <c r="X45" s="102"/>
    </row>
    <row r="46" customFormat="false" ht="18.75" hidden="false" customHeight="true" outlineLevel="0" collapsed="false">
      <c r="B46" s="100" t="s">
        <v>138</v>
      </c>
      <c r="C46" s="9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customFormat="false" ht="18.75" hidden="false" customHeight="true" outlineLevel="0" collapsed="false">
      <c r="B47" s="100" t="s">
        <v>139</v>
      </c>
      <c r="C47" s="92" t="s">
        <v>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18.75" hidden="false" customHeight="true" outlineLevel="0" collapsed="false">
      <c r="B48" s="100" t="s">
        <v>140</v>
      </c>
      <c r="C48" s="92" t="s">
        <v>4</v>
      </c>
      <c r="D48" s="102" t="n">
        <v>-174440</v>
      </c>
      <c r="E48" s="102" t="n">
        <v>-174440</v>
      </c>
      <c r="F48" s="102" t="n">
        <v>-174440</v>
      </c>
      <c r="G48" s="102" t="n">
        <v>-174440</v>
      </c>
      <c r="H48" s="102" t="n">
        <v>-174440</v>
      </c>
      <c r="I48" s="102" t="n">
        <v>-174440</v>
      </c>
      <c r="J48" s="102" t="n">
        <v>-174440</v>
      </c>
      <c r="K48" s="102" t="n">
        <v>-174440</v>
      </c>
      <c r="L48" s="102" t="n">
        <v>-174440</v>
      </c>
      <c r="M48" s="102" t="n">
        <v>-174440</v>
      </c>
      <c r="N48" s="102" t="n">
        <v>-174440</v>
      </c>
      <c r="O48" s="102" t="n">
        <v>-174440</v>
      </c>
      <c r="P48" s="102" t="n">
        <v>-174440</v>
      </c>
      <c r="Q48" s="102" t="n">
        <v>-174440</v>
      </c>
      <c r="R48" s="102" t="n">
        <v>-174440</v>
      </c>
      <c r="S48" s="102" t="n">
        <v>-174440</v>
      </c>
      <c r="T48" s="102" t="n">
        <v>-174440</v>
      </c>
      <c r="U48" s="102" t="n">
        <v>-174440</v>
      </c>
      <c r="V48" s="102" t="n">
        <v>-174440</v>
      </c>
      <c r="W48" s="102" t="n">
        <v>-174440</v>
      </c>
      <c r="X48" s="102"/>
    </row>
    <row r="49" customFormat="false" ht="18.75" hidden="false" customHeight="true" outlineLevel="0" collapsed="false">
      <c r="B49" s="100" t="s">
        <v>141</v>
      </c>
      <c r="C49" s="92" t="s">
        <v>4</v>
      </c>
      <c r="D49" s="102" t="n">
        <v>-30043.8012</v>
      </c>
      <c r="E49" s="102" t="n">
        <v>-30043.8012</v>
      </c>
      <c r="F49" s="102" t="n">
        <v>-30043.8012</v>
      </c>
      <c r="G49" s="102" t="n">
        <v>-30043.8012</v>
      </c>
      <c r="H49" s="102" t="n">
        <v>-30043.8012</v>
      </c>
      <c r="I49" s="102" t="n">
        <v>-30043.8012</v>
      </c>
      <c r="J49" s="102" t="n">
        <v>-30043.8012</v>
      </c>
      <c r="K49" s="102" t="n">
        <v>-30043.8012</v>
      </c>
      <c r="L49" s="102" t="n">
        <v>-30043.8012</v>
      </c>
      <c r="M49" s="102" t="n">
        <v>-30043.8012</v>
      </c>
      <c r="N49" s="102" t="n">
        <v>-30043.8012</v>
      </c>
      <c r="O49" s="102" t="n">
        <v>-30043.8012</v>
      </c>
      <c r="P49" s="102" t="n">
        <v>-30043.8012</v>
      </c>
      <c r="Q49" s="102" t="n">
        <v>-30043.8012</v>
      </c>
      <c r="R49" s="102" t="n">
        <v>-30043.8012</v>
      </c>
      <c r="S49" s="102" t="n">
        <v>-30043.8012</v>
      </c>
      <c r="T49" s="102" t="n">
        <v>-30043.8012</v>
      </c>
      <c r="U49" s="102" t="n">
        <v>-30043.8012</v>
      </c>
      <c r="V49" s="102" t="n">
        <v>-30043.8012</v>
      </c>
      <c r="W49" s="102" t="n">
        <v>-30043.8012</v>
      </c>
      <c r="X49" s="102"/>
    </row>
    <row r="50" customFormat="false" ht="18.75" hidden="false" customHeight="true" outlineLevel="0" collapsed="false">
      <c r="B50" s="100" t="s">
        <v>142</v>
      </c>
      <c r="C50" s="92"/>
      <c r="D50" s="102" t="n">
        <v>-43610</v>
      </c>
      <c r="E50" s="102" t="n">
        <v>-43610</v>
      </c>
      <c r="F50" s="102" t="n">
        <v>-43610</v>
      </c>
      <c r="G50" s="102" t="n">
        <v>-43610</v>
      </c>
      <c r="H50" s="102" t="n">
        <v>-43610</v>
      </c>
      <c r="I50" s="102" t="n">
        <v>-43610</v>
      </c>
      <c r="J50" s="102" t="n">
        <v>-43610</v>
      </c>
      <c r="K50" s="102" t="n">
        <v>-43610</v>
      </c>
      <c r="L50" s="102" t="n">
        <v>-43610</v>
      </c>
      <c r="M50" s="102" t="n">
        <v>-43610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0</v>
      </c>
      <c r="S50" s="102" t="n">
        <v>0</v>
      </c>
      <c r="T50" s="102" t="n">
        <v>0</v>
      </c>
      <c r="U50" s="102" t="n">
        <v>0</v>
      </c>
      <c r="V50" s="102" t="n">
        <v>0</v>
      </c>
      <c r="W50" s="102" t="n">
        <v>0</v>
      </c>
      <c r="X50" s="102"/>
    </row>
    <row r="51" customFormat="false" ht="18.75" hidden="false" customHeight="true" outlineLevel="0" collapsed="false">
      <c r="B51" s="100" t="s">
        <v>143</v>
      </c>
      <c r="C51" s="103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customFormat="false" ht="18.75" hidden="false" customHeight="true" outlineLevel="0" collapsed="false">
      <c r="B52" s="100" t="s">
        <v>144</v>
      </c>
      <c r="C52" s="103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customFormat="false" ht="18.75" hidden="false" customHeight="true" outlineLevel="0" collapsed="false">
      <c r="B53" s="104" t="s">
        <v>145</v>
      </c>
      <c r="C53" s="103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customFormat="false" ht="18.75" hidden="false" customHeight="true" outlineLevel="0" collapsed="false">
      <c r="B54" s="104" t="s">
        <v>146</v>
      </c>
      <c r="C54" s="103"/>
      <c r="D54" s="102" t="n">
        <f aca="false">-(D64+D67+D68+D71+D72+D73+D74)*0.2</f>
        <v>-231819.10376</v>
      </c>
      <c r="E54" s="102" t="n">
        <f aca="false">-(E64+E67+E68+E71+E72+E73+E74)*0.2</f>
        <v>-172028.49736</v>
      </c>
      <c r="F54" s="102" t="n">
        <f aca="false">-(F64+F67+F68+F71+F72+F73+F74)*0.2</f>
        <v>-170278.09096</v>
      </c>
      <c r="G54" s="102" t="n">
        <f aca="false">-(G64+G67+G68+G71+G72+G73+G74)*0.2</f>
        <v>-168527.68456</v>
      </c>
      <c r="H54" s="102" t="n">
        <f aca="false">-(H64+H67+H68+H71+H72+H73+H74)*0.2</f>
        <v>-166777.27816</v>
      </c>
      <c r="I54" s="102" t="n">
        <f aca="false">-(I64+I67+I68+I71+I72+I73+I74)*0.2</f>
        <v>-165026.87176</v>
      </c>
      <c r="J54" s="102" t="n">
        <f aca="false">-(J64+J67+J68+J71+J72+J73+J74)*0.2</f>
        <v>-163276.46536</v>
      </c>
      <c r="K54" s="102" t="n">
        <f aca="false">-(K64+K67+K68+K71+K72+K73+K74)*0.2</f>
        <v>-161526.05896</v>
      </c>
      <c r="L54" s="102" t="n">
        <f aca="false">-(L64+L67+L68+L71+L72+L73+L74)*0.2</f>
        <v>-159775.65256</v>
      </c>
      <c r="M54" s="102" t="n">
        <f aca="false">-(M64+M67+M68+M71+M72+M73+M74)*0.2</f>
        <v>-158025.24616</v>
      </c>
      <c r="N54" s="102" t="n">
        <f aca="false">-(N64+N67+N68+N71+N72+N73+N74)*0.2</f>
        <v>-164996.83976</v>
      </c>
      <c r="O54" s="102" t="n">
        <f aca="false">-(O64+O67+O68+O71+O72+O73+O74)*0.2</f>
        <v>-163246.43336</v>
      </c>
      <c r="P54" s="102" t="n">
        <f aca="false">-(P64+P67+P68+P71+P72+P73+P74)*0.2</f>
        <v>-161496.02696</v>
      </c>
      <c r="Q54" s="102" t="n">
        <f aca="false">-(Q64+Q67+Q68+Q71+Q72+Q73+Q74)*0.2</f>
        <v>-159745.62056</v>
      </c>
      <c r="R54" s="102" t="n">
        <f aca="false">-(R64+R67+R68+R71+R72+R73+R74)*0.2</f>
        <v>-157995.21416</v>
      </c>
      <c r="S54" s="102" t="n">
        <f aca="false">-(S64+S67+S68+S71+S72+S73+S74)*0.2</f>
        <v>-156244.80776</v>
      </c>
      <c r="T54" s="102" t="n">
        <f aca="false">-(T64+T67+T68+T71+T72+T73+T74)*0.2</f>
        <v>-154494.40136</v>
      </c>
      <c r="U54" s="102" t="n">
        <f aca="false">-(U64+U67+U68+U71+U72+U73+U74)*0.2</f>
        <v>-152743.99496</v>
      </c>
      <c r="V54" s="102" t="n">
        <f aca="false">-(V64+V67+V68+V71+V72+V73+V74)*0.2</f>
        <v>-150993.58856</v>
      </c>
      <c r="W54" s="102" t="n">
        <f aca="false">-(W64+W67+W68+W71+W72+W73+W74)*0.2</f>
        <v>-149243.18216</v>
      </c>
      <c r="X54" s="93"/>
    </row>
    <row r="55" customFormat="false" ht="18.75" hidden="false" customHeight="true" outlineLevel="0" collapsed="false">
      <c r="B55" s="105" t="s">
        <v>147</v>
      </c>
      <c r="C55" s="106" t="n">
        <f aca="false">C44</f>
        <v>-15178772</v>
      </c>
      <c r="D55" s="107" t="n">
        <f aca="false">SUM(D41:D54)</f>
        <v>1396014.01504</v>
      </c>
      <c r="E55" s="107" t="n">
        <f aca="false">SUM(E41:E54)</f>
        <v>1447052.58944</v>
      </c>
      <c r="F55" s="107" t="n">
        <f aca="false">SUM(F41:F54)</f>
        <v>1440050.96384</v>
      </c>
      <c r="G55" s="107" t="n">
        <f aca="false">SUM(G41:G54)</f>
        <v>1433049.33824</v>
      </c>
      <c r="H55" s="107" t="n">
        <f aca="false">SUM(H41:H54)</f>
        <v>1426047.71264</v>
      </c>
      <c r="I55" s="107" t="n">
        <f aca="false">SUM(I41:I54)</f>
        <v>1419046.08704</v>
      </c>
      <c r="J55" s="107" t="n">
        <f aca="false">SUM(J41:J54)</f>
        <v>1412044.46144</v>
      </c>
      <c r="K55" s="107" t="n">
        <f aca="false">SUM(K41:K54)</f>
        <v>1405042.83584</v>
      </c>
      <c r="L55" s="107" t="n">
        <f aca="false">SUM(L41:L54)</f>
        <v>1398041.21024</v>
      </c>
      <c r="M55" s="107" t="n">
        <f aca="false">SUM(M41:M54)</f>
        <v>1391039.58464</v>
      </c>
      <c r="N55" s="107" t="n">
        <f aca="false">SUM(N41:N54)</f>
        <v>1418925.95904</v>
      </c>
      <c r="O55" s="107" t="n">
        <f aca="false">SUM(O41:O54)</f>
        <v>1411924.33344</v>
      </c>
      <c r="P55" s="107" t="n">
        <f aca="false">SUM(P41:P54)</f>
        <v>1404922.70784</v>
      </c>
      <c r="Q55" s="107" t="n">
        <f aca="false">SUM(Q41:Q54)</f>
        <v>1397921.08224</v>
      </c>
      <c r="R55" s="107" t="n">
        <f aca="false">SUM(R41:R54)</f>
        <v>1390919.45664</v>
      </c>
      <c r="S55" s="107" t="n">
        <f aca="false">SUM(S41:S54)</f>
        <v>1383917.83104</v>
      </c>
      <c r="T55" s="107" t="n">
        <f aca="false">SUM(T41:T54)</f>
        <v>1376916.20544</v>
      </c>
      <c r="U55" s="107" t="n">
        <f aca="false">SUM(U41:U54)</f>
        <v>1369914.57984</v>
      </c>
      <c r="V55" s="107" t="n">
        <f aca="false">SUM(V41:V54)</f>
        <v>1362912.95424</v>
      </c>
      <c r="W55" s="107" t="n">
        <f aca="false">SUM(W41:W54)</f>
        <v>1355911.32864</v>
      </c>
      <c r="X55" s="108"/>
      <c r="Y55" s="109"/>
      <c r="Z55" s="110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</row>
    <row r="56" customFormat="false" ht="18.75" hidden="false" customHeight="true" outlineLevel="0" collapsed="false">
      <c r="B56" s="111" t="s">
        <v>148</v>
      </c>
      <c r="D56" s="112" t="n">
        <f aca="false">C55+D55</f>
        <v>-13782757.98496</v>
      </c>
      <c r="E56" s="112" t="n">
        <f aca="false">D56+E55</f>
        <v>-12335705.39552</v>
      </c>
      <c r="F56" s="112" t="n">
        <f aca="false">E56+F55</f>
        <v>-10895654.43168</v>
      </c>
      <c r="G56" s="112" t="n">
        <f aca="false">F56+G55</f>
        <v>-9462605.09344</v>
      </c>
      <c r="H56" s="112" t="n">
        <f aca="false">G56+H55</f>
        <v>-8036557.3808</v>
      </c>
      <c r="I56" s="112" t="n">
        <f aca="false">H56+I55</f>
        <v>-6617511.29376</v>
      </c>
      <c r="J56" s="112" t="n">
        <f aca="false">I56+J55</f>
        <v>-5205466.83232</v>
      </c>
      <c r="K56" s="112" t="n">
        <f aca="false">J56+K55</f>
        <v>-3800423.99648</v>
      </c>
      <c r="L56" s="112" t="n">
        <f aca="false">K56+L55</f>
        <v>-2402382.78624</v>
      </c>
      <c r="M56" s="112" t="n">
        <f aca="false">L56+M55</f>
        <v>-1011343.2016</v>
      </c>
      <c r="N56" s="112" t="n">
        <f aca="false">M56+N55</f>
        <v>407582.757439997</v>
      </c>
      <c r="O56" s="112" t="n">
        <f aca="false">N56+O55</f>
        <v>1819507.09088</v>
      </c>
      <c r="P56" s="112" t="n">
        <f aca="false">O56+P55</f>
        <v>3224429.79872</v>
      </c>
      <c r="Q56" s="112" t="n">
        <f aca="false">P56+Q55</f>
        <v>4622350.88096</v>
      </c>
      <c r="R56" s="112" t="n">
        <f aca="false">Q56+R55</f>
        <v>6013270.3376</v>
      </c>
      <c r="S56" s="112" t="n">
        <f aca="false">R56+S55</f>
        <v>7397188.16864</v>
      </c>
      <c r="T56" s="112" t="n">
        <f aca="false">S56+T55</f>
        <v>8774104.37408</v>
      </c>
      <c r="U56" s="112" t="n">
        <f aca="false">T56+U55</f>
        <v>10144018.95392</v>
      </c>
      <c r="V56" s="112" t="n">
        <f aca="false">U56+V55</f>
        <v>11506931.90816</v>
      </c>
      <c r="W56" s="112" t="n">
        <f aca="false">V56+W55</f>
        <v>12862843.2368</v>
      </c>
      <c r="X56" s="112" t="n">
        <f aca="false">W56+X55</f>
        <v>12862843.2368</v>
      </c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 customFormat="false" ht="18.75" hidden="false" customHeight="true" outlineLevel="0" collapsed="false">
      <c r="B57" s="113" t="s">
        <v>149</v>
      </c>
      <c r="C57" s="114"/>
      <c r="D57" s="115" t="str">
        <f aca="false">IF((D56)&gt;0,"回收","未回收")</f>
        <v>未回收</v>
      </c>
      <c r="E57" s="116" t="str">
        <f aca="false">IF((E56)&gt;0,"回收","未回收")</f>
        <v>未回收</v>
      </c>
      <c r="F57" s="116" t="str">
        <f aca="false">IF((F56)&gt;0,"回收","未回收")</f>
        <v>未回收</v>
      </c>
      <c r="G57" s="116" t="str">
        <f aca="false">IF((G56)&gt;0,"回收","未回收")</f>
        <v>未回收</v>
      </c>
      <c r="H57" s="116" t="str">
        <f aca="false">IF((H56)&gt;0,"回收","未回收")</f>
        <v>未回收</v>
      </c>
      <c r="I57" s="116" t="str">
        <f aca="false">IF((I56)&gt;0,"回收","未回收")</f>
        <v>未回收</v>
      </c>
      <c r="J57" s="116" t="str">
        <f aca="false">IF((J56)&gt;0,"回收","未回收")</f>
        <v>未回收</v>
      </c>
      <c r="K57" s="116" t="str">
        <f aca="false">IF((K56)&gt;0,"回收","未回收")</f>
        <v>未回收</v>
      </c>
      <c r="L57" s="116" t="str">
        <f aca="false">IF((L56)&gt;0,"回收","未回收")</f>
        <v>未回收</v>
      </c>
      <c r="M57" s="116" t="str">
        <f aca="false">IF((M56)&gt;0,"回收","未回收")</f>
        <v>未回收</v>
      </c>
      <c r="N57" s="116" t="str">
        <f aca="false">IF((N56)&gt;0,"回收","未回收")</f>
        <v>回收</v>
      </c>
      <c r="O57" s="116" t="str">
        <f aca="false">IF((O56)&gt;0,"回收","未回收")</f>
        <v>回收</v>
      </c>
      <c r="P57" s="116" t="str">
        <f aca="false">IF((P56)&gt;0,"回收","未回收")</f>
        <v>回收</v>
      </c>
      <c r="Q57" s="116" t="str">
        <f aca="false">IF((Q56)&gt;0,"回收","未回收")</f>
        <v>回收</v>
      </c>
      <c r="R57" s="116" t="str">
        <f aca="false">IF((R56)&gt;0,"回收","未回收")</f>
        <v>回收</v>
      </c>
      <c r="S57" s="116" t="str">
        <f aca="false">IF((S56)&gt;0,"回收","未回收")</f>
        <v>回收</v>
      </c>
      <c r="T57" s="116" t="str">
        <f aca="false">IF((T56)&gt;0,"回收","未回收")</f>
        <v>回收</v>
      </c>
      <c r="U57" s="116" t="str">
        <f aca="false">IF((U56)&gt;0,"回收","未回收")</f>
        <v>回收</v>
      </c>
      <c r="V57" s="116" t="str">
        <f aca="false">IF((V56)&gt;0,"回收","未回收")</f>
        <v>回收</v>
      </c>
      <c r="W57" s="116" t="str">
        <f aca="false">IF((W56)&gt;0,"回收","未回收")</f>
        <v>回收</v>
      </c>
      <c r="X57" s="116" t="str">
        <f aca="false">IF((X56)&gt;0,"回收","未回收")</f>
        <v>回收</v>
      </c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</row>
    <row r="58" customFormat="false" ht="18.75" hidden="false" customHeight="true" outlineLevel="0" collapsed="false">
      <c r="B58" s="117" t="s">
        <v>74</v>
      </c>
      <c r="C58" s="118" t="n">
        <f aca="false">IRR(C55:W55)</f>
        <v>0.0678823018987285</v>
      </c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20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69"/>
      <c r="C60" s="70" t="s">
        <v>130</v>
      </c>
      <c r="D60" s="70" t="n">
        <f aca="false">D37</f>
        <v>2020</v>
      </c>
      <c r="E60" s="70" t="n">
        <f aca="false">E37</f>
        <v>2021</v>
      </c>
      <c r="F60" s="70" t="n">
        <f aca="false">F37</f>
        <v>2022</v>
      </c>
      <c r="G60" s="70" t="n">
        <f aca="false">G37</f>
        <v>2023</v>
      </c>
      <c r="H60" s="70" t="n">
        <f aca="false">H37</f>
        <v>2024</v>
      </c>
      <c r="I60" s="70" t="n">
        <f aca="false">I37</f>
        <v>2025</v>
      </c>
      <c r="J60" s="70" t="n">
        <f aca="false">J37</f>
        <v>2026</v>
      </c>
      <c r="K60" s="70" t="n">
        <f aca="false">K37</f>
        <v>2027</v>
      </c>
      <c r="L60" s="70" t="n">
        <f aca="false">L37</f>
        <v>2028</v>
      </c>
      <c r="M60" s="70" t="n">
        <f aca="false">M37</f>
        <v>2029</v>
      </c>
      <c r="N60" s="70" t="n">
        <f aca="false">N37</f>
        <v>2030</v>
      </c>
      <c r="O60" s="70" t="n">
        <f aca="false">O37</f>
        <v>2031</v>
      </c>
      <c r="P60" s="70" t="n">
        <f aca="false">P37</f>
        <v>2032</v>
      </c>
      <c r="Q60" s="70" t="n">
        <f aca="false">Q37</f>
        <v>2033</v>
      </c>
      <c r="R60" s="70" t="n">
        <f aca="false">R37</f>
        <v>2034</v>
      </c>
      <c r="S60" s="70" t="n">
        <f aca="false">S37</f>
        <v>2035</v>
      </c>
      <c r="T60" s="70" t="n">
        <f aca="false">T37</f>
        <v>2036</v>
      </c>
      <c r="U60" s="70" t="n">
        <f aca="false">U37</f>
        <v>2037</v>
      </c>
      <c r="V60" s="70" t="n">
        <f aca="false">V37</f>
        <v>2038</v>
      </c>
      <c r="W60" s="70" t="n">
        <f aca="false">W37</f>
        <v>2039</v>
      </c>
      <c r="X60" s="70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customFormat="false" ht="18.75" hidden="false" customHeight="true" outlineLevel="0" collapsed="false">
      <c r="B61" s="71" t="n">
        <v>0</v>
      </c>
      <c r="C61" s="72"/>
      <c r="D61" s="73"/>
      <c r="E61" s="73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23" t="s">
        <v>150</v>
      </c>
      <c r="U61" s="75"/>
      <c r="V61" s="75"/>
      <c r="W61" s="75"/>
      <c r="X61" s="77"/>
    </row>
    <row r="62" customFormat="false" ht="18.75" hidden="false" customHeight="true" outlineLevel="0" collapsed="false">
      <c r="B62" s="78" t="s">
        <v>131</v>
      </c>
      <c r="C62" s="79" t="n">
        <v>0</v>
      </c>
      <c r="D62" s="80" t="n">
        <v>1</v>
      </c>
      <c r="E62" s="80" t="n">
        <v>2</v>
      </c>
      <c r="F62" s="80" t="n">
        <v>3</v>
      </c>
      <c r="G62" s="80" t="n">
        <v>4</v>
      </c>
      <c r="H62" s="80" t="n">
        <v>5</v>
      </c>
      <c r="I62" s="80" t="n">
        <v>6</v>
      </c>
      <c r="J62" s="80" t="n">
        <v>7</v>
      </c>
      <c r="K62" s="80" t="n">
        <v>8</v>
      </c>
      <c r="L62" s="80" t="n">
        <v>9</v>
      </c>
      <c r="M62" s="80" t="n">
        <v>10</v>
      </c>
      <c r="N62" s="80" t="n">
        <v>11</v>
      </c>
      <c r="O62" s="80" t="n">
        <v>12</v>
      </c>
      <c r="P62" s="80" t="n">
        <v>13</v>
      </c>
      <c r="Q62" s="80" t="n">
        <v>14</v>
      </c>
      <c r="R62" s="80" t="n">
        <v>15</v>
      </c>
      <c r="S62" s="80" t="n">
        <v>16</v>
      </c>
      <c r="T62" s="124" t="n">
        <v>17</v>
      </c>
      <c r="U62" s="80" t="n">
        <v>18</v>
      </c>
      <c r="V62" s="80" t="n">
        <v>19</v>
      </c>
      <c r="W62" s="80" t="n">
        <v>20</v>
      </c>
      <c r="X62" s="82"/>
    </row>
    <row r="63" customFormat="false" ht="18.75" hidden="false" customHeight="true" outlineLevel="0" collapsed="false">
      <c r="B63" s="83" t="s">
        <v>132</v>
      </c>
      <c r="C63" s="84" t="n">
        <v>0</v>
      </c>
      <c r="D63" s="85" t="n">
        <f aca="false">D40</f>
        <v>541531.98</v>
      </c>
      <c r="E63" s="85" t="n">
        <f aca="false">E40</f>
        <v>539343.972</v>
      </c>
      <c r="F63" s="85" t="n">
        <f aca="false">F40</f>
        <v>537155.964</v>
      </c>
      <c r="G63" s="85" t="n">
        <f aca="false">G40</f>
        <v>534967.956</v>
      </c>
      <c r="H63" s="85" t="n">
        <f aca="false">H40</f>
        <v>532779.948</v>
      </c>
      <c r="I63" s="85" t="n">
        <f aca="false">I40</f>
        <v>530591.94</v>
      </c>
      <c r="J63" s="85" t="n">
        <f aca="false">J40</f>
        <v>528403.932</v>
      </c>
      <c r="K63" s="85" t="n">
        <f aca="false">K40</f>
        <v>526215.924</v>
      </c>
      <c r="L63" s="85" t="n">
        <f aca="false">L40</f>
        <v>524027.916</v>
      </c>
      <c r="M63" s="85" t="n">
        <f aca="false">M40</f>
        <v>521839.908</v>
      </c>
      <c r="N63" s="85" t="n">
        <f aca="false">N40</f>
        <v>519651.9</v>
      </c>
      <c r="O63" s="85" t="n">
        <f aca="false">O40</f>
        <v>517463.892</v>
      </c>
      <c r="P63" s="85" t="n">
        <f aca="false">P40</f>
        <v>515275.884</v>
      </c>
      <c r="Q63" s="85" t="n">
        <f aca="false">Q40</f>
        <v>513087.876</v>
      </c>
      <c r="R63" s="85" t="n">
        <f aca="false">R40</f>
        <v>510899.868</v>
      </c>
      <c r="S63" s="85" t="n">
        <f aca="false">S40</f>
        <v>508711.86</v>
      </c>
      <c r="T63" s="85" t="n">
        <f aca="false">T40</f>
        <v>506523.852</v>
      </c>
      <c r="U63" s="85" t="n">
        <f aca="false">U40</f>
        <v>504335.844</v>
      </c>
      <c r="V63" s="85" t="n">
        <f aca="false">V40</f>
        <v>502147.836</v>
      </c>
      <c r="W63" s="85" t="n">
        <f aca="false">W40</f>
        <v>499959.828</v>
      </c>
      <c r="X63" s="86"/>
    </row>
    <row r="64" customFormat="false" ht="18.75" hidden="false" customHeight="true" outlineLevel="0" collapsed="false">
      <c r="B64" s="87" t="s">
        <v>133</v>
      </c>
      <c r="C64" s="88" t="s">
        <v>4</v>
      </c>
      <c r="D64" s="89" t="n">
        <f aca="false">D41</f>
        <v>2166127.92</v>
      </c>
      <c r="E64" s="89" t="n">
        <f aca="false">E41</f>
        <v>2157375.888</v>
      </c>
      <c r="F64" s="89" t="n">
        <f aca="false">F41</f>
        <v>2148623.856</v>
      </c>
      <c r="G64" s="89" t="n">
        <f aca="false">G41</f>
        <v>2139871.824</v>
      </c>
      <c r="H64" s="89" t="n">
        <f aca="false">H41</f>
        <v>2131119.792</v>
      </c>
      <c r="I64" s="89" t="n">
        <f aca="false">I41</f>
        <v>2122367.76</v>
      </c>
      <c r="J64" s="89" t="n">
        <f aca="false">J41</f>
        <v>2113615.728</v>
      </c>
      <c r="K64" s="89" t="n">
        <f aca="false">K41</f>
        <v>2104863.696</v>
      </c>
      <c r="L64" s="89" t="n">
        <f aca="false">L41</f>
        <v>2096111.664</v>
      </c>
      <c r="M64" s="89" t="n">
        <f aca="false">M41</f>
        <v>2087359.632</v>
      </c>
      <c r="N64" s="89" t="n">
        <f aca="false">N41</f>
        <v>2078607.6</v>
      </c>
      <c r="O64" s="89" t="n">
        <f aca="false">O41</f>
        <v>2069855.568</v>
      </c>
      <c r="P64" s="89" t="n">
        <f aca="false">P41</f>
        <v>2061103.536</v>
      </c>
      <c r="Q64" s="89" t="n">
        <f aca="false">Q41</f>
        <v>2052351.504</v>
      </c>
      <c r="R64" s="89" t="n">
        <f aca="false">R41</f>
        <v>2043599.472</v>
      </c>
      <c r="S64" s="89" t="n">
        <f aca="false">S41</f>
        <v>2034847.44</v>
      </c>
      <c r="T64" s="89" t="n">
        <f aca="false">T41</f>
        <v>2026095.408</v>
      </c>
      <c r="U64" s="89" t="n">
        <f aca="false">U41</f>
        <v>2017343.376</v>
      </c>
      <c r="V64" s="89" t="n">
        <f aca="false">V41</f>
        <v>2008591.344</v>
      </c>
      <c r="W64" s="89" t="n">
        <f aca="false">W41</f>
        <v>1999839.312</v>
      </c>
      <c r="X64" s="90"/>
    </row>
    <row r="65" customFormat="false" ht="18.75" hidden="false" customHeight="true" outlineLevel="0" collapsed="false">
      <c r="B65" s="91" t="s">
        <v>134</v>
      </c>
      <c r="C65" s="92" t="s">
        <v>4</v>
      </c>
      <c r="D65" s="93"/>
      <c r="E65" s="93"/>
      <c r="F65" s="93"/>
      <c r="G65" s="94" t="s">
        <v>4</v>
      </c>
      <c r="H65" s="94" t="s">
        <v>4</v>
      </c>
      <c r="I65" s="94" t="s">
        <v>4</v>
      </c>
      <c r="J65" s="94" t="s">
        <v>4</v>
      </c>
      <c r="K65" s="94" t="s">
        <v>4</v>
      </c>
      <c r="L65" s="94" t="s">
        <v>4</v>
      </c>
      <c r="M65" s="94" t="s">
        <v>4</v>
      </c>
      <c r="N65" s="94" t="s">
        <v>4</v>
      </c>
      <c r="O65" s="94" t="s">
        <v>4</v>
      </c>
      <c r="P65" s="94" t="s">
        <v>4</v>
      </c>
      <c r="Q65" s="94" t="s">
        <v>4</v>
      </c>
      <c r="R65" s="94" t="s">
        <v>4</v>
      </c>
      <c r="S65" s="94" t="s">
        <v>4</v>
      </c>
      <c r="T65" s="94" t="s">
        <v>4</v>
      </c>
      <c r="U65" s="94" t="s">
        <v>4</v>
      </c>
      <c r="V65" s="94" t="s">
        <v>4</v>
      </c>
      <c r="W65" s="94" t="s">
        <v>4</v>
      </c>
      <c r="X65" s="95"/>
    </row>
    <row r="66" customFormat="false" ht="18.75" hidden="false" customHeight="true" outlineLevel="0" collapsed="false">
      <c r="B66" s="96" t="s">
        <v>135</v>
      </c>
      <c r="C66" s="97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customFormat="false" ht="18.75" hidden="false" customHeight="true" outlineLevel="0" collapsed="false">
      <c r="B67" s="100" t="s">
        <v>151</v>
      </c>
      <c r="C67" s="92"/>
      <c r="D67" s="125" t="n">
        <f aca="false">$C$44/$E$16</f>
        <v>-758938.6</v>
      </c>
      <c r="E67" s="125" t="n">
        <f aca="false">$C$44/$E$16</f>
        <v>-758938.6</v>
      </c>
      <c r="F67" s="125" t="n">
        <f aca="false">$C$44/$E$16</f>
        <v>-758938.6</v>
      </c>
      <c r="G67" s="125" t="n">
        <f aca="false">$C$44/$E$16</f>
        <v>-758938.6</v>
      </c>
      <c r="H67" s="125" t="n">
        <f aca="false">$C$44/$E$16</f>
        <v>-758938.6</v>
      </c>
      <c r="I67" s="125" t="n">
        <f aca="false">$C$44/$E$16</f>
        <v>-758938.6</v>
      </c>
      <c r="J67" s="125" t="n">
        <f aca="false">$C$44/$E$16</f>
        <v>-758938.6</v>
      </c>
      <c r="K67" s="125" t="n">
        <f aca="false">$C$44/$E$16</f>
        <v>-758938.6</v>
      </c>
      <c r="L67" s="125" t="n">
        <f aca="false">$C$44/$E$16</f>
        <v>-758938.6</v>
      </c>
      <c r="M67" s="125" t="n">
        <f aca="false">$C$44/$E$16</f>
        <v>-758938.6</v>
      </c>
      <c r="N67" s="125" t="n">
        <f aca="false">$C$44/$E$16</f>
        <v>-758938.6</v>
      </c>
      <c r="O67" s="125" t="n">
        <f aca="false">$C$44/$E$16</f>
        <v>-758938.6</v>
      </c>
      <c r="P67" s="125" t="n">
        <f aca="false">$C$44/$E$16</f>
        <v>-758938.6</v>
      </c>
      <c r="Q67" s="125" t="n">
        <f aca="false">$C$44/$E$16</f>
        <v>-758938.6</v>
      </c>
      <c r="R67" s="125" t="n">
        <f aca="false">$C$44/$E$16</f>
        <v>-758938.6</v>
      </c>
      <c r="S67" s="125" t="n">
        <f aca="false">$C$44/$E$16</f>
        <v>-758938.6</v>
      </c>
      <c r="T67" s="125" t="n">
        <f aca="false">$C$44/$E$16</f>
        <v>-758938.6</v>
      </c>
      <c r="U67" s="125" t="n">
        <f aca="false">$C$44/$E$16</f>
        <v>-758938.6</v>
      </c>
      <c r="V67" s="125" t="n">
        <f aca="false">$C$44/$E$16</f>
        <v>-758938.6</v>
      </c>
      <c r="W67" s="125" t="n">
        <f aca="false">$C$44/$E$16</f>
        <v>-758938.6</v>
      </c>
      <c r="X67" s="95"/>
    </row>
    <row r="68" customFormat="false" ht="18.75" hidden="false" customHeight="true" outlineLevel="0" collapsed="false">
      <c r="B68" s="100" t="s">
        <v>137</v>
      </c>
      <c r="C68" s="92" t="s">
        <v>4</v>
      </c>
      <c r="D68" s="102" t="n">
        <f aca="false">D44</f>
        <v>0</v>
      </c>
      <c r="E68" s="102" t="n">
        <f aca="false">E45</f>
        <v>-290201</v>
      </c>
      <c r="F68" s="102" t="n">
        <f aca="false">F45</f>
        <v>-290201</v>
      </c>
      <c r="G68" s="102" t="n">
        <f aca="false">G45</f>
        <v>-290201</v>
      </c>
      <c r="H68" s="102" t="n">
        <f aca="false">H45</f>
        <v>-290201</v>
      </c>
      <c r="I68" s="102" t="n">
        <f aca="false">I45</f>
        <v>-290201</v>
      </c>
      <c r="J68" s="102" t="n">
        <f aca="false">J45</f>
        <v>-290201</v>
      </c>
      <c r="K68" s="102" t="n">
        <f aca="false">K45</f>
        <v>-290201</v>
      </c>
      <c r="L68" s="102" t="n">
        <f aca="false">L45</f>
        <v>-290201</v>
      </c>
      <c r="M68" s="102" t="n">
        <f aca="false">M45</f>
        <v>-290201</v>
      </c>
      <c r="N68" s="102" t="n">
        <f aca="false">N45</f>
        <v>-290201</v>
      </c>
      <c r="O68" s="102" t="n">
        <f aca="false">O45</f>
        <v>-290201</v>
      </c>
      <c r="P68" s="102" t="n">
        <f aca="false">P45</f>
        <v>-290201</v>
      </c>
      <c r="Q68" s="102" t="n">
        <f aca="false">Q45</f>
        <v>-290201</v>
      </c>
      <c r="R68" s="102" t="n">
        <f aca="false">R45</f>
        <v>-290201</v>
      </c>
      <c r="S68" s="102" t="n">
        <f aca="false">S45</f>
        <v>-290201</v>
      </c>
      <c r="T68" s="102" t="n">
        <f aca="false">T45</f>
        <v>-290201</v>
      </c>
      <c r="U68" s="102" t="n">
        <f aca="false">U45</f>
        <v>-290201</v>
      </c>
      <c r="V68" s="102" t="n">
        <f aca="false">V45</f>
        <v>-290201</v>
      </c>
      <c r="W68" s="102" t="n">
        <f aca="false">W45</f>
        <v>-290201</v>
      </c>
      <c r="X68" s="95"/>
    </row>
    <row r="69" customFormat="false" ht="18.75" hidden="false" customHeight="true" outlineLevel="0" collapsed="false">
      <c r="B69" s="100" t="s">
        <v>138</v>
      </c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  <row r="70" customFormat="false" ht="18.75" hidden="false" customHeight="true" outlineLevel="0" collapsed="false">
      <c r="B70" s="100" t="s">
        <v>139</v>
      </c>
      <c r="C70" s="92" t="s">
        <v>4</v>
      </c>
      <c r="D70" s="102" t="n">
        <f aca="false">-D109*$D25</f>
        <v>-310861.25056</v>
      </c>
      <c r="E70" s="102" t="n">
        <f aca="false">-E109*$D25</f>
        <v>-290137.167189333</v>
      </c>
      <c r="F70" s="102" t="n">
        <f aca="false">-F109*$D25</f>
        <v>-269413.083818667</v>
      </c>
      <c r="G70" s="102" t="n">
        <f aca="false">-G109*$D25</f>
        <v>-248689.000448</v>
      </c>
      <c r="H70" s="102" t="n">
        <f aca="false">-H109*$D25</f>
        <v>-227964.917077333</v>
      </c>
      <c r="I70" s="102" t="n">
        <f aca="false">-I109*$D25</f>
        <v>-207240.833706667</v>
      </c>
      <c r="J70" s="102" t="n">
        <f aca="false">-J109*$D25</f>
        <v>-186516.750336</v>
      </c>
      <c r="K70" s="102" t="n">
        <f aca="false">-K109*$D25</f>
        <v>-165792.666965333</v>
      </c>
      <c r="L70" s="102" t="n">
        <f aca="false">-L109*$D25</f>
        <v>-145068.583594667</v>
      </c>
      <c r="M70" s="102" t="n">
        <f aca="false">-M109*$D25</f>
        <v>-124344.500224</v>
      </c>
      <c r="N70" s="102" t="n">
        <f aca="false">-N109*$D25</f>
        <v>-103620.416853333</v>
      </c>
      <c r="O70" s="102" t="n">
        <f aca="false">-O109*$D25</f>
        <v>-82896.3334826668</v>
      </c>
      <c r="P70" s="102" t="n">
        <f aca="false">-P109*$D25</f>
        <v>-62172.2501120001</v>
      </c>
      <c r="Q70" s="102" t="n">
        <f aca="false">-Q109*$D25</f>
        <v>-41448.1667413334</v>
      </c>
      <c r="R70" s="102" t="n">
        <f aca="false">-R109*$D25</f>
        <v>-20724.0833706667</v>
      </c>
      <c r="S70" s="102" t="n">
        <f aca="false">-S109*$D25</f>
        <v>-7.74860382080078E-011</v>
      </c>
      <c r="T70" s="102" t="n">
        <f aca="false">-T109*$D25</f>
        <v>-7.74860382080078E-011</v>
      </c>
      <c r="U70" s="102" t="n">
        <f aca="false">-U109*$D25</f>
        <v>-7.74860382080078E-011</v>
      </c>
      <c r="V70" s="102" t="n">
        <f aca="false">-V109*$D25</f>
        <v>-7.74860382080078E-011</v>
      </c>
      <c r="W70" s="102" t="n">
        <f aca="false">-W109*$D25</f>
        <v>-7.74860382080078E-011</v>
      </c>
      <c r="X70" s="95"/>
    </row>
    <row r="71" customFormat="false" ht="18.75" hidden="false" customHeight="true" outlineLevel="0" collapsed="false">
      <c r="B71" s="100" t="s">
        <v>140</v>
      </c>
      <c r="C71" s="92" t="s">
        <v>4</v>
      </c>
      <c r="D71" s="102" t="n">
        <f aca="false">D48</f>
        <v>-174440</v>
      </c>
      <c r="E71" s="102" t="n">
        <f aca="false">E48</f>
        <v>-174440</v>
      </c>
      <c r="F71" s="102" t="n">
        <f aca="false">F48</f>
        <v>-174440</v>
      </c>
      <c r="G71" s="102" t="n">
        <f aca="false">G48</f>
        <v>-174440</v>
      </c>
      <c r="H71" s="102" t="n">
        <f aca="false">H48</f>
        <v>-174440</v>
      </c>
      <c r="I71" s="102" t="n">
        <f aca="false">I48</f>
        <v>-174440</v>
      </c>
      <c r="J71" s="102" t="n">
        <f aca="false">J48</f>
        <v>-174440</v>
      </c>
      <c r="K71" s="102" t="n">
        <f aca="false">K48</f>
        <v>-174440</v>
      </c>
      <c r="L71" s="102" t="n">
        <f aca="false">L48</f>
        <v>-174440</v>
      </c>
      <c r="M71" s="102" t="n">
        <f aca="false">M48</f>
        <v>-174440</v>
      </c>
      <c r="N71" s="102" t="n">
        <f aca="false">N48</f>
        <v>-174440</v>
      </c>
      <c r="O71" s="102" t="n">
        <f aca="false">O48</f>
        <v>-174440</v>
      </c>
      <c r="P71" s="102" t="n">
        <f aca="false">P48</f>
        <v>-174440</v>
      </c>
      <c r="Q71" s="102" t="n">
        <f aca="false">Q48</f>
        <v>-174440</v>
      </c>
      <c r="R71" s="102" t="n">
        <f aca="false">R48</f>
        <v>-174440</v>
      </c>
      <c r="S71" s="102" t="n">
        <f aca="false">S48</f>
        <v>-174440</v>
      </c>
      <c r="T71" s="102" t="n">
        <f aca="false">T48</f>
        <v>-174440</v>
      </c>
      <c r="U71" s="102" t="n">
        <f aca="false">U48</f>
        <v>-174440</v>
      </c>
      <c r="V71" s="102" t="n">
        <f aca="false">V48</f>
        <v>-174440</v>
      </c>
      <c r="W71" s="102" t="n">
        <f aca="false">W48</f>
        <v>-174440</v>
      </c>
      <c r="X71" s="95"/>
    </row>
    <row r="72" customFormat="false" ht="18.75" hidden="false" customHeight="true" outlineLevel="0" collapsed="false">
      <c r="B72" s="100" t="s">
        <v>141</v>
      </c>
      <c r="C72" s="92" t="s">
        <v>4</v>
      </c>
      <c r="D72" s="102" t="n">
        <f aca="false">D49</f>
        <v>-30043.8012</v>
      </c>
      <c r="E72" s="102" t="n">
        <f aca="false">E49</f>
        <v>-30043.8012</v>
      </c>
      <c r="F72" s="102" t="n">
        <f aca="false">F49</f>
        <v>-30043.8012</v>
      </c>
      <c r="G72" s="102" t="n">
        <f aca="false">G49</f>
        <v>-30043.8012</v>
      </c>
      <c r="H72" s="102" t="n">
        <f aca="false">H49</f>
        <v>-30043.8012</v>
      </c>
      <c r="I72" s="102" t="n">
        <f aca="false">I49</f>
        <v>-30043.8012</v>
      </c>
      <c r="J72" s="102" t="n">
        <f aca="false">J49</f>
        <v>-30043.8012</v>
      </c>
      <c r="K72" s="102" t="n">
        <f aca="false">K49</f>
        <v>-30043.8012</v>
      </c>
      <c r="L72" s="102" t="n">
        <f aca="false">L49</f>
        <v>-30043.8012</v>
      </c>
      <c r="M72" s="102" t="n">
        <f aca="false">M49</f>
        <v>-30043.8012</v>
      </c>
      <c r="N72" s="102" t="n">
        <f aca="false">N49</f>
        <v>-30043.8012</v>
      </c>
      <c r="O72" s="102" t="n">
        <f aca="false">O49</f>
        <v>-30043.8012</v>
      </c>
      <c r="P72" s="102" t="n">
        <f aca="false">P49</f>
        <v>-30043.8012</v>
      </c>
      <c r="Q72" s="102" t="n">
        <f aca="false">Q49</f>
        <v>-30043.8012</v>
      </c>
      <c r="R72" s="102" t="n">
        <f aca="false">R49</f>
        <v>-30043.8012</v>
      </c>
      <c r="S72" s="102" t="n">
        <f aca="false">S49</f>
        <v>-30043.8012</v>
      </c>
      <c r="T72" s="102" t="n">
        <f aca="false">T49</f>
        <v>-30043.8012</v>
      </c>
      <c r="U72" s="102" t="n">
        <f aca="false">U49</f>
        <v>-30043.8012</v>
      </c>
      <c r="V72" s="102" t="n">
        <f aca="false">V49</f>
        <v>-30043.8012</v>
      </c>
      <c r="W72" s="102" t="n">
        <f aca="false">W49</f>
        <v>-30043.8012</v>
      </c>
      <c r="X72" s="95"/>
    </row>
    <row r="73" customFormat="false" ht="18.75" hidden="false" customHeight="true" outlineLevel="0" collapsed="false">
      <c r="B73" s="100" t="s">
        <v>142</v>
      </c>
      <c r="C73" s="92"/>
      <c r="D73" s="102" t="n">
        <f aca="false">D50</f>
        <v>-43610</v>
      </c>
      <c r="E73" s="102" t="n">
        <f aca="false">E50</f>
        <v>-43610</v>
      </c>
      <c r="F73" s="102" t="n">
        <f aca="false">F50</f>
        <v>-43610</v>
      </c>
      <c r="G73" s="102" t="n">
        <f aca="false">G50</f>
        <v>-43610</v>
      </c>
      <c r="H73" s="102" t="n">
        <f aca="false">H50</f>
        <v>-43610</v>
      </c>
      <c r="I73" s="102" t="n">
        <f aca="false">I50</f>
        <v>-43610</v>
      </c>
      <c r="J73" s="102" t="n">
        <f aca="false">J50</f>
        <v>-43610</v>
      </c>
      <c r="K73" s="102" t="n">
        <f aca="false">K50</f>
        <v>-43610</v>
      </c>
      <c r="L73" s="102" t="n">
        <f aca="false">L50</f>
        <v>-43610</v>
      </c>
      <c r="M73" s="102" t="n">
        <f aca="false">M50</f>
        <v>-43610</v>
      </c>
      <c r="N73" s="102" t="n">
        <f aca="false">N50</f>
        <v>0</v>
      </c>
      <c r="O73" s="102" t="n">
        <f aca="false">O50</f>
        <v>0</v>
      </c>
      <c r="P73" s="102" t="n">
        <f aca="false">P50</f>
        <v>0</v>
      </c>
      <c r="Q73" s="102" t="n">
        <f aca="false">Q50</f>
        <v>0</v>
      </c>
      <c r="R73" s="102" t="n">
        <f aca="false">R50</f>
        <v>0</v>
      </c>
      <c r="S73" s="102" t="n">
        <f aca="false">S50</f>
        <v>0</v>
      </c>
      <c r="T73" s="102" t="n">
        <f aca="false">T50</f>
        <v>0</v>
      </c>
      <c r="U73" s="102" t="n">
        <f aca="false">U50</f>
        <v>0</v>
      </c>
      <c r="V73" s="102" t="n">
        <f aca="false">V50</f>
        <v>0</v>
      </c>
      <c r="W73" s="102" t="n">
        <f aca="false">W50</f>
        <v>0</v>
      </c>
      <c r="X73" s="95"/>
    </row>
    <row r="74" customFormat="false" ht="18.75" hidden="false" customHeight="true" outlineLevel="0" collapsed="false">
      <c r="B74" s="100" t="s">
        <v>143</v>
      </c>
      <c r="C74" s="103"/>
      <c r="D74" s="126"/>
      <c r="E74" s="127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5"/>
    </row>
    <row r="75" customFormat="false" ht="18.75" hidden="false" customHeight="true" outlineLevel="0" collapsed="false">
      <c r="B75" s="100" t="s">
        <v>144</v>
      </c>
      <c r="C75" s="10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5"/>
    </row>
    <row r="76" customFormat="false" ht="18.75" hidden="false" customHeight="true" outlineLevel="0" collapsed="false">
      <c r="B76" s="105" t="s">
        <v>152</v>
      </c>
      <c r="C76" s="128"/>
      <c r="D76" s="107" t="n">
        <f aca="false">SUM(D64:D75)</f>
        <v>848234.26824</v>
      </c>
      <c r="E76" s="107" t="n">
        <f aca="false">SUM(E64:E75)</f>
        <v>570005.319610666</v>
      </c>
      <c r="F76" s="107" t="n">
        <f aca="false">SUM(F64:F75)</f>
        <v>581977.370981333</v>
      </c>
      <c r="G76" s="107" t="n">
        <f aca="false">SUM(G64:G75)</f>
        <v>593949.422352</v>
      </c>
      <c r="H76" s="107" t="n">
        <f aca="false">SUM(H64:H75)</f>
        <v>605921.473722666</v>
      </c>
      <c r="I76" s="107" t="n">
        <f aca="false">SUM(I64:I75)</f>
        <v>617893.525093333</v>
      </c>
      <c r="J76" s="107" t="n">
        <f aca="false">SUM(J64:J75)</f>
        <v>629865.576464</v>
      </c>
      <c r="K76" s="107" t="n">
        <f aca="false">SUM(K64:K75)</f>
        <v>641837.627834666</v>
      </c>
      <c r="L76" s="107" t="n">
        <f aca="false">SUM(L64:L75)</f>
        <v>653809.679205333</v>
      </c>
      <c r="M76" s="107" t="n">
        <f aca="false">SUM(M64:M75)</f>
        <v>665781.730576</v>
      </c>
      <c r="N76" s="107" t="n">
        <f aca="false">SUM(N64:N75)</f>
        <v>721363.781946666</v>
      </c>
      <c r="O76" s="107" t="n">
        <f aca="false">SUM(O64:O75)</f>
        <v>733335.833317333</v>
      </c>
      <c r="P76" s="107" t="n">
        <f aca="false">SUM(P64:P75)</f>
        <v>745307.884688</v>
      </c>
      <c r="Q76" s="107" t="n">
        <f aca="false">SUM(Q64:Q75)</f>
        <v>757279.936058666</v>
      </c>
      <c r="R76" s="107" t="n">
        <f aca="false">SUM(R64:R75)</f>
        <v>769251.987429333</v>
      </c>
      <c r="S76" s="107" t="n">
        <f aca="false">SUM(S64:S75)</f>
        <v>781224.0388</v>
      </c>
      <c r="T76" s="107" t="n">
        <f aca="false">SUM(T64:T75)</f>
        <v>772472.0068</v>
      </c>
      <c r="U76" s="107" t="n">
        <f aca="false">SUM(U64:U75)</f>
        <v>763719.9748</v>
      </c>
      <c r="V76" s="107" t="n">
        <f aca="false">SUM(V64:V75)</f>
        <v>754967.9428</v>
      </c>
      <c r="W76" s="107" t="n">
        <f aca="false">SUM(W64:W75)</f>
        <v>746215.9108</v>
      </c>
      <c r="X76" s="107" t="n">
        <f aca="false">SUM(X64:X75)</f>
        <v>0</v>
      </c>
    </row>
    <row r="77" customFormat="false" ht="18.75" hidden="false" customHeight="true" outlineLevel="0" collapsed="false">
      <c r="B77" s="104" t="s">
        <v>146</v>
      </c>
      <c r="C77" s="103"/>
      <c r="D77" s="102" t="n">
        <f aca="false">-D76*0.2</f>
        <v>-169646.853648</v>
      </c>
      <c r="E77" s="102" t="n">
        <f aca="false">-E76*0.2</f>
        <v>-114001.063922133</v>
      </c>
      <c r="F77" s="102" t="n">
        <f aca="false">-F76*0.2</f>
        <v>-116395.474196267</v>
      </c>
      <c r="G77" s="102" t="n">
        <f aca="false">-G76*0.2</f>
        <v>-118789.8844704</v>
      </c>
      <c r="H77" s="102" t="n">
        <f aca="false">-H76*0.2</f>
        <v>-121184.294744533</v>
      </c>
      <c r="I77" s="102" t="n">
        <f aca="false">-I76*0.2</f>
        <v>-123578.705018667</v>
      </c>
      <c r="J77" s="102" t="n">
        <f aca="false">-J76*0.2</f>
        <v>-125973.1152928</v>
      </c>
      <c r="K77" s="102" t="n">
        <f aca="false">-K76*0.2</f>
        <v>-128367.525566933</v>
      </c>
      <c r="L77" s="102" t="n">
        <f aca="false">-L76*0.2</f>
        <v>-130761.935841067</v>
      </c>
      <c r="M77" s="102" t="n">
        <f aca="false">-M76*0.2</f>
        <v>-133156.3461152</v>
      </c>
      <c r="N77" s="102" t="n">
        <f aca="false">-N76*0.2</f>
        <v>-144272.756389333</v>
      </c>
      <c r="O77" s="102" t="n">
        <f aca="false">-O76*0.2</f>
        <v>-146667.166663467</v>
      </c>
      <c r="P77" s="102" t="n">
        <f aca="false">-P76*0.2</f>
        <v>-149061.5769376</v>
      </c>
      <c r="Q77" s="102" t="n">
        <f aca="false">-Q76*0.2</f>
        <v>-151455.987211733</v>
      </c>
      <c r="R77" s="102" t="n">
        <f aca="false">-R76*0.2</f>
        <v>-153850.397485867</v>
      </c>
      <c r="S77" s="102" t="n">
        <f aca="false">-S76*0.2</f>
        <v>-156244.80776</v>
      </c>
      <c r="T77" s="102" t="n">
        <f aca="false">-T76*0.2</f>
        <v>-154494.40136</v>
      </c>
      <c r="U77" s="102" t="n">
        <f aca="false">-U76*0.2</f>
        <v>-152743.99496</v>
      </c>
      <c r="V77" s="102" t="n">
        <f aca="false">-V76*0.2</f>
        <v>-150993.58856</v>
      </c>
      <c r="W77" s="102" t="n">
        <f aca="false">-W76*0.2</f>
        <v>-149243.18216</v>
      </c>
      <c r="X77" s="102" t="n">
        <f aca="false">-X76*0.2</f>
        <v>-0</v>
      </c>
    </row>
    <row r="78" customFormat="false" ht="15.75" hidden="false" customHeight="true" outlineLevel="0" collapsed="false">
      <c r="B78" s="129" t="s">
        <v>153</v>
      </c>
      <c r="D78" s="102" t="n">
        <f aca="false">SUM(D76:D77)</f>
        <v>678587.414592</v>
      </c>
      <c r="E78" s="102" t="n">
        <f aca="false">SUM(E76:E77)</f>
        <v>456004.255688533</v>
      </c>
      <c r="F78" s="102" t="n">
        <f aca="false">SUM(F76:F77)</f>
        <v>465581.896785067</v>
      </c>
      <c r="G78" s="102" t="n">
        <f aca="false">SUM(G76:G77)</f>
        <v>475159.5378816</v>
      </c>
      <c r="H78" s="102" t="n">
        <f aca="false">SUM(H76:H77)</f>
        <v>484737.178978133</v>
      </c>
      <c r="I78" s="102" t="n">
        <f aca="false">SUM(I76:I77)</f>
        <v>494314.820074666</v>
      </c>
      <c r="J78" s="102" t="n">
        <f aca="false">SUM(J76:J77)</f>
        <v>503892.4611712</v>
      </c>
      <c r="K78" s="102" t="n">
        <f aca="false">SUM(K76:K77)</f>
        <v>513470.102267733</v>
      </c>
      <c r="L78" s="102" t="n">
        <f aca="false">SUM(L76:L77)</f>
        <v>523047.743364266</v>
      </c>
      <c r="M78" s="102" t="n">
        <f aca="false">SUM(M76:M77)</f>
        <v>532625.3844608</v>
      </c>
      <c r="N78" s="102" t="n">
        <f aca="false">SUM(N76:N77)</f>
        <v>577091.025557333</v>
      </c>
      <c r="O78" s="102" t="n">
        <f aca="false">SUM(O76:O77)</f>
        <v>586668.666653867</v>
      </c>
      <c r="P78" s="102" t="n">
        <f aca="false">SUM(P76:P77)</f>
        <v>596246.3077504</v>
      </c>
      <c r="Q78" s="102" t="n">
        <f aca="false">SUM(Q76:Q77)</f>
        <v>605823.948846933</v>
      </c>
      <c r="R78" s="102" t="n">
        <f aca="false">SUM(R76:R77)</f>
        <v>615401.589943467</v>
      </c>
      <c r="S78" s="102" t="n">
        <f aca="false">SUM(S76:S77)</f>
        <v>624979.23104</v>
      </c>
      <c r="T78" s="102" t="n">
        <f aca="false">SUM(T76:T77)</f>
        <v>617977.60544</v>
      </c>
      <c r="U78" s="102" t="n">
        <f aca="false">SUM(U76:U77)</f>
        <v>610975.97984</v>
      </c>
      <c r="V78" s="102" t="n">
        <f aca="false">SUM(V76:V77)</f>
        <v>603974.35424</v>
      </c>
      <c r="W78" s="102" t="n">
        <f aca="false">SUM(W76:W77)</f>
        <v>596972.72864</v>
      </c>
      <c r="X78" s="102" t="n">
        <f aca="false">SUM(X76:X77)</f>
        <v>0</v>
      </c>
    </row>
    <row r="79" customFormat="false" ht="18.75" hidden="false" customHeight="true" outlineLevel="0" collapsed="false">
      <c r="B79" s="111" t="s">
        <v>148</v>
      </c>
      <c r="C79" s="114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1"/>
    </row>
    <row r="80" customFormat="false" ht="18.75" hidden="false" customHeight="true" outlineLevel="0" collapsed="false">
      <c r="B80" s="132" t="s">
        <v>149</v>
      </c>
      <c r="C80" s="133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5"/>
    </row>
    <row r="81" customFormat="false" ht="18.75" hidden="false" customHeight="true" outlineLevel="0" collapsed="false">
      <c r="B81" s="120"/>
      <c r="C81" s="119"/>
      <c r="D81" s="119"/>
      <c r="E81" s="119"/>
      <c r="F81" s="120"/>
      <c r="G81" s="120"/>
      <c r="H81" s="120"/>
      <c r="I81" s="120"/>
      <c r="J81" s="120"/>
      <c r="K81" s="120"/>
      <c r="L81" s="120"/>
      <c r="M81" s="119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</row>
    <row r="82" customFormat="false" ht="18.75" hidden="false" customHeight="true" outlineLevel="0" collapsed="false">
      <c r="C82" s="136" t="s">
        <v>130</v>
      </c>
      <c r="D82" s="137" t="n">
        <f aca="false">D37</f>
        <v>2020</v>
      </c>
      <c r="E82" s="137" t="n">
        <f aca="false">E37</f>
        <v>2021</v>
      </c>
      <c r="F82" s="137" t="n">
        <f aca="false">F37</f>
        <v>2022</v>
      </c>
      <c r="G82" s="137" t="n">
        <f aca="false">G37</f>
        <v>2023</v>
      </c>
      <c r="H82" s="137" t="n">
        <f aca="false">H37</f>
        <v>2024</v>
      </c>
      <c r="I82" s="137" t="n">
        <f aca="false">I37</f>
        <v>2025</v>
      </c>
      <c r="J82" s="137" t="n">
        <f aca="false">J37</f>
        <v>2026</v>
      </c>
      <c r="K82" s="137" t="n">
        <f aca="false">K37</f>
        <v>2027</v>
      </c>
      <c r="L82" s="137" t="n">
        <f aca="false">L37</f>
        <v>2028</v>
      </c>
      <c r="M82" s="137" t="n">
        <f aca="false">M37</f>
        <v>2029</v>
      </c>
      <c r="N82" s="137" t="n">
        <f aca="false">N37</f>
        <v>2030</v>
      </c>
      <c r="O82" s="137" t="n">
        <f aca="false">O37</f>
        <v>2031</v>
      </c>
      <c r="P82" s="137" t="n">
        <f aca="false">P37</f>
        <v>2032</v>
      </c>
      <c r="Q82" s="137" t="n">
        <f aca="false">Q37</f>
        <v>2033</v>
      </c>
      <c r="R82" s="137" t="n">
        <f aca="false">R37</f>
        <v>2034</v>
      </c>
      <c r="S82" s="137" t="n">
        <f aca="false">S37</f>
        <v>2035</v>
      </c>
      <c r="T82" s="137" t="n">
        <f aca="false">T37</f>
        <v>2036</v>
      </c>
      <c r="U82" s="137" t="n">
        <f aca="false">U37</f>
        <v>2037</v>
      </c>
      <c r="V82" s="137" t="n">
        <f aca="false">V37</f>
        <v>2038</v>
      </c>
      <c r="W82" s="137" t="n">
        <f aca="false">W37</f>
        <v>2039</v>
      </c>
      <c r="X82" s="12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138" t="s">
        <v>131</v>
      </c>
      <c r="C84" s="138" t="n">
        <v>0</v>
      </c>
      <c r="D84" s="138" t="n">
        <v>1</v>
      </c>
      <c r="E84" s="138" t="n">
        <v>2</v>
      </c>
      <c r="F84" s="138" t="n">
        <v>3</v>
      </c>
      <c r="G84" s="138" t="n">
        <v>4</v>
      </c>
      <c r="H84" s="138" t="n">
        <v>5</v>
      </c>
      <c r="I84" s="138" t="n">
        <v>6</v>
      </c>
      <c r="J84" s="138" t="n">
        <v>7</v>
      </c>
      <c r="K84" s="138" t="n">
        <v>8</v>
      </c>
      <c r="L84" s="138" t="n">
        <v>9</v>
      </c>
      <c r="M84" s="138" t="n">
        <v>10</v>
      </c>
      <c r="N84" s="138" t="n">
        <v>11</v>
      </c>
      <c r="O84" s="138" t="n">
        <v>12</v>
      </c>
      <c r="P84" s="138" t="n">
        <v>13</v>
      </c>
      <c r="Q84" s="138" t="n">
        <v>14</v>
      </c>
      <c r="R84" s="138" t="n">
        <v>15</v>
      </c>
      <c r="S84" s="138" t="n">
        <v>16</v>
      </c>
      <c r="T84" s="138" t="n">
        <v>17</v>
      </c>
      <c r="U84" s="138" t="n">
        <v>18</v>
      </c>
      <c r="V84" s="138" t="n">
        <v>19</v>
      </c>
      <c r="W84" s="138" t="n">
        <v>20</v>
      </c>
      <c r="X84" s="139"/>
    </row>
    <row r="85" customFormat="false" ht="18.75" hidden="false" customHeight="true" outlineLevel="0" collapsed="false">
      <c r="B85" s="140" t="s">
        <v>153</v>
      </c>
      <c r="C85" s="140"/>
      <c r="D85" s="141" t="n">
        <f aca="false">D78</f>
        <v>678587.414592</v>
      </c>
      <c r="E85" s="141" t="n">
        <f aca="false">E78</f>
        <v>456004.255688533</v>
      </c>
      <c r="F85" s="141" t="n">
        <f aca="false">F78</f>
        <v>465581.896785067</v>
      </c>
      <c r="G85" s="141" t="n">
        <f aca="false">G78</f>
        <v>475159.5378816</v>
      </c>
      <c r="H85" s="141" t="n">
        <f aca="false">H78</f>
        <v>484737.178978133</v>
      </c>
      <c r="I85" s="141" t="n">
        <f aca="false">I78</f>
        <v>494314.820074666</v>
      </c>
      <c r="J85" s="141" t="n">
        <f aca="false">J78</f>
        <v>503892.4611712</v>
      </c>
      <c r="K85" s="141" t="n">
        <f aca="false">K78</f>
        <v>513470.102267733</v>
      </c>
      <c r="L85" s="141" t="n">
        <f aca="false">L78</f>
        <v>523047.743364266</v>
      </c>
      <c r="M85" s="141" t="n">
        <f aca="false">M78</f>
        <v>532625.3844608</v>
      </c>
      <c r="N85" s="141" t="n">
        <f aca="false">N78</f>
        <v>577091.025557333</v>
      </c>
      <c r="O85" s="141" t="n">
        <f aca="false">O78</f>
        <v>586668.666653867</v>
      </c>
      <c r="P85" s="141" t="n">
        <f aca="false">P78</f>
        <v>596246.3077504</v>
      </c>
      <c r="Q85" s="141" t="n">
        <f aca="false">Q78</f>
        <v>605823.948846933</v>
      </c>
      <c r="R85" s="141" t="n">
        <f aca="false">R78</f>
        <v>615401.589943467</v>
      </c>
      <c r="S85" s="141" t="n">
        <f aca="false">S78</f>
        <v>624979.23104</v>
      </c>
      <c r="T85" s="141" t="n">
        <f aca="false">T78</f>
        <v>617977.60544</v>
      </c>
      <c r="U85" s="141" t="n">
        <f aca="false">U78</f>
        <v>610975.97984</v>
      </c>
      <c r="V85" s="141" t="n">
        <f aca="false">V78</f>
        <v>603974.35424</v>
      </c>
      <c r="W85" s="141" t="n">
        <f aca="false">W78</f>
        <v>596972.72864</v>
      </c>
      <c r="X85" s="140"/>
      <c r="Y85" s="140"/>
    </row>
    <row r="86" customFormat="false" ht="15.75" hidden="false" customHeight="true" outlineLevel="0" collapsed="false">
      <c r="B86" s="140" t="s">
        <v>154</v>
      </c>
      <c r="C86" s="140"/>
      <c r="D86" s="142" t="n">
        <f aca="false">-D67</f>
        <v>758938.6</v>
      </c>
      <c r="E86" s="142" t="n">
        <f aca="false">-E67</f>
        <v>758938.6</v>
      </c>
      <c r="F86" s="142" t="n">
        <f aca="false">-F67</f>
        <v>758938.6</v>
      </c>
      <c r="G86" s="142" t="n">
        <f aca="false">-G67</f>
        <v>758938.6</v>
      </c>
      <c r="H86" s="142" t="n">
        <f aca="false">-H67</f>
        <v>758938.6</v>
      </c>
      <c r="I86" s="142" t="n">
        <f aca="false">-I67</f>
        <v>758938.6</v>
      </c>
      <c r="J86" s="142" t="n">
        <f aca="false">-J67</f>
        <v>758938.6</v>
      </c>
      <c r="K86" s="142" t="n">
        <f aca="false">-K67</f>
        <v>758938.6</v>
      </c>
      <c r="L86" s="142" t="n">
        <f aca="false">-L67</f>
        <v>758938.6</v>
      </c>
      <c r="M86" s="142" t="n">
        <f aca="false">-M67</f>
        <v>758938.6</v>
      </c>
      <c r="N86" s="142" t="n">
        <f aca="false">-N67</f>
        <v>758938.6</v>
      </c>
      <c r="O86" s="142" t="n">
        <f aca="false">-O67</f>
        <v>758938.6</v>
      </c>
      <c r="P86" s="142" t="n">
        <f aca="false">-P67</f>
        <v>758938.6</v>
      </c>
      <c r="Q86" s="142" t="n">
        <f aca="false">-Q67</f>
        <v>758938.6</v>
      </c>
      <c r="R86" s="142" t="n">
        <f aca="false">-R67</f>
        <v>758938.6</v>
      </c>
      <c r="S86" s="142" t="n">
        <f aca="false">-S67</f>
        <v>758938.6</v>
      </c>
      <c r="T86" s="142" t="n">
        <f aca="false">-T67</f>
        <v>758938.6</v>
      </c>
      <c r="U86" s="142" t="n">
        <f aca="false">-U67</f>
        <v>758938.6</v>
      </c>
      <c r="V86" s="142" t="n">
        <f aca="false">-V67</f>
        <v>758938.6</v>
      </c>
      <c r="W86" s="142" t="n">
        <f aca="false">-W67</f>
        <v>758938.6</v>
      </c>
      <c r="X86" s="143"/>
      <c r="Y86" s="143"/>
    </row>
    <row r="87" customFormat="false" ht="15.75" hidden="false" customHeight="true" outlineLevel="0" collapsed="false">
      <c r="B87" s="140" t="s">
        <v>155</v>
      </c>
      <c r="C87" s="140"/>
      <c r="D87" s="144" t="n">
        <f aca="false">SUM(D85:D86)</f>
        <v>1437526.014592</v>
      </c>
      <c r="E87" s="144" t="n">
        <f aca="false">SUM(E85:E86)</f>
        <v>1214942.85568853</v>
      </c>
      <c r="F87" s="144" t="n">
        <f aca="false">SUM(F85:F86)</f>
        <v>1224520.49678507</v>
      </c>
      <c r="G87" s="144" t="n">
        <f aca="false">SUM(G85:G86)</f>
        <v>1234098.1378816</v>
      </c>
      <c r="H87" s="144" t="n">
        <f aca="false">SUM(H85:H86)</f>
        <v>1243675.77897813</v>
      </c>
      <c r="I87" s="144" t="n">
        <f aca="false">SUM(I85:I86)</f>
        <v>1253253.42007467</v>
      </c>
      <c r="J87" s="144" t="n">
        <f aca="false">SUM(J85:J86)</f>
        <v>1262831.0611712</v>
      </c>
      <c r="K87" s="144" t="n">
        <f aca="false">SUM(K85:K86)</f>
        <v>1272408.70226773</v>
      </c>
      <c r="L87" s="144" t="n">
        <f aca="false">SUM(L85:L86)</f>
        <v>1281986.34336427</v>
      </c>
      <c r="M87" s="144" t="n">
        <f aca="false">SUM(M85:M86)</f>
        <v>1291563.9844608</v>
      </c>
      <c r="N87" s="144" t="n">
        <f aca="false">SUM(N85:N86)</f>
        <v>1336029.62555733</v>
      </c>
      <c r="O87" s="144" t="n">
        <f aca="false">SUM(O85:O86)</f>
        <v>1345607.26665387</v>
      </c>
      <c r="P87" s="144" t="n">
        <f aca="false">SUM(P85:P86)</f>
        <v>1355184.9077504</v>
      </c>
      <c r="Q87" s="144" t="n">
        <f aca="false">SUM(Q85:Q86)</f>
        <v>1364762.54884693</v>
      </c>
      <c r="R87" s="144" t="n">
        <f aca="false">SUM(R85:R86)</f>
        <v>1374340.18994347</v>
      </c>
      <c r="S87" s="144" t="n">
        <f aca="false">SUM(S85:S86)</f>
        <v>1383917.83104</v>
      </c>
      <c r="T87" s="144" t="n">
        <f aca="false">SUM(T85:T86)</f>
        <v>1376916.20544</v>
      </c>
      <c r="U87" s="144" t="n">
        <f aca="false">SUM(U85:U86)</f>
        <v>1369914.57984</v>
      </c>
      <c r="V87" s="144" t="n">
        <f aca="false">SUM(V85:V86)</f>
        <v>1362912.95424</v>
      </c>
      <c r="W87" s="144" t="n">
        <f aca="false">SUM(W85:W86)</f>
        <v>1355911.32864</v>
      </c>
      <c r="X87" s="110"/>
    </row>
    <row r="88" customFormat="false" ht="15.75" hidden="false" customHeight="true" outlineLevel="0" collapsed="false">
      <c r="B88" s="140"/>
      <c r="C88" s="140"/>
      <c r="D88" s="140"/>
      <c r="E88" s="140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9"/>
    </row>
    <row r="89" customFormat="false" ht="15.75" hidden="false" customHeight="true" outlineLevel="0" collapsed="false">
      <c r="B89" s="146" t="s">
        <v>156</v>
      </c>
      <c r="C89" s="147"/>
      <c r="D89" s="148" t="n">
        <f aca="false">C44</f>
        <v>-15178772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9"/>
    </row>
    <row r="90" customFormat="false" ht="15.75" hidden="false" customHeight="true" outlineLevel="0" collapsed="false">
      <c r="B90" s="140"/>
      <c r="C90" s="140"/>
      <c r="D90" s="140"/>
      <c r="E90" s="140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9"/>
    </row>
    <row r="91" customFormat="false" ht="15.75" hidden="false" customHeight="true" outlineLevel="0" collapsed="false">
      <c r="B91" s="140"/>
      <c r="C91" s="140"/>
      <c r="D91" s="140"/>
      <c r="E91" s="140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9"/>
    </row>
    <row r="92" customFormat="false" ht="15.75" hidden="false" customHeight="true" outlineLevel="0" collapsed="false">
      <c r="B92" s="146" t="s">
        <v>157</v>
      </c>
      <c r="C92" s="147"/>
      <c r="D92" s="148" t="n">
        <f aca="false">-D89*D31</f>
        <v>12143017.6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09"/>
    </row>
    <row r="93" customFormat="false" ht="15.75" hidden="false" customHeight="true" outlineLevel="0" collapsed="false">
      <c r="B93" s="140" t="s">
        <v>158</v>
      </c>
      <c r="C93" s="140"/>
      <c r="D93" s="150"/>
      <c r="E93" s="150" t="n">
        <v>-809534.506666667</v>
      </c>
      <c r="F93" s="150" t="n">
        <v>-809534.506666667</v>
      </c>
      <c r="G93" s="150" t="n">
        <v>-809534.506666667</v>
      </c>
      <c r="H93" s="150" t="n">
        <v>-809534.506666667</v>
      </c>
      <c r="I93" s="150" t="n">
        <v>-809534.506666667</v>
      </c>
      <c r="J93" s="150" t="n">
        <v>-809534.506666667</v>
      </c>
      <c r="K93" s="150" t="n">
        <v>-809534.506666667</v>
      </c>
      <c r="L93" s="150" t="n">
        <v>-809534.506666667</v>
      </c>
      <c r="M93" s="150" t="n">
        <v>-809534.506666667</v>
      </c>
      <c r="N93" s="150" t="n">
        <v>-809534.506666667</v>
      </c>
      <c r="O93" s="150" t="n">
        <v>-809534.506666667</v>
      </c>
      <c r="P93" s="150" t="n">
        <v>-809534.506666667</v>
      </c>
      <c r="Q93" s="150" t="n">
        <v>-809534.506666667</v>
      </c>
      <c r="R93" s="150" t="n">
        <v>-809534.506666667</v>
      </c>
      <c r="S93" s="150" t="n">
        <v>-809534.506666667</v>
      </c>
      <c r="T93" s="150" t="n">
        <v>0</v>
      </c>
      <c r="U93" s="150" t="n">
        <v>0</v>
      </c>
      <c r="V93" s="150" t="n">
        <v>0</v>
      </c>
      <c r="W93" s="150" t="n">
        <v>0</v>
      </c>
      <c r="X93" s="149"/>
    </row>
    <row r="94" customFormat="false" ht="15.75" hidden="false" customHeight="true" outlineLevel="0" collapsed="false">
      <c r="B94" s="140" t="s">
        <v>159</v>
      </c>
      <c r="C94" s="145"/>
      <c r="D94" s="141" t="n">
        <f aca="false">-D89*(1-D31)</f>
        <v>3035754.4</v>
      </c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10"/>
    </row>
    <row r="95" customFormat="false" ht="15.75" hidden="false" customHeight="true" outlineLevel="0" collapsed="false">
      <c r="B95" s="140" t="s">
        <v>67</v>
      </c>
      <c r="C95" s="145"/>
      <c r="D95" s="145"/>
      <c r="E95" s="151" t="n">
        <f aca="false">-D85*$D$33</f>
        <v>-610728.6731328</v>
      </c>
      <c r="F95" s="151" t="n">
        <f aca="false">-E85*$D$33</f>
        <v>-410403.83011968</v>
      </c>
      <c r="G95" s="151" t="n">
        <f aca="false">-F85*$D$33</f>
        <v>-419023.70710656</v>
      </c>
      <c r="H95" s="151" t="n">
        <f aca="false">-G85*$D$33</f>
        <v>-427643.58409344</v>
      </c>
      <c r="I95" s="151" t="n">
        <f aca="false">-H85*$D$33</f>
        <v>-436263.46108032</v>
      </c>
      <c r="J95" s="151" t="n">
        <f aca="false">-I85*$D$33</f>
        <v>-444883.3380672</v>
      </c>
      <c r="K95" s="151" t="n">
        <f aca="false">-J85*$D$33</f>
        <v>-453503.21505408</v>
      </c>
      <c r="L95" s="151" t="n">
        <f aca="false">-K85*$D$33</f>
        <v>-462123.09204096</v>
      </c>
      <c r="M95" s="151" t="n">
        <f aca="false">-L85*$D$33</f>
        <v>-470742.96902784</v>
      </c>
      <c r="N95" s="151" t="n">
        <f aca="false">-M85*$D$33</f>
        <v>-479362.84601472</v>
      </c>
      <c r="O95" s="151" t="n">
        <f aca="false">-N85*$D$33</f>
        <v>-519381.9230016</v>
      </c>
      <c r="P95" s="151" t="n">
        <f aca="false">-O85*$D$33</f>
        <v>-528001.79998848</v>
      </c>
      <c r="Q95" s="151" t="n">
        <f aca="false">-P85*$D$33</f>
        <v>-536621.67697536</v>
      </c>
      <c r="R95" s="151" t="n">
        <f aca="false">-Q85*$D$33</f>
        <v>-545241.55396224</v>
      </c>
      <c r="S95" s="151" t="n">
        <f aca="false">-R85*$D$33</f>
        <v>-553861.43094912</v>
      </c>
      <c r="T95" s="151" t="n">
        <f aca="false">-S85*$D$33</f>
        <v>-562481.307936</v>
      </c>
      <c r="U95" s="151" t="n">
        <f aca="false">-T85*$D$33</f>
        <v>-556179.844896</v>
      </c>
      <c r="V95" s="151" t="n">
        <f aca="false">-U85*$D$33</f>
        <v>-549878.381856</v>
      </c>
      <c r="W95" s="151" t="n">
        <f aca="false">-V85*$D$33</f>
        <v>-543576.918816</v>
      </c>
      <c r="X95" s="151" t="n">
        <f aca="false">-W85*$D$33</f>
        <v>-537275.455776</v>
      </c>
    </row>
    <row r="96" customFormat="false" ht="15.75" hidden="false" customHeight="true" outlineLevel="0" collapsed="false">
      <c r="B96" s="152" t="s">
        <v>70</v>
      </c>
      <c r="C96" s="153"/>
      <c r="D96" s="153" t="n">
        <v>0</v>
      </c>
      <c r="E96" s="154" t="n">
        <v>0</v>
      </c>
      <c r="F96" s="154" t="n">
        <v>0</v>
      </c>
      <c r="G96" s="154" t="n">
        <v>0</v>
      </c>
      <c r="H96" s="154" t="n">
        <v>0</v>
      </c>
      <c r="I96" s="154" t="n">
        <v>0</v>
      </c>
      <c r="J96" s="154" t="n">
        <v>0</v>
      </c>
      <c r="K96" s="154" t="n">
        <v>0</v>
      </c>
      <c r="L96" s="154" t="n">
        <v>0</v>
      </c>
      <c r="M96" s="154" t="n">
        <v>0</v>
      </c>
      <c r="N96" s="154" t="n">
        <v>0</v>
      </c>
      <c r="O96" s="154" t="n">
        <v>0</v>
      </c>
      <c r="P96" s="154" t="n">
        <v>0</v>
      </c>
      <c r="Q96" s="154" t="n">
        <v>0</v>
      </c>
      <c r="R96" s="154" t="n">
        <v>0</v>
      </c>
      <c r="S96" s="154" t="n">
        <v>0</v>
      </c>
      <c r="T96" s="154" t="n">
        <v>-758938.6</v>
      </c>
      <c r="U96" s="154" t="n">
        <v>-758938.6</v>
      </c>
      <c r="V96" s="154" t="n">
        <v>-758938.6</v>
      </c>
      <c r="W96" s="154" t="n">
        <v>-758938.6</v>
      </c>
      <c r="X96" s="155" t="n">
        <f aca="false">-W101-X95</f>
        <v>-1116353.2233216</v>
      </c>
    </row>
    <row r="97" customFormat="false" ht="15.75" hidden="false" customHeight="true" outlineLevel="0" collapsed="false"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10"/>
    </row>
    <row r="98" customFormat="false" ht="15.75" hidden="false" customHeight="true" outlineLevel="0" collapsed="false"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10"/>
    </row>
    <row r="99" customFormat="false" ht="15.75" hidden="false" customHeight="true" outlineLevel="0" collapsed="false">
      <c r="B99" s="140" t="s">
        <v>160</v>
      </c>
      <c r="C99" s="141" t="n">
        <v>0</v>
      </c>
      <c r="D99" s="141" t="n">
        <f aca="false">SUM(D87:D96)</f>
        <v>1437526.014592</v>
      </c>
      <c r="E99" s="141" t="n">
        <f aca="false">SUM(E87:E96)</f>
        <v>-205320.324110934</v>
      </c>
      <c r="F99" s="141" t="n">
        <f aca="false">SUM(F87:F96)</f>
        <v>4582.15999872034</v>
      </c>
      <c r="G99" s="141" t="n">
        <f aca="false">SUM(G87:G96)</f>
        <v>5539.92410837312</v>
      </c>
      <c r="H99" s="141" t="n">
        <f aca="false">SUM(H87:H96)</f>
        <v>6497.68821802654</v>
      </c>
      <c r="I99" s="141" t="n">
        <f aca="false">SUM(I87:I96)</f>
        <v>7455.45232767984</v>
      </c>
      <c r="J99" s="141" t="n">
        <f aca="false">SUM(J87:J96)</f>
        <v>8413.21643733373</v>
      </c>
      <c r="K99" s="141" t="n">
        <f aca="false">SUM(K87:K96)</f>
        <v>9370.98054698651</v>
      </c>
      <c r="L99" s="141" t="n">
        <f aca="false">SUM(L87:L96)</f>
        <v>10328.7446566399</v>
      </c>
      <c r="M99" s="141" t="n">
        <f aca="false">SUM(M87:M96)</f>
        <v>11286.5087662935</v>
      </c>
      <c r="N99" s="141" t="n">
        <f aca="false">SUM(N87:N96)</f>
        <v>47132.2728759467</v>
      </c>
      <c r="O99" s="141" t="n">
        <f aca="false">SUM(O87:O96)</f>
        <v>16690.8369856001</v>
      </c>
      <c r="P99" s="141" t="n">
        <f aca="false">SUM(P87:P96)</f>
        <v>17648.6010952531</v>
      </c>
      <c r="Q99" s="141" t="n">
        <f aca="false">SUM(Q87:Q96)</f>
        <v>18606.3652049068</v>
      </c>
      <c r="R99" s="141" t="n">
        <f aca="false">SUM(R87:R96)</f>
        <v>19564.12931456</v>
      </c>
      <c r="S99" s="141" t="n">
        <f aca="false">SUM(S87:S96)</f>
        <v>20521.8934242133</v>
      </c>
      <c r="T99" s="141" t="n">
        <f aca="false">SUM(T87:T96)</f>
        <v>55496.2975039999</v>
      </c>
      <c r="U99" s="141" t="n">
        <f aca="false">SUM(U87:U96)</f>
        <v>54796.1349440001</v>
      </c>
      <c r="V99" s="141" t="n">
        <f aca="false">SUM(V87:V96)</f>
        <v>54095.9723840001</v>
      </c>
      <c r="W99" s="141" t="n">
        <f aca="false">SUM(W87:W96)</f>
        <v>53395.8098240002</v>
      </c>
      <c r="X99" s="110"/>
    </row>
    <row r="100" customFormat="false" ht="15.75" hidden="false" customHeight="true" outlineLevel="0" collapsed="false">
      <c r="B100" s="140" t="s">
        <v>161</v>
      </c>
      <c r="C100" s="141" t="n">
        <v>0</v>
      </c>
      <c r="D100" s="141" t="n">
        <f aca="false">C101</f>
        <v>0</v>
      </c>
      <c r="E100" s="141" t="n">
        <f aca="false">D101</f>
        <v>1437526.014592</v>
      </c>
      <c r="F100" s="141" t="n">
        <f aca="false">E101</f>
        <v>1232205.69048107</v>
      </c>
      <c r="G100" s="141" t="n">
        <f aca="false">F101</f>
        <v>1236787.85047979</v>
      </c>
      <c r="H100" s="141" t="n">
        <f aca="false">G101</f>
        <v>1242327.77458816</v>
      </c>
      <c r="I100" s="141" t="n">
        <f aca="false">H101</f>
        <v>1248825.46280619</v>
      </c>
      <c r="J100" s="141" t="n">
        <f aca="false">I101</f>
        <v>1256280.91513387</v>
      </c>
      <c r="K100" s="141" t="n">
        <f aca="false">J101</f>
        <v>1264694.1315712</v>
      </c>
      <c r="L100" s="141" t="n">
        <f aca="false">K101</f>
        <v>1274065.11211819</v>
      </c>
      <c r="M100" s="141" t="n">
        <f aca="false">L101</f>
        <v>1284393.85677483</v>
      </c>
      <c r="N100" s="141" t="n">
        <f aca="false">M101</f>
        <v>1295680.36554112</v>
      </c>
      <c r="O100" s="141" t="n">
        <f aca="false">N101</f>
        <v>1342812.63841707</v>
      </c>
      <c r="P100" s="141" t="n">
        <f aca="false">O101</f>
        <v>1359503.47540267</v>
      </c>
      <c r="Q100" s="141" t="n">
        <f aca="false">P101</f>
        <v>1377152.07649792</v>
      </c>
      <c r="R100" s="141" t="n">
        <f aca="false">Q101</f>
        <v>1395758.44170283</v>
      </c>
      <c r="S100" s="141" t="n">
        <f aca="false">R101</f>
        <v>1415322.57101739</v>
      </c>
      <c r="T100" s="141" t="n">
        <f aca="false">S101</f>
        <v>1435844.4644416</v>
      </c>
      <c r="U100" s="141" t="n">
        <f aca="false">T101</f>
        <v>1491340.7619456</v>
      </c>
      <c r="V100" s="141" t="n">
        <f aca="false">U101</f>
        <v>1546136.8968896</v>
      </c>
      <c r="W100" s="141" t="n">
        <f aca="false">V101</f>
        <v>1600232.8692736</v>
      </c>
      <c r="X100" s="109"/>
    </row>
    <row r="101" customFormat="false" ht="15.75" hidden="false" customHeight="true" outlineLevel="0" collapsed="false">
      <c r="B101" s="140" t="s">
        <v>162</v>
      </c>
      <c r="C101" s="141" t="n">
        <v>0</v>
      </c>
      <c r="D101" s="141" t="n">
        <f aca="false">D99+D100</f>
        <v>1437526.014592</v>
      </c>
      <c r="E101" s="141" t="n">
        <f aca="false">E99+E100</f>
        <v>1232205.69048107</v>
      </c>
      <c r="F101" s="141" t="n">
        <f aca="false">F99+F100</f>
        <v>1236787.85047979</v>
      </c>
      <c r="G101" s="141" t="n">
        <f aca="false">G99+G100</f>
        <v>1242327.77458816</v>
      </c>
      <c r="H101" s="141" t="n">
        <f aca="false">H99+H100</f>
        <v>1248825.46280619</v>
      </c>
      <c r="I101" s="141" t="n">
        <f aca="false">I99+I100</f>
        <v>1256280.91513387</v>
      </c>
      <c r="J101" s="141" t="n">
        <f aca="false">J99+J100</f>
        <v>1264694.1315712</v>
      </c>
      <c r="K101" s="141" t="n">
        <f aca="false">K99+K100</f>
        <v>1274065.11211819</v>
      </c>
      <c r="L101" s="141" t="n">
        <f aca="false">L99+L100</f>
        <v>1284393.85677483</v>
      </c>
      <c r="M101" s="141" t="n">
        <f aca="false">M99+M100</f>
        <v>1295680.36554112</v>
      </c>
      <c r="N101" s="141" t="n">
        <f aca="false">N99+N100</f>
        <v>1342812.63841707</v>
      </c>
      <c r="O101" s="141" t="n">
        <f aca="false">O99+O100</f>
        <v>1359503.47540267</v>
      </c>
      <c r="P101" s="141" t="n">
        <f aca="false">P99+P100</f>
        <v>1377152.07649792</v>
      </c>
      <c r="Q101" s="141" t="n">
        <f aca="false">Q99+Q100</f>
        <v>1395758.44170283</v>
      </c>
      <c r="R101" s="141" t="n">
        <f aca="false">R99+R100</f>
        <v>1415322.57101739</v>
      </c>
      <c r="S101" s="141" t="n">
        <f aca="false">S99+S100</f>
        <v>1435844.4644416</v>
      </c>
      <c r="T101" s="141" t="n">
        <f aca="false">T99+T100</f>
        <v>1491340.7619456</v>
      </c>
      <c r="U101" s="141" t="n">
        <f aca="false">U99+U100</f>
        <v>1546136.8968896</v>
      </c>
      <c r="V101" s="141" t="n">
        <f aca="false">V99+V100</f>
        <v>1600232.8692736</v>
      </c>
      <c r="W101" s="141" t="n">
        <f aca="false">W99+W100</f>
        <v>1653628.6790976</v>
      </c>
      <c r="X101" s="109"/>
    </row>
    <row r="102" customFormat="false" ht="15.75" hidden="false" customHeight="true" outlineLevel="0" collapsed="false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</row>
    <row r="103" customFormat="false" ht="15.75" hidden="false" customHeight="true" outlineLevel="0" collapsed="false">
      <c r="B103" s="140"/>
      <c r="C103" s="140"/>
      <c r="D103" s="140"/>
      <c r="E103" s="140"/>
      <c r="F103" s="145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</row>
    <row r="104" customFormat="false" ht="15.75" hidden="false" customHeight="true" outlineLevel="0" collapsed="false">
      <c r="B104" s="156" t="s">
        <v>163</v>
      </c>
      <c r="C104" s="157"/>
      <c r="D104" s="158" t="n">
        <f aca="false">-D94</f>
        <v>-3035754.4</v>
      </c>
      <c r="E104" s="144" t="n">
        <f aca="false">-E95-E96</f>
        <v>610728.6731328</v>
      </c>
      <c r="F104" s="144" t="n">
        <f aca="false">-F95-F96</f>
        <v>410403.83011968</v>
      </c>
      <c r="G104" s="144" t="n">
        <f aca="false">-G95-G96</f>
        <v>419023.70710656</v>
      </c>
      <c r="H104" s="144" t="n">
        <f aca="false">-H95-H96</f>
        <v>427643.58409344</v>
      </c>
      <c r="I104" s="144" t="n">
        <f aca="false">-I95-I96</f>
        <v>436263.46108032</v>
      </c>
      <c r="J104" s="144" t="n">
        <f aca="false">-J95-J96</f>
        <v>444883.3380672</v>
      </c>
      <c r="K104" s="144" t="n">
        <f aca="false">-K95-K96</f>
        <v>453503.21505408</v>
      </c>
      <c r="L104" s="144" t="n">
        <f aca="false">-L95-L96</f>
        <v>462123.09204096</v>
      </c>
      <c r="M104" s="144" t="n">
        <f aca="false">-M95-M96</f>
        <v>470742.96902784</v>
      </c>
      <c r="N104" s="144" t="n">
        <f aca="false">-N95-N96</f>
        <v>479362.84601472</v>
      </c>
      <c r="O104" s="144" t="n">
        <f aca="false">-O95-O96</f>
        <v>519381.9230016</v>
      </c>
      <c r="P104" s="144" t="n">
        <f aca="false">-P95-P96</f>
        <v>528001.79998848</v>
      </c>
      <c r="Q104" s="144" t="n">
        <f aca="false">-Q95-Q96</f>
        <v>536621.67697536</v>
      </c>
      <c r="R104" s="144" t="n">
        <f aca="false">-R95-R96</f>
        <v>545241.55396224</v>
      </c>
      <c r="S104" s="144" t="n">
        <f aca="false">-S95-S96</f>
        <v>553861.43094912</v>
      </c>
      <c r="T104" s="144" t="n">
        <f aca="false">-T95-T96</f>
        <v>1321419.907936</v>
      </c>
      <c r="U104" s="144" t="n">
        <f aca="false">-U95-U96</f>
        <v>1315118.444896</v>
      </c>
      <c r="V104" s="144" t="n">
        <f aca="false">-V95-V96</f>
        <v>1308816.981856</v>
      </c>
      <c r="W104" s="144" t="n">
        <f aca="false">-W95-W96</f>
        <v>1302515.518816</v>
      </c>
      <c r="X104" s="144" t="n">
        <f aca="false">-X95-X96</f>
        <v>1653628.6790976</v>
      </c>
    </row>
    <row r="105" customFormat="false" ht="15.75" hidden="false" customHeight="true" outlineLevel="0" collapsed="false">
      <c r="B105" s="140" t="s">
        <v>75</v>
      </c>
      <c r="C105" s="159" t="n">
        <f aca="false">IRR(D104:X104)</f>
        <v>0.165303454910886</v>
      </c>
      <c r="D105" s="145"/>
      <c r="E105" s="145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</row>
    <row r="106" customFormat="false" ht="15.75" hidden="false" customHeight="true" outlineLevel="0" collapsed="false">
      <c r="B106" s="156" t="s">
        <v>164</v>
      </c>
      <c r="C106" s="157"/>
      <c r="D106" s="158" t="n">
        <f aca="false">D85-D94</f>
        <v>-2357166.985408</v>
      </c>
      <c r="E106" s="144" t="n">
        <f aca="false">E85</f>
        <v>456004.255688533</v>
      </c>
      <c r="F106" s="144" t="n">
        <f aca="false">F85-F96</f>
        <v>465581.896785067</v>
      </c>
      <c r="G106" s="144" t="n">
        <f aca="false">G85-G96</f>
        <v>475159.5378816</v>
      </c>
      <c r="H106" s="144" t="n">
        <f aca="false">H85-H96</f>
        <v>484737.178978133</v>
      </c>
      <c r="I106" s="144" t="n">
        <f aca="false">I85-I96</f>
        <v>494314.820074666</v>
      </c>
      <c r="J106" s="144" t="n">
        <f aca="false">J85-J96</f>
        <v>503892.4611712</v>
      </c>
      <c r="K106" s="144" t="n">
        <f aca="false">K85-K96</f>
        <v>513470.102267733</v>
      </c>
      <c r="L106" s="144" t="n">
        <f aca="false">L85-L96</f>
        <v>523047.743364266</v>
      </c>
      <c r="M106" s="144" t="n">
        <f aca="false">M85-M96</f>
        <v>532625.3844608</v>
      </c>
      <c r="N106" s="144" t="n">
        <f aca="false">N85-N96</f>
        <v>577091.025557333</v>
      </c>
      <c r="O106" s="144" t="n">
        <f aca="false">O85-O96</f>
        <v>586668.666653867</v>
      </c>
      <c r="P106" s="144" t="n">
        <f aca="false">P85-P96</f>
        <v>596246.3077504</v>
      </c>
      <c r="Q106" s="144" t="n">
        <f aca="false">Q85-Q96</f>
        <v>605823.948846933</v>
      </c>
      <c r="R106" s="144" t="n">
        <f aca="false">R85-R96</f>
        <v>615401.589943467</v>
      </c>
      <c r="S106" s="144" t="n">
        <f aca="false">S85-S96</f>
        <v>624979.23104</v>
      </c>
      <c r="T106" s="144" t="n">
        <f aca="false">T85-T96</f>
        <v>1376916.20544</v>
      </c>
      <c r="U106" s="144" t="n">
        <f aca="false">U85-U96</f>
        <v>1369914.57984</v>
      </c>
      <c r="V106" s="144" t="n">
        <f aca="false">V85-V96</f>
        <v>1362912.95424</v>
      </c>
      <c r="W106" s="144" t="n">
        <f aca="false">W85-W96</f>
        <v>1355911.32864</v>
      </c>
      <c r="X106" s="149"/>
    </row>
    <row r="107" customFormat="false" ht="15.75" hidden="false" customHeight="true" outlineLevel="0" collapsed="false">
      <c r="B107" s="156" t="s">
        <v>76</v>
      </c>
      <c r="C107" s="159" t="n">
        <f aca="false">IRR(D106:W106)</f>
        <v>0.216228112086259</v>
      </c>
      <c r="D107" s="145"/>
      <c r="E107" s="145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</row>
    <row r="108" customFormat="false" ht="15.75" hidden="false" customHeight="true" outlineLevel="0" collapsed="false"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</row>
    <row r="109" customFormat="false" ht="15.75" hidden="false" customHeight="true" outlineLevel="0" collapsed="false">
      <c r="B109" s="140" t="s">
        <v>165</v>
      </c>
      <c r="C109" s="141" t="n">
        <v>0</v>
      </c>
      <c r="D109" s="141" t="n">
        <f aca="false">D92</f>
        <v>12143017.6</v>
      </c>
      <c r="E109" s="141" t="n">
        <f aca="false">D109+E93</f>
        <v>11333483.0933333</v>
      </c>
      <c r="F109" s="141" t="n">
        <f aca="false">E109+F93</f>
        <v>10523948.5866667</v>
      </c>
      <c r="G109" s="141" t="n">
        <f aca="false">F109+G93</f>
        <v>9714414.08</v>
      </c>
      <c r="H109" s="141" t="n">
        <f aca="false">G109+H93</f>
        <v>8904879.57333334</v>
      </c>
      <c r="I109" s="141" t="n">
        <f aca="false">H109+I93</f>
        <v>8095345.06666667</v>
      </c>
      <c r="J109" s="141" t="n">
        <f aca="false">I109+J93</f>
        <v>7285810.56</v>
      </c>
      <c r="K109" s="141" t="n">
        <f aca="false">J109+K93</f>
        <v>6476276.05333334</v>
      </c>
      <c r="L109" s="141" t="n">
        <f aca="false">K109+L93</f>
        <v>5666741.54666667</v>
      </c>
      <c r="M109" s="141" t="n">
        <f aca="false">L109+M93</f>
        <v>4857207.04</v>
      </c>
      <c r="N109" s="141" t="n">
        <f aca="false">M109+N93</f>
        <v>4047672.53333334</v>
      </c>
      <c r="O109" s="141" t="n">
        <f aca="false">N109+O93</f>
        <v>3238138.02666667</v>
      </c>
      <c r="P109" s="141" t="n">
        <f aca="false">O109+P93</f>
        <v>2428603.52</v>
      </c>
      <c r="Q109" s="141" t="n">
        <f aca="false">P109+Q93</f>
        <v>1619069.01333334</v>
      </c>
      <c r="R109" s="141" t="n">
        <f aca="false">Q109+R93</f>
        <v>809534.50666667</v>
      </c>
      <c r="S109" s="141" t="n">
        <f aca="false">R109+S93</f>
        <v>3.02679836750031E-009</v>
      </c>
      <c r="T109" s="141" t="n">
        <f aca="false">S109+T93</f>
        <v>3.02679836750031E-009</v>
      </c>
      <c r="U109" s="141" t="n">
        <f aca="false">T109+U93</f>
        <v>3.02679836750031E-009</v>
      </c>
      <c r="V109" s="141" t="n">
        <f aca="false">U109+V93</f>
        <v>3.02679836750031E-009</v>
      </c>
      <c r="W109" s="141" t="n">
        <f aca="false">V109+W93</f>
        <v>3.02679836750031E-009</v>
      </c>
      <c r="X1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" t="s">
        <v>87</v>
      </c>
      <c r="C1" s="35"/>
      <c r="D1" s="35"/>
      <c r="E1" s="36"/>
      <c r="F1" s="2" t="s">
        <v>1</v>
      </c>
      <c r="P1" s="3" t="n">
        <f aca="false">1-D11</f>
        <v>0.99</v>
      </c>
      <c r="Q1" s="3" t="n">
        <f aca="false">P1-$D12</f>
        <v>0.986</v>
      </c>
      <c r="R1" s="3" t="n">
        <f aca="false">Q1-$D12</f>
        <v>0.982</v>
      </c>
      <c r="S1" s="3" t="n">
        <f aca="false">R1-$D12</f>
        <v>0.978</v>
      </c>
      <c r="T1" s="3" t="n">
        <f aca="false">S1-$D12</f>
        <v>0.974</v>
      </c>
      <c r="U1" s="3" t="n">
        <f aca="false">T1-$D12</f>
        <v>0.97</v>
      </c>
      <c r="V1" s="3" t="n">
        <f aca="false">U1-$D12</f>
        <v>0.966</v>
      </c>
      <c r="W1" s="3" t="n">
        <f aca="false">V1-$D12</f>
        <v>0.962</v>
      </c>
      <c r="X1" s="3" t="n">
        <f aca="false">W1-$D12</f>
        <v>0.958</v>
      </c>
      <c r="Y1" s="3" t="n">
        <f aca="false">X1-$D12</f>
        <v>0.954</v>
      </c>
      <c r="Z1" s="3" t="n">
        <f aca="false">Y1-$D12</f>
        <v>0.95</v>
      </c>
      <c r="AA1" s="3" t="n">
        <f aca="false">Z1-$D12</f>
        <v>0.946</v>
      </c>
      <c r="AB1" s="3" t="n">
        <f aca="false">AA1-$D12</f>
        <v>0.942</v>
      </c>
      <c r="AC1" s="3" t="n">
        <f aca="false">AB1-$D12</f>
        <v>0.938</v>
      </c>
      <c r="AD1" s="3" t="n">
        <f aca="false">AC1-$D12</f>
        <v>0.934</v>
      </c>
      <c r="AE1" s="3" t="n">
        <f aca="false">AD1-$D12</f>
        <v>0.93</v>
      </c>
      <c r="AF1" s="3" t="n">
        <f aca="false">AE1-$D12</f>
        <v>0.926</v>
      </c>
      <c r="AG1" s="3" t="n">
        <f aca="false">AF1-$D12</f>
        <v>0.922</v>
      </c>
      <c r="AH1" s="3" t="n">
        <f aca="false">AG1-$D12</f>
        <v>0.918</v>
      </c>
      <c r="AI1" s="3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6" t="s">
        <v>4</v>
      </c>
      <c r="E2" s="7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1" t="s">
        <v>4</v>
      </c>
      <c r="E3" s="12" t="s">
        <v>4</v>
      </c>
      <c r="F3" s="8" t="s">
        <v>88</v>
      </c>
    </row>
    <row r="4" customFormat="false" ht="21.75" hidden="false" customHeight="true" outlineLevel="0" collapsed="false">
      <c r="B4" s="40" t="s">
        <v>89</v>
      </c>
      <c r="C4" s="41" t="n">
        <v>436.1</v>
      </c>
      <c r="D4" s="11" t="s">
        <v>4</v>
      </c>
      <c r="E4" s="12" t="s">
        <v>4</v>
      </c>
      <c r="F4" s="8" t="s">
        <v>90</v>
      </c>
      <c r="M4" s="0" t="s">
        <v>186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8" t="s">
        <v>92</v>
      </c>
      <c r="M5" s="0" t="s">
        <v>187</v>
      </c>
    </row>
    <row r="6" customFormat="false" ht="20.25" hidden="false" customHeight="true" outlineLevel="0" collapsed="false">
      <c r="B6" s="13"/>
      <c r="C6" s="13"/>
      <c r="D6" s="13"/>
      <c r="E6" s="13"/>
      <c r="M6" s="0" t="s">
        <v>188</v>
      </c>
    </row>
    <row r="7" customFormat="false" ht="22.5" hidden="false" customHeight="true" outlineLevel="0" collapsed="false">
      <c r="B7" s="1" t="s">
        <v>95</v>
      </c>
      <c r="C7" s="35"/>
      <c r="D7" s="35"/>
      <c r="E7" s="36"/>
      <c r="M7" s="0" t="s">
        <v>189</v>
      </c>
    </row>
    <row r="8" customFormat="false" ht="22.5" hidden="false" customHeight="true" outlineLevel="0" collapsed="false">
      <c r="B8" s="15" t="s">
        <v>14</v>
      </c>
      <c r="E8" s="44"/>
      <c r="M8" s="0" t="s">
        <v>190</v>
      </c>
    </row>
    <row r="9" customFormat="false" ht="22.5" hidden="false" customHeight="true" outlineLevel="0" collapsed="false">
      <c r="B9" s="45" t="s">
        <v>15</v>
      </c>
      <c r="C9" s="46" t="s">
        <v>16</v>
      </c>
      <c r="D9" s="46" t="s">
        <v>17</v>
      </c>
      <c r="E9" s="47" t="s">
        <v>18</v>
      </c>
      <c r="F9" s="2" t="s">
        <v>1</v>
      </c>
      <c r="M9" s="0" t="s">
        <v>98</v>
      </c>
    </row>
    <row r="10" customFormat="false" ht="30" hidden="false" customHeight="true" outlineLevel="0" collapsed="false">
      <c r="B10" s="48" t="s">
        <v>19</v>
      </c>
      <c r="C10" s="49" t="s">
        <v>99</v>
      </c>
      <c r="D10" s="50" t="n">
        <v>547002</v>
      </c>
      <c r="E10" s="21" t="n">
        <v>20</v>
      </c>
      <c r="F10" s="8" t="s">
        <v>100</v>
      </c>
      <c r="M10" s="0" t="s">
        <v>86</v>
      </c>
    </row>
    <row r="11" customFormat="false" ht="30" hidden="false" customHeight="true" outlineLevel="0" collapsed="false">
      <c r="B11" s="51"/>
      <c r="C11" s="42" t="s">
        <v>22</v>
      </c>
      <c r="D11" s="52" t="n">
        <v>0.01</v>
      </c>
      <c r="E11" s="53"/>
      <c r="F11" s="8" t="s">
        <v>102</v>
      </c>
    </row>
    <row r="12" customFormat="false" ht="30" hidden="false" customHeight="true" outlineLevel="0" collapsed="false">
      <c r="B12" s="51"/>
      <c r="C12" s="42" t="s">
        <v>24</v>
      </c>
      <c r="D12" s="54" t="n">
        <v>0.004</v>
      </c>
      <c r="E12" s="53"/>
      <c r="F12" s="8" t="s">
        <v>103</v>
      </c>
    </row>
    <row r="13" customFormat="false" ht="22.5" hidden="false" customHeight="true" outlineLevel="0" collapsed="false">
      <c r="B13" s="51"/>
      <c r="C13" s="55" t="s">
        <v>104</v>
      </c>
      <c r="D13" s="56" t="n">
        <v>4</v>
      </c>
      <c r="E13" s="53"/>
      <c r="F13" s="8" t="s">
        <v>105</v>
      </c>
    </row>
    <row r="14" customFormat="false" ht="22.5" hidden="false" customHeight="true" outlineLevel="0" collapsed="false">
      <c r="B14" s="26" t="s">
        <v>106</v>
      </c>
      <c r="C14" s="35"/>
      <c r="D14" s="35"/>
      <c r="E14" s="36"/>
    </row>
    <row r="15" customFormat="false" ht="22.5" hidden="false" customHeight="true" outlineLevel="0" collapsed="false">
      <c r="B15" s="45" t="s">
        <v>15</v>
      </c>
      <c r="C15" s="46" t="s">
        <v>16</v>
      </c>
      <c r="D15" s="46" t="s">
        <v>17</v>
      </c>
      <c r="E15" s="47" t="s">
        <v>29</v>
      </c>
      <c r="F15" s="2" t="s">
        <v>1</v>
      </c>
    </row>
    <row r="16" customFormat="false" ht="21.75" hidden="false" customHeight="true" outlineLevel="0" collapsed="false">
      <c r="B16" s="49" t="s">
        <v>107</v>
      </c>
      <c r="C16" s="49" t="s">
        <v>108</v>
      </c>
      <c r="D16" s="57" t="n">
        <v>20667</v>
      </c>
      <c r="E16" s="7" t="n">
        <v>20</v>
      </c>
      <c r="F16" s="8" t="s">
        <v>109</v>
      </c>
    </row>
    <row r="17" customFormat="false" ht="21.75" hidden="false" customHeight="true" outlineLevel="0" collapsed="false">
      <c r="B17" s="51"/>
      <c r="C17" s="42" t="s">
        <v>110</v>
      </c>
      <c r="D17" s="58" t="n">
        <v>0.3</v>
      </c>
      <c r="E17" s="53"/>
      <c r="F17" s="8" t="s">
        <v>111</v>
      </c>
    </row>
    <row r="18" customFormat="false" ht="21.75" hidden="false" customHeight="true" outlineLevel="0" collapsed="false">
      <c r="B18" s="59"/>
      <c r="C18" s="42" t="s">
        <v>35</v>
      </c>
      <c r="D18" s="60" t="n">
        <v>2000</v>
      </c>
      <c r="E18" s="61"/>
      <c r="F18" s="8" t="s">
        <v>112</v>
      </c>
    </row>
    <row r="19" customFormat="false" ht="54" hidden="false" customHeight="true" outlineLevel="0" collapsed="false">
      <c r="B19" s="42" t="s">
        <v>37</v>
      </c>
      <c r="C19" s="62" t="s">
        <v>38</v>
      </c>
      <c r="D19" s="58" t="n">
        <v>1</v>
      </c>
      <c r="E19" s="7" t="n">
        <v>20</v>
      </c>
      <c r="F19" s="8" t="s">
        <v>113</v>
      </c>
    </row>
    <row r="20" customFormat="false" ht="20.25" hidden="false" customHeight="true" outlineLevel="0" collapsed="false">
      <c r="B20" s="51"/>
      <c r="C20" s="63" t="s">
        <v>114</v>
      </c>
      <c r="D20" s="60" t="n">
        <v>290201</v>
      </c>
      <c r="E20" s="7" t="n">
        <v>20</v>
      </c>
      <c r="F20" s="8" t="s">
        <v>115</v>
      </c>
    </row>
    <row r="21" customFormat="false" ht="30" hidden="false" customHeight="true" outlineLevel="0" collapsed="false">
      <c r="B21" s="59"/>
      <c r="C21" s="42" t="s">
        <v>116</v>
      </c>
      <c r="D21" s="58" t="n">
        <v>0</v>
      </c>
      <c r="E21" s="12" t="n">
        <v>20</v>
      </c>
      <c r="F21" s="8" t="s">
        <v>117</v>
      </c>
    </row>
    <row r="22" customFormat="false" ht="30" hidden="false" customHeight="true" outlineLevel="0" collapsed="false">
      <c r="B22" s="42" t="s">
        <v>44</v>
      </c>
      <c r="C22" s="42" t="s">
        <v>118</v>
      </c>
      <c r="D22" s="64" t="n">
        <v>400</v>
      </c>
      <c r="E22" s="12" t="n">
        <v>20</v>
      </c>
      <c r="F22" s="8" t="s">
        <v>119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8" t="n">
        <v>0.003</v>
      </c>
      <c r="E23" s="12" t="n">
        <v>20</v>
      </c>
      <c r="F23" s="8" t="s">
        <v>120</v>
      </c>
    </row>
    <row r="24" customFormat="false" ht="30" hidden="false" customHeight="true" outlineLevel="0" collapsed="false">
      <c r="B24" s="42" t="s">
        <v>50</v>
      </c>
      <c r="C24" s="42" t="s">
        <v>121</v>
      </c>
      <c r="D24" s="64" t="n">
        <v>1000</v>
      </c>
      <c r="E24" s="31" t="n">
        <v>10</v>
      </c>
      <c r="F24" s="8" t="s">
        <v>122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5" t="n">
        <v>0.0256</v>
      </c>
      <c r="E25" s="12" t="n">
        <v>20</v>
      </c>
      <c r="F25" s="8" t="s">
        <v>123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8" t="n">
        <v>0.2</v>
      </c>
      <c r="E26" s="12" t="n">
        <v>20</v>
      </c>
      <c r="F26" s="8" t="s">
        <v>124</v>
      </c>
    </row>
    <row r="27" customFormat="false" ht="20.25" hidden="false" customHeight="true" outlineLevel="0" collapsed="false">
      <c r="B27" s="13"/>
      <c r="C27" s="13"/>
      <c r="D27" s="13"/>
      <c r="E27" s="13"/>
    </row>
    <row r="28" customFormat="false" ht="20.25" hidden="false" customHeight="true" outlineLevel="0" collapsed="false">
      <c r="B28" s="13"/>
      <c r="C28" s="13"/>
      <c r="D28" s="13"/>
      <c r="E28" s="13"/>
    </row>
    <row r="29" customFormat="false" ht="22.5" hidden="false" customHeight="true" outlineLevel="0" collapsed="false">
      <c r="B29" s="1" t="s">
        <v>125</v>
      </c>
      <c r="C29" s="35"/>
      <c r="D29" s="36"/>
      <c r="E29" s="13"/>
    </row>
    <row r="30" customFormat="false" ht="22.5" hidden="false" customHeight="true" outlineLevel="0" collapsed="false">
      <c r="B30" s="45" t="s">
        <v>60</v>
      </c>
      <c r="C30" s="66" t="s">
        <v>16</v>
      </c>
      <c r="D30" s="67" t="s">
        <v>17</v>
      </c>
      <c r="E30" s="13"/>
      <c r="F30" s="2" t="s">
        <v>1</v>
      </c>
    </row>
    <row r="31" customFormat="false" ht="30" hidden="false" customHeight="true" outlineLevel="0" collapsed="false">
      <c r="B31" s="49" t="s">
        <v>61</v>
      </c>
      <c r="C31" s="37" t="s">
        <v>62</v>
      </c>
      <c r="D31" s="68" t="n">
        <v>0.8</v>
      </c>
      <c r="E31" s="13"/>
      <c r="F31" s="8" t="s">
        <v>126</v>
      </c>
    </row>
    <row r="32" customFormat="false" ht="18.75" hidden="false" customHeight="true" outlineLevel="0" collapsed="false">
      <c r="B32" s="49" t="s">
        <v>64</v>
      </c>
      <c r="C32" s="37" t="s">
        <v>65</v>
      </c>
      <c r="D32" s="68" t="n">
        <v>15</v>
      </c>
      <c r="E32" s="13"/>
      <c r="F32" s="8" t="s">
        <v>127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8" t="n">
        <v>0.9</v>
      </c>
      <c r="E33" s="13"/>
      <c r="F33" s="8" t="s">
        <v>128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8" t="n">
        <v>4</v>
      </c>
      <c r="E34" s="13"/>
      <c r="F34" s="8" t="s">
        <v>129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9"/>
      <c r="C37" s="70" t="s">
        <v>130</v>
      </c>
      <c r="D37" s="70" t="n">
        <v>2020</v>
      </c>
      <c r="E37" s="70" t="n">
        <v>2021</v>
      </c>
      <c r="F37" s="70" t="n">
        <v>2022</v>
      </c>
      <c r="G37" s="70" t="n">
        <v>2023</v>
      </c>
      <c r="H37" s="70" t="n">
        <v>2024</v>
      </c>
      <c r="I37" s="70" t="n">
        <v>2025</v>
      </c>
      <c r="J37" s="70" t="n">
        <v>2026</v>
      </c>
      <c r="K37" s="70" t="n">
        <v>2027</v>
      </c>
      <c r="L37" s="70" t="n">
        <v>2028</v>
      </c>
      <c r="M37" s="70" t="n">
        <v>2029</v>
      </c>
      <c r="N37" s="70" t="n">
        <v>2030</v>
      </c>
      <c r="O37" s="70" t="n">
        <v>2031</v>
      </c>
      <c r="P37" s="70" t="n">
        <v>2032</v>
      </c>
      <c r="Q37" s="70" t="n">
        <v>2033</v>
      </c>
      <c r="R37" s="70" t="n">
        <v>2034</v>
      </c>
      <c r="S37" s="70" t="n">
        <v>2035</v>
      </c>
      <c r="T37" s="70" t="n">
        <v>2036</v>
      </c>
      <c r="U37" s="70" t="n">
        <v>2037</v>
      </c>
      <c r="V37" s="70" t="n">
        <v>2038</v>
      </c>
      <c r="W37" s="70" t="n">
        <v>2039</v>
      </c>
      <c r="X37" s="70"/>
    </row>
    <row r="38" customFormat="false" ht="18.75" hidden="false" customHeight="true" outlineLevel="0" collapsed="false">
      <c r="B38" s="71" t="n">
        <v>0</v>
      </c>
      <c r="C38" s="72"/>
      <c r="D38" s="73"/>
      <c r="E38" s="73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5"/>
      <c r="V38" s="75"/>
      <c r="W38" s="75"/>
      <c r="X38" s="77"/>
    </row>
    <row r="39" customFormat="false" ht="18.75" hidden="false" customHeight="true" outlineLevel="0" collapsed="false">
      <c r="B39" s="78" t="s">
        <v>131</v>
      </c>
      <c r="C39" s="79" t="n">
        <v>0</v>
      </c>
      <c r="D39" s="80" t="n">
        <v>1</v>
      </c>
      <c r="E39" s="80" t="n">
        <v>2</v>
      </c>
      <c r="F39" s="80" t="n">
        <v>3</v>
      </c>
      <c r="G39" s="80" t="n">
        <v>4</v>
      </c>
      <c r="H39" s="80" t="n">
        <v>5</v>
      </c>
      <c r="I39" s="80" t="n">
        <v>6</v>
      </c>
      <c r="J39" s="80" t="n">
        <v>7</v>
      </c>
      <c r="K39" s="80" t="n">
        <v>8</v>
      </c>
      <c r="L39" s="80" t="n">
        <v>9</v>
      </c>
      <c r="M39" s="80" t="n">
        <v>10</v>
      </c>
      <c r="N39" s="80" t="n">
        <v>11</v>
      </c>
      <c r="O39" s="80" t="n">
        <v>12</v>
      </c>
      <c r="P39" s="80" t="n">
        <v>13</v>
      </c>
      <c r="Q39" s="80" t="n">
        <v>14</v>
      </c>
      <c r="R39" s="80" t="n">
        <v>15</v>
      </c>
      <c r="S39" s="80" t="n">
        <v>16</v>
      </c>
      <c r="T39" s="81" t="n">
        <v>17</v>
      </c>
      <c r="U39" s="80" t="n">
        <v>18</v>
      </c>
      <c r="V39" s="80" t="n">
        <v>19</v>
      </c>
      <c r="W39" s="80" t="n">
        <v>20</v>
      </c>
      <c r="X39" s="82"/>
    </row>
    <row r="40" customFormat="false" ht="18.75" hidden="false" customHeight="true" outlineLevel="0" collapsed="false">
      <c r="B40" s="83" t="s">
        <v>132</v>
      </c>
      <c r="C40" s="84" t="n">
        <v>0</v>
      </c>
      <c r="D40" s="85" t="n">
        <f aca="false">$D$10*P1</f>
        <v>541531.98</v>
      </c>
      <c r="E40" s="85" t="n">
        <f aca="false">$D$10*Q1</f>
        <v>539343.972</v>
      </c>
      <c r="F40" s="85" t="n">
        <f aca="false">$D$10*R1</f>
        <v>537155.964</v>
      </c>
      <c r="G40" s="85" t="n">
        <f aca="false">$D$10*S1</f>
        <v>534967.956</v>
      </c>
      <c r="H40" s="85" t="n">
        <f aca="false">$D$10*T1</f>
        <v>532779.948</v>
      </c>
      <c r="I40" s="85" t="n">
        <f aca="false">$D$10*U1</f>
        <v>530591.94</v>
      </c>
      <c r="J40" s="85" t="n">
        <f aca="false">$D$10*V1</f>
        <v>528403.932</v>
      </c>
      <c r="K40" s="85" t="n">
        <f aca="false">$D$10*W1</f>
        <v>526215.924</v>
      </c>
      <c r="L40" s="85" t="n">
        <f aca="false">$D$10*X1</f>
        <v>524027.916</v>
      </c>
      <c r="M40" s="85" t="n">
        <f aca="false">$D$10*Y1</f>
        <v>521839.908</v>
      </c>
      <c r="N40" s="85" t="n">
        <f aca="false">$D$10*Z1</f>
        <v>519651.9</v>
      </c>
      <c r="O40" s="85" t="n">
        <f aca="false">$D$10*AA1</f>
        <v>517463.892</v>
      </c>
      <c r="P40" s="85" t="n">
        <f aca="false">$D$10*AB1</f>
        <v>515275.884</v>
      </c>
      <c r="Q40" s="85" t="n">
        <f aca="false">$D$10*AC1</f>
        <v>513087.876</v>
      </c>
      <c r="R40" s="85" t="n">
        <f aca="false">$D$10*AD1</f>
        <v>510899.868</v>
      </c>
      <c r="S40" s="85" t="n">
        <f aca="false">$D$10*AE1</f>
        <v>508711.86</v>
      </c>
      <c r="T40" s="85" t="n">
        <f aca="false">$D$10*AF1</f>
        <v>506523.852</v>
      </c>
      <c r="U40" s="85" t="n">
        <f aca="false">$D$10*AG1</f>
        <v>504335.844</v>
      </c>
      <c r="V40" s="85" t="n">
        <f aca="false">$D$10*AH1</f>
        <v>502147.836</v>
      </c>
      <c r="W40" s="85" t="n">
        <f aca="false">$D$10*AI1</f>
        <v>499959.828</v>
      </c>
      <c r="X40" s="86"/>
    </row>
    <row r="41" customFormat="false" ht="18.75" hidden="false" customHeight="true" outlineLevel="0" collapsed="false">
      <c r="B41" s="87" t="s">
        <v>133</v>
      </c>
      <c r="C41" s="88" t="s">
        <v>4</v>
      </c>
      <c r="D41" s="89" t="n">
        <f aca="false">D40*$D$13</f>
        <v>2166127.92</v>
      </c>
      <c r="E41" s="89" t="n">
        <f aca="false">E40*$D$13</f>
        <v>2157375.888</v>
      </c>
      <c r="F41" s="89" t="n">
        <f aca="false">F40*$D$13</f>
        <v>2148623.856</v>
      </c>
      <c r="G41" s="89" t="n">
        <f aca="false">G40*$D$13</f>
        <v>2139871.824</v>
      </c>
      <c r="H41" s="89" t="n">
        <f aca="false">H40*$D$13</f>
        <v>2131119.792</v>
      </c>
      <c r="I41" s="89" t="n">
        <f aca="false">I40*$D$13</f>
        <v>2122367.76</v>
      </c>
      <c r="J41" s="89" t="n">
        <f aca="false">J40*$D$13</f>
        <v>2113615.728</v>
      </c>
      <c r="K41" s="89" t="n">
        <f aca="false">K40*$D$13</f>
        <v>2104863.696</v>
      </c>
      <c r="L41" s="89" t="n">
        <f aca="false">L40*$D$13</f>
        <v>2096111.664</v>
      </c>
      <c r="M41" s="89" t="n">
        <f aca="false">M40*$D$13</f>
        <v>2087359.632</v>
      </c>
      <c r="N41" s="89" t="n">
        <f aca="false">N40*$D$13</f>
        <v>2078607.6</v>
      </c>
      <c r="O41" s="89" t="n">
        <f aca="false">O40*$D$13</f>
        <v>2069855.568</v>
      </c>
      <c r="P41" s="89" t="n">
        <f aca="false">P40*$D$13</f>
        <v>2061103.536</v>
      </c>
      <c r="Q41" s="89" t="n">
        <f aca="false">Q40*$D$13</f>
        <v>2052351.504</v>
      </c>
      <c r="R41" s="89" t="n">
        <f aca="false">R40*$D$13</f>
        <v>2043599.472</v>
      </c>
      <c r="S41" s="89" t="n">
        <f aca="false">S40*$D$13</f>
        <v>2034847.44</v>
      </c>
      <c r="T41" s="89" t="n">
        <f aca="false">T40*$D$13</f>
        <v>2026095.408</v>
      </c>
      <c r="U41" s="89" t="n">
        <f aca="false">U40*$D$13</f>
        <v>2017343.376</v>
      </c>
      <c r="V41" s="89" t="n">
        <f aca="false">V40*$D$13</f>
        <v>2008591.344</v>
      </c>
      <c r="W41" s="89" t="n">
        <f aca="false">W40*$D$13</f>
        <v>1999839.312</v>
      </c>
      <c r="X41" s="90"/>
    </row>
    <row r="42" customFormat="false" ht="18.75" hidden="false" customHeight="true" outlineLevel="0" collapsed="false">
      <c r="B42" s="91" t="s">
        <v>134</v>
      </c>
      <c r="C42" s="92" t="s">
        <v>4</v>
      </c>
      <c r="D42" s="93"/>
      <c r="E42" s="93"/>
      <c r="F42" s="93"/>
      <c r="G42" s="94" t="s">
        <v>4</v>
      </c>
      <c r="H42" s="94" t="s">
        <v>4</v>
      </c>
      <c r="I42" s="94" t="s">
        <v>4</v>
      </c>
      <c r="J42" s="94" t="s">
        <v>4</v>
      </c>
      <c r="K42" s="94" t="s">
        <v>4</v>
      </c>
      <c r="L42" s="94" t="s">
        <v>4</v>
      </c>
      <c r="M42" s="94" t="s">
        <v>4</v>
      </c>
      <c r="N42" s="94" t="s">
        <v>4</v>
      </c>
      <c r="O42" s="94" t="s">
        <v>4</v>
      </c>
      <c r="P42" s="94" t="s">
        <v>4</v>
      </c>
      <c r="Q42" s="94" t="s">
        <v>4</v>
      </c>
      <c r="R42" s="94" t="s">
        <v>4</v>
      </c>
      <c r="S42" s="94" t="s">
        <v>4</v>
      </c>
      <c r="T42" s="94" t="s">
        <v>4</v>
      </c>
      <c r="U42" s="94" t="s">
        <v>4</v>
      </c>
      <c r="V42" s="94" t="s">
        <v>4</v>
      </c>
      <c r="W42" s="94" t="s">
        <v>4</v>
      </c>
      <c r="X42" s="95"/>
    </row>
    <row r="43" customFormat="false" ht="18.75" hidden="false" customHeight="true" outlineLevel="0" collapsed="false">
      <c r="B43" s="96" t="s">
        <v>135</v>
      </c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customFormat="false" ht="18.75" hidden="false" customHeight="true" outlineLevel="0" collapsed="false">
      <c r="B44" s="100" t="s">
        <v>136</v>
      </c>
      <c r="C44" s="101" t="n">
        <f aca="false">-(D16/(1-D17)+D18)*C4</f>
        <v>-13747741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customFormat="false" ht="18.75" hidden="false" customHeight="true" outlineLevel="0" collapsed="false">
      <c r="B45" s="100" t="s">
        <v>137</v>
      </c>
      <c r="C45" s="92" t="s">
        <v>4</v>
      </c>
      <c r="D45" s="0" t="n">
        <v>-290201</v>
      </c>
      <c r="E45" s="102" t="n">
        <v>-290201</v>
      </c>
      <c r="F45" s="102" t="n">
        <v>-290201</v>
      </c>
      <c r="G45" s="102" t="n">
        <v>-290201</v>
      </c>
      <c r="H45" s="102" t="n">
        <v>-290201</v>
      </c>
      <c r="I45" s="102" t="n">
        <v>-290201</v>
      </c>
      <c r="J45" s="102" t="n">
        <v>-290201</v>
      </c>
      <c r="K45" s="102" t="n">
        <v>-290201</v>
      </c>
      <c r="L45" s="102" t="n">
        <v>-290201</v>
      </c>
      <c r="M45" s="102" t="n">
        <v>-290201</v>
      </c>
      <c r="N45" s="102" t="n">
        <v>-290201</v>
      </c>
      <c r="O45" s="102" t="n">
        <v>-290201</v>
      </c>
      <c r="P45" s="102" t="n">
        <v>-290201</v>
      </c>
      <c r="Q45" s="102" t="n">
        <v>-290201</v>
      </c>
      <c r="R45" s="102" t="n">
        <v>-290201</v>
      </c>
      <c r="S45" s="102" t="n">
        <v>-290201</v>
      </c>
      <c r="T45" s="102" t="n">
        <v>-290201</v>
      </c>
      <c r="U45" s="102" t="n">
        <v>-290201</v>
      </c>
      <c r="V45" s="102" t="n">
        <v>-290201</v>
      </c>
      <c r="W45" s="102" t="n">
        <v>-290201</v>
      </c>
      <c r="X45" s="102"/>
    </row>
    <row r="46" customFormat="false" ht="18.75" hidden="false" customHeight="true" outlineLevel="0" collapsed="false">
      <c r="B46" s="100" t="s">
        <v>138</v>
      </c>
      <c r="C46" s="9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customFormat="false" ht="18.75" hidden="false" customHeight="true" outlineLevel="0" collapsed="false">
      <c r="B47" s="100" t="s">
        <v>139</v>
      </c>
      <c r="C47" s="92" t="s">
        <v>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18.75" hidden="false" customHeight="true" outlineLevel="0" collapsed="false">
      <c r="B48" s="100" t="s">
        <v>140</v>
      </c>
      <c r="C48" s="92" t="s">
        <v>4</v>
      </c>
      <c r="D48" s="102" t="n">
        <v>-174440</v>
      </c>
      <c r="E48" s="102" t="n">
        <v>-174440</v>
      </c>
      <c r="F48" s="102" t="n">
        <v>-174440</v>
      </c>
      <c r="G48" s="102" t="n">
        <v>-174440</v>
      </c>
      <c r="H48" s="102" t="n">
        <v>-174440</v>
      </c>
      <c r="I48" s="102" t="n">
        <v>-174440</v>
      </c>
      <c r="J48" s="102" t="n">
        <v>-174440</v>
      </c>
      <c r="K48" s="102" t="n">
        <v>-174440</v>
      </c>
      <c r="L48" s="102" t="n">
        <v>-174440</v>
      </c>
      <c r="M48" s="102" t="n">
        <v>-174440</v>
      </c>
      <c r="N48" s="102" t="n">
        <v>-174440</v>
      </c>
      <c r="O48" s="102" t="n">
        <v>-174440</v>
      </c>
      <c r="P48" s="102" t="n">
        <v>-174440</v>
      </c>
      <c r="Q48" s="102" t="n">
        <v>-174440</v>
      </c>
      <c r="R48" s="102" t="n">
        <v>-174440</v>
      </c>
      <c r="S48" s="102" t="n">
        <v>-174440</v>
      </c>
      <c r="T48" s="102" t="n">
        <v>-174440</v>
      </c>
      <c r="U48" s="102" t="n">
        <v>-174440</v>
      </c>
      <c r="V48" s="102" t="n">
        <v>-174440</v>
      </c>
      <c r="W48" s="102" t="n">
        <v>-174440</v>
      </c>
      <c r="X48" s="102"/>
    </row>
    <row r="49" customFormat="false" ht="18.75" hidden="false" customHeight="true" outlineLevel="0" collapsed="false">
      <c r="B49" s="100" t="s">
        <v>141</v>
      </c>
      <c r="C49" s="92" t="s">
        <v>4</v>
      </c>
      <c r="D49" s="102" t="n">
        <v>-27038.6361</v>
      </c>
      <c r="E49" s="102" t="n">
        <v>-27038.6361</v>
      </c>
      <c r="F49" s="102" t="n">
        <v>-27038.6361</v>
      </c>
      <c r="G49" s="102" t="n">
        <v>-27038.6361</v>
      </c>
      <c r="H49" s="102" t="n">
        <v>-27038.6361</v>
      </c>
      <c r="I49" s="102" t="n">
        <v>-27038.6361</v>
      </c>
      <c r="J49" s="102" t="n">
        <v>-27038.6361</v>
      </c>
      <c r="K49" s="102" t="n">
        <v>-27038.6361</v>
      </c>
      <c r="L49" s="102" t="n">
        <v>-27038.6361</v>
      </c>
      <c r="M49" s="102" t="n">
        <v>-27038.6361</v>
      </c>
      <c r="N49" s="102" t="n">
        <v>-27038.6361</v>
      </c>
      <c r="O49" s="102" t="n">
        <v>-27038.6361</v>
      </c>
      <c r="P49" s="102" t="n">
        <v>-27038.6361</v>
      </c>
      <c r="Q49" s="102" t="n">
        <v>-27038.6361</v>
      </c>
      <c r="R49" s="102" t="n">
        <v>-27038.6361</v>
      </c>
      <c r="S49" s="102" t="n">
        <v>-27038.6361</v>
      </c>
      <c r="T49" s="102" t="n">
        <v>-27038.6361</v>
      </c>
      <c r="U49" s="102" t="n">
        <v>-27038.6361</v>
      </c>
      <c r="V49" s="102" t="n">
        <v>-27038.6361</v>
      </c>
      <c r="W49" s="102" t="n">
        <v>-27038.6361</v>
      </c>
      <c r="X49" s="102"/>
    </row>
    <row r="50" customFormat="false" ht="18.75" hidden="false" customHeight="true" outlineLevel="0" collapsed="false">
      <c r="B50" s="100" t="s">
        <v>142</v>
      </c>
      <c r="C50" s="92"/>
      <c r="D50" s="102" t="n">
        <v>-43610</v>
      </c>
      <c r="E50" s="102" t="n">
        <v>-43610</v>
      </c>
      <c r="F50" s="102" t="n">
        <v>-43610</v>
      </c>
      <c r="G50" s="102" t="n">
        <v>-43610</v>
      </c>
      <c r="H50" s="102" t="n">
        <v>-43610</v>
      </c>
      <c r="I50" s="102" t="n">
        <v>-43610</v>
      </c>
      <c r="J50" s="102" t="n">
        <v>-43610</v>
      </c>
      <c r="K50" s="102" t="n">
        <v>-43610</v>
      </c>
      <c r="L50" s="102" t="n">
        <v>-43610</v>
      </c>
      <c r="M50" s="102" t="n">
        <v>-43610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0</v>
      </c>
      <c r="S50" s="102" t="n">
        <v>0</v>
      </c>
      <c r="T50" s="102" t="n">
        <v>0</v>
      </c>
      <c r="U50" s="102" t="n">
        <v>0</v>
      </c>
      <c r="V50" s="102" t="n">
        <v>0</v>
      </c>
      <c r="W50" s="102" t="n">
        <v>0</v>
      </c>
      <c r="X50" s="102"/>
    </row>
    <row r="51" customFormat="false" ht="18.75" hidden="false" customHeight="true" outlineLevel="0" collapsed="false">
      <c r="B51" s="100" t="s">
        <v>143</v>
      </c>
      <c r="C51" s="103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customFormat="false" ht="18.75" hidden="false" customHeight="true" outlineLevel="0" collapsed="false">
      <c r="B52" s="100" t="s">
        <v>144</v>
      </c>
      <c r="C52" s="103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customFormat="false" ht="18.75" hidden="false" customHeight="true" outlineLevel="0" collapsed="false">
      <c r="B53" s="104" t="s">
        <v>145</v>
      </c>
      <c r="C53" s="103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customFormat="false" ht="18.75" hidden="false" customHeight="true" outlineLevel="0" collapsed="false">
      <c r="B54" s="104" t="s">
        <v>146</v>
      </c>
      <c r="C54" s="103"/>
      <c r="D54" s="102" t="n">
        <f aca="false">-(D64+D67+D68+D71+D72+D73+D74)*0.2</f>
        <v>-246730.44678</v>
      </c>
      <c r="E54" s="102" t="n">
        <f aca="false">-(E64+E67+E68+E71+E72+E73+E74)*0.2</f>
        <v>-186939.84038</v>
      </c>
      <c r="F54" s="102" t="n">
        <f aca="false">-(F64+F67+F68+F71+F72+F73+F74)*0.2</f>
        <v>-185189.43398</v>
      </c>
      <c r="G54" s="102" t="n">
        <f aca="false">-(G64+G67+G68+G71+G72+G73+G74)*0.2</f>
        <v>-183439.02758</v>
      </c>
      <c r="H54" s="102" t="n">
        <f aca="false">-(H64+H67+H68+H71+H72+H73+H74)*0.2</f>
        <v>-181688.62118</v>
      </c>
      <c r="I54" s="102" t="n">
        <f aca="false">-(I64+I67+I68+I71+I72+I73+I74)*0.2</f>
        <v>-179938.21478</v>
      </c>
      <c r="J54" s="102" t="n">
        <f aca="false">-(J64+J67+J68+J71+J72+J73+J74)*0.2</f>
        <v>-178187.80838</v>
      </c>
      <c r="K54" s="102" t="n">
        <f aca="false">-(K64+K67+K68+K71+K72+K73+K74)*0.2</f>
        <v>-176437.40198</v>
      </c>
      <c r="L54" s="102" t="n">
        <f aca="false">-(L64+L67+L68+L71+L72+L73+L74)*0.2</f>
        <v>-174686.99558</v>
      </c>
      <c r="M54" s="102" t="n">
        <f aca="false">-(M64+M67+M68+M71+M72+M73+M74)*0.2</f>
        <v>-172936.58918</v>
      </c>
      <c r="N54" s="102" t="n">
        <f aca="false">-(N64+N67+N68+N71+N72+N73+N74)*0.2</f>
        <v>-179908.18278</v>
      </c>
      <c r="O54" s="102" t="n">
        <f aca="false">-(O64+O67+O68+O71+O72+O73+O74)*0.2</f>
        <v>-178157.77638</v>
      </c>
      <c r="P54" s="102" t="n">
        <f aca="false">-(P64+P67+P68+P71+P72+P73+P74)*0.2</f>
        <v>-176407.36998</v>
      </c>
      <c r="Q54" s="102" t="n">
        <f aca="false">-(Q64+Q67+Q68+Q71+Q72+Q73+Q74)*0.2</f>
        <v>-174656.96358</v>
      </c>
      <c r="R54" s="102" t="n">
        <f aca="false">-(R64+R67+R68+R71+R72+R73+R74)*0.2</f>
        <v>-172906.55718</v>
      </c>
      <c r="S54" s="102" t="n">
        <f aca="false">-(S64+S67+S68+S71+S72+S73+S74)*0.2</f>
        <v>-171156.15078</v>
      </c>
      <c r="T54" s="102" t="n">
        <f aca="false">-(T64+T67+T68+T71+T72+T73+T74)*0.2</f>
        <v>-169405.74438</v>
      </c>
      <c r="U54" s="102" t="n">
        <f aca="false">-(U64+U67+U68+U71+U72+U73+U74)*0.2</f>
        <v>-167655.33798</v>
      </c>
      <c r="V54" s="102" t="n">
        <f aca="false">-(V64+V67+V68+V71+V72+V73+V74)*0.2</f>
        <v>-165904.93158</v>
      </c>
      <c r="W54" s="102" t="n">
        <f aca="false">-(W64+W67+W68+W71+W72+W73+W74)*0.2</f>
        <v>-164154.52518</v>
      </c>
      <c r="X54" s="93"/>
    </row>
    <row r="55" customFormat="false" ht="18.75" hidden="false" customHeight="true" outlineLevel="0" collapsed="false">
      <c r="B55" s="105" t="s">
        <v>147</v>
      </c>
      <c r="C55" s="106" t="n">
        <f aca="false">C44</f>
        <v>-13747741</v>
      </c>
      <c r="D55" s="107" t="n">
        <f aca="false">SUM(D41:D54)</f>
        <v>1384107.83712</v>
      </c>
      <c r="E55" s="107" t="n">
        <f aca="false">SUM(E41:E54)</f>
        <v>1435146.41152</v>
      </c>
      <c r="F55" s="107" t="n">
        <f aca="false">SUM(F41:F54)</f>
        <v>1428144.78592</v>
      </c>
      <c r="G55" s="107" t="n">
        <f aca="false">SUM(G41:G54)</f>
        <v>1421143.16032</v>
      </c>
      <c r="H55" s="107" t="n">
        <f aca="false">SUM(H41:H54)</f>
        <v>1414141.53472</v>
      </c>
      <c r="I55" s="107" t="n">
        <f aca="false">SUM(I41:I54)</f>
        <v>1407139.90912</v>
      </c>
      <c r="J55" s="107" t="n">
        <f aca="false">SUM(J41:J54)</f>
        <v>1400138.28352</v>
      </c>
      <c r="K55" s="107" t="n">
        <f aca="false">SUM(K41:K54)</f>
        <v>1393136.65792</v>
      </c>
      <c r="L55" s="107" t="n">
        <f aca="false">SUM(L41:L54)</f>
        <v>1386135.03232</v>
      </c>
      <c r="M55" s="107" t="n">
        <f aca="false">SUM(M41:M54)</f>
        <v>1379133.40672</v>
      </c>
      <c r="N55" s="107" t="n">
        <f aca="false">SUM(N41:N54)</f>
        <v>1407019.78112</v>
      </c>
      <c r="O55" s="107" t="n">
        <f aca="false">SUM(O41:O54)</f>
        <v>1400018.15552</v>
      </c>
      <c r="P55" s="107" t="n">
        <f aca="false">SUM(P41:P54)</f>
        <v>1393016.52992</v>
      </c>
      <c r="Q55" s="107" t="n">
        <f aca="false">SUM(Q41:Q54)</f>
        <v>1386014.90432</v>
      </c>
      <c r="R55" s="107" t="n">
        <f aca="false">SUM(R41:R54)</f>
        <v>1379013.27872</v>
      </c>
      <c r="S55" s="107" t="n">
        <f aca="false">SUM(S41:S54)</f>
        <v>1372011.65312</v>
      </c>
      <c r="T55" s="107" t="n">
        <f aca="false">SUM(T41:T54)</f>
        <v>1365010.02752</v>
      </c>
      <c r="U55" s="107" t="n">
        <f aca="false">SUM(U41:U54)</f>
        <v>1358008.40192</v>
      </c>
      <c r="V55" s="107" t="n">
        <f aca="false">SUM(V41:V54)</f>
        <v>1351006.77632</v>
      </c>
      <c r="W55" s="107" t="n">
        <f aca="false">SUM(W41:W54)</f>
        <v>1344005.15072</v>
      </c>
      <c r="X55" s="108"/>
      <c r="Y55" s="109"/>
      <c r="Z55" s="110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</row>
    <row r="56" customFormat="false" ht="18.75" hidden="false" customHeight="true" outlineLevel="0" collapsed="false">
      <c r="B56" s="111" t="s">
        <v>148</v>
      </c>
      <c r="D56" s="112" t="n">
        <f aca="false">C55+D55</f>
        <v>-12363633.16288</v>
      </c>
      <c r="E56" s="112" t="n">
        <f aca="false">D56+E55</f>
        <v>-10928486.75136</v>
      </c>
      <c r="F56" s="112" t="n">
        <f aca="false">E56+F55</f>
        <v>-9500341.96544</v>
      </c>
      <c r="G56" s="112" t="n">
        <f aca="false">F56+G55</f>
        <v>-8079198.80512</v>
      </c>
      <c r="H56" s="112" t="n">
        <f aca="false">G56+H55</f>
        <v>-6665057.2704</v>
      </c>
      <c r="I56" s="112" t="n">
        <f aca="false">H56+I55</f>
        <v>-5257917.36128</v>
      </c>
      <c r="J56" s="112" t="n">
        <f aca="false">I56+J55</f>
        <v>-3857779.07776</v>
      </c>
      <c r="K56" s="112" t="n">
        <f aca="false">J56+K55</f>
        <v>-2464642.41984</v>
      </c>
      <c r="L56" s="112" t="n">
        <f aca="false">K56+L55</f>
        <v>-1078507.38752</v>
      </c>
      <c r="M56" s="112" t="n">
        <f aca="false">L56+M55</f>
        <v>300626.019199998</v>
      </c>
      <c r="N56" s="112" t="n">
        <f aca="false">M56+N55</f>
        <v>1707645.80032</v>
      </c>
      <c r="O56" s="112" t="n">
        <f aca="false">N56+O55</f>
        <v>3107663.95584</v>
      </c>
      <c r="P56" s="112" t="n">
        <f aca="false">O56+P55</f>
        <v>4500680.48576</v>
      </c>
      <c r="Q56" s="112" t="n">
        <f aca="false">P56+Q55</f>
        <v>5886695.39008</v>
      </c>
      <c r="R56" s="112" t="n">
        <f aca="false">Q56+R55</f>
        <v>7265708.6688</v>
      </c>
      <c r="S56" s="112" t="n">
        <f aca="false">R56+S55</f>
        <v>8637720.32192</v>
      </c>
      <c r="T56" s="112" t="n">
        <f aca="false">S56+T55</f>
        <v>10002730.34944</v>
      </c>
      <c r="U56" s="112" t="n">
        <f aca="false">T56+U55</f>
        <v>11360738.75136</v>
      </c>
      <c r="V56" s="112" t="n">
        <f aca="false">U56+V55</f>
        <v>12711745.52768</v>
      </c>
      <c r="W56" s="112" t="n">
        <f aca="false">V56+W55</f>
        <v>14055750.6784</v>
      </c>
      <c r="X56" s="112" t="n">
        <f aca="false">W56+X55</f>
        <v>14055750.6784</v>
      </c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 customFormat="false" ht="18.75" hidden="false" customHeight="true" outlineLevel="0" collapsed="false">
      <c r="B57" s="113" t="s">
        <v>149</v>
      </c>
      <c r="C57" s="114"/>
      <c r="D57" s="115" t="str">
        <f aca="false">IF((D56)&gt;0,"回收","未回收")</f>
        <v>未回收</v>
      </c>
      <c r="E57" s="116" t="str">
        <f aca="false">IF((E56)&gt;0,"回收","未回收")</f>
        <v>未回收</v>
      </c>
      <c r="F57" s="116" t="str">
        <f aca="false">IF((F56)&gt;0,"回收","未回收")</f>
        <v>未回收</v>
      </c>
      <c r="G57" s="116" t="str">
        <f aca="false">IF((G56)&gt;0,"回收","未回收")</f>
        <v>未回收</v>
      </c>
      <c r="H57" s="116" t="str">
        <f aca="false">IF((H56)&gt;0,"回收","未回收")</f>
        <v>未回收</v>
      </c>
      <c r="I57" s="116" t="str">
        <f aca="false">IF((I56)&gt;0,"回收","未回收")</f>
        <v>未回收</v>
      </c>
      <c r="J57" s="116" t="str">
        <f aca="false">IF((J56)&gt;0,"回收","未回收")</f>
        <v>未回收</v>
      </c>
      <c r="K57" s="116" t="str">
        <f aca="false">IF((K56)&gt;0,"回收","未回收")</f>
        <v>未回收</v>
      </c>
      <c r="L57" s="116" t="str">
        <f aca="false">IF((L56)&gt;0,"回收","未回收")</f>
        <v>未回收</v>
      </c>
      <c r="M57" s="116" t="str">
        <f aca="false">IF((M56)&gt;0,"回收","未回收")</f>
        <v>回收</v>
      </c>
      <c r="N57" s="116" t="str">
        <f aca="false">IF((N56)&gt;0,"回收","未回收")</f>
        <v>回收</v>
      </c>
      <c r="O57" s="116" t="str">
        <f aca="false">IF((O56)&gt;0,"回收","未回收")</f>
        <v>回收</v>
      </c>
      <c r="P57" s="116" t="str">
        <f aca="false">IF((P56)&gt;0,"回收","未回收")</f>
        <v>回收</v>
      </c>
      <c r="Q57" s="116" t="str">
        <f aca="false">IF((Q56)&gt;0,"回收","未回收")</f>
        <v>回收</v>
      </c>
      <c r="R57" s="116" t="str">
        <f aca="false">IF((R56)&gt;0,"回收","未回收")</f>
        <v>回收</v>
      </c>
      <c r="S57" s="116" t="str">
        <f aca="false">IF((S56)&gt;0,"回收","未回收")</f>
        <v>回收</v>
      </c>
      <c r="T57" s="116" t="str">
        <f aca="false">IF((T56)&gt;0,"回收","未回收")</f>
        <v>回收</v>
      </c>
      <c r="U57" s="116" t="str">
        <f aca="false">IF((U56)&gt;0,"回收","未回收")</f>
        <v>回收</v>
      </c>
      <c r="V57" s="116" t="str">
        <f aca="false">IF((V56)&gt;0,"回收","未回收")</f>
        <v>回收</v>
      </c>
      <c r="W57" s="116" t="str">
        <f aca="false">IF((W56)&gt;0,"回收","未回收")</f>
        <v>回收</v>
      </c>
      <c r="X57" s="116" t="str">
        <f aca="false">IF((X56)&gt;0,"回收","未回收")</f>
        <v>回收</v>
      </c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</row>
    <row r="58" customFormat="false" ht="18.75" hidden="false" customHeight="true" outlineLevel="0" collapsed="false">
      <c r="B58" s="117" t="s">
        <v>74</v>
      </c>
      <c r="C58" s="118" t="n">
        <f aca="false">IRR(C55:W55)</f>
        <v>0.0798268060263263</v>
      </c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20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69"/>
      <c r="C60" s="70" t="s">
        <v>130</v>
      </c>
      <c r="D60" s="70" t="n">
        <f aca="false">D37</f>
        <v>2020</v>
      </c>
      <c r="E60" s="70" t="n">
        <f aca="false">E37</f>
        <v>2021</v>
      </c>
      <c r="F60" s="70" t="n">
        <f aca="false">F37</f>
        <v>2022</v>
      </c>
      <c r="G60" s="70" t="n">
        <f aca="false">G37</f>
        <v>2023</v>
      </c>
      <c r="H60" s="70" t="n">
        <f aca="false">H37</f>
        <v>2024</v>
      </c>
      <c r="I60" s="70" t="n">
        <f aca="false">I37</f>
        <v>2025</v>
      </c>
      <c r="J60" s="70" t="n">
        <f aca="false">J37</f>
        <v>2026</v>
      </c>
      <c r="K60" s="70" t="n">
        <f aca="false">K37</f>
        <v>2027</v>
      </c>
      <c r="L60" s="70" t="n">
        <f aca="false">L37</f>
        <v>2028</v>
      </c>
      <c r="M60" s="70" t="n">
        <f aca="false">M37</f>
        <v>2029</v>
      </c>
      <c r="N60" s="70" t="n">
        <f aca="false">N37</f>
        <v>2030</v>
      </c>
      <c r="O60" s="70" t="n">
        <f aca="false">O37</f>
        <v>2031</v>
      </c>
      <c r="P60" s="70" t="n">
        <f aca="false">P37</f>
        <v>2032</v>
      </c>
      <c r="Q60" s="70" t="n">
        <f aca="false">Q37</f>
        <v>2033</v>
      </c>
      <c r="R60" s="70" t="n">
        <f aca="false">R37</f>
        <v>2034</v>
      </c>
      <c r="S60" s="70" t="n">
        <f aca="false">S37</f>
        <v>2035</v>
      </c>
      <c r="T60" s="70" t="n">
        <f aca="false">T37</f>
        <v>2036</v>
      </c>
      <c r="U60" s="70" t="n">
        <f aca="false">U37</f>
        <v>2037</v>
      </c>
      <c r="V60" s="70" t="n">
        <f aca="false">V37</f>
        <v>2038</v>
      </c>
      <c r="W60" s="70" t="n">
        <f aca="false">W37</f>
        <v>2039</v>
      </c>
      <c r="X60" s="70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customFormat="false" ht="18.75" hidden="false" customHeight="true" outlineLevel="0" collapsed="false">
      <c r="B61" s="71" t="n">
        <v>0</v>
      </c>
      <c r="C61" s="72"/>
      <c r="D61" s="73"/>
      <c r="E61" s="73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23" t="s">
        <v>150</v>
      </c>
      <c r="U61" s="75"/>
      <c r="V61" s="75"/>
      <c r="W61" s="75"/>
      <c r="X61" s="77"/>
    </row>
    <row r="62" customFormat="false" ht="18.75" hidden="false" customHeight="true" outlineLevel="0" collapsed="false">
      <c r="B62" s="78" t="s">
        <v>131</v>
      </c>
      <c r="C62" s="79" t="n">
        <v>0</v>
      </c>
      <c r="D62" s="80" t="n">
        <v>1</v>
      </c>
      <c r="E62" s="80" t="n">
        <v>2</v>
      </c>
      <c r="F62" s="80" t="n">
        <v>3</v>
      </c>
      <c r="G62" s="80" t="n">
        <v>4</v>
      </c>
      <c r="H62" s="80" t="n">
        <v>5</v>
      </c>
      <c r="I62" s="80" t="n">
        <v>6</v>
      </c>
      <c r="J62" s="80" t="n">
        <v>7</v>
      </c>
      <c r="K62" s="80" t="n">
        <v>8</v>
      </c>
      <c r="L62" s="80" t="n">
        <v>9</v>
      </c>
      <c r="M62" s="80" t="n">
        <v>10</v>
      </c>
      <c r="N62" s="80" t="n">
        <v>11</v>
      </c>
      <c r="O62" s="80" t="n">
        <v>12</v>
      </c>
      <c r="P62" s="80" t="n">
        <v>13</v>
      </c>
      <c r="Q62" s="80" t="n">
        <v>14</v>
      </c>
      <c r="R62" s="80" t="n">
        <v>15</v>
      </c>
      <c r="S62" s="80" t="n">
        <v>16</v>
      </c>
      <c r="T62" s="124" t="n">
        <v>17</v>
      </c>
      <c r="U62" s="80" t="n">
        <v>18</v>
      </c>
      <c r="V62" s="80" t="n">
        <v>19</v>
      </c>
      <c r="W62" s="80" t="n">
        <v>20</v>
      </c>
      <c r="X62" s="82"/>
    </row>
    <row r="63" customFormat="false" ht="18.75" hidden="false" customHeight="true" outlineLevel="0" collapsed="false">
      <c r="B63" s="83" t="s">
        <v>132</v>
      </c>
      <c r="C63" s="84" t="n">
        <v>0</v>
      </c>
      <c r="D63" s="85" t="n">
        <f aca="false">D40</f>
        <v>541531.98</v>
      </c>
      <c r="E63" s="85" t="n">
        <f aca="false">E40</f>
        <v>539343.972</v>
      </c>
      <c r="F63" s="85" t="n">
        <f aca="false">F40</f>
        <v>537155.964</v>
      </c>
      <c r="G63" s="85" t="n">
        <f aca="false">G40</f>
        <v>534967.956</v>
      </c>
      <c r="H63" s="85" t="n">
        <f aca="false">H40</f>
        <v>532779.948</v>
      </c>
      <c r="I63" s="85" t="n">
        <f aca="false">I40</f>
        <v>530591.94</v>
      </c>
      <c r="J63" s="85" t="n">
        <f aca="false">J40</f>
        <v>528403.932</v>
      </c>
      <c r="K63" s="85" t="n">
        <f aca="false">K40</f>
        <v>526215.924</v>
      </c>
      <c r="L63" s="85" t="n">
        <f aca="false">L40</f>
        <v>524027.916</v>
      </c>
      <c r="M63" s="85" t="n">
        <f aca="false">M40</f>
        <v>521839.908</v>
      </c>
      <c r="N63" s="85" t="n">
        <f aca="false">N40</f>
        <v>519651.9</v>
      </c>
      <c r="O63" s="85" t="n">
        <f aca="false">O40</f>
        <v>517463.892</v>
      </c>
      <c r="P63" s="85" t="n">
        <f aca="false">P40</f>
        <v>515275.884</v>
      </c>
      <c r="Q63" s="85" t="n">
        <f aca="false">Q40</f>
        <v>513087.876</v>
      </c>
      <c r="R63" s="85" t="n">
        <f aca="false">R40</f>
        <v>510899.868</v>
      </c>
      <c r="S63" s="85" t="n">
        <f aca="false">S40</f>
        <v>508711.86</v>
      </c>
      <c r="T63" s="85" t="n">
        <f aca="false">T40</f>
        <v>506523.852</v>
      </c>
      <c r="U63" s="85" t="n">
        <f aca="false">U40</f>
        <v>504335.844</v>
      </c>
      <c r="V63" s="85" t="n">
        <f aca="false">V40</f>
        <v>502147.836</v>
      </c>
      <c r="W63" s="85" t="n">
        <f aca="false">W40</f>
        <v>499959.828</v>
      </c>
      <c r="X63" s="86"/>
    </row>
    <row r="64" customFormat="false" ht="18.75" hidden="false" customHeight="true" outlineLevel="0" collapsed="false">
      <c r="B64" s="87" t="s">
        <v>133</v>
      </c>
      <c r="C64" s="88" t="s">
        <v>4</v>
      </c>
      <c r="D64" s="89" t="n">
        <f aca="false">D41</f>
        <v>2166127.92</v>
      </c>
      <c r="E64" s="89" t="n">
        <f aca="false">E41</f>
        <v>2157375.888</v>
      </c>
      <c r="F64" s="89" t="n">
        <f aca="false">F41</f>
        <v>2148623.856</v>
      </c>
      <c r="G64" s="89" t="n">
        <f aca="false">G41</f>
        <v>2139871.824</v>
      </c>
      <c r="H64" s="89" t="n">
        <f aca="false">H41</f>
        <v>2131119.792</v>
      </c>
      <c r="I64" s="89" t="n">
        <f aca="false">I41</f>
        <v>2122367.76</v>
      </c>
      <c r="J64" s="89" t="n">
        <f aca="false">J41</f>
        <v>2113615.728</v>
      </c>
      <c r="K64" s="89" t="n">
        <f aca="false">K41</f>
        <v>2104863.696</v>
      </c>
      <c r="L64" s="89" t="n">
        <f aca="false">L41</f>
        <v>2096111.664</v>
      </c>
      <c r="M64" s="89" t="n">
        <f aca="false">M41</f>
        <v>2087359.632</v>
      </c>
      <c r="N64" s="89" t="n">
        <f aca="false">N41</f>
        <v>2078607.6</v>
      </c>
      <c r="O64" s="89" t="n">
        <f aca="false">O41</f>
        <v>2069855.568</v>
      </c>
      <c r="P64" s="89" t="n">
        <f aca="false">P41</f>
        <v>2061103.536</v>
      </c>
      <c r="Q64" s="89" t="n">
        <f aca="false">Q41</f>
        <v>2052351.504</v>
      </c>
      <c r="R64" s="89" t="n">
        <f aca="false">R41</f>
        <v>2043599.472</v>
      </c>
      <c r="S64" s="89" t="n">
        <f aca="false">S41</f>
        <v>2034847.44</v>
      </c>
      <c r="T64" s="89" t="n">
        <f aca="false">T41</f>
        <v>2026095.408</v>
      </c>
      <c r="U64" s="89" t="n">
        <f aca="false">U41</f>
        <v>2017343.376</v>
      </c>
      <c r="V64" s="89" t="n">
        <f aca="false">V41</f>
        <v>2008591.344</v>
      </c>
      <c r="W64" s="89" t="n">
        <f aca="false">W41</f>
        <v>1999839.312</v>
      </c>
      <c r="X64" s="90"/>
    </row>
    <row r="65" customFormat="false" ht="18.75" hidden="false" customHeight="true" outlineLevel="0" collapsed="false">
      <c r="B65" s="91" t="s">
        <v>134</v>
      </c>
      <c r="C65" s="92" t="s">
        <v>4</v>
      </c>
      <c r="D65" s="93"/>
      <c r="E65" s="93"/>
      <c r="F65" s="93"/>
      <c r="G65" s="94" t="s">
        <v>4</v>
      </c>
      <c r="H65" s="94" t="s">
        <v>4</v>
      </c>
      <c r="I65" s="94" t="s">
        <v>4</v>
      </c>
      <c r="J65" s="94" t="s">
        <v>4</v>
      </c>
      <c r="K65" s="94" t="s">
        <v>4</v>
      </c>
      <c r="L65" s="94" t="s">
        <v>4</v>
      </c>
      <c r="M65" s="94" t="s">
        <v>4</v>
      </c>
      <c r="N65" s="94" t="s">
        <v>4</v>
      </c>
      <c r="O65" s="94" t="s">
        <v>4</v>
      </c>
      <c r="P65" s="94" t="s">
        <v>4</v>
      </c>
      <c r="Q65" s="94" t="s">
        <v>4</v>
      </c>
      <c r="R65" s="94" t="s">
        <v>4</v>
      </c>
      <c r="S65" s="94" t="s">
        <v>4</v>
      </c>
      <c r="T65" s="94" t="s">
        <v>4</v>
      </c>
      <c r="U65" s="94" t="s">
        <v>4</v>
      </c>
      <c r="V65" s="94" t="s">
        <v>4</v>
      </c>
      <c r="W65" s="94" t="s">
        <v>4</v>
      </c>
      <c r="X65" s="95"/>
    </row>
    <row r="66" customFormat="false" ht="18.75" hidden="false" customHeight="true" outlineLevel="0" collapsed="false">
      <c r="B66" s="96" t="s">
        <v>135</v>
      </c>
      <c r="C66" s="97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customFormat="false" ht="18.75" hidden="false" customHeight="true" outlineLevel="0" collapsed="false">
      <c r="B67" s="100" t="s">
        <v>151</v>
      </c>
      <c r="C67" s="92"/>
      <c r="D67" s="125" t="n">
        <f aca="false">$C$44/$E$16</f>
        <v>-687387.05</v>
      </c>
      <c r="E67" s="125" t="n">
        <f aca="false">$C$44/$E$16</f>
        <v>-687387.05</v>
      </c>
      <c r="F67" s="125" t="n">
        <f aca="false">$C$44/$E$16</f>
        <v>-687387.05</v>
      </c>
      <c r="G67" s="125" t="n">
        <f aca="false">$C$44/$E$16</f>
        <v>-687387.05</v>
      </c>
      <c r="H67" s="125" t="n">
        <f aca="false">$C$44/$E$16</f>
        <v>-687387.05</v>
      </c>
      <c r="I67" s="125" t="n">
        <f aca="false">$C$44/$E$16</f>
        <v>-687387.05</v>
      </c>
      <c r="J67" s="125" t="n">
        <f aca="false">$C$44/$E$16</f>
        <v>-687387.05</v>
      </c>
      <c r="K67" s="125" t="n">
        <f aca="false">$C$44/$E$16</f>
        <v>-687387.05</v>
      </c>
      <c r="L67" s="125" t="n">
        <f aca="false">$C$44/$E$16</f>
        <v>-687387.05</v>
      </c>
      <c r="M67" s="125" t="n">
        <f aca="false">$C$44/$E$16</f>
        <v>-687387.05</v>
      </c>
      <c r="N67" s="125" t="n">
        <f aca="false">$C$44/$E$16</f>
        <v>-687387.05</v>
      </c>
      <c r="O67" s="125" t="n">
        <f aca="false">$C$44/$E$16</f>
        <v>-687387.05</v>
      </c>
      <c r="P67" s="125" t="n">
        <f aca="false">$C$44/$E$16</f>
        <v>-687387.05</v>
      </c>
      <c r="Q67" s="125" t="n">
        <f aca="false">$C$44/$E$16</f>
        <v>-687387.05</v>
      </c>
      <c r="R67" s="125" t="n">
        <f aca="false">$C$44/$E$16</f>
        <v>-687387.05</v>
      </c>
      <c r="S67" s="125" t="n">
        <f aca="false">$C$44/$E$16</f>
        <v>-687387.05</v>
      </c>
      <c r="T67" s="125" t="n">
        <f aca="false">$C$44/$E$16</f>
        <v>-687387.05</v>
      </c>
      <c r="U67" s="125" t="n">
        <f aca="false">$C$44/$E$16</f>
        <v>-687387.05</v>
      </c>
      <c r="V67" s="125" t="n">
        <f aca="false">$C$44/$E$16</f>
        <v>-687387.05</v>
      </c>
      <c r="W67" s="125" t="n">
        <f aca="false">$C$44/$E$16</f>
        <v>-687387.05</v>
      </c>
      <c r="X67" s="95"/>
    </row>
    <row r="68" customFormat="false" ht="18.75" hidden="false" customHeight="true" outlineLevel="0" collapsed="false">
      <c r="B68" s="100" t="s">
        <v>137</v>
      </c>
      <c r="C68" s="92" t="s">
        <v>4</v>
      </c>
      <c r="D68" s="102" t="n">
        <f aca="false">D44</f>
        <v>0</v>
      </c>
      <c r="E68" s="102" t="n">
        <f aca="false">E45</f>
        <v>-290201</v>
      </c>
      <c r="F68" s="102" t="n">
        <f aca="false">F45</f>
        <v>-290201</v>
      </c>
      <c r="G68" s="102" t="n">
        <f aca="false">G45</f>
        <v>-290201</v>
      </c>
      <c r="H68" s="102" t="n">
        <f aca="false">H45</f>
        <v>-290201</v>
      </c>
      <c r="I68" s="102" t="n">
        <f aca="false">I45</f>
        <v>-290201</v>
      </c>
      <c r="J68" s="102" t="n">
        <f aca="false">J45</f>
        <v>-290201</v>
      </c>
      <c r="K68" s="102" t="n">
        <f aca="false">K45</f>
        <v>-290201</v>
      </c>
      <c r="L68" s="102" t="n">
        <f aca="false">L45</f>
        <v>-290201</v>
      </c>
      <c r="M68" s="102" t="n">
        <f aca="false">M45</f>
        <v>-290201</v>
      </c>
      <c r="N68" s="102" t="n">
        <f aca="false">N45</f>
        <v>-290201</v>
      </c>
      <c r="O68" s="102" t="n">
        <f aca="false">O45</f>
        <v>-290201</v>
      </c>
      <c r="P68" s="102" t="n">
        <f aca="false">P45</f>
        <v>-290201</v>
      </c>
      <c r="Q68" s="102" t="n">
        <f aca="false">Q45</f>
        <v>-290201</v>
      </c>
      <c r="R68" s="102" t="n">
        <f aca="false">R45</f>
        <v>-290201</v>
      </c>
      <c r="S68" s="102" t="n">
        <f aca="false">S45</f>
        <v>-290201</v>
      </c>
      <c r="T68" s="102" t="n">
        <f aca="false">T45</f>
        <v>-290201</v>
      </c>
      <c r="U68" s="102" t="n">
        <f aca="false">U45</f>
        <v>-290201</v>
      </c>
      <c r="V68" s="102" t="n">
        <f aca="false">V45</f>
        <v>-290201</v>
      </c>
      <c r="W68" s="102" t="n">
        <f aca="false">W45</f>
        <v>-290201</v>
      </c>
      <c r="X68" s="95"/>
    </row>
    <row r="69" customFormat="false" ht="18.75" hidden="false" customHeight="true" outlineLevel="0" collapsed="false">
      <c r="B69" s="100" t="s">
        <v>138</v>
      </c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  <row r="70" customFormat="false" ht="18.75" hidden="false" customHeight="true" outlineLevel="0" collapsed="false">
      <c r="B70" s="100" t="s">
        <v>139</v>
      </c>
      <c r="C70" s="92" t="s">
        <v>4</v>
      </c>
      <c r="D70" s="102" t="n">
        <f aca="false">-D109*$D25</f>
        <v>-281553.73568</v>
      </c>
      <c r="E70" s="102" t="n">
        <f aca="false">-E109*$D25</f>
        <v>-262783.486634667</v>
      </c>
      <c r="F70" s="102" t="n">
        <f aca="false">-F109*$D25</f>
        <v>-244013.237589333</v>
      </c>
      <c r="G70" s="102" t="n">
        <f aca="false">-G109*$D25</f>
        <v>-225242.988544</v>
      </c>
      <c r="H70" s="102" t="n">
        <f aca="false">-H109*$D25</f>
        <v>-206472.739498667</v>
      </c>
      <c r="I70" s="102" t="n">
        <f aca="false">-I109*$D25</f>
        <v>-187702.490453333</v>
      </c>
      <c r="J70" s="102" t="n">
        <f aca="false">-J109*$D25</f>
        <v>-168932.241408</v>
      </c>
      <c r="K70" s="102" t="n">
        <f aca="false">-K109*$D25</f>
        <v>-150161.992362667</v>
      </c>
      <c r="L70" s="102" t="n">
        <f aca="false">-L109*$D25</f>
        <v>-131391.743317333</v>
      </c>
      <c r="M70" s="102" t="n">
        <f aca="false">-M109*$D25</f>
        <v>-112621.494272</v>
      </c>
      <c r="N70" s="102" t="n">
        <f aca="false">-N109*$D25</f>
        <v>-93851.2452266667</v>
      </c>
      <c r="O70" s="102" t="n">
        <f aca="false">-O109*$D25</f>
        <v>-75080.9961813334</v>
      </c>
      <c r="P70" s="102" t="n">
        <f aca="false">-P109*$D25</f>
        <v>-56310.747136</v>
      </c>
      <c r="Q70" s="102" t="n">
        <f aca="false">-Q109*$D25</f>
        <v>-37540.4980906667</v>
      </c>
      <c r="R70" s="102" t="n">
        <f aca="false">-R109*$D25</f>
        <v>-18770.2490453333</v>
      </c>
      <c r="S70" s="102" t="n">
        <f aca="false">-S109*$D25</f>
        <v>-0</v>
      </c>
      <c r="T70" s="102" t="n">
        <f aca="false">-T109*$D25</f>
        <v>-0</v>
      </c>
      <c r="U70" s="102" t="n">
        <f aca="false">-U109*$D25</f>
        <v>-0</v>
      </c>
      <c r="V70" s="102" t="n">
        <f aca="false">-V109*$D25</f>
        <v>-0</v>
      </c>
      <c r="W70" s="102" t="n">
        <f aca="false">-W109*$D25</f>
        <v>-0</v>
      </c>
      <c r="X70" s="95"/>
    </row>
    <row r="71" customFormat="false" ht="18.75" hidden="false" customHeight="true" outlineLevel="0" collapsed="false">
      <c r="B71" s="100" t="s">
        <v>140</v>
      </c>
      <c r="C71" s="92" t="s">
        <v>4</v>
      </c>
      <c r="D71" s="102" t="n">
        <f aca="false">D48</f>
        <v>-174440</v>
      </c>
      <c r="E71" s="102" t="n">
        <f aca="false">E48</f>
        <v>-174440</v>
      </c>
      <c r="F71" s="102" t="n">
        <f aca="false">F48</f>
        <v>-174440</v>
      </c>
      <c r="G71" s="102" t="n">
        <f aca="false">G48</f>
        <v>-174440</v>
      </c>
      <c r="H71" s="102" t="n">
        <f aca="false">H48</f>
        <v>-174440</v>
      </c>
      <c r="I71" s="102" t="n">
        <f aca="false">I48</f>
        <v>-174440</v>
      </c>
      <c r="J71" s="102" t="n">
        <f aca="false">J48</f>
        <v>-174440</v>
      </c>
      <c r="K71" s="102" t="n">
        <f aca="false">K48</f>
        <v>-174440</v>
      </c>
      <c r="L71" s="102" t="n">
        <f aca="false">L48</f>
        <v>-174440</v>
      </c>
      <c r="M71" s="102" t="n">
        <f aca="false">M48</f>
        <v>-174440</v>
      </c>
      <c r="N71" s="102" t="n">
        <f aca="false">N48</f>
        <v>-174440</v>
      </c>
      <c r="O71" s="102" t="n">
        <f aca="false">O48</f>
        <v>-174440</v>
      </c>
      <c r="P71" s="102" t="n">
        <f aca="false">P48</f>
        <v>-174440</v>
      </c>
      <c r="Q71" s="102" t="n">
        <f aca="false">Q48</f>
        <v>-174440</v>
      </c>
      <c r="R71" s="102" t="n">
        <f aca="false">R48</f>
        <v>-174440</v>
      </c>
      <c r="S71" s="102" t="n">
        <f aca="false">S48</f>
        <v>-174440</v>
      </c>
      <c r="T71" s="102" t="n">
        <f aca="false">T48</f>
        <v>-174440</v>
      </c>
      <c r="U71" s="102" t="n">
        <f aca="false">U48</f>
        <v>-174440</v>
      </c>
      <c r="V71" s="102" t="n">
        <f aca="false">V48</f>
        <v>-174440</v>
      </c>
      <c r="W71" s="102" t="n">
        <f aca="false">W48</f>
        <v>-174440</v>
      </c>
      <c r="X71" s="95"/>
    </row>
    <row r="72" customFormat="false" ht="18.75" hidden="false" customHeight="true" outlineLevel="0" collapsed="false">
      <c r="B72" s="100" t="s">
        <v>141</v>
      </c>
      <c r="C72" s="92" t="s">
        <v>4</v>
      </c>
      <c r="D72" s="102" t="n">
        <f aca="false">D49</f>
        <v>-27038.6361</v>
      </c>
      <c r="E72" s="102" t="n">
        <f aca="false">E49</f>
        <v>-27038.6361</v>
      </c>
      <c r="F72" s="102" t="n">
        <f aca="false">F49</f>
        <v>-27038.6361</v>
      </c>
      <c r="G72" s="102" t="n">
        <f aca="false">G49</f>
        <v>-27038.6361</v>
      </c>
      <c r="H72" s="102" t="n">
        <f aca="false">H49</f>
        <v>-27038.6361</v>
      </c>
      <c r="I72" s="102" t="n">
        <f aca="false">I49</f>
        <v>-27038.6361</v>
      </c>
      <c r="J72" s="102" t="n">
        <f aca="false">J49</f>
        <v>-27038.6361</v>
      </c>
      <c r="K72" s="102" t="n">
        <f aca="false">K49</f>
        <v>-27038.6361</v>
      </c>
      <c r="L72" s="102" t="n">
        <f aca="false">L49</f>
        <v>-27038.6361</v>
      </c>
      <c r="M72" s="102" t="n">
        <f aca="false">M49</f>
        <v>-27038.6361</v>
      </c>
      <c r="N72" s="102" t="n">
        <f aca="false">N49</f>
        <v>-27038.6361</v>
      </c>
      <c r="O72" s="102" t="n">
        <f aca="false">O49</f>
        <v>-27038.6361</v>
      </c>
      <c r="P72" s="102" t="n">
        <f aca="false">P49</f>
        <v>-27038.6361</v>
      </c>
      <c r="Q72" s="102" t="n">
        <f aca="false">Q49</f>
        <v>-27038.6361</v>
      </c>
      <c r="R72" s="102" t="n">
        <f aca="false">R49</f>
        <v>-27038.6361</v>
      </c>
      <c r="S72" s="102" t="n">
        <f aca="false">S49</f>
        <v>-27038.6361</v>
      </c>
      <c r="T72" s="102" t="n">
        <f aca="false">T49</f>
        <v>-27038.6361</v>
      </c>
      <c r="U72" s="102" t="n">
        <f aca="false">U49</f>
        <v>-27038.6361</v>
      </c>
      <c r="V72" s="102" t="n">
        <f aca="false">V49</f>
        <v>-27038.6361</v>
      </c>
      <c r="W72" s="102" t="n">
        <f aca="false">W49</f>
        <v>-27038.6361</v>
      </c>
      <c r="X72" s="95"/>
    </row>
    <row r="73" customFormat="false" ht="18.75" hidden="false" customHeight="true" outlineLevel="0" collapsed="false">
      <c r="B73" s="100" t="s">
        <v>142</v>
      </c>
      <c r="C73" s="92"/>
      <c r="D73" s="102" t="n">
        <f aca="false">D50</f>
        <v>-43610</v>
      </c>
      <c r="E73" s="102" t="n">
        <f aca="false">E50</f>
        <v>-43610</v>
      </c>
      <c r="F73" s="102" t="n">
        <f aca="false">F50</f>
        <v>-43610</v>
      </c>
      <c r="G73" s="102" t="n">
        <f aca="false">G50</f>
        <v>-43610</v>
      </c>
      <c r="H73" s="102" t="n">
        <f aca="false">H50</f>
        <v>-43610</v>
      </c>
      <c r="I73" s="102" t="n">
        <f aca="false">I50</f>
        <v>-43610</v>
      </c>
      <c r="J73" s="102" t="n">
        <f aca="false">J50</f>
        <v>-43610</v>
      </c>
      <c r="K73" s="102" t="n">
        <f aca="false">K50</f>
        <v>-43610</v>
      </c>
      <c r="L73" s="102" t="n">
        <f aca="false">L50</f>
        <v>-43610</v>
      </c>
      <c r="M73" s="102" t="n">
        <f aca="false">M50</f>
        <v>-43610</v>
      </c>
      <c r="N73" s="102" t="n">
        <f aca="false">N50</f>
        <v>0</v>
      </c>
      <c r="O73" s="102" t="n">
        <f aca="false">O50</f>
        <v>0</v>
      </c>
      <c r="P73" s="102" t="n">
        <f aca="false">P50</f>
        <v>0</v>
      </c>
      <c r="Q73" s="102" t="n">
        <f aca="false">Q50</f>
        <v>0</v>
      </c>
      <c r="R73" s="102" t="n">
        <f aca="false">R50</f>
        <v>0</v>
      </c>
      <c r="S73" s="102" t="n">
        <f aca="false">S50</f>
        <v>0</v>
      </c>
      <c r="T73" s="102" t="n">
        <f aca="false">T50</f>
        <v>0</v>
      </c>
      <c r="U73" s="102" t="n">
        <f aca="false">U50</f>
        <v>0</v>
      </c>
      <c r="V73" s="102" t="n">
        <f aca="false">V50</f>
        <v>0</v>
      </c>
      <c r="W73" s="102" t="n">
        <f aca="false">W50</f>
        <v>0</v>
      </c>
      <c r="X73" s="95"/>
    </row>
    <row r="74" customFormat="false" ht="18.75" hidden="false" customHeight="true" outlineLevel="0" collapsed="false">
      <c r="B74" s="100" t="s">
        <v>143</v>
      </c>
      <c r="C74" s="103"/>
      <c r="D74" s="126"/>
      <c r="E74" s="127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5"/>
    </row>
    <row r="75" customFormat="false" ht="18.75" hidden="false" customHeight="true" outlineLevel="0" collapsed="false">
      <c r="B75" s="100" t="s">
        <v>144</v>
      </c>
      <c r="C75" s="10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5"/>
    </row>
    <row r="76" customFormat="false" ht="18.75" hidden="false" customHeight="true" outlineLevel="0" collapsed="false">
      <c r="B76" s="105" t="s">
        <v>152</v>
      </c>
      <c r="C76" s="128"/>
      <c r="D76" s="107" t="n">
        <f aca="false">SUM(D64:D75)</f>
        <v>952098.49822</v>
      </c>
      <c r="E76" s="107" t="n">
        <f aca="false">SUM(E64:E75)</f>
        <v>671915.715265333</v>
      </c>
      <c r="F76" s="107" t="n">
        <f aca="false">SUM(F64:F75)</f>
        <v>681933.932310667</v>
      </c>
      <c r="G76" s="107" t="n">
        <f aca="false">SUM(G64:G75)</f>
        <v>691952.149356</v>
      </c>
      <c r="H76" s="107" t="n">
        <f aca="false">SUM(H64:H75)</f>
        <v>701970.366401333</v>
      </c>
      <c r="I76" s="107" t="n">
        <f aca="false">SUM(I64:I75)</f>
        <v>711988.583446666</v>
      </c>
      <c r="J76" s="107" t="n">
        <f aca="false">SUM(J64:J75)</f>
        <v>722006.800492</v>
      </c>
      <c r="K76" s="107" t="n">
        <f aca="false">SUM(K64:K75)</f>
        <v>732025.017537333</v>
      </c>
      <c r="L76" s="107" t="n">
        <f aca="false">SUM(L64:L75)</f>
        <v>742043.234582666</v>
      </c>
      <c r="M76" s="107" t="n">
        <f aca="false">SUM(M64:M75)</f>
        <v>752061.451628</v>
      </c>
      <c r="N76" s="107" t="n">
        <f aca="false">SUM(N64:N75)</f>
        <v>805689.668673333</v>
      </c>
      <c r="O76" s="107" t="n">
        <f aca="false">SUM(O64:O75)</f>
        <v>815707.885718667</v>
      </c>
      <c r="P76" s="107" t="n">
        <f aca="false">SUM(P64:P75)</f>
        <v>825726.102764</v>
      </c>
      <c r="Q76" s="107" t="n">
        <f aca="false">SUM(Q64:Q75)</f>
        <v>835744.319809333</v>
      </c>
      <c r="R76" s="107" t="n">
        <f aca="false">SUM(R64:R75)</f>
        <v>845762.536854666</v>
      </c>
      <c r="S76" s="107" t="n">
        <f aca="false">SUM(S64:S75)</f>
        <v>855780.7539</v>
      </c>
      <c r="T76" s="107" t="n">
        <f aca="false">SUM(T64:T75)</f>
        <v>847028.7219</v>
      </c>
      <c r="U76" s="107" t="n">
        <f aca="false">SUM(U64:U75)</f>
        <v>838276.6899</v>
      </c>
      <c r="V76" s="107" t="n">
        <f aca="false">SUM(V64:V75)</f>
        <v>829524.6579</v>
      </c>
      <c r="W76" s="107" t="n">
        <f aca="false">SUM(W64:W75)</f>
        <v>820772.6259</v>
      </c>
      <c r="X76" s="107" t="n">
        <f aca="false">SUM(X64:X75)</f>
        <v>0</v>
      </c>
    </row>
    <row r="77" customFormat="false" ht="18.75" hidden="false" customHeight="true" outlineLevel="0" collapsed="false">
      <c r="B77" s="104" t="s">
        <v>146</v>
      </c>
      <c r="C77" s="103"/>
      <c r="D77" s="102" t="n">
        <f aca="false">-D76*0.2</f>
        <v>-190419.699644</v>
      </c>
      <c r="E77" s="102" t="n">
        <f aca="false">-E76*0.2</f>
        <v>-134383.143053067</v>
      </c>
      <c r="F77" s="102" t="n">
        <f aca="false">-F76*0.2</f>
        <v>-136386.786462133</v>
      </c>
      <c r="G77" s="102" t="n">
        <f aca="false">-G76*0.2</f>
        <v>-138390.4298712</v>
      </c>
      <c r="H77" s="102" t="n">
        <f aca="false">-H76*0.2</f>
        <v>-140394.073280267</v>
      </c>
      <c r="I77" s="102" t="n">
        <f aca="false">-I76*0.2</f>
        <v>-142397.716689333</v>
      </c>
      <c r="J77" s="102" t="n">
        <f aca="false">-J76*0.2</f>
        <v>-144401.3600984</v>
      </c>
      <c r="K77" s="102" t="n">
        <f aca="false">-K76*0.2</f>
        <v>-146405.003507467</v>
      </c>
      <c r="L77" s="102" t="n">
        <f aca="false">-L76*0.2</f>
        <v>-148408.646916533</v>
      </c>
      <c r="M77" s="102" t="n">
        <f aca="false">-M76*0.2</f>
        <v>-150412.2903256</v>
      </c>
      <c r="N77" s="102" t="n">
        <f aca="false">-N76*0.2</f>
        <v>-161137.933734667</v>
      </c>
      <c r="O77" s="102" t="n">
        <f aca="false">-O76*0.2</f>
        <v>-163141.577143733</v>
      </c>
      <c r="P77" s="102" t="n">
        <f aca="false">-P76*0.2</f>
        <v>-165145.2205528</v>
      </c>
      <c r="Q77" s="102" t="n">
        <f aca="false">-Q76*0.2</f>
        <v>-167148.863961867</v>
      </c>
      <c r="R77" s="102" t="n">
        <f aca="false">-R76*0.2</f>
        <v>-169152.507370933</v>
      </c>
      <c r="S77" s="102" t="n">
        <f aca="false">-S76*0.2</f>
        <v>-171156.15078</v>
      </c>
      <c r="T77" s="102" t="n">
        <f aca="false">-T76*0.2</f>
        <v>-169405.74438</v>
      </c>
      <c r="U77" s="102" t="n">
        <f aca="false">-U76*0.2</f>
        <v>-167655.33798</v>
      </c>
      <c r="V77" s="102" t="n">
        <f aca="false">-V76*0.2</f>
        <v>-165904.93158</v>
      </c>
      <c r="W77" s="102" t="n">
        <f aca="false">-W76*0.2</f>
        <v>-164154.52518</v>
      </c>
      <c r="X77" s="102" t="n">
        <f aca="false">-X76*0.2</f>
        <v>-0</v>
      </c>
    </row>
    <row r="78" customFormat="false" ht="15.75" hidden="false" customHeight="true" outlineLevel="0" collapsed="false">
      <c r="B78" s="129" t="s">
        <v>153</v>
      </c>
      <c r="D78" s="102" t="n">
        <f aca="false">SUM(D76:D77)</f>
        <v>761678.798576</v>
      </c>
      <c r="E78" s="102" t="n">
        <f aca="false">SUM(E76:E77)</f>
        <v>537532.572212267</v>
      </c>
      <c r="F78" s="102" t="n">
        <f aca="false">SUM(F76:F77)</f>
        <v>545547.145848533</v>
      </c>
      <c r="G78" s="102" t="n">
        <f aca="false">SUM(G76:G77)</f>
        <v>553561.7194848</v>
      </c>
      <c r="H78" s="102" t="n">
        <f aca="false">SUM(H76:H77)</f>
        <v>561576.293121067</v>
      </c>
      <c r="I78" s="102" t="n">
        <f aca="false">SUM(I76:I77)</f>
        <v>569590.866757333</v>
      </c>
      <c r="J78" s="102" t="n">
        <f aca="false">SUM(J76:J77)</f>
        <v>577605.4403936</v>
      </c>
      <c r="K78" s="102" t="n">
        <f aca="false">SUM(K76:K77)</f>
        <v>585620.014029867</v>
      </c>
      <c r="L78" s="102" t="n">
        <f aca="false">SUM(L76:L77)</f>
        <v>593634.587666133</v>
      </c>
      <c r="M78" s="102" t="n">
        <f aca="false">SUM(M76:M77)</f>
        <v>601649.1613024</v>
      </c>
      <c r="N78" s="102" t="n">
        <f aca="false">SUM(N76:N77)</f>
        <v>644551.734938667</v>
      </c>
      <c r="O78" s="102" t="n">
        <f aca="false">SUM(O76:O77)</f>
        <v>652566.308574933</v>
      </c>
      <c r="P78" s="102" t="n">
        <f aca="false">SUM(P76:P77)</f>
        <v>660580.8822112</v>
      </c>
      <c r="Q78" s="102" t="n">
        <f aca="false">SUM(Q76:Q77)</f>
        <v>668595.455847467</v>
      </c>
      <c r="R78" s="102" t="n">
        <f aca="false">SUM(R76:R77)</f>
        <v>676610.029483733</v>
      </c>
      <c r="S78" s="102" t="n">
        <f aca="false">SUM(S76:S77)</f>
        <v>684624.60312</v>
      </c>
      <c r="T78" s="102" t="n">
        <f aca="false">SUM(T76:T77)</f>
        <v>677622.97752</v>
      </c>
      <c r="U78" s="102" t="n">
        <f aca="false">SUM(U76:U77)</f>
        <v>670621.35192</v>
      </c>
      <c r="V78" s="102" t="n">
        <f aca="false">SUM(V76:V77)</f>
        <v>663619.72632</v>
      </c>
      <c r="W78" s="102" t="n">
        <f aca="false">SUM(W76:W77)</f>
        <v>656618.10072</v>
      </c>
      <c r="X78" s="102" t="n">
        <f aca="false">SUM(X76:X77)</f>
        <v>0</v>
      </c>
    </row>
    <row r="79" customFormat="false" ht="18.75" hidden="false" customHeight="true" outlineLevel="0" collapsed="false">
      <c r="B79" s="111" t="s">
        <v>148</v>
      </c>
      <c r="C79" s="114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1"/>
    </row>
    <row r="80" customFormat="false" ht="18.75" hidden="false" customHeight="true" outlineLevel="0" collapsed="false">
      <c r="B80" s="132" t="s">
        <v>149</v>
      </c>
      <c r="C80" s="133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5"/>
    </row>
    <row r="81" customFormat="false" ht="18.75" hidden="false" customHeight="true" outlineLevel="0" collapsed="false">
      <c r="B81" s="120"/>
      <c r="C81" s="119"/>
      <c r="D81" s="119"/>
      <c r="E81" s="119"/>
      <c r="F81" s="120"/>
      <c r="G81" s="120"/>
      <c r="H81" s="120"/>
      <c r="I81" s="120"/>
      <c r="J81" s="120"/>
      <c r="K81" s="120"/>
      <c r="L81" s="120"/>
      <c r="M81" s="119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</row>
    <row r="82" customFormat="false" ht="18.75" hidden="false" customHeight="true" outlineLevel="0" collapsed="false">
      <c r="C82" s="136" t="s">
        <v>130</v>
      </c>
      <c r="D82" s="137" t="n">
        <f aca="false">D37</f>
        <v>2020</v>
      </c>
      <c r="E82" s="137" t="n">
        <f aca="false">E37</f>
        <v>2021</v>
      </c>
      <c r="F82" s="137" t="n">
        <f aca="false">F37</f>
        <v>2022</v>
      </c>
      <c r="G82" s="137" t="n">
        <f aca="false">G37</f>
        <v>2023</v>
      </c>
      <c r="H82" s="137" t="n">
        <f aca="false">H37</f>
        <v>2024</v>
      </c>
      <c r="I82" s="137" t="n">
        <f aca="false">I37</f>
        <v>2025</v>
      </c>
      <c r="J82" s="137" t="n">
        <f aca="false">J37</f>
        <v>2026</v>
      </c>
      <c r="K82" s="137" t="n">
        <f aca="false">K37</f>
        <v>2027</v>
      </c>
      <c r="L82" s="137" t="n">
        <f aca="false">L37</f>
        <v>2028</v>
      </c>
      <c r="M82" s="137" t="n">
        <f aca="false">M37</f>
        <v>2029</v>
      </c>
      <c r="N82" s="137" t="n">
        <f aca="false">N37</f>
        <v>2030</v>
      </c>
      <c r="O82" s="137" t="n">
        <f aca="false">O37</f>
        <v>2031</v>
      </c>
      <c r="P82" s="137" t="n">
        <f aca="false">P37</f>
        <v>2032</v>
      </c>
      <c r="Q82" s="137" t="n">
        <f aca="false">Q37</f>
        <v>2033</v>
      </c>
      <c r="R82" s="137" t="n">
        <f aca="false">R37</f>
        <v>2034</v>
      </c>
      <c r="S82" s="137" t="n">
        <f aca="false">S37</f>
        <v>2035</v>
      </c>
      <c r="T82" s="137" t="n">
        <f aca="false">T37</f>
        <v>2036</v>
      </c>
      <c r="U82" s="137" t="n">
        <f aca="false">U37</f>
        <v>2037</v>
      </c>
      <c r="V82" s="137" t="n">
        <f aca="false">V37</f>
        <v>2038</v>
      </c>
      <c r="W82" s="137" t="n">
        <f aca="false">W37</f>
        <v>2039</v>
      </c>
      <c r="X82" s="12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138" t="s">
        <v>131</v>
      </c>
      <c r="C84" s="138" t="n">
        <v>0</v>
      </c>
      <c r="D84" s="138" t="n">
        <v>1</v>
      </c>
      <c r="E84" s="138" t="n">
        <v>2</v>
      </c>
      <c r="F84" s="138" t="n">
        <v>3</v>
      </c>
      <c r="G84" s="138" t="n">
        <v>4</v>
      </c>
      <c r="H84" s="138" t="n">
        <v>5</v>
      </c>
      <c r="I84" s="138" t="n">
        <v>6</v>
      </c>
      <c r="J84" s="138" t="n">
        <v>7</v>
      </c>
      <c r="K84" s="138" t="n">
        <v>8</v>
      </c>
      <c r="L84" s="138" t="n">
        <v>9</v>
      </c>
      <c r="M84" s="138" t="n">
        <v>10</v>
      </c>
      <c r="N84" s="138" t="n">
        <v>11</v>
      </c>
      <c r="O84" s="138" t="n">
        <v>12</v>
      </c>
      <c r="P84" s="138" t="n">
        <v>13</v>
      </c>
      <c r="Q84" s="138" t="n">
        <v>14</v>
      </c>
      <c r="R84" s="138" t="n">
        <v>15</v>
      </c>
      <c r="S84" s="138" t="n">
        <v>16</v>
      </c>
      <c r="T84" s="138" t="n">
        <v>17</v>
      </c>
      <c r="U84" s="138" t="n">
        <v>18</v>
      </c>
      <c r="V84" s="138" t="n">
        <v>19</v>
      </c>
      <c r="W84" s="138" t="n">
        <v>20</v>
      </c>
      <c r="X84" s="139"/>
    </row>
    <row r="85" customFormat="false" ht="18.75" hidden="false" customHeight="true" outlineLevel="0" collapsed="false">
      <c r="B85" s="140" t="s">
        <v>153</v>
      </c>
      <c r="C85" s="140"/>
      <c r="D85" s="141" t="n">
        <f aca="false">D78</f>
        <v>761678.798576</v>
      </c>
      <c r="E85" s="141" t="n">
        <f aca="false">E78</f>
        <v>537532.572212267</v>
      </c>
      <c r="F85" s="141" t="n">
        <f aca="false">F78</f>
        <v>545547.145848533</v>
      </c>
      <c r="G85" s="141" t="n">
        <f aca="false">G78</f>
        <v>553561.7194848</v>
      </c>
      <c r="H85" s="141" t="n">
        <f aca="false">H78</f>
        <v>561576.293121067</v>
      </c>
      <c r="I85" s="141" t="n">
        <f aca="false">I78</f>
        <v>569590.866757333</v>
      </c>
      <c r="J85" s="141" t="n">
        <f aca="false">J78</f>
        <v>577605.4403936</v>
      </c>
      <c r="K85" s="141" t="n">
        <f aca="false">K78</f>
        <v>585620.014029867</v>
      </c>
      <c r="L85" s="141" t="n">
        <f aca="false">L78</f>
        <v>593634.587666133</v>
      </c>
      <c r="M85" s="141" t="n">
        <f aca="false">M78</f>
        <v>601649.1613024</v>
      </c>
      <c r="N85" s="141" t="n">
        <f aca="false">N78</f>
        <v>644551.734938667</v>
      </c>
      <c r="O85" s="141" t="n">
        <f aca="false">O78</f>
        <v>652566.308574933</v>
      </c>
      <c r="P85" s="141" t="n">
        <f aca="false">P78</f>
        <v>660580.8822112</v>
      </c>
      <c r="Q85" s="141" t="n">
        <f aca="false">Q78</f>
        <v>668595.455847467</v>
      </c>
      <c r="R85" s="141" t="n">
        <f aca="false">R78</f>
        <v>676610.029483733</v>
      </c>
      <c r="S85" s="141" t="n">
        <f aca="false">S78</f>
        <v>684624.60312</v>
      </c>
      <c r="T85" s="141" t="n">
        <f aca="false">T78</f>
        <v>677622.97752</v>
      </c>
      <c r="U85" s="141" t="n">
        <f aca="false">U78</f>
        <v>670621.35192</v>
      </c>
      <c r="V85" s="141" t="n">
        <f aca="false">V78</f>
        <v>663619.72632</v>
      </c>
      <c r="W85" s="141" t="n">
        <f aca="false">W78</f>
        <v>656618.10072</v>
      </c>
      <c r="X85" s="140"/>
      <c r="Y85" s="140"/>
    </row>
    <row r="86" customFormat="false" ht="15.75" hidden="false" customHeight="true" outlineLevel="0" collapsed="false">
      <c r="B86" s="140" t="s">
        <v>154</v>
      </c>
      <c r="C86" s="140"/>
      <c r="D86" s="142" t="n">
        <f aca="false">-D67</f>
        <v>687387.05</v>
      </c>
      <c r="E86" s="142" t="n">
        <f aca="false">-E67</f>
        <v>687387.05</v>
      </c>
      <c r="F86" s="142" t="n">
        <f aca="false">-F67</f>
        <v>687387.05</v>
      </c>
      <c r="G86" s="142" t="n">
        <f aca="false">-G67</f>
        <v>687387.05</v>
      </c>
      <c r="H86" s="142" t="n">
        <f aca="false">-H67</f>
        <v>687387.05</v>
      </c>
      <c r="I86" s="142" t="n">
        <f aca="false">-I67</f>
        <v>687387.05</v>
      </c>
      <c r="J86" s="142" t="n">
        <f aca="false">-J67</f>
        <v>687387.05</v>
      </c>
      <c r="K86" s="142" t="n">
        <f aca="false">-K67</f>
        <v>687387.05</v>
      </c>
      <c r="L86" s="142" t="n">
        <f aca="false">-L67</f>
        <v>687387.05</v>
      </c>
      <c r="M86" s="142" t="n">
        <f aca="false">-M67</f>
        <v>687387.05</v>
      </c>
      <c r="N86" s="142" t="n">
        <f aca="false">-N67</f>
        <v>687387.05</v>
      </c>
      <c r="O86" s="142" t="n">
        <f aca="false">-O67</f>
        <v>687387.05</v>
      </c>
      <c r="P86" s="142" t="n">
        <f aca="false">-P67</f>
        <v>687387.05</v>
      </c>
      <c r="Q86" s="142" t="n">
        <f aca="false">-Q67</f>
        <v>687387.05</v>
      </c>
      <c r="R86" s="142" t="n">
        <f aca="false">-R67</f>
        <v>687387.05</v>
      </c>
      <c r="S86" s="142" t="n">
        <f aca="false">-S67</f>
        <v>687387.05</v>
      </c>
      <c r="T86" s="142" t="n">
        <f aca="false">-T67</f>
        <v>687387.05</v>
      </c>
      <c r="U86" s="142" t="n">
        <f aca="false">-U67</f>
        <v>687387.05</v>
      </c>
      <c r="V86" s="142" t="n">
        <f aca="false">-V67</f>
        <v>687387.05</v>
      </c>
      <c r="W86" s="142" t="n">
        <f aca="false">-W67</f>
        <v>687387.05</v>
      </c>
      <c r="X86" s="143"/>
      <c r="Y86" s="143"/>
    </row>
    <row r="87" customFormat="false" ht="15.75" hidden="false" customHeight="true" outlineLevel="0" collapsed="false">
      <c r="B87" s="140" t="s">
        <v>155</v>
      </c>
      <c r="C87" s="140"/>
      <c r="D87" s="144" t="n">
        <f aca="false">SUM(D85:D86)</f>
        <v>1449065.848576</v>
      </c>
      <c r="E87" s="144" t="n">
        <f aca="false">SUM(E85:E86)</f>
        <v>1224919.62221227</v>
      </c>
      <c r="F87" s="144" t="n">
        <f aca="false">SUM(F85:F86)</f>
        <v>1232934.19584853</v>
      </c>
      <c r="G87" s="144" t="n">
        <f aca="false">SUM(G85:G86)</f>
        <v>1240948.7694848</v>
      </c>
      <c r="H87" s="144" t="n">
        <f aca="false">SUM(H85:H86)</f>
        <v>1248963.34312107</v>
      </c>
      <c r="I87" s="144" t="n">
        <f aca="false">SUM(I85:I86)</f>
        <v>1256977.91675733</v>
      </c>
      <c r="J87" s="144" t="n">
        <f aca="false">SUM(J85:J86)</f>
        <v>1264992.4903936</v>
      </c>
      <c r="K87" s="144" t="n">
        <f aca="false">SUM(K85:K86)</f>
        <v>1273007.06402987</v>
      </c>
      <c r="L87" s="144" t="n">
        <f aca="false">SUM(L85:L86)</f>
        <v>1281021.63766613</v>
      </c>
      <c r="M87" s="144" t="n">
        <f aca="false">SUM(M85:M86)</f>
        <v>1289036.2113024</v>
      </c>
      <c r="N87" s="144" t="n">
        <f aca="false">SUM(N85:N86)</f>
        <v>1331938.78493867</v>
      </c>
      <c r="O87" s="144" t="n">
        <f aca="false">SUM(O85:O86)</f>
        <v>1339953.35857493</v>
      </c>
      <c r="P87" s="144" t="n">
        <f aca="false">SUM(P85:P86)</f>
        <v>1347967.9322112</v>
      </c>
      <c r="Q87" s="144" t="n">
        <f aca="false">SUM(Q85:Q86)</f>
        <v>1355982.50584747</v>
      </c>
      <c r="R87" s="144" t="n">
        <f aca="false">SUM(R85:R86)</f>
        <v>1363997.07948373</v>
      </c>
      <c r="S87" s="144" t="n">
        <f aca="false">SUM(S85:S86)</f>
        <v>1372011.65312</v>
      </c>
      <c r="T87" s="144" t="n">
        <f aca="false">SUM(T85:T86)</f>
        <v>1365010.02752</v>
      </c>
      <c r="U87" s="144" t="n">
        <f aca="false">SUM(U85:U86)</f>
        <v>1358008.40192</v>
      </c>
      <c r="V87" s="144" t="n">
        <f aca="false">SUM(V85:V86)</f>
        <v>1351006.77632</v>
      </c>
      <c r="W87" s="144" t="n">
        <f aca="false">SUM(W85:W86)</f>
        <v>1344005.15072</v>
      </c>
      <c r="X87" s="110"/>
    </row>
    <row r="88" customFormat="false" ht="15.75" hidden="false" customHeight="true" outlineLevel="0" collapsed="false">
      <c r="B88" s="140"/>
      <c r="C88" s="140"/>
      <c r="D88" s="140"/>
      <c r="E88" s="140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9"/>
    </row>
    <row r="89" customFormat="false" ht="15.75" hidden="false" customHeight="true" outlineLevel="0" collapsed="false">
      <c r="B89" s="146" t="s">
        <v>156</v>
      </c>
      <c r="C89" s="147"/>
      <c r="D89" s="148" t="n">
        <f aca="false">C44</f>
        <v>-13747741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9"/>
    </row>
    <row r="90" customFormat="false" ht="15.75" hidden="false" customHeight="true" outlineLevel="0" collapsed="false">
      <c r="B90" s="140"/>
      <c r="C90" s="140"/>
      <c r="D90" s="140"/>
      <c r="E90" s="140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9"/>
    </row>
    <row r="91" customFormat="false" ht="15.75" hidden="false" customHeight="true" outlineLevel="0" collapsed="false">
      <c r="B91" s="140"/>
      <c r="C91" s="140"/>
      <c r="D91" s="140"/>
      <c r="E91" s="140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9"/>
    </row>
    <row r="92" customFormat="false" ht="15.75" hidden="false" customHeight="true" outlineLevel="0" collapsed="false">
      <c r="B92" s="146" t="s">
        <v>157</v>
      </c>
      <c r="C92" s="147"/>
      <c r="D92" s="148" t="n">
        <f aca="false">-D89*D31</f>
        <v>10998192.8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09"/>
    </row>
    <row r="93" customFormat="false" ht="15.75" hidden="false" customHeight="true" outlineLevel="0" collapsed="false">
      <c r="B93" s="140" t="s">
        <v>158</v>
      </c>
      <c r="C93" s="140"/>
      <c r="D93" s="150"/>
      <c r="E93" s="150" t="n">
        <v>-733212.853333333</v>
      </c>
      <c r="F93" s="150" t="n">
        <v>-733212.853333333</v>
      </c>
      <c r="G93" s="150" t="n">
        <v>-733212.853333333</v>
      </c>
      <c r="H93" s="150" t="n">
        <v>-733212.853333333</v>
      </c>
      <c r="I93" s="150" t="n">
        <v>-733212.853333333</v>
      </c>
      <c r="J93" s="150" t="n">
        <v>-733212.853333333</v>
      </c>
      <c r="K93" s="150" t="n">
        <v>-733212.853333333</v>
      </c>
      <c r="L93" s="150" t="n">
        <v>-733212.853333333</v>
      </c>
      <c r="M93" s="150" t="n">
        <v>-733212.853333333</v>
      </c>
      <c r="N93" s="150" t="n">
        <v>-733212.853333333</v>
      </c>
      <c r="O93" s="150" t="n">
        <v>-733212.853333333</v>
      </c>
      <c r="P93" s="150" t="n">
        <v>-733212.853333333</v>
      </c>
      <c r="Q93" s="150" t="n">
        <v>-733212.853333333</v>
      </c>
      <c r="R93" s="150" t="n">
        <v>-733212.853333333</v>
      </c>
      <c r="S93" s="150" t="n">
        <v>-733212.853333333</v>
      </c>
      <c r="T93" s="150" t="n">
        <v>0</v>
      </c>
      <c r="U93" s="150" t="n">
        <v>0</v>
      </c>
      <c r="V93" s="150" t="n">
        <v>0</v>
      </c>
      <c r="W93" s="150" t="n">
        <v>0</v>
      </c>
      <c r="X93" s="149"/>
    </row>
    <row r="94" customFormat="false" ht="15.75" hidden="false" customHeight="true" outlineLevel="0" collapsed="false">
      <c r="B94" s="140" t="s">
        <v>159</v>
      </c>
      <c r="C94" s="145"/>
      <c r="D94" s="141" t="n">
        <f aca="false">-D89*(1-D31)</f>
        <v>2749548.2</v>
      </c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10"/>
    </row>
    <row r="95" customFormat="false" ht="15.75" hidden="false" customHeight="true" outlineLevel="0" collapsed="false">
      <c r="B95" s="140" t="s">
        <v>67</v>
      </c>
      <c r="C95" s="145"/>
      <c r="D95" s="145"/>
      <c r="E95" s="151" t="n">
        <f aca="false">-D85*$D$33</f>
        <v>-685510.9187184</v>
      </c>
      <c r="F95" s="151" t="n">
        <f aca="false">-E85*$D$33</f>
        <v>-483779.31499104</v>
      </c>
      <c r="G95" s="151" t="n">
        <f aca="false">-F85*$D$33</f>
        <v>-490992.43126368</v>
      </c>
      <c r="H95" s="151" t="n">
        <f aca="false">-G85*$D$33</f>
        <v>-498205.54753632</v>
      </c>
      <c r="I95" s="151" t="n">
        <f aca="false">-H85*$D$33</f>
        <v>-505418.66380896</v>
      </c>
      <c r="J95" s="151" t="n">
        <f aca="false">-I85*$D$33</f>
        <v>-512631.7800816</v>
      </c>
      <c r="K95" s="151" t="n">
        <f aca="false">-J85*$D$33</f>
        <v>-519844.89635424</v>
      </c>
      <c r="L95" s="151" t="n">
        <f aca="false">-K85*$D$33</f>
        <v>-527058.01262688</v>
      </c>
      <c r="M95" s="151" t="n">
        <f aca="false">-L85*$D$33</f>
        <v>-534271.12889952</v>
      </c>
      <c r="N95" s="151" t="n">
        <f aca="false">-M85*$D$33</f>
        <v>-541484.24517216</v>
      </c>
      <c r="O95" s="151" t="n">
        <f aca="false">-N85*$D$33</f>
        <v>-580096.5614448</v>
      </c>
      <c r="P95" s="151" t="n">
        <f aca="false">-O85*$D$33</f>
        <v>-587309.67771744</v>
      </c>
      <c r="Q95" s="151" t="n">
        <f aca="false">-P85*$D$33</f>
        <v>-594522.79399008</v>
      </c>
      <c r="R95" s="151" t="n">
        <f aca="false">-Q85*$D$33</f>
        <v>-601735.91026272</v>
      </c>
      <c r="S95" s="151" t="n">
        <f aca="false">-R85*$D$33</f>
        <v>-608949.02653536</v>
      </c>
      <c r="T95" s="151" t="n">
        <f aca="false">-S85*$D$33</f>
        <v>-616162.142808</v>
      </c>
      <c r="U95" s="151" t="n">
        <f aca="false">-T85*$D$33</f>
        <v>-609860.679768</v>
      </c>
      <c r="V95" s="151" t="n">
        <f aca="false">-U85*$D$33</f>
        <v>-603559.216728</v>
      </c>
      <c r="W95" s="151" t="n">
        <f aca="false">-V85*$D$33</f>
        <v>-597257.753688</v>
      </c>
      <c r="X95" s="151" t="n">
        <f aca="false">-W85*$D$33</f>
        <v>-590956.290648</v>
      </c>
    </row>
    <row r="96" customFormat="false" ht="15.75" hidden="false" customHeight="true" outlineLevel="0" collapsed="false">
      <c r="B96" s="152" t="s">
        <v>70</v>
      </c>
      <c r="C96" s="153"/>
      <c r="D96" s="153" t="n">
        <v>0</v>
      </c>
      <c r="E96" s="154" t="n">
        <v>0</v>
      </c>
      <c r="F96" s="154" t="n">
        <v>0</v>
      </c>
      <c r="G96" s="154" t="n">
        <v>0</v>
      </c>
      <c r="H96" s="154" t="n">
        <v>0</v>
      </c>
      <c r="I96" s="154" t="n">
        <v>0</v>
      </c>
      <c r="J96" s="154" t="n">
        <v>0</v>
      </c>
      <c r="K96" s="154" t="n">
        <v>0</v>
      </c>
      <c r="L96" s="154" t="n">
        <v>0</v>
      </c>
      <c r="M96" s="154" t="n">
        <v>0</v>
      </c>
      <c r="N96" s="154" t="n">
        <v>0</v>
      </c>
      <c r="O96" s="154" t="n">
        <v>0</v>
      </c>
      <c r="P96" s="154" t="n">
        <v>0</v>
      </c>
      <c r="Q96" s="154" t="n">
        <v>0</v>
      </c>
      <c r="R96" s="154" t="n">
        <v>0</v>
      </c>
      <c r="S96" s="154" t="n">
        <v>0</v>
      </c>
      <c r="T96" s="154" t="n">
        <v>-687387.05</v>
      </c>
      <c r="U96" s="154" t="n">
        <v>-687387.05</v>
      </c>
      <c r="V96" s="154" t="n">
        <v>-687387.05</v>
      </c>
      <c r="W96" s="154" t="n">
        <v>-687387.05</v>
      </c>
      <c r="X96" s="155" t="n">
        <f aca="false">-W101-X95</f>
        <v>-1254400.7770048</v>
      </c>
    </row>
    <row r="97" customFormat="false" ht="15.75" hidden="false" customHeight="true" outlineLevel="0" collapsed="false"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10"/>
    </row>
    <row r="98" customFormat="false" ht="15.75" hidden="false" customHeight="true" outlineLevel="0" collapsed="false"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10"/>
    </row>
    <row r="99" customFormat="false" ht="15.75" hidden="false" customHeight="true" outlineLevel="0" collapsed="false">
      <c r="B99" s="140" t="s">
        <v>160</v>
      </c>
      <c r="C99" s="141" t="n">
        <v>0</v>
      </c>
      <c r="D99" s="141" t="n">
        <f aca="false">SUM(D87:D96)</f>
        <v>1449065.848576</v>
      </c>
      <c r="E99" s="141" t="n">
        <f aca="false">SUM(E87:E96)</f>
        <v>-193804.149839467</v>
      </c>
      <c r="F99" s="141" t="n">
        <f aca="false">SUM(F87:F96)</f>
        <v>15942.0275241602</v>
      </c>
      <c r="G99" s="141" t="n">
        <f aca="false">SUM(G87:G96)</f>
        <v>16743.4848877864</v>
      </c>
      <c r="H99" s="141" t="n">
        <f aca="false">SUM(H87:H96)</f>
        <v>17544.9422514134</v>
      </c>
      <c r="I99" s="141" t="n">
        <f aca="false">SUM(I87:I96)</f>
        <v>18346.3996150398</v>
      </c>
      <c r="J99" s="141" t="n">
        <f aca="false">SUM(J87:J96)</f>
        <v>19147.8569786668</v>
      </c>
      <c r="K99" s="141" t="n">
        <f aca="false">SUM(K87:K96)</f>
        <v>19949.3143422934</v>
      </c>
      <c r="L99" s="141" t="n">
        <f aca="false">SUM(L87:L96)</f>
        <v>20750.7717059199</v>
      </c>
      <c r="M99" s="141" t="n">
        <f aca="false">SUM(M87:M96)</f>
        <v>21552.2290695468</v>
      </c>
      <c r="N99" s="141" t="n">
        <f aca="false">SUM(N87:N96)</f>
        <v>57241.6864331731</v>
      </c>
      <c r="O99" s="141" t="n">
        <f aca="false">SUM(O87:O96)</f>
        <v>26643.9437968001</v>
      </c>
      <c r="P99" s="141" t="n">
        <f aca="false">SUM(P87:P96)</f>
        <v>27445.4011604263</v>
      </c>
      <c r="Q99" s="141" t="n">
        <f aca="false">SUM(Q87:Q96)</f>
        <v>28246.8585240534</v>
      </c>
      <c r="R99" s="141" t="n">
        <f aca="false">SUM(R87:R96)</f>
        <v>29048.3158876797</v>
      </c>
      <c r="S99" s="141" t="n">
        <f aca="false">SUM(S87:S96)</f>
        <v>29849.7732513067</v>
      </c>
      <c r="T99" s="141" t="n">
        <f aca="false">SUM(T87:T96)</f>
        <v>61460.8347120001</v>
      </c>
      <c r="U99" s="141" t="n">
        <f aca="false">SUM(U87:U96)</f>
        <v>60760.6721520001</v>
      </c>
      <c r="V99" s="141" t="n">
        <f aca="false">SUM(V87:V96)</f>
        <v>60060.5095919997</v>
      </c>
      <c r="W99" s="141" t="n">
        <f aca="false">SUM(W87:W96)</f>
        <v>59360.347032</v>
      </c>
      <c r="X99" s="110"/>
    </row>
    <row r="100" customFormat="false" ht="15.75" hidden="false" customHeight="true" outlineLevel="0" collapsed="false">
      <c r="B100" s="140" t="s">
        <v>161</v>
      </c>
      <c r="C100" s="141" t="n">
        <v>0</v>
      </c>
      <c r="D100" s="141" t="n">
        <f aca="false">C101</f>
        <v>0</v>
      </c>
      <c r="E100" s="141" t="n">
        <f aca="false">D101</f>
        <v>1449065.848576</v>
      </c>
      <c r="F100" s="141" t="n">
        <f aca="false">E101</f>
        <v>1255261.69873653</v>
      </c>
      <c r="G100" s="141" t="n">
        <f aca="false">F101</f>
        <v>1271203.72626069</v>
      </c>
      <c r="H100" s="141" t="n">
        <f aca="false">G101</f>
        <v>1287947.21114848</v>
      </c>
      <c r="I100" s="141" t="n">
        <f aca="false">H101</f>
        <v>1305492.15339989</v>
      </c>
      <c r="J100" s="141" t="n">
        <f aca="false">I101</f>
        <v>1323838.55301493</v>
      </c>
      <c r="K100" s="141" t="n">
        <f aca="false">J101</f>
        <v>1342986.4099936</v>
      </c>
      <c r="L100" s="141" t="n">
        <f aca="false">K101</f>
        <v>1362935.72433589</v>
      </c>
      <c r="M100" s="141" t="n">
        <f aca="false">L101</f>
        <v>1383686.49604181</v>
      </c>
      <c r="N100" s="141" t="n">
        <f aca="false">M101</f>
        <v>1405238.72511136</v>
      </c>
      <c r="O100" s="141" t="n">
        <f aca="false">N101</f>
        <v>1462480.41154453</v>
      </c>
      <c r="P100" s="141" t="n">
        <f aca="false">O101</f>
        <v>1489124.35534133</v>
      </c>
      <c r="Q100" s="141" t="n">
        <f aca="false">P101</f>
        <v>1516569.75650176</v>
      </c>
      <c r="R100" s="141" t="n">
        <f aca="false">Q101</f>
        <v>1544816.61502581</v>
      </c>
      <c r="S100" s="141" t="n">
        <f aca="false">R101</f>
        <v>1573864.93091349</v>
      </c>
      <c r="T100" s="141" t="n">
        <f aca="false">S101</f>
        <v>1603714.7041648</v>
      </c>
      <c r="U100" s="141" t="n">
        <f aca="false">T101</f>
        <v>1665175.5388768</v>
      </c>
      <c r="V100" s="141" t="n">
        <f aca="false">U101</f>
        <v>1725936.2110288</v>
      </c>
      <c r="W100" s="141" t="n">
        <f aca="false">V101</f>
        <v>1785996.7206208</v>
      </c>
      <c r="X100" s="109"/>
    </row>
    <row r="101" customFormat="false" ht="15.75" hidden="false" customHeight="true" outlineLevel="0" collapsed="false">
      <c r="B101" s="140" t="s">
        <v>162</v>
      </c>
      <c r="C101" s="141" t="n">
        <v>0</v>
      </c>
      <c r="D101" s="141" t="n">
        <f aca="false">D99+D100</f>
        <v>1449065.848576</v>
      </c>
      <c r="E101" s="141" t="n">
        <f aca="false">E99+E100</f>
        <v>1255261.69873653</v>
      </c>
      <c r="F101" s="141" t="n">
        <f aca="false">F99+F100</f>
        <v>1271203.72626069</v>
      </c>
      <c r="G101" s="141" t="n">
        <f aca="false">G99+G100</f>
        <v>1287947.21114848</v>
      </c>
      <c r="H101" s="141" t="n">
        <f aca="false">H99+H100</f>
        <v>1305492.15339989</v>
      </c>
      <c r="I101" s="141" t="n">
        <f aca="false">I99+I100</f>
        <v>1323838.55301493</v>
      </c>
      <c r="J101" s="141" t="n">
        <f aca="false">J99+J100</f>
        <v>1342986.4099936</v>
      </c>
      <c r="K101" s="141" t="n">
        <f aca="false">K99+K100</f>
        <v>1362935.72433589</v>
      </c>
      <c r="L101" s="141" t="n">
        <f aca="false">L99+L100</f>
        <v>1383686.49604181</v>
      </c>
      <c r="M101" s="141" t="n">
        <f aca="false">M99+M100</f>
        <v>1405238.72511136</v>
      </c>
      <c r="N101" s="141" t="n">
        <f aca="false">N99+N100</f>
        <v>1462480.41154453</v>
      </c>
      <c r="O101" s="141" t="n">
        <f aca="false">O99+O100</f>
        <v>1489124.35534133</v>
      </c>
      <c r="P101" s="141" t="n">
        <f aca="false">P99+P100</f>
        <v>1516569.75650176</v>
      </c>
      <c r="Q101" s="141" t="n">
        <f aca="false">Q99+Q100</f>
        <v>1544816.61502581</v>
      </c>
      <c r="R101" s="141" t="n">
        <f aca="false">R99+R100</f>
        <v>1573864.93091349</v>
      </c>
      <c r="S101" s="141" t="n">
        <f aca="false">S99+S100</f>
        <v>1603714.7041648</v>
      </c>
      <c r="T101" s="141" t="n">
        <f aca="false">T99+T100</f>
        <v>1665175.5388768</v>
      </c>
      <c r="U101" s="141" t="n">
        <f aca="false">U99+U100</f>
        <v>1725936.2110288</v>
      </c>
      <c r="V101" s="141" t="n">
        <f aca="false">V99+V100</f>
        <v>1785996.7206208</v>
      </c>
      <c r="W101" s="141" t="n">
        <f aca="false">W99+W100</f>
        <v>1845357.0676528</v>
      </c>
      <c r="X101" s="109"/>
    </row>
    <row r="102" customFormat="false" ht="15.75" hidden="false" customHeight="true" outlineLevel="0" collapsed="false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</row>
    <row r="103" customFormat="false" ht="15.75" hidden="false" customHeight="true" outlineLevel="0" collapsed="false">
      <c r="B103" s="140"/>
      <c r="C103" s="140"/>
      <c r="D103" s="140"/>
      <c r="E103" s="140"/>
      <c r="F103" s="145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</row>
    <row r="104" customFormat="false" ht="15.75" hidden="false" customHeight="true" outlineLevel="0" collapsed="false">
      <c r="B104" s="156" t="s">
        <v>163</v>
      </c>
      <c r="C104" s="157"/>
      <c r="D104" s="158" t="n">
        <f aca="false">-D94</f>
        <v>-2749548.2</v>
      </c>
      <c r="E104" s="144" t="n">
        <f aca="false">-E95-E96</f>
        <v>685510.9187184</v>
      </c>
      <c r="F104" s="144" t="n">
        <f aca="false">-F95-F96</f>
        <v>483779.31499104</v>
      </c>
      <c r="G104" s="144" t="n">
        <f aca="false">-G95-G96</f>
        <v>490992.43126368</v>
      </c>
      <c r="H104" s="144" t="n">
        <f aca="false">-H95-H96</f>
        <v>498205.54753632</v>
      </c>
      <c r="I104" s="144" t="n">
        <f aca="false">-I95-I96</f>
        <v>505418.66380896</v>
      </c>
      <c r="J104" s="144" t="n">
        <f aca="false">-J95-J96</f>
        <v>512631.7800816</v>
      </c>
      <c r="K104" s="144" t="n">
        <f aca="false">-K95-K96</f>
        <v>519844.89635424</v>
      </c>
      <c r="L104" s="144" t="n">
        <f aca="false">-L95-L96</f>
        <v>527058.01262688</v>
      </c>
      <c r="M104" s="144" t="n">
        <f aca="false">-M95-M96</f>
        <v>534271.12889952</v>
      </c>
      <c r="N104" s="144" t="n">
        <f aca="false">-N95-N96</f>
        <v>541484.24517216</v>
      </c>
      <c r="O104" s="144" t="n">
        <f aca="false">-O95-O96</f>
        <v>580096.5614448</v>
      </c>
      <c r="P104" s="144" t="n">
        <f aca="false">-P95-P96</f>
        <v>587309.67771744</v>
      </c>
      <c r="Q104" s="144" t="n">
        <f aca="false">-Q95-Q96</f>
        <v>594522.79399008</v>
      </c>
      <c r="R104" s="144" t="n">
        <f aca="false">-R95-R96</f>
        <v>601735.91026272</v>
      </c>
      <c r="S104" s="144" t="n">
        <f aca="false">-S95-S96</f>
        <v>608949.02653536</v>
      </c>
      <c r="T104" s="144" t="n">
        <f aca="false">-T95-T96</f>
        <v>1303549.192808</v>
      </c>
      <c r="U104" s="144" t="n">
        <f aca="false">-U95-U96</f>
        <v>1297247.729768</v>
      </c>
      <c r="V104" s="144" t="n">
        <f aca="false">-V95-V96</f>
        <v>1290946.266728</v>
      </c>
      <c r="W104" s="144" t="n">
        <f aca="false">-W95-W96</f>
        <v>1284644.803688</v>
      </c>
      <c r="X104" s="144" t="n">
        <f aca="false">-X95-X96</f>
        <v>1845357.0676528</v>
      </c>
    </row>
    <row r="105" customFormat="false" ht="15.75" hidden="false" customHeight="true" outlineLevel="0" collapsed="false">
      <c r="B105" s="140" t="s">
        <v>75</v>
      </c>
      <c r="C105" s="159" t="n">
        <f aca="false">IRR(D104:X104)</f>
        <v>0.204786165871841</v>
      </c>
      <c r="D105" s="145"/>
      <c r="E105" s="145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</row>
    <row r="106" customFormat="false" ht="15.75" hidden="false" customHeight="true" outlineLevel="0" collapsed="false">
      <c r="B106" s="156" t="s">
        <v>164</v>
      </c>
      <c r="C106" s="157"/>
      <c r="D106" s="158" t="n">
        <f aca="false">D85-D94</f>
        <v>-1987869.401424</v>
      </c>
      <c r="E106" s="144" t="n">
        <f aca="false">E85</f>
        <v>537532.572212267</v>
      </c>
      <c r="F106" s="144" t="n">
        <f aca="false">F85-F96</f>
        <v>545547.145848533</v>
      </c>
      <c r="G106" s="144" t="n">
        <f aca="false">G85-G96</f>
        <v>553561.7194848</v>
      </c>
      <c r="H106" s="144" t="n">
        <f aca="false">H85-H96</f>
        <v>561576.293121067</v>
      </c>
      <c r="I106" s="144" t="n">
        <f aca="false">I85-I96</f>
        <v>569590.866757333</v>
      </c>
      <c r="J106" s="144" t="n">
        <f aca="false">J85-J96</f>
        <v>577605.4403936</v>
      </c>
      <c r="K106" s="144" t="n">
        <f aca="false">K85-K96</f>
        <v>585620.014029867</v>
      </c>
      <c r="L106" s="144" t="n">
        <f aca="false">L85-L96</f>
        <v>593634.587666133</v>
      </c>
      <c r="M106" s="144" t="n">
        <f aca="false">M85-M96</f>
        <v>601649.1613024</v>
      </c>
      <c r="N106" s="144" t="n">
        <f aca="false">N85-N96</f>
        <v>644551.734938667</v>
      </c>
      <c r="O106" s="144" t="n">
        <f aca="false">O85-O96</f>
        <v>652566.308574933</v>
      </c>
      <c r="P106" s="144" t="n">
        <f aca="false">P85-P96</f>
        <v>660580.8822112</v>
      </c>
      <c r="Q106" s="144" t="n">
        <f aca="false">Q85-Q96</f>
        <v>668595.455847467</v>
      </c>
      <c r="R106" s="144" t="n">
        <f aca="false">R85-R96</f>
        <v>676610.029483733</v>
      </c>
      <c r="S106" s="144" t="n">
        <f aca="false">S85-S96</f>
        <v>684624.60312</v>
      </c>
      <c r="T106" s="144" t="n">
        <f aca="false">T85-T96</f>
        <v>1365010.02752</v>
      </c>
      <c r="U106" s="144" t="n">
        <f aca="false">U85-U96</f>
        <v>1358008.40192</v>
      </c>
      <c r="V106" s="144" t="n">
        <f aca="false">V85-V96</f>
        <v>1351006.77632</v>
      </c>
      <c r="W106" s="144" t="n">
        <f aca="false">W85-W96</f>
        <v>1344005.15072</v>
      </c>
      <c r="X106" s="149"/>
    </row>
    <row r="107" customFormat="false" ht="15.75" hidden="false" customHeight="true" outlineLevel="0" collapsed="false">
      <c r="B107" s="156" t="s">
        <v>76</v>
      </c>
      <c r="C107" s="159" t="n">
        <f aca="false">IRR(D106:W106)</f>
        <v>0.287832825725906</v>
      </c>
      <c r="D107" s="145"/>
      <c r="E107" s="145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</row>
    <row r="108" customFormat="false" ht="15.75" hidden="false" customHeight="true" outlineLevel="0" collapsed="false"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</row>
    <row r="109" customFormat="false" ht="15.75" hidden="false" customHeight="true" outlineLevel="0" collapsed="false">
      <c r="B109" s="140" t="s">
        <v>165</v>
      </c>
      <c r="C109" s="141" t="n">
        <v>0</v>
      </c>
      <c r="D109" s="141" t="n">
        <f aca="false">D92</f>
        <v>10998192.8</v>
      </c>
      <c r="E109" s="141" t="n">
        <f aca="false">D109+E93</f>
        <v>10264979.9466667</v>
      </c>
      <c r="F109" s="141" t="n">
        <f aca="false">E109+F93</f>
        <v>9531767.09333334</v>
      </c>
      <c r="G109" s="141" t="n">
        <f aca="false">F109+G93</f>
        <v>8798554.24</v>
      </c>
      <c r="H109" s="141" t="n">
        <f aca="false">G109+H93</f>
        <v>8065341.38666667</v>
      </c>
      <c r="I109" s="141" t="n">
        <f aca="false">H109+I93</f>
        <v>7332128.53333334</v>
      </c>
      <c r="J109" s="141" t="n">
        <f aca="false">I109+J93</f>
        <v>6598915.68</v>
      </c>
      <c r="K109" s="141" t="n">
        <f aca="false">J109+K93</f>
        <v>5865702.82666667</v>
      </c>
      <c r="L109" s="141" t="n">
        <f aca="false">K109+L93</f>
        <v>5132489.97333334</v>
      </c>
      <c r="M109" s="141" t="n">
        <f aca="false">L109+M93</f>
        <v>4399277.12</v>
      </c>
      <c r="N109" s="141" t="n">
        <f aca="false">M109+N93</f>
        <v>3666064.26666667</v>
      </c>
      <c r="O109" s="141" t="n">
        <f aca="false">N109+O93</f>
        <v>2932851.41333333</v>
      </c>
      <c r="P109" s="141" t="n">
        <f aca="false">O109+P93</f>
        <v>2199638.56</v>
      </c>
      <c r="Q109" s="141" t="n">
        <f aca="false">P109+Q93</f>
        <v>1466425.70666667</v>
      </c>
      <c r="R109" s="141" t="n">
        <f aca="false">Q109+R93</f>
        <v>733212.853333334</v>
      </c>
      <c r="S109" s="141" t="n">
        <f aca="false">R109+S93</f>
        <v>0</v>
      </c>
      <c r="T109" s="141" t="n">
        <f aca="false">S109+T93</f>
        <v>0</v>
      </c>
      <c r="U109" s="141" t="n">
        <f aca="false">T109+U93</f>
        <v>0</v>
      </c>
      <c r="V109" s="141" t="n">
        <f aca="false">U109+V93</f>
        <v>0</v>
      </c>
      <c r="W109" s="141" t="n">
        <f aca="false">V109+W93</f>
        <v>0</v>
      </c>
      <c r="X1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2026-04-12T05:27:38Z</dcterms:created>
  <dc:creator>openpyxl</dc:creator>
  <dc:description/>
  <dc:language>zh-TW</dc:language>
  <cp:lastModifiedBy>王竣生</cp:lastModifiedBy>
  <dcterms:modified xsi:type="dcterms:W3CDTF">2026-04-17T09:25:08Z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