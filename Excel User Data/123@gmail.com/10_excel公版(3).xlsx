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空白範例" sheetId="1" state="visible" r:id="rId3"/>
    <sheet name="滾算紀錄單(總紀錄)" sheetId="2" state="visible" r:id="rId4"/>
    <sheet name="p1" sheetId="3" state="visible" r:id="rId5"/>
    <sheet name="p2" sheetId="4" state="visible" r:id="rId6"/>
    <sheet name="p3" sheetId="5" state="visible" r:id="rId7"/>
    <sheet name="p4" sheetId="6" state="visible" r:id="rId8"/>
    <sheet name="p5" sheetId="7" state="visible" r:id="rId9"/>
    <sheet name="p6" sheetId="8" state="visible" r:id="rId10"/>
    <sheet name="p7" sheetId="9" state="visible" r:id="rId11"/>
    <sheet name="p8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<sst xmlns="http://schemas.openxmlformats.org/spreadsheetml/2006/main" count="740" uniqueCount="131">
  <si>
    <r>
      <rPr>
        <b val="true"/>
        <sz val="12"/>
        <color theme="0"/>
        <rFont val="新細明體"/>
        <family val="2"/>
        <charset val="1"/>
      </rPr>
      <t xml:space="preserve">電站基本資料</t>
    </r>
    <r>
      <rPr>
        <b val="true"/>
        <sz val="12"/>
        <color theme="0"/>
        <rFont val="Calibri"/>
        <family val="2"/>
        <charset val="1"/>
      </rPr>
      <t xml:space="preserve">(</t>
    </r>
    <r>
      <rPr>
        <b val="true"/>
        <sz val="12"/>
        <color theme="0"/>
        <rFont val="新細明體"/>
        <family val="2"/>
        <charset val="1"/>
      </rPr>
      <t xml:space="preserve">請填寫著色處</t>
    </r>
    <r>
      <rPr>
        <b val="true"/>
        <sz val="12"/>
        <color theme="0"/>
        <rFont val="Calibri"/>
        <family val="2"/>
        <charset val="1"/>
      </rPr>
      <t xml:space="preserve">)</t>
    </r>
  </si>
  <si>
    <t xml:space="preserve">說明</t>
  </si>
  <si>
    <t xml:space="preserve">電站名稱</t>
  </si>
  <si>
    <t xml:space="preserve">淡江大學</t>
  </si>
  <si>
    <t xml:space="preserve">-</t>
  </si>
  <si>
    <t xml:space="preserve">填入本案場名稱</t>
  </si>
  <si>
    <t xml:space="preserve">電站壽命</t>
  </si>
  <si>
    <r>
      <rPr>
        <sz val="10"/>
        <color rgb="FF404040"/>
        <rFont val="新細明體"/>
        <family val="2"/>
        <charset val="1"/>
      </rPr>
      <t xml:space="preserve">預設 </t>
    </r>
    <r>
      <rPr>
        <sz val="10"/>
        <color rgb="FF404040"/>
        <rFont val="Calibri"/>
        <family val="2"/>
        <charset val="1"/>
      </rPr>
      <t xml:space="preserve">20 </t>
    </r>
    <r>
      <rPr>
        <sz val="10"/>
        <color rgb="FF404040"/>
        <rFont val="新細明體"/>
        <family val="2"/>
        <charset val="1"/>
      </rPr>
      <t xml:space="preserve">年，代表財務評估年期。若合約年限不同可依實際情況修改</t>
    </r>
  </si>
  <si>
    <r>
      <rPr>
        <sz val="12"/>
        <color theme="1"/>
        <rFont val="新細明體"/>
        <family val="2"/>
        <charset val="1"/>
      </rPr>
      <t xml:space="preserve">建置量</t>
    </r>
    <r>
      <rPr>
        <sz val="12"/>
        <color theme="1"/>
        <rFont val="Calibri"/>
        <family val="2"/>
        <charset val="1"/>
      </rPr>
      <t xml:space="preserve">(kWp)</t>
    </r>
  </si>
  <si>
    <r>
      <rPr>
        <sz val="10"/>
        <color rgb="FF404040"/>
        <rFont val="新細明體"/>
        <family val="2"/>
        <charset val="1"/>
      </rPr>
      <t xml:space="preserve">填入裝置容量（</t>
    </r>
    <r>
      <rPr>
        <sz val="10"/>
        <color rgb="FF404040"/>
        <rFont val="Calibri"/>
        <family val="2"/>
        <charset val="1"/>
      </rPr>
      <t xml:space="preserve">kWp</t>
    </r>
    <r>
      <rPr>
        <sz val="10"/>
        <color rgb="FF404040"/>
        <rFont val="新細明體"/>
        <family val="2"/>
        <charset val="1"/>
      </rPr>
      <t xml:space="preserve">），通常由設計圖面或報價書取得</t>
    </r>
  </si>
  <si>
    <t xml:space="preserve">起始年度</t>
  </si>
  <si>
    <t xml:space="preserve">結束年度</t>
  </si>
  <si>
    <r>
      <rPr>
        <sz val="10"/>
        <color rgb="FF404040"/>
        <rFont val="新細明體"/>
        <family val="2"/>
        <charset val="1"/>
      </rPr>
      <t xml:space="preserve">填入電站預計掛表的西元年份（例：</t>
    </r>
    <r>
      <rPr>
        <sz val="10"/>
        <color rgb="FF404040"/>
        <rFont val="Calibri"/>
        <family val="2"/>
        <charset val="1"/>
      </rPr>
      <t xml:space="preserve">2025</t>
    </r>
    <r>
      <rPr>
        <sz val="10"/>
        <color rgb="FF404040"/>
        <rFont val="新細明體"/>
        <family val="2"/>
        <charset val="1"/>
      </rPr>
      <t xml:space="preserve">）。結束年度會自動計算</t>
    </r>
  </si>
  <si>
    <r>
      <rPr>
        <b val="true"/>
        <sz val="12"/>
        <color theme="0"/>
        <rFont val="新細明體"/>
        <family val="2"/>
        <charset val="1"/>
      </rPr>
      <t xml:space="preserve">綜合損益表</t>
    </r>
    <r>
      <rPr>
        <b val="true"/>
        <sz val="12"/>
        <color theme="0"/>
        <rFont val="Calibri"/>
        <family val="2"/>
        <charset val="136"/>
      </rPr>
      <t xml:space="preserve">(</t>
    </r>
    <r>
      <rPr>
        <b val="true"/>
        <sz val="12"/>
        <color theme="0"/>
        <rFont val="新細明體"/>
        <family val="2"/>
        <charset val="1"/>
      </rPr>
      <t xml:space="preserve">請填寫著色處</t>
    </r>
    <r>
      <rPr>
        <b val="true"/>
        <sz val="12"/>
        <color theme="0"/>
        <rFont val="Calibri"/>
        <family val="2"/>
        <charset val="136"/>
      </rPr>
      <t xml:space="preserve">)</t>
    </r>
  </si>
  <si>
    <t xml:space="preserve">收入</t>
  </si>
  <si>
    <t xml:space="preserve">收支項目</t>
  </si>
  <si>
    <t xml:space="preserve">相關參數</t>
  </si>
  <si>
    <t xml:space="preserve">參數數值</t>
  </si>
  <si>
    <t xml:space="preserve">年限</t>
  </si>
  <si>
    <t xml:space="preserve">電費收入</t>
  </si>
  <si>
    <r>
      <rPr>
        <sz val="12"/>
        <color theme="1"/>
        <rFont val="新細明體"/>
        <family val="2"/>
        <charset val="1"/>
      </rPr>
      <t xml:space="preserve">年度</t>
    </r>
    <r>
      <rPr>
        <sz val="12"/>
        <color theme="1"/>
        <rFont val="Calibri"/>
        <family val="2"/>
        <charset val="1"/>
      </rPr>
      <t xml:space="preserve">AC</t>
    </r>
    <r>
      <rPr>
        <sz val="12"/>
        <color theme="1"/>
        <rFont val="新細明體"/>
        <family val="2"/>
        <charset val="1"/>
      </rPr>
      <t xml:space="preserve">併網總發電量</t>
    </r>
  </si>
  <si>
    <r>
      <rPr>
        <sz val="10"/>
        <color rgb="FF404040"/>
        <rFont val="新細明體"/>
        <family val="2"/>
        <charset val="1"/>
      </rPr>
      <t xml:space="preserve">預估年發電量（</t>
    </r>
    <r>
      <rPr>
        <sz val="10"/>
        <color rgb="FF404040"/>
        <rFont val="Calibri"/>
        <family val="2"/>
        <charset val="1"/>
      </rPr>
      <t xml:space="preserve">kWh</t>
    </r>
    <r>
      <rPr>
        <sz val="10"/>
        <color rgb="FF404040"/>
        <rFont val="新細明體"/>
        <family val="2"/>
        <charset val="1"/>
      </rPr>
      <t xml:space="preserve">），通常來自 </t>
    </r>
    <r>
      <rPr>
        <sz val="10"/>
        <color rgb="FF404040"/>
        <rFont val="Calibri"/>
        <family val="2"/>
        <charset val="1"/>
      </rPr>
      <t xml:space="preserve">PVsyst </t>
    </r>
    <r>
      <rPr>
        <sz val="10"/>
        <color rgb="FF404040"/>
        <rFont val="新細明體"/>
        <family val="2"/>
        <charset val="1"/>
      </rPr>
      <t xml:space="preserve">模擬或估算：裝置容量 </t>
    </r>
    <r>
      <rPr>
        <sz val="10"/>
        <color rgb="FF404040"/>
        <rFont val="Calibri"/>
        <family val="2"/>
        <charset val="1"/>
      </rPr>
      <t xml:space="preserve">× </t>
    </r>
    <r>
      <rPr>
        <sz val="10"/>
        <color rgb="FF404040"/>
        <rFont val="新細明體"/>
        <family val="2"/>
        <charset val="1"/>
      </rPr>
      <t xml:space="preserve">年日照時數 </t>
    </r>
    <r>
      <rPr>
        <sz val="10"/>
        <color rgb="FF404040"/>
        <rFont val="Calibri"/>
        <family val="2"/>
        <charset val="1"/>
      </rPr>
      <t xml:space="preserve">× </t>
    </r>
    <r>
      <rPr>
        <sz val="10"/>
        <color rgb="FF404040"/>
        <rFont val="新細明體"/>
        <family val="2"/>
        <charset val="1"/>
      </rPr>
      <t xml:space="preserve">系統效率</t>
    </r>
  </si>
  <si>
    <t xml:space="preserve">首年衰退率</t>
  </si>
  <si>
    <r>
      <rPr>
        <sz val="10"/>
        <color rgb="FF404040"/>
        <rFont val="新細明體"/>
        <family val="2"/>
        <charset val="1"/>
      </rPr>
      <t xml:space="preserve">第一年發電衰退比率，請填小數（例：</t>
    </r>
    <r>
      <rPr>
        <sz val="10"/>
        <color rgb="FF404040"/>
        <rFont val="Calibri"/>
        <family val="2"/>
        <charset val="1"/>
      </rPr>
      <t xml:space="preserve">1%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0.01</t>
    </r>
    <r>
      <rPr>
        <sz val="10"/>
        <color rgb="FF404040"/>
        <rFont val="新細明體"/>
        <family val="2"/>
        <charset val="1"/>
      </rPr>
      <t xml:space="preserve">）。一般首年衰退約 </t>
    </r>
    <r>
      <rPr>
        <sz val="10"/>
        <color rgb="FF404040"/>
        <rFont val="Calibri"/>
        <family val="2"/>
        <charset val="1"/>
      </rPr>
      <t xml:space="preserve">1~2%(</t>
    </r>
    <r>
      <rPr>
        <sz val="10"/>
        <color rgb="FF404040"/>
        <rFont val="新細明體"/>
        <family val="2"/>
        <charset val="1"/>
      </rPr>
      <t xml:space="preserve">請參考模組規格書</t>
    </r>
    <r>
      <rPr>
        <sz val="10"/>
        <color rgb="FF404040"/>
        <rFont val="Calibri"/>
        <family val="2"/>
        <charset val="1"/>
      </rPr>
      <t xml:space="preserve">)</t>
    </r>
  </si>
  <si>
    <t xml:space="preserve">次年衰退率</t>
  </si>
  <si>
    <r>
      <rPr>
        <sz val="10"/>
        <color rgb="FF404040"/>
        <rFont val="新細明體"/>
        <family val="2"/>
        <charset val="1"/>
      </rPr>
      <t xml:space="preserve">第二年起每年固定衰退比率，請填小數（例：</t>
    </r>
    <r>
      <rPr>
        <sz val="10"/>
        <color rgb="FF404040"/>
        <rFont val="Calibri"/>
        <family val="2"/>
        <charset val="1"/>
      </rPr>
      <t xml:space="preserve">0.4%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0.004</t>
    </r>
    <r>
      <rPr>
        <sz val="10"/>
        <color rgb="FF404040"/>
        <rFont val="新細明體"/>
        <family val="2"/>
        <charset val="1"/>
      </rPr>
      <t xml:space="preserve">）。一般約 </t>
    </r>
    <r>
      <rPr>
        <sz val="10"/>
        <color rgb="FF404040"/>
        <rFont val="Calibri"/>
        <family val="2"/>
        <charset val="1"/>
      </rPr>
      <t xml:space="preserve">0.4~0.7%(</t>
    </r>
    <r>
      <rPr>
        <sz val="10"/>
        <color rgb="FF404040"/>
        <rFont val="新細明體"/>
        <family val="2"/>
        <charset val="1"/>
      </rPr>
      <t xml:space="preserve">請參考模組規格書</t>
    </r>
    <r>
      <rPr>
        <sz val="10"/>
        <color rgb="FF404040"/>
        <rFont val="Calibri"/>
        <family val="2"/>
        <charset val="1"/>
      </rPr>
      <t xml:space="preserve">)</t>
    </r>
  </si>
  <si>
    <r>
      <rPr>
        <sz val="12"/>
        <color theme="1"/>
        <rFont val="新細明體"/>
        <family val="2"/>
        <charset val="1"/>
      </rPr>
      <t xml:space="preserve">躉售費率</t>
    </r>
    <r>
      <rPr>
        <sz val="12"/>
        <color theme="1"/>
        <rFont val="Calibri"/>
        <family val="2"/>
        <charset val="1"/>
      </rPr>
      <t xml:space="preserve">(FIT) / </t>
    </r>
    <r>
      <rPr>
        <sz val="12"/>
        <color theme="1"/>
        <rFont val="新細明體"/>
        <family val="2"/>
        <charset val="1"/>
      </rPr>
      <t xml:space="preserve">綠電費率</t>
    </r>
  </si>
  <si>
    <r>
      <rPr>
        <sz val="10"/>
        <color rgb="FF404040"/>
        <rFont val="新細明體"/>
        <family val="2"/>
        <charset val="1"/>
      </rPr>
      <t xml:space="preserve">與台電簽訂的躉購費率或綠電合約費率，單位：元</t>
    </r>
    <r>
      <rPr>
        <sz val="10"/>
        <color rgb="FF404040"/>
        <rFont val="Calibri"/>
        <family val="2"/>
        <charset val="1"/>
      </rPr>
      <t xml:space="preserve">/</t>
    </r>
    <r>
      <rPr>
        <sz val="10"/>
        <color rgb="FF404040"/>
        <rFont val="新細明體"/>
        <family val="2"/>
        <charset val="1"/>
      </rPr>
      <t xml:space="preserve">度。請參考台電公告或合約內容</t>
    </r>
  </si>
  <si>
    <r>
      <rPr>
        <sz val="12"/>
        <color theme="1"/>
        <rFont val="新細明體"/>
        <family val="2"/>
        <charset val="1"/>
      </rPr>
      <t xml:space="preserve">支出</t>
    </r>
    <r>
      <rPr>
        <sz val="12"/>
        <color theme="1"/>
        <rFont val="Calibri"/>
        <family val="2"/>
        <charset val="136"/>
      </rPr>
      <t xml:space="preserve">(</t>
    </r>
    <r>
      <rPr>
        <sz val="12"/>
        <color theme="1"/>
        <rFont val="新細明體"/>
        <family val="2"/>
        <charset val="1"/>
      </rPr>
      <t xml:space="preserve">請填寫著色處</t>
    </r>
    <r>
      <rPr>
        <sz val="12"/>
        <color theme="1"/>
        <rFont val="Calibri"/>
        <family val="2"/>
        <charset val="136"/>
      </rPr>
      <t xml:space="preserve">)</t>
    </r>
  </si>
  <si>
    <t xml:space="preserve">攤提年限</t>
  </si>
  <si>
    <r>
      <rPr>
        <sz val="12"/>
        <color theme="1"/>
        <rFont val="新細明體"/>
        <family val="2"/>
        <charset val="1"/>
      </rPr>
      <t xml:space="preserve">設備費用</t>
    </r>
    <r>
      <rPr>
        <sz val="12"/>
        <color theme="1"/>
        <rFont val="Calibri"/>
        <family val="2"/>
        <charset val="1"/>
      </rPr>
      <t xml:space="preserve">(</t>
    </r>
    <r>
      <rPr>
        <sz val="12"/>
        <color theme="1"/>
        <rFont val="新細明體"/>
        <family val="2"/>
        <charset val="1"/>
      </rPr>
      <t xml:space="preserve">價金</t>
    </r>
    <r>
      <rPr>
        <sz val="12"/>
        <color theme="1"/>
        <rFont val="Calibri"/>
        <family val="2"/>
        <charset val="1"/>
      </rPr>
      <t xml:space="preserve">)</t>
    </r>
  </si>
  <si>
    <r>
      <rPr>
        <sz val="12"/>
        <color theme="1"/>
        <rFont val="新細明體"/>
        <family val="2"/>
        <charset val="1"/>
      </rPr>
      <t xml:space="preserve">每</t>
    </r>
    <r>
      <rPr>
        <sz val="12"/>
        <color theme="1"/>
        <rFont val="Calibri"/>
        <family val="2"/>
        <charset val="136"/>
      </rPr>
      <t xml:space="preserve">kWp</t>
    </r>
    <r>
      <rPr>
        <sz val="12"/>
        <color theme="1"/>
        <rFont val="新細明體"/>
        <family val="2"/>
        <charset val="1"/>
      </rPr>
      <t xml:space="preserve">設備成本</t>
    </r>
  </si>
  <si>
    <r>
      <rPr>
        <sz val="10"/>
        <color rgb="FF404040"/>
        <rFont val="新細明體"/>
        <family val="2"/>
        <charset val="1"/>
      </rPr>
      <t xml:space="preserve">每峰瓩設備成本（元</t>
    </r>
    <r>
      <rPr>
        <sz val="10"/>
        <color rgb="FF404040"/>
        <rFont val="Calibri"/>
        <family val="2"/>
        <charset val="1"/>
      </rPr>
      <t xml:space="preserve">/kWp</t>
    </r>
    <r>
      <rPr>
        <sz val="10"/>
        <color rgb="FF404040"/>
        <rFont val="新細明體"/>
        <family val="2"/>
        <charset val="1"/>
      </rPr>
      <t xml:space="preserve">），包含模組、逆變器、支架等硬體，不含工程施工費</t>
    </r>
  </si>
  <si>
    <r>
      <rPr>
        <sz val="12"/>
        <color theme="1"/>
        <rFont val="新細明體"/>
        <family val="2"/>
        <charset val="1"/>
      </rPr>
      <t xml:space="preserve">信邦利潤率</t>
    </r>
    <r>
      <rPr>
        <sz val="12"/>
        <color theme="1"/>
        <rFont val="Calibri"/>
        <family val="2"/>
        <charset val="1"/>
      </rPr>
      <t xml:space="preserve">(ex:20%</t>
    </r>
    <r>
      <rPr>
        <sz val="12"/>
        <color theme="1"/>
        <rFont val="新細明體"/>
        <family val="2"/>
        <charset val="1"/>
      </rPr>
      <t xml:space="preserve">填</t>
    </r>
    <r>
      <rPr>
        <sz val="12"/>
        <color theme="1"/>
        <rFont val="Calibri"/>
        <family val="2"/>
        <charset val="1"/>
      </rPr>
      <t xml:space="preserve">0.2)</t>
    </r>
  </si>
  <si>
    <r>
      <rPr>
        <sz val="10"/>
        <color rgb="FF404040"/>
        <rFont val="新細明體"/>
        <family val="2"/>
        <charset val="1"/>
      </rPr>
      <t xml:space="preserve">公司在設備費用上加計的利潤比率，請填小數（例：</t>
    </r>
    <r>
      <rPr>
        <sz val="10"/>
        <color rgb="FF404040"/>
        <rFont val="Calibri"/>
        <family val="2"/>
        <charset val="1"/>
      </rPr>
      <t xml:space="preserve">20%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0.2</t>
    </r>
    <r>
      <rPr>
        <sz val="10"/>
        <color rgb="FF404040"/>
        <rFont val="新細明體"/>
        <family val="2"/>
        <charset val="1"/>
      </rPr>
      <t xml:space="preserve">）</t>
    </r>
  </si>
  <si>
    <t xml:space="preserve">開發費</t>
  </si>
  <si>
    <r>
      <rPr>
        <sz val="10"/>
        <color rgb="FF404040"/>
        <rFont val="新細明體"/>
        <family val="2"/>
        <charset val="1"/>
      </rPr>
      <t xml:space="preserve">前期開發費用（元），含可行性評估、申請規費、地主溝通等。若無則填 </t>
    </r>
    <r>
      <rPr>
        <sz val="10"/>
        <color rgb="FF404040"/>
        <rFont val="Calibri"/>
        <family val="2"/>
        <charset val="1"/>
      </rPr>
      <t xml:space="preserve">0</t>
    </r>
  </si>
  <si>
    <t xml:space="preserve">租金費用</t>
  </si>
  <si>
    <t xml:space="preserve">租金計算方式</t>
  </si>
  <si>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1 = </t>
    </r>
    <r>
      <rPr>
        <sz val="10"/>
        <color rgb="FF404040"/>
        <rFont val="新細明體"/>
        <family val="2"/>
        <charset val="1"/>
      </rPr>
      <t xml:space="preserve">固定年租金（需填方式</t>
    </r>
    <r>
      <rPr>
        <sz val="10"/>
        <color rgb="FF404040"/>
        <rFont val="Calibri"/>
        <family val="2"/>
        <charset val="1"/>
      </rPr>
      <t xml:space="preserve">1</t>
    </r>
    <r>
      <rPr>
        <sz val="10"/>
        <color rgb="FF404040"/>
        <rFont val="新細明體"/>
        <family val="2"/>
        <charset val="1"/>
      </rPr>
      <t xml:space="preserve">參數）；填 </t>
    </r>
    <r>
      <rPr>
        <sz val="10"/>
        <color rgb="FF404040"/>
        <rFont val="Calibri"/>
        <family val="2"/>
        <charset val="1"/>
      </rPr>
      <t xml:space="preserve">2 = </t>
    </r>
    <r>
      <rPr>
        <sz val="10"/>
        <color rgb="FF404040"/>
        <rFont val="新細明體"/>
        <family val="2"/>
        <charset val="1"/>
      </rPr>
      <t xml:space="preserve">依電費收入抽成（需填方式</t>
    </r>
    <r>
      <rPr>
        <sz val="10"/>
        <color rgb="FF404040"/>
        <rFont val="Calibri"/>
        <family val="2"/>
        <charset val="1"/>
      </rPr>
      <t xml:space="preserve">2</t>
    </r>
    <r>
      <rPr>
        <sz val="10"/>
        <color rgb="FF404040"/>
        <rFont val="新細明體"/>
        <family val="2"/>
        <charset val="1"/>
      </rPr>
      <t xml:space="preserve">參數）</t>
    </r>
  </si>
  <si>
    <r>
      <rPr>
        <sz val="11"/>
        <color theme="1"/>
        <rFont val="新細明體"/>
        <family val="2"/>
        <charset val="1"/>
      </rPr>
      <t xml:space="preserve">【方式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新細明體"/>
        <family val="2"/>
        <charset val="1"/>
      </rPr>
      <t xml:space="preserve">參數】每年相同價格</t>
    </r>
  </si>
  <si>
    <r>
      <rPr>
        <sz val="10"/>
        <color rgb="FF404040"/>
        <rFont val="新細明體"/>
        <family val="2"/>
        <charset val="1"/>
      </rPr>
      <t xml:space="preserve">租金計算方式選「</t>
    </r>
    <r>
      <rPr>
        <sz val="10"/>
        <color rgb="FF404040"/>
        <rFont val="Calibri"/>
        <family val="2"/>
        <charset val="1"/>
      </rPr>
      <t xml:space="preserve">1</t>
    </r>
    <r>
      <rPr>
        <sz val="10"/>
        <color rgb="FF404040"/>
        <rFont val="新細明體"/>
        <family val="2"/>
        <charset val="1"/>
      </rPr>
      <t xml:space="preserve">」時填寫，固定年租金金額（元</t>
    </r>
    <r>
      <rPr>
        <sz val="10"/>
        <color rgb="FF404040"/>
        <rFont val="Calibri"/>
        <family val="2"/>
        <charset val="1"/>
      </rPr>
      <t xml:space="preserve">/</t>
    </r>
    <r>
      <rPr>
        <sz val="10"/>
        <color rgb="FF404040"/>
        <rFont val="新細明體"/>
        <family val="2"/>
        <charset val="1"/>
      </rPr>
      <t xml:space="preserve">年），套用至整個電站壽命期</t>
    </r>
  </si>
  <si>
    <r>
      <rPr>
        <sz val="12"/>
        <color theme="1"/>
        <rFont val="新細明體"/>
        <family val="2"/>
        <charset val="1"/>
      </rPr>
      <t xml:space="preserve">【方式</t>
    </r>
    <r>
      <rPr>
        <sz val="12"/>
        <color theme="1"/>
        <rFont val="Calibri"/>
        <family val="2"/>
        <charset val="1"/>
      </rPr>
      <t xml:space="preserve">2</t>
    </r>
    <r>
      <rPr>
        <sz val="12"/>
        <color theme="1"/>
        <rFont val="新細明體"/>
        <family val="2"/>
        <charset val="1"/>
      </rPr>
      <t xml:space="preserve">參數】抽成比率</t>
    </r>
  </si>
  <si>
    <r>
      <rPr>
        <sz val="10"/>
        <color rgb="FF404040"/>
        <rFont val="新細明體"/>
        <family val="2"/>
        <charset val="1"/>
      </rPr>
      <t xml:space="preserve">租金計算方式選「</t>
    </r>
    <r>
      <rPr>
        <sz val="10"/>
        <color rgb="FF404040"/>
        <rFont val="Calibri"/>
        <family val="2"/>
        <charset val="1"/>
      </rPr>
      <t xml:space="preserve">2</t>
    </r>
    <r>
      <rPr>
        <sz val="10"/>
        <color rgb="FF404040"/>
        <rFont val="新細明體"/>
        <family val="2"/>
        <charset val="1"/>
      </rPr>
      <t xml:space="preserve">」時填寫，請填小數（例：</t>
    </r>
    <r>
      <rPr>
        <sz val="10"/>
        <color rgb="FF404040"/>
        <rFont val="Calibri"/>
        <family val="2"/>
        <charset val="1"/>
      </rPr>
      <t xml:space="preserve">10%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0.1</t>
    </r>
    <r>
      <rPr>
        <sz val="10"/>
        <color rgb="FF404040"/>
        <rFont val="新細明體"/>
        <family val="2"/>
        <charset val="1"/>
      </rPr>
      <t xml:space="preserve">）。租金 </t>
    </r>
    <r>
      <rPr>
        <sz val="10"/>
        <color rgb="FF404040"/>
        <rFont val="Calibri"/>
        <family val="2"/>
        <charset val="1"/>
      </rPr>
      <t xml:space="preserve">= </t>
    </r>
    <r>
      <rPr>
        <sz val="10"/>
        <color rgb="FF404040"/>
        <rFont val="新細明體"/>
        <family val="2"/>
        <charset val="1"/>
      </rPr>
      <t xml:space="preserve">當年電費收入 </t>
    </r>
    <r>
      <rPr>
        <sz val="10"/>
        <color rgb="FF404040"/>
        <rFont val="Calibri"/>
        <family val="2"/>
        <charset val="1"/>
      </rPr>
      <t xml:space="preserve">× </t>
    </r>
    <r>
      <rPr>
        <sz val="10"/>
        <color rgb="FF404040"/>
        <rFont val="新細明體"/>
        <family val="2"/>
        <charset val="1"/>
      </rPr>
      <t xml:space="preserve">抽成比率</t>
    </r>
  </si>
  <si>
    <t xml:space="preserve">運維費用</t>
  </si>
  <si>
    <r>
      <rPr>
        <sz val="12"/>
        <color theme="1"/>
        <rFont val="新細明體"/>
        <family val="2"/>
        <charset val="1"/>
      </rPr>
      <t xml:space="preserve">每</t>
    </r>
    <r>
      <rPr>
        <sz val="12"/>
        <color theme="1"/>
        <rFont val="Calibri"/>
        <family val="2"/>
        <charset val="136"/>
      </rPr>
      <t xml:space="preserve">kw</t>
    </r>
    <r>
      <rPr>
        <sz val="12"/>
        <color theme="1"/>
        <rFont val="新細明體"/>
        <family val="2"/>
        <charset val="1"/>
      </rPr>
      <t xml:space="preserve">運維成本</t>
    </r>
  </si>
  <si>
    <r>
      <rPr>
        <sz val="10"/>
        <color rgb="FF404040"/>
        <rFont val="新細明體"/>
        <family val="2"/>
        <charset val="1"/>
      </rPr>
      <t xml:space="preserve">每峰瓩每年運維費用（元</t>
    </r>
    <r>
      <rPr>
        <sz val="10"/>
        <color rgb="FF404040"/>
        <rFont val="Calibri"/>
        <family val="2"/>
        <charset val="1"/>
      </rPr>
      <t xml:space="preserve">/kWp/</t>
    </r>
    <r>
      <rPr>
        <sz val="10"/>
        <color rgb="FF404040"/>
        <rFont val="新細明體"/>
        <family val="2"/>
        <charset val="1"/>
      </rPr>
      <t xml:space="preserve">年），含清洗、巡檢、維修等。</t>
    </r>
  </si>
  <si>
    <t xml:space="preserve">保險費用</t>
  </si>
  <si>
    <t xml:space="preserve">占整體設備費用比例</t>
  </si>
  <si>
    <r>
      <rPr>
        <sz val="10"/>
        <color rgb="FF404040"/>
        <rFont val="新細明體"/>
        <family val="2"/>
        <charset val="1"/>
      </rPr>
      <t xml:space="preserve">保險費佔設備總費用比率，填小數（例：</t>
    </r>
    <r>
      <rPr>
        <sz val="10"/>
        <color rgb="FF404040"/>
        <rFont val="Calibri"/>
        <family val="2"/>
        <charset val="1"/>
      </rPr>
      <t xml:space="preserve">0.3%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0.003</t>
    </r>
    <r>
      <rPr>
        <sz val="10"/>
        <color rgb="FF404040"/>
        <rFont val="新細明體"/>
        <family val="2"/>
        <charset val="1"/>
      </rPr>
      <t xml:space="preserve">）。預設 </t>
    </r>
    <r>
      <rPr>
        <sz val="10"/>
        <color rgb="FF404040"/>
        <rFont val="Calibri"/>
        <family val="2"/>
        <charset val="1"/>
      </rPr>
      <t xml:space="preserve">0.003</t>
    </r>
    <r>
      <rPr>
        <sz val="10"/>
        <color rgb="FF404040"/>
        <rFont val="新細明體"/>
        <family val="2"/>
        <charset val="1"/>
      </rPr>
      <t xml:space="preserve">，可依投保條件調整</t>
    </r>
  </si>
  <si>
    <t xml:space="preserve">模組回收費用</t>
  </si>
  <si>
    <r>
      <rPr>
        <sz val="12"/>
        <color theme="1"/>
        <rFont val="新細明體"/>
        <family val="2"/>
        <charset val="1"/>
      </rPr>
      <t xml:space="preserve">每</t>
    </r>
    <r>
      <rPr>
        <sz val="12"/>
        <color theme="1"/>
        <rFont val="Calibri"/>
        <family val="2"/>
        <charset val="136"/>
      </rPr>
      <t xml:space="preserve">kw</t>
    </r>
    <r>
      <rPr>
        <sz val="12"/>
        <color theme="1"/>
        <rFont val="新細明體"/>
        <family val="2"/>
        <charset val="1"/>
      </rPr>
      <t xml:space="preserve">模組回收成本</t>
    </r>
  </si>
  <si>
    <r>
      <rPr>
        <sz val="10"/>
        <color rgb="FF404040"/>
        <rFont val="新細明體"/>
        <family val="2"/>
        <charset val="1"/>
      </rPr>
      <t xml:space="preserve">每峰瓩模組廢棄回收費用（元</t>
    </r>
    <r>
      <rPr>
        <sz val="10"/>
        <color rgb="FF404040"/>
        <rFont val="Calibri"/>
        <family val="2"/>
        <charset val="1"/>
      </rPr>
      <t xml:space="preserve">/kWp</t>
    </r>
    <r>
      <rPr>
        <sz val="10"/>
        <color rgb="FF404040"/>
        <rFont val="新細明體"/>
        <family val="2"/>
        <charset val="1"/>
      </rPr>
      <t xml:space="preserve">），於第 </t>
    </r>
    <r>
      <rPr>
        <sz val="10"/>
        <color rgb="FF404040"/>
        <rFont val="Calibri"/>
        <family val="2"/>
        <charset val="1"/>
      </rPr>
      <t xml:space="preserve">1~10 </t>
    </r>
    <r>
      <rPr>
        <sz val="10"/>
        <color rgb="FF404040"/>
        <rFont val="新細明體"/>
        <family val="2"/>
        <charset val="1"/>
      </rPr>
      <t xml:space="preserve">年計提（攤提 </t>
    </r>
    <r>
      <rPr>
        <sz val="10"/>
        <color rgb="FF404040"/>
        <rFont val="Calibri"/>
        <family val="2"/>
        <charset val="1"/>
      </rPr>
      <t xml:space="preserve">10 </t>
    </r>
    <r>
      <rPr>
        <sz val="10"/>
        <color rgb="FF404040"/>
        <rFont val="新細明體"/>
        <family val="2"/>
        <charset val="1"/>
      </rPr>
      <t xml:space="preserve">年）。</t>
    </r>
  </si>
  <si>
    <t xml:space="preserve">利息費用</t>
  </si>
  <si>
    <t xml:space="preserve">銀行利率</t>
  </si>
  <si>
    <r>
      <rPr>
        <sz val="10"/>
        <color rgb="FF404040"/>
        <rFont val="新細明體"/>
        <family val="2"/>
        <charset val="1"/>
      </rPr>
      <t xml:space="preserve">向銀行貸款的年利率，填小數（例：</t>
    </r>
    <r>
      <rPr>
        <sz val="10"/>
        <color rgb="FF404040"/>
        <rFont val="Calibri"/>
        <family val="2"/>
        <charset val="1"/>
      </rPr>
      <t xml:space="preserve">2.56%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0.0256</t>
    </r>
    <r>
      <rPr>
        <sz val="10"/>
        <color rgb="FF404040"/>
        <rFont val="新細明體"/>
        <family val="2"/>
        <charset val="1"/>
      </rPr>
      <t xml:space="preserve">）。請依銀行核准利率填入</t>
    </r>
  </si>
  <si>
    <t xml:space="preserve">所得稅</t>
  </si>
  <si>
    <t xml:space="preserve">所得稅率</t>
  </si>
  <si>
    <r>
      <rPr>
        <sz val="10"/>
        <color rgb="FF404040"/>
        <rFont val="新細明體"/>
        <family val="2"/>
        <charset val="1"/>
      </rPr>
      <t xml:space="preserve">公司所得稅率，填小數（例：</t>
    </r>
    <r>
      <rPr>
        <sz val="10"/>
        <color rgb="FF404040"/>
        <rFont val="Calibri"/>
        <family val="2"/>
        <charset val="1"/>
      </rPr>
      <t xml:space="preserve">20%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0.2</t>
    </r>
    <r>
      <rPr>
        <sz val="10"/>
        <color rgb="FF404040"/>
        <rFont val="新細明體"/>
        <family val="2"/>
        <charset val="1"/>
      </rPr>
      <t xml:space="preserve">）。預設 </t>
    </r>
    <r>
      <rPr>
        <sz val="10"/>
        <color rgb="FF404040"/>
        <rFont val="Calibri"/>
        <family val="2"/>
        <charset val="1"/>
      </rPr>
      <t xml:space="preserve">0.2</t>
    </r>
    <r>
      <rPr>
        <sz val="10"/>
        <color rgb="FF404040"/>
        <rFont val="新細明體"/>
        <family val="2"/>
        <charset val="1"/>
      </rPr>
      <t xml:space="preserve">，通常不需更改</t>
    </r>
  </si>
  <si>
    <r>
      <rPr>
        <b val="true"/>
        <sz val="12"/>
        <color theme="0"/>
        <rFont val="新細明體"/>
        <family val="2"/>
        <charset val="1"/>
      </rPr>
      <t xml:space="preserve">現金流量表</t>
    </r>
    <r>
      <rPr>
        <b val="true"/>
        <sz val="12"/>
        <color theme="0"/>
        <rFont val="Calibri"/>
        <family val="2"/>
        <charset val="1"/>
      </rPr>
      <t xml:space="preserve">(</t>
    </r>
    <r>
      <rPr>
        <b val="true"/>
        <sz val="12"/>
        <color theme="0"/>
        <rFont val="新細明體"/>
        <family val="2"/>
        <charset val="1"/>
      </rPr>
      <t xml:space="preserve">請填寫著色處</t>
    </r>
    <r>
      <rPr>
        <b val="true"/>
        <sz val="12"/>
        <color theme="0"/>
        <rFont val="Calibri"/>
        <family val="2"/>
        <charset val="1"/>
      </rPr>
      <t xml:space="preserve">)</t>
    </r>
  </si>
  <si>
    <t xml:space="preserve">金流項目</t>
  </si>
  <si>
    <t xml:space="preserve">貸款成數</t>
  </si>
  <si>
    <t xml:space="preserve">占總設備費用比例</t>
  </si>
  <si>
    <r>
      <rPr>
        <sz val="10"/>
        <color rgb="FF404040"/>
        <rFont val="新細明體"/>
        <family val="2"/>
        <charset val="1"/>
      </rPr>
      <t xml:space="preserve">貸款佔設備總費用比例，填小數（例：</t>
    </r>
    <r>
      <rPr>
        <sz val="10"/>
        <color rgb="FF404040"/>
        <rFont val="Calibri"/>
        <family val="2"/>
        <charset val="1"/>
      </rPr>
      <t xml:space="preserve">80%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0.8</t>
    </r>
    <r>
      <rPr>
        <sz val="10"/>
        <color rgb="FF404040"/>
        <rFont val="新細明體"/>
        <family val="2"/>
        <charset val="1"/>
      </rPr>
      <t xml:space="preserve">）。預設 </t>
    </r>
    <r>
      <rPr>
        <sz val="10"/>
        <color rgb="FF404040"/>
        <rFont val="Calibri"/>
        <family val="2"/>
        <charset val="1"/>
      </rPr>
      <t xml:space="preserve">0.8 </t>
    </r>
    <r>
      <rPr>
        <sz val="10"/>
        <color rgb="FF404040"/>
        <rFont val="新細明體"/>
        <family val="2"/>
        <charset val="1"/>
      </rPr>
      <t xml:space="preserve">代表貸八成、自備二成</t>
    </r>
  </si>
  <si>
    <t xml:space="preserve">貸款還款</t>
  </si>
  <si>
    <t xml:space="preserve">攤還期數</t>
  </si>
  <si>
    <r>
      <rPr>
        <sz val="10"/>
        <color rgb="FF404040"/>
        <rFont val="新細明體"/>
        <family val="2"/>
        <charset val="1"/>
      </rPr>
      <t xml:space="preserve">貸款還款年數（年）。預設 </t>
    </r>
    <r>
      <rPr>
        <sz val="10"/>
        <color rgb="FF404040"/>
        <rFont val="Calibri"/>
        <family val="2"/>
        <charset val="1"/>
      </rPr>
      <t xml:space="preserve">15 </t>
    </r>
    <r>
      <rPr>
        <sz val="10"/>
        <color rgb="FF404040"/>
        <rFont val="新細明體"/>
        <family val="2"/>
        <charset val="1"/>
      </rPr>
      <t xml:space="preserve">年，代表分 </t>
    </r>
    <r>
      <rPr>
        <sz val="10"/>
        <color rgb="FF404040"/>
        <rFont val="Calibri"/>
        <family val="2"/>
        <charset val="1"/>
      </rPr>
      <t xml:space="preserve">15 </t>
    </r>
    <r>
      <rPr>
        <sz val="10"/>
        <color rgb="FF404040"/>
        <rFont val="新細明體"/>
        <family val="2"/>
        <charset val="1"/>
      </rPr>
      <t xml:space="preserve">年平均攤還本金</t>
    </r>
  </si>
  <si>
    <t xml:space="preserve">現金股利</t>
  </si>
  <si>
    <t xml:space="preserve">股利比率</t>
  </si>
  <si>
    <r>
      <rPr>
        <sz val="10"/>
        <color rgb="FF404040"/>
        <rFont val="新細明體"/>
        <family val="2"/>
        <charset val="1"/>
      </rPr>
      <t xml:space="preserve">稅後現金流中分配給股東的比例，填小數（例：</t>
    </r>
    <r>
      <rPr>
        <sz val="10"/>
        <color rgb="FF404040"/>
        <rFont val="Calibri"/>
        <family val="2"/>
        <charset val="1"/>
      </rPr>
      <t xml:space="preserve">90%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0.9</t>
    </r>
    <r>
      <rPr>
        <sz val="10"/>
        <color rgb="FF404040"/>
        <rFont val="新細明體"/>
        <family val="2"/>
        <charset val="1"/>
      </rPr>
      <t xml:space="preserve">）</t>
    </r>
  </si>
  <si>
    <t xml:space="preserve">年底減資</t>
  </si>
  <si>
    <r>
      <rPr>
        <sz val="10"/>
        <color rgb="FF404040"/>
        <rFont val="新細明體"/>
        <family val="2"/>
        <charset val="1"/>
      </rPr>
      <t xml:space="preserve">年底減資返還股東的年數。預設 </t>
    </r>
    <r>
      <rPr>
        <sz val="10"/>
        <color rgb="FF404040"/>
        <rFont val="Calibri"/>
        <family val="2"/>
        <charset val="1"/>
      </rPr>
      <t xml:space="preserve">4 </t>
    </r>
    <r>
      <rPr>
        <sz val="10"/>
        <color rgb="FF404040"/>
        <rFont val="新細明體"/>
        <family val="2"/>
        <charset val="1"/>
      </rPr>
      <t xml:space="preserve">年，代表 倒數 </t>
    </r>
    <r>
      <rPr>
        <sz val="10"/>
        <color rgb="FF404040"/>
        <rFont val="Calibri"/>
        <family val="2"/>
        <charset val="1"/>
      </rPr>
      <t xml:space="preserve">4 </t>
    </r>
    <r>
      <rPr>
        <sz val="10"/>
        <color rgb="FF404040"/>
        <rFont val="新細明體"/>
        <family val="2"/>
        <charset val="1"/>
      </rPr>
      <t xml:space="preserve">年進行減資，加速資金返還</t>
    </r>
  </si>
  <si>
    <t xml:space="preserve">編號</t>
  </si>
  <si>
    <t xml:space="preserve">價金每KW</t>
  </si>
  <si>
    <t xml:space="preserve">專案法IRR</t>
  </si>
  <si>
    <t xml:space="preserve">成本法IRR</t>
  </si>
  <si>
    <t xml:space="preserve">權益法IRR</t>
  </si>
  <si>
    <t xml:space="preserve">信邦利潤率</t>
  </si>
  <si>
    <t xml:space="preserve">信邦利潤</t>
  </si>
  <si>
    <t xml:space="preserve">每kw信邦利潤</t>
  </si>
  <si>
    <t xml:space="preserve">備註</t>
  </si>
  <si>
    <t xml:space="preserve">初始價金 - 現金模式，每次減少 2000 元，邊界值 20000 元</t>
  </si>
  <si>
    <t xml:space="preserve">第1次滾算，減少 2000 元 - 現金模式，每次減少 2000 元</t>
  </si>
  <si>
    <t xml:space="preserve">第2次滾算，減少 2000 元 - 現金模式，每次減少 2000 元</t>
  </si>
  <si>
    <t xml:space="preserve">第3次滾算，減少 2000 元 - 現金模式，每次減少 2000 元</t>
  </si>
  <si>
    <t xml:space="preserve">第4次滾算，減少 2000 元 - 現金模式，每次減少 2000 元</t>
  </si>
  <si>
    <t xml:space="preserve">第5次滾算，減少 2000 元 - 現金模式，每次減少 2000 元</t>
  </si>
  <si>
    <t xml:space="preserve">第6次滾算，減少 2000 元 - 現金模式，每次減少 2000 元</t>
  </si>
  <si>
    <t xml:space="preserve">第7次滾算，減少 2000 元 - 現金模式，每次減少 2000 元</t>
  </si>
  <si>
    <t xml:space="preserve">情境編號: 1</t>
  </si>
  <si>
    <t xml:space="preserve">初始價金摘要</t>
  </si>
  <si>
    <t xml:space="preserve">價金: 35000</t>
  </si>
  <si>
    <t xml:space="preserve">專案IRR: 2.62</t>
  </si>
  <si>
    <t xml:space="preserve">權益法IRR: 4.45</t>
  </si>
  <si>
    <t xml:space="preserve">利潤率: 30.00%</t>
  </si>
  <si>
    <t xml:space="preserve">初始價金 - 現金模式，每次減少 2000 元</t>
  </si>
  <si>
    <t xml:space="preserve">情境編號: 2</t>
  </si>
  <si>
    <t xml:space="preserve">第1次滾算摘要</t>
  </si>
  <si>
    <t xml:space="preserve">價金: 33000</t>
  </si>
  <si>
    <t xml:space="preserve">專案IRR: 3.16</t>
  </si>
  <si>
    <t xml:space="preserve">權益法IRR: 6.19</t>
  </si>
  <si>
    <t xml:space="preserve">情境編號: 3</t>
  </si>
  <si>
    <t xml:space="preserve">第2次滾算摘要</t>
  </si>
  <si>
    <t xml:space="preserve">價金: 31000</t>
  </si>
  <si>
    <t xml:space="preserve">專案IRR: 3.75</t>
  </si>
  <si>
    <t xml:space="preserve">權益法IRR: 8.21</t>
  </si>
  <si>
    <t xml:space="preserve">情境編號: 4</t>
  </si>
  <si>
    <t xml:space="preserve">第3次滾算摘要</t>
  </si>
  <si>
    <t xml:space="preserve">價金: 29000</t>
  </si>
  <si>
    <t xml:space="preserve">專案IRR: 4.39</t>
  </si>
  <si>
    <t xml:space="preserve">權益法IRR: 10.59</t>
  </si>
  <si>
    <t xml:space="preserve">情境編號: 5</t>
  </si>
  <si>
    <t xml:space="preserve">第4次滾算摘要</t>
  </si>
  <si>
    <t xml:space="preserve">價金: 27000</t>
  </si>
  <si>
    <t xml:space="preserve">專案IRR: 5.11</t>
  </si>
  <si>
    <t xml:space="preserve">權益法IRR: 13.45</t>
  </si>
  <si>
    <t xml:space="preserve">情境編號: 6</t>
  </si>
  <si>
    <t xml:space="preserve">第5次滾算摘要</t>
  </si>
  <si>
    <t xml:space="preserve">價金: 25000</t>
  </si>
  <si>
    <t xml:space="preserve">專案IRR: 5.91</t>
  </si>
  <si>
    <t xml:space="preserve">權益法IRR: 17.0</t>
  </si>
  <si>
    <t xml:space="preserve">情境編號: 7</t>
  </si>
  <si>
    <t xml:space="preserve">第6次滾算摘要</t>
  </si>
  <si>
    <t xml:space="preserve">價金: 23000</t>
  </si>
  <si>
    <t xml:space="preserve">專案IRR: 6.82</t>
  </si>
  <si>
    <t xml:space="preserve">權益法IRR: 21.53</t>
  </si>
  <si>
    <t xml:space="preserve">情境編號: 8</t>
  </si>
  <si>
    <t xml:space="preserve">第7次滾算摘要</t>
  </si>
  <si>
    <t xml:space="preserve">價金: 21000</t>
  </si>
  <si>
    <t xml:space="preserve">專案IRR: 7.85</t>
  </si>
  <si>
    <t xml:space="preserve">權益法IRR: 27.57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</si>
</sst>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_);[RED]\(0.00\)"/>
    <numFmt numFmtId="166" formatCode="#,##0"/>
    <numFmt numFmtId="167" formatCode="#,##0_ "/>
    <numFmt numFmtId="168" formatCode="0%"/>
    <numFmt numFmtId="169" formatCode="0.00%"/>
    <numFmt numFmtId="170" formatCode="_-* #,##0_-;\-* #,##0_-;_-* \-??_-;_-@_-"/>
  </numFmts>
  <fonts count="16">
    <font>
      <sz val="11"/>
      <color theme="1"/>
      <name val="新細明體"/>
      <family val="2"/>
      <charset val="1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b val="true"/>
      <sz val="12"/>
      <color theme="0"/>
      <name val="新細明體"/>
      <family val="2"/>
      <charset val="1"/>
    </font>
    <font>
      <b val="true"/>
      <sz val="12"/>
      <color theme="0"/>
      <name val="Calibri"/>
      <family val="2"/>
      <charset val="1"/>
    </font>
    <font>
      <b val="true"/>
      <sz val="12"/>
      <name val="新細明體"/>
      <family val="2"/>
      <charset val="1"/>
    </font>
    <font>
      <sz val="11"/>
      <color theme="0" tint="-0.15"/>
      <name val="新細明體"/>
      <family val="2"/>
      <charset val="1"/>
    </font>
    <font>
      <sz val="12"/>
      <color theme="1"/>
      <name val="新細明體"/>
      <family val="2"/>
      <charset val="1"/>
    </font>
    <font>
      <sz val="12"/>
      <color theme="1"/>
      <name val="Microsoft JhengHei"/>
      <family val="2"/>
      <charset val="1"/>
    </font>
    <font>
      <sz val="12"/>
      <color theme="1"/>
      <name val="Calibri"/>
      <family val="2"/>
      <charset val="1"/>
    </font>
    <font>
      <sz val="10"/>
      <color rgb="FF404040"/>
      <name val="新細明體"/>
      <family val="2"/>
      <charset val="1"/>
    </font>
    <font>
      <sz val="10"/>
      <color rgb="FF404040"/>
      <name val="Calibri"/>
      <family val="2"/>
      <charset val="1"/>
    </font>
    <font>
      <b val="true"/>
      <sz val="12"/>
      <color theme="0"/>
      <name val="Calibri"/>
      <family val="2"/>
      <charset val="136"/>
    </font>
    <font>
      <sz val="12"/>
      <color theme="1"/>
      <name val="Calibri"/>
      <family val="2"/>
      <charset val="136"/>
    </font>
    <font>
      <sz val="11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  <fill>
      <patternFill patternType="solid">
        <fgColor theme="7" tint="0.7998"/>
        <bgColor rgb="FFDCE6F2"/>
      </patternFill>
    </fill>
    <fill>
      <patternFill patternType="solid">
        <fgColor theme="4" tint="0.7998"/>
        <bgColor rgb="FFE6E0EC"/>
      </patternFill>
    </fill>
    <fill>
      <patternFill patternType="solid">
        <fgColor theme="5" tint="0.3998"/>
        <bgColor rgb="FFFF99CC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2"/>
      <rgbColor rgb="FF660066"/>
      <rgbColor rgb="FFD99694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E0EC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9" activeCellId="0" sqref="C9"/>
    </sheetView>
  </sheetViews>
  <sheetFormatPr defaultColWidth="8.73046875" defaultRowHeight="15.7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7"/>
    <col collapsed="false" customWidth="true" hidden="false" outlineLevel="0" max="4" min="3" style="0" width="10"/>
    <col collapsed="false" customWidth="true" hidden="false" outlineLevel="0" max="5" min="5" style="0" width="50"/>
    <col collapsed="false" customWidth="true" hidden="false" outlineLevel="0" max="15" min="6" style="0" width="8"/>
    <col collapsed="false" customWidth="true" hidden="false" outlineLevel="0" max="27" min="16" style="0" width="10"/>
    <col collapsed="false" customWidth="true" hidden="false" outlineLevel="0" max="34" min="28" style="0" width="11"/>
    <col collapsed="false" customWidth="true" hidden="false" outlineLevel="0" max="35" min="35" style="0" width="32.57"/>
    <col collapsed="false" customWidth="true" hidden="false" outlineLevel="0" max="36" min="36" style="0" width="9.14"/>
  </cols>
  <sheetData>
    <row r="1" customFormat="false" ht="22.5" hidden="false" customHeight="true" outlineLevel="0" collapsed="false">
      <c r="A1" s="1" t="s">
        <v>0</v>
      </c>
      <c r="B1" s="1"/>
      <c r="C1" s="1"/>
      <c r="D1" s="1"/>
      <c r="E1" s="2" t="s">
        <v>1</v>
      </c>
      <c r="O1" s="3" t="n">
        <f aca="false">1-C11</f>
        <v>0.99</v>
      </c>
      <c r="P1" s="3" t="n">
        <f aca="false">O1-$C12</f>
        <v>0.986</v>
      </c>
      <c r="Q1" s="3" t="n">
        <f aca="false">P1-$C12</f>
        <v>0.982</v>
      </c>
      <c r="R1" s="3" t="n">
        <f aca="false">Q1-$C12</f>
        <v>0.978</v>
      </c>
      <c r="S1" s="3" t="n">
        <f aca="false">R1-$C12</f>
        <v>0.974</v>
      </c>
      <c r="T1" s="3" t="n">
        <f aca="false">S1-$C12</f>
        <v>0.97</v>
      </c>
      <c r="U1" s="3" t="n">
        <f aca="false">T1-$C12</f>
        <v>0.966</v>
      </c>
      <c r="V1" s="3" t="n">
        <f aca="false">U1-$C12</f>
        <v>0.962</v>
      </c>
      <c r="W1" s="3" t="n">
        <f aca="false">V1-$C12</f>
        <v>0.958</v>
      </c>
      <c r="X1" s="3" t="n">
        <f aca="false">W1-$C12</f>
        <v>0.954</v>
      </c>
      <c r="Y1" s="3" t="n">
        <f aca="false">X1-$C12</f>
        <v>0.95</v>
      </c>
      <c r="Z1" s="3" t="n">
        <f aca="false">Y1-$C12</f>
        <v>0.946</v>
      </c>
      <c r="AA1" s="3" t="n">
        <f aca="false">Z1-$C12</f>
        <v>0.942</v>
      </c>
      <c r="AB1" s="3" t="n">
        <f aca="false">AA1-$C12</f>
        <v>0.938</v>
      </c>
      <c r="AC1" s="3" t="n">
        <f aca="false">AB1-$C12</f>
        <v>0.934</v>
      </c>
      <c r="AD1" s="3" t="n">
        <f aca="false">AC1-$C12</f>
        <v>0.93</v>
      </c>
      <c r="AE1" s="3" t="n">
        <f aca="false">AD1-$C12</f>
        <v>0.926</v>
      </c>
      <c r="AF1" s="3" t="n">
        <f aca="false">AE1-$C12</f>
        <v>0.922</v>
      </c>
      <c r="AG1" s="3" t="n">
        <f aca="false">AF1-$C12</f>
        <v>0.918</v>
      </c>
      <c r="AH1" s="3" t="n">
        <f aca="false">AG1-$C12</f>
        <v>0.914</v>
      </c>
    </row>
    <row r="2" customFormat="false" ht="21.75" hidden="false" customHeight="true" outlineLevel="0" collapsed="false">
      <c r="A2" s="4" t="s">
        <v>2</v>
      </c>
      <c r="B2" s="5" t="s">
        <v>3</v>
      </c>
      <c r="C2" s="6" t="s">
        <v>4</v>
      </c>
      <c r="D2" s="7" t="s">
        <v>4</v>
      </c>
      <c r="E2" s="8" t="s">
        <v>5</v>
      </c>
    </row>
    <row r="3" customFormat="false" ht="21.75" hidden="false" customHeight="true" outlineLevel="0" collapsed="false">
      <c r="A3" s="9" t="s">
        <v>6</v>
      </c>
      <c r="B3" s="10" t="n">
        <v>20</v>
      </c>
      <c r="C3" s="11" t="s">
        <v>4</v>
      </c>
      <c r="D3" s="12" t="s">
        <v>4</v>
      </c>
      <c r="E3" s="8" t="s">
        <v>7</v>
      </c>
    </row>
    <row r="4" customFormat="false" ht="21.75" hidden="false" customHeight="true" outlineLevel="0" collapsed="false">
      <c r="A4" s="9" t="s">
        <v>8</v>
      </c>
      <c r="B4" s="10" t="n">
        <v>436.1</v>
      </c>
      <c r="C4" s="11" t="s">
        <v>4</v>
      </c>
      <c r="D4" s="12" t="s">
        <v>4</v>
      </c>
      <c r="E4" s="8" t="s">
        <v>9</v>
      </c>
    </row>
    <row r="5" customFormat="false" ht="22.5" hidden="false" customHeight="true" outlineLevel="0" collapsed="false">
      <c r="A5" s="9" t="s">
        <v>10</v>
      </c>
      <c r="B5" s="10" t="n">
        <v>2020</v>
      </c>
      <c r="C5" s="9" t="s">
        <v>11</v>
      </c>
      <c r="D5" s="12" t="n">
        <f aca="false">B5+B3-1</f>
        <v>2039</v>
      </c>
      <c r="E5" s="8" t="s">
        <v>12</v>
      </c>
    </row>
    <row r="6" customFormat="false" ht="20.25" hidden="false" customHeight="true" outlineLevel="0" collapsed="false">
      <c r="A6" s="13"/>
      <c r="B6" s="13"/>
      <c r="C6" s="13"/>
      <c r="D6" s="13"/>
      <c r="E6" s="14"/>
    </row>
    <row r="7" customFormat="false" ht="22.5" hidden="false" customHeight="true" outlineLevel="0" collapsed="false">
      <c r="A7" s="1" t="s">
        <v>13</v>
      </c>
      <c r="B7" s="1"/>
      <c r="C7" s="1"/>
      <c r="D7" s="1"/>
      <c r="E7" s="14"/>
    </row>
    <row r="8" customFormat="false" ht="22.5" hidden="false" customHeight="true" outlineLevel="0" collapsed="false">
      <c r="A8" s="15" t="s">
        <v>14</v>
      </c>
      <c r="B8" s="15"/>
      <c r="C8" s="15"/>
      <c r="D8" s="15"/>
      <c r="E8" s="14"/>
    </row>
    <row r="9" customFormat="false" ht="22.5" hidden="false" customHeight="true" outlineLevel="0" collapsed="false">
      <c r="A9" s="16" t="s">
        <v>15</v>
      </c>
      <c r="B9" s="17" t="s">
        <v>16</v>
      </c>
      <c r="C9" s="17" t="s">
        <v>17</v>
      </c>
      <c r="D9" s="18" t="s">
        <v>18</v>
      </c>
      <c r="E9" s="2" t="s">
        <v>1</v>
      </c>
    </row>
    <row r="10" customFormat="false" ht="30" hidden="false" customHeight="true" outlineLevel="0" collapsed="false">
      <c r="A10" s="19" t="s">
        <v>19</v>
      </c>
      <c r="B10" s="4" t="s">
        <v>20</v>
      </c>
      <c r="C10" s="20" t="n">
        <v>547002</v>
      </c>
      <c r="D10" s="21" t="n">
        <f aca="false">B3</f>
        <v>20</v>
      </c>
      <c r="E10" s="8" t="s">
        <v>21</v>
      </c>
    </row>
    <row r="11" customFormat="false" ht="30" hidden="false" customHeight="true" outlineLevel="0" collapsed="false">
      <c r="A11" s="19"/>
      <c r="B11" s="9" t="s">
        <v>22</v>
      </c>
      <c r="C11" s="22" t="n">
        <v>0.01</v>
      </c>
      <c r="D11" s="21"/>
      <c r="E11" s="8" t="s">
        <v>23</v>
      </c>
    </row>
    <row r="12" customFormat="false" ht="30" hidden="false" customHeight="true" outlineLevel="0" collapsed="false">
      <c r="A12" s="19"/>
      <c r="B12" s="9" t="s">
        <v>24</v>
      </c>
      <c r="C12" s="23" t="n">
        <v>0.004</v>
      </c>
      <c r="D12" s="21"/>
      <c r="E12" s="8" t="s">
        <v>25</v>
      </c>
    </row>
    <row r="13" customFormat="false" ht="22.5" hidden="false" customHeight="true" outlineLevel="0" collapsed="false">
      <c r="A13" s="19"/>
      <c r="B13" s="24" t="s">
        <v>26</v>
      </c>
      <c r="C13" s="25" t="n">
        <v>4</v>
      </c>
      <c r="D13" s="21"/>
      <c r="E13" s="8" t="s">
        <v>27</v>
      </c>
    </row>
    <row r="14" customFormat="false" ht="22.5" hidden="false" customHeight="true" outlineLevel="0" collapsed="false">
      <c r="A14" s="26" t="s">
        <v>28</v>
      </c>
      <c r="B14" s="26"/>
      <c r="C14" s="26"/>
      <c r="D14" s="26"/>
      <c r="E14" s="14"/>
    </row>
    <row r="15" customFormat="false" ht="22.5" hidden="false" customHeight="true" outlineLevel="0" collapsed="false">
      <c r="A15" s="16" t="s">
        <v>15</v>
      </c>
      <c r="B15" s="17" t="s">
        <v>16</v>
      </c>
      <c r="C15" s="17" t="s">
        <v>17</v>
      </c>
      <c r="D15" s="18" t="s">
        <v>29</v>
      </c>
      <c r="E15" s="2" t="s">
        <v>1</v>
      </c>
    </row>
    <row r="16" customFormat="false" ht="21.75" hidden="false" customHeight="true" outlineLevel="0" collapsed="false">
      <c r="A16" s="4" t="s">
        <v>30</v>
      </c>
      <c r="B16" s="4" t="s">
        <v>31</v>
      </c>
      <c r="C16" s="27" t="n">
        <v>35000</v>
      </c>
      <c r="D16" s="7" t="n">
        <f aca="false">B3</f>
        <v>20</v>
      </c>
      <c r="E16" s="8" t="s">
        <v>32</v>
      </c>
    </row>
    <row r="17" customFormat="false" ht="21.75" hidden="false" customHeight="true" outlineLevel="0" collapsed="false">
      <c r="A17" s="4"/>
      <c r="B17" s="9" t="s">
        <v>33</v>
      </c>
      <c r="C17" s="10" t="n">
        <v>0.3</v>
      </c>
      <c r="D17" s="7"/>
      <c r="E17" s="8" t="s">
        <v>34</v>
      </c>
    </row>
    <row r="18" customFormat="false" ht="21.75" hidden="false" customHeight="true" outlineLevel="0" collapsed="false">
      <c r="A18" s="4"/>
      <c r="B18" s="9" t="s">
        <v>35</v>
      </c>
      <c r="C18" s="28" t="n">
        <v>2000</v>
      </c>
      <c r="D18" s="7"/>
      <c r="E18" s="8" t="s">
        <v>36</v>
      </c>
    </row>
    <row r="19" customFormat="false" ht="54" hidden="false" customHeight="true" outlineLevel="0" collapsed="false">
      <c r="A19" s="9" t="s">
        <v>37</v>
      </c>
      <c r="B19" s="29" t="s">
        <v>38</v>
      </c>
      <c r="C19" s="10" t="n">
        <v>1</v>
      </c>
      <c r="D19" s="7" t="s">
        <v>4</v>
      </c>
      <c r="E19" s="8" t="s">
        <v>39</v>
      </c>
    </row>
    <row r="20" customFormat="false" ht="20.25" hidden="false" customHeight="true" outlineLevel="0" collapsed="false">
      <c r="A20" s="9"/>
      <c r="B20" s="30" t="s">
        <v>40</v>
      </c>
      <c r="C20" s="28" t="n">
        <v>290201</v>
      </c>
      <c r="D20" s="7" t="n">
        <f aca="false">B3</f>
        <v>20</v>
      </c>
      <c r="E20" s="8" t="s">
        <v>41</v>
      </c>
    </row>
    <row r="21" customFormat="false" ht="30" hidden="false" customHeight="true" outlineLevel="0" collapsed="false">
      <c r="A21" s="9"/>
      <c r="B21" s="9" t="s">
        <v>42</v>
      </c>
      <c r="C21" s="10"/>
      <c r="D21" s="12" t="s">
        <v>4</v>
      </c>
      <c r="E21" s="8" t="s">
        <v>43</v>
      </c>
    </row>
    <row r="22" customFormat="false" ht="30" hidden="false" customHeight="true" outlineLevel="0" collapsed="false">
      <c r="A22" s="9" t="s">
        <v>44</v>
      </c>
      <c r="B22" s="9" t="s">
        <v>45</v>
      </c>
      <c r="C22" s="28" t="n">
        <v>400</v>
      </c>
      <c r="D22" s="12" t="n">
        <f aca="false">B3</f>
        <v>20</v>
      </c>
      <c r="E22" s="8" t="s">
        <v>46</v>
      </c>
    </row>
    <row r="23" customFormat="false" ht="30" hidden="false" customHeight="true" outlineLevel="0" collapsed="false">
      <c r="A23" s="9" t="s">
        <v>47</v>
      </c>
      <c r="B23" s="9" t="s">
        <v>48</v>
      </c>
      <c r="C23" s="10" t="n">
        <v>0.003</v>
      </c>
      <c r="D23" s="12" t="n">
        <f aca="false">B3</f>
        <v>20</v>
      </c>
      <c r="E23" s="8" t="s">
        <v>49</v>
      </c>
    </row>
    <row r="24" customFormat="false" ht="30" hidden="false" customHeight="true" outlineLevel="0" collapsed="false">
      <c r="A24" s="9" t="s">
        <v>50</v>
      </c>
      <c r="B24" s="9" t="s">
        <v>51</v>
      </c>
      <c r="C24" s="28" t="n">
        <v>1000</v>
      </c>
      <c r="D24" s="31" t="n">
        <v>10</v>
      </c>
      <c r="E24" s="8" t="s">
        <v>52</v>
      </c>
    </row>
    <row r="25" customFormat="false" ht="30" hidden="false" customHeight="true" outlineLevel="0" collapsed="false">
      <c r="A25" s="9" t="s">
        <v>53</v>
      </c>
      <c r="B25" s="9" t="s">
        <v>54</v>
      </c>
      <c r="C25" s="23" t="n">
        <v>0.0256</v>
      </c>
      <c r="D25" s="12" t="s">
        <v>4</v>
      </c>
      <c r="E25" s="8" t="s">
        <v>55</v>
      </c>
    </row>
    <row r="26" customFormat="false" ht="30" hidden="false" customHeight="true" outlineLevel="0" collapsed="false">
      <c r="A26" s="9" t="s">
        <v>56</v>
      </c>
      <c r="B26" s="9" t="s">
        <v>57</v>
      </c>
      <c r="C26" s="10" t="n">
        <v>0.2</v>
      </c>
      <c r="D26" s="12" t="s">
        <v>4</v>
      </c>
      <c r="E26" s="8" t="s">
        <v>58</v>
      </c>
    </row>
    <row r="27" customFormat="false" ht="20.25" hidden="false" customHeight="true" outlineLevel="0" collapsed="false">
      <c r="A27" s="13"/>
      <c r="B27" s="13"/>
      <c r="C27" s="13"/>
      <c r="D27" s="13"/>
      <c r="E27" s="14"/>
    </row>
    <row r="28" customFormat="false" ht="20.25" hidden="false" customHeight="true" outlineLevel="0" collapsed="false">
      <c r="A28" s="13"/>
      <c r="B28" s="13"/>
      <c r="C28" s="13"/>
      <c r="D28" s="13"/>
      <c r="E28" s="14"/>
    </row>
    <row r="29" customFormat="false" ht="22.5" hidden="false" customHeight="true" outlineLevel="0" collapsed="false">
      <c r="A29" s="1" t="s">
        <v>59</v>
      </c>
      <c r="B29" s="1"/>
      <c r="C29" s="1"/>
      <c r="D29" s="13"/>
      <c r="E29" s="14"/>
    </row>
    <row r="30" customFormat="false" ht="22.5" hidden="false" customHeight="true" outlineLevel="0" collapsed="false">
      <c r="A30" s="16" t="s">
        <v>60</v>
      </c>
      <c r="B30" s="17" t="s">
        <v>16</v>
      </c>
      <c r="C30" s="32" t="s">
        <v>17</v>
      </c>
      <c r="D30" s="13"/>
      <c r="E30" s="2" t="s">
        <v>1</v>
      </c>
    </row>
    <row r="31" customFormat="false" ht="30" hidden="false" customHeight="true" outlineLevel="0" collapsed="false">
      <c r="A31" s="4" t="s">
        <v>61</v>
      </c>
      <c r="B31" s="4" t="s">
        <v>62</v>
      </c>
      <c r="C31" s="33" t="n">
        <v>0.8</v>
      </c>
      <c r="D31" s="13"/>
      <c r="E31" s="8" t="s">
        <v>63</v>
      </c>
    </row>
    <row r="32" customFormat="false" ht="18.75" hidden="false" customHeight="true" outlineLevel="0" collapsed="false">
      <c r="A32" s="4" t="s">
        <v>64</v>
      </c>
      <c r="B32" s="4" t="s">
        <v>65</v>
      </c>
      <c r="C32" s="33" t="n">
        <v>15</v>
      </c>
      <c r="D32" s="13"/>
      <c r="E32" s="8" t="s">
        <v>66</v>
      </c>
    </row>
    <row r="33" customFormat="false" ht="18.75" hidden="false" customHeight="true" outlineLevel="0" collapsed="false">
      <c r="A33" s="9" t="s">
        <v>67</v>
      </c>
      <c r="B33" s="9" t="s">
        <v>68</v>
      </c>
      <c r="C33" s="10" t="n">
        <v>0.9</v>
      </c>
      <c r="D33" s="13"/>
      <c r="E33" s="8" t="s">
        <v>69</v>
      </c>
    </row>
    <row r="34" customFormat="false" ht="30" hidden="false" customHeight="true" outlineLevel="0" collapsed="false">
      <c r="A34" s="9" t="s">
        <v>70</v>
      </c>
      <c r="B34" s="9" t="s">
        <v>65</v>
      </c>
      <c r="C34" s="10" t="n">
        <v>4</v>
      </c>
      <c r="D34" s="13"/>
      <c r="E34" s="8" t="s">
        <v>71</v>
      </c>
    </row>
    <row r="35" customFormat="false" ht="18.75" hidden="false" customHeight="true" outlineLevel="0" collapsed="false"/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5" min="3" style="0" width="22"/>
    <col collapsed="false" customWidth="true" hidden="false" outlineLevel="0" max="6" min="6" style="0" width="12"/>
    <col collapsed="false" customWidth="true" hidden="false" outlineLevel="0" max="7" min="7" style="0" width="19"/>
    <col collapsed="false" customWidth="true" hidden="false" outlineLevel="0" max="8" min="8" style="0" width="14"/>
    <col collapsed="false" customWidth="true" hidden="false" outlineLevel="0" max="9" min="9" style="0" width="8"/>
    <col collapsed="false" customWidth="true" hidden="false" outlineLevel="0" max="10" min="10" style="0" width="50"/>
  </cols>
  <sheetData>
    <row r="1" customFormat="false" ht="15" hidden="false" customHeight="false" outlineLevel="0" collapsed="false">
      <c r="A1" s="0" t="s">
        <v>72</v>
      </c>
      <c r="B1" s="0" t="s">
        <v>73</v>
      </c>
      <c r="C1" s="0" t="s">
        <v>74</v>
      </c>
      <c r="D1" s="0" t="s">
        <v>75</v>
      </c>
      <c r="E1" s="0" t="s">
        <v>76</v>
      </c>
      <c r="F1" s="0" t="s">
        <v>77</v>
      </c>
      <c r="G1" s="0" t="s">
        <v>78</v>
      </c>
      <c r="H1" s="0" t="s">
        <v>79</v>
      </c>
      <c r="I1" s="0" t="s">
        <v>35</v>
      </c>
      <c r="J1" s="0" t="s">
        <v>80</v>
      </c>
    </row>
    <row r="2" customFormat="false" ht="15" hidden="false" customHeight="false" outlineLevel="0" collapsed="false">
      <c r="A2" s="0" t="n">
        <v>1</v>
      </c>
      <c r="B2" s="0" t="n">
        <v>35000</v>
      </c>
      <c r="C2" s="34" t="n">
        <v>0.0262</v>
      </c>
      <c r="D2" s="34" t="n">
        <v>0.0418</v>
      </c>
      <c r="E2" s="34" t="n">
        <v>0.0445</v>
      </c>
      <c r="F2" s="34" t="n">
        <v>0.3</v>
      </c>
      <c r="G2" s="0" t="n">
        <v>6541500</v>
      </c>
      <c r="H2" s="0" t="n">
        <v>15000</v>
      </c>
      <c r="I2" s="0" t="n">
        <v>2000</v>
      </c>
      <c r="J2" s="0" t="s">
        <v>81</v>
      </c>
    </row>
    <row r="3" customFormat="false" ht="15" hidden="false" customHeight="false" outlineLevel="0" collapsed="false">
      <c r="A3" s="0" t="n">
        <v>2</v>
      </c>
      <c r="B3" s="0" t="n">
        <v>33000</v>
      </c>
      <c r="C3" s="34" t="n">
        <v>0.0316</v>
      </c>
      <c r="D3" s="34" t="n">
        <v>0.0568</v>
      </c>
      <c r="E3" s="34" t="n">
        <v>0.0619</v>
      </c>
      <c r="F3" s="34" t="n">
        <v>0.3</v>
      </c>
      <c r="G3" s="0" t="n">
        <v>6167762.3</v>
      </c>
      <c r="H3" s="0" t="n">
        <v>14143</v>
      </c>
      <c r="I3" s="0" t="n">
        <v>2000</v>
      </c>
      <c r="J3" s="0" t="s">
        <v>82</v>
      </c>
    </row>
    <row r="4" customFormat="false" ht="15" hidden="false" customHeight="false" outlineLevel="0" collapsed="false">
      <c r="A4" s="0" t="n">
        <v>3</v>
      </c>
      <c r="B4" s="0" t="n">
        <v>31000</v>
      </c>
      <c r="C4" s="34" t="n">
        <v>0.0375</v>
      </c>
      <c r="D4" s="34" t="n">
        <v>0.0733</v>
      </c>
      <c r="E4" s="34" t="n">
        <v>0.0821</v>
      </c>
      <c r="F4" s="34" t="n">
        <v>0.3</v>
      </c>
      <c r="G4" s="0" t="n">
        <v>5794024.6</v>
      </c>
      <c r="H4" s="0" t="n">
        <v>13286</v>
      </c>
      <c r="I4" s="0" t="n">
        <v>2000</v>
      </c>
      <c r="J4" s="0" t="s">
        <v>83</v>
      </c>
    </row>
    <row r="5" customFormat="false" ht="15" hidden="false" customHeight="false" outlineLevel="0" collapsed="false">
      <c r="A5" s="0" t="n">
        <v>4</v>
      </c>
      <c r="B5" s="0" t="n">
        <v>29000</v>
      </c>
      <c r="C5" s="34" t="n">
        <v>0.0439</v>
      </c>
      <c r="D5" s="34" t="n">
        <v>0.0917</v>
      </c>
      <c r="E5" s="34" t="n">
        <v>0.1059</v>
      </c>
      <c r="F5" s="34" t="n">
        <v>0.3</v>
      </c>
      <c r="G5" s="0" t="n">
        <v>5420286.9</v>
      </c>
      <c r="H5" s="0" t="n">
        <v>12429</v>
      </c>
      <c r="I5" s="0" t="n">
        <v>2000</v>
      </c>
      <c r="J5" s="0" t="s">
        <v>84</v>
      </c>
    </row>
    <row r="6" customFormat="false" ht="15" hidden="false" customHeight="false" outlineLevel="0" collapsed="false">
      <c r="A6" s="0" t="n">
        <v>5</v>
      </c>
      <c r="B6" s="0" t="n">
        <v>27000</v>
      </c>
      <c r="C6" s="34" t="n">
        <v>0.0511</v>
      </c>
      <c r="D6" s="34" t="n">
        <v>0.1125</v>
      </c>
      <c r="E6" s="34" t="n">
        <v>0.1345</v>
      </c>
      <c r="F6" s="34" t="n">
        <v>0.3</v>
      </c>
      <c r="G6" s="0" t="n">
        <v>5046113.1</v>
      </c>
      <c r="H6" s="0" t="n">
        <v>11571</v>
      </c>
      <c r="I6" s="0" t="n">
        <v>2000</v>
      </c>
      <c r="J6" s="0" t="s">
        <v>85</v>
      </c>
    </row>
    <row r="7" customFormat="false" ht="15" hidden="false" customHeight="false" outlineLevel="0" collapsed="false">
      <c r="A7" s="0" t="n">
        <v>6</v>
      </c>
      <c r="B7" s="0" t="n">
        <v>25000</v>
      </c>
      <c r="C7" s="34" t="n">
        <v>0.0591</v>
      </c>
      <c r="D7" s="34" t="n">
        <v>0.1366</v>
      </c>
      <c r="E7" s="34" t="n">
        <v>0.17</v>
      </c>
      <c r="F7" s="34" t="n">
        <v>0.3</v>
      </c>
      <c r="G7" s="0" t="n">
        <v>4672375.4</v>
      </c>
      <c r="H7" s="0" t="n">
        <v>10714</v>
      </c>
      <c r="I7" s="0" t="n">
        <v>2000</v>
      </c>
      <c r="J7" s="0" t="s">
        <v>86</v>
      </c>
    </row>
    <row r="8" customFormat="false" ht="15" hidden="false" customHeight="false" outlineLevel="0" collapsed="false">
      <c r="A8" s="0" t="n">
        <v>7</v>
      </c>
      <c r="B8" s="0" t="n">
        <v>23000</v>
      </c>
      <c r="C8" s="34" t="n">
        <v>0.0682</v>
      </c>
      <c r="D8" s="34" t="n">
        <v>0.1648</v>
      </c>
      <c r="E8" s="34" t="n">
        <v>0.2153</v>
      </c>
      <c r="F8" s="34" t="n">
        <v>0.3</v>
      </c>
      <c r="G8" s="0" t="n">
        <v>4298637.7</v>
      </c>
      <c r="H8" s="0" t="n">
        <v>9857</v>
      </c>
      <c r="I8" s="0" t="n">
        <v>2000</v>
      </c>
      <c r="J8" s="0" t="s">
        <v>87</v>
      </c>
    </row>
    <row r="9" customFormat="false" ht="15" hidden="false" customHeight="false" outlineLevel="0" collapsed="false">
      <c r="A9" s="0" t="n">
        <v>8</v>
      </c>
      <c r="B9" s="0" t="n">
        <v>21000</v>
      </c>
      <c r="C9" s="34" t="n">
        <v>0.0785</v>
      </c>
      <c r="D9" s="34" t="n">
        <v>0.1985</v>
      </c>
      <c r="E9" s="34" t="n">
        <v>0.2757</v>
      </c>
      <c r="F9" s="34" t="n">
        <v>0.3</v>
      </c>
      <c r="G9" s="0" t="n">
        <v>3924900</v>
      </c>
      <c r="H9" s="0" t="n">
        <v>9000</v>
      </c>
      <c r="I9" s="0" t="n">
        <v>2000</v>
      </c>
      <c r="J9" s="0" t="s">
        <v>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.7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7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50"/>
    <col collapsed="false" customWidth="true" hidden="false" outlineLevel="0" max="12" min="6" style="0" width="21"/>
    <col collapsed="false" customWidth="true" hidden="false" outlineLevel="0" max="13" min="13" style="0" width="39"/>
    <col collapsed="false" customWidth="true" hidden="false" outlineLevel="0" max="19" min="14" style="0" width="21"/>
    <col collapsed="false" customWidth="true" hidden="false" outlineLevel="0" max="23" min="20" style="0" width="12"/>
    <col collapsed="false" customWidth="true" hidden="false" outlineLevel="0" max="27" min="24" style="0" width="10"/>
    <col collapsed="false" customWidth="true" hidden="false" outlineLevel="0" max="34" min="28" style="0" width="11"/>
    <col collapsed="false" customWidth="true" hidden="false" outlineLevel="0" max="35" min="35" style="0" width="32.57"/>
    <col collapsed="false" customWidth="true" hidden="false" outlineLevel="0" max="36" min="36" style="0" width="9.14"/>
  </cols>
  <sheetData>
    <row r="1" customFormat="false" ht="22.5" hidden="false" customHeight="true" outlineLevel="0" collapsed="false">
      <c r="A1" s="1" t="s">
        <v>0</v>
      </c>
      <c r="B1" s="1"/>
      <c r="C1" s="1"/>
      <c r="D1" s="1"/>
      <c r="E1" s="2" t="s">
        <v>1</v>
      </c>
      <c r="O1" s="3" t="n">
        <f aca="false">1-C11</f>
        <v>0.99</v>
      </c>
      <c r="P1" s="3" t="n">
        <f aca="false">O1-$C12</f>
        <v>0.986</v>
      </c>
      <c r="Q1" s="3" t="n">
        <f aca="false">P1-$C12</f>
        <v>0.982</v>
      </c>
      <c r="R1" s="3" t="n">
        <f aca="false">Q1-$C12</f>
        <v>0.978</v>
      </c>
      <c r="S1" s="3" t="n">
        <f aca="false">R1-$C12</f>
        <v>0.974</v>
      </c>
      <c r="T1" s="3" t="n">
        <f aca="false">S1-$C12</f>
        <v>0.97</v>
      </c>
      <c r="U1" s="3" t="n">
        <f aca="false">T1-$C12</f>
        <v>0.966</v>
      </c>
      <c r="V1" s="3" t="n">
        <f aca="false">U1-$C12</f>
        <v>0.962</v>
      </c>
      <c r="W1" s="3" t="n">
        <f aca="false">V1-$C12</f>
        <v>0.958</v>
      </c>
      <c r="X1" s="3" t="n">
        <f aca="false">W1-$C12</f>
        <v>0.954</v>
      </c>
      <c r="Y1" s="3" t="n">
        <f aca="false">X1-$C12</f>
        <v>0.95</v>
      </c>
      <c r="Z1" s="3" t="n">
        <f aca="false">Y1-$C12</f>
        <v>0.946</v>
      </c>
      <c r="AA1" s="3" t="n">
        <f aca="false">Z1-$C12</f>
        <v>0.942</v>
      </c>
      <c r="AB1" s="3" t="n">
        <f aca="false">AA1-$C12</f>
        <v>0.938</v>
      </c>
      <c r="AC1" s="3" t="n">
        <f aca="false">AB1-$C12</f>
        <v>0.934</v>
      </c>
      <c r="AD1" s="3" t="n">
        <f aca="false">AC1-$C12</f>
        <v>0.93</v>
      </c>
      <c r="AE1" s="3" t="n">
        <f aca="false">AD1-$C12</f>
        <v>0.926</v>
      </c>
      <c r="AF1" s="3" t="n">
        <f aca="false">AE1-$C12</f>
        <v>0.922</v>
      </c>
      <c r="AG1" s="3" t="n">
        <f aca="false">AF1-$C12</f>
        <v>0.918</v>
      </c>
      <c r="AH1" s="3" t="n">
        <f aca="false">AG1-$C12</f>
        <v>0.914</v>
      </c>
    </row>
    <row r="2" customFormat="false" ht="21.75" hidden="false" customHeight="true" outlineLevel="0" collapsed="false">
      <c r="A2" s="4" t="s">
        <v>2</v>
      </c>
      <c r="B2" s="5" t="s">
        <v>3</v>
      </c>
      <c r="C2" s="4" t="s">
        <v>3</v>
      </c>
      <c r="D2" s="7" t="s">
        <v>4</v>
      </c>
      <c r="E2" s="8" t="s">
        <v>5</v>
      </c>
    </row>
    <row r="3" customFormat="false" ht="21.75" hidden="false" customHeight="true" outlineLevel="0" collapsed="false">
      <c r="A3" s="9" t="s">
        <v>6</v>
      </c>
      <c r="B3" s="10" t="n">
        <v>20</v>
      </c>
      <c r="C3" s="9" t="n">
        <v>20</v>
      </c>
      <c r="D3" s="12" t="s">
        <v>4</v>
      </c>
      <c r="E3" s="8" t="s">
        <v>7</v>
      </c>
    </row>
    <row r="4" customFormat="false" ht="21.75" hidden="false" customHeight="true" outlineLevel="0" collapsed="false">
      <c r="A4" s="9" t="s">
        <v>8</v>
      </c>
      <c r="B4" s="10" t="n">
        <v>436.1</v>
      </c>
      <c r="C4" s="9" t="n">
        <v>436.1</v>
      </c>
      <c r="D4" s="12" t="s">
        <v>4</v>
      </c>
      <c r="E4" s="8" t="s">
        <v>9</v>
      </c>
      <c r="M4" s="0" t="s">
        <v>89</v>
      </c>
    </row>
    <row r="5" customFormat="false" ht="22.5" hidden="false" customHeight="true" outlineLevel="0" collapsed="false">
      <c r="A5" s="9" t="s">
        <v>10</v>
      </c>
      <c r="B5" s="10" t="n">
        <v>2020</v>
      </c>
      <c r="C5" s="9" t="n">
        <v>2020</v>
      </c>
      <c r="D5" s="12" t="n">
        <f aca="false">B5+B3-1</f>
        <v>2039</v>
      </c>
      <c r="E5" s="8" t="n">
        <v>2039</v>
      </c>
      <c r="M5" s="0" t="s">
        <v>90</v>
      </c>
    </row>
    <row r="6" customFormat="false" ht="20.25" hidden="false" customHeight="true" outlineLevel="0" collapsed="false">
      <c r="A6" s="13"/>
      <c r="B6" s="13"/>
      <c r="C6" s="13"/>
      <c r="D6" s="13"/>
      <c r="E6" s="14"/>
      <c r="M6" s="0" t="s">
        <v>91</v>
      </c>
    </row>
    <row r="7" customFormat="false" ht="22.5" hidden="false" customHeight="true" outlineLevel="0" collapsed="false">
      <c r="A7" s="1" t="s">
        <v>13</v>
      </c>
      <c r="B7" s="1"/>
      <c r="C7" s="1"/>
      <c r="D7" s="1"/>
      <c r="E7" s="14"/>
      <c r="M7" s="0" t="s">
        <v>92</v>
      </c>
    </row>
    <row r="8" customFormat="false" ht="22.5" hidden="false" customHeight="true" outlineLevel="0" collapsed="false">
      <c r="A8" s="15" t="s">
        <v>14</v>
      </c>
      <c r="B8" s="15"/>
      <c r="C8" s="15"/>
      <c r="D8" s="15"/>
      <c r="E8" s="14"/>
      <c r="M8" s="0" t="s">
        <v>93</v>
      </c>
    </row>
    <row r="9" customFormat="false" ht="22.5" hidden="false" customHeight="true" outlineLevel="0" collapsed="false">
      <c r="A9" s="16" t="s">
        <v>15</v>
      </c>
      <c r="B9" s="17" t="s">
        <v>16</v>
      </c>
      <c r="C9" s="17" t="s">
        <v>17</v>
      </c>
      <c r="D9" s="18" t="s">
        <v>18</v>
      </c>
      <c r="E9" s="2" t="s">
        <v>1</v>
      </c>
      <c r="M9" s="0" t="s">
        <v>94</v>
      </c>
    </row>
    <row r="10" customFormat="false" ht="30" hidden="false" customHeight="true" outlineLevel="0" collapsed="false">
      <c r="A10" s="19" t="s">
        <v>19</v>
      </c>
      <c r="B10" s="4" t="s">
        <v>20</v>
      </c>
      <c r="C10" s="20" t="n">
        <v>547002</v>
      </c>
      <c r="D10" s="21" t="n">
        <v>547002</v>
      </c>
      <c r="E10" s="8" t="n">
        <v>20</v>
      </c>
      <c r="M10" s="0" t="s">
        <v>95</v>
      </c>
    </row>
    <row r="11" customFormat="false" ht="30" hidden="false" customHeight="true" outlineLevel="0" collapsed="false">
      <c r="A11" s="19"/>
      <c r="B11" s="9" t="s">
        <v>22</v>
      </c>
      <c r="C11" s="22" t="n">
        <v>0.01</v>
      </c>
      <c r="D11" s="21" t="n">
        <v>0.01</v>
      </c>
      <c r="E11" s="8" t="s">
        <v>23</v>
      </c>
    </row>
    <row r="12" customFormat="false" ht="30" hidden="false" customHeight="true" outlineLevel="0" collapsed="false">
      <c r="A12" s="19"/>
      <c r="B12" s="9" t="s">
        <v>24</v>
      </c>
      <c r="C12" s="23" t="n">
        <v>0.004</v>
      </c>
      <c r="D12" s="21" t="n">
        <v>0.004</v>
      </c>
      <c r="E12" s="8" t="s">
        <v>25</v>
      </c>
    </row>
    <row r="13" customFormat="false" ht="22.5" hidden="false" customHeight="true" outlineLevel="0" collapsed="false">
      <c r="A13" s="19"/>
      <c r="B13" s="24" t="s">
        <v>26</v>
      </c>
      <c r="C13" s="25" t="n">
        <v>4</v>
      </c>
      <c r="D13" s="21" t="n">
        <v>4</v>
      </c>
      <c r="E13" s="8" t="s">
        <v>27</v>
      </c>
    </row>
    <row r="14" customFormat="false" ht="22.5" hidden="false" customHeight="true" outlineLevel="0" collapsed="false">
      <c r="A14" s="26" t="s">
        <v>28</v>
      </c>
      <c r="B14" s="26"/>
      <c r="C14" s="26"/>
      <c r="D14" s="26"/>
      <c r="E14" s="14"/>
    </row>
    <row r="15" customFormat="false" ht="22.5" hidden="false" customHeight="true" outlineLevel="0" collapsed="false">
      <c r="A15" s="16" t="s">
        <v>15</v>
      </c>
      <c r="B15" s="17" t="s">
        <v>16</v>
      </c>
      <c r="C15" s="17" t="s">
        <v>17</v>
      </c>
      <c r="D15" s="18" t="s">
        <v>29</v>
      </c>
      <c r="E15" s="2" t="s">
        <v>1</v>
      </c>
    </row>
    <row r="16" customFormat="false" ht="21.75" hidden="false" customHeight="true" outlineLevel="0" collapsed="false">
      <c r="A16" s="4" t="s">
        <v>30</v>
      </c>
      <c r="B16" s="4" t="s">
        <v>31</v>
      </c>
      <c r="C16" s="27" t="n">
        <v>35000</v>
      </c>
      <c r="D16" s="7" t="n">
        <v>35000</v>
      </c>
      <c r="E16" s="8" t="n">
        <v>20</v>
      </c>
    </row>
    <row r="17" customFormat="false" ht="21.75" hidden="false" customHeight="true" outlineLevel="0" collapsed="false">
      <c r="A17" s="4"/>
      <c r="B17" s="9" t="s">
        <v>33</v>
      </c>
      <c r="C17" s="10" t="n">
        <v>0.3</v>
      </c>
      <c r="D17" s="7" t="n">
        <v>0.3</v>
      </c>
      <c r="E17" s="8" t="s">
        <v>34</v>
      </c>
    </row>
    <row r="18" customFormat="false" ht="21.75" hidden="false" customHeight="true" outlineLevel="0" collapsed="false">
      <c r="A18" s="4"/>
      <c r="B18" s="9" t="s">
        <v>35</v>
      </c>
      <c r="C18" s="28" t="n">
        <v>2000</v>
      </c>
      <c r="D18" s="7" t="n">
        <v>2000</v>
      </c>
      <c r="E18" s="8" t="s">
        <v>36</v>
      </c>
    </row>
    <row r="19" customFormat="false" ht="54" hidden="false" customHeight="true" outlineLevel="0" collapsed="false">
      <c r="A19" s="9" t="s">
        <v>37</v>
      </c>
      <c r="B19" s="29" t="s">
        <v>38</v>
      </c>
      <c r="C19" s="10" t="n">
        <v>1</v>
      </c>
      <c r="D19" s="7" t="n">
        <v>1</v>
      </c>
      <c r="E19" s="8" t="n">
        <v>20</v>
      </c>
    </row>
    <row r="20" customFormat="false" ht="20.25" hidden="false" customHeight="true" outlineLevel="0" collapsed="false">
      <c r="A20" s="9"/>
      <c r="B20" s="30" t="s">
        <v>40</v>
      </c>
      <c r="C20" s="28" t="n">
        <v>290201</v>
      </c>
      <c r="D20" s="7" t="n">
        <v>290201</v>
      </c>
      <c r="E20" s="8" t="n">
        <v>20</v>
      </c>
    </row>
    <row r="21" customFormat="false" ht="30" hidden="false" customHeight="true" outlineLevel="0" collapsed="false">
      <c r="A21" s="9"/>
      <c r="B21" s="9" t="s">
        <v>42</v>
      </c>
      <c r="C21" s="10"/>
      <c r="D21" s="12" t="n">
        <v>0</v>
      </c>
      <c r="E21" s="8" t="n">
        <v>20</v>
      </c>
    </row>
    <row r="22" customFormat="false" ht="30" hidden="false" customHeight="true" outlineLevel="0" collapsed="false">
      <c r="A22" s="9" t="s">
        <v>44</v>
      </c>
      <c r="B22" s="9" t="s">
        <v>45</v>
      </c>
      <c r="C22" s="28" t="n">
        <v>400</v>
      </c>
      <c r="D22" s="12" t="n">
        <v>400</v>
      </c>
      <c r="E22" s="8" t="n">
        <v>20</v>
      </c>
    </row>
    <row r="23" customFormat="false" ht="30" hidden="false" customHeight="true" outlineLevel="0" collapsed="false">
      <c r="A23" s="9" t="s">
        <v>47</v>
      </c>
      <c r="B23" s="9" t="s">
        <v>48</v>
      </c>
      <c r="C23" s="10" t="n">
        <v>0.003</v>
      </c>
      <c r="D23" s="12" t="n">
        <v>0.003</v>
      </c>
      <c r="E23" s="8" t="n">
        <v>20</v>
      </c>
    </row>
    <row r="24" customFormat="false" ht="30" hidden="false" customHeight="true" outlineLevel="0" collapsed="false">
      <c r="A24" s="9" t="s">
        <v>50</v>
      </c>
      <c r="B24" s="9" t="s">
        <v>51</v>
      </c>
      <c r="C24" s="28" t="n">
        <v>1000</v>
      </c>
      <c r="D24" s="31" t="n">
        <v>1000</v>
      </c>
      <c r="E24" s="8" t="n">
        <v>10</v>
      </c>
    </row>
    <row r="25" customFormat="false" ht="30" hidden="false" customHeight="true" outlineLevel="0" collapsed="false">
      <c r="A25" s="9" t="s">
        <v>53</v>
      </c>
      <c r="B25" s="9" t="s">
        <v>54</v>
      </c>
      <c r="C25" s="23" t="n">
        <v>0.0256</v>
      </c>
      <c r="D25" s="12" t="n">
        <v>0.0256</v>
      </c>
      <c r="E25" s="8" t="n">
        <v>20</v>
      </c>
    </row>
    <row r="26" customFormat="false" ht="30" hidden="false" customHeight="true" outlineLevel="0" collapsed="false">
      <c r="A26" s="9" t="s">
        <v>56</v>
      </c>
      <c r="B26" s="9" t="s">
        <v>57</v>
      </c>
      <c r="C26" s="10" t="n">
        <v>0.2</v>
      </c>
      <c r="D26" s="12" t="n">
        <v>0.2</v>
      </c>
      <c r="E26" s="8" t="n">
        <v>20</v>
      </c>
    </row>
    <row r="27" customFormat="false" ht="20.25" hidden="false" customHeight="true" outlineLevel="0" collapsed="false">
      <c r="A27" s="13"/>
      <c r="B27" s="13"/>
      <c r="C27" s="13"/>
      <c r="D27" s="13"/>
      <c r="E27" s="14"/>
    </row>
    <row r="28" customFormat="false" ht="20.25" hidden="false" customHeight="true" outlineLevel="0" collapsed="false">
      <c r="A28" s="13"/>
      <c r="B28" s="13"/>
      <c r="C28" s="13"/>
      <c r="D28" s="13"/>
      <c r="E28" s="14"/>
    </row>
    <row r="29" customFormat="false" ht="22.5" hidden="false" customHeight="true" outlineLevel="0" collapsed="false">
      <c r="A29" s="1" t="s">
        <v>59</v>
      </c>
      <c r="B29" s="1"/>
      <c r="C29" s="1"/>
      <c r="D29" s="13"/>
      <c r="E29" s="14"/>
    </row>
    <row r="30" customFormat="false" ht="22.5" hidden="false" customHeight="true" outlineLevel="0" collapsed="false">
      <c r="A30" s="16" t="s">
        <v>60</v>
      </c>
      <c r="B30" s="17" t="s">
        <v>16</v>
      </c>
      <c r="C30" s="32" t="s">
        <v>17</v>
      </c>
      <c r="D30" s="13"/>
      <c r="E30" s="2" t="s">
        <v>1</v>
      </c>
    </row>
    <row r="31" customFormat="false" ht="30" hidden="false" customHeight="true" outlineLevel="0" collapsed="false">
      <c r="A31" s="4" t="s">
        <v>61</v>
      </c>
      <c r="B31" s="4" t="s">
        <v>62</v>
      </c>
      <c r="C31" s="33" t="n">
        <v>0.8</v>
      </c>
      <c r="D31" s="13" t="n">
        <v>0.8</v>
      </c>
      <c r="E31" s="8" t="s">
        <v>63</v>
      </c>
    </row>
    <row r="32" customFormat="false" ht="18.75" hidden="false" customHeight="true" outlineLevel="0" collapsed="false">
      <c r="A32" s="4" t="s">
        <v>64</v>
      </c>
      <c r="B32" s="4" t="s">
        <v>65</v>
      </c>
      <c r="C32" s="33" t="n">
        <v>15</v>
      </c>
      <c r="D32" s="13" t="n">
        <v>15</v>
      </c>
      <c r="E32" s="8" t="s">
        <v>66</v>
      </c>
    </row>
    <row r="33" customFormat="false" ht="18.75" hidden="false" customHeight="true" outlineLevel="0" collapsed="false">
      <c r="A33" s="9" t="s">
        <v>67</v>
      </c>
      <c r="B33" s="9" t="s">
        <v>68</v>
      </c>
      <c r="C33" s="10" t="n">
        <v>0.9</v>
      </c>
      <c r="D33" s="13" t="n">
        <v>0.9</v>
      </c>
      <c r="E33" s="8" t="s">
        <v>69</v>
      </c>
    </row>
    <row r="34" customFormat="false" ht="30" hidden="false" customHeight="true" outlineLevel="0" collapsed="false">
      <c r="A34" s="9" t="s">
        <v>70</v>
      </c>
      <c r="B34" s="9" t="s">
        <v>65</v>
      </c>
      <c r="C34" s="10" t="n">
        <v>4</v>
      </c>
      <c r="D34" s="13" t="n">
        <v>4</v>
      </c>
      <c r="E34" s="8" t="s">
        <v>71</v>
      </c>
    </row>
    <row r="35" customFormat="false" ht="18.75" hidden="false" customHeight="true" outlineLevel="0" collapsed="false"/>
    <row r="37" customFormat="false" ht="15.75" hidden="false" customHeight="false" outlineLevel="0" collapsed="false">
      <c r="D37" s="0" t="n">
        <v>2020</v>
      </c>
      <c r="E37" s="0" t="n">
        <v>2021</v>
      </c>
      <c r="F37" s="0" t="n">
        <v>2022</v>
      </c>
      <c r="G37" s="0" t="n">
        <v>2023</v>
      </c>
      <c r="H37" s="0" t="n">
        <v>2024</v>
      </c>
      <c r="I37" s="0" t="n">
        <v>2025</v>
      </c>
      <c r="J37" s="0" t="n">
        <v>2026</v>
      </c>
      <c r="K37" s="0" t="n">
        <v>2027</v>
      </c>
      <c r="L37" s="0" t="n">
        <v>2028</v>
      </c>
      <c r="M37" s="0" t="n">
        <v>2029</v>
      </c>
      <c r="N37" s="0" t="n">
        <v>2030</v>
      </c>
      <c r="O37" s="0" t="n">
        <v>2031</v>
      </c>
      <c r="P37" s="0" t="n">
        <v>2032</v>
      </c>
      <c r="Q37" s="0" t="n">
        <v>2033</v>
      </c>
      <c r="R37" s="0" t="n">
        <v>2034</v>
      </c>
      <c r="S37" s="0" t="n">
        <v>2035</v>
      </c>
      <c r="T37" s="0" t="n">
        <v>2036</v>
      </c>
      <c r="U37" s="0" t="n">
        <v>2037</v>
      </c>
      <c r="V37" s="0" t="n">
        <v>2038</v>
      </c>
      <c r="W37" s="0" t="n">
        <v>2039</v>
      </c>
    </row>
    <row r="45" customFormat="false" ht="15.75" hidden="false" customHeight="false" outlineLevel="0" collapsed="false">
      <c r="D45" s="0" t="n">
        <v>-290201</v>
      </c>
      <c r="E45" s="0" t="n">
        <v>-290201</v>
      </c>
      <c r="F45" s="0" t="n">
        <v>-290201</v>
      </c>
      <c r="G45" s="0" t="n">
        <v>-290201</v>
      </c>
      <c r="H45" s="0" t="n">
        <v>-290201</v>
      </c>
      <c r="I45" s="0" t="n">
        <v>-290201</v>
      </c>
      <c r="J45" s="0" t="n">
        <v>-290201</v>
      </c>
      <c r="K45" s="0" t="n">
        <v>-290201</v>
      </c>
      <c r="L45" s="0" t="n">
        <v>-290201</v>
      </c>
      <c r="M45" s="0" t="n">
        <v>-290201</v>
      </c>
      <c r="N45" s="0" t="n">
        <v>-290201</v>
      </c>
      <c r="O45" s="0" t="n">
        <v>-290201</v>
      </c>
      <c r="P45" s="0" t="n">
        <v>-290201</v>
      </c>
      <c r="Q45" s="0" t="n">
        <v>-290201</v>
      </c>
      <c r="R45" s="0" t="n">
        <v>-290201</v>
      </c>
      <c r="S45" s="0" t="n">
        <v>-290201</v>
      </c>
      <c r="T45" s="0" t="n">
        <v>-290201</v>
      </c>
      <c r="U45" s="0" t="n">
        <v>-290201</v>
      </c>
      <c r="V45" s="0" t="n">
        <v>-290201</v>
      </c>
      <c r="W45" s="0" t="n">
        <v>-290201</v>
      </c>
    </row>
    <row r="48" customFormat="false" ht="15.75" hidden="false" customHeight="false" outlineLevel="0" collapsed="false">
      <c r="D48" s="0" t="n">
        <v>-174440</v>
      </c>
      <c r="E48" s="0" t="n">
        <v>-174440</v>
      </c>
      <c r="F48" s="0" t="n">
        <v>-174440</v>
      </c>
      <c r="G48" s="0" t="n">
        <v>-174440</v>
      </c>
      <c r="H48" s="0" t="n">
        <v>-174440</v>
      </c>
      <c r="I48" s="0" t="n">
        <v>-174440</v>
      </c>
      <c r="J48" s="0" t="n">
        <v>-174440</v>
      </c>
      <c r="K48" s="0" t="n">
        <v>-174440</v>
      </c>
      <c r="L48" s="0" t="n">
        <v>-174440</v>
      </c>
      <c r="M48" s="0" t="n">
        <v>-174440</v>
      </c>
      <c r="N48" s="0" t="n">
        <v>-174440</v>
      </c>
      <c r="O48" s="0" t="n">
        <v>-174440</v>
      </c>
      <c r="P48" s="0" t="n">
        <v>-174440</v>
      </c>
      <c r="Q48" s="0" t="n">
        <v>-174440</v>
      </c>
      <c r="R48" s="0" t="n">
        <v>-174440</v>
      </c>
      <c r="S48" s="0" t="n">
        <v>-174440</v>
      </c>
      <c r="T48" s="0" t="n">
        <v>-174440</v>
      </c>
      <c r="U48" s="0" t="n">
        <v>-174440</v>
      </c>
      <c r="V48" s="0" t="n">
        <v>-174440</v>
      </c>
      <c r="W48" s="0" t="n">
        <v>-174440</v>
      </c>
    </row>
    <row r="49" customFormat="false" ht="15.75" hidden="false" customHeight="false" outlineLevel="0" collapsed="false">
      <c r="D49" s="0" t="n">
        <v>-45790.5</v>
      </c>
      <c r="E49" s="0" t="n">
        <v>-45790.5</v>
      </c>
      <c r="F49" s="0" t="n">
        <v>-45790.5</v>
      </c>
      <c r="G49" s="0" t="n">
        <v>-45790.5</v>
      </c>
      <c r="H49" s="0" t="n">
        <v>-45790.5</v>
      </c>
      <c r="I49" s="0" t="n">
        <v>-45790.5</v>
      </c>
      <c r="J49" s="0" t="n">
        <v>-45790.5</v>
      </c>
      <c r="K49" s="0" t="n">
        <v>-45790.5</v>
      </c>
      <c r="L49" s="0" t="n">
        <v>-45790.5</v>
      </c>
      <c r="M49" s="0" t="n">
        <v>-45790.5</v>
      </c>
      <c r="N49" s="0" t="n">
        <v>-45790.5</v>
      </c>
      <c r="O49" s="0" t="n">
        <v>-45790.5</v>
      </c>
      <c r="P49" s="0" t="n">
        <v>-45790.5</v>
      </c>
      <c r="Q49" s="0" t="n">
        <v>-45790.5</v>
      </c>
      <c r="R49" s="0" t="n">
        <v>-45790.5</v>
      </c>
      <c r="S49" s="0" t="n">
        <v>-45790.5</v>
      </c>
      <c r="T49" s="0" t="n">
        <v>-45790.5</v>
      </c>
      <c r="U49" s="0" t="n">
        <v>-45790.5</v>
      </c>
      <c r="V49" s="0" t="n">
        <v>-45790.5</v>
      </c>
      <c r="W49" s="0" t="n">
        <v>-45790.5</v>
      </c>
    </row>
    <row r="50" customFormat="false" ht="15.75" hidden="false" customHeight="false" outlineLevel="0" collapsed="false">
      <c r="D50" s="0" t="n">
        <v>-43610</v>
      </c>
      <c r="E50" s="0" t="n">
        <v>-43610</v>
      </c>
      <c r="F50" s="0" t="n">
        <v>-43610</v>
      </c>
      <c r="G50" s="0" t="n">
        <v>-43610</v>
      </c>
      <c r="H50" s="0" t="n">
        <v>-43610</v>
      </c>
      <c r="I50" s="0" t="n">
        <v>-43610</v>
      </c>
      <c r="J50" s="0" t="n">
        <v>-43610</v>
      </c>
      <c r="K50" s="0" t="n">
        <v>-43610</v>
      </c>
      <c r="L50" s="0" t="n">
        <v>-43610</v>
      </c>
      <c r="M50" s="0" t="n">
        <v>-43610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</row>
    <row r="93" customFormat="false" ht="15.75" hidden="false" customHeight="false" outlineLevel="0" collapsed="false">
      <c r="E93" s="0" t="n">
        <v>-1209450.66666667</v>
      </c>
      <c r="F93" s="0" t="n">
        <v>-1209450.66666667</v>
      </c>
      <c r="G93" s="0" t="n">
        <v>-1209450.66666667</v>
      </c>
      <c r="H93" s="0" t="n">
        <v>-1209450.66666667</v>
      </c>
      <c r="I93" s="0" t="n">
        <v>-1209450.66666667</v>
      </c>
      <c r="J93" s="0" t="n">
        <v>-1209450.66666667</v>
      </c>
      <c r="K93" s="0" t="n">
        <v>-1209450.66666667</v>
      </c>
      <c r="L93" s="0" t="n">
        <v>-1209450.66666667</v>
      </c>
      <c r="M93" s="0" t="n">
        <v>-1209450.66666667</v>
      </c>
      <c r="N93" s="0" t="n">
        <v>-1209450.66666667</v>
      </c>
      <c r="O93" s="0" t="n">
        <v>-1209450.66666667</v>
      </c>
      <c r="P93" s="0" t="n">
        <v>-1209450.66666667</v>
      </c>
      <c r="Q93" s="0" t="n">
        <v>-1209450.66666667</v>
      </c>
      <c r="R93" s="0" t="n">
        <v>-1209450.66666667</v>
      </c>
      <c r="S93" s="0" t="n">
        <v>-1209450.66666667</v>
      </c>
      <c r="T93" s="0" t="n">
        <v>0</v>
      </c>
      <c r="U93" s="0" t="n">
        <v>0</v>
      </c>
      <c r="V93" s="0" t="n">
        <v>0</v>
      </c>
      <c r="W93" s="0" t="n">
        <v>0</v>
      </c>
    </row>
    <row r="96" customFormat="false" ht="15.75" hidden="false" customHeight="false" outlineLevel="0" collapsed="false"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-1133860</v>
      </c>
      <c r="U96" s="0" t="n">
        <v>-1133860</v>
      </c>
      <c r="V96" s="0" t="n">
        <v>-1133860</v>
      </c>
      <c r="W96" s="0" t="n">
        <v>-1133860</v>
      </c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.7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7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50"/>
    <col collapsed="false" customWidth="true" hidden="false" outlineLevel="0" max="12" min="6" style="0" width="21"/>
    <col collapsed="false" customWidth="true" hidden="false" outlineLevel="0" max="13" min="13" style="0" width="50"/>
    <col collapsed="false" customWidth="true" hidden="false" outlineLevel="0" max="19" min="14" style="0" width="21"/>
    <col collapsed="false" customWidth="true" hidden="false" outlineLevel="0" max="23" min="20" style="0" width="12"/>
    <col collapsed="false" customWidth="true" hidden="false" outlineLevel="0" max="27" min="24" style="0" width="10"/>
    <col collapsed="false" customWidth="true" hidden="false" outlineLevel="0" max="34" min="28" style="0" width="11"/>
    <col collapsed="false" customWidth="true" hidden="false" outlineLevel="0" max="35" min="35" style="0" width="32.57"/>
    <col collapsed="false" customWidth="true" hidden="false" outlineLevel="0" max="36" min="36" style="0" width="9.14"/>
  </cols>
  <sheetData>
    <row r="1" customFormat="false" ht="22.5" hidden="false" customHeight="true" outlineLevel="0" collapsed="false">
      <c r="A1" s="1" t="s">
        <v>0</v>
      </c>
      <c r="B1" s="1"/>
      <c r="C1" s="1"/>
      <c r="D1" s="1"/>
      <c r="E1" s="2" t="s">
        <v>1</v>
      </c>
      <c r="O1" s="3" t="n">
        <f aca="false">1-C11</f>
        <v>0.99</v>
      </c>
      <c r="P1" s="3" t="n">
        <f aca="false">O1-$C12</f>
        <v>0.986</v>
      </c>
      <c r="Q1" s="3" t="n">
        <f aca="false">P1-$C12</f>
        <v>0.982</v>
      </c>
      <c r="R1" s="3" t="n">
        <f aca="false">Q1-$C12</f>
        <v>0.978</v>
      </c>
      <c r="S1" s="3" t="n">
        <f aca="false">R1-$C12</f>
        <v>0.974</v>
      </c>
      <c r="T1" s="3" t="n">
        <f aca="false">S1-$C12</f>
        <v>0.97</v>
      </c>
      <c r="U1" s="3" t="n">
        <f aca="false">T1-$C12</f>
        <v>0.966</v>
      </c>
      <c r="V1" s="3" t="n">
        <f aca="false">U1-$C12</f>
        <v>0.962</v>
      </c>
      <c r="W1" s="3" t="n">
        <f aca="false">V1-$C12</f>
        <v>0.958</v>
      </c>
      <c r="X1" s="3" t="n">
        <f aca="false">W1-$C12</f>
        <v>0.954</v>
      </c>
      <c r="Y1" s="3" t="n">
        <f aca="false">X1-$C12</f>
        <v>0.95</v>
      </c>
      <c r="Z1" s="3" t="n">
        <f aca="false">Y1-$C12</f>
        <v>0.946</v>
      </c>
      <c r="AA1" s="3" t="n">
        <f aca="false">Z1-$C12</f>
        <v>0.942</v>
      </c>
      <c r="AB1" s="3" t="n">
        <f aca="false">AA1-$C12</f>
        <v>0.938</v>
      </c>
      <c r="AC1" s="3" t="n">
        <f aca="false">AB1-$C12</f>
        <v>0.934</v>
      </c>
      <c r="AD1" s="3" t="n">
        <f aca="false">AC1-$C12</f>
        <v>0.93</v>
      </c>
      <c r="AE1" s="3" t="n">
        <f aca="false">AD1-$C12</f>
        <v>0.926</v>
      </c>
      <c r="AF1" s="3" t="n">
        <f aca="false">AE1-$C12</f>
        <v>0.922</v>
      </c>
      <c r="AG1" s="3" t="n">
        <f aca="false">AF1-$C12</f>
        <v>0.918</v>
      </c>
      <c r="AH1" s="3" t="n">
        <f aca="false">AG1-$C12</f>
        <v>0.914</v>
      </c>
    </row>
    <row r="2" customFormat="false" ht="21.75" hidden="false" customHeight="true" outlineLevel="0" collapsed="false">
      <c r="A2" s="4" t="s">
        <v>2</v>
      </c>
      <c r="B2" s="5" t="s">
        <v>3</v>
      </c>
      <c r="C2" s="4" t="s">
        <v>3</v>
      </c>
      <c r="D2" s="7" t="s">
        <v>4</v>
      </c>
      <c r="E2" s="8" t="s">
        <v>5</v>
      </c>
    </row>
    <row r="3" customFormat="false" ht="21.75" hidden="false" customHeight="true" outlineLevel="0" collapsed="false">
      <c r="A3" s="9" t="s">
        <v>6</v>
      </c>
      <c r="B3" s="10" t="n">
        <v>20</v>
      </c>
      <c r="C3" s="9" t="n">
        <v>20</v>
      </c>
      <c r="D3" s="12" t="s">
        <v>4</v>
      </c>
      <c r="E3" s="8" t="s">
        <v>7</v>
      </c>
    </row>
    <row r="4" customFormat="false" ht="21.75" hidden="false" customHeight="true" outlineLevel="0" collapsed="false">
      <c r="A4" s="9" t="s">
        <v>8</v>
      </c>
      <c r="B4" s="10" t="n">
        <v>436.1</v>
      </c>
      <c r="C4" s="9" t="n">
        <v>436.1</v>
      </c>
      <c r="D4" s="12" t="s">
        <v>4</v>
      </c>
      <c r="E4" s="8" t="s">
        <v>9</v>
      </c>
      <c r="M4" s="0" t="s">
        <v>96</v>
      </c>
    </row>
    <row r="5" customFormat="false" ht="22.5" hidden="false" customHeight="true" outlineLevel="0" collapsed="false">
      <c r="A5" s="9" t="s">
        <v>10</v>
      </c>
      <c r="B5" s="10" t="n">
        <v>2020</v>
      </c>
      <c r="C5" s="9" t="n">
        <v>2020</v>
      </c>
      <c r="D5" s="12" t="n">
        <f aca="false">B5+B3-1</f>
        <v>2039</v>
      </c>
      <c r="E5" s="8" t="n">
        <v>2039</v>
      </c>
      <c r="M5" s="0" t="s">
        <v>97</v>
      </c>
    </row>
    <row r="6" customFormat="false" ht="20.25" hidden="false" customHeight="true" outlineLevel="0" collapsed="false">
      <c r="A6" s="13"/>
      <c r="B6" s="13"/>
      <c r="C6" s="13"/>
      <c r="D6" s="13"/>
      <c r="E6" s="14"/>
      <c r="M6" s="0" t="s">
        <v>98</v>
      </c>
    </row>
    <row r="7" customFormat="false" ht="22.5" hidden="false" customHeight="true" outlineLevel="0" collapsed="false">
      <c r="A7" s="1" t="s">
        <v>13</v>
      </c>
      <c r="B7" s="1"/>
      <c r="C7" s="1"/>
      <c r="D7" s="1"/>
      <c r="E7" s="14"/>
      <c r="M7" s="0" t="s">
        <v>99</v>
      </c>
    </row>
    <row r="8" customFormat="false" ht="22.5" hidden="false" customHeight="true" outlineLevel="0" collapsed="false">
      <c r="A8" s="15" t="s">
        <v>14</v>
      </c>
      <c r="B8" s="15"/>
      <c r="C8" s="15"/>
      <c r="D8" s="15"/>
      <c r="E8" s="14"/>
      <c r="M8" s="0" t="s">
        <v>100</v>
      </c>
    </row>
    <row r="9" customFormat="false" ht="22.5" hidden="false" customHeight="true" outlineLevel="0" collapsed="false">
      <c r="A9" s="16" t="s">
        <v>15</v>
      </c>
      <c r="B9" s="17" t="s">
        <v>16</v>
      </c>
      <c r="C9" s="17" t="s">
        <v>17</v>
      </c>
      <c r="D9" s="18" t="s">
        <v>18</v>
      </c>
      <c r="E9" s="2" t="s">
        <v>1</v>
      </c>
      <c r="M9" s="0" t="s">
        <v>94</v>
      </c>
    </row>
    <row r="10" customFormat="false" ht="30" hidden="false" customHeight="true" outlineLevel="0" collapsed="false">
      <c r="A10" s="19" t="s">
        <v>19</v>
      </c>
      <c r="B10" s="4" t="s">
        <v>20</v>
      </c>
      <c r="C10" s="20" t="n">
        <v>547002</v>
      </c>
      <c r="D10" s="21" t="n">
        <v>547002</v>
      </c>
      <c r="E10" s="8" t="n">
        <v>20</v>
      </c>
      <c r="M10" s="0" t="s">
        <v>82</v>
      </c>
    </row>
    <row r="11" customFormat="false" ht="30" hidden="false" customHeight="true" outlineLevel="0" collapsed="false">
      <c r="A11" s="19"/>
      <c r="B11" s="9" t="s">
        <v>22</v>
      </c>
      <c r="C11" s="22" t="n">
        <v>0.01</v>
      </c>
      <c r="D11" s="21" t="n">
        <v>0.01</v>
      </c>
      <c r="E11" s="8" t="s">
        <v>23</v>
      </c>
    </row>
    <row r="12" customFormat="false" ht="30" hidden="false" customHeight="true" outlineLevel="0" collapsed="false">
      <c r="A12" s="19"/>
      <c r="B12" s="9" t="s">
        <v>24</v>
      </c>
      <c r="C12" s="23" t="n">
        <v>0.004</v>
      </c>
      <c r="D12" s="21" t="n">
        <v>0.004</v>
      </c>
      <c r="E12" s="8" t="s">
        <v>25</v>
      </c>
    </row>
    <row r="13" customFormat="false" ht="22.5" hidden="false" customHeight="true" outlineLevel="0" collapsed="false">
      <c r="A13" s="19"/>
      <c r="B13" s="24" t="s">
        <v>26</v>
      </c>
      <c r="C13" s="25" t="n">
        <v>4</v>
      </c>
      <c r="D13" s="21" t="n">
        <v>4</v>
      </c>
      <c r="E13" s="8" t="s">
        <v>27</v>
      </c>
    </row>
    <row r="14" customFormat="false" ht="22.5" hidden="false" customHeight="true" outlineLevel="0" collapsed="false">
      <c r="A14" s="26" t="s">
        <v>28</v>
      </c>
      <c r="B14" s="26"/>
      <c r="C14" s="26"/>
      <c r="D14" s="26"/>
      <c r="E14" s="14"/>
    </row>
    <row r="15" customFormat="false" ht="22.5" hidden="false" customHeight="true" outlineLevel="0" collapsed="false">
      <c r="A15" s="16" t="s">
        <v>15</v>
      </c>
      <c r="B15" s="17" t="s">
        <v>16</v>
      </c>
      <c r="C15" s="17" t="s">
        <v>17</v>
      </c>
      <c r="D15" s="18" t="s">
        <v>29</v>
      </c>
      <c r="E15" s="2" t="s">
        <v>1</v>
      </c>
    </row>
    <row r="16" customFormat="false" ht="21.75" hidden="false" customHeight="true" outlineLevel="0" collapsed="false">
      <c r="A16" s="4" t="s">
        <v>30</v>
      </c>
      <c r="B16" s="4" t="s">
        <v>31</v>
      </c>
      <c r="C16" s="27" t="n">
        <v>35000</v>
      </c>
      <c r="D16" s="7" t="n">
        <v>33000</v>
      </c>
      <c r="E16" s="8" t="n">
        <v>20</v>
      </c>
    </row>
    <row r="17" customFormat="false" ht="21.75" hidden="false" customHeight="true" outlineLevel="0" collapsed="false">
      <c r="A17" s="4"/>
      <c r="B17" s="9" t="s">
        <v>33</v>
      </c>
      <c r="C17" s="10" t="n">
        <v>0.3</v>
      </c>
      <c r="D17" s="7" t="n">
        <v>0.3</v>
      </c>
      <c r="E17" s="8" t="s">
        <v>34</v>
      </c>
    </row>
    <row r="18" customFormat="false" ht="21.75" hidden="false" customHeight="true" outlineLevel="0" collapsed="false">
      <c r="A18" s="4"/>
      <c r="B18" s="9" t="s">
        <v>35</v>
      </c>
      <c r="C18" s="28" t="n">
        <v>2000</v>
      </c>
      <c r="D18" s="7" t="n">
        <v>2000</v>
      </c>
      <c r="E18" s="8" t="s">
        <v>36</v>
      </c>
    </row>
    <row r="19" customFormat="false" ht="54" hidden="false" customHeight="true" outlineLevel="0" collapsed="false">
      <c r="A19" s="9" t="s">
        <v>37</v>
      </c>
      <c r="B19" s="29" t="s">
        <v>38</v>
      </c>
      <c r="C19" s="10" t="n">
        <v>1</v>
      </c>
      <c r="D19" s="7" t="n">
        <v>1</v>
      </c>
      <c r="E19" s="8" t="n">
        <v>20</v>
      </c>
    </row>
    <row r="20" customFormat="false" ht="20.25" hidden="false" customHeight="true" outlineLevel="0" collapsed="false">
      <c r="A20" s="9"/>
      <c r="B20" s="30" t="s">
        <v>40</v>
      </c>
      <c r="C20" s="28" t="n">
        <v>290201</v>
      </c>
      <c r="D20" s="7" t="n">
        <v>290201</v>
      </c>
      <c r="E20" s="8" t="n">
        <v>20</v>
      </c>
    </row>
    <row r="21" customFormat="false" ht="30" hidden="false" customHeight="true" outlineLevel="0" collapsed="false">
      <c r="A21" s="9"/>
      <c r="B21" s="9" t="s">
        <v>42</v>
      </c>
      <c r="C21" s="10"/>
      <c r="D21" s="12" t="n">
        <v>0</v>
      </c>
      <c r="E21" s="8" t="n">
        <v>20</v>
      </c>
    </row>
    <row r="22" customFormat="false" ht="30" hidden="false" customHeight="true" outlineLevel="0" collapsed="false">
      <c r="A22" s="9" t="s">
        <v>44</v>
      </c>
      <c r="B22" s="9" t="s">
        <v>45</v>
      </c>
      <c r="C22" s="28" t="n">
        <v>400</v>
      </c>
      <c r="D22" s="12" t="n">
        <v>400</v>
      </c>
      <c r="E22" s="8" t="n">
        <v>20</v>
      </c>
    </row>
    <row r="23" customFormat="false" ht="30" hidden="false" customHeight="true" outlineLevel="0" collapsed="false">
      <c r="A23" s="9" t="s">
        <v>47</v>
      </c>
      <c r="B23" s="9" t="s">
        <v>48</v>
      </c>
      <c r="C23" s="10" t="n">
        <v>0.003</v>
      </c>
      <c r="D23" s="12" t="n">
        <v>0.003</v>
      </c>
      <c r="E23" s="8" t="n">
        <v>20</v>
      </c>
    </row>
    <row r="24" customFormat="false" ht="30" hidden="false" customHeight="true" outlineLevel="0" collapsed="false">
      <c r="A24" s="9" t="s">
        <v>50</v>
      </c>
      <c r="B24" s="9" t="s">
        <v>51</v>
      </c>
      <c r="C24" s="28" t="n">
        <v>1000</v>
      </c>
      <c r="D24" s="31" t="n">
        <v>1000</v>
      </c>
      <c r="E24" s="8" t="n">
        <v>10</v>
      </c>
    </row>
    <row r="25" customFormat="false" ht="30" hidden="false" customHeight="true" outlineLevel="0" collapsed="false">
      <c r="A25" s="9" t="s">
        <v>53</v>
      </c>
      <c r="B25" s="9" t="s">
        <v>54</v>
      </c>
      <c r="C25" s="23" t="n">
        <v>0.0256</v>
      </c>
      <c r="D25" s="12" t="n">
        <v>0.0256</v>
      </c>
      <c r="E25" s="8" t="n">
        <v>20</v>
      </c>
    </row>
    <row r="26" customFormat="false" ht="30" hidden="false" customHeight="true" outlineLevel="0" collapsed="false">
      <c r="A26" s="9" t="s">
        <v>56</v>
      </c>
      <c r="B26" s="9" t="s">
        <v>57</v>
      </c>
      <c r="C26" s="10" t="n">
        <v>0.2</v>
      </c>
      <c r="D26" s="12" t="n">
        <v>0.2</v>
      </c>
      <c r="E26" s="8" t="n">
        <v>20</v>
      </c>
    </row>
    <row r="27" customFormat="false" ht="20.25" hidden="false" customHeight="true" outlineLevel="0" collapsed="false">
      <c r="A27" s="13"/>
      <c r="B27" s="13"/>
      <c r="C27" s="13"/>
      <c r="D27" s="13"/>
      <c r="E27" s="14"/>
    </row>
    <row r="28" customFormat="false" ht="20.25" hidden="false" customHeight="true" outlineLevel="0" collapsed="false">
      <c r="A28" s="13"/>
      <c r="B28" s="13"/>
      <c r="C28" s="13"/>
      <c r="D28" s="13"/>
      <c r="E28" s="14"/>
    </row>
    <row r="29" customFormat="false" ht="22.5" hidden="false" customHeight="true" outlineLevel="0" collapsed="false">
      <c r="A29" s="1" t="s">
        <v>59</v>
      </c>
      <c r="B29" s="1"/>
      <c r="C29" s="1"/>
      <c r="D29" s="13"/>
      <c r="E29" s="14"/>
    </row>
    <row r="30" customFormat="false" ht="22.5" hidden="false" customHeight="true" outlineLevel="0" collapsed="false">
      <c r="A30" s="16" t="s">
        <v>60</v>
      </c>
      <c r="B30" s="17" t="s">
        <v>16</v>
      </c>
      <c r="C30" s="32" t="s">
        <v>17</v>
      </c>
      <c r="D30" s="13"/>
      <c r="E30" s="2" t="s">
        <v>1</v>
      </c>
    </row>
    <row r="31" customFormat="false" ht="30" hidden="false" customHeight="true" outlineLevel="0" collapsed="false">
      <c r="A31" s="4" t="s">
        <v>61</v>
      </c>
      <c r="B31" s="4" t="s">
        <v>62</v>
      </c>
      <c r="C31" s="33" t="n">
        <v>0.8</v>
      </c>
      <c r="D31" s="13" t="n">
        <v>0.8</v>
      </c>
      <c r="E31" s="8" t="s">
        <v>63</v>
      </c>
    </row>
    <row r="32" customFormat="false" ht="18.75" hidden="false" customHeight="true" outlineLevel="0" collapsed="false">
      <c r="A32" s="4" t="s">
        <v>64</v>
      </c>
      <c r="B32" s="4" t="s">
        <v>65</v>
      </c>
      <c r="C32" s="33" t="n">
        <v>15</v>
      </c>
      <c r="D32" s="13" t="n">
        <v>15</v>
      </c>
      <c r="E32" s="8" t="s">
        <v>66</v>
      </c>
    </row>
    <row r="33" customFormat="false" ht="18.75" hidden="false" customHeight="true" outlineLevel="0" collapsed="false">
      <c r="A33" s="9" t="s">
        <v>67</v>
      </c>
      <c r="B33" s="9" t="s">
        <v>68</v>
      </c>
      <c r="C33" s="10" t="n">
        <v>0.9</v>
      </c>
      <c r="D33" s="13" t="n">
        <v>0.9</v>
      </c>
      <c r="E33" s="8" t="s">
        <v>69</v>
      </c>
    </row>
    <row r="34" customFormat="false" ht="30" hidden="false" customHeight="true" outlineLevel="0" collapsed="false">
      <c r="A34" s="9" t="s">
        <v>70</v>
      </c>
      <c r="B34" s="9" t="s">
        <v>65</v>
      </c>
      <c r="C34" s="10" t="n">
        <v>4</v>
      </c>
      <c r="D34" s="13" t="n">
        <v>4</v>
      </c>
      <c r="E34" s="8" t="s">
        <v>71</v>
      </c>
    </row>
    <row r="35" customFormat="false" ht="18.75" hidden="false" customHeight="true" outlineLevel="0" collapsed="false"/>
    <row r="37" customFormat="false" ht="15.75" hidden="false" customHeight="false" outlineLevel="0" collapsed="false">
      <c r="D37" s="0" t="n">
        <v>2020</v>
      </c>
      <c r="E37" s="0" t="n">
        <v>2021</v>
      </c>
      <c r="F37" s="0" t="n">
        <v>2022</v>
      </c>
      <c r="G37" s="0" t="n">
        <v>2023</v>
      </c>
      <c r="H37" s="0" t="n">
        <v>2024</v>
      </c>
      <c r="I37" s="0" t="n">
        <v>2025</v>
      </c>
      <c r="J37" s="0" t="n">
        <v>2026</v>
      </c>
      <c r="K37" s="0" t="n">
        <v>2027</v>
      </c>
      <c r="L37" s="0" t="n">
        <v>2028</v>
      </c>
      <c r="M37" s="0" t="n">
        <v>2029</v>
      </c>
      <c r="N37" s="0" t="n">
        <v>2030</v>
      </c>
      <c r="O37" s="0" t="n">
        <v>2031</v>
      </c>
      <c r="P37" s="0" t="n">
        <v>2032</v>
      </c>
      <c r="Q37" s="0" t="n">
        <v>2033</v>
      </c>
      <c r="R37" s="0" t="n">
        <v>2034</v>
      </c>
      <c r="S37" s="0" t="n">
        <v>2035</v>
      </c>
      <c r="T37" s="0" t="n">
        <v>2036</v>
      </c>
      <c r="U37" s="0" t="n">
        <v>2037</v>
      </c>
      <c r="V37" s="0" t="n">
        <v>2038</v>
      </c>
      <c r="W37" s="0" t="n">
        <v>2039</v>
      </c>
    </row>
    <row r="45" customFormat="false" ht="15.75" hidden="false" customHeight="false" outlineLevel="0" collapsed="false">
      <c r="D45" s="0" t="n">
        <v>-290201</v>
      </c>
      <c r="E45" s="0" t="n">
        <v>-290201</v>
      </c>
      <c r="F45" s="0" t="n">
        <v>-290201</v>
      </c>
      <c r="G45" s="0" t="n">
        <v>-290201</v>
      </c>
      <c r="H45" s="0" t="n">
        <v>-290201</v>
      </c>
      <c r="I45" s="0" t="n">
        <v>-290201</v>
      </c>
      <c r="J45" s="0" t="n">
        <v>-290201</v>
      </c>
      <c r="K45" s="0" t="n">
        <v>-290201</v>
      </c>
      <c r="L45" s="0" t="n">
        <v>-290201</v>
      </c>
      <c r="M45" s="0" t="n">
        <v>-290201</v>
      </c>
      <c r="N45" s="0" t="n">
        <v>-290201</v>
      </c>
      <c r="O45" s="0" t="n">
        <v>-290201</v>
      </c>
      <c r="P45" s="0" t="n">
        <v>-290201</v>
      </c>
      <c r="Q45" s="0" t="n">
        <v>-290201</v>
      </c>
      <c r="R45" s="0" t="n">
        <v>-290201</v>
      </c>
      <c r="S45" s="0" t="n">
        <v>-290201</v>
      </c>
      <c r="T45" s="0" t="n">
        <v>-290201</v>
      </c>
      <c r="U45" s="0" t="n">
        <v>-290201</v>
      </c>
      <c r="V45" s="0" t="n">
        <v>-290201</v>
      </c>
      <c r="W45" s="0" t="n">
        <v>-290201</v>
      </c>
    </row>
    <row r="48" customFormat="false" ht="15.75" hidden="false" customHeight="false" outlineLevel="0" collapsed="false">
      <c r="D48" s="0" t="n">
        <v>-174440</v>
      </c>
      <c r="E48" s="0" t="n">
        <v>-174440</v>
      </c>
      <c r="F48" s="0" t="n">
        <v>-174440</v>
      </c>
      <c r="G48" s="0" t="n">
        <v>-174440</v>
      </c>
      <c r="H48" s="0" t="n">
        <v>-174440</v>
      </c>
      <c r="I48" s="0" t="n">
        <v>-174440</v>
      </c>
      <c r="J48" s="0" t="n">
        <v>-174440</v>
      </c>
      <c r="K48" s="0" t="n">
        <v>-174440</v>
      </c>
      <c r="L48" s="0" t="n">
        <v>-174440</v>
      </c>
      <c r="M48" s="0" t="n">
        <v>-174440</v>
      </c>
      <c r="N48" s="0" t="n">
        <v>-174440</v>
      </c>
      <c r="O48" s="0" t="n">
        <v>-174440</v>
      </c>
      <c r="P48" s="0" t="n">
        <v>-174440</v>
      </c>
      <c r="Q48" s="0" t="n">
        <v>-174440</v>
      </c>
      <c r="R48" s="0" t="n">
        <v>-174440</v>
      </c>
      <c r="S48" s="0" t="n">
        <v>-174440</v>
      </c>
      <c r="T48" s="0" t="n">
        <v>-174440</v>
      </c>
      <c r="U48" s="0" t="n">
        <v>-174440</v>
      </c>
      <c r="V48" s="0" t="n">
        <v>-174440</v>
      </c>
      <c r="W48" s="0" t="n">
        <v>-174440</v>
      </c>
    </row>
    <row r="49" customFormat="false" ht="15.75" hidden="false" customHeight="false" outlineLevel="0" collapsed="false">
      <c r="D49" s="0" t="n">
        <v>-43173.9</v>
      </c>
      <c r="E49" s="0" t="n">
        <v>-43173.9</v>
      </c>
      <c r="F49" s="0" t="n">
        <v>-43173.9</v>
      </c>
      <c r="G49" s="0" t="n">
        <v>-43173.9</v>
      </c>
      <c r="H49" s="0" t="n">
        <v>-43173.9</v>
      </c>
      <c r="I49" s="0" t="n">
        <v>-43173.9</v>
      </c>
      <c r="J49" s="0" t="n">
        <v>-43173.9</v>
      </c>
      <c r="K49" s="0" t="n">
        <v>-43173.9</v>
      </c>
      <c r="L49" s="0" t="n">
        <v>-43173.9</v>
      </c>
      <c r="M49" s="0" t="n">
        <v>-43173.9</v>
      </c>
      <c r="N49" s="0" t="n">
        <v>-43173.9</v>
      </c>
      <c r="O49" s="0" t="n">
        <v>-43173.9</v>
      </c>
      <c r="P49" s="0" t="n">
        <v>-43173.9</v>
      </c>
      <c r="Q49" s="0" t="n">
        <v>-43173.9</v>
      </c>
      <c r="R49" s="0" t="n">
        <v>-43173.9</v>
      </c>
      <c r="S49" s="0" t="n">
        <v>-43173.9</v>
      </c>
      <c r="T49" s="0" t="n">
        <v>-43173.9</v>
      </c>
      <c r="U49" s="0" t="n">
        <v>-43173.9</v>
      </c>
      <c r="V49" s="0" t="n">
        <v>-43173.9</v>
      </c>
      <c r="W49" s="0" t="n">
        <v>-43173.9</v>
      </c>
    </row>
    <row r="50" customFormat="false" ht="15.75" hidden="false" customHeight="false" outlineLevel="0" collapsed="false">
      <c r="D50" s="0" t="n">
        <v>-43610</v>
      </c>
      <c r="E50" s="0" t="n">
        <v>-43610</v>
      </c>
      <c r="F50" s="0" t="n">
        <v>-43610</v>
      </c>
      <c r="G50" s="0" t="n">
        <v>-43610</v>
      </c>
      <c r="H50" s="0" t="n">
        <v>-43610</v>
      </c>
      <c r="I50" s="0" t="n">
        <v>-43610</v>
      </c>
      <c r="J50" s="0" t="n">
        <v>-43610</v>
      </c>
      <c r="K50" s="0" t="n">
        <v>-43610</v>
      </c>
      <c r="L50" s="0" t="n">
        <v>-43610</v>
      </c>
      <c r="M50" s="0" t="n">
        <v>-43610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</row>
    <row r="93" customFormat="false" ht="15.75" hidden="false" customHeight="false" outlineLevel="0" collapsed="false">
      <c r="E93" s="0" t="n">
        <v>-1142997.33333333</v>
      </c>
      <c r="F93" s="0" t="n">
        <v>-1142997.33333333</v>
      </c>
      <c r="G93" s="0" t="n">
        <v>-1142997.33333333</v>
      </c>
      <c r="H93" s="0" t="n">
        <v>-1142997.33333333</v>
      </c>
      <c r="I93" s="0" t="n">
        <v>-1142997.33333333</v>
      </c>
      <c r="J93" s="0" t="n">
        <v>-1142997.33333333</v>
      </c>
      <c r="K93" s="0" t="n">
        <v>-1142997.33333333</v>
      </c>
      <c r="L93" s="0" t="n">
        <v>-1142997.33333333</v>
      </c>
      <c r="M93" s="0" t="n">
        <v>-1142997.33333333</v>
      </c>
      <c r="N93" s="0" t="n">
        <v>-1142997.33333333</v>
      </c>
      <c r="O93" s="0" t="n">
        <v>-1142997.33333333</v>
      </c>
      <c r="P93" s="0" t="n">
        <v>-1142997.33333333</v>
      </c>
      <c r="Q93" s="0" t="n">
        <v>-1142997.33333333</v>
      </c>
      <c r="R93" s="0" t="n">
        <v>-1142997.33333333</v>
      </c>
      <c r="S93" s="0" t="n">
        <v>-1142997.33333333</v>
      </c>
      <c r="T93" s="0" t="n">
        <v>0</v>
      </c>
      <c r="U93" s="0" t="n">
        <v>0</v>
      </c>
      <c r="V93" s="0" t="n">
        <v>0</v>
      </c>
      <c r="W93" s="0" t="n">
        <v>0</v>
      </c>
    </row>
    <row r="96" customFormat="false" ht="15.75" hidden="false" customHeight="false" outlineLevel="0" collapsed="false"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-1071560</v>
      </c>
      <c r="U96" s="0" t="n">
        <v>-1071560</v>
      </c>
      <c r="V96" s="0" t="n">
        <v>-1071560</v>
      </c>
      <c r="W96" s="0" t="n">
        <v>-1071560</v>
      </c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.7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7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50"/>
    <col collapsed="false" customWidth="true" hidden="false" outlineLevel="0" max="12" min="6" style="0" width="12"/>
    <col collapsed="false" customWidth="true" hidden="false" outlineLevel="0" max="13" min="13" style="0" width="50"/>
    <col collapsed="false" customWidth="true" hidden="false" outlineLevel="0" max="23" min="14" style="0" width="12"/>
    <col collapsed="false" customWidth="true" hidden="false" outlineLevel="0" max="27" min="24" style="0" width="10"/>
    <col collapsed="false" customWidth="true" hidden="false" outlineLevel="0" max="34" min="28" style="0" width="11"/>
    <col collapsed="false" customWidth="true" hidden="false" outlineLevel="0" max="35" min="35" style="0" width="32.57"/>
    <col collapsed="false" customWidth="true" hidden="false" outlineLevel="0" max="36" min="36" style="0" width="9.14"/>
  </cols>
  <sheetData>
    <row r="1" customFormat="false" ht="22.5" hidden="false" customHeight="true" outlineLevel="0" collapsed="false">
      <c r="A1" s="1" t="s">
        <v>0</v>
      </c>
      <c r="B1" s="1"/>
      <c r="C1" s="1"/>
      <c r="D1" s="1"/>
      <c r="E1" s="2" t="s">
        <v>1</v>
      </c>
      <c r="O1" s="3" t="n">
        <f aca="false">1-C11</f>
        <v>0.99</v>
      </c>
      <c r="P1" s="3" t="n">
        <f aca="false">O1-$C12</f>
        <v>0.986</v>
      </c>
      <c r="Q1" s="3" t="n">
        <f aca="false">P1-$C12</f>
        <v>0.982</v>
      </c>
      <c r="R1" s="3" t="n">
        <f aca="false">Q1-$C12</f>
        <v>0.978</v>
      </c>
      <c r="S1" s="3" t="n">
        <f aca="false">R1-$C12</f>
        <v>0.974</v>
      </c>
      <c r="T1" s="3" t="n">
        <f aca="false">S1-$C12</f>
        <v>0.97</v>
      </c>
      <c r="U1" s="3" t="n">
        <f aca="false">T1-$C12</f>
        <v>0.966</v>
      </c>
      <c r="V1" s="3" t="n">
        <f aca="false">U1-$C12</f>
        <v>0.962</v>
      </c>
      <c r="W1" s="3" t="n">
        <f aca="false">V1-$C12</f>
        <v>0.958</v>
      </c>
      <c r="X1" s="3" t="n">
        <f aca="false">W1-$C12</f>
        <v>0.954</v>
      </c>
      <c r="Y1" s="3" t="n">
        <f aca="false">X1-$C12</f>
        <v>0.95</v>
      </c>
      <c r="Z1" s="3" t="n">
        <f aca="false">Y1-$C12</f>
        <v>0.946</v>
      </c>
      <c r="AA1" s="3" t="n">
        <f aca="false">Z1-$C12</f>
        <v>0.942</v>
      </c>
      <c r="AB1" s="3" t="n">
        <f aca="false">AA1-$C12</f>
        <v>0.938</v>
      </c>
      <c r="AC1" s="3" t="n">
        <f aca="false">AB1-$C12</f>
        <v>0.934</v>
      </c>
      <c r="AD1" s="3" t="n">
        <f aca="false">AC1-$C12</f>
        <v>0.93</v>
      </c>
      <c r="AE1" s="3" t="n">
        <f aca="false">AD1-$C12</f>
        <v>0.926</v>
      </c>
      <c r="AF1" s="3" t="n">
        <f aca="false">AE1-$C12</f>
        <v>0.922</v>
      </c>
      <c r="AG1" s="3" t="n">
        <f aca="false">AF1-$C12</f>
        <v>0.918</v>
      </c>
      <c r="AH1" s="3" t="n">
        <f aca="false">AG1-$C12</f>
        <v>0.914</v>
      </c>
    </row>
    <row r="2" customFormat="false" ht="21.75" hidden="false" customHeight="true" outlineLevel="0" collapsed="false">
      <c r="A2" s="4" t="s">
        <v>2</v>
      </c>
      <c r="B2" s="5" t="s">
        <v>3</v>
      </c>
      <c r="C2" s="4" t="s">
        <v>3</v>
      </c>
      <c r="D2" s="7" t="s">
        <v>4</v>
      </c>
      <c r="E2" s="8" t="s">
        <v>5</v>
      </c>
    </row>
    <row r="3" customFormat="false" ht="21.75" hidden="false" customHeight="true" outlineLevel="0" collapsed="false">
      <c r="A3" s="9" t="s">
        <v>6</v>
      </c>
      <c r="B3" s="10" t="n">
        <v>20</v>
      </c>
      <c r="C3" s="9" t="n">
        <v>20</v>
      </c>
      <c r="D3" s="12" t="s">
        <v>4</v>
      </c>
      <c r="E3" s="8" t="s">
        <v>7</v>
      </c>
    </row>
    <row r="4" customFormat="false" ht="21.75" hidden="false" customHeight="true" outlineLevel="0" collapsed="false">
      <c r="A4" s="9" t="s">
        <v>8</v>
      </c>
      <c r="B4" s="10" t="n">
        <v>436.1</v>
      </c>
      <c r="C4" s="9" t="n">
        <v>436.1</v>
      </c>
      <c r="D4" s="12" t="s">
        <v>4</v>
      </c>
      <c r="E4" s="8" t="s">
        <v>9</v>
      </c>
      <c r="M4" s="0" t="s">
        <v>101</v>
      </c>
    </row>
    <row r="5" customFormat="false" ht="22.5" hidden="false" customHeight="true" outlineLevel="0" collapsed="false">
      <c r="A5" s="9" t="s">
        <v>10</v>
      </c>
      <c r="B5" s="10" t="n">
        <v>2020</v>
      </c>
      <c r="C5" s="9" t="n">
        <v>2020</v>
      </c>
      <c r="D5" s="12" t="n">
        <f aca="false">B5+B3-1</f>
        <v>2039</v>
      </c>
      <c r="E5" s="8" t="n">
        <v>2039</v>
      </c>
      <c r="M5" s="0" t="s">
        <v>102</v>
      </c>
    </row>
    <row r="6" customFormat="false" ht="20.25" hidden="false" customHeight="true" outlineLevel="0" collapsed="false">
      <c r="A6" s="13"/>
      <c r="B6" s="13"/>
      <c r="C6" s="13"/>
      <c r="D6" s="13"/>
      <c r="E6" s="14"/>
      <c r="M6" s="0" t="s">
        <v>103</v>
      </c>
    </row>
    <row r="7" customFormat="false" ht="22.5" hidden="false" customHeight="true" outlineLevel="0" collapsed="false">
      <c r="A7" s="1" t="s">
        <v>13</v>
      </c>
      <c r="B7" s="1"/>
      <c r="C7" s="1"/>
      <c r="D7" s="1"/>
      <c r="E7" s="14"/>
      <c r="M7" s="0" t="s">
        <v>104</v>
      </c>
    </row>
    <row r="8" customFormat="false" ht="22.5" hidden="false" customHeight="true" outlineLevel="0" collapsed="false">
      <c r="A8" s="15" t="s">
        <v>14</v>
      </c>
      <c r="B8" s="15"/>
      <c r="C8" s="15"/>
      <c r="D8" s="15"/>
      <c r="E8" s="14"/>
      <c r="M8" s="0" t="s">
        <v>105</v>
      </c>
    </row>
    <row r="9" customFormat="false" ht="22.5" hidden="false" customHeight="true" outlineLevel="0" collapsed="false">
      <c r="A9" s="16" t="s">
        <v>15</v>
      </c>
      <c r="B9" s="17" t="s">
        <v>16</v>
      </c>
      <c r="C9" s="17" t="s">
        <v>17</v>
      </c>
      <c r="D9" s="18" t="s">
        <v>18</v>
      </c>
      <c r="E9" s="2" t="s">
        <v>1</v>
      </c>
      <c r="M9" s="0" t="s">
        <v>94</v>
      </c>
    </row>
    <row r="10" customFormat="false" ht="30" hidden="false" customHeight="true" outlineLevel="0" collapsed="false">
      <c r="A10" s="19" t="s">
        <v>19</v>
      </c>
      <c r="B10" s="4" t="s">
        <v>20</v>
      </c>
      <c r="C10" s="20" t="n">
        <v>547002</v>
      </c>
      <c r="D10" s="21" t="n">
        <v>547002</v>
      </c>
      <c r="E10" s="8" t="n">
        <v>20</v>
      </c>
      <c r="M10" s="0" t="s">
        <v>83</v>
      </c>
    </row>
    <row r="11" customFormat="false" ht="30" hidden="false" customHeight="true" outlineLevel="0" collapsed="false">
      <c r="A11" s="19"/>
      <c r="B11" s="9" t="s">
        <v>22</v>
      </c>
      <c r="C11" s="22" t="n">
        <v>0.01</v>
      </c>
      <c r="D11" s="21" t="n">
        <v>0.01</v>
      </c>
      <c r="E11" s="8" t="s">
        <v>23</v>
      </c>
    </row>
    <row r="12" customFormat="false" ht="30" hidden="false" customHeight="true" outlineLevel="0" collapsed="false">
      <c r="A12" s="19"/>
      <c r="B12" s="9" t="s">
        <v>24</v>
      </c>
      <c r="C12" s="23" t="n">
        <v>0.004</v>
      </c>
      <c r="D12" s="21" t="n">
        <v>0.004</v>
      </c>
      <c r="E12" s="8" t="s">
        <v>25</v>
      </c>
    </row>
    <row r="13" customFormat="false" ht="22.5" hidden="false" customHeight="true" outlineLevel="0" collapsed="false">
      <c r="A13" s="19"/>
      <c r="B13" s="24" t="s">
        <v>26</v>
      </c>
      <c r="C13" s="25" t="n">
        <v>4</v>
      </c>
      <c r="D13" s="21" t="n">
        <v>4</v>
      </c>
      <c r="E13" s="8" t="s">
        <v>27</v>
      </c>
    </row>
    <row r="14" customFormat="false" ht="22.5" hidden="false" customHeight="true" outlineLevel="0" collapsed="false">
      <c r="A14" s="26" t="s">
        <v>28</v>
      </c>
      <c r="B14" s="26"/>
      <c r="C14" s="26"/>
      <c r="D14" s="26"/>
      <c r="E14" s="14"/>
    </row>
    <row r="15" customFormat="false" ht="22.5" hidden="false" customHeight="true" outlineLevel="0" collapsed="false">
      <c r="A15" s="16" t="s">
        <v>15</v>
      </c>
      <c r="B15" s="17" t="s">
        <v>16</v>
      </c>
      <c r="C15" s="17" t="s">
        <v>17</v>
      </c>
      <c r="D15" s="18" t="s">
        <v>29</v>
      </c>
      <c r="E15" s="2" t="s">
        <v>1</v>
      </c>
    </row>
    <row r="16" customFormat="false" ht="21.75" hidden="false" customHeight="true" outlineLevel="0" collapsed="false">
      <c r="A16" s="4" t="s">
        <v>30</v>
      </c>
      <c r="B16" s="4" t="s">
        <v>31</v>
      </c>
      <c r="C16" s="27" t="n">
        <v>35000</v>
      </c>
      <c r="D16" s="7" t="n">
        <v>31000</v>
      </c>
      <c r="E16" s="8" t="n">
        <v>20</v>
      </c>
    </row>
    <row r="17" customFormat="false" ht="21.75" hidden="false" customHeight="true" outlineLevel="0" collapsed="false">
      <c r="A17" s="4"/>
      <c r="B17" s="9" t="s">
        <v>33</v>
      </c>
      <c r="C17" s="10" t="n">
        <v>0.3</v>
      </c>
      <c r="D17" s="7" t="n">
        <v>0.3</v>
      </c>
      <c r="E17" s="8" t="s">
        <v>34</v>
      </c>
    </row>
    <row r="18" customFormat="false" ht="21.75" hidden="false" customHeight="true" outlineLevel="0" collapsed="false">
      <c r="A18" s="4"/>
      <c r="B18" s="9" t="s">
        <v>35</v>
      </c>
      <c r="C18" s="28" t="n">
        <v>2000</v>
      </c>
      <c r="D18" s="7" t="n">
        <v>2000</v>
      </c>
      <c r="E18" s="8" t="s">
        <v>36</v>
      </c>
    </row>
    <row r="19" customFormat="false" ht="54" hidden="false" customHeight="true" outlineLevel="0" collapsed="false">
      <c r="A19" s="9" t="s">
        <v>37</v>
      </c>
      <c r="B19" s="29" t="s">
        <v>38</v>
      </c>
      <c r="C19" s="10" t="n">
        <v>1</v>
      </c>
      <c r="D19" s="7" t="n">
        <v>1</v>
      </c>
      <c r="E19" s="8" t="n">
        <v>20</v>
      </c>
    </row>
    <row r="20" customFormat="false" ht="20.25" hidden="false" customHeight="true" outlineLevel="0" collapsed="false">
      <c r="A20" s="9"/>
      <c r="B20" s="30" t="s">
        <v>40</v>
      </c>
      <c r="C20" s="28" t="n">
        <v>290201</v>
      </c>
      <c r="D20" s="7" t="n">
        <v>290201</v>
      </c>
      <c r="E20" s="8" t="n">
        <v>20</v>
      </c>
    </row>
    <row r="21" customFormat="false" ht="30" hidden="false" customHeight="true" outlineLevel="0" collapsed="false">
      <c r="A21" s="9"/>
      <c r="B21" s="9" t="s">
        <v>42</v>
      </c>
      <c r="C21" s="10"/>
      <c r="D21" s="12" t="n">
        <v>0</v>
      </c>
      <c r="E21" s="8" t="n">
        <v>20</v>
      </c>
    </row>
    <row r="22" customFormat="false" ht="30" hidden="false" customHeight="true" outlineLevel="0" collapsed="false">
      <c r="A22" s="9" t="s">
        <v>44</v>
      </c>
      <c r="B22" s="9" t="s">
        <v>45</v>
      </c>
      <c r="C22" s="28" t="n">
        <v>400</v>
      </c>
      <c r="D22" s="12" t="n">
        <v>400</v>
      </c>
      <c r="E22" s="8" t="n">
        <v>20</v>
      </c>
    </row>
    <row r="23" customFormat="false" ht="30" hidden="false" customHeight="true" outlineLevel="0" collapsed="false">
      <c r="A23" s="9" t="s">
        <v>47</v>
      </c>
      <c r="B23" s="9" t="s">
        <v>48</v>
      </c>
      <c r="C23" s="10" t="n">
        <v>0.003</v>
      </c>
      <c r="D23" s="12" t="n">
        <v>0.003</v>
      </c>
      <c r="E23" s="8" t="n">
        <v>20</v>
      </c>
    </row>
    <row r="24" customFormat="false" ht="30" hidden="false" customHeight="true" outlineLevel="0" collapsed="false">
      <c r="A24" s="9" t="s">
        <v>50</v>
      </c>
      <c r="B24" s="9" t="s">
        <v>51</v>
      </c>
      <c r="C24" s="28" t="n">
        <v>1000</v>
      </c>
      <c r="D24" s="31" t="n">
        <v>1000</v>
      </c>
      <c r="E24" s="8" t="n">
        <v>10</v>
      </c>
    </row>
    <row r="25" customFormat="false" ht="30" hidden="false" customHeight="true" outlineLevel="0" collapsed="false">
      <c r="A25" s="9" t="s">
        <v>53</v>
      </c>
      <c r="B25" s="9" t="s">
        <v>54</v>
      </c>
      <c r="C25" s="23" t="n">
        <v>0.0256</v>
      </c>
      <c r="D25" s="12" t="n">
        <v>0.0256</v>
      </c>
      <c r="E25" s="8" t="n">
        <v>20</v>
      </c>
    </row>
    <row r="26" customFormat="false" ht="30" hidden="false" customHeight="true" outlineLevel="0" collapsed="false">
      <c r="A26" s="9" t="s">
        <v>56</v>
      </c>
      <c r="B26" s="9" t="s">
        <v>57</v>
      </c>
      <c r="C26" s="10" t="n">
        <v>0.2</v>
      </c>
      <c r="D26" s="12" t="n">
        <v>0.2</v>
      </c>
      <c r="E26" s="8" t="n">
        <v>20</v>
      </c>
    </row>
    <row r="27" customFormat="false" ht="20.25" hidden="false" customHeight="true" outlineLevel="0" collapsed="false">
      <c r="A27" s="13"/>
      <c r="B27" s="13"/>
      <c r="C27" s="13"/>
      <c r="D27" s="13"/>
      <c r="E27" s="14"/>
    </row>
    <row r="28" customFormat="false" ht="20.25" hidden="false" customHeight="true" outlineLevel="0" collapsed="false">
      <c r="A28" s="13"/>
      <c r="B28" s="13"/>
      <c r="C28" s="13"/>
      <c r="D28" s="13"/>
      <c r="E28" s="14"/>
    </row>
    <row r="29" customFormat="false" ht="22.5" hidden="false" customHeight="true" outlineLevel="0" collapsed="false">
      <c r="A29" s="1" t="s">
        <v>59</v>
      </c>
      <c r="B29" s="1"/>
      <c r="C29" s="1"/>
      <c r="D29" s="13"/>
      <c r="E29" s="14"/>
    </row>
    <row r="30" customFormat="false" ht="22.5" hidden="false" customHeight="true" outlineLevel="0" collapsed="false">
      <c r="A30" s="16" t="s">
        <v>60</v>
      </c>
      <c r="B30" s="17" t="s">
        <v>16</v>
      </c>
      <c r="C30" s="32" t="s">
        <v>17</v>
      </c>
      <c r="D30" s="13"/>
      <c r="E30" s="2" t="s">
        <v>1</v>
      </c>
    </row>
    <row r="31" customFormat="false" ht="30" hidden="false" customHeight="true" outlineLevel="0" collapsed="false">
      <c r="A31" s="4" t="s">
        <v>61</v>
      </c>
      <c r="B31" s="4" t="s">
        <v>62</v>
      </c>
      <c r="C31" s="33" t="n">
        <v>0.8</v>
      </c>
      <c r="D31" s="13" t="n">
        <v>0.8</v>
      </c>
      <c r="E31" s="8" t="s">
        <v>63</v>
      </c>
    </row>
    <row r="32" customFormat="false" ht="18.75" hidden="false" customHeight="true" outlineLevel="0" collapsed="false">
      <c r="A32" s="4" t="s">
        <v>64</v>
      </c>
      <c r="B32" s="4" t="s">
        <v>65</v>
      </c>
      <c r="C32" s="33" t="n">
        <v>15</v>
      </c>
      <c r="D32" s="13" t="n">
        <v>15</v>
      </c>
      <c r="E32" s="8" t="s">
        <v>66</v>
      </c>
    </row>
    <row r="33" customFormat="false" ht="18.75" hidden="false" customHeight="true" outlineLevel="0" collapsed="false">
      <c r="A33" s="9" t="s">
        <v>67</v>
      </c>
      <c r="B33" s="9" t="s">
        <v>68</v>
      </c>
      <c r="C33" s="10" t="n">
        <v>0.9</v>
      </c>
      <c r="D33" s="13" t="n">
        <v>0.9</v>
      </c>
      <c r="E33" s="8" t="s">
        <v>69</v>
      </c>
    </row>
    <row r="34" customFormat="false" ht="30" hidden="false" customHeight="true" outlineLevel="0" collapsed="false">
      <c r="A34" s="9" t="s">
        <v>70</v>
      </c>
      <c r="B34" s="9" t="s">
        <v>65</v>
      </c>
      <c r="C34" s="10" t="n">
        <v>4</v>
      </c>
      <c r="D34" s="13" t="n">
        <v>4</v>
      </c>
      <c r="E34" s="8" t="s">
        <v>71</v>
      </c>
    </row>
    <row r="35" customFormat="false" ht="18.75" hidden="false" customHeight="true" outlineLevel="0" collapsed="false"/>
    <row r="37" customFormat="false" ht="15.75" hidden="false" customHeight="false" outlineLevel="0" collapsed="false">
      <c r="D37" s="0" t="n">
        <v>2020</v>
      </c>
      <c r="E37" s="0" t="n">
        <v>2021</v>
      </c>
      <c r="F37" s="0" t="n">
        <v>2022</v>
      </c>
      <c r="G37" s="0" t="n">
        <v>2023</v>
      </c>
      <c r="H37" s="0" t="n">
        <v>2024</v>
      </c>
      <c r="I37" s="0" t="n">
        <v>2025</v>
      </c>
      <c r="J37" s="0" t="n">
        <v>2026</v>
      </c>
      <c r="K37" s="0" t="n">
        <v>2027</v>
      </c>
      <c r="L37" s="0" t="n">
        <v>2028</v>
      </c>
      <c r="M37" s="0" t="n">
        <v>2029</v>
      </c>
      <c r="N37" s="0" t="n">
        <v>2030</v>
      </c>
      <c r="O37" s="0" t="n">
        <v>2031</v>
      </c>
      <c r="P37" s="0" t="n">
        <v>2032</v>
      </c>
      <c r="Q37" s="0" t="n">
        <v>2033</v>
      </c>
      <c r="R37" s="0" t="n">
        <v>2034</v>
      </c>
      <c r="S37" s="0" t="n">
        <v>2035</v>
      </c>
      <c r="T37" s="0" t="n">
        <v>2036</v>
      </c>
      <c r="U37" s="0" t="n">
        <v>2037</v>
      </c>
      <c r="V37" s="0" t="n">
        <v>2038</v>
      </c>
      <c r="W37" s="0" t="n">
        <v>2039</v>
      </c>
    </row>
    <row r="45" customFormat="false" ht="15.75" hidden="false" customHeight="false" outlineLevel="0" collapsed="false">
      <c r="D45" s="0" t="n">
        <v>-290201</v>
      </c>
      <c r="E45" s="0" t="n">
        <v>-290201</v>
      </c>
      <c r="F45" s="0" t="n">
        <v>-290201</v>
      </c>
      <c r="G45" s="0" t="n">
        <v>-290201</v>
      </c>
      <c r="H45" s="0" t="n">
        <v>-290201</v>
      </c>
      <c r="I45" s="0" t="n">
        <v>-290201</v>
      </c>
      <c r="J45" s="0" t="n">
        <v>-290201</v>
      </c>
      <c r="K45" s="0" t="n">
        <v>-290201</v>
      </c>
      <c r="L45" s="0" t="n">
        <v>-290201</v>
      </c>
      <c r="M45" s="0" t="n">
        <v>-290201</v>
      </c>
      <c r="N45" s="0" t="n">
        <v>-290201</v>
      </c>
      <c r="O45" s="0" t="n">
        <v>-290201</v>
      </c>
      <c r="P45" s="0" t="n">
        <v>-290201</v>
      </c>
      <c r="Q45" s="0" t="n">
        <v>-290201</v>
      </c>
      <c r="R45" s="0" t="n">
        <v>-290201</v>
      </c>
      <c r="S45" s="0" t="n">
        <v>-290201</v>
      </c>
      <c r="T45" s="0" t="n">
        <v>-290201</v>
      </c>
      <c r="U45" s="0" t="n">
        <v>-290201</v>
      </c>
      <c r="V45" s="0" t="n">
        <v>-290201</v>
      </c>
      <c r="W45" s="0" t="n">
        <v>-290201</v>
      </c>
    </row>
    <row r="48" customFormat="false" ht="15.75" hidden="false" customHeight="false" outlineLevel="0" collapsed="false">
      <c r="D48" s="0" t="n">
        <v>-174440</v>
      </c>
      <c r="E48" s="0" t="n">
        <v>-174440</v>
      </c>
      <c r="F48" s="0" t="n">
        <v>-174440</v>
      </c>
      <c r="G48" s="0" t="n">
        <v>-174440</v>
      </c>
      <c r="H48" s="0" t="n">
        <v>-174440</v>
      </c>
      <c r="I48" s="0" t="n">
        <v>-174440</v>
      </c>
      <c r="J48" s="0" t="n">
        <v>-174440</v>
      </c>
      <c r="K48" s="0" t="n">
        <v>-174440</v>
      </c>
      <c r="L48" s="0" t="n">
        <v>-174440</v>
      </c>
      <c r="M48" s="0" t="n">
        <v>-174440</v>
      </c>
      <c r="N48" s="0" t="n">
        <v>-174440</v>
      </c>
      <c r="O48" s="0" t="n">
        <v>-174440</v>
      </c>
      <c r="P48" s="0" t="n">
        <v>-174440</v>
      </c>
      <c r="Q48" s="0" t="n">
        <v>-174440</v>
      </c>
      <c r="R48" s="0" t="n">
        <v>-174440</v>
      </c>
      <c r="S48" s="0" t="n">
        <v>-174440</v>
      </c>
      <c r="T48" s="0" t="n">
        <v>-174440</v>
      </c>
      <c r="U48" s="0" t="n">
        <v>-174440</v>
      </c>
      <c r="V48" s="0" t="n">
        <v>-174440</v>
      </c>
      <c r="W48" s="0" t="n">
        <v>-174440</v>
      </c>
    </row>
    <row r="49" customFormat="false" ht="15.75" hidden="false" customHeight="false" outlineLevel="0" collapsed="false">
      <c r="D49" s="0" t="n">
        <v>-40557.3</v>
      </c>
      <c r="E49" s="0" t="n">
        <v>-40557.3</v>
      </c>
      <c r="F49" s="0" t="n">
        <v>-40557.3</v>
      </c>
      <c r="G49" s="0" t="n">
        <v>-40557.3</v>
      </c>
      <c r="H49" s="0" t="n">
        <v>-40557.3</v>
      </c>
      <c r="I49" s="0" t="n">
        <v>-40557.3</v>
      </c>
      <c r="J49" s="0" t="n">
        <v>-40557.3</v>
      </c>
      <c r="K49" s="0" t="n">
        <v>-40557.3</v>
      </c>
      <c r="L49" s="0" t="n">
        <v>-40557.3</v>
      </c>
      <c r="M49" s="0" t="n">
        <v>-40557.3</v>
      </c>
      <c r="N49" s="0" t="n">
        <v>-40557.3</v>
      </c>
      <c r="O49" s="0" t="n">
        <v>-40557.3</v>
      </c>
      <c r="P49" s="0" t="n">
        <v>-40557.3</v>
      </c>
      <c r="Q49" s="0" t="n">
        <v>-40557.3</v>
      </c>
      <c r="R49" s="0" t="n">
        <v>-40557.3</v>
      </c>
      <c r="S49" s="0" t="n">
        <v>-40557.3</v>
      </c>
      <c r="T49" s="0" t="n">
        <v>-40557.3</v>
      </c>
      <c r="U49" s="0" t="n">
        <v>-40557.3</v>
      </c>
      <c r="V49" s="0" t="n">
        <v>-40557.3</v>
      </c>
      <c r="W49" s="0" t="n">
        <v>-40557.3</v>
      </c>
    </row>
    <row r="50" customFormat="false" ht="15.75" hidden="false" customHeight="false" outlineLevel="0" collapsed="false">
      <c r="D50" s="0" t="n">
        <v>-43610</v>
      </c>
      <c r="E50" s="0" t="n">
        <v>-43610</v>
      </c>
      <c r="F50" s="0" t="n">
        <v>-43610</v>
      </c>
      <c r="G50" s="0" t="n">
        <v>-43610</v>
      </c>
      <c r="H50" s="0" t="n">
        <v>-43610</v>
      </c>
      <c r="I50" s="0" t="n">
        <v>-43610</v>
      </c>
      <c r="J50" s="0" t="n">
        <v>-43610</v>
      </c>
      <c r="K50" s="0" t="n">
        <v>-43610</v>
      </c>
      <c r="L50" s="0" t="n">
        <v>-43610</v>
      </c>
      <c r="M50" s="0" t="n">
        <v>-43610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</row>
    <row r="93" customFormat="false" ht="15.75" hidden="false" customHeight="false" outlineLevel="0" collapsed="false">
      <c r="E93" s="0" t="n">
        <v>-1076544</v>
      </c>
      <c r="F93" s="0" t="n">
        <v>-1076544</v>
      </c>
      <c r="G93" s="0" t="n">
        <v>-1076544</v>
      </c>
      <c r="H93" s="0" t="n">
        <v>-1076544</v>
      </c>
      <c r="I93" s="0" t="n">
        <v>-1076544</v>
      </c>
      <c r="J93" s="0" t="n">
        <v>-1076544</v>
      </c>
      <c r="K93" s="0" t="n">
        <v>-1076544</v>
      </c>
      <c r="L93" s="0" t="n">
        <v>-1076544</v>
      </c>
      <c r="M93" s="0" t="n">
        <v>-1076544</v>
      </c>
      <c r="N93" s="0" t="n">
        <v>-1076544</v>
      </c>
      <c r="O93" s="0" t="n">
        <v>-1076544</v>
      </c>
      <c r="P93" s="0" t="n">
        <v>-1076544</v>
      </c>
      <c r="Q93" s="0" t="n">
        <v>-1076544</v>
      </c>
      <c r="R93" s="0" t="n">
        <v>-1076544</v>
      </c>
      <c r="S93" s="0" t="n">
        <v>-1076544</v>
      </c>
      <c r="T93" s="0" t="n">
        <v>0</v>
      </c>
      <c r="U93" s="0" t="n">
        <v>0</v>
      </c>
      <c r="V93" s="0" t="n">
        <v>0</v>
      </c>
      <c r="W93" s="0" t="n">
        <v>0</v>
      </c>
    </row>
    <row r="96" customFormat="false" ht="15.75" hidden="false" customHeight="false" outlineLevel="0" collapsed="false"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-1009260</v>
      </c>
      <c r="U96" s="0" t="n">
        <v>-1009260</v>
      </c>
      <c r="V96" s="0" t="n">
        <v>-1009260</v>
      </c>
      <c r="W96" s="0" t="n">
        <v>-1009260</v>
      </c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.7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7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50"/>
    <col collapsed="false" customWidth="true" hidden="false" outlineLevel="0" max="12" min="6" style="0" width="21"/>
    <col collapsed="false" customWidth="true" hidden="false" outlineLevel="0" max="13" min="13" style="0" width="50"/>
    <col collapsed="false" customWidth="true" hidden="false" outlineLevel="0" max="19" min="14" style="0" width="21"/>
    <col collapsed="false" customWidth="true" hidden="false" outlineLevel="0" max="23" min="20" style="0" width="11"/>
    <col collapsed="false" customWidth="true" hidden="false" outlineLevel="0" max="27" min="24" style="0" width="10"/>
    <col collapsed="false" customWidth="true" hidden="false" outlineLevel="0" max="34" min="28" style="0" width="11"/>
    <col collapsed="false" customWidth="true" hidden="false" outlineLevel="0" max="35" min="35" style="0" width="32.57"/>
    <col collapsed="false" customWidth="true" hidden="false" outlineLevel="0" max="36" min="36" style="0" width="9.14"/>
  </cols>
  <sheetData>
    <row r="1" customFormat="false" ht="22.5" hidden="false" customHeight="true" outlineLevel="0" collapsed="false">
      <c r="A1" s="1" t="s">
        <v>0</v>
      </c>
      <c r="B1" s="1"/>
      <c r="C1" s="1"/>
      <c r="D1" s="1"/>
      <c r="E1" s="2" t="s">
        <v>1</v>
      </c>
      <c r="O1" s="3" t="n">
        <f aca="false">1-C11</f>
        <v>0.99</v>
      </c>
      <c r="P1" s="3" t="n">
        <f aca="false">O1-$C12</f>
        <v>0.986</v>
      </c>
      <c r="Q1" s="3" t="n">
        <f aca="false">P1-$C12</f>
        <v>0.982</v>
      </c>
      <c r="R1" s="3" t="n">
        <f aca="false">Q1-$C12</f>
        <v>0.978</v>
      </c>
      <c r="S1" s="3" t="n">
        <f aca="false">R1-$C12</f>
        <v>0.974</v>
      </c>
      <c r="T1" s="3" t="n">
        <f aca="false">S1-$C12</f>
        <v>0.97</v>
      </c>
      <c r="U1" s="3" t="n">
        <f aca="false">T1-$C12</f>
        <v>0.966</v>
      </c>
      <c r="V1" s="3" t="n">
        <f aca="false">U1-$C12</f>
        <v>0.962</v>
      </c>
      <c r="W1" s="3" t="n">
        <f aca="false">V1-$C12</f>
        <v>0.958</v>
      </c>
      <c r="X1" s="3" t="n">
        <f aca="false">W1-$C12</f>
        <v>0.954</v>
      </c>
      <c r="Y1" s="3" t="n">
        <f aca="false">X1-$C12</f>
        <v>0.95</v>
      </c>
      <c r="Z1" s="3" t="n">
        <f aca="false">Y1-$C12</f>
        <v>0.946</v>
      </c>
      <c r="AA1" s="3" t="n">
        <f aca="false">Z1-$C12</f>
        <v>0.942</v>
      </c>
      <c r="AB1" s="3" t="n">
        <f aca="false">AA1-$C12</f>
        <v>0.938</v>
      </c>
      <c r="AC1" s="3" t="n">
        <f aca="false">AB1-$C12</f>
        <v>0.934</v>
      </c>
      <c r="AD1" s="3" t="n">
        <f aca="false">AC1-$C12</f>
        <v>0.93</v>
      </c>
      <c r="AE1" s="3" t="n">
        <f aca="false">AD1-$C12</f>
        <v>0.926</v>
      </c>
      <c r="AF1" s="3" t="n">
        <f aca="false">AE1-$C12</f>
        <v>0.922</v>
      </c>
      <c r="AG1" s="3" t="n">
        <f aca="false">AF1-$C12</f>
        <v>0.918</v>
      </c>
      <c r="AH1" s="3" t="n">
        <f aca="false">AG1-$C12</f>
        <v>0.914</v>
      </c>
    </row>
    <row r="2" customFormat="false" ht="21.75" hidden="false" customHeight="true" outlineLevel="0" collapsed="false">
      <c r="A2" s="4" t="s">
        <v>2</v>
      </c>
      <c r="B2" s="5" t="s">
        <v>3</v>
      </c>
      <c r="C2" s="4" t="s">
        <v>3</v>
      </c>
      <c r="D2" s="7" t="s">
        <v>4</v>
      </c>
      <c r="E2" s="8" t="s">
        <v>5</v>
      </c>
    </row>
    <row r="3" customFormat="false" ht="21.75" hidden="false" customHeight="true" outlineLevel="0" collapsed="false">
      <c r="A3" s="9" t="s">
        <v>6</v>
      </c>
      <c r="B3" s="10" t="n">
        <v>20</v>
      </c>
      <c r="C3" s="9" t="n">
        <v>20</v>
      </c>
      <c r="D3" s="12" t="s">
        <v>4</v>
      </c>
      <c r="E3" s="8" t="s">
        <v>7</v>
      </c>
    </row>
    <row r="4" customFormat="false" ht="21.75" hidden="false" customHeight="true" outlineLevel="0" collapsed="false">
      <c r="A4" s="9" t="s">
        <v>8</v>
      </c>
      <c r="B4" s="10" t="n">
        <v>436.1</v>
      </c>
      <c r="C4" s="9" t="n">
        <v>436.1</v>
      </c>
      <c r="D4" s="12" t="s">
        <v>4</v>
      </c>
      <c r="E4" s="8" t="s">
        <v>9</v>
      </c>
      <c r="M4" s="0" t="s">
        <v>106</v>
      </c>
    </row>
    <row r="5" customFormat="false" ht="22.5" hidden="false" customHeight="true" outlineLevel="0" collapsed="false">
      <c r="A5" s="9" t="s">
        <v>10</v>
      </c>
      <c r="B5" s="10" t="n">
        <v>2020</v>
      </c>
      <c r="C5" s="9" t="n">
        <v>2020</v>
      </c>
      <c r="D5" s="12" t="n">
        <f aca="false">B5+B3-1</f>
        <v>2039</v>
      </c>
      <c r="E5" s="8" t="n">
        <v>2039</v>
      </c>
      <c r="M5" s="0" t="s">
        <v>107</v>
      </c>
    </row>
    <row r="6" customFormat="false" ht="20.25" hidden="false" customHeight="true" outlineLevel="0" collapsed="false">
      <c r="A6" s="13"/>
      <c r="B6" s="13"/>
      <c r="C6" s="13"/>
      <c r="D6" s="13"/>
      <c r="E6" s="14"/>
      <c r="M6" s="0" t="s">
        <v>108</v>
      </c>
    </row>
    <row r="7" customFormat="false" ht="22.5" hidden="false" customHeight="true" outlineLevel="0" collapsed="false">
      <c r="A7" s="1" t="s">
        <v>13</v>
      </c>
      <c r="B7" s="1"/>
      <c r="C7" s="1"/>
      <c r="D7" s="1"/>
      <c r="E7" s="14"/>
      <c r="M7" s="0" t="s">
        <v>109</v>
      </c>
    </row>
    <row r="8" customFormat="false" ht="22.5" hidden="false" customHeight="true" outlineLevel="0" collapsed="false">
      <c r="A8" s="15" t="s">
        <v>14</v>
      </c>
      <c r="B8" s="15"/>
      <c r="C8" s="15"/>
      <c r="D8" s="15"/>
      <c r="E8" s="14"/>
      <c r="M8" s="0" t="s">
        <v>110</v>
      </c>
    </row>
    <row r="9" customFormat="false" ht="22.5" hidden="false" customHeight="true" outlineLevel="0" collapsed="false">
      <c r="A9" s="16" t="s">
        <v>15</v>
      </c>
      <c r="B9" s="17" t="s">
        <v>16</v>
      </c>
      <c r="C9" s="17" t="s">
        <v>17</v>
      </c>
      <c r="D9" s="18" t="s">
        <v>18</v>
      </c>
      <c r="E9" s="2" t="s">
        <v>1</v>
      </c>
      <c r="M9" s="0" t="s">
        <v>94</v>
      </c>
    </row>
    <row r="10" customFormat="false" ht="30" hidden="false" customHeight="true" outlineLevel="0" collapsed="false">
      <c r="A10" s="19" t="s">
        <v>19</v>
      </c>
      <c r="B10" s="4" t="s">
        <v>20</v>
      </c>
      <c r="C10" s="20" t="n">
        <v>547002</v>
      </c>
      <c r="D10" s="21" t="n">
        <v>547002</v>
      </c>
      <c r="E10" s="8" t="n">
        <v>20</v>
      </c>
      <c r="M10" s="0" t="s">
        <v>84</v>
      </c>
    </row>
    <row r="11" customFormat="false" ht="30" hidden="false" customHeight="true" outlineLevel="0" collapsed="false">
      <c r="A11" s="19"/>
      <c r="B11" s="9" t="s">
        <v>22</v>
      </c>
      <c r="C11" s="22" t="n">
        <v>0.01</v>
      </c>
      <c r="D11" s="21" t="n">
        <v>0.01</v>
      </c>
      <c r="E11" s="8" t="s">
        <v>23</v>
      </c>
    </row>
    <row r="12" customFormat="false" ht="30" hidden="false" customHeight="true" outlineLevel="0" collapsed="false">
      <c r="A12" s="19"/>
      <c r="B12" s="9" t="s">
        <v>24</v>
      </c>
      <c r="C12" s="23" t="n">
        <v>0.004</v>
      </c>
      <c r="D12" s="21" t="n">
        <v>0.004</v>
      </c>
      <c r="E12" s="8" t="s">
        <v>25</v>
      </c>
    </row>
    <row r="13" customFormat="false" ht="22.5" hidden="false" customHeight="true" outlineLevel="0" collapsed="false">
      <c r="A13" s="19"/>
      <c r="B13" s="24" t="s">
        <v>26</v>
      </c>
      <c r="C13" s="25" t="n">
        <v>4</v>
      </c>
      <c r="D13" s="21" t="n">
        <v>4</v>
      </c>
      <c r="E13" s="8" t="s">
        <v>27</v>
      </c>
    </row>
    <row r="14" customFormat="false" ht="22.5" hidden="false" customHeight="true" outlineLevel="0" collapsed="false">
      <c r="A14" s="26" t="s">
        <v>28</v>
      </c>
      <c r="B14" s="26"/>
      <c r="C14" s="26"/>
      <c r="D14" s="26"/>
      <c r="E14" s="14"/>
    </row>
    <row r="15" customFormat="false" ht="22.5" hidden="false" customHeight="true" outlineLevel="0" collapsed="false">
      <c r="A15" s="16" t="s">
        <v>15</v>
      </c>
      <c r="B15" s="17" t="s">
        <v>16</v>
      </c>
      <c r="C15" s="17" t="s">
        <v>17</v>
      </c>
      <c r="D15" s="18" t="s">
        <v>29</v>
      </c>
      <c r="E15" s="2" t="s">
        <v>1</v>
      </c>
    </row>
    <row r="16" customFormat="false" ht="21.75" hidden="false" customHeight="true" outlineLevel="0" collapsed="false">
      <c r="A16" s="4" t="s">
        <v>30</v>
      </c>
      <c r="B16" s="4" t="s">
        <v>31</v>
      </c>
      <c r="C16" s="27" t="n">
        <v>35000</v>
      </c>
      <c r="D16" s="7" t="n">
        <v>29000</v>
      </c>
      <c r="E16" s="8" t="n">
        <v>20</v>
      </c>
    </row>
    <row r="17" customFormat="false" ht="21.75" hidden="false" customHeight="true" outlineLevel="0" collapsed="false">
      <c r="A17" s="4"/>
      <c r="B17" s="9" t="s">
        <v>33</v>
      </c>
      <c r="C17" s="10" t="n">
        <v>0.3</v>
      </c>
      <c r="D17" s="7" t="n">
        <v>0.3</v>
      </c>
      <c r="E17" s="8" t="s">
        <v>34</v>
      </c>
    </row>
    <row r="18" customFormat="false" ht="21.75" hidden="false" customHeight="true" outlineLevel="0" collapsed="false">
      <c r="A18" s="4"/>
      <c r="B18" s="9" t="s">
        <v>35</v>
      </c>
      <c r="C18" s="28" t="n">
        <v>2000</v>
      </c>
      <c r="D18" s="7" t="n">
        <v>2000</v>
      </c>
      <c r="E18" s="8" t="s">
        <v>36</v>
      </c>
    </row>
    <row r="19" customFormat="false" ht="54" hidden="false" customHeight="true" outlineLevel="0" collapsed="false">
      <c r="A19" s="9" t="s">
        <v>37</v>
      </c>
      <c r="B19" s="29" t="s">
        <v>38</v>
      </c>
      <c r="C19" s="10" t="n">
        <v>1</v>
      </c>
      <c r="D19" s="7" t="n">
        <v>1</v>
      </c>
      <c r="E19" s="8" t="n">
        <v>20</v>
      </c>
    </row>
    <row r="20" customFormat="false" ht="20.25" hidden="false" customHeight="true" outlineLevel="0" collapsed="false">
      <c r="A20" s="9"/>
      <c r="B20" s="30" t="s">
        <v>40</v>
      </c>
      <c r="C20" s="28" t="n">
        <v>290201</v>
      </c>
      <c r="D20" s="7" t="n">
        <v>290201</v>
      </c>
      <c r="E20" s="8" t="n">
        <v>20</v>
      </c>
    </row>
    <row r="21" customFormat="false" ht="30" hidden="false" customHeight="true" outlineLevel="0" collapsed="false">
      <c r="A21" s="9"/>
      <c r="B21" s="9" t="s">
        <v>42</v>
      </c>
      <c r="C21" s="10"/>
      <c r="D21" s="12" t="n">
        <v>0</v>
      </c>
      <c r="E21" s="8" t="n">
        <v>20</v>
      </c>
    </row>
    <row r="22" customFormat="false" ht="30" hidden="false" customHeight="true" outlineLevel="0" collapsed="false">
      <c r="A22" s="9" t="s">
        <v>44</v>
      </c>
      <c r="B22" s="9" t="s">
        <v>45</v>
      </c>
      <c r="C22" s="28" t="n">
        <v>400</v>
      </c>
      <c r="D22" s="12" t="n">
        <v>400</v>
      </c>
      <c r="E22" s="8" t="n">
        <v>20</v>
      </c>
    </row>
    <row r="23" customFormat="false" ht="30" hidden="false" customHeight="true" outlineLevel="0" collapsed="false">
      <c r="A23" s="9" t="s">
        <v>47</v>
      </c>
      <c r="B23" s="9" t="s">
        <v>48</v>
      </c>
      <c r="C23" s="10" t="n">
        <v>0.003</v>
      </c>
      <c r="D23" s="12" t="n">
        <v>0.003</v>
      </c>
      <c r="E23" s="8" t="n">
        <v>20</v>
      </c>
    </row>
    <row r="24" customFormat="false" ht="30" hidden="false" customHeight="true" outlineLevel="0" collapsed="false">
      <c r="A24" s="9" t="s">
        <v>50</v>
      </c>
      <c r="B24" s="9" t="s">
        <v>51</v>
      </c>
      <c r="C24" s="28" t="n">
        <v>1000</v>
      </c>
      <c r="D24" s="31" t="n">
        <v>1000</v>
      </c>
      <c r="E24" s="8" t="n">
        <v>10</v>
      </c>
    </row>
    <row r="25" customFormat="false" ht="30" hidden="false" customHeight="true" outlineLevel="0" collapsed="false">
      <c r="A25" s="9" t="s">
        <v>53</v>
      </c>
      <c r="B25" s="9" t="s">
        <v>54</v>
      </c>
      <c r="C25" s="23" t="n">
        <v>0.0256</v>
      </c>
      <c r="D25" s="12" t="n">
        <v>0.0256</v>
      </c>
      <c r="E25" s="8" t="n">
        <v>20</v>
      </c>
    </row>
    <row r="26" customFormat="false" ht="30" hidden="false" customHeight="true" outlineLevel="0" collapsed="false">
      <c r="A26" s="9" t="s">
        <v>56</v>
      </c>
      <c r="B26" s="9" t="s">
        <v>57</v>
      </c>
      <c r="C26" s="10" t="n">
        <v>0.2</v>
      </c>
      <c r="D26" s="12" t="n">
        <v>0.2</v>
      </c>
      <c r="E26" s="8" t="n">
        <v>20</v>
      </c>
    </row>
    <row r="27" customFormat="false" ht="20.25" hidden="false" customHeight="true" outlineLevel="0" collapsed="false">
      <c r="A27" s="13"/>
      <c r="B27" s="13"/>
      <c r="C27" s="13"/>
      <c r="D27" s="13"/>
      <c r="E27" s="14"/>
    </row>
    <row r="28" customFormat="false" ht="20.25" hidden="false" customHeight="true" outlineLevel="0" collapsed="false">
      <c r="A28" s="13"/>
      <c r="B28" s="13"/>
      <c r="C28" s="13"/>
      <c r="D28" s="13"/>
      <c r="E28" s="14"/>
    </row>
    <row r="29" customFormat="false" ht="22.5" hidden="false" customHeight="true" outlineLevel="0" collapsed="false">
      <c r="A29" s="1" t="s">
        <v>59</v>
      </c>
      <c r="B29" s="1"/>
      <c r="C29" s="1"/>
      <c r="D29" s="13"/>
      <c r="E29" s="14"/>
    </row>
    <row r="30" customFormat="false" ht="22.5" hidden="false" customHeight="true" outlineLevel="0" collapsed="false">
      <c r="A30" s="16" t="s">
        <v>60</v>
      </c>
      <c r="B30" s="17" t="s">
        <v>16</v>
      </c>
      <c r="C30" s="32" t="s">
        <v>17</v>
      </c>
      <c r="D30" s="13"/>
      <c r="E30" s="2" t="s">
        <v>1</v>
      </c>
    </row>
    <row r="31" customFormat="false" ht="30" hidden="false" customHeight="true" outlineLevel="0" collapsed="false">
      <c r="A31" s="4" t="s">
        <v>61</v>
      </c>
      <c r="B31" s="4" t="s">
        <v>62</v>
      </c>
      <c r="C31" s="33" t="n">
        <v>0.8</v>
      </c>
      <c r="D31" s="13" t="n">
        <v>0.8</v>
      </c>
      <c r="E31" s="8" t="s">
        <v>63</v>
      </c>
    </row>
    <row r="32" customFormat="false" ht="18.75" hidden="false" customHeight="true" outlineLevel="0" collapsed="false">
      <c r="A32" s="4" t="s">
        <v>64</v>
      </c>
      <c r="B32" s="4" t="s">
        <v>65</v>
      </c>
      <c r="C32" s="33" t="n">
        <v>15</v>
      </c>
      <c r="D32" s="13" t="n">
        <v>15</v>
      </c>
      <c r="E32" s="8" t="s">
        <v>66</v>
      </c>
    </row>
    <row r="33" customFormat="false" ht="18.75" hidden="false" customHeight="true" outlineLevel="0" collapsed="false">
      <c r="A33" s="9" t="s">
        <v>67</v>
      </c>
      <c r="B33" s="9" t="s">
        <v>68</v>
      </c>
      <c r="C33" s="10" t="n">
        <v>0.9</v>
      </c>
      <c r="D33" s="13" t="n">
        <v>0.9</v>
      </c>
      <c r="E33" s="8" t="s">
        <v>69</v>
      </c>
    </row>
    <row r="34" customFormat="false" ht="30" hidden="false" customHeight="true" outlineLevel="0" collapsed="false">
      <c r="A34" s="9" t="s">
        <v>70</v>
      </c>
      <c r="B34" s="9" t="s">
        <v>65</v>
      </c>
      <c r="C34" s="10" t="n">
        <v>4</v>
      </c>
      <c r="D34" s="13" t="n">
        <v>4</v>
      </c>
      <c r="E34" s="8" t="s">
        <v>71</v>
      </c>
    </row>
    <row r="35" customFormat="false" ht="18.75" hidden="false" customHeight="true" outlineLevel="0" collapsed="false"/>
    <row r="37" customFormat="false" ht="15.75" hidden="false" customHeight="false" outlineLevel="0" collapsed="false">
      <c r="D37" s="0" t="n">
        <v>2020</v>
      </c>
      <c r="E37" s="0" t="n">
        <v>2021</v>
      </c>
      <c r="F37" s="0" t="n">
        <v>2022</v>
      </c>
      <c r="G37" s="0" t="n">
        <v>2023</v>
      </c>
      <c r="H37" s="0" t="n">
        <v>2024</v>
      </c>
      <c r="I37" s="0" t="n">
        <v>2025</v>
      </c>
      <c r="J37" s="0" t="n">
        <v>2026</v>
      </c>
      <c r="K37" s="0" t="n">
        <v>2027</v>
      </c>
      <c r="L37" s="0" t="n">
        <v>2028</v>
      </c>
      <c r="M37" s="0" t="n">
        <v>2029</v>
      </c>
      <c r="N37" s="0" t="n">
        <v>2030</v>
      </c>
      <c r="O37" s="0" t="n">
        <v>2031</v>
      </c>
      <c r="P37" s="0" t="n">
        <v>2032</v>
      </c>
      <c r="Q37" s="0" t="n">
        <v>2033</v>
      </c>
      <c r="R37" s="0" t="n">
        <v>2034</v>
      </c>
      <c r="S37" s="0" t="n">
        <v>2035</v>
      </c>
      <c r="T37" s="0" t="n">
        <v>2036</v>
      </c>
      <c r="U37" s="0" t="n">
        <v>2037</v>
      </c>
      <c r="V37" s="0" t="n">
        <v>2038</v>
      </c>
      <c r="W37" s="0" t="n">
        <v>2039</v>
      </c>
    </row>
    <row r="45" customFormat="false" ht="15.75" hidden="false" customHeight="false" outlineLevel="0" collapsed="false">
      <c r="D45" s="0" t="n">
        <v>-290201</v>
      </c>
      <c r="E45" s="0" t="n">
        <v>-290201</v>
      </c>
      <c r="F45" s="0" t="n">
        <v>-290201</v>
      </c>
      <c r="G45" s="0" t="n">
        <v>-290201</v>
      </c>
      <c r="H45" s="0" t="n">
        <v>-290201</v>
      </c>
      <c r="I45" s="0" t="n">
        <v>-290201</v>
      </c>
      <c r="J45" s="0" t="n">
        <v>-290201</v>
      </c>
      <c r="K45" s="0" t="n">
        <v>-290201</v>
      </c>
      <c r="L45" s="0" t="n">
        <v>-290201</v>
      </c>
      <c r="M45" s="0" t="n">
        <v>-290201</v>
      </c>
      <c r="N45" s="0" t="n">
        <v>-290201</v>
      </c>
      <c r="O45" s="0" t="n">
        <v>-290201</v>
      </c>
      <c r="P45" s="0" t="n">
        <v>-290201</v>
      </c>
      <c r="Q45" s="0" t="n">
        <v>-290201</v>
      </c>
      <c r="R45" s="0" t="n">
        <v>-290201</v>
      </c>
      <c r="S45" s="0" t="n">
        <v>-290201</v>
      </c>
      <c r="T45" s="0" t="n">
        <v>-290201</v>
      </c>
      <c r="U45" s="0" t="n">
        <v>-290201</v>
      </c>
      <c r="V45" s="0" t="n">
        <v>-290201</v>
      </c>
      <c r="W45" s="0" t="n">
        <v>-290201</v>
      </c>
    </row>
    <row r="48" customFormat="false" ht="15.75" hidden="false" customHeight="false" outlineLevel="0" collapsed="false">
      <c r="D48" s="0" t="n">
        <v>-174440</v>
      </c>
      <c r="E48" s="0" t="n">
        <v>-174440</v>
      </c>
      <c r="F48" s="0" t="n">
        <v>-174440</v>
      </c>
      <c r="G48" s="0" t="n">
        <v>-174440</v>
      </c>
      <c r="H48" s="0" t="n">
        <v>-174440</v>
      </c>
      <c r="I48" s="0" t="n">
        <v>-174440</v>
      </c>
      <c r="J48" s="0" t="n">
        <v>-174440</v>
      </c>
      <c r="K48" s="0" t="n">
        <v>-174440</v>
      </c>
      <c r="L48" s="0" t="n">
        <v>-174440</v>
      </c>
      <c r="M48" s="0" t="n">
        <v>-174440</v>
      </c>
      <c r="N48" s="0" t="n">
        <v>-174440</v>
      </c>
      <c r="O48" s="0" t="n">
        <v>-174440</v>
      </c>
      <c r="P48" s="0" t="n">
        <v>-174440</v>
      </c>
      <c r="Q48" s="0" t="n">
        <v>-174440</v>
      </c>
      <c r="R48" s="0" t="n">
        <v>-174440</v>
      </c>
      <c r="S48" s="0" t="n">
        <v>-174440</v>
      </c>
      <c r="T48" s="0" t="n">
        <v>-174440</v>
      </c>
      <c r="U48" s="0" t="n">
        <v>-174440</v>
      </c>
      <c r="V48" s="0" t="n">
        <v>-174440</v>
      </c>
      <c r="W48" s="0" t="n">
        <v>-174440</v>
      </c>
    </row>
    <row r="49" customFormat="false" ht="15.75" hidden="false" customHeight="false" outlineLevel="0" collapsed="false">
      <c r="D49" s="0" t="n">
        <v>-37940.7</v>
      </c>
      <c r="E49" s="0" t="n">
        <v>-37940.7</v>
      </c>
      <c r="F49" s="0" t="n">
        <v>-37940.7</v>
      </c>
      <c r="G49" s="0" t="n">
        <v>-37940.7</v>
      </c>
      <c r="H49" s="0" t="n">
        <v>-37940.7</v>
      </c>
      <c r="I49" s="0" t="n">
        <v>-37940.7</v>
      </c>
      <c r="J49" s="0" t="n">
        <v>-37940.7</v>
      </c>
      <c r="K49" s="0" t="n">
        <v>-37940.7</v>
      </c>
      <c r="L49" s="0" t="n">
        <v>-37940.7</v>
      </c>
      <c r="M49" s="0" t="n">
        <v>-37940.7</v>
      </c>
      <c r="N49" s="0" t="n">
        <v>-37940.7</v>
      </c>
      <c r="O49" s="0" t="n">
        <v>-37940.7</v>
      </c>
      <c r="P49" s="0" t="n">
        <v>-37940.7</v>
      </c>
      <c r="Q49" s="0" t="n">
        <v>-37940.7</v>
      </c>
      <c r="R49" s="0" t="n">
        <v>-37940.7</v>
      </c>
      <c r="S49" s="0" t="n">
        <v>-37940.7</v>
      </c>
      <c r="T49" s="0" t="n">
        <v>-37940.7</v>
      </c>
      <c r="U49" s="0" t="n">
        <v>-37940.7</v>
      </c>
      <c r="V49" s="0" t="n">
        <v>-37940.7</v>
      </c>
      <c r="W49" s="0" t="n">
        <v>-37940.7</v>
      </c>
    </row>
    <row r="50" customFormat="false" ht="15.75" hidden="false" customHeight="false" outlineLevel="0" collapsed="false">
      <c r="D50" s="0" t="n">
        <v>-43610</v>
      </c>
      <c r="E50" s="0" t="n">
        <v>-43610</v>
      </c>
      <c r="F50" s="0" t="n">
        <v>-43610</v>
      </c>
      <c r="G50" s="0" t="n">
        <v>-43610</v>
      </c>
      <c r="H50" s="0" t="n">
        <v>-43610</v>
      </c>
      <c r="I50" s="0" t="n">
        <v>-43610</v>
      </c>
      <c r="J50" s="0" t="n">
        <v>-43610</v>
      </c>
      <c r="K50" s="0" t="n">
        <v>-43610</v>
      </c>
      <c r="L50" s="0" t="n">
        <v>-43610</v>
      </c>
      <c r="M50" s="0" t="n">
        <v>-43610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</row>
    <row r="93" customFormat="false" ht="15.75" hidden="false" customHeight="false" outlineLevel="0" collapsed="false">
      <c r="E93" s="0" t="n">
        <v>-1010090.66666667</v>
      </c>
      <c r="F93" s="0" t="n">
        <v>-1010090.66666667</v>
      </c>
      <c r="G93" s="0" t="n">
        <v>-1010090.66666667</v>
      </c>
      <c r="H93" s="0" t="n">
        <v>-1010090.66666667</v>
      </c>
      <c r="I93" s="0" t="n">
        <v>-1010090.66666667</v>
      </c>
      <c r="J93" s="0" t="n">
        <v>-1010090.66666667</v>
      </c>
      <c r="K93" s="0" t="n">
        <v>-1010090.66666667</v>
      </c>
      <c r="L93" s="0" t="n">
        <v>-1010090.66666667</v>
      </c>
      <c r="M93" s="0" t="n">
        <v>-1010090.66666667</v>
      </c>
      <c r="N93" s="0" t="n">
        <v>-1010090.66666667</v>
      </c>
      <c r="O93" s="0" t="n">
        <v>-1010090.66666667</v>
      </c>
      <c r="P93" s="0" t="n">
        <v>-1010090.66666667</v>
      </c>
      <c r="Q93" s="0" t="n">
        <v>-1010090.66666667</v>
      </c>
      <c r="R93" s="0" t="n">
        <v>-1010090.66666667</v>
      </c>
      <c r="S93" s="0" t="n">
        <v>-1010090.66666667</v>
      </c>
      <c r="T93" s="0" t="n">
        <v>0</v>
      </c>
      <c r="U93" s="0" t="n">
        <v>0</v>
      </c>
      <c r="V93" s="0" t="n">
        <v>0</v>
      </c>
      <c r="W93" s="0" t="n">
        <v>0</v>
      </c>
    </row>
    <row r="96" customFormat="false" ht="15.75" hidden="false" customHeight="false" outlineLevel="0" collapsed="false"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-946960</v>
      </c>
      <c r="U96" s="0" t="n">
        <v>-946960</v>
      </c>
      <c r="V96" s="0" t="n">
        <v>-946960</v>
      </c>
      <c r="W96" s="0" t="n">
        <v>-946960</v>
      </c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.7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7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50"/>
    <col collapsed="false" customWidth="true" hidden="false" outlineLevel="0" max="12" min="6" style="0" width="20"/>
    <col collapsed="false" customWidth="true" hidden="false" outlineLevel="0" max="13" min="13" style="0" width="50"/>
    <col collapsed="false" customWidth="true" hidden="false" outlineLevel="0" max="19" min="14" style="0" width="20"/>
    <col collapsed="false" customWidth="true" hidden="false" outlineLevel="0" max="23" min="20" style="0" width="11"/>
    <col collapsed="false" customWidth="true" hidden="false" outlineLevel="0" max="27" min="24" style="0" width="10"/>
    <col collapsed="false" customWidth="true" hidden="false" outlineLevel="0" max="34" min="28" style="0" width="11"/>
    <col collapsed="false" customWidth="true" hidden="false" outlineLevel="0" max="35" min="35" style="0" width="32.57"/>
    <col collapsed="false" customWidth="true" hidden="false" outlineLevel="0" max="36" min="36" style="0" width="9.14"/>
  </cols>
  <sheetData>
    <row r="1" customFormat="false" ht="22.5" hidden="false" customHeight="true" outlineLevel="0" collapsed="false">
      <c r="A1" s="1" t="s">
        <v>0</v>
      </c>
      <c r="B1" s="1"/>
      <c r="C1" s="1"/>
      <c r="D1" s="1"/>
      <c r="E1" s="2" t="s">
        <v>1</v>
      </c>
      <c r="O1" s="3" t="n">
        <f aca="false">1-C11</f>
        <v>0.99</v>
      </c>
      <c r="P1" s="3" t="n">
        <f aca="false">O1-$C12</f>
        <v>0.986</v>
      </c>
      <c r="Q1" s="3" t="n">
        <f aca="false">P1-$C12</f>
        <v>0.982</v>
      </c>
      <c r="R1" s="3" t="n">
        <f aca="false">Q1-$C12</f>
        <v>0.978</v>
      </c>
      <c r="S1" s="3" t="n">
        <f aca="false">R1-$C12</f>
        <v>0.974</v>
      </c>
      <c r="T1" s="3" t="n">
        <f aca="false">S1-$C12</f>
        <v>0.97</v>
      </c>
      <c r="U1" s="3" t="n">
        <f aca="false">T1-$C12</f>
        <v>0.966</v>
      </c>
      <c r="V1" s="3" t="n">
        <f aca="false">U1-$C12</f>
        <v>0.962</v>
      </c>
      <c r="W1" s="3" t="n">
        <f aca="false">V1-$C12</f>
        <v>0.958</v>
      </c>
      <c r="X1" s="3" t="n">
        <f aca="false">W1-$C12</f>
        <v>0.954</v>
      </c>
      <c r="Y1" s="3" t="n">
        <f aca="false">X1-$C12</f>
        <v>0.95</v>
      </c>
      <c r="Z1" s="3" t="n">
        <f aca="false">Y1-$C12</f>
        <v>0.946</v>
      </c>
      <c r="AA1" s="3" t="n">
        <f aca="false">Z1-$C12</f>
        <v>0.942</v>
      </c>
      <c r="AB1" s="3" t="n">
        <f aca="false">AA1-$C12</f>
        <v>0.938</v>
      </c>
      <c r="AC1" s="3" t="n">
        <f aca="false">AB1-$C12</f>
        <v>0.934</v>
      </c>
      <c r="AD1" s="3" t="n">
        <f aca="false">AC1-$C12</f>
        <v>0.93</v>
      </c>
      <c r="AE1" s="3" t="n">
        <f aca="false">AD1-$C12</f>
        <v>0.926</v>
      </c>
      <c r="AF1" s="3" t="n">
        <f aca="false">AE1-$C12</f>
        <v>0.922</v>
      </c>
      <c r="AG1" s="3" t="n">
        <f aca="false">AF1-$C12</f>
        <v>0.918</v>
      </c>
      <c r="AH1" s="3" t="n">
        <f aca="false">AG1-$C12</f>
        <v>0.914</v>
      </c>
    </row>
    <row r="2" customFormat="false" ht="21.75" hidden="false" customHeight="true" outlineLevel="0" collapsed="false">
      <c r="A2" s="4" t="s">
        <v>2</v>
      </c>
      <c r="B2" s="5" t="s">
        <v>3</v>
      </c>
      <c r="C2" s="4" t="s">
        <v>3</v>
      </c>
      <c r="D2" s="7" t="s">
        <v>4</v>
      </c>
      <c r="E2" s="8" t="s">
        <v>5</v>
      </c>
    </row>
    <row r="3" customFormat="false" ht="21.75" hidden="false" customHeight="true" outlineLevel="0" collapsed="false">
      <c r="A3" s="9" t="s">
        <v>6</v>
      </c>
      <c r="B3" s="10" t="n">
        <v>20</v>
      </c>
      <c r="C3" s="9" t="n">
        <v>20</v>
      </c>
      <c r="D3" s="12" t="s">
        <v>4</v>
      </c>
      <c r="E3" s="8" t="s">
        <v>7</v>
      </c>
    </row>
    <row r="4" customFormat="false" ht="21.75" hidden="false" customHeight="true" outlineLevel="0" collapsed="false">
      <c r="A4" s="9" t="s">
        <v>8</v>
      </c>
      <c r="B4" s="10" t="n">
        <v>436.1</v>
      </c>
      <c r="C4" s="9" t="n">
        <v>436.1</v>
      </c>
      <c r="D4" s="12" t="s">
        <v>4</v>
      </c>
      <c r="E4" s="8" t="s">
        <v>9</v>
      </c>
      <c r="M4" s="0" t="s">
        <v>111</v>
      </c>
    </row>
    <row r="5" customFormat="false" ht="22.5" hidden="false" customHeight="true" outlineLevel="0" collapsed="false">
      <c r="A5" s="9" t="s">
        <v>10</v>
      </c>
      <c r="B5" s="10" t="n">
        <v>2020</v>
      </c>
      <c r="C5" s="9" t="n">
        <v>2020</v>
      </c>
      <c r="D5" s="12" t="n">
        <f aca="false">B5+B3-1</f>
        <v>2039</v>
      </c>
      <c r="E5" s="8" t="n">
        <v>2039</v>
      </c>
      <c r="M5" s="0" t="s">
        <v>112</v>
      </c>
    </row>
    <row r="6" customFormat="false" ht="20.25" hidden="false" customHeight="true" outlineLevel="0" collapsed="false">
      <c r="A6" s="13"/>
      <c r="B6" s="13"/>
      <c r="C6" s="13"/>
      <c r="D6" s="13"/>
      <c r="E6" s="14"/>
      <c r="M6" s="0" t="s">
        <v>113</v>
      </c>
    </row>
    <row r="7" customFormat="false" ht="22.5" hidden="false" customHeight="true" outlineLevel="0" collapsed="false">
      <c r="A7" s="1" t="s">
        <v>13</v>
      </c>
      <c r="B7" s="1"/>
      <c r="C7" s="1"/>
      <c r="D7" s="1"/>
      <c r="E7" s="14"/>
      <c r="M7" s="0" t="s">
        <v>114</v>
      </c>
    </row>
    <row r="8" customFormat="false" ht="22.5" hidden="false" customHeight="true" outlineLevel="0" collapsed="false">
      <c r="A8" s="15" t="s">
        <v>14</v>
      </c>
      <c r="B8" s="15"/>
      <c r="C8" s="15"/>
      <c r="D8" s="15"/>
      <c r="E8" s="14"/>
      <c r="M8" s="0" t="s">
        <v>115</v>
      </c>
    </row>
    <row r="9" customFormat="false" ht="22.5" hidden="false" customHeight="true" outlineLevel="0" collapsed="false">
      <c r="A9" s="16" t="s">
        <v>15</v>
      </c>
      <c r="B9" s="17" t="s">
        <v>16</v>
      </c>
      <c r="C9" s="17" t="s">
        <v>17</v>
      </c>
      <c r="D9" s="18" t="s">
        <v>18</v>
      </c>
      <c r="E9" s="2" t="s">
        <v>1</v>
      </c>
      <c r="M9" s="0" t="s">
        <v>94</v>
      </c>
    </row>
    <row r="10" customFormat="false" ht="30" hidden="false" customHeight="true" outlineLevel="0" collapsed="false">
      <c r="A10" s="19" t="s">
        <v>19</v>
      </c>
      <c r="B10" s="4" t="s">
        <v>20</v>
      </c>
      <c r="C10" s="20" t="n">
        <v>547002</v>
      </c>
      <c r="D10" s="21" t="n">
        <v>547002</v>
      </c>
      <c r="E10" s="8" t="n">
        <v>20</v>
      </c>
      <c r="M10" s="0" t="s">
        <v>85</v>
      </c>
    </row>
    <row r="11" customFormat="false" ht="30" hidden="false" customHeight="true" outlineLevel="0" collapsed="false">
      <c r="A11" s="19"/>
      <c r="B11" s="9" t="s">
        <v>22</v>
      </c>
      <c r="C11" s="22" t="n">
        <v>0.01</v>
      </c>
      <c r="D11" s="21" t="n">
        <v>0.01</v>
      </c>
      <c r="E11" s="8" t="s">
        <v>23</v>
      </c>
    </row>
    <row r="12" customFormat="false" ht="30" hidden="false" customHeight="true" outlineLevel="0" collapsed="false">
      <c r="A12" s="19"/>
      <c r="B12" s="9" t="s">
        <v>24</v>
      </c>
      <c r="C12" s="23" t="n">
        <v>0.004</v>
      </c>
      <c r="D12" s="21" t="n">
        <v>0.004</v>
      </c>
      <c r="E12" s="8" t="s">
        <v>25</v>
      </c>
    </row>
    <row r="13" customFormat="false" ht="22.5" hidden="false" customHeight="true" outlineLevel="0" collapsed="false">
      <c r="A13" s="19"/>
      <c r="B13" s="24" t="s">
        <v>26</v>
      </c>
      <c r="C13" s="25" t="n">
        <v>4</v>
      </c>
      <c r="D13" s="21" t="n">
        <v>4</v>
      </c>
      <c r="E13" s="8" t="s">
        <v>27</v>
      </c>
    </row>
    <row r="14" customFormat="false" ht="22.5" hidden="false" customHeight="true" outlineLevel="0" collapsed="false">
      <c r="A14" s="26" t="s">
        <v>28</v>
      </c>
      <c r="B14" s="26"/>
      <c r="C14" s="26"/>
      <c r="D14" s="26"/>
      <c r="E14" s="14"/>
    </row>
    <row r="15" customFormat="false" ht="22.5" hidden="false" customHeight="true" outlineLevel="0" collapsed="false">
      <c r="A15" s="16" t="s">
        <v>15</v>
      </c>
      <c r="B15" s="17" t="s">
        <v>16</v>
      </c>
      <c r="C15" s="17" t="s">
        <v>17</v>
      </c>
      <c r="D15" s="18" t="s">
        <v>29</v>
      </c>
      <c r="E15" s="2" t="s">
        <v>1</v>
      </c>
    </row>
    <row r="16" customFormat="false" ht="21.75" hidden="false" customHeight="true" outlineLevel="0" collapsed="false">
      <c r="A16" s="4" t="s">
        <v>30</v>
      </c>
      <c r="B16" s="4" t="s">
        <v>31</v>
      </c>
      <c r="C16" s="27" t="n">
        <v>35000</v>
      </c>
      <c r="D16" s="7" t="n">
        <v>27000</v>
      </c>
      <c r="E16" s="8" t="n">
        <v>20</v>
      </c>
    </row>
    <row r="17" customFormat="false" ht="21.75" hidden="false" customHeight="true" outlineLevel="0" collapsed="false">
      <c r="A17" s="4"/>
      <c r="B17" s="9" t="s">
        <v>33</v>
      </c>
      <c r="C17" s="10" t="n">
        <v>0.3</v>
      </c>
      <c r="D17" s="7" t="n">
        <v>0.3</v>
      </c>
      <c r="E17" s="8" t="s">
        <v>34</v>
      </c>
    </row>
    <row r="18" customFormat="false" ht="21.75" hidden="false" customHeight="true" outlineLevel="0" collapsed="false">
      <c r="A18" s="4"/>
      <c r="B18" s="9" t="s">
        <v>35</v>
      </c>
      <c r="C18" s="28" t="n">
        <v>2000</v>
      </c>
      <c r="D18" s="7" t="n">
        <v>2000</v>
      </c>
      <c r="E18" s="8" t="s">
        <v>36</v>
      </c>
    </row>
    <row r="19" customFormat="false" ht="54" hidden="false" customHeight="true" outlineLevel="0" collapsed="false">
      <c r="A19" s="9" t="s">
        <v>37</v>
      </c>
      <c r="B19" s="29" t="s">
        <v>38</v>
      </c>
      <c r="C19" s="10" t="n">
        <v>1</v>
      </c>
      <c r="D19" s="7" t="n">
        <v>1</v>
      </c>
      <c r="E19" s="8" t="n">
        <v>20</v>
      </c>
    </row>
    <row r="20" customFormat="false" ht="20.25" hidden="false" customHeight="true" outlineLevel="0" collapsed="false">
      <c r="A20" s="9"/>
      <c r="B20" s="30" t="s">
        <v>40</v>
      </c>
      <c r="C20" s="28" t="n">
        <v>290201</v>
      </c>
      <c r="D20" s="7" t="n">
        <v>290201</v>
      </c>
      <c r="E20" s="8" t="n">
        <v>20</v>
      </c>
    </row>
    <row r="21" customFormat="false" ht="30" hidden="false" customHeight="true" outlineLevel="0" collapsed="false">
      <c r="A21" s="9"/>
      <c r="B21" s="9" t="s">
        <v>42</v>
      </c>
      <c r="C21" s="10"/>
      <c r="D21" s="12" t="n">
        <v>0</v>
      </c>
      <c r="E21" s="8" t="n">
        <v>20</v>
      </c>
    </row>
    <row r="22" customFormat="false" ht="30" hidden="false" customHeight="true" outlineLevel="0" collapsed="false">
      <c r="A22" s="9" t="s">
        <v>44</v>
      </c>
      <c r="B22" s="9" t="s">
        <v>45</v>
      </c>
      <c r="C22" s="28" t="n">
        <v>400</v>
      </c>
      <c r="D22" s="12" t="n">
        <v>400</v>
      </c>
      <c r="E22" s="8" t="n">
        <v>20</v>
      </c>
    </row>
    <row r="23" customFormat="false" ht="30" hidden="false" customHeight="true" outlineLevel="0" collapsed="false">
      <c r="A23" s="9" t="s">
        <v>47</v>
      </c>
      <c r="B23" s="9" t="s">
        <v>48</v>
      </c>
      <c r="C23" s="10" t="n">
        <v>0.003</v>
      </c>
      <c r="D23" s="12" t="n">
        <v>0.003</v>
      </c>
      <c r="E23" s="8" t="n">
        <v>20</v>
      </c>
    </row>
    <row r="24" customFormat="false" ht="30" hidden="false" customHeight="true" outlineLevel="0" collapsed="false">
      <c r="A24" s="9" t="s">
        <v>50</v>
      </c>
      <c r="B24" s="9" t="s">
        <v>51</v>
      </c>
      <c r="C24" s="28" t="n">
        <v>1000</v>
      </c>
      <c r="D24" s="31" t="n">
        <v>1000</v>
      </c>
      <c r="E24" s="8" t="n">
        <v>10</v>
      </c>
    </row>
    <row r="25" customFormat="false" ht="30" hidden="false" customHeight="true" outlineLevel="0" collapsed="false">
      <c r="A25" s="9" t="s">
        <v>53</v>
      </c>
      <c r="B25" s="9" t="s">
        <v>54</v>
      </c>
      <c r="C25" s="23" t="n">
        <v>0.0256</v>
      </c>
      <c r="D25" s="12" t="n">
        <v>0.0256</v>
      </c>
      <c r="E25" s="8" t="n">
        <v>20</v>
      </c>
    </row>
    <row r="26" customFormat="false" ht="30" hidden="false" customHeight="true" outlineLevel="0" collapsed="false">
      <c r="A26" s="9" t="s">
        <v>56</v>
      </c>
      <c r="B26" s="9" t="s">
        <v>57</v>
      </c>
      <c r="C26" s="10" t="n">
        <v>0.2</v>
      </c>
      <c r="D26" s="12" t="n">
        <v>0.2</v>
      </c>
      <c r="E26" s="8" t="n">
        <v>20</v>
      </c>
    </row>
    <row r="27" customFormat="false" ht="20.25" hidden="false" customHeight="true" outlineLevel="0" collapsed="false">
      <c r="A27" s="13"/>
      <c r="B27" s="13"/>
      <c r="C27" s="13"/>
      <c r="D27" s="13"/>
      <c r="E27" s="14"/>
    </row>
    <row r="28" customFormat="false" ht="20.25" hidden="false" customHeight="true" outlineLevel="0" collapsed="false">
      <c r="A28" s="13"/>
      <c r="B28" s="13"/>
      <c r="C28" s="13"/>
      <c r="D28" s="13"/>
      <c r="E28" s="14"/>
    </row>
    <row r="29" customFormat="false" ht="22.5" hidden="false" customHeight="true" outlineLevel="0" collapsed="false">
      <c r="A29" s="1" t="s">
        <v>59</v>
      </c>
      <c r="B29" s="1"/>
      <c r="C29" s="1"/>
      <c r="D29" s="13"/>
      <c r="E29" s="14"/>
    </row>
    <row r="30" customFormat="false" ht="22.5" hidden="false" customHeight="true" outlineLevel="0" collapsed="false">
      <c r="A30" s="16" t="s">
        <v>60</v>
      </c>
      <c r="B30" s="17" t="s">
        <v>16</v>
      </c>
      <c r="C30" s="32" t="s">
        <v>17</v>
      </c>
      <c r="D30" s="13"/>
      <c r="E30" s="2" t="s">
        <v>1</v>
      </c>
    </row>
    <row r="31" customFormat="false" ht="30" hidden="false" customHeight="true" outlineLevel="0" collapsed="false">
      <c r="A31" s="4" t="s">
        <v>61</v>
      </c>
      <c r="B31" s="4" t="s">
        <v>62</v>
      </c>
      <c r="C31" s="33" t="n">
        <v>0.8</v>
      </c>
      <c r="D31" s="13" t="n">
        <v>0.8</v>
      </c>
      <c r="E31" s="8" t="s">
        <v>63</v>
      </c>
    </row>
    <row r="32" customFormat="false" ht="18.75" hidden="false" customHeight="true" outlineLevel="0" collapsed="false">
      <c r="A32" s="4" t="s">
        <v>64</v>
      </c>
      <c r="B32" s="4" t="s">
        <v>65</v>
      </c>
      <c r="C32" s="33" t="n">
        <v>15</v>
      </c>
      <c r="D32" s="13" t="n">
        <v>15</v>
      </c>
      <c r="E32" s="8" t="s">
        <v>66</v>
      </c>
    </row>
    <row r="33" customFormat="false" ht="18.75" hidden="false" customHeight="true" outlineLevel="0" collapsed="false">
      <c r="A33" s="9" t="s">
        <v>67</v>
      </c>
      <c r="B33" s="9" t="s">
        <v>68</v>
      </c>
      <c r="C33" s="10" t="n">
        <v>0.9</v>
      </c>
      <c r="D33" s="13" t="n">
        <v>0.9</v>
      </c>
      <c r="E33" s="8" t="s">
        <v>69</v>
      </c>
    </row>
    <row r="34" customFormat="false" ht="30" hidden="false" customHeight="true" outlineLevel="0" collapsed="false">
      <c r="A34" s="9" t="s">
        <v>70</v>
      </c>
      <c r="B34" s="9" t="s">
        <v>65</v>
      </c>
      <c r="C34" s="10" t="n">
        <v>4</v>
      </c>
      <c r="D34" s="13" t="n">
        <v>4</v>
      </c>
      <c r="E34" s="8" t="s">
        <v>71</v>
      </c>
    </row>
    <row r="35" customFormat="false" ht="18.75" hidden="false" customHeight="true" outlineLevel="0" collapsed="false"/>
    <row r="37" customFormat="false" ht="15.75" hidden="false" customHeight="false" outlineLevel="0" collapsed="false">
      <c r="D37" s="0" t="n">
        <v>2020</v>
      </c>
      <c r="E37" s="0" t="n">
        <v>2021</v>
      </c>
      <c r="F37" s="0" t="n">
        <v>2022</v>
      </c>
      <c r="G37" s="0" t="n">
        <v>2023</v>
      </c>
      <c r="H37" s="0" t="n">
        <v>2024</v>
      </c>
      <c r="I37" s="0" t="n">
        <v>2025</v>
      </c>
      <c r="J37" s="0" t="n">
        <v>2026</v>
      </c>
      <c r="K37" s="0" t="n">
        <v>2027</v>
      </c>
      <c r="L37" s="0" t="n">
        <v>2028</v>
      </c>
      <c r="M37" s="0" t="n">
        <v>2029</v>
      </c>
      <c r="N37" s="0" t="n">
        <v>2030</v>
      </c>
      <c r="O37" s="0" t="n">
        <v>2031</v>
      </c>
      <c r="P37" s="0" t="n">
        <v>2032</v>
      </c>
      <c r="Q37" s="0" t="n">
        <v>2033</v>
      </c>
      <c r="R37" s="0" t="n">
        <v>2034</v>
      </c>
      <c r="S37" s="0" t="n">
        <v>2035</v>
      </c>
      <c r="T37" s="0" t="n">
        <v>2036</v>
      </c>
      <c r="U37" s="0" t="n">
        <v>2037</v>
      </c>
      <c r="V37" s="0" t="n">
        <v>2038</v>
      </c>
      <c r="W37" s="0" t="n">
        <v>2039</v>
      </c>
    </row>
    <row r="45" customFormat="false" ht="15.75" hidden="false" customHeight="false" outlineLevel="0" collapsed="false">
      <c r="D45" s="0" t="n">
        <v>-290201</v>
      </c>
      <c r="E45" s="0" t="n">
        <v>-290201</v>
      </c>
      <c r="F45" s="0" t="n">
        <v>-290201</v>
      </c>
      <c r="G45" s="0" t="n">
        <v>-290201</v>
      </c>
      <c r="H45" s="0" t="n">
        <v>-290201</v>
      </c>
      <c r="I45" s="0" t="n">
        <v>-290201</v>
      </c>
      <c r="J45" s="0" t="n">
        <v>-290201</v>
      </c>
      <c r="K45" s="0" t="n">
        <v>-290201</v>
      </c>
      <c r="L45" s="0" t="n">
        <v>-290201</v>
      </c>
      <c r="M45" s="0" t="n">
        <v>-290201</v>
      </c>
      <c r="N45" s="0" t="n">
        <v>-290201</v>
      </c>
      <c r="O45" s="0" t="n">
        <v>-290201</v>
      </c>
      <c r="P45" s="0" t="n">
        <v>-290201</v>
      </c>
      <c r="Q45" s="0" t="n">
        <v>-290201</v>
      </c>
      <c r="R45" s="0" t="n">
        <v>-290201</v>
      </c>
      <c r="S45" s="0" t="n">
        <v>-290201</v>
      </c>
      <c r="T45" s="0" t="n">
        <v>-290201</v>
      </c>
      <c r="U45" s="0" t="n">
        <v>-290201</v>
      </c>
      <c r="V45" s="0" t="n">
        <v>-290201</v>
      </c>
      <c r="W45" s="0" t="n">
        <v>-290201</v>
      </c>
    </row>
    <row r="48" customFormat="false" ht="15.75" hidden="false" customHeight="false" outlineLevel="0" collapsed="false">
      <c r="D48" s="0" t="n">
        <v>-174440</v>
      </c>
      <c r="E48" s="0" t="n">
        <v>-174440</v>
      </c>
      <c r="F48" s="0" t="n">
        <v>-174440</v>
      </c>
      <c r="G48" s="0" t="n">
        <v>-174440</v>
      </c>
      <c r="H48" s="0" t="n">
        <v>-174440</v>
      </c>
      <c r="I48" s="0" t="n">
        <v>-174440</v>
      </c>
      <c r="J48" s="0" t="n">
        <v>-174440</v>
      </c>
      <c r="K48" s="0" t="n">
        <v>-174440</v>
      </c>
      <c r="L48" s="0" t="n">
        <v>-174440</v>
      </c>
      <c r="M48" s="0" t="n">
        <v>-174440</v>
      </c>
      <c r="N48" s="0" t="n">
        <v>-174440</v>
      </c>
      <c r="O48" s="0" t="n">
        <v>-174440</v>
      </c>
      <c r="P48" s="0" t="n">
        <v>-174440</v>
      </c>
      <c r="Q48" s="0" t="n">
        <v>-174440</v>
      </c>
      <c r="R48" s="0" t="n">
        <v>-174440</v>
      </c>
      <c r="S48" s="0" t="n">
        <v>-174440</v>
      </c>
      <c r="T48" s="0" t="n">
        <v>-174440</v>
      </c>
      <c r="U48" s="0" t="n">
        <v>-174440</v>
      </c>
      <c r="V48" s="0" t="n">
        <v>-174440</v>
      </c>
      <c r="W48" s="0" t="n">
        <v>-174440</v>
      </c>
    </row>
    <row r="49" customFormat="false" ht="15.75" hidden="false" customHeight="false" outlineLevel="0" collapsed="false">
      <c r="D49" s="0" t="n">
        <v>-35324.1</v>
      </c>
      <c r="E49" s="0" t="n">
        <v>-35324.1</v>
      </c>
      <c r="F49" s="0" t="n">
        <v>-35324.1</v>
      </c>
      <c r="G49" s="0" t="n">
        <v>-35324.1</v>
      </c>
      <c r="H49" s="0" t="n">
        <v>-35324.1</v>
      </c>
      <c r="I49" s="0" t="n">
        <v>-35324.1</v>
      </c>
      <c r="J49" s="0" t="n">
        <v>-35324.1</v>
      </c>
      <c r="K49" s="0" t="n">
        <v>-35324.1</v>
      </c>
      <c r="L49" s="0" t="n">
        <v>-35324.1</v>
      </c>
      <c r="M49" s="0" t="n">
        <v>-35324.1</v>
      </c>
      <c r="N49" s="0" t="n">
        <v>-35324.1</v>
      </c>
      <c r="O49" s="0" t="n">
        <v>-35324.1</v>
      </c>
      <c r="P49" s="0" t="n">
        <v>-35324.1</v>
      </c>
      <c r="Q49" s="0" t="n">
        <v>-35324.1</v>
      </c>
      <c r="R49" s="0" t="n">
        <v>-35324.1</v>
      </c>
      <c r="S49" s="0" t="n">
        <v>-35324.1</v>
      </c>
      <c r="T49" s="0" t="n">
        <v>-35324.1</v>
      </c>
      <c r="U49" s="0" t="n">
        <v>-35324.1</v>
      </c>
      <c r="V49" s="0" t="n">
        <v>-35324.1</v>
      </c>
      <c r="W49" s="0" t="n">
        <v>-35324.1</v>
      </c>
    </row>
    <row r="50" customFormat="false" ht="15.75" hidden="false" customHeight="false" outlineLevel="0" collapsed="false">
      <c r="D50" s="0" t="n">
        <v>-43610</v>
      </c>
      <c r="E50" s="0" t="n">
        <v>-43610</v>
      </c>
      <c r="F50" s="0" t="n">
        <v>-43610</v>
      </c>
      <c r="G50" s="0" t="n">
        <v>-43610</v>
      </c>
      <c r="H50" s="0" t="n">
        <v>-43610</v>
      </c>
      <c r="I50" s="0" t="n">
        <v>-43610</v>
      </c>
      <c r="J50" s="0" t="n">
        <v>-43610</v>
      </c>
      <c r="K50" s="0" t="n">
        <v>-43610</v>
      </c>
      <c r="L50" s="0" t="n">
        <v>-43610</v>
      </c>
      <c r="M50" s="0" t="n">
        <v>-43610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</row>
    <row r="93" customFormat="false" ht="15.75" hidden="false" customHeight="false" outlineLevel="0" collapsed="false">
      <c r="E93" s="0" t="n">
        <v>-943637.333333333</v>
      </c>
      <c r="F93" s="0" t="n">
        <v>-943637.333333333</v>
      </c>
      <c r="G93" s="0" t="n">
        <v>-943637.333333333</v>
      </c>
      <c r="H93" s="0" t="n">
        <v>-943637.333333333</v>
      </c>
      <c r="I93" s="0" t="n">
        <v>-943637.333333333</v>
      </c>
      <c r="J93" s="0" t="n">
        <v>-943637.333333333</v>
      </c>
      <c r="K93" s="0" t="n">
        <v>-943637.333333333</v>
      </c>
      <c r="L93" s="0" t="n">
        <v>-943637.333333333</v>
      </c>
      <c r="M93" s="0" t="n">
        <v>-943637.333333333</v>
      </c>
      <c r="N93" s="0" t="n">
        <v>-943637.333333333</v>
      </c>
      <c r="O93" s="0" t="n">
        <v>-943637.333333333</v>
      </c>
      <c r="P93" s="0" t="n">
        <v>-943637.333333333</v>
      </c>
      <c r="Q93" s="0" t="n">
        <v>-943637.333333333</v>
      </c>
      <c r="R93" s="0" t="n">
        <v>-943637.333333333</v>
      </c>
      <c r="S93" s="0" t="n">
        <v>-943637.333333333</v>
      </c>
      <c r="T93" s="0" t="n">
        <v>0</v>
      </c>
      <c r="U93" s="0" t="n">
        <v>0</v>
      </c>
      <c r="V93" s="0" t="n">
        <v>0</v>
      </c>
      <c r="W93" s="0" t="n">
        <v>0</v>
      </c>
    </row>
    <row r="96" customFormat="false" ht="15.75" hidden="false" customHeight="false" outlineLevel="0" collapsed="false"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-884660</v>
      </c>
      <c r="U96" s="0" t="n">
        <v>-884660</v>
      </c>
      <c r="V96" s="0" t="n">
        <v>-884660</v>
      </c>
      <c r="W96" s="0" t="n">
        <v>-884660</v>
      </c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.7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7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50"/>
    <col collapsed="false" customWidth="true" hidden="false" outlineLevel="0" max="12" min="6" style="0" width="11"/>
    <col collapsed="false" customWidth="true" hidden="false" outlineLevel="0" max="13" min="13" style="0" width="50"/>
    <col collapsed="false" customWidth="true" hidden="false" outlineLevel="0" max="23" min="14" style="0" width="11"/>
    <col collapsed="false" customWidth="true" hidden="false" outlineLevel="0" max="27" min="24" style="0" width="10"/>
    <col collapsed="false" customWidth="true" hidden="false" outlineLevel="0" max="34" min="28" style="0" width="11"/>
    <col collapsed="false" customWidth="true" hidden="false" outlineLevel="0" max="35" min="35" style="0" width="32.57"/>
    <col collapsed="false" customWidth="true" hidden="false" outlineLevel="0" max="36" min="36" style="0" width="9.14"/>
  </cols>
  <sheetData>
    <row r="1" customFormat="false" ht="22.5" hidden="false" customHeight="true" outlineLevel="0" collapsed="false">
      <c r="A1" s="1" t="s">
        <v>0</v>
      </c>
      <c r="B1" s="1"/>
      <c r="C1" s="1"/>
      <c r="D1" s="1"/>
      <c r="E1" s="2" t="s">
        <v>1</v>
      </c>
      <c r="O1" s="3" t="n">
        <f aca="false">1-C11</f>
        <v>0.99</v>
      </c>
      <c r="P1" s="3" t="n">
        <f aca="false">O1-$C12</f>
        <v>0.986</v>
      </c>
      <c r="Q1" s="3" t="n">
        <f aca="false">P1-$C12</f>
        <v>0.982</v>
      </c>
      <c r="R1" s="3" t="n">
        <f aca="false">Q1-$C12</f>
        <v>0.978</v>
      </c>
      <c r="S1" s="3" t="n">
        <f aca="false">R1-$C12</f>
        <v>0.974</v>
      </c>
      <c r="T1" s="3" t="n">
        <f aca="false">S1-$C12</f>
        <v>0.97</v>
      </c>
      <c r="U1" s="3" t="n">
        <f aca="false">T1-$C12</f>
        <v>0.966</v>
      </c>
      <c r="V1" s="3" t="n">
        <f aca="false">U1-$C12</f>
        <v>0.962</v>
      </c>
      <c r="W1" s="3" t="n">
        <f aca="false">V1-$C12</f>
        <v>0.958</v>
      </c>
      <c r="X1" s="3" t="n">
        <f aca="false">W1-$C12</f>
        <v>0.954</v>
      </c>
      <c r="Y1" s="3" t="n">
        <f aca="false">X1-$C12</f>
        <v>0.95</v>
      </c>
      <c r="Z1" s="3" t="n">
        <f aca="false">Y1-$C12</f>
        <v>0.946</v>
      </c>
      <c r="AA1" s="3" t="n">
        <f aca="false">Z1-$C12</f>
        <v>0.942</v>
      </c>
      <c r="AB1" s="3" t="n">
        <f aca="false">AA1-$C12</f>
        <v>0.938</v>
      </c>
      <c r="AC1" s="3" t="n">
        <f aca="false">AB1-$C12</f>
        <v>0.934</v>
      </c>
      <c r="AD1" s="3" t="n">
        <f aca="false">AC1-$C12</f>
        <v>0.93</v>
      </c>
      <c r="AE1" s="3" t="n">
        <f aca="false">AD1-$C12</f>
        <v>0.926</v>
      </c>
      <c r="AF1" s="3" t="n">
        <f aca="false">AE1-$C12</f>
        <v>0.922</v>
      </c>
      <c r="AG1" s="3" t="n">
        <f aca="false">AF1-$C12</f>
        <v>0.918</v>
      </c>
      <c r="AH1" s="3" t="n">
        <f aca="false">AG1-$C12</f>
        <v>0.914</v>
      </c>
    </row>
    <row r="2" customFormat="false" ht="21.75" hidden="false" customHeight="true" outlineLevel="0" collapsed="false">
      <c r="A2" s="4" t="s">
        <v>2</v>
      </c>
      <c r="B2" s="5" t="s">
        <v>3</v>
      </c>
      <c r="C2" s="4" t="s">
        <v>3</v>
      </c>
      <c r="D2" s="7" t="s">
        <v>4</v>
      </c>
      <c r="E2" s="8" t="s">
        <v>5</v>
      </c>
    </row>
    <row r="3" customFormat="false" ht="21.75" hidden="false" customHeight="true" outlineLevel="0" collapsed="false">
      <c r="A3" s="9" t="s">
        <v>6</v>
      </c>
      <c r="B3" s="10" t="n">
        <v>20</v>
      </c>
      <c r="C3" s="9" t="n">
        <v>20</v>
      </c>
      <c r="D3" s="12" t="s">
        <v>4</v>
      </c>
      <c r="E3" s="8" t="s">
        <v>7</v>
      </c>
    </row>
    <row r="4" customFormat="false" ht="21.75" hidden="false" customHeight="true" outlineLevel="0" collapsed="false">
      <c r="A4" s="9" t="s">
        <v>8</v>
      </c>
      <c r="B4" s="10" t="n">
        <v>436.1</v>
      </c>
      <c r="C4" s="9" t="n">
        <v>436.1</v>
      </c>
      <c r="D4" s="12" t="s">
        <v>4</v>
      </c>
      <c r="E4" s="8" t="s">
        <v>9</v>
      </c>
      <c r="M4" s="0" t="s">
        <v>116</v>
      </c>
    </row>
    <row r="5" customFormat="false" ht="22.5" hidden="false" customHeight="true" outlineLevel="0" collapsed="false">
      <c r="A5" s="9" t="s">
        <v>10</v>
      </c>
      <c r="B5" s="10" t="n">
        <v>2020</v>
      </c>
      <c r="C5" s="9" t="n">
        <v>2020</v>
      </c>
      <c r="D5" s="12" t="n">
        <f aca="false">B5+B3-1</f>
        <v>2039</v>
      </c>
      <c r="E5" s="8" t="n">
        <v>2039</v>
      </c>
      <c r="M5" s="0" t="s">
        <v>117</v>
      </c>
    </row>
    <row r="6" customFormat="false" ht="20.25" hidden="false" customHeight="true" outlineLevel="0" collapsed="false">
      <c r="A6" s="13"/>
      <c r="B6" s="13"/>
      <c r="C6" s="13"/>
      <c r="D6" s="13"/>
      <c r="E6" s="14"/>
      <c r="M6" s="0" t="s">
        <v>118</v>
      </c>
    </row>
    <row r="7" customFormat="false" ht="22.5" hidden="false" customHeight="true" outlineLevel="0" collapsed="false">
      <c r="A7" s="1" t="s">
        <v>13</v>
      </c>
      <c r="B7" s="1"/>
      <c r="C7" s="1"/>
      <c r="D7" s="1"/>
      <c r="E7" s="14"/>
      <c r="M7" s="0" t="s">
        <v>119</v>
      </c>
    </row>
    <row r="8" customFormat="false" ht="22.5" hidden="false" customHeight="true" outlineLevel="0" collapsed="false">
      <c r="A8" s="15" t="s">
        <v>14</v>
      </c>
      <c r="B8" s="15"/>
      <c r="C8" s="15"/>
      <c r="D8" s="15"/>
      <c r="E8" s="14"/>
      <c r="M8" s="0" t="s">
        <v>120</v>
      </c>
    </row>
    <row r="9" customFormat="false" ht="22.5" hidden="false" customHeight="true" outlineLevel="0" collapsed="false">
      <c r="A9" s="16" t="s">
        <v>15</v>
      </c>
      <c r="B9" s="17" t="s">
        <v>16</v>
      </c>
      <c r="C9" s="17" t="s">
        <v>17</v>
      </c>
      <c r="D9" s="18" t="s">
        <v>18</v>
      </c>
      <c r="E9" s="2" t="s">
        <v>1</v>
      </c>
      <c r="M9" s="0" t="s">
        <v>94</v>
      </c>
    </row>
    <row r="10" customFormat="false" ht="30" hidden="false" customHeight="true" outlineLevel="0" collapsed="false">
      <c r="A10" s="19" t="s">
        <v>19</v>
      </c>
      <c r="B10" s="4" t="s">
        <v>20</v>
      </c>
      <c r="C10" s="20" t="n">
        <v>547002</v>
      </c>
      <c r="D10" s="21" t="n">
        <v>547002</v>
      </c>
      <c r="E10" s="8" t="n">
        <v>20</v>
      </c>
      <c r="M10" s="0" t="s">
        <v>86</v>
      </c>
    </row>
    <row r="11" customFormat="false" ht="30" hidden="false" customHeight="true" outlineLevel="0" collapsed="false">
      <c r="A11" s="19"/>
      <c r="B11" s="9" t="s">
        <v>22</v>
      </c>
      <c r="C11" s="22" t="n">
        <v>0.01</v>
      </c>
      <c r="D11" s="21" t="n">
        <v>0.01</v>
      </c>
      <c r="E11" s="8" t="s">
        <v>23</v>
      </c>
    </row>
    <row r="12" customFormat="false" ht="30" hidden="false" customHeight="true" outlineLevel="0" collapsed="false">
      <c r="A12" s="19"/>
      <c r="B12" s="9" t="s">
        <v>24</v>
      </c>
      <c r="C12" s="23" t="n">
        <v>0.004</v>
      </c>
      <c r="D12" s="21" t="n">
        <v>0.004</v>
      </c>
      <c r="E12" s="8" t="s">
        <v>25</v>
      </c>
    </row>
    <row r="13" customFormat="false" ht="22.5" hidden="false" customHeight="true" outlineLevel="0" collapsed="false">
      <c r="A13" s="19"/>
      <c r="B13" s="24" t="s">
        <v>26</v>
      </c>
      <c r="C13" s="25" t="n">
        <v>4</v>
      </c>
      <c r="D13" s="21" t="n">
        <v>4</v>
      </c>
      <c r="E13" s="8" t="s">
        <v>27</v>
      </c>
    </row>
    <row r="14" customFormat="false" ht="22.5" hidden="false" customHeight="true" outlineLevel="0" collapsed="false">
      <c r="A14" s="26" t="s">
        <v>28</v>
      </c>
      <c r="B14" s="26"/>
      <c r="C14" s="26"/>
      <c r="D14" s="26"/>
      <c r="E14" s="14"/>
    </row>
    <row r="15" customFormat="false" ht="22.5" hidden="false" customHeight="true" outlineLevel="0" collapsed="false">
      <c r="A15" s="16" t="s">
        <v>15</v>
      </c>
      <c r="B15" s="17" t="s">
        <v>16</v>
      </c>
      <c r="C15" s="17" t="s">
        <v>17</v>
      </c>
      <c r="D15" s="18" t="s">
        <v>29</v>
      </c>
      <c r="E15" s="2" t="s">
        <v>1</v>
      </c>
    </row>
    <row r="16" customFormat="false" ht="21.75" hidden="false" customHeight="true" outlineLevel="0" collapsed="false">
      <c r="A16" s="4" t="s">
        <v>30</v>
      </c>
      <c r="B16" s="4" t="s">
        <v>31</v>
      </c>
      <c r="C16" s="27" t="n">
        <v>35000</v>
      </c>
      <c r="D16" s="7" t="n">
        <v>25000</v>
      </c>
      <c r="E16" s="8" t="n">
        <v>20</v>
      </c>
    </row>
    <row r="17" customFormat="false" ht="21.75" hidden="false" customHeight="true" outlineLevel="0" collapsed="false">
      <c r="A17" s="4"/>
      <c r="B17" s="9" t="s">
        <v>33</v>
      </c>
      <c r="C17" s="10" t="n">
        <v>0.3</v>
      </c>
      <c r="D17" s="7" t="n">
        <v>0.3</v>
      </c>
      <c r="E17" s="8" t="s">
        <v>34</v>
      </c>
    </row>
    <row r="18" customFormat="false" ht="21.75" hidden="false" customHeight="true" outlineLevel="0" collapsed="false">
      <c r="A18" s="4"/>
      <c r="B18" s="9" t="s">
        <v>35</v>
      </c>
      <c r="C18" s="28" t="n">
        <v>2000</v>
      </c>
      <c r="D18" s="7" t="n">
        <v>2000</v>
      </c>
      <c r="E18" s="8" t="s">
        <v>36</v>
      </c>
    </row>
    <row r="19" customFormat="false" ht="54" hidden="false" customHeight="true" outlineLevel="0" collapsed="false">
      <c r="A19" s="9" t="s">
        <v>37</v>
      </c>
      <c r="B19" s="29" t="s">
        <v>38</v>
      </c>
      <c r="C19" s="10" t="n">
        <v>1</v>
      </c>
      <c r="D19" s="7" t="n">
        <v>1</v>
      </c>
      <c r="E19" s="8" t="n">
        <v>20</v>
      </c>
    </row>
    <row r="20" customFormat="false" ht="20.25" hidden="false" customHeight="true" outlineLevel="0" collapsed="false">
      <c r="A20" s="9"/>
      <c r="B20" s="30" t="s">
        <v>40</v>
      </c>
      <c r="C20" s="28" t="n">
        <v>290201</v>
      </c>
      <c r="D20" s="7" t="n">
        <v>290201</v>
      </c>
      <c r="E20" s="8" t="n">
        <v>20</v>
      </c>
    </row>
    <row r="21" customFormat="false" ht="30" hidden="false" customHeight="true" outlineLevel="0" collapsed="false">
      <c r="A21" s="9"/>
      <c r="B21" s="9" t="s">
        <v>42</v>
      </c>
      <c r="C21" s="10"/>
      <c r="D21" s="12" t="n">
        <v>0</v>
      </c>
      <c r="E21" s="8" t="n">
        <v>20</v>
      </c>
    </row>
    <row r="22" customFormat="false" ht="30" hidden="false" customHeight="true" outlineLevel="0" collapsed="false">
      <c r="A22" s="9" t="s">
        <v>44</v>
      </c>
      <c r="B22" s="9" t="s">
        <v>45</v>
      </c>
      <c r="C22" s="28" t="n">
        <v>400</v>
      </c>
      <c r="D22" s="12" t="n">
        <v>400</v>
      </c>
      <c r="E22" s="8" t="n">
        <v>20</v>
      </c>
    </row>
    <row r="23" customFormat="false" ht="30" hidden="false" customHeight="true" outlineLevel="0" collapsed="false">
      <c r="A23" s="9" t="s">
        <v>47</v>
      </c>
      <c r="B23" s="9" t="s">
        <v>48</v>
      </c>
      <c r="C23" s="10" t="n">
        <v>0.003</v>
      </c>
      <c r="D23" s="12" t="n">
        <v>0.003</v>
      </c>
      <c r="E23" s="8" t="n">
        <v>20</v>
      </c>
    </row>
    <row r="24" customFormat="false" ht="30" hidden="false" customHeight="true" outlineLevel="0" collapsed="false">
      <c r="A24" s="9" t="s">
        <v>50</v>
      </c>
      <c r="B24" s="9" t="s">
        <v>51</v>
      </c>
      <c r="C24" s="28" t="n">
        <v>1000</v>
      </c>
      <c r="D24" s="31" t="n">
        <v>1000</v>
      </c>
      <c r="E24" s="8" t="n">
        <v>10</v>
      </c>
    </row>
    <row r="25" customFormat="false" ht="30" hidden="false" customHeight="true" outlineLevel="0" collapsed="false">
      <c r="A25" s="9" t="s">
        <v>53</v>
      </c>
      <c r="B25" s="9" t="s">
        <v>54</v>
      </c>
      <c r="C25" s="23" t="n">
        <v>0.0256</v>
      </c>
      <c r="D25" s="12" t="n">
        <v>0.0256</v>
      </c>
      <c r="E25" s="8" t="n">
        <v>20</v>
      </c>
    </row>
    <row r="26" customFormat="false" ht="30" hidden="false" customHeight="true" outlineLevel="0" collapsed="false">
      <c r="A26" s="9" t="s">
        <v>56</v>
      </c>
      <c r="B26" s="9" t="s">
        <v>57</v>
      </c>
      <c r="C26" s="10" t="n">
        <v>0.2</v>
      </c>
      <c r="D26" s="12" t="n">
        <v>0.2</v>
      </c>
      <c r="E26" s="8" t="n">
        <v>20</v>
      </c>
    </row>
    <row r="27" customFormat="false" ht="20.25" hidden="false" customHeight="true" outlineLevel="0" collapsed="false">
      <c r="A27" s="13"/>
      <c r="B27" s="13"/>
      <c r="C27" s="13"/>
      <c r="D27" s="13"/>
      <c r="E27" s="14"/>
    </row>
    <row r="28" customFormat="false" ht="20.25" hidden="false" customHeight="true" outlineLevel="0" collapsed="false">
      <c r="A28" s="13"/>
      <c r="B28" s="13"/>
      <c r="C28" s="13"/>
      <c r="D28" s="13"/>
      <c r="E28" s="14"/>
    </row>
    <row r="29" customFormat="false" ht="22.5" hidden="false" customHeight="true" outlineLevel="0" collapsed="false">
      <c r="A29" s="1" t="s">
        <v>59</v>
      </c>
      <c r="B29" s="1"/>
      <c r="C29" s="1"/>
      <c r="D29" s="13"/>
      <c r="E29" s="14"/>
    </row>
    <row r="30" customFormat="false" ht="22.5" hidden="false" customHeight="true" outlineLevel="0" collapsed="false">
      <c r="A30" s="16" t="s">
        <v>60</v>
      </c>
      <c r="B30" s="17" t="s">
        <v>16</v>
      </c>
      <c r="C30" s="32" t="s">
        <v>17</v>
      </c>
      <c r="D30" s="13"/>
      <c r="E30" s="2" t="s">
        <v>1</v>
      </c>
    </row>
    <row r="31" customFormat="false" ht="30" hidden="false" customHeight="true" outlineLevel="0" collapsed="false">
      <c r="A31" s="4" t="s">
        <v>61</v>
      </c>
      <c r="B31" s="4" t="s">
        <v>62</v>
      </c>
      <c r="C31" s="33" t="n">
        <v>0.8</v>
      </c>
      <c r="D31" s="13" t="n">
        <v>0.8</v>
      </c>
      <c r="E31" s="8" t="s">
        <v>63</v>
      </c>
    </row>
    <row r="32" customFormat="false" ht="18.75" hidden="false" customHeight="true" outlineLevel="0" collapsed="false">
      <c r="A32" s="4" t="s">
        <v>64</v>
      </c>
      <c r="B32" s="4" t="s">
        <v>65</v>
      </c>
      <c r="C32" s="33" t="n">
        <v>15</v>
      </c>
      <c r="D32" s="13" t="n">
        <v>15</v>
      </c>
      <c r="E32" s="8" t="s">
        <v>66</v>
      </c>
    </row>
    <row r="33" customFormat="false" ht="18.75" hidden="false" customHeight="true" outlineLevel="0" collapsed="false">
      <c r="A33" s="9" t="s">
        <v>67</v>
      </c>
      <c r="B33" s="9" t="s">
        <v>68</v>
      </c>
      <c r="C33" s="10" t="n">
        <v>0.9</v>
      </c>
      <c r="D33" s="13" t="n">
        <v>0.9</v>
      </c>
      <c r="E33" s="8" t="s">
        <v>69</v>
      </c>
    </row>
    <row r="34" customFormat="false" ht="30" hidden="false" customHeight="true" outlineLevel="0" collapsed="false">
      <c r="A34" s="9" t="s">
        <v>70</v>
      </c>
      <c r="B34" s="9" t="s">
        <v>65</v>
      </c>
      <c r="C34" s="10" t="n">
        <v>4</v>
      </c>
      <c r="D34" s="13" t="n">
        <v>4</v>
      </c>
      <c r="E34" s="8" t="s">
        <v>71</v>
      </c>
    </row>
    <row r="35" customFormat="false" ht="18.75" hidden="false" customHeight="true" outlineLevel="0" collapsed="false"/>
    <row r="37" customFormat="false" ht="15.75" hidden="false" customHeight="false" outlineLevel="0" collapsed="false">
      <c r="D37" s="0" t="n">
        <v>2020</v>
      </c>
      <c r="E37" s="0" t="n">
        <v>2021</v>
      </c>
      <c r="F37" s="0" t="n">
        <v>2022</v>
      </c>
      <c r="G37" s="0" t="n">
        <v>2023</v>
      </c>
      <c r="H37" s="0" t="n">
        <v>2024</v>
      </c>
      <c r="I37" s="0" t="n">
        <v>2025</v>
      </c>
      <c r="J37" s="0" t="n">
        <v>2026</v>
      </c>
      <c r="K37" s="0" t="n">
        <v>2027</v>
      </c>
      <c r="L37" s="0" t="n">
        <v>2028</v>
      </c>
      <c r="M37" s="0" t="n">
        <v>2029</v>
      </c>
      <c r="N37" s="0" t="n">
        <v>2030</v>
      </c>
      <c r="O37" s="0" t="n">
        <v>2031</v>
      </c>
      <c r="P37" s="0" t="n">
        <v>2032</v>
      </c>
      <c r="Q37" s="0" t="n">
        <v>2033</v>
      </c>
      <c r="R37" s="0" t="n">
        <v>2034</v>
      </c>
      <c r="S37" s="0" t="n">
        <v>2035</v>
      </c>
      <c r="T37" s="0" t="n">
        <v>2036</v>
      </c>
      <c r="U37" s="0" t="n">
        <v>2037</v>
      </c>
      <c r="V37" s="0" t="n">
        <v>2038</v>
      </c>
      <c r="W37" s="0" t="n">
        <v>2039</v>
      </c>
    </row>
    <row r="45" customFormat="false" ht="15.75" hidden="false" customHeight="false" outlineLevel="0" collapsed="false">
      <c r="D45" s="0" t="n">
        <v>-290201</v>
      </c>
      <c r="E45" s="0" t="n">
        <v>-290201</v>
      </c>
      <c r="F45" s="0" t="n">
        <v>-290201</v>
      </c>
      <c r="G45" s="0" t="n">
        <v>-290201</v>
      </c>
      <c r="H45" s="0" t="n">
        <v>-290201</v>
      </c>
      <c r="I45" s="0" t="n">
        <v>-290201</v>
      </c>
      <c r="J45" s="0" t="n">
        <v>-290201</v>
      </c>
      <c r="K45" s="0" t="n">
        <v>-290201</v>
      </c>
      <c r="L45" s="0" t="n">
        <v>-290201</v>
      </c>
      <c r="M45" s="0" t="n">
        <v>-290201</v>
      </c>
      <c r="N45" s="0" t="n">
        <v>-290201</v>
      </c>
      <c r="O45" s="0" t="n">
        <v>-290201</v>
      </c>
      <c r="P45" s="0" t="n">
        <v>-290201</v>
      </c>
      <c r="Q45" s="0" t="n">
        <v>-290201</v>
      </c>
      <c r="R45" s="0" t="n">
        <v>-290201</v>
      </c>
      <c r="S45" s="0" t="n">
        <v>-290201</v>
      </c>
      <c r="T45" s="0" t="n">
        <v>-290201</v>
      </c>
      <c r="U45" s="0" t="n">
        <v>-290201</v>
      </c>
      <c r="V45" s="0" t="n">
        <v>-290201</v>
      </c>
      <c r="W45" s="0" t="n">
        <v>-290201</v>
      </c>
    </row>
    <row r="48" customFormat="false" ht="15.75" hidden="false" customHeight="false" outlineLevel="0" collapsed="false">
      <c r="D48" s="0" t="n">
        <v>-174440</v>
      </c>
      <c r="E48" s="0" t="n">
        <v>-174440</v>
      </c>
      <c r="F48" s="0" t="n">
        <v>-174440</v>
      </c>
      <c r="G48" s="0" t="n">
        <v>-174440</v>
      </c>
      <c r="H48" s="0" t="n">
        <v>-174440</v>
      </c>
      <c r="I48" s="0" t="n">
        <v>-174440</v>
      </c>
      <c r="J48" s="0" t="n">
        <v>-174440</v>
      </c>
      <c r="K48" s="0" t="n">
        <v>-174440</v>
      </c>
      <c r="L48" s="0" t="n">
        <v>-174440</v>
      </c>
      <c r="M48" s="0" t="n">
        <v>-174440</v>
      </c>
      <c r="N48" s="0" t="n">
        <v>-174440</v>
      </c>
      <c r="O48" s="0" t="n">
        <v>-174440</v>
      </c>
      <c r="P48" s="0" t="n">
        <v>-174440</v>
      </c>
      <c r="Q48" s="0" t="n">
        <v>-174440</v>
      </c>
      <c r="R48" s="0" t="n">
        <v>-174440</v>
      </c>
      <c r="S48" s="0" t="n">
        <v>-174440</v>
      </c>
      <c r="T48" s="0" t="n">
        <v>-174440</v>
      </c>
      <c r="U48" s="0" t="n">
        <v>-174440</v>
      </c>
      <c r="V48" s="0" t="n">
        <v>-174440</v>
      </c>
      <c r="W48" s="0" t="n">
        <v>-174440</v>
      </c>
    </row>
    <row r="49" customFormat="false" ht="15.75" hidden="false" customHeight="false" outlineLevel="0" collapsed="false">
      <c r="D49" s="0" t="n">
        <v>-32707.5</v>
      </c>
      <c r="E49" s="0" t="n">
        <v>-32707.5</v>
      </c>
      <c r="F49" s="0" t="n">
        <v>-32707.5</v>
      </c>
      <c r="G49" s="0" t="n">
        <v>-32707.5</v>
      </c>
      <c r="H49" s="0" t="n">
        <v>-32707.5</v>
      </c>
      <c r="I49" s="0" t="n">
        <v>-32707.5</v>
      </c>
      <c r="J49" s="0" t="n">
        <v>-32707.5</v>
      </c>
      <c r="K49" s="0" t="n">
        <v>-32707.5</v>
      </c>
      <c r="L49" s="0" t="n">
        <v>-32707.5</v>
      </c>
      <c r="M49" s="0" t="n">
        <v>-32707.5</v>
      </c>
      <c r="N49" s="0" t="n">
        <v>-32707.5</v>
      </c>
      <c r="O49" s="0" t="n">
        <v>-32707.5</v>
      </c>
      <c r="P49" s="0" t="n">
        <v>-32707.5</v>
      </c>
      <c r="Q49" s="0" t="n">
        <v>-32707.5</v>
      </c>
      <c r="R49" s="0" t="n">
        <v>-32707.5</v>
      </c>
      <c r="S49" s="0" t="n">
        <v>-32707.5</v>
      </c>
      <c r="T49" s="0" t="n">
        <v>-32707.5</v>
      </c>
      <c r="U49" s="0" t="n">
        <v>-32707.5</v>
      </c>
      <c r="V49" s="0" t="n">
        <v>-32707.5</v>
      </c>
      <c r="W49" s="0" t="n">
        <v>-32707.5</v>
      </c>
    </row>
    <row r="50" customFormat="false" ht="15.75" hidden="false" customHeight="false" outlineLevel="0" collapsed="false">
      <c r="D50" s="0" t="n">
        <v>-43610</v>
      </c>
      <c r="E50" s="0" t="n">
        <v>-43610</v>
      </c>
      <c r="F50" s="0" t="n">
        <v>-43610</v>
      </c>
      <c r="G50" s="0" t="n">
        <v>-43610</v>
      </c>
      <c r="H50" s="0" t="n">
        <v>-43610</v>
      </c>
      <c r="I50" s="0" t="n">
        <v>-43610</v>
      </c>
      <c r="J50" s="0" t="n">
        <v>-43610</v>
      </c>
      <c r="K50" s="0" t="n">
        <v>-43610</v>
      </c>
      <c r="L50" s="0" t="n">
        <v>-43610</v>
      </c>
      <c r="M50" s="0" t="n">
        <v>-43610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</row>
    <row r="93" customFormat="false" ht="15.75" hidden="false" customHeight="false" outlineLevel="0" collapsed="false">
      <c r="E93" s="0" t="n">
        <v>-877184</v>
      </c>
      <c r="F93" s="0" t="n">
        <v>-877184</v>
      </c>
      <c r="G93" s="0" t="n">
        <v>-877184</v>
      </c>
      <c r="H93" s="0" t="n">
        <v>-877184</v>
      </c>
      <c r="I93" s="0" t="n">
        <v>-877184</v>
      </c>
      <c r="J93" s="0" t="n">
        <v>-877184</v>
      </c>
      <c r="K93" s="0" t="n">
        <v>-877184</v>
      </c>
      <c r="L93" s="0" t="n">
        <v>-877184</v>
      </c>
      <c r="M93" s="0" t="n">
        <v>-877184</v>
      </c>
      <c r="N93" s="0" t="n">
        <v>-877184</v>
      </c>
      <c r="O93" s="0" t="n">
        <v>-877184</v>
      </c>
      <c r="P93" s="0" t="n">
        <v>-877184</v>
      </c>
      <c r="Q93" s="0" t="n">
        <v>-877184</v>
      </c>
      <c r="R93" s="0" t="n">
        <v>-877184</v>
      </c>
      <c r="S93" s="0" t="n">
        <v>-877184</v>
      </c>
      <c r="T93" s="0" t="n">
        <v>0</v>
      </c>
      <c r="U93" s="0" t="n">
        <v>0</v>
      </c>
      <c r="V93" s="0" t="n">
        <v>0</v>
      </c>
      <c r="W93" s="0" t="n">
        <v>0</v>
      </c>
    </row>
    <row r="96" customFormat="false" ht="15.75" hidden="false" customHeight="false" outlineLevel="0" collapsed="false"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-822360</v>
      </c>
      <c r="U96" s="0" t="n">
        <v>-822360</v>
      </c>
      <c r="V96" s="0" t="n">
        <v>-822360</v>
      </c>
      <c r="W96" s="0" t="n">
        <v>-822360</v>
      </c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.7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7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50"/>
    <col collapsed="false" customWidth="true" hidden="false" outlineLevel="0" max="12" min="6" style="0" width="20"/>
    <col collapsed="false" customWidth="true" hidden="false" outlineLevel="0" max="13" min="13" style="0" width="50"/>
    <col collapsed="false" customWidth="true" hidden="false" outlineLevel="0" max="19" min="14" style="0" width="20"/>
    <col collapsed="false" customWidth="true" hidden="false" outlineLevel="0" max="23" min="20" style="0" width="11"/>
    <col collapsed="false" customWidth="true" hidden="false" outlineLevel="0" max="27" min="24" style="0" width="10"/>
    <col collapsed="false" customWidth="true" hidden="false" outlineLevel="0" max="34" min="28" style="0" width="11"/>
    <col collapsed="false" customWidth="true" hidden="false" outlineLevel="0" max="35" min="35" style="0" width="32.57"/>
    <col collapsed="false" customWidth="true" hidden="false" outlineLevel="0" max="36" min="36" style="0" width="9.14"/>
  </cols>
  <sheetData>
    <row r="1" customFormat="false" ht="22.5" hidden="false" customHeight="true" outlineLevel="0" collapsed="false">
      <c r="A1" s="1" t="s">
        <v>0</v>
      </c>
      <c r="B1" s="1"/>
      <c r="C1" s="1"/>
      <c r="D1" s="1"/>
      <c r="E1" s="2" t="s">
        <v>1</v>
      </c>
      <c r="O1" s="3" t="n">
        <f aca="false">1-C11</f>
        <v>0.99</v>
      </c>
      <c r="P1" s="3" t="n">
        <f aca="false">O1-$C12</f>
        <v>0.986</v>
      </c>
      <c r="Q1" s="3" t="n">
        <f aca="false">P1-$C12</f>
        <v>0.982</v>
      </c>
      <c r="R1" s="3" t="n">
        <f aca="false">Q1-$C12</f>
        <v>0.978</v>
      </c>
      <c r="S1" s="3" t="n">
        <f aca="false">R1-$C12</f>
        <v>0.974</v>
      </c>
      <c r="T1" s="3" t="n">
        <f aca="false">S1-$C12</f>
        <v>0.97</v>
      </c>
      <c r="U1" s="3" t="n">
        <f aca="false">T1-$C12</f>
        <v>0.966</v>
      </c>
      <c r="V1" s="3" t="n">
        <f aca="false">U1-$C12</f>
        <v>0.962</v>
      </c>
      <c r="W1" s="3" t="n">
        <f aca="false">V1-$C12</f>
        <v>0.958</v>
      </c>
      <c r="X1" s="3" t="n">
        <f aca="false">W1-$C12</f>
        <v>0.954</v>
      </c>
      <c r="Y1" s="3" t="n">
        <f aca="false">X1-$C12</f>
        <v>0.95</v>
      </c>
      <c r="Z1" s="3" t="n">
        <f aca="false">Y1-$C12</f>
        <v>0.946</v>
      </c>
      <c r="AA1" s="3" t="n">
        <f aca="false">Z1-$C12</f>
        <v>0.942</v>
      </c>
      <c r="AB1" s="3" t="n">
        <f aca="false">AA1-$C12</f>
        <v>0.938</v>
      </c>
      <c r="AC1" s="3" t="n">
        <f aca="false">AB1-$C12</f>
        <v>0.934</v>
      </c>
      <c r="AD1" s="3" t="n">
        <f aca="false">AC1-$C12</f>
        <v>0.93</v>
      </c>
      <c r="AE1" s="3" t="n">
        <f aca="false">AD1-$C12</f>
        <v>0.926</v>
      </c>
      <c r="AF1" s="3" t="n">
        <f aca="false">AE1-$C12</f>
        <v>0.922</v>
      </c>
      <c r="AG1" s="3" t="n">
        <f aca="false">AF1-$C12</f>
        <v>0.918</v>
      </c>
      <c r="AH1" s="3" t="n">
        <f aca="false">AG1-$C12</f>
        <v>0.914</v>
      </c>
    </row>
    <row r="2" customFormat="false" ht="21.75" hidden="false" customHeight="true" outlineLevel="0" collapsed="false">
      <c r="A2" s="4" t="s">
        <v>2</v>
      </c>
      <c r="B2" s="5" t="s">
        <v>3</v>
      </c>
      <c r="C2" s="4" t="s">
        <v>3</v>
      </c>
      <c r="D2" s="7" t="s">
        <v>4</v>
      </c>
      <c r="E2" s="8" t="s">
        <v>5</v>
      </c>
    </row>
    <row r="3" customFormat="false" ht="21.75" hidden="false" customHeight="true" outlineLevel="0" collapsed="false">
      <c r="A3" s="9" t="s">
        <v>6</v>
      </c>
      <c r="B3" s="10" t="n">
        <v>20</v>
      </c>
      <c r="C3" s="9" t="n">
        <v>20</v>
      </c>
      <c r="D3" s="12" t="s">
        <v>4</v>
      </c>
      <c r="E3" s="8" t="s">
        <v>7</v>
      </c>
    </row>
    <row r="4" customFormat="false" ht="21.75" hidden="false" customHeight="true" outlineLevel="0" collapsed="false">
      <c r="A4" s="9" t="s">
        <v>8</v>
      </c>
      <c r="B4" s="10" t="n">
        <v>436.1</v>
      </c>
      <c r="C4" s="9" t="n">
        <v>436.1</v>
      </c>
      <c r="D4" s="12" t="s">
        <v>4</v>
      </c>
      <c r="E4" s="8" t="s">
        <v>9</v>
      </c>
      <c r="M4" s="0" t="s">
        <v>121</v>
      </c>
    </row>
    <row r="5" customFormat="false" ht="22.5" hidden="false" customHeight="true" outlineLevel="0" collapsed="false">
      <c r="A5" s="9" t="s">
        <v>10</v>
      </c>
      <c r="B5" s="10" t="n">
        <v>2020</v>
      </c>
      <c r="C5" s="9" t="n">
        <v>2020</v>
      </c>
      <c r="D5" s="12" t="n">
        <f aca="false">B5+B3-1</f>
        <v>2039</v>
      </c>
      <c r="E5" s="8" t="n">
        <v>2039</v>
      </c>
      <c r="M5" s="0" t="s">
        <v>122</v>
      </c>
    </row>
    <row r="6" customFormat="false" ht="20.25" hidden="false" customHeight="true" outlineLevel="0" collapsed="false">
      <c r="A6" s="13"/>
      <c r="B6" s="13"/>
      <c r="C6" s="13"/>
      <c r="D6" s="13"/>
      <c r="E6" s="14"/>
      <c r="M6" s="0" t="s">
        <v>123</v>
      </c>
    </row>
    <row r="7" customFormat="false" ht="22.5" hidden="false" customHeight="true" outlineLevel="0" collapsed="false">
      <c r="A7" s="1" t="s">
        <v>13</v>
      </c>
      <c r="B7" s="1"/>
      <c r="C7" s="1"/>
      <c r="D7" s="1"/>
      <c r="E7" s="14"/>
      <c r="M7" s="0" t="s">
        <v>124</v>
      </c>
    </row>
    <row r="8" customFormat="false" ht="22.5" hidden="false" customHeight="true" outlineLevel="0" collapsed="false">
      <c r="A8" s="15" t="s">
        <v>14</v>
      </c>
      <c r="B8" s="15"/>
      <c r="C8" s="15"/>
      <c r="D8" s="15"/>
      <c r="E8" s="14"/>
      <c r="M8" s="0" t="s">
        <v>125</v>
      </c>
    </row>
    <row r="9" customFormat="false" ht="22.5" hidden="false" customHeight="true" outlineLevel="0" collapsed="false">
      <c r="A9" s="16" t="s">
        <v>15</v>
      </c>
      <c r="B9" s="17" t="s">
        <v>16</v>
      </c>
      <c r="C9" s="17" t="s">
        <v>17</v>
      </c>
      <c r="D9" s="18" t="s">
        <v>18</v>
      </c>
      <c r="E9" s="2" t="s">
        <v>1</v>
      </c>
      <c r="M9" s="0" t="s">
        <v>94</v>
      </c>
    </row>
    <row r="10" customFormat="false" ht="30" hidden="false" customHeight="true" outlineLevel="0" collapsed="false">
      <c r="A10" s="19" t="s">
        <v>19</v>
      </c>
      <c r="B10" s="4" t="s">
        <v>20</v>
      </c>
      <c r="C10" s="20" t="n">
        <v>547002</v>
      </c>
      <c r="D10" s="21" t="n">
        <v>547002</v>
      </c>
      <c r="E10" s="8" t="n">
        <v>20</v>
      </c>
      <c r="M10" s="0" t="s">
        <v>87</v>
      </c>
    </row>
    <row r="11" customFormat="false" ht="30" hidden="false" customHeight="true" outlineLevel="0" collapsed="false">
      <c r="A11" s="19"/>
      <c r="B11" s="9" t="s">
        <v>22</v>
      </c>
      <c r="C11" s="22" t="n">
        <v>0.01</v>
      </c>
      <c r="D11" s="21" t="n">
        <v>0.01</v>
      </c>
      <c r="E11" s="8" t="s">
        <v>23</v>
      </c>
    </row>
    <row r="12" customFormat="false" ht="30" hidden="false" customHeight="true" outlineLevel="0" collapsed="false">
      <c r="A12" s="19"/>
      <c r="B12" s="9" t="s">
        <v>24</v>
      </c>
      <c r="C12" s="23" t="n">
        <v>0.004</v>
      </c>
      <c r="D12" s="21" t="n">
        <v>0.004</v>
      </c>
      <c r="E12" s="8" t="s">
        <v>25</v>
      </c>
    </row>
    <row r="13" customFormat="false" ht="22.5" hidden="false" customHeight="true" outlineLevel="0" collapsed="false">
      <c r="A13" s="19"/>
      <c r="B13" s="24" t="s">
        <v>26</v>
      </c>
      <c r="C13" s="25" t="n">
        <v>4</v>
      </c>
      <c r="D13" s="21" t="n">
        <v>4</v>
      </c>
      <c r="E13" s="8" t="s">
        <v>27</v>
      </c>
    </row>
    <row r="14" customFormat="false" ht="22.5" hidden="false" customHeight="true" outlineLevel="0" collapsed="false">
      <c r="A14" s="26" t="s">
        <v>28</v>
      </c>
      <c r="B14" s="26"/>
      <c r="C14" s="26"/>
      <c r="D14" s="26"/>
      <c r="E14" s="14"/>
    </row>
    <row r="15" customFormat="false" ht="22.5" hidden="false" customHeight="true" outlineLevel="0" collapsed="false">
      <c r="A15" s="16" t="s">
        <v>15</v>
      </c>
      <c r="B15" s="17" t="s">
        <v>16</v>
      </c>
      <c r="C15" s="17" t="s">
        <v>17</v>
      </c>
      <c r="D15" s="18" t="s">
        <v>29</v>
      </c>
      <c r="E15" s="2" t="s">
        <v>1</v>
      </c>
    </row>
    <row r="16" customFormat="false" ht="21.75" hidden="false" customHeight="true" outlineLevel="0" collapsed="false">
      <c r="A16" s="4" t="s">
        <v>30</v>
      </c>
      <c r="B16" s="4" t="s">
        <v>31</v>
      </c>
      <c r="C16" s="27" t="n">
        <v>35000</v>
      </c>
      <c r="D16" s="7" t="n">
        <v>23000</v>
      </c>
      <c r="E16" s="8" t="n">
        <v>20</v>
      </c>
    </row>
    <row r="17" customFormat="false" ht="21.75" hidden="false" customHeight="true" outlineLevel="0" collapsed="false">
      <c r="A17" s="4"/>
      <c r="B17" s="9" t="s">
        <v>33</v>
      </c>
      <c r="C17" s="10" t="n">
        <v>0.3</v>
      </c>
      <c r="D17" s="7" t="n">
        <v>0.3</v>
      </c>
      <c r="E17" s="8" t="s">
        <v>34</v>
      </c>
    </row>
    <row r="18" customFormat="false" ht="21.75" hidden="false" customHeight="true" outlineLevel="0" collapsed="false">
      <c r="A18" s="4"/>
      <c r="B18" s="9" t="s">
        <v>35</v>
      </c>
      <c r="C18" s="28" t="n">
        <v>2000</v>
      </c>
      <c r="D18" s="7" t="n">
        <v>2000</v>
      </c>
      <c r="E18" s="8" t="s">
        <v>36</v>
      </c>
    </row>
    <row r="19" customFormat="false" ht="54" hidden="false" customHeight="true" outlineLevel="0" collapsed="false">
      <c r="A19" s="9" t="s">
        <v>37</v>
      </c>
      <c r="B19" s="29" t="s">
        <v>38</v>
      </c>
      <c r="C19" s="10" t="n">
        <v>1</v>
      </c>
      <c r="D19" s="7" t="n">
        <v>1</v>
      </c>
      <c r="E19" s="8" t="n">
        <v>20</v>
      </c>
    </row>
    <row r="20" customFormat="false" ht="20.25" hidden="false" customHeight="true" outlineLevel="0" collapsed="false">
      <c r="A20" s="9"/>
      <c r="B20" s="30" t="s">
        <v>40</v>
      </c>
      <c r="C20" s="28" t="n">
        <v>290201</v>
      </c>
      <c r="D20" s="7" t="n">
        <v>290201</v>
      </c>
      <c r="E20" s="8" t="n">
        <v>20</v>
      </c>
    </row>
    <row r="21" customFormat="false" ht="30" hidden="false" customHeight="true" outlineLevel="0" collapsed="false">
      <c r="A21" s="9"/>
      <c r="B21" s="9" t="s">
        <v>42</v>
      </c>
      <c r="C21" s="10"/>
      <c r="D21" s="12" t="n">
        <v>0</v>
      </c>
      <c r="E21" s="8" t="n">
        <v>20</v>
      </c>
    </row>
    <row r="22" customFormat="false" ht="30" hidden="false" customHeight="true" outlineLevel="0" collapsed="false">
      <c r="A22" s="9" t="s">
        <v>44</v>
      </c>
      <c r="B22" s="9" t="s">
        <v>45</v>
      </c>
      <c r="C22" s="28" t="n">
        <v>400</v>
      </c>
      <c r="D22" s="12" t="n">
        <v>400</v>
      </c>
      <c r="E22" s="8" t="n">
        <v>20</v>
      </c>
    </row>
    <row r="23" customFormat="false" ht="30" hidden="false" customHeight="true" outlineLevel="0" collapsed="false">
      <c r="A23" s="9" t="s">
        <v>47</v>
      </c>
      <c r="B23" s="9" t="s">
        <v>48</v>
      </c>
      <c r="C23" s="10" t="n">
        <v>0.003</v>
      </c>
      <c r="D23" s="12" t="n">
        <v>0.003</v>
      </c>
      <c r="E23" s="8" t="n">
        <v>20</v>
      </c>
    </row>
    <row r="24" customFormat="false" ht="30" hidden="false" customHeight="true" outlineLevel="0" collapsed="false">
      <c r="A24" s="9" t="s">
        <v>50</v>
      </c>
      <c r="B24" s="9" t="s">
        <v>51</v>
      </c>
      <c r="C24" s="28" t="n">
        <v>1000</v>
      </c>
      <c r="D24" s="31" t="n">
        <v>1000</v>
      </c>
      <c r="E24" s="8" t="n">
        <v>10</v>
      </c>
    </row>
    <row r="25" customFormat="false" ht="30" hidden="false" customHeight="true" outlineLevel="0" collapsed="false">
      <c r="A25" s="9" t="s">
        <v>53</v>
      </c>
      <c r="B25" s="9" t="s">
        <v>54</v>
      </c>
      <c r="C25" s="23" t="n">
        <v>0.0256</v>
      </c>
      <c r="D25" s="12" t="n">
        <v>0.0256</v>
      </c>
      <c r="E25" s="8" t="n">
        <v>20</v>
      </c>
    </row>
    <row r="26" customFormat="false" ht="30" hidden="false" customHeight="true" outlineLevel="0" collapsed="false">
      <c r="A26" s="9" t="s">
        <v>56</v>
      </c>
      <c r="B26" s="9" t="s">
        <v>57</v>
      </c>
      <c r="C26" s="10" t="n">
        <v>0.2</v>
      </c>
      <c r="D26" s="12" t="n">
        <v>0.2</v>
      </c>
      <c r="E26" s="8" t="n">
        <v>20</v>
      </c>
    </row>
    <row r="27" customFormat="false" ht="20.25" hidden="false" customHeight="true" outlineLevel="0" collapsed="false">
      <c r="A27" s="13"/>
      <c r="B27" s="13"/>
      <c r="C27" s="13"/>
      <c r="D27" s="13"/>
      <c r="E27" s="14"/>
    </row>
    <row r="28" customFormat="false" ht="20.25" hidden="false" customHeight="true" outlineLevel="0" collapsed="false">
      <c r="A28" s="13"/>
      <c r="B28" s="13"/>
      <c r="C28" s="13"/>
      <c r="D28" s="13"/>
      <c r="E28" s="14"/>
    </row>
    <row r="29" customFormat="false" ht="22.5" hidden="false" customHeight="true" outlineLevel="0" collapsed="false">
      <c r="A29" s="1" t="s">
        <v>59</v>
      </c>
      <c r="B29" s="1"/>
      <c r="C29" s="1"/>
      <c r="D29" s="13"/>
      <c r="E29" s="14"/>
    </row>
    <row r="30" customFormat="false" ht="22.5" hidden="false" customHeight="true" outlineLevel="0" collapsed="false">
      <c r="A30" s="16" t="s">
        <v>60</v>
      </c>
      <c r="B30" s="17" t="s">
        <v>16</v>
      </c>
      <c r="C30" s="32" t="s">
        <v>17</v>
      </c>
      <c r="D30" s="13"/>
      <c r="E30" s="2" t="s">
        <v>1</v>
      </c>
    </row>
    <row r="31" customFormat="false" ht="30" hidden="false" customHeight="true" outlineLevel="0" collapsed="false">
      <c r="A31" s="4" t="s">
        <v>61</v>
      </c>
      <c r="B31" s="4" t="s">
        <v>62</v>
      </c>
      <c r="C31" s="33" t="n">
        <v>0.8</v>
      </c>
      <c r="D31" s="13" t="n">
        <v>0.8</v>
      </c>
      <c r="E31" s="8" t="s">
        <v>63</v>
      </c>
    </row>
    <row r="32" customFormat="false" ht="18.75" hidden="false" customHeight="true" outlineLevel="0" collapsed="false">
      <c r="A32" s="4" t="s">
        <v>64</v>
      </c>
      <c r="B32" s="4" t="s">
        <v>65</v>
      </c>
      <c r="C32" s="33" t="n">
        <v>15</v>
      </c>
      <c r="D32" s="13" t="n">
        <v>15</v>
      </c>
      <c r="E32" s="8" t="s">
        <v>66</v>
      </c>
    </row>
    <row r="33" customFormat="false" ht="18.75" hidden="false" customHeight="true" outlineLevel="0" collapsed="false">
      <c r="A33" s="9" t="s">
        <v>67</v>
      </c>
      <c r="B33" s="9" t="s">
        <v>68</v>
      </c>
      <c r="C33" s="10" t="n">
        <v>0.9</v>
      </c>
      <c r="D33" s="13" t="n">
        <v>0.9</v>
      </c>
      <c r="E33" s="8" t="s">
        <v>69</v>
      </c>
    </row>
    <row r="34" customFormat="false" ht="30" hidden="false" customHeight="true" outlineLevel="0" collapsed="false">
      <c r="A34" s="9" t="s">
        <v>70</v>
      </c>
      <c r="B34" s="9" t="s">
        <v>65</v>
      </c>
      <c r="C34" s="10" t="n">
        <v>4</v>
      </c>
      <c r="D34" s="13" t="n">
        <v>4</v>
      </c>
      <c r="E34" s="8" t="s">
        <v>71</v>
      </c>
    </row>
    <row r="35" customFormat="false" ht="18.75" hidden="false" customHeight="true" outlineLevel="0" collapsed="false"/>
    <row r="37" customFormat="false" ht="15.75" hidden="false" customHeight="false" outlineLevel="0" collapsed="false">
      <c r="D37" s="0" t="n">
        <v>2020</v>
      </c>
      <c r="E37" s="0" t="n">
        <v>2021</v>
      </c>
      <c r="F37" s="0" t="n">
        <v>2022</v>
      </c>
      <c r="G37" s="0" t="n">
        <v>2023</v>
      </c>
      <c r="H37" s="0" t="n">
        <v>2024</v>
      </c>
      <c r="I37" s="0" t="n">
        <v>2025</v>
      </c>
      <c r="J37" s="0" t="n">
        <v>2026</v>
      </c>
      <c r="K37" s="0" t="n">
        <v>2027</v>
      </c>
      <c r="L37" s="0" t="n">
        <v>2028</v>
      </c>
      <c r="M37" s="0" t="n">
        <v>2029</v>
      </c>
      <c r="N37" s="0" t="n">
        <v>2030</v>
      </c>
      <c r="O37" s="0" t="n">
        <v>2031</v>
      </c>
      <c r="P37" s="0" t="n">
        <v>2032</v>
      </c>
      <c r="Q37" s="0" t="n">
        <v>2033</v>
      </c>
      <c r="R37" s="0" t="n">
        <v>2034</v>
      </c>
      <c r="S37" s="0" t="n">
        <v>2035</v>
      </c>
      <c r="T37" s="0" t="n">
        <v>2036</v>
      </c>
      <c r="U37" s="0" t="n">
        <v>2037</v>
      </c>
      <c r="V37" s="0" t="n">
        <v>2038</v>
      </c>
      <c r="W37" s="0" t="n">
        <v>2039</v>
      </c>
    </row>
    <row r="45" customFormat="false" ht="15.75" hidden="false" customHeight="false" outlineLevel="0" collapsed="false">
      <c r="D45" s="0" t="n">
        <v>-290201</v>
      </c>
      <c r="E45" s="0" t="n">
        <v>-290201</v>
      </c>
      <c r="F45" s="0" t="n">
        <v>-290201</v>
      </c>
      <c r="G45" s="0" t="n">
        <v>-290201</v>
      </c>
      <c r="H45" s="0" t="n">
        <v>-290201</v>
      </c>
      <c r="I45" s="0" t="n">
        <v>-290201</v>
      </c>
      <c r="J45" s="0" t="n">
        <v>-290201</v>
      </c>
      <c r="K45" s="0" t="n">
        <v>-290201</v>
      </c>
      <c r="L45" s="0" t="n">
        <v>-290201</v>
      </c>
      <c r="M45" s="0" t="n">
        <v>-290201</v>
      </c>
      <c r="N45" s="0" t="n">
        <v>-290201</v>
      </c>
      <c r="O45" s="0" t="n">
        <v>-290201</v>
      </c>
      <c r="P45" s="0" t="n">
        <v>-290201</v>
      </c>
      <c r="Q45" s="0" t="n">
        <v>-290201</v>
      </c>
      <c r="R45" s="0" t="n">
        <v>-290201</v>
      </c>
      <c r="S45" s="0" t="n">
        <v>-290201</v>
      </c>
      <c r="T45" s="0" t="n">
        <v>-290201</v>
      </c>
      <c r="U45" s="0" t="n">
        <v>-290201</v>
      </c>
      <c r="V45" s="0" t="n">
        <v>-290201</v>
      </c>
      <c r="W45" s="0" t="n">
        <v>-290201</v>
      </c>
    </row>
    <row r="48" customFormat="false" ht="15.75" hidden="false" customHeight="false" outlineLevel="0" collapsed="false">
      <c r="D48" s="0" t="n">
        <v>-174440</v>
      </c>
      <c r="E48" s="0" t="n">
        <v>-174440</v>
      </c>
      <c r="F48" s="0" t="n">
        <v>-174440</v>
      </c>
      <c r="G48" s="0" t="n">
        <v>-174440</v>
      </c>
      <c r="H48" s="0" t="n">
        <v>-174440</v>
      </c>
      <c r="I48" s="0" t="n">
        <v>-174440</v>
      </c>
      <c r="J48" s="0" t="n">
        <v>-174440</v>
      </c>
      <c r="K48" s="0" t="n">
        <v>-174440</v>
      </c>
      <c r="L48" s="0" t="n">
        <v>-174440</v>
      </c>
      <c r="M48" s="0" t="n">
        <v>-174440</v>
      </c>
      <c r="N48" s="0" t="n">
        <v>-174440</v>
      </c>
      <c r="O48" s="0" t="n">
        <v>-174440</v>
      </c>
      <c r="P48" s="0" t="n">
        <v>-174440</v>
      </c>
      <c r="Q48" s="0" t="n">
        <v>-174440</v>
      </c>
      <c r="R48" s="0" t="n">
        <v>-174440</v>
      </c>
      <c r="S48" s="0" t="n">
        <v>-174440</v>
      </c>
      <c r="T48" s="0" t="n">
        <v>-174440</v>
      </c>
      <c r="U48" s="0" t="n">
        <v>-174440</v>
      </c>
      <c r="V48" s="0" t="n">
        <v>-174440</v>
      </c>
      <c r="W48" s="0" t="n">
        <v>-174440</v>
      </c>
    </row>
    <row r="49" customFormat="false" ht="15.75" hidden="false" customHeight="false" outlineLevel="0" collapsed="false">
      <c r="D49" s="0" t="n">
        <v>-30090.9</v>
      </c>
      <c r="E49" s="0" t="n">
        <v>-30090.9</v>
      </c>
      <c r="F49" s="0" t="n">
        <v>-30090.9</v>
      </c>
      <c r="G49" s="0" t="n">
        <v>-30090.9</v>
      </c>
      <c r="H49" s="0" t="n">
        <v>-30090.9</v>
      </c>
      <c r="I49" s="0" t="n">
        <v>-30090.9</v>
      </c>
      <c r="J49" s="0" t="n">
        <v>-30090.9</v>
      </c>
      <c r="K49" s="0" t="n">
        <v>-30090.9</v>
      </c>
      <c r="L49" s="0" t="n">
        <v>-30090.9</v>
      </c>
      <c r="M49" s="0" t="n">
        <v>-30090.9</v>
      </c>
      <c r="N49" s="0" t="n">
        <v>-30090.9</v>
      </c>
      <c r="O49" s="0" t="n">
        <v>-30090.9</v>
      </c>
      <c r="P49" s="0" t="n">
        <v>-30090.9</v>
      </c>
      <c r="Q49" s="0" t="n">
        <v>-30090.9</v>
      </c>
      <c r="R49" s="0" t="n">
        <v>-30090.9</v>
      </c>
      <c r="S49" s="0" t="n">
        <v>-30090.9</v>
      </c>
      <c r="T49" s="0" t="n">
        <v>-30090.9</v>
      </c>
      <c r="U49" s="0" t="n">
        <v>-30090.9</v>
      </c>
      <c r="V49" s="0" t="n">
        <v>-30090.9</v>
      </c>
      <c r="W49" s="0" t="n">
        <v>-30090.9</v>
      </c>
    </row>
    <row r="50" customFormat="false" ht="15.75" hidden="false" customHeight="false" outlineLevel="0" collapsed="false">
      <c r="D50" s="0" t="n">
        <v>-43610</v>
      </c>
      <c r="E50" s="0" t="n">
        <v>-43610</v>
      </c>
      <c r="F50" s="0" t="n">
        <v>-43610</v>
      </c>
      <c r="G50" s="0" t="n">
        <v>-43610</v>
      </c>
      <c r="H50" s="0" t="n">
        <v>-43610</v>
      </c>
      <c r="I50" s="0" t="n">
        <v>-43610</v>
      </c>
      <c r="J50" s="0" t="n">
        <v>-43610</v>
      </c>
      <c r="K50" s="0" t="n">
        <v>-43610</v>
      </c>
      <c r="L50" s="0" t="n">
        <v>-43610</v>
      </c>
      <c r="M50" s="0" t="n">
        <v>-43610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</row>
    <row r="93" customFormat="false" ht="15.75" hidden="false" customHeight="false" outlineLevel="0" collapsed="false">
      <c r="E93" s="0" t="n">
        <v>-810730.666666667</v>
      </c>
      <c r="F93" s="0" t="n">
        <v>-810730.666666667</v>
      </c>
      <c r="G93" s="0" t="n">
        <v>-810730.666666667</v>
      </c>
      <c r="H93" s="0" t="n">
        <v>-810730.666666667</v>
      </c>
      <c r="I93" s="0" t="n">
        <v>-810730.666666667</v>
      </c>
      <c r="J93" s="0" t="n">
        <v>-810730.666666667</v>
      </c>
      <c r="K93" s="0" t="n">
        <v>-810730.666666667</v>
      </c>
      <c r="L93" s="0" t="n">
        <v>-810730.666666667</v>
      </c>
      <c r="M93" s="0" t="n">
        <v>-810730.666666667</v>
      </c>
      <c r="N93" s="0" t="n">
        <v>-810730.666666667</v>
      </c>
      <c r="O93" s="0" t="n">
        <v>-810730.666666667</v>
      </c>
      <c r="P93" s="0" t="n">
        <v>-810730.666666667</v>
      </c>
      <c r="Q93" s="0" t="n">
        <v>-810730.666666667</v>
      </c>
      <c r="R93" s="0" t="n">
        <v>-810730.666666667</v>
      </c>
      <c r="S93" s="0" t="n">
        <v>-810730.666666667</v>
      </c>
      <c r="T93" s="0" t="n">
        <v>0</v>
      </c>
      <c r="U93" s="0" t="n">
        <v>0</v>
      </c>
      <c r="V93" s="0" t="n">
        <v>0</v>
      </c>
      <c r="W93" s="0" t="n">
        <v>0</v>
      </c>
    </row>
    <row r="96" customFormat="false" ht="15.75" hidden="false" customHeight="false" outlineLevel="0" collapsed="false"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-760060</v>
      </c>
      <c r="U96" s="0" t="n">
        <v>-760060</v>
      </c>
      <c r="V96" s="0" t="n">
        <v>-760060</v>
      </c>
      <c r="W96" s="0" t="n">
        <v>-760060</v>
      </c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.7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7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50"/>
    <col collapsed="false" customWidth="true" hidden="false" outlineLevel="0" max="12" min="6" style="0" width="20"/>
    <col collapsed="false" customWidth="true" hidden="false" outlineLevel="0" max="13" min="13" style="0" width="50"/>
    <col collapsed="false" customWidth="true" hidden="false" outlineLevel="0" max="19" min="14" style="0" width="20"/>
    <col collapsed="false" customWidth="true" hidden="false" outlineLevel="0" max="23" min="20" style="0" width="11"/>
    <col collapsed="false" customWidth="true" hidden="false" outlineLevel="0" max="27" min="24" style="0" width="10"/>
    <col collapsed="false" customWidth="true" hidden="false" outlineLevel="0" max="34" min="28" style="0" width="11"/>
    <col collapsed="false" customWidth="true" hidden="false" outlineLevel="0" max="35" min="35" style="0" width="32.57"/>
    <col collapsed="false" customWidth="true" hidden="false" outlineLevel="0" max="36" min="36" style="0" width="9.14"/>
  </cols>
  <sheetData>
    <row r="1" customFormat="false" ht="22.5" hidden="false" customHeight="true" outlineLevel="0" collapsed="false">
      <c r="A1" s="1" t="s">
        <v>0</v>
      </c>
      <c r="B1" s="1"/>
      <c r="C1" s="1"/>
      <c r="D1" s="1"/>
      <c r="E1" s="2" t="s">
        <v>1</v>
      </c>
      <c r="O1" s="3" t="n">
        <f aca="false">1-C11</f>
        <v>0.99</v>
      </c>
      <c r="P1" s="3" t="n">
        <f aca="false">O1-$C12</f>
        <v>0.986</v>
      </c>
      <c r="Q1" s="3" t="n">
        <f aca="false">P1-$C12</f>
        <v>0.982</v>
      </c>
      <c r="R1" s="3" t="n">
        <f aca="false">Q1-$C12</f>
        <v>0.978</v>
      </c>
      <c r="S1" s="3" t="n">
        <f aca="false">R1-$C12</f>
        <v>0.974</v>
      </c>
      <c r="T1" s="3" t="n">
        <f aca="false">S1-$C12</f>
        <v>0.97</v>
      </c>
      <c r="U1" s="3" t="n">
        <f aca="false">T1-$C12</f>
        <v>0.966</v>
      </c>
      <c r="V1" s="3" t="n">
        <f aca="false">U1-$C12</f>
        <v>0.962</v>
      </c>
      <c r="W1" s="3" t="n">
        <f aca="false">V1-$C12</f>
        <v>0.958</v>
      </c>
      <c r="X1" s="3" t="n">
        <f aca="false">W1-$C12</f>
        <v>0.954</v>
      </c>
      <c r="Y1" s="3" t="n">
        <f aca="false">X1-$C12</f>
        <v>0.95</v>
      </c>
      <c r="Z1" s="3" t="n">
        <f aca="false">Y1-$C12</f>
        <v>0.946</v>
      </c>
      <c r="AA1" s="3" t="n">
        <f aca="false">Z1-$C12</f>
        <v>0.942</v>
      </c>
      <c r="AB1" s="3" t="n">
        <f aca="false">AA1-$C12</f>
        <v>0.938</v>
      </c>
      <c r="AC1" s="3" t="n">
        <f aca="false">AB1-$C12</f>
        <v>0.934</v>
      </c>
      <c r="AD1" s="3" t="n">
        <f aca="false">AC1-$C12</f>
        <v>0.93</v>
      </c>
      <c r="AE1" s="3" t="n">
        <f aca="false">AD1-$C12</f>
        <v>0.926</v>
      </c>
      <c r="AF1" s="3" t="n">
        <f aca="false">AE1-$C12</f>
        <v>0.922</v>
      </c>
      <c r="AG1" s="3" t="n">
        <f aca="false">AF1-$C12</f>
        <v>0.918</v>
      </c>
      <c r="AH1" s="3" t="n">
        <f aca="false">AG1-$C12</f>
        <v>0.914</v>
      </c>
    </row>
    <row r="2" customFormat="false" ht="21.75" hidden="false" customHeight="true" outlineLevel="0" collapsed="false">
      <c r="A2" s="4" t="s">
        <v>2</v>
      </c>
      <c r="B2" s="5" t="s">
        <v>3</v>
      </c>
      <c r="C2" s="4" t="s">
        <v>3</v>
      </c>
      <c r="D2" s="7" t="s">
        <v>4</v>
      </c>
      <c r="E2" s="8" t="s">
        <v>5</v>
      </c>
    </row>
    <row r="3" customFormat="false" ht="21.75" hidden="false" customHeight="true" outlineLevel="0" collapsed="false">
      <c r="A3" s="9" t="s">
        <v>6</v>
      </c>
      <c r="B3" s="10" t="n">
        <v>20</v>
      </c>
      <c r="C3" s="9" t="n">
        <v>20</v>
      </c>
      <c r="D3" s="12" t="s">
        <v>4</v>
      </c>
      <c r="E3" s="8" t="s">
        <v>7</v>
      </c>
    </row>
    <row r="4" customFormat="false" ht="21.75" hidden="false" customHeight="true" outlineLevel="0" collapsed="false">
      <c r="A4" s="9" t="s">
        <v>8</v>
      </c>
      <c r="B4" s="10" t="n">
        <v>436.1</v>
      </c>
      <c r="C4" s="9" t="n">
        <v>436.1</v>
      </c>
      <c r="D4" s="12" t="s">
        <v>4</v>
      </c>
      <c r="E4" s="8" t="s">
        <v>9</v>
      </c>
      <c r="M4" s="0" t="s">
        <v>126</v>
      </c>
    </row>
    <row r="5" customFormat="false" ht="22.5" hidden="false" customHeight="true" outlineLevel="0" collapsed="false">
      <c r="A5" s="9" t="s">
        <v>10</v>
      </c>
      <c r="B5" s="10" t="n">
        <v>2020</v>
      </c>
      <c r="C5" s="9" t="n">
        <v>2020</v>
      </c>
      <c r="D5" s="12" t="n">
        <f aca="false">B5+B3-1</f>
        <v>2039</v>
      </c>
      <c r="E5" s="8" t="n">
        <v>2039</v>
      </c>
      <c r="M5" s="0" t="s">
        <v>127</v>
      </c>
    </row>
    <row r="6" customFormat="false" ht="20.25" hidden="false" customHeight="true" outlineLevel="0" collapsed="false">
      <c r="A6" s="13"/>
      <c r="B6" s="13"/>
      <c r="C6" s="13"/>
      <c r="D6" s="13"/>
      <c r="E6" s="14"/>
      <c r="M6" s="0" t="s">
        <v>128</v>
      </c>
    </row>
    <row r="7" customFormat="false" ht="22.5" hidden="false" customHeight="true" outlineLevel="0" collapsed="false">
      <c r="A7" s="1" t="s">
        <v>13</v>
      </c>
      <c r="B7" s="1"/>
      <c r="C7" s="1"/>
      <c r="D7" s="1"/>
      <c r="E7" s="14"/>
      <c r="M7" s="0" t="s">
        <v>129</v>
      </c>
    </row>
    <row r="8" customFormat="false" ht="22.5" hidden="false" customHeight="true" outlineLevel="0" collapsed="false">
      <c r="A8" s="15" t="s">
        <v>14</v>
      </c>
      <c r="B8" s="15"/>
      <c r="C8" s="15"/>
      <c r="D8" s="15"/>
      <c r="E8" s="14"/>
      <c r="M8" s="0" t="s">
        <v>130</v>
      </c>
    </row>
    <row r="9" customFormat="false" ht="22.5" hidden="false" customHeight="true" outlineLevel="0" collapsed="false">
      <c r="A9" s="16" t="s">
        <v>15</v>
      </c>
      <c r="B9" s="17" t="s">
        <v>16</v>
      </c>
      <c r="C9" s="17" t="s">
        <v>17</v>
      </c>
      <c r="D9" s="18" t="s">
        <v>18</v>
      </c>
      <c r="E9" s="2" t="s">
        <v>1</v>
      </c>
      <c r="M9" s="0" t="s">
        <v>94</v>
      </c>
    </row>
    <row r="10" customFormat="false" ht="30" hidden="false" customHeight="true" outlineLevel="0" collapsed="false">
      <c r="A10" s="19" t="s">
        <v>19</v>
      </c>
      <c r="B10" s="4" t="s">
        <v>20</v>
      </c>
      <c r="C10" s="20" t="n">
        <v>547002</v>
      </c>
      <c r="D10" s="21" t="n">
        <v>547002</v>
      </c>
      <c r="E10" s="8" t="n">
        <v>20</v>
      </c>
      <c r="M10" s="0" t="s">
        <v>88</v>
      </c>
    </row>
    <row r="11" customFormat="false" ht="30" hidden="false" customHeight="true" outlineLevel="0" collapsed="false">
      <c r="A11" s="19"/>
      <c r="B11" s="9" t="s">
        <v>22</v>
      </c>
      <c r="C11" s="22" t="n">
        <v>0.01</v>
      </c>
      <c r="D11" s="21" t="n">
        <v>0.01</v>
      </c>
      <c r="E11" s="8" t="s">
        <v>23</v>
      </c>
    </row>
    <row r="12" customFormat="false" ht="30" hidden="false" customHeight="true" outlineLevel="0" collapsed="false">
      <c r="A12" s="19"/>
      <c r="B12" s="9" t="s">
        <v>24</v>
      </c>
      <c r="C12" s="23" t="n">
        <v>0.004</v>
      </c>
      <c r="D12" s="21" t="n">
        <v>0.004</v>
      </c>
      <c r="E12" s="8" t="s">
        <v>25</v>
      </c>
    </row>
    <row r="13" customFormat="false" ht="22.5" hidden="false" customHeight="true" outlineLevel="0" collapsed="false">
      <c r="A13" s="19"/>
      <c r="B13" s="24" t="s">
        <v>26</v>
      </c>
      <c r="C13" s="25" t="n">
        <v>4</v>
      </c>
      <c r="D13" s="21" t="n">
        <v>4</v>
      </c>
      <c r="E13" s="8" t="s">
        <v>27</v>
      </c>
    </row>
    <row r="14" customFormat="false" ht="22.5" hidden="false" customHeight="true" outlineLevel="0" collapsed="false">
      <c r="A14" s="26" t="s">
        <v>28</v>
      </c>
      <c r="B14" s="26"/>
      <c r="C14" s="26"/>
      <c r="D14" s="26"/>
      <c r="E14" s="14"/>
    </row>
    <row r="15" customFormat="false" ht="22.5" hidden="false" customHeight="true" outlineLevel="0" collapsed="false">
      <c r="A15" s="16" t="s">
        <v>15</v>
      </c>
      <c r="B15" s="17" t="s">
        <v>16</v>
      </c>
      <c r="C15" s="17" t="s">
        <v>17</v>
      </c>
      <c r="D15" s="18" t="s">
        <v>29</v>
      </c>
      <c r="E15" s="2" t="s">
        <v>1</v>
      </c>
    </row>
    <row r="16" customFormat="false" ht="21.75" hidden="false" customHeight="true" outlineLevel="0" collapsed="false">
      <c r="A16" s="4" t="s">
        <v>30</v>
      </c>
      <c r="B16" s="4" t="s">
        <v>31</v>
      </c>
      <c r="C16" s="27" t="n">
        <v>35000</v>
      </c>
      <c r="D16" s="7" t="n">
        <v>21000</v>
      </c>
      <c r="E16" s="8" t="n">
        <v>20</v>
      </c>
    </row>
    <row r="17" customFormat="false" ht="21.75" hidden="false" customHeight="true" outlineLevel="0" collapsed="false">
      <c r="A17" s="4"/>
      <c r="B17" s="9" t="s">
        <v>33</v>
      </c>
      <c r="C17" s="10" t="n">
        <v>0.3</v>
      </c>
      <c r="D17" s="7" t="n">
        <v>0.3</v>
      </c>
      <c r="E17" s="8" t="s">
        <v>34</v>
      </c>
    </row>
    <row r="18" customFormat="false" ht="21.75" hidden="false" customHeight="true" outlineLevel="0" collapsed="false">
      <c r="A18" s="4"/>
      <c r="B18" s="9" t="s">
        <v>35</v>
      </c>
      <c r="C18" s="28" t="n">
        <v>2000</v>
      </c>
      <c r="D18" s="7" t="n">
        <v>2000</v>
      </c>
      <c r="E18" s="8" t="s">
        <v>36</v>
      </c>
    </row>
    <row r="19" customFormat="false" ht="54" hidden="false" customHeight="true" outlineLevel="0" collapsed="false">
      <c r="A19" s="9" t="s">
        <v>37</v>
      </c>
      <c r="B19" s="29" t="s">
        <v>38</v>
      </c>
      <c r="C19" s="10" t="n">
        <v>1</v>
      </c>
      <c r="D19" s="7" t="n">
        <v>1</v>
      </c>
      <c r="E19" s="8" t="n">
        <v>20</v>
      </c>
    </row>
    <row r="20" customFormat="false" ht="20.25" hidden="false" customHeight="true" outlineLevel="0" collapsed="false">
      <c r="A20" s="9"/>
      <c r="B20" s="30" t="s">
        <v>40</v>
      </c>
      <c r="C20" s="28" t="n">
        <v>290201</v>
      </c>
      <c r="D20" s="7" t="n">
        <v>290201</v>
      </c>
      <c r="E20" s="8" t="n">
        <v>20</v>
      </c>
    </row>
    <row r="21" customFormat="false" ht="30" hidden="false" customHeight="true" outlineLevel="0" collapsed="false">
      <c r="A21" s="9"/>
      <c r="B21" s="9" t="s">
        <v>42</v>
      </c>
      <c r="C21" s="10"/>
      <c r="D21" s="12" t="n">
        <v>0</v>
      </c>
      <c r="E21" s="8" t="n">
        <v>20</v>
      </c>
    </row>
    <row r="22" customFormat="false" ht="30" hidden="false" customHeight="true" outlineLevel="0" collapsed="false">
      <c r="A22" s="9" t="s">
        <v>44</v>
      </c>
      <c r="B22" s="9" t="s">
        <v>45</v>
      </c>
      <c r="C22" s="28" t="n">
        <v>400</v>
      </c>
      <c r="D22" s="12" t="n">
        <v>400</v>
      </c>
      <c r="E22" s="8" t="n">
        <v>20</v>
      </c>
    </row>
    <row r="23" customFormat="false" ht="30" hidden="false" customHeight="true" outlineLevel="0" collapsed="false">
      <c r="A23" s="9" t="s">
        <v>47</v>
      </c>
      <c r="B23" s="9" t="s">
        <v>48</v>
      </c>
      <c r="C23" s="10" t="n">
        <v>0.003</v>
      </c>
      <c r="D23" s="12" t="n">
        <v>0.003</v>
      </c>
      <c r="E23" s="8" t="n">
        <v>20</v>
      </c>
    </row>
    <row r="24" customFormat="false" ht="30" hidden="false" customHeight="true" outlineLevel="0" collapsed="false">
      <c r="A24" s="9" t="s">
        <v>50</v>
      </c>
      <c r="B24" s="9" t="s">
        <v>51</v>
      </c>
      <c r="C24" s="28" t="n">
        <v>1000</v>
      </c>
      <c r="D24" s="31" t="n">
        <v>1000</v>
      </c>
      <c r="E24" s="8" t="n">
        <v>10</v>
      </c>
    </row>
    <row r="25" customFormat="false" ht="30" hidden="false" customHeight="true" outlineLevel="0" collapsed="false">
      <c r="A25" s="9" t="s">
        <v>53</v>
      </c>
      <c r="B25" s="9" t="s">
        <v>54</v>
      </c>
      <c r="C25" s="23" t="n">
        <v>0.0256</v>
      </c>
      <c r="D25" s="12" t="n">
        <v>0.0256</v>
      </c>
      <c r="E25" s="8" t="n">
        <v>20</v>
      </c>
    </row>
    <row r="26" customFormat="false" ht="30" hidden="false" customHeight="true" outlineLevel="0" collapsed="false">
      <c r="A26" s="9" t="s">
        <v>56</v>
      </c>
      <c r="B26" s="9" t="s">
        <v>57</v>
      </c>
      <c r="C26" s="10" t="n">
        <v>0.2</v>
      </c>
      <c r="D26" s="12" t="n">
        <v>0.2</v>
      </c>
      <c r="E26" s="8" t="n">
        <v>20</v>
      </c>
    </row>
    <row r="27" customFormat="false" ht="20.25" hidden="false" customHeight="true" outlineLevel="0" collapsed="false">
      <c r="A27" s="13"/>
      <c r="B27" s="13"/>
      <c r="C27" s="13"/>
      <c r="D27" s="13"/>
      <c r="E27" s="14"/>
    </row>
    <row r="28" customFormat="false" ht="20.25" hidden="false" customHeight="true" outlineLevel="0" collapsed="false">
      <c r="A28" s="13"/>
      <c r="B28" s="13"/>
      <c r="C28" s="13"/>
      <c r="D28" s="13"/>
      <c r="E28" s="14"/>
    </row>
    <row r="29" customFormat="false" ht="22.5" hidden="false" customHeight="true" outlineLevel="0" collapsed="false">
      <c r="A29" s="1" t="s">
        <v>59</v>
      </c>
      <c r="B29" s="1"/>
      <c r="C29" s="1"/>
      <c r="D29" s="13"/>
      <c r="E29" s="14"/>
    </row>
    <row r="30" customFormat="false" ht="22.5" hidden="false" customHeight="true" outlineLevel="0" collapsed="false">
      <c r="A30" s="16" t="s">
        <v>60</v>
      </c>
      <c r="B30" s="17" t="s">
        <v>16</v>
      </c>
      <c r="C30" s="32" t="s">
        <v>17</v>
      </c>
      <c r="D30" s="13"/>
      <c r="E30" s="2" t="s">
        <v>1</v>
      </c>
    </row>
    <row r="31" customFormat="false" ht="30" hidden="false" customHeight="true" outlineLevel="0" collapsed="false">
      <c r="A31" s="4" t="s">
        <v>61</v>
      </c>
      <c r="B31" s="4" t="s">
        <v>62</v>
      </c>
      <c r="C31" s="33" t="n">
        <v>0.8</v>
      </c>
      <c r="D31" s="13" t="n">
        <v>0.8</v>
      </c>
      <c r="E31" s="8" t="s">
        <v>63</v>
      </c>
    </row>
    <row r="32" customFormat="false" ht="18.75" hidden="false" customHeight="true" outlineLevel="0" collapsed="false">
      <c r="A32" s="4" t="s">
        <v>64</v>
      </c>
      <c r="B32" s="4" t="s">
        <v>65</v>
      </c>
      <c r="C32" s="33" t="n">
        <v>15</v>
      </c>
      <c r="D32" s="13" t="n">
        <v>15</v>
      </c>
      <c r="E32" s="8" t="s">
        <v>66</v>
      </c>
    </row>
    <row r="33" customFormat="false" ht="18.75" hidden="false" customHeight="true" outlineLevel="0" collapsed="false">
      <c r="A33" s="9" t="s">
        <v>67</v>
      </c>
      <c r="B33" s="9" t="s">
        <v>68</v>
      </c>
      <c r="C33" s="10" t="n">
        <v>0.9</v>
      </c>
      <c r="D33" s="13" t="n">
        <v>0.9</v>
      </c>
      <c r="E33" s="8" t="s">
        <v>69</v>
      </c>
    </row>
    <row r="34" customFormat="false" ht="30" hidden="false" customHeight="true" outlineLevel="0" collapsed="false">
      <c r="A34" s="9" t="s">
        <v>70</v>
      </c>
      <c r="B34" s="9" t="s">
        <v>65</v>
      </c>
      <c r="C34" s="10" t="n">
        <v>4</v>
      </c>
      <c r="D34" s="13" t="n">
        <v>4</v>
      </c>
      <c r="E34" s="8" t="s">
        <v>71</v>
      </c>
    </row>
    <row r="35" customFormat="false" ht="18.75" hidden="false" customHeight="true" outlineLevel="0" collapsed="false"/>
    <row r="37" customFormat="false" ht="15.75" hidden="false" customHeight="false" outlineLevel="0" collapsed="false">
      <c r="D37" s="0" t="n">
        <v>2020</v>
      </c>
      <c r="E37" s="0" t="n">
        <v>2021</v>
      </c>
      <c r="F37" s="0" t="n">
        <v>2022</v>
      </c>
      <c r="G37" s="0" t="n">
        <v>2023</v>
      </c>
      <c r="H37" s="0" t="n">
        <v>2024</v>
      </c>
      <c r="I37" s="0" t="n">
        <v>2025</v>
      </c>
      <c r="J37" s="0" t="n">
        <v>2026</v>
      </c>
      <c r="K37" s="0" t="n">
        <v>2027</v>
      </c>
      <c r="L37" s="0" t="n">
        <v>2028</v>
      </c>
      <c r="M37" s="0" t="n">
        <v>2029</v>
      </c>
      <c r="N37" s="0" t="n">
        <v>2030</v>
      </c>
      <c r="O37" s="0" t="n">
        <v>2031</v>
      </c>
      <c r="P37" s="0" t="n">
        <v>2032</v>
      </c>
      <c r="Q37" s="0" t="n">
        <v>2033</v>
      </c>
      <c r="R37" s="0" t="n">
        <v>2034</v>
      </c>
      <c r="S37" s="0" t="n">
        <v>2035</v>
      </c>
      <c r="T37" s="0" t="n">
        <v>2036</v>
      </c>
      <c r="U37" s="0" t="n">
        <v>2037</v>
      </c>
      <c r="V37" s="0" t="n">
        <v>2038</v>
      </c>
      <c r="W37" s="0" t="n">
        <v>2039</v>
      </c>
    </row>
    <row r="45" customFormat="false" ht="15.75" hidden="false" customHeight="false" outlineLevel="0" collapsed="false">
      <c r="D45" s="0" t="n">
        <v>-290201</v>
      </c>
      <c r="E45" s="0" t="n">
        <v>-290201</v>
      </c>
      <c r="F45" s="0" t="n">
        <v>-290201</v>
      </c>
      <c r="G45" s="0" t="n">
        <v>-290201</v>
      </c>
      <c r="H45" s="0" t="n">
        <v>-290201</v>
      </c>
      <c r="I45" s="0" t="n">
        <v>-290201</v>
      </c>
      <c r="J45" s="0" t="n">
        <v>-290201</v>
      </c>
      <c r="K45" s="0" t="n">
        <v>-290201</v>
      </c>
      <c r="L45" s="0" t="n">
        <v>-290201</v>
      </c>
      <c r="M45" s="0" t="n">
        <v>-290201</v>
      </c>
      <c r="N45" s="0" t="n">
        <v>-290201</v>
      </c>
      <c r="O45" s="0" t="n">
        <v>-290201</v>
      </c>
      <c r="P45" s="0" t="n">
        <v>-290201</v>
      </c>
      <c r="Q45" s="0" t="n">
        <v>-290201</v>
      </c>
      <c r="R45" s="0" t="n">
        <v>-290201</v>
      </c>
      <c r="S45" s="0" t="n">
        <v>-290201</v>
      </c>
      <c r="T45" s="0" t="n">
        <v>-290201</v>
      </c>
      <c r="U45" s="0" t="n">
        <v>-290201</v>
      </c>
      <c r="V45" s="0" t="n">
        <v>-290201</v>
      </c>
      <c r="W45" s="0" t="n">
        <v>-290201</v>
      </c>
    </row>
    <row r="48" customFormat="false" ht="15.75" hidden="false" customHeight="false" outlineLevel="0" collapsed="false">
      <c r="D48" s="0" t="n">
        <v>-174440</v>
      </c>
      <c r="E48" s="0" t="n">
        <v>-174440</v>
      </c>
      <c r="F48" s="0" t="n">
        <v>-174440</v>
      </c>
      <c r="G48" s="0" t="n">
        <v>-174440</v>
      </c>
      <c r="H48" s="0" t="n">
        <v>-174440</v>
      </c>
      <c r="I48" s="0" t="n">
        <v>-174440</v>
      </c>
      <c r="J48" s="0" t="n">
        <v>-174440</v>
      </c>
      <c r="K48" s="0" t="n">
        <v>-174440</v>
      </c>
      <c r="L48" s="0" t="n">
        <v>-174440</v>
      </c>
      <c r="M48" s="0" t="n">
        <v>-174440</v>
      </c>
      <c r="N48" s="0" t="n">
        <v>-174440</v>
      </c>
      <c r="O48" s="0" t="n">
        <v>-174440</v>
      </c>
      <c r="P48" s="0" t="n">
        <v>-174440</v>
      </c>
      <c r="Q48" s="0" t="n">
        <v>-174440</v>
      </c>
      <c r="R48" s="0" t="n">
        <v>-174440</v>
      </c>
      <c r="S48" s="0" t="n">
        <v>-174440</v>
      </c>
      <c r="T48" s="0" t="n">
        <v>-174440</v>
      </c>
      <c r="U48" s="0" t="n">
        <v>-174440</v>
      </c>
      <c r="V48" s="0" t="n">
        <v>-174440</v>
      </c>
      <c r="W48" s="0" t="n">
        <v>-174440</v>
      </c>
    </row>
    <row r="49" customFormat="false" ht="15.75" hidden="false" customHeight="false" outlineLevel="0" collapsed="false">
      <c r="D49" s="0" t="n">
        <v>-27474.3</v>
      </c>
      <c r="E49" s="0" t="n">
        <v>-27474.3</v>
      </c>
      <c r="F49" s="0" t="n">
        <v>-27474.3</v>
      </c>
      <c r="G49" s="0" t="n">
        <v>-27474.3</v>
      </c>
      <c r="H49" s="0" t="n">
        <v>-27474.3</v>
      </c>
      <c r="I49" s="0" t="n">
        <v>-27474.3</v>
      </c>
      <c r="J49" s="0" t="n">
        <v>-27474.3</v>
      </c>
      <c r="K49" s="0" t="n">
        <v>-27474.3</v>
      </c>
      <c r="L49" s="0" t="n">
        <v>-27474.3</v>
      </c>
      <c r="M49" s="0" t="n">
        <v>-27474.3</v>
      </c>
      <c r="N49" s="0" t="n">
        <v>-27474.3</v>
      </c>
      <c r="O49" s="0" t="n">
        <v>-27474.3</v>
      </c>
      <c r="P49" s="0" t="n">
        <v>-27474.3</v>
      </c>
      <c r="Q49" s="0" t="n">
        <v>-27474.3</v>
      </c>
      <c r="R49" s="0" t="n">
        <v>-27474.3</v>
      </c>
      <c r="S49" s="0" t="n">
        <v>-27474.3</v>
      </c>
      <c r="T49" s="0" t="n">
        <v>-27474.3</v>
      </c>
      <c r="U49" s="0" t="n">
        <v>-27474.3</v>
      </c>
      <c r="V49" s="0" t="n">
        <v>-27474.3</v>
      </c>
      <c r="W49" s="0" t="n">
        <v>-27474.3</v>
      </c>
    </row>
    <row r="50" customFormat="false" ht="15.75" hidden="false" customHeight="false" outlineLevel="0" collapsed="false">
      <c r="D50" s="0" t="n">
        <v>-43610</v>
      </c>
      <c r="E50" s="0" t="n">
        <v>-43610</v>
      </c>
      <c r="F50" s="0" t="n">
        <v>-43610</v>
      </c>
      <c r="G50" s="0" t="n">
        <v>-43610</v>
      </c>
      <c r="H50" s="0" t="n">
        <v>-43610</v>
      </c>
      <c r="I50" s="0" t="n">
        <v>-43610</v>
      </c>
      <c r="J50" s="0" t="n">
        <v>-43610</v>
      </c>
      <c r="K50" s="0" t="n">
        <v>-43610</v>
      </c>
      <c r="L50" s="0" t="n">
        <v>-43610</v>
      </c>
      <c r="M50" s="0" t="n">
        <v>-43610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</row>
    <row r="93" customFormat="false" ht="15.75" hidden="false" customHeight="false" outlineLevel="0" collapsed="false">
      <c r="E93" s="0" t="n">
        <v>-744277.333333333</v>
      </c>
      <c r="F93" s="0" t="n">
        <v>-744277.333333333</v>
      </c>
      <c r="G93" s="0" t="n">
        <v>-744277.333333333</v>
      </c>
      <c r="H93" s="0" t="n">
        <v>-744277.333333333</v>
      </c>
      <c r="I93" s="0" t="n">
        <v>-744277.333333333</v>
      </c>
      <c r="J93" s="0" t="n">
        <v>-744277.333333333</v>
      </c>
      <c r="K93" s="0" t="n">
        <v>-744277.333333333</v>
      </c>
      <c r="L93" s="0" t="n">
        <v>-744277.333333333</v>
      </c>
      <c r="M93" s="0" t="n">
        <v>-744277.333333333</v>
      </c>
      <c r="N93" s="0" t="n">
        <v>-744277.333333333</v>
      </c>
      <c r="O93" s="0" t="n">
        <v>-744277.333333333</v>
      </c>
      <c r="P93" s="0" t="n">
        <v>-744277.333333333</v>
      </c>
      <c r="Q93" s="0" t="n">
        <v>-744277.333333333</v>
      </c>
      <c r="R93" s="0" t="n">
        <v>-744277.333333333</v>
      </c>
      <c r="S93" s="0" t="n">
        <v>-744277.333333333</v>
      </c>
      <c r="T93" s="0" t="n">
        <v>0</v>
      </c>
      <c r="U93" s="0" t="n">
        <v>0</v>
      </c>
      <c r="V93" s="0" t="n">
        <v>0</v>
      </c>
      <c r="W93" s="0" t="n">
        <v>0</v>
      </c>
    </row>
    <row r="96" customFormat="false" ht="15.75" hidden="false" customHeight="false" outlineLevel="0" collapsed="false"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-697760</v>
      </c>
      <c r="U96" s="0" t="n">
        <v>-697760</v>
      </c>
      <c r="V96" s="0" t="n">
        <v>-697760</v>
      </c>
      <c r="W96" s="0" t="n">
        <v>-697760</v>
      </c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2026-04-12T05:27:38Z</dcterms:created>
  <dc:creator>openpyxl</dc:creator>
  <dc:description/>
  <dc:language>zh-TW</dc:language>
  <cp:lastModifiedBy>王竣生</cp:lastModifiedBy>
  <dcterms:modified xsi:type="dcterms:W3CDTF">2026-04-14T13:26:53Z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