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<sst xmlns="http://schemas.openxmlformats.org/spreadsheetml/2006/main" count="1549" uniqueCount="152">
  <si>
    <t xml:space="preserve">電站基本資料</t>
  </si>
  <si>
    <t xml:space="preserve">電站名稱</t>
  </si>
  <si>
    <r>
      <rPr>
        <sz val="12"/>
        <color theme="1"/>
        <rFont val="新細明體"/>
        <family val="2"/>
        <charset val="1"/>
      </rPr>
      <t xml:space="preserve">淡江大學</t>
    </r>
    <r>
      <rPr>
        <sz val="12"/>
        <color theme="1"/>
        <rFont val="Calibri"/>
        <family val="2"/>
        <charset val="136"/>
      </rPr>
      <t xml:space="preserve">-</t>
    </r>
    <r>
      <rPr>
        <sz val="12"/>
        <color theme="1"/>
        <rFont val="新細明體"/>
        <family val="2"/>
        <charset val="1"/>
      </rPr>
      <t xml:space="preserve">財務模擬案場</t>
    </r>
  </si>
  <si>
    <t xml:space="preserve">-</t>
  </si>
  <si>
    <t xml:space="preserve">電站壽命</t>
  </si>
  <si>
    <t xml:space="preserve">建置量(kWp)</t>
  </si>
  <si>
    <t xml:space="preserve">起始年度</t>
  </si>
  <si>
    <t xml:space="preserve">結束年度</t>
  </si>
  <si>
    <t xml:space="preserve">綜合損益表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</si>
  <si>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</si>
  <si>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</si>
  <si>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</si>
  <si>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</si>
  <si>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</si>
  <si>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</si>
  <si>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</si>
  <si>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t xml:space="preserve">首年衰退率</t>
  </si>
  <si>
    <t xml:space="preserve">次年衰退率</t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</si>
  <si>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</t>
    </r>
  </si>
  <si>
    <t xml:space="preserve">支出</t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</si>
  <si>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</si>
  <si>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</si>
  <si>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t xml:space="preserve">每kWp設備成本</t>
  </si>
  <si>
    <t xml:space="preserve">信邦利潤率</t>
  </si>
  <si>
    <t xml:space="preserve">開發費</t>
  </si>
  <si>
    <t xml:space="preserve">租金費用</t>
  </si>
  <si>
    <t xml:space="preserve">租金計算方式
(1=固定攤提/2=電費抽成)</t>
  </si>
  <si>
    <t xml:space="preserve">【方式1參數】租金總額</t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</si>
  <si>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36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</si>
  <si>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</si>
  <si>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</si>
  <si>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t xml:space="preserve">保險費用</t>
  </si>
  <si>
    <t xml:space="preserve">占整體設備費用比例</t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</si>
  <si>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</si>
  <si>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</si>
  <si>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t xml:space="preserve">利息費用</t>
  </si>
  <si>
    <t xml:space="preserve">銀行利率</t>
  </si>
  <si>
    <t xml:space="preserve">所得稅</t>
  </si>
  <si>
    <t xml:space="preserve">所得稅率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</si>
  <si>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</si>
  <si>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</si>
  <si>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</si>
  <si>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</si>
  <si>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貸款還款</t>
  </si>
  <si>
    <t xml:space="preserve">攤還期數</t>
  </si>
  <si>
    <t xml:space="preserve">現金股利</t>
  </si>
  <si>
    <t xml:space="preserve">股利比率</t>
  </si>
  <si>
    <t xml:space="preserve">年底減資</t>
  </si>
  <si>
    <t xml:space="preserve">年份</t>
  </si>
  <si>
    <t xml:space="preserve">手動計算值</t>
  </si>
  <si>
    <t xml:space="preserve">償還年限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</si>
  <si>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</si>
  <si>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</si>
  <si>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</si>
  <si>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</si>
  <si>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</si>
  <si>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</si>
  <si>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</si>
  <si>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</si>
  <si>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</si>
  <si>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</si>
  <si>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</si>
  <si>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</si>
  <si>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</si>
  <si>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</si>
  <si>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</si>
  <si>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</si>
  <si>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</si>
  <si>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</si>
  <si>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</si>
  <si>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預估可建置量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</si>
  <si>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</si>
  <si>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</si>
  <si>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</si>
  <si>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</si>
  <si>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</si>
  <si>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</si>
  <si>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</si>
  <si>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</si>
  <si>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</si>
  <si>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</si>
  <si>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</si>
  <si>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</si>
  <si>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</si>
  <si>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</si>
  <si>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</si>
  <si>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編號</t>
  </si>
  <si>
    <t xml:space="preserve">價金每KW</t>
  </si>
  <si>
    <t xml:space="preserve">專案法IRR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</si>
  <si>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</si>
  <si>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</si>
  <si>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</si>
  <si>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</si>
  <si>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</si>
  <si>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</si>
  <si>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</si>
  <si>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</si>
  <si>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</si>
  <si>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</si>
  <si>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</si>
  <si>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r>
      <rPr>
        <sz val="12"/>
        <color rgb="FF000000"/>
        <rFont val="新細明體"/>
        <family val="2"/>
        <charset val="1"/>
      </rPr>
      <t xml:space="preserve">淡江大學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新細明體"/>
        <family val="2"/>
        <charset val="1"/>
      </rPr>
      <t xml:space="preserve">財務模擬案場</t>
    </r>
  </si>
  <si>
    <t xml:space="preserve">情境編號: 1</t>
  </si>
  <si>
    <t xml:space="preserve">初始價金摘要</t>
  </si>
  <si>
    <t xml:space="preserve">價金: 35000</t>
  </si>
  <si>
    <t xml:space="preserve">專案IRR: 1.67</t>
  </si>
  <si>
    <t xml:space="preserve">權益法IRR: 1.27</t>
  </si>
  <si>
    <t xml:space="preserve">利潤率: 30.00%</t>
  </si>
  <si>
    <r>
      <rPr>
        <sz val="12"/>
        <color rgb="FF000000"/>
        <rFont val="新細明體"/>
        <family val="2"/>
        <charset val="1"/>
      </rPr>
      <t xml:space="preserve">年度</t>
    </r>
    <r>
      <rPr>
        <sz val="12"/>
        <color rgb="FF000000"/>
        <rFont val="Calibri"/>
        <family val="2"/>
        <charset val="1"/>
      </rPr>
      <t xml:space="preserve">AC</t>
    </r>
    <r>
      <rPr>
        <sz val="12"/>
        <color rgb="FF000000"/>
        <rFont val="新細明體"/>
        <family val="2"/>
        <charset val="1"/>
      </rPr>
      <t xml:space="preserve">併網總發電量</t>
    </r>
  </si>
  <si>
    <t xml:space="preserve">初始價金 - 現金模式，每次減少 2000 元</t>
  </si>
  <si>
    <r>
      <rPr>
        <sz val="12"/>
        <color rgb="FF000000"/>
        <rFont val="新細明體"/>
        <family val="2"/>
        <charset val="1"/>
      </rPr>
      <t xml:space="preserve">躉售費率</t>
    </r>
    <r>
      <rPr>
        <sz val="12"/>
        <color rgb="FF000000"/>
        <rFont val="Calibri"/>
        <family val="2"/>
        <charset val="1"/>
      </rPr>
      <t xml:space="preserve">(FIT)</t>
    </r>
  </si>
  <si>
    <r>
      <rPr>
        <sz val="12"/>
        <color rgb="FF000000"/>
        <rFont val="新細明體"/>
        <family val="2"/>
        <charset val="1"/>
      </rPr>
      <t xml:space="preserve">設備費用</t>
    </r>
    <r>
      <rPr>
        <sz val="12"/>
        <color rgb="FF000000"/>
        <rFont val="Calibri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價金</t>
    </r>
    <r>
      <rPr>
        <sz val="12"/>
        <color rgb="FF000000"/>
        <rFont val="Calibri"/>
        <family val="2"/>
        <charset val="1"/>
      </rPr>
      <t xml:space="preserve">)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</si>
  <si>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參數】租金總額</t>
    </r>
  </si>
  <si>
    <r>
      <rPr>
        <sz val="12"/>
        <color rgb="FF000000"/>
        <rFont val="新細明體"/>
        <family val="2"/>
        <charset val="1"/>
      </rPr>
      <t xml:space="preserve">【方式</t>
    </r>
    <r>
      <rPr>
        <sz val="12"/>
        <color rgb="FF000000"/>
        <rFont val="Calibri"/>
        <family val="2"/>
        <charset val="1"/>
      </rPr>
      <t xml:space="preserve">2</t>
    </r>
    <r>
      <rPr>
        <sz val="12"/>
        <color rgb="FF000000"/>
        <rFont val="新細明體"/>
        <family val="2"/>
        <charset val="1"/>
      </rPr>
      <t xml:space="preserve">參數】抽成比率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</si>
  <si>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運維成本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</si>
  <si>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模組回收成本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</si>
  <si>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</si>
  <si>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</si>
  <si>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情境編號: 2</t>
  </si>
  <si>
    <t xml:space="preserve">第1次滾算摘要</t>
  </si>
  <si>
    <t xml:space="preserve">價金: 33000</t>
  </si>
  <si>
    <t xml:space="preserve">專案IRR: 2.17</t>
  </si>
  <si>
    <t xml:space="preserve">權益法IRR: 2.75</t>
  </si>
  <si>
    <t xml:space="preserve">情境編號: 3</t>
  </si>
  <si>
    <t xml:space="preserve">第2次滾算摘要</t>
  </si>
  <si>
    <t xml:space="preserve">價金: 31000</t>
  </si>
  <si>
    <t xml:space="preserve">專案IRR: 2.72</t>
  </si>
  <si>
    <t xml:space="preserve">權益法IRR: 4.43</t>
  </si>
  <si>
    <t xml:space="preserve">情境編號: 4</t>
  </si>
  <si>
    <t xml:space="preserve">第3次滾算摘要</t>
  </si>
  <si>
    <t xml:space="preserve">價金: 29000</t>
  </si>
  <si>
    <t xml:space="preserve">專案IRR: 3.32</t>
  </si>
  <si>
    <t xml:space="preserve">權益法IRR: 6.37</t>
  </si>
  <si>
    <t xml:space="preserve">情境編號: 5</t>
  </si>
  <si>
    <t xml:space="preserve">第4次滾算摘要</t>
  </si>
  <si>
    <t xml:space="preserve">價金: 27000</t>
  </si>
  <si>
    <t xml:space="preserve">專案IRR: 3.99</t>
  </si>
  <si>
    <t xml:space="preserve">權益法IRR: 8.65</t>
  </si>
  <si>
    <t xml:space="preserve">情境編號: 6</t>
  </si>
  <si>
    <t xml:space="preserve">第5次滾算摘要</t>
  </si>
  <si>
    <t xml:space="preserve">價金: 25000</t>
  </si>
  <si>
    <t xml:space="preserve">專案IRR: 4.74</t>
  </si>
  <si>
    <t xml:space="preserve">權益法IRR: 11.4</t>
  </si>
  <si>
    <t xml:space="preserve">情境編號: 7</t>
  </si>
  <si>
    <t xml:space="preserve">第6次滾算摘要</t>
  </si>
  <si>
    <t xml:space="preserve">價金: 23000</t>
  </si>
  <si>
    <t xml:space="preserve">專案IRR: 5.57</t>
  </si>
  <si>
    <t xml:space="preserve">權益法IRR: 14.79</t>
  </si>
  <si>
    <t xml:space="preserve">情境編號: 8</t>
  </si>
  <si>
    <t xml:space="preserve">第7次滾算摘要</t>
  </si>
  <si>
    <t xml:space="preserve">價金: 21000</t>
  </si>
  <si>
    <t xml:space="preserve">專案IRR: 6.52</t>
  </si>
  <si>
    <t xml:space="preserve">權益法IRR: 19.16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</si>
</sst>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"/>
    <numFmt numFmtId="166" formatCode="#,##0"/>
    <numFmt numFmtId="167" formatCode="0%"/>
    <numFmt numFmtId="168" formatCode="0.00%"/>
    <numFmt numFmtId="169" formatCode="#,##0.000"/>
    <numFmt numFmtId="170" formatCode="#,##0.00%"/>
    <numFmt numFmtId="171" formatCode="0.00_);[RED]\(0.00\)"/>
    <numFmt numFmtId="172" formatCode="0_);[RED]\(0\)"/>
    <numFmt numFmtId="173" formatCode="\$#,##0.00_);[RED]&quot;($&quot;#,##0.00\)"/>
    <numFmt numFmtId="174" formatCode="\$#,##0_);[RED]&quot;($&quot;#,##0\)"/>
    <numFmt numFmtId="175" formatCode="_-\$* #,##0_-;&quot;-$&quot;* #,##0_-;_-\$* \-??_-;_-@_-"/>
  </numFmts>
  <fonts count="3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Calibri"/>
      <family val="2"/>
      <charset val="136"/>
    </font>
    <font>
      <sz val="12"/>
      <color theme="1"/>
      <name val="Calibri"/>
      <family val="2"/>
      <charset val="1"/>
    </font>
    <font>
      <b val="true"/>
      <sz val="12"/>
      <color theme="0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1"/>
      <name val="細明體"/>
      <family val="2"/>
      <charset val="1"/>
    </font>
    <font>
      <sz val="12"/>
      <color rgb="FF000000"/>
      <name val="微軟正黑體"/>
      <family val="2"/>
      <charset val="1"/>
    </font>
    <font>
      <sz val="10"/>
      <color rgb="FF000000"/>
      <name val="新細明體"/>
      <family val="2"/>
      <charset val="1"/>
    </font>
    <font>
      <b val="true"/>
      <sz val="12"/>
      <color rgb="FFFFFFFF"/>
      <name val="微軟正黑體"/>
      <family val="2"/>
      <charset val="1"/>
    </font>
    <font>
      <sz val="11"/>
      <color theme="0" tint="-0.15"/>
      <name val="新細明體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FFFFFF"/>
      <name val="新細明體"/>
      <family val="2"/>
      <charset val="1"/>
    </font>
    <font>
      <sz val="11"/>
      <color theme="1"/>
      <name val="Calibri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新細明體"/>
      <family val="1"/>
      <charset val="136"/>
    </font>
    <font>
      <b val="true"/>
      <sz val="11"/>
      <color theme="1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thin">
        <color rgb="FFC6C6C6"/>
      </right>
      <top style="medium"/>
      <bottom style="medium"/>
      <diagonal/>
    </border>
    <border diagonalUp="false" diagonalDown="false">
      <left/>
      <right style="thin">
        <color rgb="FFC6C6C6"/>
      </right>
      <top style="medium"/>
      <bottom style="medium"/>
      <diagonal/>
    </border>
    <border diagonalUp="false" diagonalDown="false"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1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8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14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5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2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A58" activeCellId="0" sqref="A58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2" width="38"/>
    <col collapsed="false" customWidth="true" hidden="false" outlineLevel="0" max="22" min="3" style="2" width="50"/>
    <col collapsed="false" customWidth="true" hidden="false" outlineLevel="0" max="35" min="23" style="0" width="8"/>
  </cols>
  <sheetData>
    <row r="1" customFormat="false" ht="22.5" hidden="false" customHeight="true" outlineLevel="0" collapsed="false">
      <c r="A1" s="3" t="s">
        <v>0</v>
      </c>
      <c r="B1" s="3"/>
      <c r="C1" s="3"/>
      <c r="D1" s="3"/>
    </row>
    <row r="2" customFormat="false" ht="21.75" hidden="false" customHeight="true" outlineLevel="0" collapsed="false">
      <c r="A2" s="4" t="s">
        <v>1</v>
      </c>
      <c r="B2" s="5" t="s">
        <v>2</v>
      </c>
      <c r="C2" s="6" t="s">
        <v>3</v>
      </c>
      <c r="D2" s="6" t="s">
        <v>3</v>
      </c>
    </row>
    <row r="3" customFormat="false" ht="21.75" hidden="false" customHeight="true" outlineLevel="0" collapsed="false">
      <c r="A3" s="7" t="s">
        <v>4</v>
      </c>
      <c r="B3" s="8" t="n">
        <v>20</v>
      </c>
      <c r="C3" s="9" t="s">
        <v>3</v>
      </c>
      <c r="D3" s="9" t="s">
        <v>3</v>
      </c>
    </row>
    <row r="4" customFormat="false" ht="21.75" hidden="false" customHeight="true" outlineLevel="0" collapsed="false">
      <c r="A4" s="7" t="s">
        <v>5</v>
      </c>
      <c r="B4" s="8" t="n">
        <v>436.1</v>
      </c>
      <c r="C4" s="9" t="s">
        <v>3</v>
      </c>
      <c r="D4" s="9" t="s">
        <v>3</v>
      </c>
    </row>
    <row r="5" customFormat="false" ht="22.5" hidden="false" customHeight="true" outlineLevel="0" collapsed="false">
      <c r="A5" s="10" t="s">
        <v>6</v>
      </c>
      <c r="B5" s="10" t="n">
        <v>2023</v>
      </c>
      <c r="C5" s="10" t="s">
        <v>7</v>
      </c>
      <c r="D5" s="10" t="n">
        <v>2042</v>
      </c>
    </row>
    <row r="6" customFormat="false" ht="20.25" hidden="false" customHeight="true" outlineLevel="0" collapsed="false">
      <c r="A6" s="11"/>
      <c r="B6" s="11"/>
      <c r="C6" s="11"/>
      <c r="D6" s="11"/>
    </row>
    <row r="7" customFormat="false" ht="22.5" hidden="false" customHeight="true" outlineLevel="0" collapsed="false">
      <c r="A7" s="12" t="s">
        <v>8</v>
      </c>
      <c r="B7" s="12"/>
      <c r="C7" s="12"/>
      <c r="D7" s="12"/>
    </row>
    <row r="8" customFormat="false" ht="22.5" hidden="false" customHeight="true" outlineLevel="0" collapsed="false">
      <c r="A8" s="13" t="s">
        <v>9</v>
      </c>
      <c r="B8" s="13"/>
      <c r="C8" s="13"/>
      <c r="D8" s="13"/>
    </row>
    <row r="9" customFormat="false" ht="22.5" hidden="false" customHeight="true" outlineLevel="0" collapsed="false">
      <c r="A9" s="14" t="s">
        <v>10</v>
      </c>
      <c r="B9" s="15" t="s">
        <v>11</v>
      </c>
      <c r="C9" s="15" t="s">
        <v>12</v>
      </c>
      <c r="D9" s="16" t="s">
        <v>13</v>
      </c>
    </row>
    <row r="10" customFormat="false" ht="21.75" hidden="false" customHeight="true" outlineLevel="0" collapsed="false">
      <c r="A10" s="17" t="s">
        <v>14</v>
      </c>
      <c r="B10" s="18" t="s">
        <v>15</v>
      </c>
      <c r="C10" s="18" t="n">
        <v>547002</v>
      </c>
      <c r="D10" s="17" t="n">
        <v>20</v>
      </c>
    </row>
    <row r="11" customFormat="false" ht="21.75" hidden="false" customHeight="true" outlineLevel="0" collapsed="false">
      <c r="A11" s="17"/>
      <c r="B11" s="10" t="s">
        <v>16</v>
      </c>
      <c r="C11" s="19" t="n">
        <v>0.01</v>
      </c>
      <c r="D11" s="17"/>
    </row>
    <row r="12" customFormat="false" ht="21.75" hidden="false" customHeight="true" outlineLevel="0" collapsed="false">
      <c r="A12" s="17"/>
      <c r="B12" s="10" t="s">
        <v>17</v>
      </c>
      <c r="C12" s="20" t="n">
        <v>0.004</v>
      </c>
      <c r="D12" s="17"/>
    </row>
    <row r="13" customFormat="false" ht="22.5" hidden="false" customHeight="true" outlineLevel="0" collapsed="false">
      <c r="A13" s="17"/>
      <c r="B13" s="21" t="s">
        <v>18</v>
      </c>
      <c r="C13" s="21" t="n">
        <v>3.7152</v>
      </c>
      <c r="D13" s="17"/>
    </row>
    <row r="14" customFormat="false" ht="22.5" hidden="false" customHeight="true" outlineLevel="0" collapsed="false">
      <c r="A14" s="22" t="s">
        <v>19</v>
      </c>
      <c r="B14" s="22"/>
      <c r="C14" s="22"/>
      <c r="D14" s="22"/>
    </row>
    <row r="15" customFormat="false" ht="22.5" hidden="false" customHeight="true" outlineLevel="0" collapsed="false">
      <c r="A15" s="14" t="s">
        <v>10</v>
      </c>
      <c r="B15" s="15" t="s">
        <v>11</v>
      </c>
      <c r="C15" s="15" t="s">
        <v>12</v>
      </c>
      <c r="D15" s="23" t="s">
        <v>20</v>
      </c>
    </row>
    <row r="16" customFormat="false" ht="21.75" hidden="false" customHeight="true" outlineLevel="0" collapsed="false">
      <c r="A16" s="18" t="s">
        <v>21</v>
      </c>
      <c r="B16" s="24" t="s">
        <v>22</v>
      </c>
      <c r="C16" s="18" t="n">
        <v>35000</v>
      </c>
      <c r="D16" s="6" t="n">
        <v>20</v>
      </c>
    </row>
    <row r="17" customFormat="false" ht="21.75" hidden="false" customHeight="true" outlineLevel="0" collapsed="false">
      <c r="A17" s="18"/>
      <c r="B17" s="10" t="s">
        <v>23</v>
      </c>
      <c r="C17" s="8" t="n">
        <v>0.3</v>
      </c>
      <c r="D17" s="6"/>
    </row>
    <row r="18" customFormat="false" ht="21.75" hidden="false" customHeight="true" outlineLevel="0" collapsed="false">
      <c r="A18" s="18"/>
      <c r="B18" s="10" t="s">
        <v>24</v>
      </c>
      <c r="C18" s="8" t="n">
        <v>3000</v>
      </c>
      <c r="D18" s="6"/>
    </row>
    <row r="19" customFormat="false" ht="54" hidden="false" customHeight="true" outlineLevel="0" collapsed="false">
      <c r="A19" s="10" t="s">
        <v>25</v>
      </c>
      <c r="B19" s="25" t="s">
        <v>26</v>
      </c>
      <c r="C19" s="8" t="n">
        <v>1</v>
      </c>
      <c r="D19" s="6" t="s">
        <v>3</v>
      </c>
    </row>
    <row r="20" customFormat="false" ht="20.25" hidden="false" customHeight="true" outlineLevel="0" collapsed="false">
      <c r="A20" s="10"/>
      <c r="B20" s="26" t="s">
        <v>27</v>
      </c>
      <c r="C20" s="8" t="n">
        <v>290201</v>
      </c>
      <c r="D20" s="6" t="n">
        <v>20</v>
      </c>
    </row>
    <row r="21" customFormat="false" ht="21.75" hidden="false" customHeight="true" outlineLevel="0" collapsed="false">
      <c r="A21" s="10"/>
      <c r="B21" s="10" t="s">
        <v>28</v>
      </c>
      <c r="C21" s="8"/>
      <c r="D21" s="9" t="s">
        <v>3</v>
      </c>
    </row>
    <row r="22" customFormat="false" ht="21.75" hidden="false" customHeight="true" outlineLevel="0" collapsed="false">
      <c r="A22" s="10" t="s">
        <v>29</v>
      </c>
      <c r="B22" s="10" t="s">
        <v>30</v>
      </c>
      <c r="C22" s="8" t="n">
        <v>400</v>
      </c>
      <c r="D22" s="9" t="n">
        <v>20</v>
      </c>
    </row>
    <row r="23" customFormat="false" ht="21.75" hidden="false" customHeight="true" outlineLevel="0" collapsed="false">
      <c r="A23" s="10" t="s">
        <v>31</v>
      </c>
      <c r="B23" s="27" t="s">
        <v>32</v>
      </c>
      <c r="C23" s="8" t="n">
        <v>0.003</v>
      </c>
      <c r="D23" s="9" t="n">
        <v>20</v>
      </c>
    </row>
    <row r="24" customFormat="false" ht="21.75" hidden="false" customHeight="true" outlineLevel="0" collapsed="false">
      <c r="A24" s="10" t="s">
        <v>33</v>
      </c>
      <c r="B24" s="10" t="s">
        <v>34</v>
      </c>
      <c r="C24" s="8" t="n">
        <v>1000</v>
      </c>
      <c r="D24" s="9" t="n">
        <v>10</v>
      </c>
    </row>
    <row r="25" customFormat="false" ht="21.75" hidden="false" customHeight="true" outlineLevel="0" collapsed="false">
      <c r="A25" s="10" t="s">
        <v>35</v>
      </c>
      <c r="B25" s="10" t="s">
        <v>36</v>
      </c>
      <c r="C25" s="28" t="n">
        <v>0.025595</v>
      </c>
      <c r="D25" s="9" t="s">
        <v>3</v>
      </c>
    </row>
    <row r="26" customFormat="false" ht="22.5" hidden="false" customHeight="true" outlineLevel="0" collapsed="false">
      <c r="A26" s="10" t="s">
        <v>37</v>
      </c>
      <c r="B26" s="10" t="s">
        <v>38</v>
      </c>
      <c r="C26" s="8" t="n">
        <v>0.2</v>
      </c>
      <c r="D26" s="9" t="s">
        <v>3</v>
      </c>
    </row>
    <row r="27" customFormat="false" ht="20.25" hidden="false" customHeight="true" outlineLevel="0" collapsed="false">
      <c r="A27" s="11"/>
      <c r="B27" s="11"/>
      <c r="C27" s="11"/>
      <c r="D27" s="11"/>
    </row>
    <row r="28" customFormat="false" ht="20.25" hidden="false" customHeight="true" outlineLevel="0" collapsed="false">
      <c r="A28" s="11"/>
      <c r="B28" s="11"/>
      <c r="C28" s="11"/>
      <c r="D28" s="11"/>
    </row>
    <row r="29" customFormat="false" ht="22.5" hidden="false" customHeight="true" outlineLevel="0" collapsed="false">
      <c r="A29" s="12" t="s">
        <v>39</v>
      </c>
      <c r="B29" s="12"/>
      <c r="C29" s="12"/>
      <c r="D29" s="11"/>
    </row>
    <row r="30" customFormat="false" ht="22.5" hidden="false" customHeight="true" outlineLevel="0" collapsed="false">
      <c r="A30" s="14" t="s">
        <v>40</v>
      </c>
      <c r="B30" s="29" t="s">
        <v>11</v>
      </c>
      <c r="C30" s="30" t="s">
        <v>12</v>
      </c>
      <c r="D30" s="11"/>
    </row>
    <row r="31" customFormat="false" ht="18.75" hidden="false" customHeight="true" outlineLevel="0" collapsed="false">
      <c r="A31" s="24" t="s">
        <v>41</v>
      </c>
      <c r="B31" s="4" t="s">
        <v>42</v>
      </c>
      <c r="C31" s="31" t="n">
        <v>0.8</v>
      </c>
      <c r="D31" s="11"/>
    </row>
    <row r="32" customFormat="false" ht="18.75" hidden="false" customHeight="true" outlineLevel="0" collapsed="false">
      <c r="A32" s="18" t="s">
        <v>43</v>
      </c>
      <c r="B32" s="5" t="s">
        <v>44</v>
      </c>
      <c r="C32" s="5" t="n">
        <v>15</v>
      </c>
      <c r="D32" s="11"/>
    </row>
    <row r="33" customFormat="false" ht="18.75" hidden="false" customHeight="true" outlineLevel="0" collapsed="false">
      <c r="A33" s="10" t="s">
        <v>45</v>
      </c>
      <c r="B33" s="32" t="s">
        <v>46</v>
      </c>
      <c r="C33" s="32" t="n">
        <v>0.9</v>
      </c>
      <c r="D33" s="11"/>
    </row>
    <row r="34" customFormat="false" ht="18.75" hidden="false" customHeight="true" outlineLevel="0" collapsed="false">
      <c r="A34" s="10" t="s">
        <v>47</v>
      </c>
      <c r="B34" s="32" t="s">
        <v>44</v>
      </c>
      <c r="C34" s="32" t="n">
        <v>4</v>
      </c>
      <c r="D34" s="1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A37" s="33"/>
      <c r="B37" s="34" t="s">
        <v>48</v>
      </c>
      <c r="C37" s="34" t="n">
        <v>2020</v>
      </c>
      <c r="D37" s="34" t="n">
        <v>2021</v>
      </c>
      <c r="E37" s="34" t="n">
        <v>2022</v>
      </c>
      <c r="F37" s="34" t="n">
        <v>2023</v>
      </c>
      <c r="G37" s="34" t="n">
        <v>2024</v>
      </c>
      <c r="H37" s="34" t="n">
        <v>2025</v>
      </c>
      <c r="I37" s="34" t="n">
        <v>2026</v>
      </c>
      <c r="J37" s="34" t="n">
        <v>2027</v>
      </c>
      <c r="K37" s="34" t="n">
        <v>2028</v>
      </c>
      <c r="L37" s="34" t="n">
        <v>2029</v>
      </c>
      <c r="M37" s="34" t="n">
        <v>2030</v>
      </c>
      <c r="N37" s="34" t="n">
        <v>2031</v>
      </c>
      <c r="O37" s="34" t="n">
        <v>2032</v>
      </c>
      <c r="P37" s="34" t="n">
        <v>2033</v>
      </c>
      <c r="Q37" s="34" t="n">
        <v>2034</v>
      </c>
      <c r="R37" s="34" t="n">
        <v>2035</v>
      </c>
      <c r="S37" s="34" t="n">
        <v>2036</v>
      </c>
      <c r="T37" s="34" t="n">
        <v>2037</v>
      </c>
      <c r="U37" s="34" t="n">
        <v>2038</v>
      </c>
      <c r="V37" s="34" t="n">
        <v>2039</v>
      </c>
      <c r="W37" s="35"/>
    </row>
    <row r="38" customFormat="false" ht="18.75" hidden="false" customHeight="true" outlineLevel="0" collapsed="false">
      <c r="A38" s="36" t="n">
        <v>0</v>
      </c>
      <c r="B38" s="37"/>
      <c r="C38" s="38"/>
      <c r="D38" s="38"/>
      <c r="E38" s="39" t="s">
        <v>49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1" t="s">
        <v>50</v>
      </c>
      <c r="T38" s="40"/>
      <c r="U38" s="40"/>
      <c r="V38" s="40"/>
      <c r="W38" s="42"/>
    </row>
    <row r="39" customFormat="false" ht="18.75" hidden="false" customHeight="true" outlineLevel="0" collapsed="false">
      <c r="A39" s="43" t="s">
        <v>51</v>
      </c>
      <c r="B39" s="44" t="n">
        <v>0</v>
      </c>
      <c r="C39" s="45" t="n">
        <v>1</v>
      </c>
      <c r="D39" s="45" t="n">
        <v>2</v>
      </c>
      <c r="E39" s="45" t="n">
        <v>3</v>
      </c>
      <c r="F39" s="45" t="n">
        <v>4</v>
      </c>
      <c r="G39" s="45" t="n">
        <v>5</v>
      </c>
      <c r="H39" s="45" t="n">
        <v>6</v>
      </c>
      <c r="I39" s="45" t="n">
        <v>7</v>
      </c>
      <c r="J39" s="45" t="n">
        <v>8</v>
      </c>
      <c r="K39" s="45" t="n">
        <v>9</v>
      </c>
      <c r="L39" s="45" t="n">
        <v>10</v>
      </c>
      <c r="M39" s="45" t="n">
        <v>11</v>
      </c>
      <c r="N39" s="45" t="n">
        <v>12</v>
      </c>
      <c r="O39" s="45" t="n">
        <v>13</v>
      </c>
      <c r="P39" s="45" t="n">
        <v>14</v>
      </c>
      <c r="Q39" s="45" t="n">
        <v>15</v>
      </c>
      <c r="R39" s="45" t="n">
        <v>16</v>
      </c>
      <c r="S39" s="46" t="n">
        <v>17</v>
      </c>
      <c r="T39" s="45" t="n">
        <v>18</v>
      </c>
      <c r="U39" s="45" t="n">
        <v>19</v>
      </c>
      <c r="V39" s="45" t="n">
        <v>20</v>
      </c>
      <c r="W39" s="47"/>
    </row>
    <row r="40" customFormat="false" ht="18.75" hidden="false" customHeight="true" outlineLevel="0" collapsed="false">
      <c r="A40" s="48" t="s">
        <v>52</v>
      </c>
      <c r="B40" s="44" t="n">
        <v>0</v>
      </c>
      <c r="C40" s="45" t="e">
        <f aca="false">#REF!</f>
        <v>#REF!</v>
      </c>
      <c r="D40" s="45" t="e">
        <f aca="false">#REF!</f>
        <v>#REF!</v>
      </c>
      <c r="E40" s="45" t="e">
        <f aca="false">#REF!</f>
        <v>#REF!</v>
      </c>
      <c r="F40" s="45" t="e">
        <f aca="false">#REF!</f>
        <v>#REF!</v>
      </c>
      <c r="G40" s="45" t="e">
        <f aca="false">#REF!</f>
        <v>#REF!</v>
      </c>
      <c r="H40" s="45" t="e">
        <f aca="false">#REF!</f>
        <v>#REF!</v>
      </c>
      <c r="I40" s="45" t="e">
        <f aca="false">#REF!</f>
        <v>#REF!</v>
      </c>
      <c r="J40" s="45" t="e">
        <f aca="false">#REF!</f>
        <v>#REF!</v>
      </c>
      <c r="K40" s="45" t="e">
        <f aca="false">#REF!</f>
        <v>#REF!</v>
      </c>
      <c r="L40" s="45" t="e">
        <f aca="false">#REF!</f>
        <v>#REF!</v>
      </c>
      <c r="M40" s="45" t="e">
        <f aca="false">#REF!</f>
        <v>#REF!</v>
      </c>
      <c r="N40" s="45" t="e">
        <f aca="false">#REF!</f>
        <v>#REF!</v>
      </c>
      <c r="O40" s="45" t="e">
        <f aca="false">#REF!</f>
        <v>#REF!</v>
      </c>
      <c r="P40" s="45" t="e">
        <f aca="false">#REF!</f>
        <v>#REF!</v>
      </c>
      <c r="Q40" s="45" t="e">
        <f aca="false">#REF!</f>
        <v>#REF!</v>
      </c>
      <c r="R40" s="45" t="e">
        <f aca="false">#REF!</f>
        <v>#REF!</v>
      </c>
      <c r="S40" s="45" t="e">
        <f aca="false">#REF!</f>
        <v>#REF!</v>
      </c>
      <c r="T40" s="45" t="e">
        <f aca="false">#REF!</f>
        <v>#REF!</v>
      </c>
      <c r="U40" s="45" t="e">
        <f aca="false">#REF!</f>
        <v>#REF!</v>
      </c>
      <c r="V40" s="45" t="e">
        <f aca="false">#REF!</f>
        <v>#REF!</v>
      </c>
      <c r="W40" s="49"/>
    </row>
    <row r="41" customFormat="false" ht="18.75" hidden="false" customHeight="true" outlineLevel="0" collapsed="false">
      <c r="A41" s="50" t="s">
        <v>53</v>
      </c>
      <c r="B41" s="51" t="s">
        <v>3</v>
      </c>
      <c r="C41" s="52" t="e">
        <f aca="false">#REF!</f>
        <v>#REF!</v>
      </c>
      <c r="D41" s="52" t="e">
        <f aca="false">#REF!</f>
        <v>#REF!</v>
      </c>
      <c r="E41" s="52" t="e">
        <f aca="false">#REF!</f>
        <v>#REF!</v>
      </c>
      <c r="F41" s="52" t="e">
        <f aca="false">#REF!</f>
        <v>#REF!</v>
      </c>
      <c r="G41" s="52" t="e">
        <f aca="false">#REF!</f>
        <v>#REF!</v>
      </c>
      <c r="H41" s="52" t="e">
        <f aca="false">#REF!</f>
        <v>#REF!</v>
      </c>
      <c r="I41" s="52" t="e">
        <f aca="false">#REF!</f>
        <v>#REF!</v>
      </c>
      <c r="J41" s="52" t="e">
        <f aca="false">#REF!</f>
        <v>#REF!</v>
      </c>
      <c r="K41" s="52" t="e">
        <f aca="false">#REF!</f>
        <v>#REF!</v>
      </c>
      <c r="L41" s="52" t="e">
        <f aca="false">#REF!</f>
        <v>#REF!</v>
      </c>
      <c r="M41" s="52" t="e">
        <f aca="false">#REF!</f>
        <v>#REF!</v>
      </c>
      <c r="N41" s="52" t="e">
        <f aca="false">#REF!</f>
        <v>#REF!</v>
      </c>
      <c r="O41" s="52" t="e">
        <f aca="false">#REF!</f>
        <v>#REF!</v>
      </c>
      <c r="P41" s="52" t="e">
        <f aca="false">#REF!</f>
        <v>#REF!</v>
      </c>
      <c r="Q41" s="52" t="e">
        <f aca="false">#REF!</f>
        <v>#REF!</v>
      </c>
      <c r="R41" s="52" t="e">
        <f aca="false">#REF!</f>
        <v>#REF!</v>
      </c>
      <c r="S41" s="52" t="e">
        <f aca="false">#REF!</f>
        <v>#REF!</v>
      </c>
      <c r="T41" s="52" t="e">
        <f aca="false">#REF!</f>
        <v>#REF!</v>
      </c>
      <c r="U41" s="52" t="e">
        <f aca="false">#REF!</f>
        <v>#REF!</v>
      </c>
      <c r="V41" s="52" t="e">
        <f aca="false">#REF!</f>
        <v>#REF!</v>
      </c>
      <c r="W41" s="53"/>
    </row>
    <row r="42" customFormat="false" ht="18.75" hidden="false" customHeight="true" outlineLevel="0" collapsed="false">
      <c r="A42" s="54" t="s">
        <v>54</v>
      </c>
      <c r="B42" s="44" t="s">
        <v>3</v>
      </c>
      <c r="C42" s="45"/>
      <c r="D42" s="45"/>
      <c r="E42" s="45" t="n">
        <v>0</v>
      </c>
      <c r="F42" s="45" t="s">
        <v>3</v>
      </c>
      <c r="G42" s="45" t="s">
        <v>3</v>
      </c>
      <c r="H42" s="45" t="s">
        <v>3</v>
      </c>
      <c r="I42" s="45" t="s">
        <v>3</v>
      </c>
      <c r="J42" s="45" t="s">
        <v>3</v>
      </c>
      <c r="K42" s="45" t="s">
        <v>3</v>
      </c>
      <c r="L42" s="45" t="s">
        <v>3</v>
      </c>
      <c r="M42" s="45" t="s">
        <v>3</v>
      </c>
      <c r="N42" s="45" t="s">
        <v>3</v>
      </c>
      <c r="O42" s="45" t="s">
        <v>3</v>
      </c>
      <c r="P42" s="45" t="s">
        <v>3</v>
      </c>
      <c r="Q42" s="45" t="s">
        <v>3</v>
      </c>
      <c r="R42" s="45" t="s">
        <v>3</v>
      </c>
      <c r="S42" s="45" t="s">
        <v>3</v>
      </c>
      <c r="T42" s="45" t="s">
        <v>3</v>
      </c>
      <c r="U42" s="45" t="s">
        <v>3</v>
      </c>
      <c r="V42" s="45" t="s">
        <v>3</v>
      </c>
      <c r="W42" s="55"/>
    </row>
    <row r="43" customFormat="false" ht="18.75" hidden="false" customHeight="true" outlineLevel="0" collapsed="false">
      <c r="A43" s="56" t="s">
        <v>55</v>
      </c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9"/>
    </row>
    <row r="44" customFormat="false" ht="18.75" hidden="false" customHeight="true" outlineLevel="0" collapsed="false">
      <c r="A44" s="60" t="s">
        <v>56</v>
      </c>
      <c r="B44" s="44" t="e">
        <f aca="false">-#REF!</f>
        <v>#REF!</v>
      </c>
      <c r="C44" s="61"/>
      <c r="D44" s="45"/>
      <c r="E44" s="45" t="s">
        <v>3</v>
      </c>
      <c r="F44" s="45" t="s">
        <v>3</v>
      </c>
      <c r="G44" s="45" t="s">
        <v>3</v>
      </c>
      <c r="H44" s="45" t="s">
        <v>3</v>
      </c>
      <c r="I44" s="45" t="s">
        <v>3</v>
      </c>
      <c r="J44" s="45" t="s">
        <v>3</v>
      </c>
      <c r="K44" s="45" t="s">
        <v>3</v>
      </c>
      <c r="L44" s="45" t="s">
        <v>3</v>
      </c>
      <c r="M44" s="45" t="s">
        <v>3</v>
      </c>
      <c r="N44" s="45" t="s">
        <v>3</v>
      </c>
      <c r="O44" s="45" t="s">
        <v>3</v>
      </c>
      <c r="P44" s="45" t="s">
        <v>3</v>
      </c>
      <c r="Q44" s="45" t="s">
        <v>3</v>
      </c>
      <c r="R44" s="45" t="s">
        <v>3</v>
      </c>
      <c r="S44" s="45" t="s">
        <v>3</v>
      </c>
      <c r="T44" s="45" t="s">
        <v>3</v>
      </c>
      <c r="U44" s="45" t="s">
        <v>3</v>
      </c>
      <c r="V44" s="45" t="s">
        <v>3</v>
      </c>
      <c r="W44" s="55"/>
    </row>
    <row r="45" customFormat="false" ht="18.75" hidden="false" customHeight="true" outlineLevel="0" collapsed="false">
      <c r="A45" s="60" t="s">
        <v>57</v>
      </c>
      <c r="B45" s="44" t="s">
        <v>3</v>
      </c>
      <c r="C45" s="45" t="e">
        <f aca="false">-#REF!</f>
        <v>#REF!</v>
      </c>
      <c r="D45" s="45" t="e">
        <f aca="false">-#REF!</f>
        <v>#REF!</v>
      </c>
      <c r="E45" s="45" t="e">
        <f aca="false">-#REF!</f>
        <v>#REF!</v>
      </c>
      <c r="F45" s="45" t="e">
        <f aca="false">-#REF!</f>
        <v>#REF!</v>
      </c>
      <c r="G45" s="45" t="e">
        <f aca="false">-#REF!</f>
        <v>#REF!</v>
      </c>
      <c r="H45" s="45" t="e">
        <f aca="false">-#REF!</f>
        <v>#REF!</v>
      </c>
      <c r="I45" s="45" t="e">
        <f aca="false">-#REF!</f>
        <v>#REF!</v>
      </c>
      <c r="J45" s="45" t="e">
        <f aca="false">-#REF!</f>
        <v>#REF!</v>
      </c>
      <c r="K45" s="45" t="e">
        <f aca="false">-#REF!</f>
        <v>#REF!</v>
      </c>
      <c r="L45" s="45" t="e">
        <f aca="false">-#REF!</f>
        <v>#REF!</v>
      </c>
      <c r="M45" s="45" t="e">
        <f aca="false">-#REF!</f>
        <v>#REF!</v>
      </c>
      <c r="N45" s="45" t="e">
        <f aca="false">-#REF!</f>
        <v>#REF!</v>
      </c>
      <c r="O45" s="45" t="e">
        <f aca="false">-#REF!</f>
        <v>#REF!</v>
      </c>
      <c r="P45" s="45" t="e">
        <f aca="false">-#REF!</f>
        <v>#REF!</v>
      </c>
      <c r="Q45" s="45" t="e">
        <f aca="false">-#REF!</f>
        <v>#REF!</v>
      </c>
      <c r="R45" s="45" t="e">
        <f aca="false">-#REF!</f>
        <v>#REF!</v>
      </c>
      <c r="S45" s="45" t="e">
        <f aca="false">-#REF!</f>
        <v>#REF!</v>
      </c>
      <c r="T45" s="45" t="e">
        <f aca="false">-#REF!</f>
        <v>#REF!</v>
      </c>
      <c r="U45" s="45" t="e">
        <f aca="false">-#REF!</f>
        <v>#REF!</v>
      </c>
      <c r="V45" s="45" t="e">
        <f aca="false">-#REF!</f>
        <v>#REF!</v>
      </c>
      <c r="W45" s="55"/>
    </row>
    <row r="46" customFormat="false" ht="18.75" hidden="false" customHeight="true" outlineLevel="0" collapsed="false">
      <c r="A46" s="60" t="s">
        <v>58</v>
      </c>
      <c r="B46" s="44" t="n">
        <v>0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 t="n">
        <v>0</v>
      </c>
      <c r="V46" s="45" t="n">
        <v>0</v>
      </c>
      <c r="W46" s="55"/>
    </row>
    <row r="47" customFormat="false" ht="18.75" hidden="false" customHeight="true" outlineLevel="0" collapsed="false">
      <c r="A47" s="60" t="s">
        <v>59</v>
      </c>
      <c r="B47" s="44" t="s">
        <v>3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55"/>
    </row>
    <row r="48" customFormat="false" ht="18.75" hidden="false" customHeight="true" outlineLevel="0" collapsed="false">
      <c r="A48" s="60" t="s">
        <v>60</v>
      </c>
      <c r="B48" s="44" t="s">
        <v>3</v>
      </c>
      <c r="C48" s="45" t="e">
        <f aca="false">-#REF!</f>
        <v>#REF!</v>
      </c>
      <c r="D48" s="45" t="e">
        <f aca="false">-#REF!</f>
        <v>#REF!</v>
      </c>
      <c r="E48" s="45" t="e">
        <f aca="false">-#REF!</f>
        <v>#REF!</v>
      </c>
      <c r="F48" s="45" t="e">
        <f aca="false">-#REF!</f>
        <v>#REF!</v>
      </c>
      <c r="G48" s="45" t="e">
        <f aca="false">-#REF!</f>
        <v>#REF!</v>
      </c>
      <c r="H48" s="45" t="e">
        <f aca="false">-#REF!</f>
        <v>#REF!</v>
      </c>
      <c r="I48" s="45" t="e">
        <f aca="false">-#REF!</f>
        <v>#REF!</v>
      </c>
      <c r="J48" s="45" t="e">
        <f aca="false">-#REF!</f>
        <v>#REF!</v>
      </c>
      <c r="K48" s="45" t="e">
        <f aca="false">-#REF!</f>
        <v>#REF!</v>
      </c>
      <c r="L48" s="45" t="e">
        <f aca="false">-#REF!</f>
        <v>#REF!</v>
      </c>
      <c r="M48" s="45" t="e">
        <f aca="false">-#REF!</f>
        <v>#REF!</v>
      </c>
      <c r="N48" s="45" t="e">
        <f aca="false">-#REF!</f>
        <v>#REF!</v>
      </c>
      <c r="O48" s="45" t="e">
        <f aca="false">-#REF!</f>
        <v>#REF!</v>
      </c>
      <c r="P48" s="45" t="e">
        <f aca="false">-#REF!</f>
        <v>#REF!</v>
      </c>
      <c r="Q48" s="45" t="e">
        <f aca="false">-#REF!</f>
        <v>#REF!</v>
      </c>
      <c r="R48" s="45" t="e">
        <f aca="false">-#REF!</f>
        <v>#REF!</v>
      </c>
      <c r="S48" s="45" t="e">
        <f aca="false">-#REF!</f>
        <v>#REF!</v>
      </c>
      <c r="T48" s="45" t="e">
        <f aca="false">-#REF!</f>
        <v>#REF!</v>
      </c>
      <c r="U48" s="45" t="e">
        <f aca="false">-#REF!</f>
        <v>#REF!</v>
      </c>
      <c r="V48" s="45" t="e">
        <f aca="false">-#REF!</f>
        <v>#REF!</v>
      </c>
      <c r="W48" s="55"/>
    </row>
    <row r="49" customFormat="false" ht="18.75" hidden="false" customHeight="true" outlineLevel="0" collapsed="false">
      <c r="A49" s="60" t="s">
        <v>61</v>
      </c>
      <c r="B49" s="44" t="s">
        <v>3</v>
      </c>
      <c r="C49" s="45" t="e">
        <f aca="false">-#REF!</f>
        <v>#REF!</v>
      </c>
      <c r="D49" s="45" t="e">
        <f aca="false">-#REF!</f>
        <v>#REF!</v>
      </c>
      <c r="E49" s="45" t="e">
        <f aca="false">-#REF!</f>
        <v>#REF!</v>
      </c>
      <c r="F49" s="45" t="e">
        <f aca="false">-#REF!</f>
        <v>#REF!</v>
      </c>
      <c r="G49" s="45" t="e">
        <f aca="false">-#REF!</f>
        <v>#REF!</v>
      </c>
      <c r="H49" s="45" t="e">
        <f aca="false">-#REF!</f>
        <v>#REF!</v>
      </c>
      <c r="I49" s="45" t="e">
        <f aca="false">-#REF!</f>
        <v>#REF!</v>
      </c>
      <c r="J49" s="45" t="e">
        <f aca="false">-#REF!</f>
        <v>#REF!</v>
      </c>
      <c r="K49" s="45" t="e">
        <f aca="false">-#REF!</f>
        <v>#REF!</v>
      </c>
      <c r="L49" s="45" t="e">
        <f aca="false">-#REF!</f>
        <v>#REF!</v>
      </c>
      <c r="M49" s="45" t="e">
        <f aca="false">-#REF!</f>
        <v>#REF!</v>
      </c>
      <c r="N49" s="45" t="e">
        <f aca="false">-#REF!</f>
        <v>#REF!</v>
      </c>
      <c r="O49" s="45" t="e">
        <f aca="false">-#REF!</f>
        <v>#REF!</v>
      </c>
      <c r="P49" s="45" t="e">
        <f aca="false">-#REF!</f>
        <v>#REF!</v>
      </c>
      <c r="Q49" s="45" t="e">
        <f aca="false">-#REF!</f>
        <v>#REF!</v>
      </c>
      <c r="R49" s="45" t="e">
        <f aca="false">-#REF!</f>
        <v>#REF!</v>
      </c>
      <c r="S49" s="45" t="e">
        <f aca="false">-#REF!</f>
        <v>#REF!</v>
      </c>
      <c r="T49" s="45" t="e">
        <f aca="false">-#REF!</f>
        <v>#REF!</v>
      </c>
      <c r="U49" s="45" t="e">
        <f aca="false">-#REF!</f>
        <v>#REF!</v>
      </c>
      <c r="V49" s="45" t="e">
        <f aca="false">-#REF!</f>
        <v>#REF!</v>
      </c>
      <c r="W49" s="55"/>
    </row>
    <row r="50" customFormat="false" ht="18.75" hidden="false" customHeight="true" outlineLevel="0" collapsed="false">
      <c r="A50" s="60" t="s">
        <v>62</v>
      </c>
      <c r="B50" s="44"/>
      <c r="C50" s="45" t="e">
        <f aca="false">-#REF!</f>
        <v>#REF!</v>
      </c>
      <c r="D50" s="45" t="e">
        <f aca="false">-#REF!</f>
        <v>#REF!</v>
      </c>
      <c r="E50" s="45" t="e">
        <f aca="false">-#REF!</f>
        <v>#REF!</v>
      </c>
      <c r="F50" s="45" t="e">
        <f aca="false">-#REF!</f>
        <v>#REF!</v>
      </c>
      <c r="G50" s="45" t="e">
        <f aca="false">-#REF!</f>
        <v>#REF!</v>
      </c>
      <c r="H50" s="45" t="e">
        <f aca="false">-#REF!</f>
        <v>#REF!</v>
      </c>
      <c r="I50" s="45" t="e">
        <f aca="false">-#REF!</f>
        <v>#REF!</v>
      </c>
      <c r="J50" s="45" t="e">
        <f aca="false">-#REF!</f>
        <v>#REF!</v>
      </c>
      <c r="K50" s="45" t="e">
        <f aca="false">-#REF!</f>
        <v>#REF!</v>
      </c>
      <c r="L50" s="45" t="e">
        <f aca="false">-#REF!</f>
        <v>#REF!</v>
      </c>
      <c r="M50" s="45" t="e">
        <f aca="false">-#REF!</f>
        <v>#REF!</v>
      </c>
      <c r="N50" s="45" t="e">
        <f aca="false">-#REF!</f>
        <v>#REF!</v>
      </c>
      <c r="O50" s="45" t="e">
        <f aca="false">-#REF!</f>
        <v>#REF!</v>
      </c>
      <c r="P50" s="45" t="e">
        <f aca="false">-#REF!</f>
        <v>#REF!</v>
      </c>
      <c r="Q50" s="45" t="e">
        <f aca="false">-#REF!</f>
        <v>#REF!</v>
      </c>
      <c r="R50" s="45" t="e">
        <f aca="false">-#REF!</f>
        <v>#REF!</v>
      </c>
      <c r="S50" s="45" t="e">
        <f aca="false">-#REF!</f>
        <v>#REF!</v>
      </c>
      <c r="T50" s="45" t="e">
        <f aca="false">-#REF!</f>
        <v>#REF!</v>
      </c>
      <c r="U50" s="45" t="e">
        <f aca="false">-#REF!</f>
        <v>#REF!</v>
      </c>
      <c r="V50" s="45" t="e">
        <f aca="false">-#REF!</f>
        <v>#REF!</v>
      </c>
      <c r="W50" s="55"/>
    </row>
    <row r="51" customFormat="false" ht="18.75" hidden="false" customHeight="true" outlineLevel="0" collapsed="false">
      <c r="A51" s="60" t="s">
        <v>63</v>
      </c>
      <c r="B51" s="62"/>
      <c r="C51" s="63"/>
      <c r="D51" s="64"/>
      <c r="E51" s="45" t="e">
        <f aca="false">-(E41*#REF!)</f>
        <v>#REF!</v>
      </c>
      <c r="F51" s="45" t="e">
        <f aca="false">-(F41*#REF!)</f>
        <v>#REF!</v>
      </c>
      <c r="G51" s="45" t="e">
        <f aca="false">-(G41*#REF!)</f>
        <v>#REF!</v>
      </c>
      <c r="H51" s="45" t="e">
        <f aca="false">-(H41*#REF!)</f>
        <v>#REF!</v>
      </c>
      <c r="I51" s="45" t="e">
        <f aca="false">-(I41*#REF!)</f>
        <v>#REF!</v>
      </c>
      <c r="J51" s="45" t="e">
        <f aca="false">-(J41*#REF!)</f>
        <v>#REF!</v>
      </c>
      <c r="K51" s="45" t="e">
        <f aca="false">-(K41*#REF!)</f>
        <v>#REF!</v>
      </c>
      <c r="L51" s="45" t="e">
        <f aca="false">-(L41*#REF!)</f>
        <v>#REF!</v>
      </c>
      <c r="M51" s="45" t="e">
        <f aca="false">-(M41*#REF!)</f>
        <v>#REF!</v>
      </c>
      <c r="N51" s="45" t="e">
        <f aca="false">-(N41*#REF!)</f>
        <v>#REF!</v>
      </c>
      <c r="O51" s="45" t="e">
        <f aca="false">-(O41*#REF!)</f>
        <v>#REF!</v>
      </c>
      <c r="P51" s="45" t="e">
        <f aca="false">-(P41*#REF!)</f>
        <v>#REF!</v>
      </c>
      <c r="Q51" s="45" t="e">
        <f aca="false">-(Q41*#REF!)</f>
        <v>#REF!</v>
      </c>
      <c r="R51" s="45" t="e">
        <f aca="false">-(R41*#REF!)</f>
        <v>#REF!</v>
      </c>
      <c r="S51" s="45" t="e">
        <f aca="false">-(S41*#REF!)</f>
        <v>#REF!</v>
      </c>
      <c r="T51" s="45" t="e">
        <f aca="false">-(T41*#REF!)</f>
        <v>#REF!</v>
      </c>
      <c r="U51" s="45" t="e">
        <f aca="false">-(U41*#REF!)</f>
        <v>#REF!</v>
      </c>
      <c r="V51" s="45" t="e">
        <f aca="false">-(V41*#REF!)</f>
        <v>#REF!</v>
      </c>
      <c r="W51" s="55"/>
    </row>
    <row r="52" customFormat="false" ht="18.75" hidden="false" customHeight="true" outlineLevel="0" collapsed="false">
      <c r="A52" s="60" t="s">
        <v>64</v>
      </c>
      <c r="B52" s="62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55"/>
    </row>
    <row r="53" customFormat="false" ht="18.75" hidden="false" customHeight="true" outlineLevel="0" collapsed="false">
      <c r="A53" s="65" t="s">
        <v>65</v>
      </c>
      <c r="B53" s="62"/>
      <c r="C53" s="66"/>
      <c r="D53" s="66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55"/>
    </row>
    <row r="54" customFormat="false" ht="18.75" hidden="false" customHeight="true" outlineLevel="0" collapsed="false">
      <c r="A54" s="65" t="s">
        <v>66</v>
      </c>
      <c r="B54" s="62"/>
      <c r="C54" s="45" t="e">
        <f aca="false">IF((#REF!+SUM(#REF!+#REF!+#REF!+#REF!+#REF!+#REF!))&gt;0,-(#REF!+SUM(#REF!+#REF!+#REF!+#REF!+#REF!+#REF!))*0.2,0)</f>
        <v>#REF!</v>
      </c>
      <c r="D54" s="45" t="e">
        <f aca="false">IF((#REF!+SUM(#REF!+#REF!+#REF!+#REF!+#REF!+#REF!))&gt;0,-(#REF!+SUM(#REF!+#REF!+#REF!+#REF!+#REF!+#REF!))*0.2,0)</f>
        <v>#REF!</v>
      </c>
      <c r="E54" s="45" t="e">
        <f aca="false">IF((#REF!+SUM(#REF!+#REF!+#REF!+#REF!+#REF!+#REF!))&gt;0,-(#REF!+SUM(#REF!+#REF!+#REF!+#REF!+#REF!+#REF!))*0.2,0)</f>
        <v>#REF!</v>
      </c>
      <c r="F54" s="45" t="e">
        <f aca="false">IF((#REF!+SUM(#REF!+#REF!+#REF!+#REF!+#REF!+#REF!))&gt;0,-(#REF!+SUM(#REF!+#REF!+#REF!+#REF!+#REF!+#REF!))*0.2,0)</f>
        <v>#REF!</v>
      </c>
      <c r="G54" s="45" t="e">
        <f aca="false">IF((#REF!+SUM(#REF!+#REF!+#REF!+#REF!+#REF!+#REF!))&gt;0,-(#REF!+SUM(#REF!+#REF!+#REF!+#REF!+#REF!+#REF!))*0.2,0)</f>
        <v>#REF!</v>
      </c>
      <c r="H54" s="45" t="e">
        <f aca="false">IF((#REF!+SUM(#REF!+#REF!+#REF!+#REF!+#REF!+#REF!))&gt;0,-(#REF!+SUM(#REF!+#REF!+#REF!+#REF!+#REF!+#REF!))*0.2,0)</f>
        <v>#REF!</v>
      </c>
      <c r="I54" s="45" t="e">
        <f aca="false">IF((#REF!+SUM(#REF!+#REF!+#REF!+#REF!+#REF!+#REF!))&gt;0,-(#REF!+SUM(#REF!+#REF!+#REF!+#REF!+#REF!+#REF!))*0.2,0)</f>
        <v>#REF!</v>
      </c>
      <c r="J54" s="45" t="e">
        <f aca="false">IF((#REF!+SUM(#REF!+#REF!+#REF!+#REF!+#REF!+#REF!))&gt;0,-(#REF!+SUM(#REF!+#REF!+#REF!+#REF!+#REF!+#REF!))*0.2,0)</f>
        <v>#REF!</v>
      </c>
      <c r="K54" s="45" t="e">
        <f aca="false">IF((#REF!+SUM(#REF!+#REF!+#REF!+#REF!+#REF!+#REF!))&gt;0,-(#REF!+SUM(#REF!+#REF!+#REF!+#REF!+#REF!+#REF!))*0.2,0)</f>
        <v>#REF!</v>
      </c>
      <c r="L54" s="45" t="e">
        <f aca="false">IF((#REF!+SUM(#REF!+#REF!+#REF!+#REF!+#REF!+#REF!))&gt;0,-(#REF!+SUM(#REF!+#REF!+#REF!+#REF!+#REF!+#REF!))*0.2,0)</f>
        <v>#REF!</v>
      </c>
      <c r="M54" s="45" t="e">
        <f aca="false">IF((#REF!+SUM(#REF!+#REF!+#REF!+#REF!+#REF!+#REF!))&gt;0,-(#REF!+SUM(#REF!+#REF!+#REF!+#REF!+#REF!+#REF!))*0.2,0)</f>
        <v>#REF!</v>
      </c>
      <c r="N54" s="45" t="e">
        <f aca="false">IF((#REF!+SUM(#REF!+#REF!+#REF!+#REF!+#REF!+#REF!))&gt;0,-(#REF!+SUM(#REF!+#REF!+#REF!+#REF!+#REF!+#REF!))*0.2,0)</f>
        <v>#REF!</v>
      </c>
      <c r="O54" s="45" t="e">
        <f aca="false">IF((#REF!+SUM(#REF!+#REF!+#REF!+#REF!+#REF!+#REF!))&gt;0,-(#REF!+SUM(#REF!+#REF!+#REF!+#REF!+#REF!+#REF!))*0.2,0)</f>
        <v>#REF!</v>
      </c>
      <c r="P54" s="45" t="e">
        <f aca="false">IF((#REF!+SUM(#REF!+#REF!+#REF!+#REF!+#REF!+#REF!))&gt;0,-(#REF!+SUM(#REF!+#REF!+#REF!+#REF!+#REF!+#REF!))*0.2,0)</f>
        <v>#REF!</v>
      </c>
      <c r="Q54" s="45" t="e">
        <f aca="false">IF((#REF!+SUM(#REF!+#REF!+#REF!+#REF!+#REF!+#REF!))&gt;0,-(#REF!+SUM(#REF!+#REF!+#REF!+#REF!+#REF!+#REF!))*0.2,0)</f>
        <v>#REF!</v>
      </c>
      <c r="R54" s="45" t="e">
        <f aca="false">IF((#REF!+SUM(#REF!+#REF!+#REF!+#REF!+#REF!+#REF!))&gt;0,-(#REF!+SUM(#REF!+#REF!+#REF!+#REF!+#REF!+#REF!))*0.2,0)</f>
        <v>#REF!</v>
      </c>
      <c r="S54" s="45" t="e">
        <f aca="false">IF((#REF!+SUM(#REF!+#REF!+#REF!+#REF!+#REF!+#REF!))&gt;0,-(#REF!+SUM(#REF!+#REF!+#REF!+#REF!+#REF!+#REF!))*0.2,0)</f>
        <v>#REF!</v>
      </c>
      <c r="T54" s="45" t="e">
        <f aca="false">IF((#REF!+SUM(#REF!+#REF!+#REF!+#REF!+#REF!+#REF!))&gt;0,-(#REF!+SUM(#REF!+#REF!+#REF!+#REF!+#REF!+#REF!))*0.2,0)</f>
        <v>#REF!</v>
      </c>
      <c r="U54" s="45" t="e">
        <f aca="false">IF((#REF!+SUM(#REF!+#REF!+#REF!+#REF!+#REF!+#REF!))&gt;0,-(#REF!+SUM(#REF!+#REF!+#REF!+#REF!+#REF!+#REF!))*0.2,0)</f>
        <v>#REF!</v>
      </c>
      <c r="V54" s="45" t="e">
        <f aca="false">IF((#REF!+SUM(#REF!+#REF!+#REF!+#REF!+#REF!+#REF!))&gt;0,-(#REF!+SUM(#REF!+#REF!+#REF!+#REF!+#REF!+#REF!))*0.2,0)</f>
        <v>#REF!</v>
      </c>
      <c r="W54" s="55"/>
    </row>
    <row r="55" customFormat="false" ht="18.75" hidden="false" customHeight="true" outlineLevel="0" collapsed="false">
      <c r="A55" s="67"/>
      <c r="B55" s="62"/>
      <c r="C55" s="64"/>
      <c r="D55" s="64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47"/>
    </row>
    <row r="56" customFormat="false" ht="18.75" hidden="false" customHeight="true" outlineLevel="0" collapsed="false">
      <c r="A56" s="68" t="s">
        <v>67</v>
      </c>
      <c r="B56" s="69" t="e">
        <f aca="false">B44</f>
        <v>#REF!</v>
      </c>
      <c r="C56" s="70" t="e">
        <f aca="false">SUM(C41:C54)</f>
        <v>#REF!</v>
      </c>
      <c r="D56" s="69" t="e">
        <f aca="false">SUM(D41:D54)</f>
        <v>#REF!</v>
      </c>
      <c r="E56" s="69" t="e">
        <f aca="false">SUM(E41:E54)</f>
        <v>#REF!</v>
      </c>
      <c r="F56" s="69" t="e">
        <f aca="false">SUM(F41:F54)</f>
        <v>#REF!</v>
      </c>
      <c r="G56" s="69" t="e">
        <f aca="false">SUM(G41:G54)</f>
        <v>#REF!</v>
      </c>
      <c r="H56" s="69" t="e">
        <f aca="false">SUM(H41:H54)</f>
        <v>#REF!</v>
      </c>
      <c r="I56" s="69" t="e">
        <f aca="false">SUM(I41:I54)</f>
        <v>#REF!</v>
      </c>
      <c r="J56" s="69" t="e">
        <f aca="false">SUM(J41:J54)</f>
        <v>#REF!</v>
      </c>
      <c r="K56" s="69" t="e">
        <f aca="false">SUM(K41:K54)</f>
        <v>#REF!</v>
      </c>
      <c r="L56" s="69" t="e">
        <f aca="false">SUM(L41:L54)</f>
        <v>#REF!</v>
      </c>
      <c r="M56" s="69" t="e">
        <f aca="false">SUM(M41:M54)</f>
        <v>#REF!</v>
      </c>
      <c r="N56" s="69" t="e">
        <f aca="false">SUM(N41:N54)</f>
        <v>#REF!</v>
      </c>
      <c r="O56" s="69" t="e">
        <f aca="false">SUM(O41:O54)</f>
        <v>#REF!</v>
      </c>
      <c r="P56" s="69" t="e">
        <f aca="false">SUM(P41:P54)</f>
        <v>#REF!</v>
      </c>
      <c r="Q56" s="69" t="e">
        <f aca="false">SUM(Q41:Q54)</f>
        <v>#REF!</v>
      </c>
      <c r="R56" s="69" t="e">
        <f aca="false">SUM(R41:R54)</f>
        <v>#REF!</v>
      </c>
      <c r="S56" s="69" t="e">
        <f aca="false">SUM(S41:S54)</f>
        <v>#REF!</v>
      </c>
      <c r="T56" s="69" t="e">
        <f aca="false">SUM(T41:T54)</f>
        <v>#REF!</v>
      </c>
      <c r="U56" s="69" t="e">
        <f aca="false">SUM(U41:U54)</f>
        <v>#REF!</v>
      </c>
      <c r="V56" s="69" t="e">
        <f aca="false">SUM(V41:V54)</f>
        <v>#REF!</v>
      </c>
      <c r="W56" s="71"/>
      <c r="X56" s="72"/>
      <c r="Y56" s="73"/>
      <c r="Z56" s="72"/>
      <c r="AA56" s="72"/>
      <c r="AB56" s="72"/>
      <c r="AC56" s="72"/>
      <c r="AD56" s="72"/>
      <c r="AE56" s="72"/>
      <c r="AF56" s="72"/>
      <c r="AG56" s="72"/>
      <c r="AH56" s="72"/>
      <c r="AI56" s="72"/>
    </row>
    <row r="57" customFormat="false" ht="15" hidden="false" customHeight="true" outlineLevel="0" collapsed="false">
      <c r="A57" s="74" t="s">
        <v>68</v>
      </c>
      <c r="B57" s="75"/>
      <c r="C57" s="76" t="e">
        <f aca="false">C56+B56</f>
        <v>#REF!</v>
      </c>
      <c r="D57" s="76" t="e">
        <f aca="false">D56+C57</f>
        <v>#REF!</v>
      </c>
      <c r="E57" s="76" t="e">
        <f aca="false">E56+D57</f>
        <v>#REF!</v>
      </c>
      <c r="F57" s="76" t="e">
        <f aca="false">F56+E57</f>
        <v>#REF!</v>
      </c>
      <c r="G57" s="76" t="e">
        <f aca="false">G56+F57</f>
        <v>#REF!</v>
      </c>
      <c r="H57" s="76" t="e">
        <f aca="false">H56+G57</f>
        <v>#REF!</v>
      </c>
      <c r="I57" s="76" t="e">
        <f aca="false">I56+H57</f>
        <v>#REF!</v>
      </c>
      <c r="J57" s="76" t="e">
        <f aca="false">J56+I57</f>
        <v>#REF!</v>
      </c>
      <c r="K57" s="76" t="e">
        <f aca="false">K56+J57</f>
        <v>#REF!</v>
      </c>
      <c r="L57" s="76" t="e">
        <f aca="false">L56+K57</f>
        <v>#REF!</v>
      </c>
      <c r="M57" s="76" t="e">
        <f aca="false">M56+L57</f>
        <v>#REF!</v>
      </c>
      <c r="N57" s="76" t="e">
        <f aca="false">N56+M57</f>
        <v>#REF!</v>
      </c>
      <c r="O57" s="76" t="e">
        <f aca="false">O56+N57</f>
        <v>#REF!</v>
      </c>
      <c r="P57" s="76" t="e">
        <f aca="false">P56+O57</f>
        <v>#REF!</v>
      </c>
      <c r="Q57" s="76" t="e">
        <f aca="false">Q56+P57</f>
        <v>#REF!</v>
      </c>
      <c r="R57" s="76" t="e">
        <f aca="false">R56+Q57</f>
        <v>#REF!</v>
      </c>
      <c r="S57" s="76" t="e">
        <f aca="false">S56+R57</f>
        <v>#REF!</v>
      </c>
      <c r="T57" s="76" t="e">
        <f aca="false">T56+S57</f>
        <v>#REF!</v>
      </c>
      <c r="U57" s="76" t="e">
        <f aca="false">U56+T57</f>
        <v>#REF!</v>
      </c>
      <c r="V57" s="76" t="e">
        <f aca="false">V56+U57</f>
        <v>#REF!</v>
      </c>
      <c r="W57" s="77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</row>
    <row r="58" customFormat="false" ht="18.75" hidden="false" customHeight="true" outlineLevel="0" collapsed="false">
      <c r="A58" s="78" t="s">
        <v>69</v>
      </c>
      <c r="B58" s="75"/>
      <c r="C58" s="79" t="e">
        <f aca="false">IF((C57)&gt;0,"回收","未回收")</f>
        <v>#REF!</v>
      </c>
      <c r="D58" s="79" t="e">
        <f aca="false">IF((D57)&gt;0,"回收","未回收")</f>
        <v>#REF!</v>
      </c>
      <c r="E58" s="79" t="e">
        <f aca="false">IF((E57)&gt;0,"回收","未回收")</f>
        <v>#REF!</v>
      </c>
      <c r="F58" s="79" t="e">
        <f aca="false">IF((F57)&gt;0,"回收","未回收")</f>
        <v>#REF!</v>
      </c>
      <c r="G58" s="79" t="e">
        <f aca="false">IF((G57)&gt;0,"回收","未回收")</f>
        <v>#REF!</v>
      </c>
      <c r="H58" s="79" t="e">
        <f aca="false">IF((H57)&gt;0,"回收","未回收")</f>
        <v>#REF!</v>
      </c>
      <c r="I58" s="79" t="e">
        <f aca="false">IF((I57)&gt;0,"回收","未回收")</f>
        <v>#REF!</v>
      </c>
      <c r="J58" s="79" t="e">
        <f aca="false">IF((J57)&gt;0,"回收","未回收")</f>
        <v>#REF!</v>
      </c>
      <c r="K58" s="79" t="e">
        <f aca="false">IF((K57)&gt;0,"回收","未回收")</f>
        <v>#REF!</v>
      </c>
      <c r="L58" s="79" t="e">
        <f aca="false">IF((L57)&gt;0,"回收","未回收")</f>
        <v>#REF!</v>
      </c>
      <c r="M58" s="79" t="e">
        <f aca="false">IF((M57)&gt;0,"回收","未回收")</f>
        <v>#REF!</v>
      </c>
      <c r="N58" s="79" t="e">
        <f aca="false">IF((N57)&gt;0,"回收","未回收")</f>
        <v>#REF!</v>
      </c>
      <c r="O58" s="79" t="e">
        <f aca="false">IF((O57)&gt;0,"回收","未回收")</f>
        <v>#REF!</v>
      </c>
      <c r="P58" s="79" t="e">
        <f aca="false">IF((P57)&gt;0,"回收","未回收")</f>
        <v>#REF!</v>
      </c>
      <c r="Q58" s="79" t="e">
        <f aca="false">IF((Q57)&gt;0,"回收","未回收")</f>
        <v>#REF!</v>
      </c>
      <c r="R58" s="79" t="e">
        <f aca="false">IF((R57)&gt;0,"回收","未回收")</f>
        <v>#REF!</v>
      </c>
      <c r="S58" s="79" t="e">
        <f aca="false">IF((S57)&gt;0,"回收","未回收")</f>
        <v>#REF!</v>
      </c>
      <c r="T58" s="79" t="e">
        <f aca="false">IF((T57)&gt;0,"回收","未回收")</f>
        <v>#REF!</v>
      </c>
      <c r="U58" s="79" t="e">
        <f aca="false">IF((U57)&gt;0,"回收","未回收")</f>
        <v>#REF!</v>
      </c>
      <c r="V58" s="79" t="e">
        <f aca="false">IF((V57)&gt;0,"回收","未回收")</f>
        <v>#REF!</v>
      </c>
      <c r="W58" s="80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 customFormat="false" ht="18.75" hidden="false" customHeight="true" outlineLevel="0" collapsed="false">
      <c r="A59" s="33"/>
      <c r="B59" s="81"/>
      <c r="C59" s="81"/>
      <c r="D59" s="81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8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</row>
    <row r="60" customFormat="false" ht="18.75" hidden="false" customHeight="true" outlineLevel="0" collapsed="false">
      <c r="A60" s="33"/>
      <c r="B60" s="81"/>
      <c r="C60" s="81"/>
      <c r="D60" s="81"/>
      <c r="E60" s="64"/>
      <c r="F60" s="64"/>
      <c r="G60" s="64"/>
      <c r="H60" s="64"/>
      <c r="I60" s="64"/>
      <c r="J60" s="64"/>
      <c r="K60" s="64" t="s">
        <v>70</v>
      </c>
      <c r="L60" s="83" t="n">
        <v>0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8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</row>
    <row r="61" customFormat="false" ht="18.75" hidden="false" customHeight="true" outlineLevel="0" collapsed="false">
      <c r="A61" s="33"/>
      <c r="B61" s="81"/>
      <c r="C61" s="81"/>
      <c r="D61" s="81"/>
      <c r="E61" s="64"/>
      <c r="F61" s="64"/>
      <c r="G61" s="64"/>
      <c r="H61" s="64"/>
      <c r="I61" s="64"/>
      <c r="J61" s="64"/>
      <c r="K61" s="64" t="s">
        <v>70</v>
      </c>
      <c r="L61" s="83" t="n">
        <v>0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8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</row>
    <row r="62" customFormat="false" ht="18.75" hidden="false" customHeight="true" outlineLevel="0" collapsed="false">
      <c r="B62" s="84" t="s">
        <v>48</v>
      </c>
      <c r="C62" s="85" t="n">
        <v>2020</v>
      </c>
      <c r="D62" s="85" t="n">
        <v>2021</v>
      </c>
      <c r="E62" s="85" t="n">
        <v>2022</v>
      </c>
      <c r="F62" s="85" t="n">
        <v>2023</v>
      </c>
      <c r="G62" s="85" t="n">
        <v>2024</v>
      </c>
      <c r="H62" s="85" t="n">
        <v>2025</v>
      </c>
      <c r="I62" s="85" t="n">
        <v>2026</v>
      </c>
      <c r="J62" s="85" t="n">
        <v>2027</v>
      </c>
      <c r="K62" s="85" t="n">
        <v>2028</v>
      </c>
      <c r="L62" s="85" t="n">
        <v>2029</v>
      </c>
      <c r="M62" s="85" t="n">
        <v>2030</v>
      </c>
      <c r="N62" s="85" t="n">
        <v>2031</v>
      </c>
      <c r="O62" s="85" t="n">
        <v>2032</v>
      </c>
      <c r="P62" s="85" t="n">
        <v>2033</v>
      </c>
      <c r="Q62" s="85" t="n">
        <v>2034</v>
      </c>
      <c r="R62" s="85" t="n">
        <v>2035</v>
      </c>
      <c r="S62" s="85" t="n">
        <v>2036</v>
      </c>
      <c r="T62" s="85" t="n">
        <v>2037</v>
      </c>
      <c r="U62" s="85" t="n">
        <v>2038</v>
      </c>
      <c r="V62" s="85" t="n">
        <v>2039</v>
      </c>
      <c r="W62" s="72"/>
    </row>
    <row r="63" customFormat="false" ht="18.75" hidden="false" customHeight="true" outlineLevel="0" collapsed="false">
      <c r="W63" s="72"/>
    </row>
    <row r="64" customFormat="false" ht="18.75" hidden="false" customHeight="true" outlineLevel="0" collapsed="false">
      <c r="A64" s="86" t="s">
        <v>51</v>
      </c>
      <c r="B64" s="87" t="n">
        <v>0</v>
      </c>
      <c r="C64" s="87" t="n">
        <v>1</v>
      </c>
      <c r="D64" s="87" t="n">
        <v>2</v>
      </c>
      <c r="E64" s="87" t="n">
        <v>3</v>
      </c>
      <c r="F64" s="87" t="n">
        <v>4</v>
      </c>
      <c r="G64" s="87" t="n">
        <v>5</v>
      </c>
      <c r="H64" s="87" t="n">
        <v>6</v>
      </c>
      <c r="I64" s="87" t="n">
        <v>7</v>
      </c>
      <c r="J64" s="87" t="n">
        <v>8</v>
      </c>
      <c r="K64" s="87" t="n">
        <v>9</v>
      </c>
      <c r="L64" s="87" t="n">
        <v>10</v>
      </c>
      <c r="M64" s="87" t="n">
        <v>11</v>
      </c>
      <c r="N64" s="87" t="n">
        <v>12</v>
      </c>
      <c r="O64" s="87" t="n">
        <v>13</v>
      </c>
      <c r="P64" s="87" t="n">
        <v>14</v>
      </c>
      <c r="Q64" s="87" t="n">
        <v>15</v>
      </c>
      <c r="R64" s="87" t="n">
        <v>16</v>
      </c>
      <c r="S64" s="87" t="n">
        <v>17</v>
      </c>
      <c r="T64" s="87" t="n">
        <v>18</v>
      </c>
      <c r="U64" s="87" t="n">
        <v>19</v>
      </c>
      <c r="V64" s="87" t="n">
        <v>20</v>
      </c>
      <c r="W64" s="88"/>
    </row>
    <row r="65" customFormat="false" ht="18.75" hidden="false" customHeight="true" outlineLevel="0" collapsed="false">
      <c r="A65" s="89" t="s">
        <v>71</v>
      </c>
      <c r="B65" s="90"/>
      <c r="C65" s="90" t="e">
        <f aca="false">#REF!</f>
        <v>#REF!</v>
      </c>
      <c r="D65" s="90" t="e">
        <f aca="false">#REF!</f>
        <v>#REF!</v>
      </c>
      <c r="E65" s="90" t="e">
        <f aca="false">#REF!</f>
        <v>#REF!</v>
      </c>
      <c r="F65" s="90" t="e">
        <f aca="false">#REF!</f>
        <v>#REF!</v>
      </c>
      <c r="G65" s="90" t="e">
        <f aca="false">#REF!</f>
        <v>#REF!</v>
      </c>
      <c r="H65" s="90" t="e">
        <f aca="false">#REF!</f>
        <v>#REF!</v>
      </c>
      <c r="I65" s="90" t="e">
        <f aca="false">#REF!</f>
        <v>#REF!</v>
      </c>
      <c r="J65" s="90" t="e">
        <f aca="false">#REF!</f>
        <v>#REF!</v>
      </c>
      <c r="K65" s="90" t="e">
        <f aca="false">#REF!</f>
        <v>#REF!</v>
      </c>
      <c r="L65" s="90" t="e">
        <f aca="false">#REF!</f>
        <v>#REF!</v>
      </c>
      <c r="M65" s="90" t="e">
        <f aca="false">#REF!</f>
        <v>#REF!</v>
      </c>
      <c r="N65" s="90" t="e">
        <f aca="false">#REF!</f>
        <v>#REF!</v>
      </c>
      <c r="O65" s="90" t="e">
        <f aca="false">#REF!</f>
        <v>#REF!</v>
      </c>
      <c r="P65" s="90" t="e">
        <f aca="false">#REF!</f>
        <v>#REF!</v>
      </c>
      <c r="Q65" s="90" t="e">
        <f aca="false">#REF!</f>
        <v>#REF!</v>
      </c>
      <c r="R65" s="90" t="e">
        <f aca="false">#REF!</f>
        <v>#REF!</v>
      </c>
      <c r="S65" s="90" t="e">
        <f aca="false">#REF!</f>
        <v>#REF!</v>
      </c>
      <c r="T65" s="90" t="e">
        <f aca="false">#REF!</f>
        <v>#REF!</v>
      </c>
      <c r="U65" s="90" t="e">
        <f aca="false">#REF!</f>
        <v>#REF!</v>
      </c>
      <c r="V65" s="90" t="e">
        <f aca="false">#REF!</f>
        <v>#REF!</v>
      </c>
      <c r="W65" s="91"/>
    </row>
    <row r="66" customFormat="false" ht="18.75" hidden="false" customHeight="true" outlineLevel="0" collapsed="false">
      <c r="A66" s="89" t="s">
        <v>72</v>
      </c>
      <c r="B66" s="90"/>
      <c r="C66" s="92" t="e">
        <f aca="false">-#REF!</f>
        <v>#REF!</v>
      </c>
      <c r="D66" s="92" t="e">
        <f aca="false">-#REF!</f>
        <v>#REF!</v>
      </c>
      <c r="E66" s="92" t="e">
        <f aca="false">-#REF!</f>
        <v>#REF!</v>
      </c>
      <c r="F66" s="92" t="e">
        <f aca="false">-#REF!</f>
        <v>#REF!</v>
      </c>
      <c r="G66" s="92" t="e">
        <f aca="false">-#REF!</f>
        <v>#REF!</v>
      </c>
      <c r="H66" s="92" t="e">
        <f aca="false">-#REF!</f>
        <v>#REF!</v>
      </c>
      <c r="I66" s="92" t="e">
        <f aca="false">-#REF!</f>
        <v>#REF!</v>
      </c>
      <c r="J66" s="92" t="e">
        <f aca="false">-#REF!</f>
        <v>#REF!</v>
      </c>
      <c r="K66" s="92" t="e">
        <f aca="false">-#REF!</f>
        <v>#REF!</v>
      </c>
      <c r="L66" s="92" t="e">
        <f aca="false">-#REF!</f>
        <v>#REF!</v>
      </c>
      <c r="M66" s="92" t="e">
        <f aca="false">-#REF!</f>
        <v>#REF!</v>
      </c>
      <c r="N66" s="92" t="e">
        <f aca="false">-#REF!</f>
        <v>#REF!</v>
      </c>
      <c r="O66" s="92" t="e">
        <f aca="false">-#REF!</f>
        <v>#REF!</v>
      </c>
      <c r="P66" s="92" t="e">
        <f aca="false">-#REF!</f>
        <v>#REF!</v>
      </c>
      <c r="Q66" s="92" t="e">
        <f aca="false">-#REF!</f>
        <v>#REF!</v>
      </c>
      <c r="R66" s="92" t="e">
        <f aca="false">-#REF!</f>
        <v>#REF!</v>
      </c>
      <c r="S66" s="92" t="e">
        <f aca="false">-#REF!</f>
        <v>#REF!</v>
      </c>
      <c r="T66" s="92" t="e">
        <f aca="false">-#REF!</f>
        <v>#REF!</v>
      </c>
      <c r="U66" s="92" t="e">
        <f aca="false">-#REF!</f>
        <v>#REF!</v>
      </c>
      <c r="V66" s="92" t="e">
        <f aca="false">-#REF!</f>
        <v>#REF!</v>
      </c>
      <c r="W66" s="91"/>
    </row>
    <row r="67" customFormat="false" ht="18.75" hidden="false" customHeight="true" outlineLevel="0" collapsed="false">
      <c r="A67" s="89" t="s">
        <v>73</v>
      </c>
      <c r="B67" s="90"/>
      <c r="C67" s="93" t="e">
        <f aca="false">SUM(C65:C66)</f>
        <v>#REF!</v>
      </c>
      <c r="D67" s="93" t="e">
        <f aca="false">SUM(D65:D66)</f>
        <v>#REF!</v>
      </c>
      <c r="E67" s="93" t="e">
        <f aca="false">SUM(E65:E66)</f>
        <v>#REF!</v>
      </c>
      <c r="F67" s="93" t="e">
        <f aca="false">SUM(F65:F66)</f>
        <v>#REF!</v>
      </c>
      <c r="G67" s="93" t="e">
        <f aca="false">SUM(G65:G66)</f>
        <v>#REF!</v>
      </c>
      <c r="H67" s="93" t="e">
        <f aca="false">SUM(H65:H66)</f>
        <v>#REF!</v>
      </c>
      <c r="I67" s="93" t="e">
        <f aca="false">SUM(I65:I66)</f>
        <v>#REF!</v>
      </c>
      <c r="J67" s="93" t="e">
        <f aca="false">SUM(J65:J66)</f>
        <v>#REF!</v>
      </c>
      <c r="K67" s="93" t="e">
        <f aca="false">SUM(K65:K66)</f>
        <v>#REF!</v>
      </c>
      <c r="L67" s="93" t="e">
        <f aca="false">SUM(L65:L66)</f>
        <v>#REF!</v>
      </c>
      <c r="M67" s="93" t="e">
        <f aca="false">SUM(M65:M66)</f>
        <v>#REF!</v>
      </c>
      <c r="N67" s="93" t="e">
        <f aca="false">SUM(N65:N66)</f>
        <v>#REF!</v>
      </c>
      <c r="O67" s="93" t="e">
        <f aca="false">SUM(O65:O66)</f>
        <v>#REF!</v>
      </c>
      <c r="P67" s="93" t="e">
        <f aca="false">SUM(P65:P66)</f>
        <v>#REF!</v>
      </c>
      <c r="Q67" s="93" t="e">
        <f aca="false">SUM(Q65:Q66)</f>
        <v>#REF!</v>
      </c>
      <c r="R67" s="93" t="e">
        <f aca="false">SUM(R65:R66)</f>
        <v>#REF!</v>
      </c>
      <c r="S67" s="93" t="e">
        <f aca="false">SUM(S65:S66)</f>
        <v>#REF!</v>
      </c>
      <c r="T67" s="93" t="e">
        <f aca="false">SUM(T65:T66)</f>
        <v>#REF!</v>
      </c>
      <c r="U67" s="93" t="e">
        <f aca="false">SUM(U65:U66)</f>
        <v>#REF!</v>
      </c>
      <c r="V67" s="93" t="e">
        <f aca="false">SUM(V65:V66)</f>
        <v>#REF!</v>
      </c>
      <c r="W67" s="73"/>
    </row>
    <row r="68" customFormat="false" ht="18.75" hidden="false" customHeight="true" outlineLevel="0" collapsed="false">
      <c r="A68" s="89"/>
      <c r="B68" s="90"/>
      <c r="C68" s="90"/>
      <c r="D68" s="90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72"/>
    </row>
    <row r="69" customFormat="false" ht="18.75" hidden="false" customHeight="true" outlineLevel="0" collapsed="false">
      <c r="A69" s="95" t="s">
        <v>74</v>
      </c>
      <c r="B69" s="96"/>
      <c r="C69" s="97" t="e">
        <f aca="false">B44</f>
        <v>#REF!</v>
      </c>
      <c r="D69" s="96" t="n">
        <v>0</v>
      </c>
      <c r="E69" s="96"/>
      <c r="F69" s="96" t="n">
        <v>0</v>
      </c>
      <c r="G69" s="96" t="n">
        <v>0</v>
      </c>
      <c r="H69" s="96" t="n">
        <v>0</v>
      </c>
      <c r="I69" s="96" t="n">
        <v>0</v>
      </c>
      <c r="J69" s="96" t="n">
        <v>0</v>
      </c>
      <c r="K69" s="96" t="n">
        <v>0</v>
      </c>
      <c r="L69" s="96" t="n">
        <v>0</v>
      </c>
      <c r="M69" s="96" t="n">
        <v>0</v>
      </c>
      <c r="N69" s="96" t="n">
        <v>0</v>
      </c>
      <c r="O69" s="96" t="n">
        <v>0</v>
      </c>
      <c r="P69" s="96" t="n">
        <v>0</v>
      </c>
      <c r="Q69" s="96" t="n">
        <v>0</v>
      </c>
      <c r="R69" s="96" t="n">
        <v>0</v>
      </c>
      <c r="S69" s="96" t="n">
        <v>0</v>
      </c>
      <c r="T69" s="96" t="n">
        <v>0</v>
      </c>
      <c r="U69" s="96" t="n">
        <v>0</v>
      </c>
      <c r="V69" s="96" t="n">
        <v>0</v>
      </c>
      <c r="W69" s="91"/>
    </row>
    <row r="70" customFormat="false" ht="18.75" hidden="false" customHeight="true" outlineLevel="0" collapsed="false">
      <c r="A70" s="89"/>
      <c r="B70" s="90"/>
      <c r="C70" s="90"/>
      <c r="D70" s="90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72"/>
    </row>
    <row r="71" customFormat="false" ht="18.75" hidden="false" customHeight="true" outlineLevel="0" collapsed="false">
      <c r="A71" s="89"/>
      <c r="B71" s="90"/>
      <c r="C71" s="90"/>
      <c r="D71" s="90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72"/>
    </row>
    <row r="72" customFormat="false" ht="18.75" hidden="false" customHeight="true" outlineLevel="0" collapsed="false">
      <c r="A72" s="95" t="s">
        <v>75</v>
      </c>
      <c r="B72" s="96"/>
      <c r="C72" s="97" t="e">
        <f aca="false">#REF!*0.8</f>
        <v>#REF!</v>
      </c>
      <c r="D72" s="96"/>
      <c r="E72" s="96"/>
      <c r="F72" s="96" t="n">
        <v>0</v>
      </c>
      <c r="G72" s="96" t="n">
        <v>0</v>
      </c>
      <c r="H72" s="96" t="n">
        <v>0</v>
      </c>
      <c r="I72" s="96" t="n">
        <v>0</v>
      </c>
      <c r="J72" s="96" t="n">
        <v>0</v>
      </c>
      <c r="K72" s="96" t="n">
        <v>0</v>
      </c>
      <c r="L72" s="96" t="n">
        <v>0</v>
      </c>
      <c r="M72" s="96" t="n">
        <v>0</v>
      </c>
      <c r="N72" s="96" t="n">
        <v>0</v>
      </c>
      <c r="O72" s="96" t="n">
        <v>0</v>
      </c>
      <c r="P72" s="96" t="n">
        <v>0</v>
      </c>
      <c r="Q72" s="96" t="n">
        <v>0</v>
      </c>
      <c r="R72" s="96" t="n">
        <v>0</v>
      </c>
      <c r="S72" s="96" t="n">
        <v>0</v>
      </c>
      <c r="T72" s="96" t="n">
        <v>0</v>
      </c>
      <c r="U72" s="96" t="n">
        <v>0</v>
      </c>
      <c r="V72" s="96" t="n">
        <v>0</v>
      </c>
      <c r="W72" s="72"/>
    </row>
    <row r="73" customFormat="false" ht="18.75" hidden="false" customHeight="true" outlineLevel="0" collapsed="false">
      <c r="A73" s="89" t="s">
        <v>76</v>
      </c>
      <c r="B73" s="90"/>
      <c r="C73" s="90"/>
      <c r="D73" s="90" t="e">
        <f aca="false">-#REF!</f>
        <v>#REF!</v>
      </c>
      <c r="E73" s="90" t="e">
        <f aca="false">-#REF!</f>
        <v>#REF!</v>
      </c>
      <c r="F73" s="90" t="e">
        <f aca="false">-#REF!</f>
        <v>#REF!</v>
      </c>
      <c r="G73" s="90" t="e">
        <f aca="false">-#REF!</f>
        <v>#REF!</v>
      </c>
      <c r="H73" s="90" t="e">
        <f aca="false">-#REF!</f>
        <v>#REF!</v>
      </c>
      <c r="I73" s="90" t="e">
        <f aca="false">-#REF!</f>
        <v>#REF!</v>
      </c>
      <c r="J73" s="90" t="e">
        <f aca="false">-#REF!</f>
        <v>#REF!</v>
      </c>
      <c r="K73" s="90" t="e">
        <f aca="false">-#REF!</f>
        <v>#REF!</v>
      </c>
      <c r="L73" s="90" t="e">
        <f aca="false">-#REF!</f>
        <v>#REF!</v>
      </c>
      <c r="M73" s="90" t="e">
        <f aca="false">-#REF!</f>
        <v>#REF!</v>
      </c>
      <c r="N73" s="90" t="e">
        <f aca="false">-#REF!</f>
        <v>#REF!</v>
      </c>
      <c r="O73" s="90" t="e">
        <f aca="false">-#REF!</f>
        <v>#REF!</v>
      </c>
      <c r="P73" s="90" t="e">
        <f aca="false">-#REF!</f>
        <v>#REF!</v>
      </c>
      <c r="Q73" s="90" t="e">
        <f aca="false">-#REF!</f>
        <v>#REF!</v>
      </c>
      <c r="R73" s="90" t="e">
        <f aca="false">-#REF!</f>
        <v>#REF!</v>
      </c>
      <c r="S73" s="94"/>
      <c r="T73" s="94"/>
      <c r="U73" s="94"/>
      <c r="V73" s="94"/>
      <c r="W73" s="91"/>
    </row>
    <row r="74" customFormat="false" ht="18.75" hidden="false" customHeight="true" outlineLevel="0" collapsed="false">
      <c r="A74" s="89" t="s">
        <v>77</v>
      </c>
      <c r="B74" s="94"/>
      <c r="C74" s="90" t="e">
        <f aca="false">#REF!*0.2</f>
        <v>#REF!</v>
      </c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73"/>
    </row>
    <row r="75" customFormat="false" ht="18.75" hidden="false" customHeight="true" outlineLevel="0" collapsed="false">
      <c r="A75" s="89" t="s">
        <v>45</v>
      </c>
      <c r="B75" s="94"/>
      <c r="C75" s="94"/>
      <c r="D75" s="98" t="e">
        <f aca="false">-C65*0.9</f>
        <v>#REF!</v>
      </c>
      <c r="E75" s="90" t="e">
        <f aca="false">-D65*0.9</f>
        <v>#REF!</v>
      </c>
      <c r="F75" s="90" t="e">
        <f aca="false">-E65*0.9</f>
        <v>#REF!</v>
      </c>
      <c r="G75" s="90" t="e">
        <f aca="false">-F65*0.9</f>
        <v>#REF!</v>
      </c>
      <c r="H75" s="90" t="e">
        <f aca="false">-G65*0.9</f>
        <v>#REF!</v>
      </c>
      <c r="I75" s="90" t="e">
        <f aca="false">-H65*0.9</f>
        <v>#REF!</v>
      </c>
      <c r="J75" s="90" t="e">
        <f aca="false">-I65*0.9</f>
        <v>#REF!</v>
      </c>
      <c r="K75" s="90" t="e">
        <f aca="false">-J65*0.9</f>
        <v>#REF!</v>
      </c>
      <c r="L75" s="90" t="e">
        <f aca="false">-K65*0.9</f>
        <v>#REF!</v>
      </c>
      <c r="M75" s="90" t="e">
        <f aca="false">-L65*0.9</f>
        <v>#REF!</v>
      </c>
      <c r="N75" s="90" t="e">
        <f aca="false">-M65*0.9</f>
        <v>#REF!</v>
      </c>
      <c r="O75" s="90" t="e">
        <f aca="false">-N65*0.9</f>
        <v>#REF!</v>
      </c>
      <c r="P75" s="90" t="e">
        <f aca="false">-O65*0.9</f>
        <v>#REF!</v>
      </c>
      <c r="Q75" s="90" t="e">
        <f aca="false">-P65*0.9</f>
        <v>#REF!</v>
      </c>
      <c r="R75" s="90" t="e">
        <f aca="false">-Q65*0.9</f>
        <v>#REF!</v>
      </c>
      <c r="S75" s="90" t="e">
        <f aca="false">-R65*0.9</f>
        <v>#REF!</v>
      </c>
      <c r="T75" s="90" t="e">
        <f aca="false">-S65*0.9</f>
        <v>#REF!</v>
      </c>
      <c r="U75" s="94"/>
      <c r="V75" s="90" t="e">
        <f aca="false">-U65*0.9</f>
        <v>#REF!</v>
      </c>
      <c r="W75" s="73"/>
    </row>
    <row r="76" customFormat="false" ht="18.75" hidden="false" customHeight="true" outlineLevel="0" collapsed="false">
      <c r="A76" s="99" t="s">
        <v>47</v>
      </c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1" t="e">
        <f aca="false">-$C$74/4</f>
        <v>#REF!</v>
      </c>
      <c r="R76" s="101" t="e">
        <f aca="false">-$C$74/4</f>
        <v>#REF!</v>
      </c>
      <c r="S76" s="101" t="e">
        <f aca="false">-$C$74/4</f>
        <v>#REF!</v>
      </c>
      <c r="T76" s="101" t="e">
        <f aca="false">-$C$74/4</f>
        <v>#REF!</v>
      </c>
      <c r="U76" s="100"/>
      <c r="V76" s="100"/>
      <c r="W76" s="73"/>
    </row>
    <row r="77" customFormat="false" ht="18.75" hidden="false" customHeight="true" outlineLevel="0" collapsed="false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73"/>
    </row>
    <row r="78" customFormat="false" ht="18.75" hidden="false" customHeight="true" outlineLevel="0" collapsed="false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73"/>
    </row>
    <row r="79" customFormat="false" ht="18.75" hidden="false" customHeight="true" outlineLevel="0" collapsed="false">
      <c r="A79" s="89" t="s">
        <v>78</v>
      </c>
      <c r="B79" s="94" t="n">
        <f aca="false">SUM(B69:B78)</f>
        <v>0</v>
      </c>
      <c r="C79" s="93" t="e">
        <f aca="false">SUM(C67:C78)</f>
        <v>#REF!</v>
      </c>
      <c r="D79" s="93" t="e">
        <f aca="false">SUM(D67:D78)</f>
        <v>#REF!</v>
      </c>
      <c r="E79" s="93" t="e">
        <f aca="false">SUM(E67:E78)</f>
        <v>#REF!</v>
      </c>
      <c r="F79" s="93" t="e">
        <f aca="false">SUM(F67:F78)</f>
        <v>#REF!</v>
      </c>
      <c r="G79" s="93" t="e">
        <f aca="false">SUM(G67:G78)</f>
        <v>#REF!</v>
      </c>
      <c r="H79" s="93" t="e">
        <f aca="false">SUM(H67:H78)</f>
        <v>#REF!</v>
      </c>
      <c r="I79" s="93" t="e">
        <f aca="false">SUM(I67:I78)</f>
        <v>#REF!</v>
      </c>
      <c r="J79" s="93" t="e">
        <f aca="false">SUM(J67:J78)</f>
        <v>#REF!</v>
      </c>
      <c r="K79" s="93" t="e">
        <f aca="false">SUM(K67:K78)</f>
        <v>#REF!</v>
      </c>
      <c r="L79" s="93" t="e">
        <f aca="false">SUM(L67:L78)</f>
        <v>#REF!</v>
      </c>
      <c r="M79" s="93" t="e">
        <f aca="false">SUM(M67:M78)</f>
        <v>#REF!</v>
      </c>
      <c r="N79" s="93" t="e">
        <f aca="false">SUM(N67:N78)</f>
        <v>#REF!</v>
      </c>
      <c r="O79" s="93" t="e">
        <f aca="false">SUM(O67:O78)</f>
        <v>#REF!</v>
      </c>
      <c r="P79" s="93" t="e">
        <f aca="false">SUM(P67:P78)</f>
        <v>#REF!</v>
      </c>
      <c r="Q79" s="93" t="e">
        <f aca="false">SUM(Q67:Q78)</f>
        <v>#REF!</v>
      </c>
      <c r="R79" s="93" t="e">
        <f aca="false">SUM(R67:R78)</f>
        <v>#REF!</v>
      </c>
      <c r="S79" s="93" t="e">
        <f aca="false">SUM(S67:S78)</f>
        <v>#REF!</v>
      </c>
      <c r="T79" s="93" t="e">
        <f aca="false">SUM(T67:T78)</f>
        <v>#REF!</v>
      </c>
      <c r="U79" s="93" t="e">
        <f aca="false">SUM(U67:U78)</f>
        <v>#REF!</v>
      </c>
      <c r="V79" s="93" t="e">
        <f aca="false">SUM(V67:V78)</f>
        <v>#REF!</v>
      </c>
      <c r="W79" s="73"/>
    </row>
    <row r="80" customFormat="false" ht="18.75" hidden="false" customHeight="true" outlineLevel="0" collapsed="false">
      <c r="A80" s="89" t="s">
        <v>79</v>
      </c>
      <c r="B80" s="94" t="n">
        <v>0</v>
      </c>
      <c r="C80" s="94" t="n">
        <f aca="false">B81</f>
        <v>0</v>
      </c>
      <c r="D80" s="90" t="e">
        <f aca="false">C81</f>
        <v>#REF!</v>
      </c>
      <c r="E80" s="90" t="e">
        <f aca="false">D81</f>
        <v>#REF!</v>
      </c>
      <c r="F80" s="90" t="e">
        <f aca="false">E81</f>
        <v>#REF!</v>
      </c>
      <c r="G80" s="90" t="e">
        <f aca="false">F81</f>
        <v>#REF!</v>
      </c>
      <c r="H80" s="90" t="e">
        <f aca="false">G81</f>
        <v>#REF!</v>
      </c>
      <c r="I80" s="90" t="e">
        <f aca="false">H81</f>
        <v>#REF!</v>
      </c>
      <c r="J80" s="90" t="e">
        <f aca="false">I81</f>
        <v>#REF!</v>
      </c>
      <c r="K80" s="90" t="e">
        <f aca="false">J81</f>
        <v>#REF!</v>
      </c>
      <c r="L80" s="90" t="e">
        <f aca="false">K81</f>
        <v>#REF!</v>
      </c>
      <c r="M80" s="90" t="e">
        <f aca="false">L81</f>
        <v>#REF!</v>
      </c>
      <c r="N80" s="90" t="e">
        <f aca="false">M81</f>
        <v>#REF!</v>
      </c>
      <c r="O80" s="90" t="e">
        <f aca="false">N81</f>
        <v>#REF!</v>
      </c>
      <c r="P80" s="90" t="e">
        <f aca="false">O81</f>
        <v>#REF!</v>
      </c>
      <c r="Q80" s="90" t="e">
        <f aca="false">P81</f>
        <v>#REF!</v>
      </c>
      <c r="R80" s="90" t="e">
        <f aca="false">Q81</f>
        <v>#REF!</v>
      </c>
      <c r="S80" s="90" t="e">
        <f aca="false">R81</f>
        <v>#REF!</v>
      </c>
      <c r="T80" s="90" t="e">
        <f aca="false">S81</f>
        <v>#REF!</v>
      </c>
      <c r="U80" s="94"/>
      <c r="V80" s="94"/>
      <c r="W80" s="72"/>
    </row>
    <row r="81" customFormat="false" ht="18.75" hidden="false" customHeight="true" outlineLevel="0" collapsed="false">
      <c r="A81" s="89" t="s">
        <v>80</v>
      </c>
      <c r="B81" s="94" t="n">
        <f aca="false">B79</f>
        <v>0</v>
      </c>
      <c r="C81" s="90" t="e">
        <f aca="false">C79+C80</f>
        <v>#REF!</v>
      </c>
      <c r="D81" s="90" t="e">
        <f aca="false">D79+D80</f>
        <v>#REF!</v>
      </c>
      <c r="E81" s="90" t="e">
        <f aca="false">E79+E80</f>
        <v>#REF!</v>
      </c>
      <c r="F81" s="90" t="e">
        <f aca="false">F79+F80</f>
        <v>#REF!</v>
      </c>
      <c r="G81" s="90" t="e">
        <f aca="false">G79+G80</f>
        <v>#REF!</v>
      </c>
      <c r="H81" s="90" t="e">
        <f aca="false">H79+H80</f>
        <v>#REF!</v>
      </c>
      <c r="I81" s="90" t="e">
        <f aca="false">I79+I80</f>
        <v>#REF!</v>
      </c>
      <c r="J81" s="90" t="e">
        <f aca="false">J79+J80</f>
        <v>#REF!</v>
      </c>
      <c r="K81" s="90" t="e">
        <f aca="false">K79+K80</f>
        <v>#REF!</v>
      </c>
      <c r="L81" s="90" t="e">
        <f aca="false">L79+L80</f>
        <v>#REF!</v>
      </c>
      <c r="M81" s="90" t="e">
        <f aca="false">M79+M80</f>
        <v>#REF!</v>
      </c>
      <c r="N81" s="90" t="e">
        <f aca="false">N79+N80</f>
        <v>#REF!</v>
      </c>
      <c r="O81" s="90" t="e">
        <f aca="false">O79+O80</f>
        <v>#REF!</v>
      </c>
      <c r="P81" s="90" t="e">
        <f aca="false">P79+P80</f>
        <v>#REF!</v>
      </c>
      <c r="Q81" s="90" t="e">
        <f aca="false">Q79+Q80</f>
        <v>#REF!</v>
      </c>
      <c r="R81" s="90" t="e">
        <f aca="false">R79+R80</f>
        <v>#REF!</v>
      </c>
      <c r="S81" s="90" t="e">
        <f aca="false">S79+S80</f>
        <v>#REF!</v>
      </c>
      <c r="T81" s="90" t="e">
        <f aca="false">T79+T80</f>
        <v>#REF!</v>
      </c>
      <c r="U81" s="94"/>
      <c r="V81" s="94"/>
      <c r="W81" s="72"/>
    </row>
    <row r="82" customFormat="false" ht="18.75" hidden="false" customHeight="true" outlineLevel="0" collapsed="false">
      <c r="A82" s="89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102"/>
    </row>
    <row r="83" customFormat="false" ht="18.75" hidden="false" customHeight="true" outlineLevel="0" collapsed="false">
      <c r="A83" s="89"/>
      <c r="B83" s="90"/>
      <c r="C83" s="90"/>
      <c r="D83" s="90"/>
      <c r="E83" s="94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102"/>
    </row>
    <row r="84" customFormat="false" ht="18.75" hidden="false" customHeight="true" outlineLevel="0" collapsed="false">
      <c r="A84" s="103" t="s">
        <v>81</v>
      </c>
      <c r="B84" s="104"/>
      <c r="C84" s="105" t="e">
        <f aca="false">-C74</f>
        <v>#REF!</v>
      </c>
      <c r="D84" s="93" t="e">
        <f aca="false">-D75-D76</f>
        <v>#REF!</v>
      </c>
      <c r="E84" s="93" t="e">
        <f aca="false">-E75-E76</f>
        <v>#REF!</v>
      </c>
      <c r="F84" s="93" t="e">
        <f aca="false">-F75-F76</f>
        <v>#REF!</v>
      </c>
      <c r="G84" s="93" t="e">
        <f aca="false">-G75-G76</f>
        <v>#REF!</v>
      </c>
      <c r="H84" s="93" t="e">
        <f aca="false">-H75-H76</f>
        <v>#REF!</v>
      </c>
      <c r="I84" s="93" t="e">
        <f aca="false">-I75-I76</f>
        <v>#REF!</v>
      </c>
      <c r="J84" s="93" t="e">
        <f aca="false">-J75-J76</f>
        <v>#REF!</v>
      </c>
      <c r="K84" s="93" t="e">
        <f aca="false">-K75-K76</f>
        <v>#REF!</v>
      </c>
      <c r="L84" s="93" t="e">
        <f aca="false">-L75-L76</f>
        <v>#REF!</v>
      </c>
      <c r="M84" s="93" t="e">
        <f aca="false">-M75-M76</f>
        <v>#REF!</v>
      </c>
      <c r="N84" s="93" t="e">
        <f aca="false">-N75-N76</f>
        <v>#REF!</v>
      </c>
      <c r="O84" s="93" t="e">
        <f aca="false">-O75-O76</f>
        <v>#REF!</v>
      </c>
      <c r="P84" s="93" t="e">
        <f aca="false">-P75-P76</f>
        <v>#REF!</v>
      </c>
      <c r="Q84" s="93" t="e">
        <f aca="false">-Q75-Q76</f>
        <v>#REF!</v>
      </c>
      <c r="R84" s="93" t="e">
        <f aca="false">-R75-R76</f>
        <v>#REF!</v>
      </c>
      <c r="S84" s="93" t="e">
        <f aca="false">-S75-S76</f>
        <v>#REF!</v>
      </c>
      <c r="T84" s="93" t="e">
        <f aca="false">-T75-T76</f>
        <v>#REF!</v>
      </c>
      <c r="U84" s="104" t="n">
        <f aca="false">-U75-U76</f>
        <v>-0</v>
      </c>
      <c r="V84" s="93" t="e">
        <f aca="false">-V75-V76</f>
        <v>#REF!</v>
      </c>
      <c r="W84" s="73"/>
    </row>
    <row r="85" customFormat="false" ht="18.75" hidden="false" customHeight="true" outlineLevel="0" collapsed="false">
      <c r="A85" s="89" t="s">
        <v>82</v>
      </c>
      <c r="B85" s="106" t="e">
        <f aca="false">IRR(C84:V84)</f>
        <v>#REF!</v>
      </c>
      <c r="C85" s="107"/>
      <c r="D85" s="107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102"/>
    </row>
    <row r="86" customFormat="false" ht="18.75" hidden="false" customHeight="true" outlineLevel="0" collapsed="false">
      <c r="A86" s="103" t="s">
        <v>83</v>
      </c>
      <c r="B86" s="104"/>
      <c r="C86" s="105" t="e">
        <f aca="false">#REF!-C74</f>
        <v>#REF!</v>
      </c>
      <c r="D86" s="93" t="e">
        <f aca="false">#REF!</f>
        <v>#REF!</v>
      </c>
      <c r="E86" s="93" t="e">
        <f aca="false">#REF!-E76</f>
        <v>#REF!</v>
      </c>
      <c r="F86" s="93" t="e">
        <f aca="false">#REF!-F76</f>
        <v>#REF!</v>
      </c>
      <c r="G86" s="93" t="e">
        <f aca="false">#REF!-G76</f>
        <v>#REF!</v>
      </c>
      <c r="H86" s="93" t="e">
        <f aca="false">#REF!-H76</f>
        <v>#REF!</v>
      </c>
      <c r="I86" s="93" t="e">
        <f aca="false">#REF!-I76</f>
        <v>#REF!</v>
      </c>
      <c r="J86" s="93" t="e">
        <f aca="false">#REF!-J76</f>
        <v>#REF!</v>
      </c>
      <c r="K86" s="93" t="e">
        <f aca="false">#REF!-K76</f>
        <v>#REF!</v>
      </c>
      <c r="L86" s="93" t="e">
        <f aca="false">#REF!-L76</f>
        <v>#REF!</v>
      </c>
      <c r="M86" s="93" t="e">
        <f aca="false">#REF!-M76</f>
        <v>#REF!</v>
      </c>
      <c r="N86" s="93" t="e">
        <f aca="false">#REF!-N76</f>
        <v>#REF!</v>
      </c>
      <c r="O86" s="93" t="e">
        <f aca="false">#REF!-O76</f>
        <v>#REF!</v>
      </c>
      <c r="P86" s="93" t="e">
        <f aca="false">#REF!-P76</f>
        <v>#REF!</v>
      </c>
      <c r="Q86" s="93" t="e">
        <f aca="false">#REF!-Q76</f>
        <v>#REF!</v>
      </c>
      <c r="R86" s="93" t="e">
        <f aca="false">#REF!-R76</f>
        <v>#REF!</v>
      </c>
      <c r="S86" s="93" t="e">
        <f aca="false">#REF!-S76</f>
        <v>#REF!</v>
      </c>
      <c r="T86" s="93" t="e">
        <f aca="false">#REF!-T76</f>
        <v>#REF!</v>
      </c>
      <c r="U86" s="93" t="e">
        <f aca="false">#REF!-U76</f>
        <v>#REF!</v>
      </c>
      <c r="V86" s="93" t="e">
        <f aca="false">#REF!-V76</f>
        <v>#REF!</v>
      </c>
      <c r="W86" s="91"/>
    </row>
    <row r="87" customFormat="false" ht="18.75" hidden="false" customHeight="true" outlineLevel="0" collapsed="false">
      <c r="A87" s="103" t="s">
        <v>84</v>
      </c>
      <c r="B87" s="106" t="e">
        <f aca="false">IRR(C86:V86)</f>
        <v>#REF!</v>
      </c>
      <c r="C87" s="107"/>
      <c r="D87" s="107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102"/>
    </row>
    <row r="88" customFormat="false" ht="18.75" hidden="false" customHeight="true" outlineLevel="0" collapsed="false">
      <c r="A88" s="89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102"/>
    </row>
    <row r="89" customFormat="false" ht="18.75" hidden="false" customHeight="true" outlineLevel="0" collapsed="false">
      <c r="A89" s="89" t="s">
        <v>85</v>
      </c>
      <c r="B89" s="94" t="n">
        <v>0</v>
      </c>
      <c r="C89" s="90" t="e">
        <f aca="false">C72</f>
        <v>#REF!</v>
      </c>
      <c r="D89" s="90" t="e">
        <f aca="false">C89+D72+D73</f>
        <v>#REF!</v>
      </c>
      <c r="E89" s="90" t="e">
        <f aca="false">D89+E72+E73</f>
        <v>#REF!</v>
      </c>
      <c r="F89" s="90" t="e">
        <f aca="false">E89+F72+F73</f>
        <v>#REF!</v>
      </c>
      <c r="G89" s="90" t="e">
        <f aca="false">F89+G72+G73</f>
        <v>#REF!</v>
      </c>
      <c r="H89" s="90" t="e">
        <f aca="false">G89+H72+H73</f>
        <v>#REF!</v>
      </c>
      <c r="I89" s="90" t="e">
        <f aca="false">H89+I72+I73</f>
        <v>#REF!</v>
      </c>
      <c r="J89" s="90" t="e">
        <f aca="false">I89+J72+J73</f>
        <v>#REF!</v>
      </c>
      <c r="K89" s="90" t="e">
        <f aca="false">J89+K72+K73</f>
        <v>#REF!</v>
      </c>
      <c r="L89" s="90" t="e">
        <f aca="false">K89+L72+L73</f>
        <v>#REF!</v>
      </c>
      <c r="M89" s="90" t="e">
        <f aca="false">L89+M72+M73</f>
        <v>#REF!</v>
      </c>
      <c r="N89" s="90" t="e">
        <f aca="false">M89+N72+N73</f>
        <v>#REF!</v>
      </c>
      <c r="O89" s="90" t="e">
        <f aca="false">N89+O72+O73</f>
        <v>#REF!</v>
      </c>
      <c r="P89" s="90" t="e">
        <f aca="false">O89+P72+P73</f>
        <v>#REF!</v>
      </c>
      <c r="Q89" s="90" t="e">
        <f aca="false">P89+Q72+Q73</f>
        <v>#REF!</v>
      </c>
      <c r="R89" s="90" t="e">
        <f aca="false">Q89+R72+R73</f>
        <v>#REF!</v>
      </c>
      <c r="S89" s="94"/>
      <c r="T89" s="94"/>
      <c r="U89" s="94"/>
      <c r="V89" s="94"/>
      <c r="W89" s="94"/>
    </row>
    <row r="90" customFormat="false" ht="18.75" hidden="false" customHeight="true" outlineLevel="0" collapsed="false"/>
    <row r="91" customFormat="false" ht="18.75" hidden="false" customHeight="true" outlineLevel="0" collapsed="false">
      <c r="A91" s="108"/>
    </row>
    <row r="92" customFormat="false" ht="18.75" hidden="false" customHeight="true" outlineLevel="0" collapsed="false">
      <c r="F92" s="73"/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21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86</v>
      </c>
      <c r="B1" s="0" t="s">
        <v>87</v>
      </c>
      <c r="C1" s="0" t="s">
        <v>88</v>
      </c>
      <c r="D1" s="0" t="s">
        <v>82</v>
      </c>
      <c r="E1" s="0" t="s">
        <v>84</v>
      </c>
      <c r="F1" s="0" t="s">
        <v>23</v>
      </c>
      <c r="G1" s="0" t="s">
        <v>89</v>
      </c>
      <c r="H1" s="0" t="s">
        <v>90</v>
      </c>
      <c r="I1" s="0" t="s">
        <v>24</v>
      </c>
      <c r="J1" s="0" t="s">
        <v>91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109" t="n">
        <v>0.0167</v>
      </c>
      <c r="D2" s="109" t="n">
        <v>0.0125</v>
      </c>
      <c r="E2" s="109" t="n">
        <v>0.0127</v>
      </c>
      <c r="F2" s="109" t="n">
        <v>0.3</v>
      </c>
      <c r="G2" s="0" t="n">
        <v>6541500</v>
      </c>
      <c r="H2" s="0" t="n">
        <v>15000</v>
      </c>
      <c r="I2" s="0" t="n">
        <v>3000</v>
      </c>
      <c r="J2" s="0" t="s">
        <v>92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109" t="n">
        <v>0.0217</v>
      </c>
      <c r="D3" s="109" t="n">
        <v>0.0265</v>
      </c>
      <c r="E3" s="109" t="n">
        <v>0.0275</v>
      </c>
      <c r="F3" s="109" t="n">
        <v>0.3</v>
      </c>
      <c r="G3" s="0" t="n">
        <v>6167762.3</v>
      </c>
      <c r="H3" s="0" t="n">
        <v>14143</v>
      </c>
      <c r="I3" s="0" t="n">
        <v>3000</v>
      </c>
      <c r="J3" s="0" t="s">
        <v>93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109" t="n">
        <v>0.0272</v>
      </c>
      <c r="D4" s="109" t="n">
        <v>0.0416</v>
      </c>
      <c r="E4" s="109" t="n">
        <v>0.0443</v>
      </c>
      <c r="F4" s="109" t="n">
        <v>0.3</v>
      </c>
      <c r="G4" s="0" t="n">
        <v>5794024.6</v>
      </c>
      <c r="H4" s="0" t="n">
        <v>13286</v>
      </c>
      <c r="I4" s="0" t="n">
        <v>3000</v>
      </c>
      <c r="J4" s="0" t="s">
        <v>94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109" t="n">
        <v>0.0332</v>
      </c>
      <c r="D5" s="109" t="n">
        <v>0.0582</v>
      </c>
      <c r="E5" s="109" t="n">
        <v>0.0637</v>
      </c>
      <c r="F5" s="109" t="n">
        <v>0.3</v>
      </c>
      <c r="G5" s="0" t="n">
        <v>5420286.9</v>
      </c>
      <c r="H5" s="0" t="n">
        <v>12429</v>
      </c>
      <c r="I5" s="0" t="n">
        <v>3000</v>
      </c>
      <c r="J5" s="0" t="s">
        <v>95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109" t="n">
        <v>0.0399</v>
      </c>
      <c r="D6" s="109" t="n">
        <v>0.0767</v>
      </c>
      <c r="E6" s="109" t="n">
        <v>0.0865</v>
      </c>
      <c r="F6" s="109" t="n">
        <v>0.3</v>
      </c>
      <c r="G6" s="0" t="n">
        <v>5046113.1</v>
      </c>
      <c r="H6" s="0" t="n">
        <v>11571</v>
      </c>
      <c r="I6" s="0" t="n">
        <v>3000</v>
      </c>
      <c r="J6" s="0" t="s">
        <v>96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109" t="n">
        <v>0.0474</v>
      </c>
      <c r="D7" s="109" t="n">
        <v>0.0976</v>
      </c>
      <c r="E7" s="109" t="n">
        <v>0.114</v>
      </c>
      <c r="F7" s="109" t="n">
        <v>0.3</v>
      </c>
      <c r="G7" s="0" t="n">
        <v>4672375.4</v>
      </c>
      <c r="H7" s="0" t="n">
        <v>10714</v>
      </c>
      <c r="I7" s="0" t="n">
        <v>3000</v>
      </c>
      <c r="J7" s="0" t="s">
        <v>97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109" t="n">
        <v>0.0557</v>
      </c>
      <c r="D8" s="109" t="n">
        <v>0.1218</v>
      </c>
      <c r="E8" s="109" t="n">
        <v>0.1479</v>
      </c>
      <c r="F8" s="109" t="n">
        <v>0.3</v>
      </c>
      <c r="G8" s="0" t="n">
        <v>4298637.7</v>
      </c>
      <c r="H8" s="0" t="n">
        <v>9857</v>
      </c>
      <c r="I8" s="0" t="n">
        <v>3000</v>
      </c>
      <c r="J8" s="0" t="s">
        <v>98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109" t="n">
        <v>0.0652</v>
      </c>
      <c r="D9" s="109" t="n">
        <v>0.1502</v>
      </c>
      <c r="E9" s="109" t="n">
        <v>0.1916</v>
      </c>
      <c r="F9" s="109" t="n">
        <v>0.3</v>
      </c>
      <c r="G9" s="0" t="n">
        <v>3924900</v>
      </c>
      <c r="H9" s="0" t="n">
        <v>9000</v>
      </c>
      <c r="I9" s="0" t="n">
        <v>3000</v>
      </c>
      <c r="J9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18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18" t="n">
        <v>436.1</v>
      </c>
      <c r="D4" s="119" t="s">
        <v>3</v>
      </c>
      <c r="E4" s="119" t="s">
        <v>3</v>
      </c>
      <c r="M4" s="0" t="s">
        <v>101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102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103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104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105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108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-23113300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-45790.5</v>
      </c>
      <c r="E49" s="170" t="n">
        <v>-45790.5</v>
      </c>
      <c r="F49" s="170" t="n">
        <v>-45790.5</v>
      </c>
      <c r="G49" s="170" t="n">
        <v>-45790.5</v>
      </c>
      <c r="H49" s="170" t="n">
        <v>-45790.5</v>
      </c>
      <c r="I49" s="170" t="n">
        <v>-45790.5</v>
      </c>
      <c r="J49" s="170" t="n">
        <v>-45790.5</v>
      </c>
      <c r="K49" s="170" t="n">
        <v>-45790.5</v>
      </c>
      <c r="L49" s="170" t="n">
        <v>-45790.5</v>
      </c>
      <c r="M49" s="170" t="n">
        <v>-45790.5</v>
      </c>
      <c r="N49" s="170" t="n">
        <v>-45790.5</v>
      </c>
      <c r="O49" s="170" t="n">
        <v>-45790.5</v>
      </c>
      <c r="P49" s="170" t="n">
        <v>-45790.5</v>
      </c>
      <c r="Q49" s="170" t="n">
        <v>-45790.5</v>
      </c>
      <c r="R49" s="170" t="n">
        <v>-45790.5</v>
      </c>
      <c r="S49" s="170" t="n">
        <v>-45790.5</v>
      </c>
      <c r="T49" s="170" t="n">
        <v>-45790.5</v>
      </c>
      <c r="U49" s="170" t="n">
        <v>-45790.5</v>
      </c>
      <c r="V49" s="170" t="n">
        <v>-45790.5</v>
      </c>
      <c r="W49" s="170" t="n">
        <v>-45790.5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-118478.8224192</v>
      </c>
      <c r="E54" s="170" t="n">
        <f aca="false">-(E64+E67+E68+E71+E72+E73+E74)*0.2</f>
        <v>-58812.84495488</v>
      </c>
      <c r="F54" s="170" t="n">
        <f aca="false">-(F64+F67+F68+F71+F72+F73+F74)*0.2</f>
        <v>-57187.06749056</v>
      </c>
      <c r="G54" s="170" t="n">
        <f aca="false">-(G64+G67+G68+G71+G72+G73+G74)*0.2</f>
        <v>-55561.29002624</v>
      </c>
      <c r="H54" s="170" t="n">
        <f aca="false">-(H64+H67+H68+H71+H72+H73+H74)*0.2</f>
        <v>-53935.51256192</v>
      </c>
      <c r="I54" s="170" t="n">
        <f aca="false">-(I64+I67+I68+I71+I72+I73+I74)*0.2</f>
        <v>-52309.7350976</v>
      </c>
      <c r="J54" s="170" t="n">
        <f aca="false">-(J64+J67+J68+J71+J72+J73+J74)*0.2</f>
        <v>-50683.95763328</v>
      </c>
      <c r="K54" s="170" t="n">
        <f aca="false">-(K64+K67+K68+K71+K72+K73+K74)*0.2</f>
        <v>-49058.18016896</v>
      </c>
      <c r="L54" s="170" t="n">
        <f aca="false">-(L64+L67+L68+L71+L72+L73+L74)*0.2</f>
        <v>-47432.40270464</v>
      </c>
      <c r="M54" s="170" t="n">
        <f aca="false">-(M64+M67+M68+M71+M72+M73+M74)*0.2</f>
        <v>-45806.62524032</v>
      </c>
      <c r="N54" s="170" t="n">
        <f aca="false">-(N64+N67+N68+N71+N72+N73+N74)*0.2</f>
        <v>-52902.847776</v>
      </c>
      <c r="O54" s="170" t="n">
        <f aca="false">-(O64+O67+O68+O71+O72+O73+O74)*0.2</f>
        <v>-51277.07031168</v>
      </c>
      <c r="P54" s="170" t="n">
        <f aca="false">-(P64+P67+P68+P71+P72+P73+P74)*0.2</f>
        <v>-49651.29284736</v>
      </c>
      <c r="Q54" s="170" t="n">
        <f aca="false">-(Q64+Q67+Q68+Q71+Q72+Q73+Q74)*0.2</f>
        <v>-48025.51538304</v>
      </c>
      <c r="R54" s="170" t="n">
        <f aca="false">-(R64+R67+R68+R71+R72+R73+R74)*0.2</f>
        <v>-46399.73791872</v>
      </c>
      <c r="S54" s="170" t="n">
        <f aca="false">-(S64+S67+S68+S71+S72+S73+S74)*0.2</f>
        <v>-44773.9604544</v>
      </c>
      <c r="T54" s="170" t="n">
        <f aca="false">-(T64+T67+T68+T71+T72+T73+T74)*0.2</f>
        <v>-43148.1829900799</v>
      </c>
      <c r="U54" s="170" t="n">
        <f aca="false">-(U64+U67+U68+U71+U72+U73+U74)*0.2</f>
        <v>-41522.40552576</v>
      </c>
      <c r="V54" s="170" t="n">
        <f aca="false">-(V64+V67+V68+V71+V72+V73+V74)*0.2</f>
        <v>-39896.6280614399</v>
      </c>
      <c r="W54" s="170" t="n">
        <f aca="false">-(W64+W67+W68+W71+W72+W73+W74)*0.2</f>
        <v>-38270.85059712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-23113300</v>
      </c>
      <c r="D55" s="175" t="n">
        <f aca="false">SUM(D41:D54)</f>
        <v>1629580.2896768</v>
      </c>
      <c r="E55" s="175" t="n">
        <f aca="false">SUM(E41:E54)</f>
        <v>1390916.37981952</v>
      </c>
      <c r="F55" s="175" t="n">
        <f aca="false">SUM(F41:F54)</f>
        <v>1384413.26996224</v>
      </c>
      <c r="G55" s="175" t="n">
        <f aca="false">SUM(G41:G54)</f>
        <v>1377910.16010496</v>
      </c>
      <c r="H55" s="175" t="n">
        <f aca="false">SUM(H41:H54)</f>
        <v>1371407.05024768</v>
      </c>
      <c r="I55" s="175" t="n">
        <f aca="false">SUM(I41:I54)</f>
        <v>1364903.9403904</v>
      </c>
      <c r="J55" s="175" t="n">
        <f aca="false">SUM(J41:J54)</f>
        <v>1358400.83053312</v>
      </c>
      <c r="K55" s="175" t="n">
        <f aca="false">SUM(K41:K54)</f>
        <v>1351897.72067584</v>
      </c>
      <c r="L55" s="175" t="n">
        <f aca="false">SUM(L41:L54)</f>
        <v>1345394.61081856</v>
      </c>
      <c r="M55" s="175" t="n">
        <f aca="false">SUM(M41:M54)</f>
        <v>1338891.50096128</v>
      </c>
      <c r="N55" s="175" t="n">
        <f aca="false">SUM(N41:N54)</f>
        <v>1367276.391104</v>
      </c>
      <c r="O55" s="175" t="n">
        <f aca="false">SUM(O41:O54)</f>
        <v>1360773.28124672</v>
      </c>
      <c r="P55" s="175" t="n">
        <f aca="false">SUM(P41:P54)</f>
        <v>1354270.17138944</v>
      </c>
      <c r="Q55" s="175" t="n">
        <f aca="false">SUM(Q41:Q54)</f>
        <v>1347767.06153216</v>
      </c>
      <c r="R55" s="175" t="n">
        <f aca="false">SUM(R41:R54)</f>
        <v>1341263.95167488</v>
      </c>
      <c r="S55" s="175" t="n">
        <f aca="false">SUM(S41:S54)</f>
        <v>1334760.8418176</v>
      </c>
      <c r="T55" s="175" t="n">
        <f aca="false">SUM(T41:T54)</f>
        <v>1328257.73196032</v>
      </c>
      <c r="U55" s="175" t="n">
        <f aca="false">SUM(U41:U54)</f>
        <v>1321754.62210304</v>
      </c>
      <c r="V55" s="175" t="n">
        <f aca="false">SUM(V41:V54)</f>
        <v>1315251.51224576</v>
      </c>
      <c r="W55" s="175" t="n">
        <f aca="false">SUM(W41:W54)</f>
        <v>1308748.40238848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-21483719.7103232</v>
      </c>
      <c r="E56" s="180" t="n">
        <f aca="false">D56+E55</f>
        <v>-20092803.3305037</v>
      </c>
      <c r="F56" s="180" t="n">
        <f aca="false">E56+F55</f>
        <v>-18708390.0605414</v>
      </c>
      <c r="G56" s="180" t="n">
        <f aca="false">F56+G55</f>
        <v>-17330479.9004365</v>
      </c>
      <c r="H56" s="180" t="n">
        <f aca="false">G56+H55</f>
        <v>-15959072.8501888</v>
      </c>
      <c r="I56" s="180" t="n">
        <f aca="false">H56+I55</f>
        <v>-14594168.9097984</v>
      </c>
      <c r="J56" s="180" t="n">
        <f aca="false">I56+J55</f>
        <v>-13235768.0792653</v>
      </c>
      <c r="K56" s="180" t="n">
        <f aca="false">J56+K55</f>
        <v>-11883870.3585894</v>
      </c>
      <c r="L56" s="180" t="n">
        <f aca="false">K56+L55</f>
        <v>-10538475.7477709</v>
      </c>
      <c r="M56" s="180" t="n">
        <f aca="false">L56+M55</f>
        <v>-9199584.2468096</v>
      </c>
      <c r="N56" s="180" t="n">
        <f aca="false">M56+N55</f>
        <v>-7832307.8557056</v>
      </c>
      <c r="O56" s="180" t="n">
        <f aca="false">N56+O55</f>
        <v>-6471534.57445888</v>
      </c>
      <c r="P56" s="180" t="n">
        <f aca="false">O56+P55</f>
        <v>-5117264.40306944</v>
      </c>
      <c r="Q56" s="180" t="n">
        <f aca="false">P56+Q55</f>
        <v>-3769497.34153728</v>
      </c>
      <c r="R56" s="180" t="n">
        <f aca="false">Q56+R55</f>
        <v>-2428233.3898624</v>
      </c>
      <c r="S56" s="180" t="n">
        <f aca="false">R56+S55</f>
        <v>-1093472.5480448</v>
      </c>
      <c r="T56" s="180" t="n">
        <f aca="false">S56+T55</f>
        <v>234785.183915519</v>
      </c>
      <c r="U56" s="180" t="n">
        <f aca="false">T56+U55</f>
        <v>1556539.80601856</v>
      </c>
      <c r="V56" s="180" t="n">
        <f aca="false">U56+V55</f>
        <v>2871791.31826432</v>
      </c>
      <c r="W56" s="180" t="n">
        <f aca="false">V56+W55</f>
        <v>4180539.7206528</v>
      </c>
      <c r="X56" s="180" t="n">
        <f aca="false">W56+X55</f>
        <v>4180539.7206528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0.0166864685310401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-1155665</v>
      </c>
      <c r="E67" s="191" t="n">
        <f aca="false">$C$44/$E$16</f>
        <v>-1155665</v>
      </c>
      <c r="F67" s="191" t="n">
        <f aca="false">$C$44/$E$16</f>
        <v>-1155665</v>
      </c>
      <c r="G67" s="191" t="n">
        <f aca="false">$C$44/$E$16</f>
        <v>-1155665</v>
      </c>
      <c r="H67" s="191" t="n">
        <f aca="false">$C$44/$E$16</f>
        <v>-1155665</v>
      </c>
      <c r="I67" s="191" t="n">
        <f aca="false">$C$44/$E$16</f>
        <v>-1155665</v>
      </c>
      <c r="J67" s="191" t="n">
        <f aca="false">$C$44/$E$16</f>
        <v>-1155665</v>
      </c>
      <c r="K67" s="191" t="n">
        <f aca="false">$C$44/$E$16</f>
        <v>-1155665</v>
      </c>
      <c r="L67" s="191" t="n">
        <f aca="false">$C$44/$E$16</f>
        <v>-1155665</v>
      </c>
      <c r="M67" s="191" t="n">
        <f aca="false">$C$44/$E$16</f>
        <v>-1155665</v>
      </c>
      <c r="N67" s="191" t="n">
        <f aca="false">$C$44/$E$16</f>
        <v>-1155665</v>
      </c>
      <c r="O67" s="191" t="n">
        <f aca="false">$C$44/$E$16</f>
        <v>-1155665</v>
      </c>
      <c r="P67" s="191" t="n">
        <f aca="false">$C$44/$E$16</f>
        <v>-1155665</v>
      </c>
      <c r="Q67" s="191" t="n">
        <f aca="false">$C$44/$E$16</f>
        <v>-1155665</v>
      </c>
      <c r="R67" s="191" t="n">
        <f aca="false">$C$44/$E$16</f>
        <v>-1155665</v>
      </c>
      <c r="S67" s="191" t="n">
        <f aca="false">$C$44/$E$16</f>
        <v>-1155665</v>
      </c>
      <c r="T67" s="191" t="n">
        <f aca="false">$C$44/$E$16</f>
        <v>-1155665</v>
      </c>
      <c r="U67" s="191" t="n">
        <f aca="false">$C$44/$E$16</f>
        <v>-1155665</v>
      </c>
      <c r="V67" s="191" t="n">
        <f aca="false">$C$44/$E$16</f>
        <v>-1155665</v>
      </c>
      <c r="W67" s="191" t="n">
        <f aca="false">$C$44/$E$16</f>
        <v>-1155665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-473267.9308</v>
      </c>
      <c r="E70" s="170" t="n">
        <f aca="false">-E109*$D25</f>
        <v>-441716.735413333</v>
      </c>
      <c r="F70" s="170" t="n">
        <f aca="false">-F109*$D25</f>
        <v>-410165.540026667</v>
      </c>
      <c r="G70" s="170" t="n">
        <f aca="false">-G109*$D25</f>
        <v>-378614.34464</v>
      </c>
      <c r="H70" s="170" t="n">
        <f aca="false">-H109*$D25</f>
        <v>-347063.149253333</v>
      </c>
      <c r="I70" s="170" t="n">
        <f aca="false">-I109*$D25</f>
        <v>-315511.953866667</v>
      </c>
      <c r="J70" s="170" t="n">
        <f aca="false">-J109*$D25</f>
        <v>-283960.75848</v>
      </c>
      <c r="K70" s="170" t="n">
        <f aca="false">-K109*$D25</f>
        <v>-252409.563093334</v>
      </c>
      <c r="L70" s="170" t="n">
        <f aca="false">-L109*$D25</f>
        <v>-220858.367706667</v>
      </c>
      <c r="M70" s="170" t="n">
        <f aca="false">-M109*$D25</f>
        <v>-189307.17232</v>
      </c>
      <c r="N70" s="170" t="n">
        <f aca="false">-N109*$D25</f>
        <v>-157755.976933334</v>
      </c>
      <c r="O70" s="170" t="n">
        <f aca="false">-O109*$D25</f>
        <v>-126204.781546667</v>
      </c>
      <c r="P70" s="170" t="n">
        <f aca="false">-P109*$D25</f>
        <v>-94653.5861600003</v>
      </c>
      <c r="Q70" s="170" t="n">
        <f aca="false">-Q109*$D25</f>
        <v>-63102.3907733336</v>
      </c>
      <c r="R70" s="170" t="n">
        <f aca="false">-R109*$D25</f>
        <v>-31551.195386667</v>
      </c>
      <c r="S70" s="170" t="n">
        <f aca="false">-S109*$D25</f>
        <v>-3.09883616864681E-010</v>
      </c>
      <c r="T70" s="170" t="n">
        <f aca="false">-T109*$D25</f>
        <v>-3.09883616864681E-010</v>
      </c>
      <c r="U70" s="170" t="n">
        <f aca="false">-U109*$D25</f>
        <v>-3.09883616864681E-010</v>
      </c>
      <c r="V70" s="170" t="n">
        <f aca="false">-V109*$D25</f>
        <v>-3.09883616864681E-010</v>
      </c>
      <c r="W70" s="170" t="n">
        <f aca="false">-W109*$D25</f>
        <v>-3.09883616864681E-010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-45790.5</v>
      </c>
      <c r="E72" s="170" t="n">
        <f aca="false">E49</f>
        <v>-45790.5</v>
      </c>
      <c r="F72" s="170" t="n">
        <f aca="false">F49</f>
        <v>-45790.5</v>
      </c>
      <c r="G72" s="170" t="n">
        <f aca="false">G49</f>
        <v>-45790.5</v>
      </c>
      <c r="H72" s="170" t="n">
        <f aca="false">H49</f>
        <v>-45790.5</v>
      </c>
      <c r="I72" s="170" t="n">
        <f aca="false">I49</f>
        <v>-45790.5</v>
      </c>
      <c r="J72" s="170" t="n">
        <f aca="false">J49</f>
        <v>-45790.5</v>
      </c>
      <c r="K72" s="170" t="n">
        <f aca="false">K49</f>
        <v>-45790.5</v>
      </c>
      <c r="L72" s="170" t="n">
        <f aca="false">L49</f>
        <v>-45790.5</v>
      </c>
      <c r="M72" s="170" t="n">
        <f aca="false">M49</f>
        <v>-45790.5</v>
      </c>
      <c r="N72" s="170" t="n">
        <f aca="false">N49</f>
        <v>-45790.5</v>
      </c>
      <c r="O72" s="170" t="n">
        <f aca="false">O49</f>
        <v>-45790.5</v>
      </c>
      <c r="P72" s="170" t="n">
        <f aca="false">P49</f>
        <v>-45790.5</v>
      </c>
      <c r="Q72" s="170" t="n">
        <f aca="false">Q49</f>
        <v>-45790.5</v>
      </c>
      <c r="R72" s="170" t="n">
        <f aca="false">R49</f>
        <v>-45790.5</v>
      </c>
      <c r="S72" s="170" t="n">
        <f aca="false">S49</f>
        <v>-45790.5</v>
      </c>
      <c r="T72" s="170" t="n">
        <f aca="false">T49</f>
        <v>-45790.5</v>
      </c>
      <c r="U72" s="170" t="n">
        <f aca="false">U49</f>
        <v>-45790.5</v>
      </c>
      <c r="V72" s="170" t="n">
        <f aca="false">V49</f>
        <v>-45790.5</v>
      </c>
      <c r="W72" s="170" t="n">
        <f aca="false">W49</f>
        <v>-45790.5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119126.181296</v>
      </c>
      <c r="E76" s="175" t="n">
        <f aca="false">SUM(E64:E75)</f>
        <v>-147652.510638934</v>
      </c>
      <c r="F76" s="175" t="n">
        <f aca="false">SUM(F64:F75)</f>
        <v>-124230.202573867</v>
      </c>
      <c r="G76" s="175" t="n">
        <f aca="false">SUM(G64:G75)</f>
        <v>-100807.8945088</v>
      </c>
      <c r="H76" s="175" t="n">
        <f aca="false">SUM(H64:H75)</f>
        <v>-77385.5864437337</v>
      </c>
      <c r="I76" s="175" t="n">
        <f aca="false">SUM(I64:I75)</f>
        <v>-53963.278378667</v>
      </c>
      <c r="J76" s="175" t="n">
        <f aca="false">SUM(J64:J75)</f>
        <v>-30540.9703136001</v>
      </c>
      <c r="K76" s="175" t="n">
        <f aca="false">SUM(K64:K75)</f>
        <v>-7118.66224853374</v>
      </c>
      <c r="L76" s="175" t="n">
        <f aca="false">SUM(L64:L75)</f>
        <v>16303.6458165329</v>
      </c>
      <c r="M76" s="175" t="n">
        <f aca="false">SUM(M64:M75)</f>
        <v>39725.9538815996</v>
      </c>
      <c r="N76" s="175" t="n">
        <f aca="false">SUM(N64:N75)</f>
        <v>106758.261946666</v>
      </c>
      <c r="O76" s="175" t="n">
        <f aca="false">SUM(O64:O75)</f>
        <v>130180.570011733</v>
      </c>
      <c r="P76" s="175" t="n">
        <f aca="false">SUM(P64:P75)</f>
        <v>153602.8780768</v>
      </c>
      <c r="Q76" s="175" t="n">
        <f aca="false">SUM(Q64:Q75)</f>
        <v>177025.186141866</v>
      </c>
      <c r="R76" s="175" t="n">
        <f aca="false">SUM(R64:R75)</f>
        <v>200447.494206933</v>
      </c>
      <c r="S76" s="175" t="n">
        <f aca="false">SUM(S64:S75)</f>
        <v>223869.802272</v>
      </c>
      <c r="T76" s="175" t="n">
        <f aca="false">SUM(T64:T75)</f>
        <v>215740.914950399</v>
      </c>
      <c r="U76" s="175" t="n">
        <f aca="false">SUM(U64:U75)</f>
        <v>207612.0276288</v>
      </c>
      <c r="V76" s="175" t="n">
        <f aca="false">SUM(V64:V75)</f>
        <v>199483.140307199</v>
      </c>
      <c r="W76" s="175" t="n">
        <f aca="false">SUM(W64:W75)</f>
        <v>191354.2529856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-23825.2362592</v>
      </c>
      <c r="E77" s="170" t="n">
        <f aca="false">-E76*0.2</f>
        <v>29530.5021277867</v>
      </c>
      <c r="F77" s="170" t="n">
        <f aca="false">-F76*0.2</f>
        <v>24846.0405147733</v>
      </c>
      <c r="G77" s="170" t="n">
        <f aca="false">-G76*0.2</f>
        <v>20161.57890176</v>
      </c>
      <c r="H77" s="170" t="n">
        <f aca="false">-H76*0.2</f>
        <v>15477.1172887467</v>
      </c>
      <c r="I77" s="170" t="n">
        <f aca="false">-I76*0.2</f>
        <v>10792.6556757334</v>
      </c>
      <c r="J77" s="170" t="n">
        <f aca="false">-J76*0.2</f>
        <v>6108.19406272003</v>
      </c>
      <c r="K77" s="170" t="n">
        <f aca="false">-K76*0.2</f>
        <v>1423.73244970675</v>
      </c>
      <c r="L77" s="170" t="n">
        <f aca="false">-L76*0.2</f>
        <v>-3260.72916330659</v>
      </c>
      <c r="M77" s="170" t="n">
        <f aca="false">-M76*0.2</f>
        <v>-7945.19077631991</v>
      </c>
      <c r="N77" s="170" t="n">
        <f aca="false">-N76*0.2</f>
        <v>-21351.6523893333</v>
      </c>
      <c r="O77" s="170" t="n">
        <f aca="false">-O76*0.2</f>
        <v>-26036.1140023466</v>
      </c>
      <c r="P77" s="170" t="n">
        <f aca="false">-P76*0.2</f>
        <v>-30720.5756153599</v>
      </c>
      <c r="Q77" s="170" t="n">
        <f aca="false">-Q76*0.2</f>
        <v>-35405.0372283733</v>
      </c>
      <c r="R77" s="170" t="n">
        <f aca="false">-R76*0.2</f>
        <v>-40089.4988413866</v>
      </c>
      <c r="S77" s="170" t="n">
        <f aca="false">-S76*0.2</f>
        <v>-44773.9604543999</v>
      </c>
      <c r="T77" s="170" t="n">
        <f aca="false">-T76*0.2</f>
        <v>-43148.1829900799</v>
      </c>
      <c r="U77" s="170" t="n">
        <f aca="false">-U76*0.2</f>
        <v>-41522.4055257599</v>
      </c>
      <c r="V77" s="170" t="n">
        <f aca="false">-V76*0.2</f>
        <v>-39896.6280614399</v>
      </c>
      <c r="W77" s="170" t="n">
        <f aca="false">-W76*0.2</f>
        <v>-38270.8505971199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95300.9450367998</v>
      </c>
      <c r="E78" s="170" t="n">
        <f aca="false">SUM(E76:E77)</f>
        <v>-118122.008511147</v>
      </c>
      <c r="F78" s="170" t="n">
        <f aca="false">SUM(F76:F77)</f>
        <v>-99384.1620590934</v>
      </c>
      <c r="G78" s="170" t="n">
        <f aca="false">SUM(G76:G77)</f>
        <v>-80646.31560704</v>
      </c>
      <c r="H78" s="170" t="n">
        <f aca="false">SUM(H76:H77)</f>
        <v>-61908.4691549869</v>
      </c>
      <c r="I78" s="170" t="n">
        <f aca="false">SUM(I76:I77)</f>
        <v>-43170.6227029336</v>
      </c>
      <c r="J78" s="170" t="n">
        <f aca="false">SUM(J76:J77)</f>
        <v>-24432.7762508801</v>
      </c>
      <c r="K78" s="170" t="n">
        <f aca="false">SUM(K76:K77)</f>
        <v>-5694.929798827</v>
      </c>
      <c r="L78" s="170" t="n">
        <f aca="false">SUM(L76:L77)</f>
        <v>13042.9166532263</v>
      </c>
      <c r="M78" s="170" t="n">
        <f aca="false">SUM(M76:M77)</f>
        <v>31780.7631052797</v>
      </c>
      <c r="N78" s="170" t="n">
        <f aca="false">SUM(N76:N77)</f>
        <v>85406.609557333</v>
      </c>
      <c r="O78" s="170" t="n">
        <f aca="false">SUM(O76:O77)</f>
        <v>104144.456009386</v>
      </c>
      <c r="P78" s="170" t="n">
        <f aca="false">SUM(P76:P77)</f>
        <v>122882.30246144</v>
      </c>
      <c r="Q78" s="170" t="n">
        <f aca="false">SUM(Q76:Q77)</f>
        <v>141620.148913493</v>
      </c>
      <c r="R78" s="170" t="n">
        <f aca="false">SUM(R76:R77)</f>
        <v>160357.995365546</v>
      </c>
      <c r="S78" s="170" t="n">
        <f aca="false">SUM(S76:S77)</f>
        <v>179095.8418176</v>
      </c>
      <c r="T78" s="170" t="n">
        <f aca="false">SUM(T76:T77)</f>
        <v>172592.731960319</v>
      </c>
      <c r="U78" s="170" t="n">
        <f aca="false">SUM(U76:U77)</f>
        <v>166089.62210304</v>
      </c>
      <c r="V78" s="170" t="n">
        <f aca="false">SUM(V76:V77)</f>
        <v>159586.512245759</v>
      </c>
      <c r="W78" s="170" t="n">
        <f aca="false">SUM(W76:W77)</f>
        <v>153083.40238848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95300.9450367998</v>
      </c>
      <c r="E85" s="206" t="n">
        <f aca="false">E78</f>
        <v>-118122.008511147</v>
      </c>
      <c r="F85" s="206" t="n">
        <f aca="false">F78</f>
        <v>-99384.1620590934</v>
      </c>
      <c r="G85" s="206" t="n">
        <f aca="false">G78</f>
        <v>-80646.31560704</v>
      </c>
      <c r="H85" s="206" t="n">
        <f aca="false">H78</f>
        <v>-61908.4691549869</v>
      </c>
      <c r="I85" s="206" t="n">
        <f aca="false">I78</f>
        <v>-43170.6227029336</v>
      </c>
      <c r="J85" s="206" t="n">
        <f aca="false">J78</f>
        <v>-24432.7762508801</v>
      </c>
      <c r="K85" s="206" t="n">
        <f aca="false">K78</f>
        <v>-5694.929798827</v>
      </c>
      <c r="L85" s="206" t="n">
        <f aca="false">L78</f>
        <v>13042.9166532263</v>
      </c>
      <c r="M85" s="206" t="n">
        <f aca="false">M78</f>
        <v>31780.7631052797</v>
      </c>
      <c r="N85" s="206" t="n">
        <f aca="false">N78</f>
        <v>85406.609557333</v>
      </c>
      <c r="O85" s="206" t="n">
        <f aca="false">O78</f>
        <v>104144.456009386</v>
      </c>
      <c r="P85" s="206" t="n">
        <f aca="false">P78</f>
        <v>122882.30246144</v>
      </c>
      <c r="Q85" s="206" t="n">
        <f aca="false">Q78</f>
        <v>141620.148913493</v>
      </c>
      <c r="R85" s="206" t="n">
        <f aca="false">R78</f>
        <v>160357.995365546</v>
      </c>
      <c r="S85" s="206" t="n">
        <f aca="false">S78</f>
        <v>179095.8418176</v>
      </c>
      <c r="T85" s="206" t="n">
        <f aca="false">T78</f>
        <v>172592.731960319</v>
      </c>
      <c r="U85" s="206" t="n">
        <f aca="false">U78</f>
        <v>166089.62210304</v>
      </c>
      <c r="V85" s="206" t="n">
        <f aca="false">V78</f>
        <v>159586.512245759</v>
      </c>
      <c r="W85" s="206" t="n">
        <f aca="false">W78</f>
        <v>153083.40238848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1155665</v>
      </c>
      <c r="E86" s="207" t="n">
        <f aca="false">-E67</f>
        <v>1155665</v>
      </c>
      <c r="F86" s="207" t="n">
        <f aca="false">-F67</f>
        <v>1155665</v>
      </c>
      <c r="G86" s="207" t="n">
        <f aca="false">-G67</f>
        <v>1155665</v>
      </c>
      <c r="H86" s="207" t="n">
        <f aca="false">-H67</f>
        <v>1155665</v>
      </c>
      <c r="I86" s="207" t="n">
        <f aca="false">-I67</f>
        <v>1155665</v>
      </c>
      <c r="J86" s="207" t="n">
        <f aca="false">-J67</f>
        <v>1155665</v>
      </c>
      <c r="K86" s="207" t="n">
        <f aca="false">-K67</f>
        <v>1155665</v>
      </c>
      <c r="L86" s="207" t="n">
        <f aca="false">-L67</f>
        <v>1155665</v>
      </c>
      <c r="M86" s="207" t="n">
        <f aca="false">-M67</f>
        <v>1155665</v>
      </c>
      <c r="N86" s="207" t="n">
        <f aca="false">-N67</f>
        <v>1155665</v>
      </c>
      <c r="O86" s="207" t="n">
        <f aca="false">-O67</f>
        <v>1155665</v>
      </c>
      <c r="P86" s="207" t="n">
        <f aca="false">-P67</f>
        <v>1155665</v>
      </c>
      <c r="Q86" s="207" t="n">
        <f aca="false">-Q67</f>
        <v>1155665</v>
      </c>
      <c r="R86" s="207" t="n">
        <f aca="false">-R67</f>
        <v>1155665</v>
      </c>
      <c r="S86" s="207" t="n">
        <f aca="false">-S67</f>
        <v>1155665</v>
      </c>
      <c r="T86" s="207" t="n">
        <f aca="false">-T67</f>
        <v>1155665</v>
      </c>
      <c r="U86" s="207" t="n">
        <f aca="false">-U67</f>
        <v>1155665</v>
      </c>
      <c r="V86" s="207" t="n">
        <f aca="false">-V67</f>
        <v>1155665</v>
      </c>
      <c r="W86" s="207" t="n">
        <f aca="false">-W67</f>
        <v>1155665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1250965.9450368</v>
      </c>
      <c r="E87" s="209" t="n">
        <f aca="false">SUM(E85:E86)</f>
        <v>1037542.99148885</v>
      </c>
      <c r="F87" s="209" t="n">
        <f aca="false">SUM(F85:F86)</f>
        <v>1056280.83794091</v>
      </c>
      <c r="G87" s="209" t="n">
        <f aca="false">SUM(G85:G86)</f>
        <v>1075018.68439296</v>
      </c>
      <c r="H87" s="209" t="n">
        <f aca="false">SUM(H85:H86)</f>
        <v>1093756.53084501</v>
      </c>
      <c r="I87" s="209" t="n">
        <f aca="false">SUM(I85:I86)</f>
        <v>1112494.37729707</v>
      </c>
      <c r="J87" s="209" t="n">
        <f aca="false">SUM(J85:J86)</f>
        <v>1131232.22374912</v>
      </c>
      <c r="K87" s="209" t="n">
        <f aca="false">SUM(K85:K86)</f>
        <v>1149970.07020117</v>
      </c>
      <c r="L87" s="209" t="n">
        <f aca="false">SUM(L85:L86)</f>
        <v>1168707.91665323</v>
      </c>
      <c r="M87" s="209" t="n">
        <f aca="false">SUM(M85:M86)</f>
        <v>1187445.76310528</v>
      </c>
      <c r="N87" s="209" t="n">
        <f aca="false">SUM(N85:N86)</f>
        <v>1241071.60955733</v>
      </c>
      <c r="O87" s="209" t="n">
        <f aca="false">SUM(O85:O86)</f>
        <v>1259809.45600939</v>
      </c>
      <c r="P87" s="209" t="n">
        <f aca="false">SUM(P85:P86)</f>
        <v>1278547.30246144</v>
      </c>
      <c r="Q87" s="209" t="n">
        <f aca="false">SUM(Q85:Q86)</f>
        <v>1297285.14891349</v>
      </c>
      <c r="R87" s="209" t="n">
        <f aca="false">SUM(R85:R86)</f>
        <v>1316022.99536555</v>
      </c>
      <c r="S87" s="209" t="n">
        <f aca="false">SUM(S85:S86)</f>
        <v>1334760.8418176</v>
      </c>
      <c r="T87" s="209" t="n">
        <f aca="false">SUM(T85:T86)</f>
        <v>1328257.73196032</v>
      </c>
      <c r="U87" s="209" t="n">
        <f aca="false">SUM(U85:U86)</f>
        <v>1321754.62210304</v>
      </c>
      <c r="V87" s="209" t="n">
        <f aca="false">SUM(V85:V86)</f>
        <v>1315251.51224576</v>
      </c>
      <c r="W87" s="209" t="n">
        <f aca="false">SUM(W85:W86)</f>
        <v>1308748.40238848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-23113300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18490640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-1232709.33333333</v>
      </c>
      <c r="F93" s="215" t="n">
        <v>-1232709.33333333</v>
      </c>
      <c r="G93" s="215" t="n">
        <v>-1232709.33333333</v>
      </c>
      <c r="H93" s="215" t="n">
        <v>-1232709.33333333</v>
      </c>
      <c r="I93" s="215" t="n">
        <v>-1232709.33333333</v>
      </c>
      <c r="J93" s="215" t="n">
        <v>-1232709.33333333</v>
      </c>
      <c r="K93" s="215" t="n">
        <v>-1232709.33333333</v>
      </c>
      <c r="L93" s="215" t="n">
        <v>-1232709.33333333</v>
      </c>
      <c r="M93" s="215" t="n">
        <v>-1232709.33333333</v>
      </c>
      <c r="N93" s="215" t="n">
        <v>-1232709.33333333</v>
      </c>
      <c r="O93" s="215" t="n">
        <v>-1232709.33333333</v>
      </c>
      <c r="P93" s="215" t="n">
        <v>-1232709.33333333</v>
      </c>
      <c r="Q93" s="215" t="n">
        <v>-1232709.33333333</v>
      </c>
      <c r="R93" s="215" t="n">
        <v>-1232709.33333333</v>
      </c>
      <c r="S93" s="215" t="n">
        <v>-1232709.33333333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4622660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-85770.8505331199</v>
      </c>
      <c r="F95" s="216" t="n">
        <f aca="false">-E85*$D$33</f>
        <v>106309.807660032</v>
      </c>
      <c r="G95" s="216" t="n">
        <f aca="false">-F85*$D$33</f>
        <v>89445.745853184</v>
      </c>
      <c r="H95" s="216" t="n">
        <f aca="false">-G85*$D$33</f>
        <v>72581.684046336</v>
      </c>
      <c r="I95" s="216" t="n">
        <f aca="false">-H85*$D$33</f>
        <v>55717.6222394882</v>
      </c>
      <c r="J95" s="216" t="n">
        <f aca="false">-I85*$D$33</f>
        <v>38853.5604326403</v>
      </c>
      <c r="K95" s="216" t="n">
        <f aca="false">-J85*$D$33</f>
        <v>21989.4986257921</v>
      </c>
      <c r="L95" s="216" t="n">
        <f aca="false">-K85*$D$33</f>
        <v>5125.4368189443</v>
      </c>
      <c r="M95" s="216" t="n">
        <f aca="false">-L85*$D$33</f>
        <v>-11738.6249879037</v>
      </c>
      <c r="N95" s="216" t="n">
        <f aca="false">-M85*$D$33</f>
        <v>-28602.6867947517</v>
      </c>
      <c r="O95" s="216" t="n">
        <f aca="false">-N85*$D$33</f>
        <v>-76865.9486015997</v>
      </c>
      <c r="P95" s="216" t="n">
        <f aca="false">-O85*$D$33</f>
        <v>-93730.0104084477</v>
      </c>
      <c r="Q95" s="216" t="n">
        <f aca="false">-P85*$D$33</f>
        <v>-110594.072215296</v>
      </c>
      <c r="R95" s="216" t="n">
        <f aca="false">-Q85*$D$33</f>
        <v>-127458.134022144</v>
      </c>
      <c r="S95" s="216" t="n">
        <f aca="false">-R85*$D$33</f>
        <v>-144322.195828992</v>
      </c>
      <c r="T95" s="216" t="n">
        <f aca="false">-S85*$D$33</f>
        <v>-161186.25763584</v>
      </c>
      <c r="U95" s="216" t="n">
        <f aca="false">-T85*$D$33</f>
        <v>-155333.458764288</v>
      </c>
      <c r="V95" s="216" t="n">
        <f aca="false">-U85*$D$33</f>
        <v>-149480.659892736</v>
      </c>
      <c r="W95" s="216" t="n">
        <f aca="false">-V85*$D$33</f>
        <v>-143627.861021184</v>
      </c>
      <c r="X95" s="216" t="n">
        <f aca="false">-W85*$D$33</f>
        <v>-137775.062149632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-1155665</v>
      </c>
      <c r="U96" s="219" t="n">
        <v>-1155665</v>
      </c>
      <c r="V96" s="219" t="n">
        <v>-1155665</v>
      </c>
      <c r="W96" s="219" t="n">
        <v>-1155665</v>
      </c>
      <c r="X96" s="220" t="n">
        <f aca="false">-W101-X95</f>
        <v>-115162.496353282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1250965.9450368</v>
      </c>
      <c r="E99" s="206" t="n">
        <f aca="false">SUM(E87:E96)</f>
        <v>-280937.1923776</v>
      </c>
      <c r="F99" s="206" t="n">
        <f aca="false">SUM(F87:F96)</f>
        <v>-70118.6877323942</v>
      </c>
      <c r="G99" s="206" t="n">
        <f aca="false">SUM(G87:G96)</f>
        <v>-68244.903087189</v>
      </c>
      <c r="H99" s="206" t="n">
        <f aca="false">SUM(H87:H96)</f>
        <v>-66371.118441984</v>
      </c>
      <c r="I99" s="206" t="n">
        <f aca="false">SUM(I87:I96)</f>
        <v>-64497.3337967784</v>
      </c>
      <c r="J99" s="206" t="n">
        <f aca="false">SUM(J87:J96)</f>
        <v>-62623.549151573</v>
      </c>
      <c r="K99" s="206" t="n">
        <f aca="false">SUM(K87:K96)</f>
        <v>-60749.764506368</v>
      </c>
      <c r="L99" s="206" t="n">
        <f aca="false">SUM(L87:L96)</f>
        <v>-58875.9798611624</v>
      </c>
      <c r="M99" s="206" t="n">
        <f aca="false">SUM(M87:M96)</f>
        <v>-57002.195215957</v>
      </c>
      <c r="N99" s="206" t="n">
        <f aca="false">SUM(N87:N96)</f>
        <v>-20240.4105707518</v>
      </c>
      <c r="O99" s="206" t="n">
        <f aca="false">SUM(O87:O96)</f>
        <v>-49765.8259255464</v>
      </c>
      <c r="P99" s="206" t="n">
        <f aca="false">SUM(P87:P96)</f>
        <v>-47892.041280341</v>
      </c>
      <c r="Q99" s="206" t="n">
        <f aca="false">SUM(Q87:Q96)</f>
        <v>-46018.2566351358</v>
      </c>
      <c r="R99" s="206" t="n">
        <f aca="false">SUM(R87:R96)</f>
        <v>-44144.4719899304</v>
      </c>
      <c r="S99" s="206" t="n">
        <f aca="false">SUM(S87:S96)</f>
        <v>-42270.687344725</v>
      </c>
      <c r="T99" s="206" t="n">
        <f aca="false">SUM(T87:T96)</f>
        <v>11406.4743244797</v>
      </c>
      <c r="U99" s="206" t="n">
        <f aca="false">SUM(U87:U96)</f>
        <v>10756.163338752</v>
      </c>
      <c r="V99" s="206" t="n">
        <f aca="false">SUM(V87:V96)</f>
        <v>10105.8523530236</v>
      </c>
      <c r="W99" s="206" t="n">
        <f aca="false">SUM(W87:W96)</f>
        <v>9455.54136729613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1250965.9450368</v>
      </c>
      <c r="F100" s="206" t="n">
        <f aca="false">E101</f>
        <v>970028.752659199</v>
      </c>
      <c r="G100" s="206" t="n">
        <f aca="false">F101</f>
        <v>899910.064926805</v>
      </c>
      <c r="H100" s="206" t="n">
        <f aca="false">G101</f>
        <v>831665.161839616</v>
      </c>
      <c r="I100" s="206" t="n">
        <f aca="false">H101</f>
        <v>765294.043397632</v>
      </c>
      <c r="J100" s="206" t="n">
        <f aca="false">I101</f>
        <v>700796.709600853</v>
      </c>
      <c r="K100" s="206" t="n">
        <f aca="false">J101</f>
        <v>638173.16044928</v>
      </c>
      <c r="L100" s="206" t="n">
        <f aca="false">K101</f>
        <v>577423.395942912</v>
      </c>
      <c r="M100" s="206" t="n">
        <f aca="false">L101</f>
        <v>518547.41608175</v>
      </c>
      <c r="N100" s="206" t="n">
        <f aca="false">M101</f>
        <v>461545.220865793</v>
      </c>
      <c r="O100" s="206" t="n">
        <f aca="false">N101</f>
        <v>441304.810295041</v>
      </c>
      <c r="P100" s="206" t="n">
        <f aca="false">O101</f>
        <v>391538.984369495</v>
      </c>
      <c r="Q100" s="206" t="n">
        <f aca="false">P101</f>
        <v>343646.943089154</v>
      </c>
      <c r="R100" s="206" t="n">
        <f aca="false">Q101</f>
        <v>297628.686454018</v>
      </c>
      <c r="S100" s="206" t="n">
        <f aca="false">R101</f>
        <v>253484.214464088</v>
      </c>
      <c r="T100" s="206" t="n">
        <f aca="false">S101</f>
        <v>211213.527119363</v>
      </c>
      <c r="U100" s="206" t="n">
        <f aca="false">T101</f>
        <v>222620.001443842</v>
      </c>
      <c r="V100" s="206" t="n">
        <f aca="false">U101</f>
        <v>233376.164782594</v>
      </c>
      <c r="W100" s="206" t="n">
        <f aca="false">V101</f>
        <v>243482.017135618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1250965.9450368</v>
      </c>
      <c r="E101" s="206" t="n">
        <f aca="false">E99+E100</f>
        <v>970028.752659199</v>
      </c>
      <c r="F101" s="206" t="n">
        <f aca="false">F99+F100</f>
        <v>899910.064926805</v>
      </c>
      <c r="G101" s="206" t="n">
        <f aca="false">G99+G100</f>
        <v>831665.161839616</v>
      </c>
      <c r="H101" s="206" t="n">
        <f aca="false">H99+H100</f>
        <v>765294.043397632</v>
      </c>
      <c r="I101" s="206" t="n">
        <f aca="false">I99+I100</f>
        <v>700796.709600853</v>
      </c>
      <c r="J101" s="206" t="n">
        <f aca="false">J99+J100</f>
        <v>638173.16044928</v>
      </c>
      <c r="K101" s="206" t="n">
        <f aca="false">K99+K100</f>
        <v>577423.395942912</v>
      </c>
      <c r="L101" s="206" t="n">
        <f aca="false">L99+L100</f>
        <v>518547.41608175</v>
      </c>
      <c r="M101" s="206" t="n">
        <f aca="false">M99+M100</f>
        <v>461545.220865793</v>
      </c>
      <c r="N101" s="206" t="n">
        <f aca="false">N99+N100</f>
        <v>441304.810295041</v>
      </c>
      <c r="O101" s="206" t="n">
        <f aca="false">O99+O100</f>
        <v>391538.984369495</v>
      </c>
      <c r="P101" s="206" t="n">
        <f aca="false">P99+P100</f>
        <v>343646.943089154</v>
      </c>
      <c r="Q101" s="206" t="n">
        <f aca="false">Q99+Q100</f>
        <v>297628.686454018</v>
      </c>
      <c r="R101" s="206" t="n">
        <f aca="false">R99+R100</f>
        <v>253484.214464088</v>
      </c>
      <c r="S101" s="206" t="n">
        <f aca="false">S99+S100</f>
        <v>211213.527119363</v>
      </c>
      <c r="T101" s="206" t="n">
        <f aca="false">T99+T100</f>
        <v>222620.001443842</v>
      </c>
      <c r="U101" s="206" t="n">
        <f aca="false">U99+U100</f>
        <v>233376.164782594</v>
      </c>
      <c r="V101" s="206" t="n">
        <f aca="false">V99+V100</f>
        <v>243482.017135618</v>
      </c>
      <c r="W101" s="206" t="n">
        <f aca="false">W99+W100</f>
        <v>252937.558502914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-4622660</v>
      </c>
      <c r="E104" s="209" t="n">
        <f aca="false">-E95-E96</f>
        <v>85770.8505331199</v>
      </c>
      <c r="F104" s="209" t="n">
        <f aca="false">-F95-F96</f>
        <v>-106309.807660032</v>
      </c>
      <c r="G104" s="209" t="n">
        <f aca="false">-G95-G96</f>
        <v>-89445.745853184</v>
      </c>
      <c r="H104" s="209" t="n">
        <f aca="false">-H95-H96</f>
        <v>-72581.684046336</v>
      </c>
      <c r="I104" s="209" t="n">
        <f aca="false">-I95-I96</f>
        <v>-55717.6222394882</v>
      </c>
      <c r="J104" s="209" t="n">
        <f aca="false">-J95-J96</f>
        <v>-38853.5604326403</v>
      </c>
      <c r="K104" s="209" t="n">
        <f aca="false">-K95-K96</f>
        <v>-21989.4986257921</v>
      </c>
      <c r="L104" s="209" t="n">
        <f aca="false">-L95-L96</f>
        <v>-5125.4368189443</v>
      </c>
      <c r="M104" s="209" t="n">
        <f aca="false">-M95-M96</f>
        <v>11738.6249879037</v>
      </c>
      <c r="N104" s="209" t="n">
        <f aca="false">-N95-N96</f>
        <v>28602.6867947517</v>
      </c>
      <c r="O104" s="209" t="n">
        <f aca="false">-O95-O96</f>
        <v>76865.9486015997</v>
      </c>
      <c r="P104" s="209" t="n">
        <f aca="false">-P95-P96</f>
        <v>93730.0104084477</v>
      </c>
      <c r="Q104" s="209" t="n">
        <f aca="false">-Q95-Q96</f>
        <v>110594.072215296</v>
      </c>
      <c r="R104" s="209" t="n">
        <f aca="false">-R95-R96</f>
        <v>127458.134022144</v>
      </c>
      <c r="S104" s="209" t="n">
        <f aca="false">-S95-S96</f>
        <v>144322.195828992</v>
      </c>
      <c r="T104" s="209" t="n">
        <f aca="false">-T95-T96</f>
        <v>1316851.25763584</v>
      </c>
      <c r="U104" s="209" t="n">
        <f aca="false">-U95-U96</f>
        <v>1310998.45876429</v>
      </c>
      <c r="V104" s="209" t="n">
        <f aca="false">-V95-V96</f>
        <v>1305145.65989274</v>
      </c>
      <c r="W104" s="209" t="n">
        <f aca="false">-W95-W96</f>
        <v>1299292.86102118</v>
      </c>
      <c r="X104" s="209" t="n">
        <f aca="false">-X95-X96</f>
        <v>252937.558502914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0.0125294034304601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-4527359.0549632</v>
      </c>
      <c r="E106" s="209" t="n">
        <f aca="false">E85</f>
        <v>-118122.008511147</v>
      </c>
      <c r="F106" s="209" t="n">
        <f aca="false">F85-F96</f>
        <v>-99384.1620590934</v>
      </c>
      <c r="G106" s="209" t="n">
        <f aca="false">G85-G96</f>
        <v>-80646.31560704</v>
      </c>
      <c r="H106" s="209" t="n">
        <f aca="false">H85-H96</f>
        <v>-61908.4691549869</v>
      </c>
      <c r="I106" s="209" t="n">
        <f aca="false">I85-I96</f>
        <v>-43170.6227029336</v>
      </c>
      <c r="J106" s="209" t="n">
        <f aca="false">J85-J96</f>
        <v>-24432.7762508801</v>
      </c>
      <c r="K106" s="209" t="n">
        <f aca="false">K85-K96</f>
        <v>-5694.929798827</v>
      </c>
      <c r="L106" s="209" t="n">
        <f aca="false">L85-L96</f>
        <v>13042.9166532263</v>
      </c>
      <c r="M106" s="209" t="n">
        <f aca="false">M85-M96</f>
        <v>31780.7631052797</v>
      </c>
      <c r="N106" s="209" t="n">
        <f aca="false">N85-N96</f>
        <v>85406.609557333</v>
      </c>
      <c r="O106" s="209" t="n">
        <f aca="false">O85-O96</f>
        <v>104144.456009386</v>
      </c>
      <c r="P106" s="209" t="n">
        <f aca="false">P85-P96</f>
        <v>122882.30246144</v>
      </c>
      <c r="Q106" s="209" t="n">
        <f aca="false">Q85-Q96</f>
        <v>141620.148913493</v>
      </c>
      <c r="R106" s="209" t="n">
        <f aca="false">R85-R96</f>
        <v>160357.995365546</v>
      </c>
      <c r="S106" s="209" t="n">
        <f aca="false">S85-S96</f>
        <v>179095.8418176</v>
      </c>
      <c r="T106" s="209" t="n">
        <f aca="false">T85-T96</f>
        <v>1328257.73196032</v>
      </c>
      <c r="U106" s="209" t="n">
        <f aca="false">U85-U96</f>
        <v>1321754.62210304</v>
      </c>
      <c r="V106" s="209" t="n">
        <f aca="false">V85-V96</f>
        <v>1315251.51224576</v>
      </c>
      <c r="W106" s="209" t="n">
        <f aca="false">W85-W96</f>
        <v>1308748.40238848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0.0126791987147647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18490640</v>
      </c>
      <c r="E109" s="206" t="n">
        <f aca="false">D109+E93</f>
        <v>17257930.6666667</v>
      </c>
      <c r="F109" s="206" t="n">
        <f aca="false">E109+F93</f>
        <v>16025221.3333333</v>
      </c>
      <c r="G109" s="206" t="n">
        <f aca="false">F109+G93</f>
        <v>14792512</v>
      </c>
      <c r="H109" s="206" t="n">
        <f aca="false">G109+H93</f>
        <v>13559802.6666667</v>
      </c>
      <c r="I109" s="206" t="n">
        <f aca="false">H109+I93</f>
        <v>12327093.3333333</v>
      </c>
      <c r="J109" s="206" t="n">
        <f aca="false">I109+J93</f>
        <v>11094384</v>
      </c>
      <c r="K109" s="206" t="n">
        <f aca="false">J109+K93</f>
        <v>9861674.66666668</v>
      </c>
      <c r="L109" s="206" t="n">
        <f aca="false">K109+L93</f>
        <v>8628965.33333334</v>
      </c>
      <c r="M109" s="206" t="n">
        <f aca="false">L109+M93</f>
        <v>7396256.00000001</v>
      </c>
      <c r="N109" s="206" t="n">
        <f aca="false">M109+N93</f>
        <v>6163546.66666668</v>
      </c>
      <c r="O109" s="206" t="n">
        <f aca="false">N109+O93</f>
        <v>4930837.33333334</v>
      </c>
      <c r="P109" s="206" t="n">
        <f aca="false">O109+P93</f>
        <v>3698128.00000001</v>
      </c>
      <c r="Q109" s="206" t="n">
        <f aca="false">P109+Q93</f>
        <v>2465418.66666668</v>
      </c>
      <c r="R109" s="206" t="n">
        <f aca="false">Q109+R93</f>
        <v>1232709.33333335</v>
      </c>
      <c r="S109" s="206" t="n">
        <f aca="false">R109+S93</f>
        <v>1.21071934700012E-008</v>
      </c>
      <c r="T109" s="206" t="n">
        <f aca="false">S109+T93</f>
        <v>1.21071934700012E-008</v>
      </c>
      <c r="U109" s="206" t="n">
        <f aca="false">T109+U93</f>
        <v>1.21071934700012E-008</v>
      </c>
      <c r="V109" s="206" t="n">
        <f aca="false">U109+V93</f>
        <v>1.21071934700012E-008</v>
      </c>
      <c r="W109" s="206" t="n">
        <f aca="false">V109+W93</f>
        <v>1.21071934700012E-008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117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118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119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93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-21867300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-43173.9</v>
      </c>
      <c r="E49" s="170" t="n">
        <v>-43173.9</v>
      </c>
      <c r="F49" s="170" t="n">
        <v>-43173.9</v>
      </c>
      <c r="G49" s="170" t="n">
        <v>-43173.9</v>
      </c>
      <c r="H49" s="170" t="n">
        <v>-43173.9</v>
      </c>
      <c r="I49" s="170" t="n">
        <v>-43173.9</v>
      </c>
      <c r="J49" s="170" t="n">
        <v>-43173.9</v>
      </c>
      <c r="K49" s="170" t="n">
        <v>-43173.9</v>
      </c>
      <c r="L49" s="170" t="n">
        <v>-43173.9</v>
      </c>
      <c r="M49" s="170" t="n">
        <v>-43173.9</v>
      </c>
      <c r="N49" s="170" t="n">
        <v>-43173.9</v>
      </c>
      <c r="O49" s="170" t="n">
        <v>-43173.9</v>
      </c>
      <c r="P49" s="170" t="n">
        <v>-43173.9</v>
      </c>
      <c r="Q49" s="170" t="n">
        <v>-43173.9</v>
      </c>
      <c r="R49" s="170" t="n">
        <v>-43173.9</v>
      </c>
      <c r="S49" s="170" t="n">
        <v>-43173.9</v>
      </c>
      <c r="T49" s="170" t="n">
        <v>-43173.9</v>
      </c>
      <c r="U49" s="170" t="n">
        <v>-43173.9</v>
      </c>
      <c r="V49" s="170" t="n">
        <v>-43173.9</v>
      </c>
      <c r="W49" s="170" t="n">
        <v>-43173.9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-131462.1424192</v>
      </c>
      <c r="E54" s="170" t="n">
        <f aca="false">-(E64+E67+E68+E71+E72+E73+E74)*0.2</f>
        <v>-71796.1649548799</v>
      </c>
      <c r="F54" s="170" t="n">
        <f aca="false">-(F64+F67+F68+F71+F72+F73+F74)*0.2</f>
        <v>-70170.38749056</v>
      </c>
      <c r="G54" s="170" t="n">
        <f aca="false">-(G64+G67+G68+G71+G72+G73+G74)*0.2</f>
        <v>-68544.61002624</v>
      </c>
      <c r="H54" s="170" t="n">
        <f aca="false">-(H64+H67+H68+H71+H72+H73+H74)*0.2</f>
        <v>-66918.8325619199</v>
      </c>
      <c r="I54" s="170" t="n">
        <f aca="false">-(I64+I67+I68+I71+I72+I73+I74)*0.2</f>
        <v>-65293.0550975999</v>
      </c>
      <c r="J54" s="170" t="n">
        <f aca="false">-(J64+J67+J68+J71+J72+J73+J74)*0.2</f>
        <v>-63667.27763328</v>
      </c>
      <c r="K54" s="170" t="n">
        <f aca="false">-(K64+K67+K68+K71+K72+K73+K74)*0.2</f>
        <v>-62041.5001689599</v>
      </c>
      <c r="L54" s="170" t="n">
        <f aca="false">-(L64+L67+L68+L71+L72+L73+L74)*0.2</f>
        <v>-60415.7227046399</v>
      </c>
      <c r="M54" s="170" t="n">
        <f aca="false">-(M64+M67+M68+M71+M72+M73+M74)*0.2</f>
        <v>-58789.9452403199</v>
      </c>
      <c r="N54" s="170" t="n">
        <f aca="false">-(N64+N67+N68+N71+N72+N73+N74)*0.2</f>
        <v>-65886.1677759999</v>
      </c>
      <c r="O54" s="170" t="n">
        <f aca="false">-(O64+O67+O68+O71+O72+O73+O74)*0.2</f>
        <v>-64260.3903116799</v>
      </c>
      <c r="P54" s="170" t="n">
        <f aca="false">-(P64+P67+P68+P71+P72+P73+P74)*0.2</f>
        <v>-62634.6128473599</v>
      </c>
      <c r="Q54" s="170" t="n">
        <f aca="false">-(Q64+Q67+Q68+Q71+Q72+Q73+Q74)*0.2</f>
        <v>-61008.8353830399</v>
      </c>
      <c r="R54" s="170" t="n">
        <f aca="false">-(R64+R67+R68+R71+R72+R73+R74)*0.2</f>
        <v>-59383.0579187199</v>
      </c>
      <c r="S54" s="170" t="n">
        <f aca="false">-(S64+S67+S68+S71+S72+S73+S74)*0.2</f>
        <v>-57757.2804543999</v>
      </c>
      <c r="T54" s="170" t="n">
        <f aca="false">-(T64+T67+T68+T71+T72+T73+T74)*0.2</f>
        <v>-56131.5029900799</v>
      </c>
      <c r="U54" s="170" t="n">
        <f aca="false">-(U64+U67+U68+U71+U72+U73+U74)*0.2</f>
        <v>-54505.7255257599</v>
      </c>
      <c r="V54" s="170" t="n">
        <f aca="false">-(V64+V67+V68+V71+V72+V73+V74)*0.2</f>
        <v>-52879.9480614399</v>
      </c>
      <c r="W54" s="170" t="n">
        <f aca="false">-(W64+W67+W68+W71+W72+W73+W74)*0.2</f>
        <v>-51254.1705971199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-21867300</v>
      </c>
      <c r="D55" s="175" t="n">
        <f aca="false">SUM(D41:D54)</f>
        <v>1619213.5696768</v>
      </c>
      <c r="E55" s="175" t="n">
        <f aca="false">SUM(E41:E54)</f>
        <v>1380549.65981952</v>
      </c>
      <c r="F55" s="175" t="n">
        <f aca="false">SUM(F41:F54)</f>
        <v>1374046.54996224</v>
      </c>
      <c r="G55" s="175" t="n">
        <f aca="false">SUM(G41:G54)</f>
        <v>1367543.44010496</v>
      </c>
      <c r="H55" s="175" t="n">
        <f aca="false">SUM(H41:H54)</f>
        <v>1361040.33024768</v>
      </c>
      <c r="I55" s="175" t="n">
        <f aca="false">SUM(I41:I54)</f>
        <v>1354537.2203904</v>
      </c>
      <c r="J55" s="175" t="n">
        <f aca="false">SUM(J41:J54)</f>
        <v>1348034.11053312</v>
      </c>
      <c r="K55" s="175" t="n">
        <f aca="false">SUM(K41:K54)</f>
        <v>1341531.00067584</v>
      </c>
      <c r="L55" s="175" t="n">
        <f aca="false">SUM(L41:L54)</f>
        <v>1335027.89081856</v>
      </c>
      <c r="M55" s="175" t="n">
        <f aca="false">SUM(M41:M54)</f>
        <v>1328524.78096128</v>
      </c>
      <c r="N55" s="175" t="n">
        <f aca="false">SUM(N41:N54)</f>
        <v>1356909.671104</v>
      </c>
      <c r="O55" s="175" t="n">
        <f aca="false">SUM(O41:O54)</f>
        <v>1350406.56124672</v>
      </c>
      <c r="P55" s="175" t="n">
        <f aca="false">SUM(P41:P54)</f>
        <v>1343903.45138944</v>
      </c>
      <c r="Q55" s="175" t="n">
        <f aca="false">SUM(Q41:Q54)</f>
        <v>1337400.34153216</v>
      </c>
      <c r="R55" s="175" t="n">
        <f aca="false">SUM(R41:R54)</f>
        <v>1330897.23167488</v>
      </c>
      <c r="S55" s="175" t="n">
        <f aca="false">SUM(S41:S54)</f>
        <v>1324394.1218176</v>
      </c>
      <c r="T55" s="175" t="n">
        <f aca="false">SUM(T41:T54)</f>
        <v>1317891.01196032</v>
      </c>
      <c r="U55" s="175" t="n">
        <f aca="false">SUM(U41:U54)</f>
        <v>1311387.90210304</v>
      </c>
      <c r="V55" s="175" t="n">
        <f aca="false">SUM(V41:V54)</f>
        <v>1304884.79224576</v>
      </c>
      <c r="W55" s="175" t="n">
        <f aca="false">SUM(W41:W54)</f>
        <v>1298381.68238848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-20248086.4303232</v>
      </c>
      <c r="E56" s="180" t="n">
        <f aca="false">D56+E55</f>
        <v>-18867536.7705037</v>
      </c>
      <c r="F56" s="180" t="n">
        <f aca="false">E56+F55</f>
        <v>-17493490.2205414</v>
      </c>
      <c r="G56" s="180" t="n">
        <f aca="false">F56+G55</f>
        <v>-16125946.7804365</v>
      </c>
      <c r="H56" s="180" t="n">
        <f aca="false">G56+H55</f>
        <v>-14764906.4501888</v>
      </c>
      <c r="I56" s="180" t="n">
        <f aca="false">H56+I55</f>
        <v>-13410369.2297984</v>
      </c>
      <c r="J56" s="180" t="n">
        <f aca="false">I56+J55</f>
        <v>-12062335.1192653</v>
      </c>
      <c r="K56" s="180" t="n">
        <f aca="false">J56+K55</f>
        <v>-10720804.1185894</v>
      </c>
      <c r="L56" s="180" t="n">
        <f aca="false">K56+L55</f>
        <v>-9385776.22777088</v>
      </c>
      <c r="M56" s="180" t="n">
        <f aca="false">L56+M55</f>
        <v>-8057251.4468096</v>
      </c>
      <c r="N56" s="180" t="n">
        <f aca="false">M56+N55</f>
        <v>-6700341.7757056</v>
      </c>
      <c r="O56" s="180" t="n">
        <f aca="false">N56+O55</f>
        <v>-5349935.21445888</v>
      </c>
      <c r="P56" s="180" t="n">
        <f aca="false">O56+P55</f>
        <v>-4006031.76306944</v>
      </c>
      <c r="Q56" s="180" t="n">
        <f aca="false">P56+Q55</f>
        <v>-2668631.42153728</v>
      </c>
      <c r="R56" s="180" t="n">
        <f aca="false">Q56+R55</f>
        <v>-1337734.1898624</v>
      </c>
      <c r="S56" s="180" t="n">
        <f aca="false">R56+S55</f>
        <v>-13340.0680447996</v>
      </c>
      <c r="T56" s="180" t="n">
        <f aca="false">S56+T55</f>
        <v>1304550.94391552</v>
      </c>
      <c r="U56" s="180" t="n">
        <f aca="false">T56+U55</f>
        <v>2615938.84601856</v>
      </c>
      <c r="V56" s="180" t="n">
        <f aca="false">U56+V55</f>
        <v>3920823.63826432</v>
      </c>
      <c r="W56" s="180" t="n">
        <f aca="false">V56+W55</f>
        <v>5219205.3206528</v>
      </c>
      <c r="X56" s="180" t="n">
        <f aca="false">W56+X55</f>
        <v>5219205.3206528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0.0217182549358983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-1093365</v>
      </c>
      <c r="E67" s="191" t="n">
        <f aca="false">$C$44/$E$16</f>
        <v>-1093365</v>
      </c>
      <c r="F67" s="191" t="n">
        <f aca="false">$C$44/$E$16</f>
        <v>-1093365</v>
      </c>
      <c r="G67" s="191" t="n">
        <f aca="false">$C$44/$E$16</f>
        <v>-1093365</v>
      </c>
      <c r="H67" s="191" t="n">
        <f aca="false">$C$44/$E$16</f>
        <v>-1093365</v>
      </c>
      <c r="I67" s="191" t="n">
        <f aca="false">$C$44/$E$16</f>
        <v>-1093365</v>
      </c>
      <c r="J67" s="191" t="n">
        <f aca="false">$C$44/$E$16</f>
        <v>-1093365</v>
      </c>
      <c r="K67" s="191" t="n">
        <f aca="false">$C$44/$E$16</f>
        <v>-1093365</v>
      </c>
      <c r="L67" s="191" t="n">
        <f aca="false">$C$44/$E$16</f>
        <v>-1093365</v>
      </c>
      <c r="M67" s="191" t="n">
        <f aca="false">$C$44/$E$16</f>
        <v>-1093365</v>
      </c>
      <c r="N67" s="191" t="n">
        <f aca="false">$C$44/$E$16</f>
        <v>-1093365</v>
      </c>
      <c r="O67" s="191" t="n">
        <f aca="false">$C$44/$E$16</f>
        <v>-1093365</v>
      </c>
      <c r="P67" s="191" t="n">
        <f aca="false">$C$44/$E$16</f>
        <v>-1093365</v>
      </c>
      <c r="Q67" s="191" t="n">
        <f aca="false">$C$44/$E$16</f>
        <v>-1093365</v>
      </c>
      <c r="R67" s="191" t="n">
        <f aca="false">$C$44/$E$16</f>
        <v>-1093365</v>
      </c>
      <c r="S67" s="191" t="n">
        <f aca="false">$C$44/$E$16</f>
        <v>-1093365</v>
      </c>
      <c r="T67" s="191" t="n">
        <f aca="false">$C$44/$E$16</f>
        <v>-1093365</v>
      </c>
      <c r="U67" s="191" t="n">
        <f aca="false">$C$44/$E$16</f>
        <v>-1093365</v>
      </c>
      <c r="V67" s="191" t="n">
        <f aca="false">$C$44/$E$16</f>
        <v>-1093365</v>
      </c>
      <c r="W67" s="191" t="n">
        <f aca="false">$C$44/$E$16</f>
        <v>-1093365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-447754.8348</v>
      </c>
      <c r="E70" s="170" t="n">
        <f aca="false">-E109*$D25</f>
        <v>-417904.51248</v>
      </c>
      <c r="F70" s="170" t="n">
        <f aca="false">-F109*$D25</f>
        <v>-388054.19016</v>
      </c>
      <c r="G70" s="170" t="n">
        <f aca="false">-G109*$D25</f>
        <v>-358203.86784</v>
      </c>
      <c r="H70" s="170" t="n">
        <f aca="false">-H109*$D25</f>
        <v>-328353.54552</v>
      </c>
      <c r="I70" s="170" t="n">
        <f aca="false">-I109*$D25</f>
        <v>-298503.2232</v>
      </c>
      <c r="J70" s="170" t="n">
        <f aca="false">-J109*$D25</f>
        <v>-268652.90088</v>
      </c>
      <c r="K70" s="170" t="n">
        <f aca="false">-K109*$D25</f>
        <v>-238802.57856</v>
      </c>
      <c r="L70" s="170" t="n">
        <f aca="false">-L109*$D25</f>
        <v>-208952.25624</v>
      </c>
      <c r="M70" s="170" t="n">
        <f aca="false">-M109*$D25</f>
        <v>-179101.93392</v>
      </c>
      <c r="N70" s="170" t="n">
        <f aca="false">-N109*$D25</f>
        <v>-149251.6116</v>
      </c>
      <c r="O70" s="170" t="n">
        <f aca="false">-O109*$D25</f>
        <v>-119401.28928</v>
      </c>
      <c r="P70" s="170" t="n">
        <f aca="false">-P109*$D25</f>
        <v>-89550.9669600001</v>
      </c>
      <c r="Q70" s="170" t="n">
        <f aca="false">-Q109*$D25</f>
        <v>-59700.6446400001</v>
      </c>
      <c r="R70" s="170" t="n">
        <f aca="false">-R109*$D25</f>
        <v>-29850.3223200001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-43173.9</v>
      </c>
      <c r="E72" s="170" t="n">
        <f aca="false">E49</f>
        <v>-43173.9</v>
      </c>
      <c r="F72" s="170" t="n">
        <f aca="false">F49</f>
        <v>-43173.9</v>
      </c>
      <c r="G72" s="170" t="n">
        <f aca="false">G49</f>
        <v>-43173.9</v>
      </c>
      <c r="H72" s="170" t="n">
        <f aca="false">H49</f>
        <v>-43173.9</v>
      </c>
      <c r="I72" s="170" t="n">
        <f aca="false">I49</f>
        <v>-43173.9</v>
      </c>
      <c r="J72" s="170" t="n">
        <f aca="false">J49</f>
        <v>-43173.9</v>
      </c>
      <c r="K72" s="170" t="n">
        <f aca="false">K49</f>
        <v>-43173.9</v>
      </c>
      <c r="L72" s="170" t="n">
        <f aca="false">L49</f>
        <v>-43173.9</v>
      </c>
      <c r="M72" s="170" t="n">
        <f aca="false">M49</f>
        <v>-43173.9</v>
      </c>
      <c r="N72" s="170" t="n">
        <f aca="false">N49</f>
        <v>-43173.9</v>
      </c>
      <c r="O72" s="170" t="n">
        <f aca="false">O49</f>
        <v>-43173.9</v>
      </c>
      <c r="P72" s="170" t="n">
        <f aca="false">P49</f>
        <v>-43173.9</v>
      </c>
      <c r="Q72" s="170" t="n">
        <f aca="false">Q49</f>
        <v>-43173.9</v>
      </c>
      <c r="R72" s="170" t="n">
        <f aca="false">R49</f>
        <v>-43173.9</v>
      </c>
      <c r="S72" s="170" t="n">
        <f aca="false">S49</f>
        <v>-43173.9</v>
      </c>
      <c r="T72" s="170" t="n">
        <f aca="false">T49</f>
        <v>-43173.9</v>
      </c>
      <c r="U72" s="170" t="n">
        <f aca="false">U49</f>
        <v>-43173.9</v>
      </c>
      <c r="V72" s="170" t="n">
        <f aca="false">V49</f>
        <v>-43173.9</v>
      </c>
      <c r="W72" s="170" t="n">
        <f aca="false">W49</f>
        <v>-43173.9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209555.877295999</v>
      </c>
      <c r="E76" s="175" t="n">
        <f aca="false">SUM(E64:E75)</f>
        <v>-58923.6877056006</v>
      </c>
      <c r="F76" s="175" t="n">
        <f aca="false">SUM(F64:F75)</f>
        <v>-37202.2527072003</v>
      </c>
      <c r="G76" s="175" t="n">
        <f aca="false">SUM(G64:G75)</f>
        <v>-15480.8177088003</v>
      </c>
      <c r="H76" s="175" t="n">
        <f aca="false">SUM(H64:H75)</f>
        <v>6240.61728959946</v>
      </c>
      <c r="I76" s="175" t="n">
        <f aca="false">SUM(I64:I75)</f>
        <v>27962.0522879995</v>
      </c>
      <c r="J76" s="175" t="n">
        <f aca="false">SUM(J64:J75)</f>
        <v>49683.4872863997</v>
      </c>
      <c r="K76" s="175" t="n">
        <f aca="false">SUM(K64:K75)</f>
        <v>71404.9222847995</v>
      </c>
      <c r="L76" s="175" t="n">
        <f aca="false">SUM(L64:L75)</f>
        <v>93126.3572831995</v>
      </c>
      <c r="M76" s="175" t="n">
        <f aca="false">SUM(M64:M75)</f>
        <v>114847.7922816</v>
      </c>
      <c r="N76" s="175" t="n">
        <f aca="false">SUM(N64:N75)</f>
        <v>180179.22728</v>
      </c>
      <c r="O76" s="175" t="n">
        <f aca="false">SUM(O64:O75)</f>
        <v>201900.6622784</v>
      </c>
      <c r="P76" s="175" t="n">
        <f aca="false">SUM(P64:P75)</f>
        <v>223622.0972768</v>
      </c>
      <c r="Q76" s="175" t="n">
        <f aca="false">SUM(Q64:Q75)</f>
        <v>245343.5322752</v>
      </c>
      <c r="R76" s="175" t="n">
        <f aca="false">SUM(R64:R75)</f>
        <v>267064.9672736</v>
      </c>
      <c r="S76" s="175" t="n">
        <f aca="false">SUM(S64:S75)</f>
        <v>288786.402272</v>
      </c>
      <c r="T76" s="175" t="n">
        <f aca="false">SUM(T64:T75)</f>
        <v>280657.514950399</v>
      </c>
      <c r="U76" s="175" t="n">
        <f aca="false">SUM(U64:U75)</f>
        <v>272528.6276288</v>
      </c>
      <c r="V76" s="175" t="n">
        <f aca="false">SUM(V64:V75)</f>
        <v>264399.740307199</v>
      </c>
      <c r="W76" s="175" t="n">
        <f aca="false">SUM(W64:W75)</f>
        <v>256270.8529856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-41911.1754591999</v>
      </c>
      <c r="E77" s="170" t="n">
        <f aca="false">-E76*0.2</f>
        <v>11784.7375411201</v>
      </c>
      <c r="F77" s="170" t="n">
        <f aca="false">-F76*0.2</f>
        <v>7440.45054144007</v>
      </c>
      <c r="G77" s="170" t="n">
        <f aca="false">-G76*0.2</f>
        <v>3096.16354176006</v>
      </c>
      <c r="H77" s="170" t="n">
        <f aca="false">-H76*0.2</f>
        <v>-1248.12345791989</v>
      </c>
      <c r="I77" s="170" t="n">
        <f aca="false">-I76*0.2</f>
        <v>-5592.4104575999</v>
      </c>
      <c r="J77" s="170" t="n">
        <f aca="false">-J76*0.2</f>
        <v>-9936.69745727995</v>
      </c>
      <c r="K77" s="170" t="n">
        <f aca="false">-K76*0.2</f>
        <v>-14280.9844569599</v>
      </c>
      <c r="L77" s="170" t="n">
        <f aca="false">-L76*0.2</f>
        <v>-18625.2714566399</v>
      </c>
      <c r="M77" s="170" t="n">
        <f aca="false">-M76*0.2</f>
        <v>-22969.5584563199</v>
      </c>
      <c r="N77" s="170" t="n">
        <f aca="false">-N76*0.2</f>
        <v>-36035.8454559999</v>
      </c>
      <c r="O77" s="170" t="n">
        <f aca="false">-O76*0.2</f>
        <v>-40380.1324556799</v>
      </c>
      <c r="P77" s="170" t="n">
        <f aca="false">-P76*0.2</f>
        <v>-44724.4194553599</v>
      </c>
      <c r="Q77" s="170" t="n">
        <f aca="false">-Q76*0.2</f>
        <v>-49068.7064550399</v>
      </c>
      <c r="R77" s="170" t="n">
        <f aca="false">-R76*0.2</f>
        <v>-53412.9934547199</v>
      </c>
      <c r="S77" s="170" t="n">
        <f aca="false">-S76*0.2</f>
        <v>-57757.2804543999</v>
      </c>
      <c r="T77" s="170" t="n">
        <f aca="false">-T76*0.2</f>
        <v>-56131.5029900799</v>
      </c>
      <c r="U77" s="170" t="n">
        <f aca="false">-U76*0.2</f>
        <v>-54505.7255257599</v>
      </c>
      <c r="V77" s="170" t="n">
        <f aca="false">-V76*0.2</f>
        <v>-52879.9480614399</v>
      </c>
      <c r="W77" s="170" t="n">
        <f aca="false">-W76*0.2</f>
        <v>-51254.1705971199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167644.7018368</v>
      </c>
      <c r="E78" s="170" t="n">
        <f aca="false">SUM(E76:E77)</f>
        <v>-47138.9501644804</v>
      </c>
      <c r="F78" s="170" t="n">
        <f aca="false">SUM(F76:F77)</f>
        <v>-29761.8021657603</v>
      </c>
      <c r="G78" s="170" t="n">
        <f aca="false">SUM(G76:G77)</f>
        <v>-12384.6541670402</v>
      </c>
      <c r="H78" s="170" t="n">
        <f aca="false">SUM(H76:H77)</f>
        <v>4992.49383167957</v>
      </c>
      <c r="I78" s="170" t="n">
        <f aca="false">SUM(I76:I77)</f>
        <v>22369.6418303996</v>
      </c>
      <c r="J78" s="170" t="n">
        <f aca="false">SUM(J76:J77)</f>
        <v>39746.7898291198</v>
      </c>
      <c r="K78" s="170" t="n">
        <f aca="false">SUM(K76:K77)</f>
        <v>57123.9378278396</v>
      </c>
      <c r="L78" s="170" t="n">
        <f aca="false">SUM(L76:L77)</f>
        <v>74501.0858265596</v>
      </c>
      <c r="M78" s="170" t="n">
        <f aca="false">SUM(M76:M77)</f>
        <v>91878.2338252796</v>
      </c>
      <c r="N78" s="170" t="n">
        <f aca="false">SUM(N76:N77)</f>
        <v>144143.381824</v>
      </c>
      <c r="O78" s="170" t="n">
        <f aca="false">SUM(O76:O77)</f>
        <v>161520.52982272</v>
      </c>
      <c r="P78" s="170" t="n">
        <f aca="false">SUM(P76:P77)</f>
        <v>178897.67782144</v>
      </c>
      <c r="Q78" s="170" t="n">
        <f aca="false">SUM(Q76:Q77)</f>
        <v>196274.82582016</v>
      </c>
      <c r="R78" s="170" t="n">
        <f aca="false">SUM(R76:R77)</f>
        <v>213651.97381888</v>
      </c>
      <c r="S78" s="170" t="n">
        <f aca="false">SUM(S76:S77)</f>
        <v>231029.1218176</v>
      </c>
      <c r="T78" s="170" t="n">
        <f aca="false">SUM(T76:T77)</f>
        <v>224526.01196032</v>
      </c>
      <c r="U78" s="170" t="n">
        <f aca="false">SUM(U76:U77)</f>
        <v>218022.90210304</v>
      </c>
      <c r="V78" s="170" t="n">
        <f aca="false">SUM(V76:V77)</f>
        <v>211519.79224576</v>
      </c>
      <c r="W78" s="170" t="n">
        <f aca="false">SUM(W76:W77)</f>
        <v>205016.68238848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167644.7018368</v>
      </c>
      <c r="E85" s="206" t="n">
        <f aca="false">E78</f>
        <v>-47138.9501644804</v>
      </c>
      <c r="F85" s="206" t="n">
        <f aca="false">F78</f>
        <v>-29761.8021657603</v>
      </c>
      <c r="G85" s="206" t="n">
        <f aca="false">G78</f>
        <v>-12384.6541670402</v>
      </c>
      <c r="H85" s="206" t="n">
        <f aca="false">H78</f>
        <v>4992.49383167957</v>
      </c>
      <c r="I85" s="206" t="n">
        <f aca="false">I78</f>
        <v>22369.6418303996</v>
      </c>
      <c r="J85" s="206" t="n">
        <f aca="false">J78</f>
        <v>39746.7898291198</v>
      </c>
      <c r="K85" s="206" t="n">
        <f aca="false">K78</f>
        <v>57123.9378278396</v>
      </c>
      <c r="L85" s="206" t="n">
        <f aca="false">L78</f>
        <v>74501.0858265596</v>
      </c>
      <c r="M85" s="206" t="n">
        <f aca="false">M78</f>
        <v>91878.2338252796</v>
      </c>
      <c r="N85" s="206" t="n">
        <f aca="false">N78</f>
        <v>144143.381824</v>
      </c>
      <c r="O85" s="206" t="n">
        <f aca="false">O78</f>
        <v>161520.52982272</v>
      </c>
      <c r="P85" s="206" t="n">
        <f aca="false">P78</f>
        <v>178897.67782144</v>
      </c>
      <c r="Q85" s="206" t="n">
        <f aca="false">Q78</f>
        <v>196274.82582016</v>
      </c>
      <c r="R85" s="206" t="n">
        <f aca="false">R78</f>
        <v>213651.97381888</v>
      </c>
      <c r="S85" s="206" t="n">
        <f aca="false">S78</f>
        <v>231029.1218176</v>
      </c>
      <c r="T85" s="206" t="n">
        <f aca="false">T78</f>
        <v>224526.01196032</v>
      </c>
      <c r="U85" s="206" t="n">
        <f aca="false">U78</f>
        <v>218022.90210304</v>
      </c>
      <c r="V85" s="206" t="n">
        <f aca="false">V78</f>
        <v>211519.79224576</v>
      </c>
      <c r="W85" s="206" t="n">
        <f aca="false">W78</f>
        <v>205016.68238848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1093365</v>
      </c>
      <c r="E86" s="207" t="n">
        <f aca="false">-E67</f>
        <v>1093365</v>
      </c>
      <c r="F86" s="207" t="n">
        <f aca="false">-F67</f>
        <v>1093365</v>
      </c>
      <c r="G86" s="207" t="n">
        <f aca="false">-G67</f>
        <v>1093365</v>
      </c>
      <c r="H86" s="207" t="n">
        <f aca="false">-H67</f>
        <v>1093365</v>
      </c>
      <c r="I86" s="207" t="n">
        <f aca="false">-I67</f>
        <v>1093365</v>
      </c>
      <c r="J86" s="207" t="n">
        <f aca="false">-J67</f>
        <v>1093365</v>
      </c>
      <c r="K86" s="207" t="n">
        <f aca="false">-K67</f>
        <v>1093365</v>
      </c>
      <c r="L86" s="207" t="n">
        <f aca="false">-L67</f>
        <v>1093365</v>
      </c>
      <c r="M86" s="207" t="n">
        <f aca="false">-M67</f>
        <v>1093365</v>
      </c>
      <c r="N86" s="207" t="n">
        <f aca="false">-N67</f>
        <v>1093365</v>
      </c>
      <c r="O86" s="207" t="n">
        <f aca="false">-O67</f>
        <v>1093365</v>
      </c>
      <c r="P86" s="207" t="n">
        <f aca="false">-P67</f>
        <v>1093365</v>
      </c>
      <c r="Q86" s="207" t="n">
        <f aca="false">-Q67</f>
        <v>1093365</v>
      </c>
      <c r="R86" s="207" t="n">
        <f aca="false">-R67</f>
        <v>1093365</v>
      </c>
      <c r="S86" s="207" t="n">
        <f aca="false">-S67</f>
        <v>1093365</v>
      </c>
      <c r="T86" s="207" t="n">
        <f aca="false">-T67</f>
        <v>1093365</v>
      </c>
      <c r="U86" s="207" t="n">
        <f aca="false">-U67</f>
        <v>1093365</v>
      </c>
      <c r="V86" s="207" t="n">
        <f aca="false">-V67</f>
        <v>1093365</v>
      </c>
      <c r="W86" s="207" t="n">
        <f aca="false">-W67</f>
        <v>1093365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1261009.7018368</v>
      </c>
      <c r="E87" s="209" t="n">
        <f aca="false">SUM(E85:E86)</f>
        <v>1046226.04983552</v>
      </c>
      <c r="F87" s="209" t="n">
        <f aca="false">SUM(F85:F86)</f>
        <v>1063603.19783424</v>
      </c>
      <c r="G87" s="209" t="n">
        <f aca="false">SUM(G85:G86)</f>
        <v>1080980.34583296</v>
      </c>
      <c r="H87" s="209" t="n">
        <f aca="false">SUM(H85:H86)</f>
        <v>1098357.49383168</v>
      </c>
      <c r="I87" s="209" t="n">
        <f aca="false">SUM(I85:I86)</f>
        <v>1115734.6418304</v>
      </c>
      <c r="J87" s="209" t="n">
        <f aca="false">SUM(J85:J86)</f>
        <v>1133111.78982912</v>
      </c>
      <c r="K87" s="209" t="n">
        <f aca="false">SUM(K85:K86)</f>
        <v>1150488.93782784</v>
      </c>
      <c r="L87" s="209" t="n">
        <f aca="false">SUM(L85:L86)</f>
        <v>1167866.08582656</v>
      </c>
      <c r="M87" s="209" t="n">
        <f aca="false">SUM(M85:M86)</f>
        <v>1185243.23382528</v>
      </c>
      <c r="N87" s="209" t="n">
        <f aca="false">SUM(N85:N86)</f>
        <v>1237508.381824</v>
      </c>
      <c r="O87" s="209" t="n">
        <f aca="false">SUM(O85:O86)</f>
        <v>1254885.52982272</v>
      </c>
      <c r="P87" s="209" t="n">
        <f aca="false">SUM(P85:P86)</f>
        <v>1272262.67782144</v>
      </c>
      <c r="Q87" s="209" t="n">
        <f aca="false">SUM(Q85:Q86)</f>
        <v>1289639.82582016</v>
      </c>
      <c r="R87" s="209" t="n">
        <f aca="false">SUM(R85:R86)</f>
        <v>1307016.97381888</v>
      </c>
      <c r="S87" s="209" t="n">
        <f aca="false">SUM(S85:S86)</f>
        <v>1324394.1218176</v>
      </c>
      <c r="T87" s="209" t="n">
        <f aca="false">SUM(T85:T86)</f>
        <v>1317891.01196032</v>
      </c>
      <c r="U87" s="209" t="n">
        <f aca="false">SUM(U85:U86)</f>
        <v>1311387.90210304</v>
      </c>
      <c r="V87" s="209" t="n">
        <f aca="false">SUM(V85:V86)</f>
        <v>1304884.79224576</v>
      </c>
      <c r="W87" s="209" t="n">
        <f aca="false">SUM(W85:W86)</f>
        <v>1298381.68238848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-21867300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17493840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-1166256</v>
      </c>
      <c r="F93" s="215" t="n">
        <v>-1166256</v>
      </c>
      <c r="G93" s="215" t="n">
        <v>-1166256</v>
      </c>
      <c r="H93" s="215" t="n">
        <v>-1166256</v>
      </c>
      <c r="I93" s="215" t="n">
        <v>-1166256</v>
      </c>
      <c r="J93" s="215" t="n">
        <v>-1166256</v>
      </c>
      <c r="K93" s="215" t="n">
        <v>-1166256</v>
      </c>
      <c r="L93" s="215" t="n">
        <v>-1166256</v>
      </c>
      <c r="M93" s="215" t="n">
        <v>-1166256</v>
      </c>
      <c r="N93" s="215" t="n">
        <v>-1166256</v>
      </c>
      <c r="O93" s="215" t="n">
        <v>-1166256</v>
      </c>
      <c r="P93" s="215" t="n">
        <v>-1166256</v>
      </c>
      <c r="Q93" s="215" t="n">
        <v>-1166256</v>
      </c>
      <c r="R93" s="215" t="n">
        <v>-1166256</v>
      </c>
      <c r="S93" s="215" t="n">
        <v>-1166256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4373460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-150880.23165312</v>
      </c>
      <c r="F95" s="216" t="n">
        <f aca="false">-E85*$D$33</f>
        <v>42425.0551480324</v>
      </c>
      <c r="G95" s="216" t="n">
        <f aca="false">-F85*$D$33</f>
        <v>26785.6219491842</v>
      </c>
      <c r="H95" s="216" t="n">
        <f aca="false">-G85*$D$33</f>
        <v>11146.1887503362</v>
      </c>
      <c r="I95" s="216" t="n">
        <f aca="false">-H85*$D$33</f>
        <v>-4493.24444851161</v>
      </c>
      <c r="J95" s="216" t="n">
        <f aca="false">-I85*$D$33</f>
        <v>-20132.6776473597</v>
      </c>
      <c r="K95" s="216" t="n">
        <f aca="false">-J85*$D$33</f>
        <v>-35772.1108462078</v>
      </c>
      <c r="L95" s="216" t="n">
        <f aca="false">-K85*$D$33</f>
        <v>-51411.5440450557</v>
      </c>
      <c r="M95" s="216" t="n">
        <f aca="false">-L85*$D$33</f>
        <v>-67050.9772439037</v>
      </c>
      <c r="N95" s="216" t="n">
        <f aca="false">-M85*$D$33</f>
        <v>-82690.4104427516</v>
      </c>
      <c r="O95" s="216" t="n">
        <f aca="false">-N85*$D$33</f>
        <v>-129729.0436416</v>
      </c>
      <c r="P95" s="216" t="n">
        <f aca="false">-O85*$D$33</f>
        <v>-145368.476840448</v>
      </c>
      <c r="Q95" s="216" t="n">
        <f aca="false">-P85*$D$33</f>
        <v>-161007.910039296</v>
      </c>
      <c r="R95" s="216" t="n">
        <f aca="false">-Q85*$D$33</f>
        <v>-176647.343238144</v>
      </c>
      <c r="S95" s="216" t="n">
        <f aca="false">-R85*$D$33</f>
        <v>-192286.776436992</v>
      </c>
      <c r="T95" s="216" t="n">
        <f aca="false">-S85*$D$33</f>
        <v>-207926.20963584</v>
      </c>
      <c r="U95" s="216" t="n">
        <f aca="false">-T85*$D$33</f>
        <v>-202073.410764288</v>
      </c>
      <c r="V95" s="216" t="n">
        <f aca="false">-U85*$D$33</f>
        <v>-196220.611892736</v>
      </c>
      <c r="W95" s="216" t="n">
        <f aca="false">-V85*$D$33</f>
        <v>-190367.813021184</v>
      </c>
      <c r="X95" s="216" t="n">
        <f aca="false">-W85*$D$33</f>
        <v>-184515.014149632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-1093365</v>
      </c>
      <c r="U96" s="219" t="n">
        <v>-1093365</v>
      </c>
      <c r="V96" s="219" t="n">
        <v>-1093365</v>
      </c>
      <c r="W96" s="219" t="n">
        <v>-1093365</v>
      </c>
      <c r="X96" s="220" t="n">
        <f aca="false">-W101-X95</f>
        <v>-235357.437793283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1261009.7018368</v>
      </c>
      <c r="E99" s="206" t="n">
        <f aca="false">SUM(E87:E96)</f>
        <v>-270910.1818176</v>
      </c>
      <c r="F99" s="206" t="n">
        <f aca="false">SUM(F87:F96)</f>
        <v>-60227.7470177276</v>
      </c>
      <c r="G99" s="206" t="n">
        <f aca="false">SUM(G87:G96)</f>
        <v>-58490.0322178558</v>
      </c>
      <c r="H99" s="206" t="n">
        <f aca="false">SUM(H87:H96)</f>
        <v>-56752.3174179841</v>
      </c>
      <c r="I99" s="206" t="n">
        <f aca="false">SUM(I87:I96)</f>
        <v>-55014.6026181118</v>
      </c>
      <c r="J99" s="206" t="n">
        <f aca="false">SUM(J87:J96)</f>
        <v>-53276.8878182396</v>
      </c>
      <c r="K99" s="206" t="n">
        <f aca="false">SUM(K87:K96)</f>
        <v>-51539.1730183681</v>
      </c>
      <c r="L99" s="206" t="n">
        <f aca="false">SUM(L87:L96)</f>
        <v>-49801.4582184957</v>
      </c>
      <c r="M99" s="206" t="n">
        <f aca="false">SUM(M87:M96)</f>
        <v>-48063.7434186238</v>
      </c>
      <c r="N99" s="206" t="n">
        <f aca="false">SUM(N87:N96)</f>
        <v>-11438.0286187518</v>
      </c>
      <c r="O99" s="206" t="n">
        <f aca="false">SUM(O87:O96)</f>
        <v>-41099.5138188799</v>
      </c>
      <c r="P99" s="206" t="n">
        <f aca="false">SUM(P87:P96)</f>
        <v>-39361.7990190077</v>
      </c>
      <c r="Q99" s="206" t="n">
        <f aca="false">SUM(Q87:Q96)</f>
        <v>-37624.0842191358</v>
      </c>
      <c r="R99" s="206" t="n">
        <f aca="false">SUM(R87:R96)</f>
        <v>-35886.3694192639</v>
      </c>
      <c r="S99" s="206" t="n">
        <f aca="false">SUM(S87:S96)</f>
        <v>-34148.6546193917</v>
      </c>
      <c r="T99" s="206" t="n">
        <f aca="false">SUM(T87:T96)</f>
        <v>16599.8023244799</v>
      </c>
      <c r="U99" s="206" t="n">
        <f aca="false">SUM(U87:U96)</f>
        <v>15949.4913387522</v>
      </c>
      <c r="V99" s="206" t="n">
        <f aca="false">SUM(V87:V96)</f>
        <v>15299.180353024</v>
      </c>
      <c r="W99" s="206" t="n">
        <f aca="false">SUM(W87:W96)</f>
        <v>14648.8693672963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1261009.7018368</v>
      </c>
      <c r="F100" s="206" t="n">
        <f aca="false">E101</f>
        <v>990099.5200192</v>
      </c>
      <c r="G100" s="206" t="n">
        <f aca="false">F101</f>
        <v>929871.773001472</v>
      </c>
      <c r="H100" s="206" t="n">
        <f aca="false">G101</f>
        <v>871381.740783617</v>
      </c>
      <c r="I100" s="206" t="n">
        <f aca="false">H101</f>
        <v>814629.423365632</v>
      </c>
      <c r="J100" s="206" t="n">
        <f aca="false">I101</f>
        <v>759614.820747521</v>
      </c>
      <c r="K100" s="206" t="n">
        <f aca="false">J101</f>
        <v>706337.932929281</v>
      </c>
      <c r="L100" s="206" t="n">
        <f aca="false">K101</f>
        <v>654798.759910913</v>
      </c>
      <c r="M100" s="206" t="n">
        <f aca="false">L101</f>
        <v>604997.301692417</v>
      </c>
      <c r="N100" s="206" t="n">
        <f aca="false">M101</f>
        <v>556933.558273793</v>
      </c>
      <c r="O100" s="206" t="n">
        <f aca="false">N101</f>
        <v>545495.529655042</v>
      </c>
      <c r="P100" s="206" t="n">
        <f aca="false">O101</f>
        <v>504396.015836162</v>
      </c>
      <c r="Q100" s="206" t="n">
        <f aca="false">P101</f>
        <v>465034.216817154</v>
      </c>
      <c r="R100" s="206" t="n">
        <f aca="false">Q101</f>
        <v>427410.132598018</v>
      </c>
      <c r="S100" s="206" t="n">
        <f aca="false">R101</f>
        <v>391523.763178754</v>
      </c>
      <c r="T100" s="206" t="n">
        <f aca="false">S101</f>
        <v>357375.108559363</v>
      </c>
      <c r="U100" s="206" t="n">
        <f aca="false">T101</f>
        <v>373974.910883843</v>
      </c>
      <c r="V100" s="206" t="n">
        <f aca="false">U101</f>
        <v>389924.402222595</v>
      </c>
      <c r="W100" s="206" t="n">
        <f aca="false">V101</f>
        <v>405223.582575619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1261009.7018368</v>
      </c>
      <c r="E101" s="206" t="n">
        <f aca="false">E99+E100</f>
        <v>990099.5200192</v>
      </c>
      <c r="F101" s="206" t="n">
        <f aca="false">F99+F100</f>
        <v>929871.773001472</v>
      </c>
      <c r="G101" s="206" t="n">
        <f aca="false">G99+G100</f>
        <v>871381.740783617</v>
      </c>
      <c r="H101" s="206" t="n">
        <f aca="false">H99+H100</f>
        <v>814629.423365632</v>
      </c>
      <c r="I101" s="206" t="n">
        <f aca="false">I99+I100</f>
        <v>759614.820747521</v>
      </c>
      <c r="J101" s="206" t="n">
        <f aca="false">J99+J100</f>
        <v>706337.932929281</v>
      </c>
      <c r="K101" s="206" t="n">
        <f aca="false">K99+K100</f>
        <v>654798.759910913</v>
      </c>
      <c r="L101" s="206" t="n">
        <f aca="false">L99+L100</f>
        <v>604997.301692417</v>
      </c>
      <c r="M101" s="206" t="n">
        <f aca="false">M99+M100</f>
        <v>556933.558273793</v>
      </c>
      <c r="N101" s="206" t="n">
        <f aca="false">N99+N100</f>
        <v>545495.529655042</v>
      </c>
      <c r="O101" s="206" t="n">
        <f aca="false">O99+O100</f>
        <v>504396.015836162</v>
      </c>
      <c r="P101" s="206" t="n">
        <f aca="false">P99+P100</f>
        <v>465034.216817154</v>
      </c>
      <c r="Q101" s="206" t="n">
        <f aca="false">Q99+Q100</f>
        <v>427410.132598018</v>
      </c>
      <c r="R101" s="206" t="n">
        <f aca="false">R99+R100</f>
        <v>391523.763178754</v>
      </c>
      <c r="S101" s="206" t="n">
        <f aca="false">S99+S100</f>
        <v>357375.108559363</v>
      </c>
      <c r="T101" s="206" t="n">
        <f aca="false">T99+T100</f>
        <v>373974.910883843</v>
      </c>
      <c r="U101" s="206" t="n">
        <f aca="false">U99+U100</f>
        <v>389924.402222595</v>
      </c>
      <c r="V101" s="206" t="n">
        <f aca="false">V99+V100</f>
        <v>405223.582575619</v>
      </c>
      <c r="W101" s="206" t="n">
        <f aca="false">W99+W100</f>
        <v>419872.451942915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-4373460</v>
      </c>
      <c r="E104" s="209" t="n">
        <f aca="false">-E95-E96</f>
        <v>150880.23165312</v>
      </c>
      <c r="F104" s="209" t="n">
        <f aca="false">-F95-F96</f>
        <v>-42425.0551480324</v>
      </c>
      <c r="G104" s="209" t="n">
        <f aca="false">-G95-G96</f>
        <v>-26785.6219491842</v>
      </c>
      <c r="H104" s="209" t="n">
        <f aca="false">-H95-H96</f>
        <v>-11146.1887503362</v>
      </c>
      <c r="I104" s="209" t="n">
        <f aca="false">-I95-I96</f>
        <v>4493.24444851161</v>
      </c>
      <c r="J104" s="209" t="n">
        <f aca="false">-J95-J96</f>
        <v>20132.6776473597</v>
      </c>
      <c r="K104" s="209" t="n">
        <f aca="false">-K95-K96</f>
        <v>35772.1108462078</v>
      </c>
      <c r="L104" s="209" t="n">
        <f aca="false">-L95-L96</f>
        <v>51411.5440450557</v>
      </c>
      <c r="M104" s="209" t="n">
        <f aca="false">-M95-M96</f>
        <v>67050.9772439037</v>
      </c>
      <c r="N104" s="209" t="n">
        <f aca="false">-N95-N96</f>
        <v>82690.4104427516</v>
      </c>
      <c r="O104" s="209" t="n">
        <f aca="false">-O95-O96</f>
        <v>129729.0436416</v>
      </c>
      <c r="P104" s="209" t="n">
        <f aca="false">-P95-P96</f>
        <v>145368.476840448</v>
      </c>
      <c r="Q104" s="209" t="n">
        <f aca="false">-Q95-Q96</f>
        <v>161007.910039296</v>
      </c>
      <c r="R104" s="209" t="n">
        <f aca="false">-R95-R96</f>
        <v>176647.343238144</v>
      </c>
      <c r="S104" s="209" t="n">
        <f aca="false">-S95-S96</f>
        <v>192286.776436992</v>
      </c>
      <c r="T104" s="209" t="n">
        <f aca="false">-T95-T96</f>
        <v>1301291.20963584</v>
      </c>
      <c r="U104" s="209" t="n">
        <f aca="false">-U95-U96</f>
        <v>1295438.41076429</v>
      </c>
      <c r="V104" s="209" t="n">
        <f aca="false">-V95-V96</f>
        <v>1289585.61189274</v>
      </c>
      <c r="W104" s="209" t="n">
        <f aca="false">-W95-W96</f>
        <v>1283732.81302118</v>
      </c>
      <c r="X104" s="209" t="n">
        <f aca="false">-X95-X96</f>
        <v>419872.451942915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0.0265029022028185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-4205815.2981632</v>
      </c>
      <c r="E106" s="209" t="n">
        <f aca="false">E85</f>
        <v>-47138.9501644804</v>
      </c>
      <c r="F106" s="209" t="n">
        <f aca="false">F85-F96</f>
        <v>-29761.8021657603</v>
      </c>
      <c r="G106" s="209" t="n">
        <f aca="false">G85-G96</f>
        <v>-12384.6541670402</v>
      </c>
      <c r="H106" s="209" t="n">
        <f aca="false">H85-H96</f>
        <v>4992.49383167957</v>
      </c>
      <c r="I106" s="209" t="n">
        <f aca="false">I85-I96</f>
        <v>22369.6418303996</v>
      </c>
      <c r="J106" s="209" t="n">
        <f aca="false">J85-J96</f>
        <v>39746.7898291198</v>
      </c>
      <c r="K106" s="209" t="n">
        <f aca="false">K85-K96</f>
        <v>57123.9378278396</v>
      </c>
      <c r="L106" s="209" t="n">
        <f aca="false">L85-L96</f>
        <v>74501.0858265596</v>
      </c>
      <c r="M106" s="209" t="n">
        <f aca="false">M85-M96</f>
        <v>91878.2338252796</v>
      </c>
      <c r="N106" s="209" t="n">
        <f aca="false">N85-N96</f>
        <v>144143.381824</v>
      </c>
      <c r="O106" s="209" t="n">
        <f aca="false">O85-O96</f>
        <v>161520.52982272</v>
      </c>
      <c r="P106" s="209" t="n">
        <f aca="false">P85-P96</f>
        <v>178897.67782144</v>
      </c>
      <c r="Q106" s="209" t="n">
        <f aca="false">Q85-Q96</f>
        <v>196274.82582016</v>
      </c>
      <c r="R106" s="209" t="n">
        <f aca="false">R85-R96</f>
        <v>213651.97381888</v>
      </c>
      <c r="S106" s="209" t="n">
        <f aca="false">S85-S96</f>
        <v>231029.1218176</v>
      </c>
      <c r="T106" s="209" t="n">
        <f aca="false">T85-T96</f>
        <v>1317891.01196032</v>
      </c>
      <c r="U106" s="209" t="n">
        <f aca="false">U85-U96</f>
        <v>1311387.90210304</v>
      </c>
      <c r="V106" s="209" t="n">
        <f aca="false">V85-V96</f>
        <v>1304884.79224576</v>
      </c>
      <c r="W106" s="209" t="n">
        <f aca="false">W85-W96</f>
        <v>1298381.68238848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0.0274906150623421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17493840</v>
      </c>
      <c r="E109" s="206" t="n">
        <f aca="false">D109+E93</f>
        <v>16327584</v>
      </c>
      <c r="F109" s="206" t="n">
        <f aca="false">E109+F93</f>
        <v>15161328</v>
      </c>
      <c r="G109" s="206" t="n">
        <f aca="false">F109+G93</f>
        <v>13995072</v>
      </c>
      <c r="H109" s="206" t="n">
        <f aca="false">G109+H93</f>
        <v>12828816</v>
      </c>
      <c r="I109" s="206" t="n">
        <f aca="false">H109+I93</f>
        <v>11662560</v>
      </c>
      <c r="J109" s="206" t="n">
        <f aca="false">I109+J93</f>
        <v>10496304</v>
      </c>
      <c r="K109" s="206" t="n">
        <f aca="false">J109+K93</f>
        <v>9330048</v>
      </c>
      <c r="L109" s="206" t="n">
        <f aca="false">K109+L93</f>
        <v>8163792</v>
      </c>
      <c r="M109" s="206" t="n">
        <f aca="false">L109+M93</f>
        <v>6997536</v>
      </c>
      <c r="N109" s="206" t="n">
        <f aca="false">M109+N93</f>
        <v>5831280</v>
      </c>
      <c r="O109" s="206" t="n">
        <f aca="false">N109+O93</f>
        <v>4665024</v>
      </c>
      <c r="P109" s="206" t="n">
        <f aca="false">O109+P93</f>
        <v>3498768</v>
      </c>
      <c r="Q109" s="206" t="n">
        <f aca="false">P109+Q93</f>
        <v>2332512</v>
      </c>
      <c r="R109" s="206" t="n">
        <f aca="false">Q109+R93</f>
        <v>1166256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94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-20621300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-40557.3</v>
      </c>
      <c r="E49" s="170" t="n">
        <v>-40557.3</v>
      </c>
      <c r="F49" s="170" t="n">
        <v>-40557.3</v>
      </c>
      <c r="G49" s="170" t="n">
        <v>-40557.3</v>
      </c>
      <c r="H49" s="170" t="n">
        <v>-40557.3</v>
      </c>
      <c r="I49" s="170" t="n">
        <v>-40557.3</v>
      </c>
      <c r="J49" s="170" t="n">
        <v>-40557.3</v>
      </c>
      <c r="K49" s="170" t="n">
        <v>-40557.3</v>
      </c>
      <c r="L49" s="170" t="n">
        <v>-40557.3</v>
      </c>
      <c r="M49" s="170" t="n">
        <v>-40557.3</v>
      </c>
      <c r="N49" s="170" t="n">
        <v>-40557.3</v>
      </c>
      <c r="O49" s="170" t="n">
        <v>-40557.3</v>
      </c>
      <c r="P49" s="170" t="n">
        <v>-40557.3</v>
      </c>
      <c r="Q49" s="170" t="n">
        <v>-40557.3</v>
      </c>
      <c r="R49" s="170" t="n">
        <v>-40557.3</v>
      </c>
      <c r="S49" s="170" t="n">
        <v>-40557.3</v>
      </c>
      <c r="T49" s="170" t="n">
        <v>-40557.3</v>
      </c>
      <c r="U49" s="170" t="n">
        <v>-40557.3</v>
      </c>
      <c r="V49" s="170" t="n">
        <v>-40557.3</v>
      </c>
      <c r="W49" s="170" t="n">
        <v>-40557.3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-144445.4624192</v>
      </c>
      <c r="E54" s="170" t="n">
        <f aca="false">-(E64+E67+E68+E71+E72+E73+E74)*0.2</f>
        <v>-84779.4849548799</v>
      </c>
      <c r="F54" s="170" t="n">
        <f aca="false">-(F64+F67+F68+F71+F72+F73+F74)*0.2</f>
        <v>-83153.70749056</v>
      </c>
      <c r="G54" s="170" t="n">
        <f aca="false">-(G64+G67+G68+G71+G72+G73+G74)*0.2</f>
        <v>-81527.93002624</v>
      </c>
      <c r="H54" s="170" t="n">
        <f aca="false">-(H64+H67+H68+H71+H72+H73+H74)*0.2</f>
        <v>-79902.1525619199</v>
      </c>
      <c r="I54" s="170" t="n">
        <f aca="false">-(I64+I67+I68+I71+I72+I73+I74)*0.2</f>
        <v>-78276.3750975999</v>
      </c>
      <c r="J54" s="170" t="n">
        <f aca="false">-(J64+J67+J68+J71+J72+J73+J74)*0.2</f>
        <v>-76650.59763328</v>
      </c>
      <c r="K54" s="170" t="n">
        <f aca="false">-(K64+K67+K68+K71+K72+K73+K74)*0.2</f>
        <v>-75024.8201689599</v>
      </c>
      <c r="L54" s="170" t="n">
        <f aca="false">-(L64+L67+L68+L71+L72+L73+L74)*0.2</f>
        <v>-73399.0427046399</v>
      </c>
      <c r="M54" s="170" t="n">
        <f aca="false">-(M64+M67+M68+M71+M72+M73+M74)*0.2</f>
        <v>-71773.2652403199</v>
      </c>
      <c r="N54" s="170" t="n">
        <f aca="false">-(N64+N67+N68+N71+N72+N73+N74)*0.2</f>
        <v>-78869.4877759999</v>
      </c>
      <c r="O54" s="170" t="n">
        <f aca="false">-(O64+O67+O68+O71+O72+O73+O74)*0.2</f>
        <v>-77243.7103116799</v>
      </c>
      <c r="P54" s="170" t="n">
        <f aca="false">-(P64+P67+P68+P71+P72+P73+P74)*0.2</f>
        <v>-75617.9328473599</v>
      </c>
      <c r="Q54" s="170" t="n">
        <f aca="false">-(Q64+Q67+Q68+Q71+Q72+Q73+Q74)*0.2</f>
        <v>-73992.1553830399</v>
      </c>
      <c r="R54" s="170" t="n">
        <f aca="false">-(R64+R67+R68+R71+R72+R73+R74)*0.2</f>
        <v>-72366.3779187199</v>
      </c>
      <c r="S54" s="170" t="n">
        <f aca="false">-(S64+S67+S68+S71+S72+S73+S74)*0.2</f>
        <v>-70740.6004543999</v>
      </c>
      <c r="T54" s="170" t="n">
        <f aca="false">-(T64+T67+T68+T71+T72+T73+T74)*0.2</f>
        <v>-69114.8229900799</v>
      </c>
      <c r="U54" s="170" t="n">
        <f aca="false">-(U64+U67+U68+U71+U72+U73+U74)*0.2</f>
        <v>-67489.0455257599</v>
      </c>
      <c r="V54" s="170" t="n">
        <f aca="false">-(V64+V67+V68+V71+V72+V73+V74)*0.2</f>
        <v>-65863.2680614399</v>
      </c>
      <c r="W54" s="170" t="n">
        <f aca="false">-(W64+W67+W68+W71+W72+W73+W74)*0.2</f>
        <v>-64237.4905971199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-20621300</v>
      </c>
      <c r="D55" s="175" t="n">
        <f aca="false">SUM(D41:D54)</f>
        <v>1608846.8496768</v>
      </c>
      <c r="E55" s="175" t="n">
        <f aca="false">SUM(E41:E54)</f>
        <v>1370182.93981952</v>
      </c>
      <c r="F55" s="175" t="n">
        <f aca="false">SUM(F41:F54)</f>
        <v>1363679.82996224</v>
      </c>
      <c r="G55" s="175" t="n">
        <f aca="false">SUM(G41:G54)</f>
        <v>1357176.72010496</v>
      </c>
      <c r="H55" s="175" t="n">
        <f aca="false">SUM(H41:H54)</f>
        <v>1350673.61024768</v>
      </c>
      <c r="I55" s="175" t="n">
        <f aca="false">SUM(I41:I54)</f>
        <v>1344170.5003904</v>
      </c>
      <c r="J55" s="175" t="n">
        <f aca="false">SUM(J41:J54)</f>
        <v>1337667.39053312</v>
      </c>
      <c r="K55" s="175" t="n">
        <f aca="false">SUM(K41:K54)</f>
        <v>1331164.28067584</v>
      </c>
      <c r="L55" s="175" t="n">
        <f aca="false">SUM(L41:L54)</f>
        <v>1324661.17081856</v>
      </c>
      <c r="M55" s="175" t="n">
        <f aca="false">SUM(M41:M54)</f>
        <v>1318158.06096128</v>
      </c>
      <c r="N55" s="175" t="n">
        <f aca="false">SUM(N41:N54)</f>
        <v>1346542.951104</v>
      </c>
      <c r="O55" s="175" t="n">
        <f aca="false">SUM(O41:O54)</f>
        <v>1340039.84124672</v>
      </c>
      <c r="P55" s="175" t="n">
        <f aca="false">SUM(P41:P54)</f>
        <v>1333536.73138944</v>
      </c>
      <c r="Q55" s="175" t="n">
        <f aca="false">SUM(Q41:Q54)</f>
        <v>1327033.62153216</v>
      </c>
      <c r="R55" s="175" t="n">
        <f aca="false">SUM(R41:R54)</f>
        <v>1320530.51167488</v>
      </c>
      <c r="S55" s="175" t="n">
        <f aca="false">SUM(S41:S54)</f>
        <v>1314027.4018176</v>
      </c>
      <c r="T55" s="175" t="n">
        <f aca="false">SUM(T41:T54)</f>
        <v>1307524.29196032</v>
      </c>
      <c r="U55" s="175" t="n">
        <f aca="false">SUM(U41:U54)</f>
        <v>1301021.18210304</v>
      </c>
      <c r="V55" s="175" t="n">
        <f aca="false">SUM(V41:V54)</f>
        <v>1294518.07224576</v>
      </c>
      <c r="W55" s="175" t="n">
        <f aca="false">SUM(W41:W54)</f>
        <v>1288014.96238848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-19012453.1503232</v>
      </c>
      <c r="E56" s="180" t="n">
        <f aca="false">D56+E55</f>
        <v>-17642270.2105037</v>
      </c>
      <c r="F56" s="180" t="n">
        <f aca="false">E56+F55</f>
        <v>-16278590.3805414</v>
      </c>
      <c r="G56" s="180" t="n">
        <f aca="false">F56+G55</f>
        <v>-14921413.6604365</v>
      </c>
      <c r="H56" s="180" t="n">
        <f aca="false">G56+H55</f>
        <v>-13570740.0501888</v>
      </c>
      <c r="I56" s="180" t="n">
        <f aca="false">H56+I55</f>
        <v>-12226569.5497984</v>
      </c>
      <c r="J56" s="180" t="n">
        <f aca="false">I56+J55</f>
        <v>-10888902.1592653</v>
      </c>
      <c r="K56" s="180" t="n">
        <f aca="false">J56+K55</f>
        <v>-9557737.87858945</v>
      </c>
      <c r="L56" s="180" t="n">
        <f aca="false">K56+L55</f>
        <v>-8233076.70777089</v>
      </c>
      <c r="M56" s="180" t="n">
        <f aca="false">L56+M55</f>
        <v>-6914918.64680961</v>
      </c>
      <c r="N56" s="180" t="n">
        <f aca="false">M56+N55</f>
        <v>-5568375.69570561</v>
      </c>
      <c r="O56" s="180" t="n">
        <f aca="false">N56+O55</f>
        <v>-4228335.85445889</v>
      </c>
      <c r="P56" s="180" t="n">
        <f aca="false">O56+P55</f>
        <v>-2894799.12306945</v>
      </c>
      <c r="Q56" s="180" t="n">
        <f aca="false">P56+Q55</f>
        <v>-1567765.50153729</v>
      </c>
      <c r="R56" s="180" t="n">
        <f aca="false">Q56+R55</f>
        <v>-247234.989862408</v>
      </c>
      <c r="S56" s="180" t="n">
        <f aca="false">R56+S55</f>
        <v>1066792.41195519</v>
      </c>
      <c r="T56" s="180" t="n">
        <f aca="false">S56+T55</f>
        <v>2374316.70391551</v>
      </c>
      <c r="U56" s="180" t="n">
        <f aca="false">T56+U55</f>
        <v>3675337.88601855</v>
      </c>
      <c r="V56" s="180" t="n">
        <f aca="false">U56+V55</f>
        <v>4969855.95826431</v>
      </c>
      <c r="W56" s="180" t="n">
        <f aca="false">V56+W55</f>
        <v>6257870.92065279</v>
      </c>
      <c r="X56" s="180" t="n">
        <f aca="false">W56+X55</f>
        <v>6257870.92065279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0.0272127037791494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-1031065</v>
      </c>
      <c r="E67" s="191" t="n">
        <f aca="false">$C$44/$E$16</f>
        <v>-1031065</v>
      </c>
      <c r="F67" s="191" t="n">
        <f aca="false">$C$44/$E$16</f>
        <v>-1031065</v>
      </c>
      <c r="G67" s="191" t="n">
        <f aca="false">$C$44/$E$16</f>
        <v>-1031065</v>
      </c>
      <c r="H67" s="191" t="n">
        <f aca="false">$C$44/$E$16</f>
        <v>-1031065</v>
      </c>
      <c r="I67" s="191" t="n">
        <f aca="false">$C$44/$E$16</f>
        <v>-1031065</v>
      </c>
      <c r="J67" s="191" t="n">
        <f aca="false">$C$44/$E$16</f>
        <v>-1031065</v>
      </c>
      <c r="K67" s="191" t="n">
        <f aca="false">$C$44/$E$16</f>
        <v>-1031065</v>
      </c>
      <c r="L67" s="191" t="n">
        <f aca="false">$C$44/$E$16</f>
        <v>-1031065</v>
      </c>
      <c r="M67" s="191" t="n">
        <f aca="false">$C$44/$E$16</f>
        <v>-1031065</v>
      </c>
      <c r="N67" s="191" t="n">
        <f aca="false">$C$44/$E$16</f>
        <v>-1031065</v>
      </c>
      <c r="O67" s="191" t="n">
        <f aca="false">$C$44/$E$16</f>
        <v>-1031065</v>
      </c>
      <c r="P67" s="191" t="n">
        <f aca="false">$C$44/$E$16</f>
        <v>-1031065</v>
      </c>
      <c r="Q67" s="191" t="n">
        <f aca="false">$C$44/$E$16</f>
        <v>-1031065</v>
      </c>
      <c r="R67" s="191" t="n">
        <f aca="false">$C$44/$E$16</f>
        <v>-1031065</v>
      </c>
      <c r="S67" s="191" t="n">
        <f aca="false">$C$44/$E$16</f>
        <v>-1031065</v>
      </c>
      <c r="T67" s="191" t="n">
        <f aca="false">$C$44/$E$16</f>
        <v>-1031065</v>
      </c>
      <c r="U67" s="191" t="n">
        <f aca="false">$C$44/$E$16</f>
        <v>-1031065</v>
      </c>
      <c r="V67" s="191" t="n">
        <f aca="false">$C$44/$E$16</f>
        <v>-1031065</v>
      </c>
      <c r="W67" s="191" t="n">
        <f aca="false">$C$44/$E$16</f>
        <v>-1031065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-422241.7388</v>
      </c>
      <c r="E70" s="170" t="n">
        <f aca="false">-E109*$D25</f>
        <v>-394092.289546667</v>
      </c>
      <c r="F70" s="170" t="n">
        <f aca="false">-F109*$D25</f>
        <v>-365942.840293333</v>
      </c>
      <c r="G70" s="170" t="n">
        <f aca="false">-G109*$D25</f>
        <v>-337793.39104</v>
      </c>
      <c r="H70" s="170" t="n">
        <f aca="false">-H109*$D25</f>
        <v>-309643.941786667</v>
      </c>
      <c r="I70" s="170" t="n">
        <f aca="false">-I109*$D25</f>
        <v>-281494.492533333</v>
      </c>
      <c r="J70" s="170" t="n">
        <f aca="false">-J109*$D25</f>
        <v>-253345.04328</v>
      </c>
      <c r="K70" s="170" t="n">
        <f aca="false">-K109*$D25</f>
        <v>-225195.594026667</v>
      </c>
      <c r="L70" s="170" t="n">
        <f aca="false">-L109*$D25</f>
        <v>-197046.144773333</v>
      </c>
      <c r="M70" s="170" t="n">
        <f aca="false">-M109*$D25</f>
        <v>-168896.69552</v>
      </c>
      <c r="N70" s="170" t="n">
        <f aca="false">-N109*$D25</f>
        <v>-140747.246266667</v>
      </c>
      <c r="O70" s="170" t="n">
        <f aca="false">-O109*$D25</f>
        <v>-112597.797013333</v>
      </c>
      <c r="P70" s="170" t="n">
        <f aca="false">-P109*$D25</f>
        <v>-84448.3477599998</v>
      </c>
      <c r="Q70" s="170" t="n">
        <f aca="false">-Q109*$D25</f>
        <v>-56298.8985066665</v>
      </c>
      <c r="R70" s="170" t="n">
        <f aca="false">-R109*$D25</f>
        <v>-28149.4492533332</v>
      </c>
      <c r="S70" s="170" t="n">
        <f aca="false">-S109*$D25</f>
        <v>1.90697610378265E-010</v>
      </c>
      <c r="T70" s="170" t="n">
        <f aca="false">-T109*$D25</f>
        <v>1.90697610378265E-010</v>
      </c>
      <c r="U70" s="170" t="n">
        <f aca="false">-U109*$D25</f>
        <v>1.90697610378265E-010</v>
      </c>
      <c r="V70" s="170" t="n">
        <f aca="false">-V109*$D25</f>
        <v>1.90697610378265E-010</v>
      </c>
      <c r="W70" s="170" t="n">
        <f aca="false">-W109*$D25</f>
        <v>1.90697610378265E-010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-40557.3</v>
      </c>
      <c r="E72" s="170" t="n">
        <f aca="false">E49</f>
        <v>-40557.3</v>
      </c>
      <c r="F72" s="170" t="n">
        <f aca="false">F49</f>
        <v>-40557.3</v>
      </c>
      <c r="G72" s="170" t="n">
        <f aca="false">G49</f>
        <v>-40557.3</v>
      </c>
      <c r="H72" s="170" t="n">
        <f aca="false">H49</f>
        <v>-40557.3</v>
      </c>
      <c r="I72" s="170" t="n">
        <f aca="false">I49</f>
        <v>-40557.3</v>
      </c>
      <c r="J72" s="170" t="n">
        <f aca="false">J49</f>
        <v>-40557.3</v>
      </c>
      <c r="K72" s="170" t="n">
        <f aca="false">K49</f>
        <v>-40557.3</v>
      </c>
      <c r="L72" s="170" t="n">
        <f aca="false">L49</f>
        <v>-40557.3</v>
      </c>
      <c r="M72" s="170" t="n">
        <f aca="false">M49</f>
        <v>-40557.3</v>
      </c>
      <c r="N72" s="170" t="n">
        <f aca="false">N49</f>
        <v>-40557.3</v>
      </c>
      <c r="O72" s="170" t="n">
        <f aca="false">O49</f>
        <v>-40557.3</v>
      </c>
      <c r="P72" s="170" t="n">
        <f aca="false">P49</f>
        <v>-40557.3</v>
      </c>
      <c r="Q72" s="170" t="n">
        <f aca="false">Q49</f>
        <v>-40557.3</v>
      </c>
      <c r="R72" s="170" t="n">
        <f aca="false">R49</f>
        <v>-40557.3</v>
      </c>
      <c r="S72" s="170" t="n">
        <f aca="false">S49</f>
        <v>-40557.3</v>
      </c>
      <c r="T72" s="170" t="n">
        <f aca="false">T49</f>
        <v>-40557.3</v>
      </c>
      <c r="U72" s="170" t="n">
        <f aca="false">U49</f>
        <v>-40557.3</v>
      </c>
      <c r="V72" s="170" t="n">
        <f aca="false">V49</f>
        <v>-40557.3</v>
      </c>
      <c r="W72" s="170" t="n">
        <f aca="false">W49</f>
        <v>-40557.3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299985.573295999</v>
      </c>
      <c r="E76" s="175" t="n">
        <f aca="false">SUM(E64:E75)</f>
        <v>29805.1352277328</v>
      </c>
      <c r="F76" s="175" t="n">
        <f aca="false">SUM(F64:F75)</f>
        <v>49825.6971594664</v>
      </c>
      <c r="G76" s="175" t="n">
        <f aca="false">SUM(G64:G75)</f>
        <v>69846.2590911998</v>
      </c>
      <c r="H76" s="175" t="n">
        <f aca="false">SUM(H64:H75)</f>
        <v>89866.8210229329</v>
      </c>
      <c r="I76" s="175" t="n">
        <f aca="false">SUM(I64:I75)</f>
        <v>109887.382954666</v>
      </c>
      <c r="J76" s="175" t="n">
        <f aca="false">SUM(J64:J75)</f>
        <v>129907.9448864</v>
      </c>
      <c r="K76" s="175" t="n">
        <f aca="false">SUM(K64:K75)</f>
        <v>149928.506818133</v>
      </c>
      <c r="L76" s="175" t="n">
        <f aca="false">SUM(L64:L75)</f>
        <v>169949.068749866</v>
      </c>
      <c r="M76" s="175" t="n">
        <f aca="false">SUM(M64:M75)</f>
        <v>189969.6306816</v>
      </c>
      <c r="N76" s="175" t="n">
        <f aca="false">SUM(N64:N75)</f>
        <v>253600.192613333</v>
      </c>
      <c r="O76" s="175" t="n">
        <f aca="false">SUM(O64:O75)</f>
        <v>273620.754545066</v>
      </c>
      <c r="P76" s="175" t="n">
        <f aca="false">SUM(P64:P75)</f>
        <v>293641.3164768</v>
      </c>
      <c r="Q76" s="175" t="n">
        <f aca="false">SUM(Q64:Q75)</f>
        <v>313661.878408533</v>
      </c>
      <c r="R76" s="175" t="n">
        <f aca="false">SUM(R64:R75)</f>
        <v>333682.440340267</v>
      </c>
      <c r="S76" s="175" t="n">
        <f aca="false">SUM(S64:S75)</f>
        <v>353703.002272</v>
      </c>
      <c r="T76" s="175" t="n">
        <f aca="false">SUM(T64:T75)</f>
        <v>345574.1149504</v>
      </c>
      <c r="U76" s="175" t="n">
        <f aca="false">SUM(U64:U75)</f>
        <v>337445.2276288</v>
      </c>
      <c r="V76" s="175" t="n">
        <f aca="false">SUM(V64:V75)</f>
        <v>329316.3403072</v>
      </c>
      <c r="W76" s="175" t="n">
        <f aca="false">SUM(W64:W75)</f>
        <v>321187.4529856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-59997.1146591999</v>
      </c>
      <c r="E77" s="170" t="n">
        <f aca="false">-E76*0.2</f>
        <v>-5961.02704554656</v>
      </c>
      <c r="F77" s="170" t="n">
        <f aca="false">-F76*0.2</f>
        <v>-9965.13943189329</v>
      </c>
      <c r="G77" s="170" t="n">
        <f aca="false">-G76*0.2</f>
        <v>-13969.25181824</v>
      </c>
      <c r="H77" s="170" t="n">
        <f aca="false">-H76*0.2</f>
        <v>-17973.3642045866</v>
      </c>
      <c r="I77" s="170" t="n">
        <f aca="false">-I76*0.2</f>
        <v>-21977.4765909333</v>
      </c>
      <c r="J77" s="170" t="n">
        <f aca="false">-J76*0.2</f>
        <v>-25981.58897728</v>
      </c>
      <c r="K77" s="170" t="n">
        <f aca="false">-K76*0.2</f>
        <v>-29985.7013636266</v>
      </c>
      <c r="L77" s="170" t="n">
        <f aca="false">-L76*0.2</f>
        <v>-33989.8137499733</v>
      </c>
      <c r="M77" s="170" t="n">
        <f aca="false">-M76*0.2</f>
        <v>-37993.92613632</v>
      </c>
      <c r="N77" s="170" t="n">
        <f aca="false">-N76*0.2</f>
        <v>-50720.0385226666</v>
      </c>
      <c r="O77" s="170" t="n">
        <f aca="false">-O76*0.2</f>
        <v>-54724.1509090133</v>
      </c>
      <c r="P77" s="170" t="n">
        <f aca="false">-P76*0.2</f>
        <v>-58728.26329536</v>
      </c>
      <c r="Q77" s="170" t="n">
        <f aca="false">-Q76*0.2</f>
        <v>-62732.3756817066</v>
      </c>
      <c r="R77" s="170" t="n">
        <f aca="false">-R76*0.2</f>
        <v>-66736.4880680533</v>
      </c>
      <c r="S77" s="170" t="n">
        <f aca="false">-S76*0.2</f>
        <v>-70740.6004544</v>
      </c>
      <c r="T77" s="170" t="n">
        <f aca="false">-T76*0.2</f>
        <v>-69114.8229900799</v>
      </c>
      <c r="U77" s="170" t="n">
        <f aca="false">-U76*0.2</f>
        <v>-67489.04552576</v>
      </c>
      <c r="V77" s="170" t="n">
        <f aca="false">-V76*0.2</f>
        <v>-65863.2680614399</v>
      </c>
      <c r="W77" s="170" t="n">
        <f aca="false">-W76*0.2</f>
        <v>-64237.49059712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239988.4586368</v>
      </c>
      <c r="E78" s="170" t="n">
        <f aca="false">SUM(E76:E77)</f>
        <v>23844.1081821863</v>
      </c>
      <c r="F78" s="170" t="n">
        <f aca="false">SUM(F76:F77)</f>
        <v>39860.5577275732</v>
      </c>
      <c r="G78" s="170" t="n">
        <f aca="false">SUM(G76:G77)</f>
        <v>55877.0072729598</v>
      </c>
      <c r="H78" s="170" t="n">
        <f aca="false">SUM(H76:H77)</f>
        <v>71893.4568183464</v>
      </c>
      <c r="I78" s="170" t="n">
        <f aca="false">SUM(I76:I77)</f>
        <v>87909.9063637331</v>
      </c>
      <c r="J78" s="170" t="n">
        <f aca="false">SUM(J76:J77)</f>
        <v>103926.35590912</v>
      </c>
      <c r="K78" s="170" t="n">
        <f aca="false">SUM(K76:K77)</f>
        <v>119942.805454506</v>
      </c>
      <c r="L78" s="170" t="n">
        <f aca="false">SUM(L76:L77)</f>
        <v>135959.254999893</v>
      </c>
      <c r="M78" s="170" t="n">
        <f aca="false">SUM(M76:M77)</f>
        <v>151975.70454528</v>
      </c>
      <c r="N78" s="170" t="n">
        <f aca="false">SUM(N76:N77)</f>
        <v>202880.154090667</v>
      </c>
      <c r="O78" s="170" t="n">
        <f aca="false">SUM(O76:O77)</f>
        <v>218896.603636053</v>
      </c>
      <c r="P78" s="170" t="n">
        <f aca="false">SUM(P76:P77)</f>
        <v>234913.05318144</v>
      </c>
      <c r="Q78" s="170" t="n">
        <f aca="false">SUM(Q76:Q77)</f>
        <v>250929.502726827</v>
      </c>
      <c r="R78" s="170" t="n">
        <f aca="false">SUM(R76:R77)</f>
        <v>266945.952272213</v>
      </c>
      <c r="S78" s="170" t="n">
        <f aca="false">SUM(S76:S77)</f>
        <v>282962.4018176</v>
      </c>
      <c r="T78" s="170" t="n">
        <f aca="false">SUM(T76:T77)</f>
        <v>276459.29196032</v>
      </c>
      <c r="U78" s="170" t="n">
        <f aca="false">SUM(U76:U77)</f>
        <v>269956.18210304</v>
      </c>
      <c r="V78" s="170" t="n">
        <f aca="false">SUM(V76:V77)</f>
        <v>263453.07224576</v>
      </c>
      <c r="W78" s="170" t="n">
        <f aca="false">SUM(W76:W77)</f>
        <v>256949.96238848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239988.4586368</v>
      </c>
      <c r="E85" s="206" t="n">
        <f aca="false">E78</f>
        <v>23844.1081821863</v>
      </c>
      <c r="F85" s="206" t="n">
        <f aca="false">F78</f>
        <v>39860.5577275732</v>
      </c>
      <c r="G85" s="206" t="n">
        <f aca="false">G78</f>
        <v>55877.0072729598</v>
      </c>
      <c r="H85" s="206" t="n">
        <f aca="false">H78</f>
        <v>71893.4568183464</v>
      </c>
      <c r="I85" s="206" t="n">
        <f aca="false">I78</f>
        <v>87909.9063637331</v>
      </c>
      <c r="J85" s="206" t="n">
        <f aca="false">J78</f>
        <v>103926.35590912</v>
      </c>
      <c r="K85" s="206" t="n">
        <f aca="false">K78</f>
        <v>119942.805454506</v>
      </c>
      <c r="L85" s="206" t="n">
        <f aca="false">L78</f>
        <v>135959.254999893</v>
      </c>
      <c r="M85" s="206" t="n">
        <f aca="false">M78</f>
        <v>151975.70454528</v>
      </c>
      <c r="N85" s="206" t="n">
        <f aca="false">N78</f>
        <v>202880.154090667</v>
      </c>
      <c r="O85" s="206" t="n">
        <f aca="false">O78</f>
        <v>218896.603636053</v>
      </c>
      <c r="P85" s="206" t="n">
        <f aca="false">P78</f>
        <v>234913.05318144</v>
      </c>
      <c r="Q85" s="206" t="n">
        <f aca="false">Q78</f>
        <v>250929.502726827</v>
      </c>
      <c r="R85" s="206" t="n">
        <f aca="false">R78</f>
        <v>266945.952272213</v>
      </c>
      <c r="S85" s="206" t="n">
        <f aca="false">S78</f>
        <v>282962.4018176</v>
      </c>
      <c r="T85" s="206" t="n">
        <f aca="false">T78</f>
        <v>276459.29196032</v>
      </c>
      <c r="U85" s="206" t="n">
        <f aca="false">U78</f>
        <v>269956.18210304</v>
      </c>
      <c r="V85" s="206" t="n">
        <f aca="false">V78</f>
        <v>263453.07224576</v>
      </c>
      <c r="W85" s="206" t="n">
        <f aca="false">W78</f>
        <v>256949.96238848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1031065</v>
      </c>
      <c r="E86" s="207" t="n">
        <f aca="false">-E67</f>
        <v>1031065</v>
      </c>
      <c r="F86" s="207" t="n">
        <f aca="false">-F67</f>
        <v>1031065</v>
      </c>
      <c r="G86" s="207" t="n">
        <f aca="false">-G67</f>
        <v>1031065</v>
      </c>
      <c r="H86" s="207" t="n">
        <f aca="false">-H67</f>
        <v>1031065</v>
      </c>
      <c r="I86" s="207" t="n">
        <f aca="false">-I67</f>
        <v>1031065</v>
      </c>
      <c r="J86" s="207" t="n">
        <f aca="false">-J67</f>
        <v>1031065</v>
      </c>
      <c r="K86" s="207" t="n">
        <f aca="false">-K67</f>
        <v>1031065</v>
      </c>
      <c r="L86" s="207" t="n">
        <f aca="false">-L67</f>
        <v>1031065</v>
      </c>
      <c r="M86" s="207" t="n">
        <f aca="false">-M67</f>
        <v>1031065</v>
      </c>
      <c r="N86" s="207" t="n">
        <f aca="false">-N67</f>
        <v>1031065</v>
      </c>
      <c r="O86" s="207" t="n">
        <f aca="false">-O67</f>
        <v>1031065</v>
      </c>
      <c r="P86" s="207" t="n">
        <f aca="false">-P67</f>
        <v>1031065</v>
      </c>
      <c r="Q86" s="207" t="n">
        <f aca="false">-Q67</f>
        <v>1031065</v>
      </c>
      <c r="R86" s="207" t="n">
        <f aca="false">-R67</f>
        <v>1031065</v>
      </c>
      <c r="S86" s="207" t="n">
        <f aca="false">-S67</f>
        <v>1031065</v>
      </c>
      <c r="T86" s="207" t="n">
        <f aca="false">-T67</f>
        <v>1031065</v>
      </c>
      <c r="U86" s="207" t="n">
        <f aca="false">-U67</f>
        <v>1031065</v>
      </c>
      <c r="V86" s="207" t="n">
        <f aca="false">-V67</f>
        <v>1031065</v>
      </c>
      <c r="W86" s="207" t="n">
        <f aca="false">-W67</f>
        <v>1031065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1271053.4586368</v>
      </c>
      <c r="E87" s="209" t="n">
        <f aca="false">SUM(E85:E86)</f>
        <v>1054909.10818219</v>
      </c>
      <c r="F87" s="209" t="n">
        <f aca="false">SUM(F85:F86)</f>
        <v>1070925.55772757</v>
      </c>
      <c r="G87" s="209" t="n">
        <f aca="false">SUM(G85:G86)</f>
        <v>1086942.00727296</v>
      </c>
      <c r="H87" s="209" t="n">
        <f aca="false">SUM(H85:H86)</f>
        <v>1102958.45681835</v>
      </c>
      <c r="I87" s="209" t="n">
        <f aca="false">SUM(I85:I86)</f>
        <v>1118974.90636373</v>
      </c>
      <c r="J87" s="209" t="n">
        <f aca="false">SUM(J85:J86)</f>
        <v>1134991.35590912</v>
      </c>
      <c r="K87" s="209" t="n">
        <f aca="false">SUM(K85:K86)</f>
        <v>1151007.80545451</v>
      </c>
      <c r="L87" s="209" t="n">
        <f aca="false">SUM(L85:L86)</f>
        <v>1167024.25499989</v>
      </c>
      <c r="M87" s="209" t="n">
        <f aca="false">SUM(M85:M86)</f>
        <v>1183040.70454528</v>
      </c>
      <c r="N87" s="209" t="n">
        <f aca="false">SUM(N85:N86)</f>
        <v>1233945.15409067</v>
      </c>
      <c r="O87" s="209" t="n">
        <f aca="false">SUM(O85:O86)</f>
        <v>1249961.60363605</v>
      </c>
      <c r="P87" s="209" t="n">
        <f aca="false">SUM(P85:P86)</f>
        <v>1265978.05318144</v>
      </c>
      <c r="Q87" s="209" t="n">
        <f aca="false">SUM(Q85:Q86)</f>
        <v>1281994.50272683</v>
      </c>
      <c r="R87" s="209" t="n">
        <f aca="false">SUM(R85:R86)</f>
        <v>1298010.95227221</v>
      </c>
      <c r="S87" s="209" t="n">
        <f aca="false">SUM(S85:S86)</f>
        <v>1314027.4018176</v>
      </c>
      <c r="T87" s="209" t="n">
        <f aca="false">SUM(T85:T86)</f>
        <v>1307524.29196032</v>
      </c>
      <c r="U87" s="209" t="n">
        <f aca="false">SUM(U85:U86)</f>
        <v>1301021.18210304</v>
      </c>
      <c r="V87" s="209" t="n">
        <f aca="false">SUM(V85:V86)</f>
        <v>1294518.07224576</v>
      </c>
      <c r="W87" s="209" t="n">
        <f aca="false">SUM(W85:W86)</f>
        <v>1288014.96238848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-20621300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16497040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-1099802.66666667</v>
      </c>
      <c r="F93" s="215" t="n">
        <v>-1099802.66666667</v>
      </c>
      <c r="G93" s="215" t="n">
        <v>-1099802.66666667</v>
      </c>
      <c r="H93" s="215" t="n">
        <v>-1099802.66666667</v>
      </c>
      <c r="I93" s="215" t="n">
        <v>-1099802.66666667</v>
      </c>
      <c r="J93" s="215" t="n">
        <v>-1099802.66666667</v>
      </c>
      <c r="K93" s="215" t="n">
        <v>-1099802.66666667</v>
      </c>
      <c r="L93" s="215" t="n">
        <v>-1099802.66666667</v>
      </c>
      <c r="M93" s="215" t="n">
        <v>-1099802.66666667</v>
      </c>
      <c r="N93" s="215" t="n">
        <v>-1099802.66666667</v>
      </c>
      <c r="O93" s="215" t="n">
        <v>-1099802.66666667</v>
      </c>
      <c r="P93" s="215" t="n">
        <v>-1099802.66666667</v>
      </c>
      <c r="Q93" s="215" t="n">
        <v>-1099802.66666667</v>
      </c>
      <c r="R93" s="215" t="n">
        <v>-1099802.66666667</v>
      </c>
      <c r="S93" s="215" t="n">
        <v>-1099802.66666667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4124260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-215989.61277312</v>
      </c>
      <c r="F95" s="216" t="n">
        <f aca="false">-E85*$D$33</f>
        <v>-21459.6973639676</v>
      </c>
      <c r="G95" s="216" t="n">
        <f aca="false">-F85*$D$33</f>
        <v>-35874.5019548158</v>
      </c>
      <c r="H95" s="216" t="n">
        <f aca="false">-G85*$D$33</f>
        <v>-50289.3065456638</v>
      </c>
      <c r="I95" s="216" t="n">
        <f aca="false">-H85*$D$33</f>
        <v>-64704.1111365117</v>
      </c>
      <c r="J95" s="216" t="n">
        <f aca="false">-I85*$D$33</f>
        <v>-79118.9157273598</v>
      </c>
      <c r="K95" s="216" t="n">
        <f aca="false">-J85*$D$33</f>
        <v>-93533.7203182079</v>
      </c>
      <c r="L95" s="216" t="n">
        <f aca="false">-K85*$D$33</f>
        <v>-107948.524909056</v>
      </c>
      <c r="M95" s="216" t="n">
        <f aca="false">-L85*$D$33</f>
        <v>-122363.329499904</v>
      </c>
      <c r="N95" s="216" t="n">
        <f aca="false">-M85*$D$33</f>
        <v>-136778.134090752</v>
      </c>
      <c r="O95" s="216" t="n">
        <f aca="false">-N85*$D$33</f>
        <v>-182592.1386816</v>
      </c>
      <c r="P95" s="216" t="n">
        <f aca="false">-O85*$D$33</f>
        <v>-197006.943272448</v>
      </c>
      <c r="Q95" s="216" t="n">
        <f aca="false">-P85*$D$33</f>
        <v>-211421.747863296</v>
      </c>
      <c r="R95" s="216" t="n">
        <f aca="false">-Q85*$D$33</f>
        <v>-225836.552454144</v>
      </c>
      <c r="S95" s="216" t="n">
        <f aca="false">-R85*$D$33</f>
        <v>-240251.357044992</v>
      </c>
      <c r="T95" s="216" t="n">
        <f aca="false">-S85*$D$33</f>
        <v>-254666.16163584</v>
      </c>
      <c r="U95" s="216" t="n">
        <f aca="false">-T85*$D$33</f>
        <v>-248813.362764288</v>
      </c>
      <c r="V95" s="216" t="n">
        <f aca="false">-U85*$D$33</f>
        <v>-242960.563892736</v>
      </c>
      <c r="W95" s="216" t="n">
        <f aca="false">-V85*$D$33</f>
        <v>-237107.765021184</v>
      </c>
      <c r="X95" s="216" t="n">
        <f aca="false">-W85*$D$33</f>
        <v>-231254.966149632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-1031065</v>
      </c>
      <c r="U96" s="219" t="n">
        <v>-1031065</v>
      </c>
      <c r="V96" s="219" t="n">
        <v>-1031065</v>
      </c>
      <c r="W96" s="219" t="n">
        <v>-1031065</v>
      </c>
      <c r="X96" s="220" t="n">
        <f aca="false">-W101-X95</f>
        <v>-355552.37923328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1271053.4586368</v>
      </c>
      <c r="E99" s="206" t="n">
        <f aca="false">SUM(E87:E96)</f>
        <v>-260883.1712576</v>
      </c>
      <c r="F99" s="206" t="n">
        <f aca="false">SUM(F87:F96)</f>
        <v>-50336.8063030612</v>
      </c>
      <c r="G99" s="206" t="n">
        <f aca="false">SUM(G87:G96)</f>
        <v>-48735.1613485227</v>
      </c>
      <c r="H99" s="206" t="n">
        <f aca="false">SUM(H87:H96)</f>
        <v>-47133.5163939842</v>
      </c>
      <c r="I99" s="206" t="n">
        <f aca="false">SUM(I87:I96)</f>
        <v>-45531.8714394454</v>
      </c>
      <c r="J99" s="206" t="n">
        <f aca="false">SUM(J87:J96)</f>
        <v>-43930.2264849067</v>
      </c>
      <c r="K99" s="206" t="n">
        <f aca="false">SUM(K87:K96)</f>
        <v>-42328.5815303681</v>
      </c>
      <c r="L99" s="206" t="n">
        <f aca="false">SUM(L87:L96)</f>
        <v>-40726.9365758295</v>
      </c>
      <c r="M99" s="206" t="n">
        <f aca="false">SUM(M87:M96)</f>
        <v>-39125.2916212908</v>
      </c>
      <c r="N99" s="206" t="n">
        <f aca="false">SUM(N87:N96)</f>
        <v>-2635.64666675212</v>
      </c>
      <c r="O99" s="206" t="n">
        <f aca="false">SUM(O87:O96)</f>
        <v>-32433.2017122135</v>
      </c>
      <c r="P99" s="206" t="n">
        <f aca="false">SUM(P87:P96)</f>
        <v>-30831.5567576747</v>
      </c>
      <c r="Q99" s="206" t="n">
        <f aca="false">SUM(Q87:Q96)</f>
        <v>-29229.9118031361</v>
      </c>
      <c r="R99" s="206" t="n">
        <f aca="false">SUM(R87:R96)</f>
        <v>-27628.2668485973</v>
      </c>
      <c r="S99" s="206" t="n">
        <f aca="false">SUM(S87:S96)</f>
        <v>-26026.6218940586</v>
      </c>
      <c r="T99" s="206" t="n">
        <f aca="false">SUM(T87:T96)</f>
        <v>21793.1303244801</v>
      </c>
      <c r="U99" s="206" t="n">
        <f aca="false">SUM(U87:U96)</f>
        <v>21142.8193387524</v>
      </c>
      <c r="V99" s="206" t="n">
        <f aca="false">SUM(V87:V96)</f>
        <v>20492.508353024</v>
      </c>
      <c r="W99" s="206" t="n">
        <f aca="false">SUM(W87:W96)</f>
        <v>19842.1973672963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1271053.4586368</v>
      </c>
      <c r="F100" s="206" t="n">
        <f aca="false">E101</f>
        <v>1010170.2873792</v>
      </c>
      <c r="G100" s="206" t="n">
        <f aca="false">F101</f>
        <v>959833.481076139</v>
      </c>
      <c r="H100" s="206" t="n">
        <f aca="false">G101</f>
        <v>911098.319727616</v>
      </c>
      <c r="I100" s="206" t="n">
        <f aca="false">H101</f>
        <v>863964.803333632</v>
      </c>
      <c r="J100" s="206" t="n">
        <f aca="false">I101</f>
        <v>818432.931894186</v>
      </c>
      <c r="K100" s="206" t="n">
        <f aca="false">J101</f>
        <v>774502.70540928</v>
      </c>
      <c r="L100" s="206" t="n">
        <f aca="false">K101</f>
        <v>732174.123878912</v>
      </c>
      <c r="M100" s="206" t="n">
        <f aca="false">L101</f>
        <v>691447.187303082</v>
      </c>
      <c r="N100" s="206" t="n">
        <f aca="false">M101</f>
        <v>652321.895681791</v>
      </c>
      <c r="O100" s="206" t="n">
        <f aca="false">N101</f>
        <v>649686.249015039</v>
      </c>
      <c r="P100" s="206" t="n">
        <f aca="false">O101</f>
        <v>617253.047302826</v>
      </c>
      <c r="Q100" s="206" t="n">
        <f aca="false">P101</f>
        <v>586421.490545151</v>
      </c>
      <c r="R100" s="206" t="n">
        <f aca="false">Q101</f>
        <v>557191.578742015</v>
      </c>
      <c r="S100" s="206" t="n">
        <f aca="false">R101</f>
        <v>529563.311893417</v>
      </c>
      <c r="T100" s="206" t="n">
        <f aca="false">S101</f>
        <v>503536.689999359</v>
      </c>
      <c r="U100" s="206" t="n">
        <f aca="false">T101</f>
        <v>525329.820323839</v>
      </c>
      <c r="V100" s="206" t="n">
        <f aca="false">U101</f>
        <v>546472.639662591</v>
      </c>
      <c r="W100" s="206" t="n">
        <f aca="false">V101</f>
        <v>566965.148015615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1271053.4586368</v>
      </c>
      <c r="E101" s="206" t="n">
        <f aca="false">E99+E100</f>
        <v>1010170.2873792</v>
      </c>
      <c r="F101" s="206" t="n">
        <f aca="false">F99+F100</f>
        <v>959833.481076139</v>
      </c>
      <c r="G101" s="206" t="n">
        <f aca="false">G99+G100</f>
        <v>911098.319727616</v>
      </c>
      <c r="H101" s="206" t="n">
        <f aca="false">H99+H100</f>
        <v>863964.803333632</v>
      </c>
      <c r="I101" s="206" t="n">
        <f aca="false">I99+I100</f>
        <v>818432.931894186</v>
      </c>
      <c r="J101" s="206" t="n">
        <f aca="false">J99+J100</f>
        <v>774502.70540928</v>
      </c>
      <c r="K101" s="206" t="n">
        <f aca="false">K99+K100</f>
        <v>732174.123878912</v>
      </c>
      <c r="L101" s="206" t="n">
        <f aca="false">L99+L100</f>
        <v>691447.187303082</v>
      </c>
      <c r="M101" s="206" t="n">
        <f aca="false">M99+M100</f>
        <v>652321.895681791</v>
      </c>
      <c r="N101" s="206" t="n">
        <f aca="false">N99+N100</f>
        <v>649686.249015039</v>
      </c>
      <c r="O101" s="206" t="n">
        <f aca="false">O99+O100</f>
        <v>617253.047302826</v>
      </c>
      <c r="P101" s="206" t="n">
        <f aca="false">P99+P100</f>
        <v>586421.490545151</v>
      </c>
      <c r="Q101" s="206" t="n">
        <f aca="false">Q99+Q100</f>
        <v>557191.578742015</v>
      </c>
      <c r="R101" s="206" t="n">
        <f aca="false">R99+R100</f>
        <v>529563.311893417</v>
      </c>
      <c r="S101" s="206" t="n">
        <f aca="false">S99+S100</f>
        <v>503536.689999359</v>
      </c>
      <c r="T101" s="206" t="n">
        <f aca="false">T99+T100</f>
        <v>525329.820323839</v>
      </c>
      <c r="U101" s="206" t="n">
        <f aca="false">U99+U100</f>
        <v>546472.639662591</v>
      </c>
      <c r="V101" s="206" t="n">
        <f aca="false">V99+V100</f>
        <v>566965.148015615</v>
      </c>
      <c r="W101" s="206" t="n">
        <f aca="false">W99+W100</f>
        <v>586807.345382912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-4124260</v>
      </c>
      <c r="E104" s="209" t="n">
        <f aca="false">-E95-E96</f>
        <v>215989.61277312</v>
      </c>
      <c r="F104" s="209" t="n">
        <f aca="false">-F95-F96</f>
        <v>21459.6973639676</v>
      </c>
      <c r="G104" s="209" t="n">
        <f aca="false">-G95-G96</f>
        <v>35874.5019548158</v>
      </c>
      <c r="H104" s="209" t="n">
        <f aca="false">-H95-H96</f>
        <v>50289.3065456638</v>
      </c>
      <c r="I104" s="209" t="n">
        <f aca="false">-I95-I96</f>
        <v>64704.1111365117</v>
      </c>
      <c r="J104" s="209" t="n">
        <f aca="false">-J95-J96</f>
        <v>79118.9157273598</v>
      </c>
      <c r="K104" s="209" t="n">
        <f aca="false">-K95-K96</f>
        <v>93533.7203182079</v>
      </c>
      <c r="L104" s="209" t="n">
        <f aca="false">-L95-L96</f>
        <v>107948.524909056</v>
      </c>
      <c r="M104" s="209" t="n">
        <f aca="false">-M95-M96</f>
        <v>122363.329499904</v>
      </c>
      <c r="N104" s="209" t="n">
        <f aca="false">-N95-N96</f>
        <v>136778.134090752</v>
      </c>
      <c r="O104" s="209" t="n">
        <f aca="false">-O95-O96</f>
        <v>182592.1386816</v>
      </c>
      <c r="P104" s="209" t="n">
        <f aca="false">-P95-P96</f>
        <v>197006.943272448</v>
      </c>
      <c r="Q104" s="209" t="n">
        <f aca="false">-Q95-Q96</f>
        <v>211421.747863296</v>
      </c>
      <c r="R104" s="209" t="n">
        <f aca="false">-R95-R96</f>
        <v>225836.552454144</v>
      </c>
      <c r="S104" s="209" t="n">
        <f aca="false">-S95-S96</f>
        <v>240251.357044992</v>
      </c>
      <c r="T104" s="209" t="n">
        <f aca="false">-T95-T96</f>
        <v>1285731.16163584</v>
      </c>
      <c r="U104" s="209" t="n">
        <f aca="false">-U95-U96</f>
        <v>1279878.36276429</v>
      </c>
      <c r="V104" s="209" t="n">
        <f aca="false">-V95-V96</f>
        <v>1274025.56389274</v>
      </c>
      <c r="W104" s="209" t="n">
        <f aca="false">-W95-W96</f>
        <v>1268172.76502118</v>
      </c>
      <c r="X104" s="209" t="n">
        <f aca="false">-X95-X96</f>
        <v>586807.345382912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0.0416325317330974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-3884271.5413632</v>
      </c>
      <c r="E106" s="209" t="n">
        <f aca="false">E85</f>
        <v>23844.1081821863</v>
      </c>
      <c r="F106" s="209" t="n">
        <f aca="false">F85-F96</f>
        <v>39860.5577275732</v>
      </c>
      <c r="G106" s="209" t="n">
        <f aca="false">G85-G96</f>
        <v>55877.0072729598</v>
      </c>
      <c r="H106" s="209" t="n">
        <f aca="false">H85-H96</f>
        <v>71893.4568183464</v>
      </c>
      <c r="I106" s="209" t="n">
        <f aca="false">I85-I96</f>
        <v>87909.9063637331</v>
      </c>
      <c r="J106" s="209" t="n">
        <f aca="false">J85-J96</f>
        <v>103926.35590912</v>
      </c>
      <c r="K106" s="209" t="n">
        <f aca="false">K85-K96</f>
        <v>119942.805454506</v>
      </c>
      <c r="L106" s="209" t="n">
        <f aca="false">L85-L96</f>
        <v>135959.254999893</v>
      </c>
      <c r="M106" s="209" t="n">
        <f aca="false">M85-M96</f>
        <v>151975.70454528</v>
      </c>
      <c r="N106" s="209" t="n">
        <f aca="false">N85-N96</f>
        <v>202880.154090667</v>
      </c>
      <c r="O106" s="209" t="n">
        <f aca="false">O85-O96</f>
        <v>218896.603636053</v>
      </c>
      <c r="P106" s="209" t="n">
        <f aca="false">P85-P96</f>
        <v>234913.05318144</v>
      </c>
      <c r="Q106" s="209" t="n">
        <f aca="false">Q85-Q96</f>
        <v>250929.502726827</v>
      </c>
      <c r="R106" s="209" t="n">
        <f aca="false">R85-R96</f>
        <v>266945.952272213</v>
      </c>
      <c r="S106" s="209" t="n">
        <f aca="false">S85-S96</f>
        <v>282962.4018176</v>
      </c>
      <c r="T106" s="209" t="n">
        <f aca="false">T85-T96</f>
        <v>1307524.29196032</v>
      </c>
      <c r="U106" s="209" t="n">
        <f aca="false">U85-U96</f>
        <v>1301021.18210304</v>
      </c>
      <c r="V106" s="209" t="n">
        <f aca="false">V85-V96</f>
        <v>1294518.07224576</v>
      </c>
      <c r="W106" s="209" t="n">
        <f aca="false">W85-W96</f>
        <v>1288014.96238848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0.0443153090576988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16497040</v>
      </c>
      <c r="E109" s="206" t="n">
        <f aca="false">D109+E93</f>
        <v>15397237.3333333</v>
      </c>
      <c r="F109" s="206" t="n">
        <f aca="false">E109+F93</f>
        <v>14297434.6666667</v>
      </c>
      <c r="G109" s="206" t="n">
        <f aca="false">F109+G93</f>
        <v>13197632</v>
      </c>
      <c r="H109" s="206" t="n">
        <f aca="false">G109+H93</f>
        <v>12097829.3333333</v>
      </c>
      <c r="I109" s="206" t="n">
        <f aca="false">H109+I93</f>
        <v>10998026.6666667</v>
      </c>
      <c r="J109" s="206" t="n">
        <f aca="false">I109+J93</f>
        <v>9898224</v>
      </c>
      <c r="K109" s="206" t="n">
        <f aca="false">J109+K93</f>
        <v>8798421.33333333</v>
      </c>
      <c r="L109" s="206" t="n">
        <f aca="false">K109+L93</f>
        <v>7698618.66666666</v>
      </c>
      <c r="M109" s="206" t="n">
        <f aca="false">L109+M93</f>
        <v>6598815.99999999</v>
      </c>
      <c r="N109" s="206" t="n">
        <f aca="false">M109+N93</f>
        <v>5499013.33333333</v>
      </c>
      <c r="O109" s="206" t="n">
        <f aca="false">N109+O93</f>
        <v>4399210.66666666</v>
      </c>
      <c r="P109" s="206" t="n">
        <f aca="false">O109+P93</f>
        <v>3299407.99999999</v>
      </c>
      <c r="Q109" s="206" t="n">
        <f aca="false">P109+Q93</f>
        <v>2199605.33333333</v>
      </c>
      <c r="R109" s="206" t="n">
        <f aca="false">Q109+R93</f>
        <v>1099802.66666666</v>
      </c>
      <c r="S109" s="206" t="n">
        <f aca="false">R109+S93</f>
        <v>-7.45058059692383E-009</v>
      </c>
      <c r="T109" s="206" t="n">
        <f aca="false">S109+T93</f>
        <v>-7.45058059692383E-009</v>
      </c>
      <c r="U109" s="206" t="n">
        <f aca="false">T109+U93</f>
        <v>-7.45058059692383E-009</v>
      </c>
      <c r="V109" s="206" t="n">
        <f aca="false">U109+V93</f>
        <v>-7.45058059692383E-009</v>
      </c>
      <c r="W109" s="206" t="n">
        <f aca="false">V109+W93</f>
        <v>-7.45058059692383E-009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95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29000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-19375300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-37940.7</v>
      </c>
      <c r="E49" s="170" t="n">
        <v>-37940.7</v>
      </c>
      <c r="F49" s="170" t="n">
        <v>-37940.7</v>
      </c>
      <c r="G49" s="170" t="n">
        <v>-37940.7</v>
      </c>
      <c r="H49" s="170" t="n">
        <v>-37940.7</v>
      </c>
      <c r="I49" s="170" t="n">
        <v>-37940.7</v>
      </c>
      <c r="J49" s="170" t="n">
        <v>-37940.7</v>
      </c>
      <c r="K49" s="170" t="n">
        <v>-37940.7</v>
      </c>
      <c r="L49" s="170" t="n">
        <v>-37940.7</v>
      </c>
      <c r="M49" s="170" t="n">
        <v>-37940.7</v>
      </c>
      <c r="N49" s="170" t="n">
        <v>-37940.7</v>
      </c>
      <c r="O49" s="170" t="n">
        <v>-37940.7</v>
      </c>
      <c r="P49" s="170" t="n">
        <v>-37940.7</v>
      </c>
      <c r="Q49" s="170" t="n">
        <v>-37940.7</v>
      </c>
      <c r="R49" s="170" t="n">
        <v>-37940.7</v>
      </c>
      <c r="S49" s="170" t="n">
        <v>-37940.7</v>
      </c>
      <c r="T49" s="170" t="n">
        <v>-37940.7</v>
      </c>
      <c r="U49" s="170" t="n">
        <v>-37940.7</v>
      </c>
      <c r="V49" s="170" t="n">
        <v>-37940.7</v>
      </c>
      <c r="W49" s="170" t="n">
        <v>-37940.7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-157428.7824192</v>
      </c>
      <c r="E54" s="170" t="n">
        <f aca="false">-(E64+E67+E68+E71+E72+E73+E74)*0.2</f>
        <v>-97762.8049548799</v>
      </c>
      <c r="F54" s="170" t="n">
        <f aca="false">-(F64+F67+F68+F71+F72+F73+F74)*0.2</f>
        <v>-96137.02749056</v>
      </c>
      <c r="G54" s="170" t="n">
        <f aca="false">-(G64+G67+G68+G71+G72+G73+G74)*0.2</f>
        <v>-94511.25002624</v>
      </c>
      <c r="H54" s="170" t="n">
        <f aca="false">-(H64+H67+H68+H71+H72+H73+H74)*0.2</f>
        <v>-92885.4725619199</v>
      </c>
      <c r="I54" s="170" t="n">
        <f aca="false">-(I64+I67+I68+I71+I72+I73+I74)*0.2</f>
        <v>-91259.6950975999</v>
      </c>
      <c r="J54" s="170" t="n">
        <f aca="false">-(J64+J67+J68+J71+J72+J73+J74)*0.2</f>
        <v>-89633.91763328</v>
      </c>
      <c r="K54" s="170" t="n">
        <f aca="false">-(K64+K67+K68+K71+K72+K73+K74)*0.2</f>
        <v>-88008.1401689599</v>
      </c>
      <c r="L54" s="170" t="n">
        <f aca="false">-(L64+L67+L68+L71+L72+L73+L74)*0.2</f>
        <v>-86382.3627046399</v>
      </c>
      <c r="M54" s="170" t="n">
        <f aca="false">-(M64+M67+M68+M71+M72+M73+M74)*0.2</f>
        <v>-84756.5852403199</v>
      </c>
      <c r="N54" s="170" t="n">
        <f aca="false">-(N64+N67+N68+N71+N72+N73+N74)*0.2</f>
        <v>-91852.8077759999</v>
      </c>
      <c r="O54" s="170" t="n">
        <f aca="false">-(O64+O67+O68+O71+O72+O73+O74)*0.2</f>
        <v>-90227.0303116799</v>
      </c>
      <c r="P54" s="170" t="n">
        <f aca="false">-(P64+P67+P68+P71+P72+P73+P74)*0.2</f>
        <v>-88601.2528473599</v>
      </c>
      <c r="Q54" s="170" t="n">
        <f aca="false">-(Q64+Q67+Q68+Q71+Q72+Q73+Q74)*0.2</f>
        <v>-86975.4753830399</v>
      </c>
      <c r="R54" s="170" t="n">
        <f aca="false">-(R64+R67+R68+R71+R72+R73+R74)*0.2</f>
        <v>-85349.6979187199</v>
      </c>
      <c r="S54" s="170" t="n">
        <f aca="false">-(S64+S67+S68+S71+S72+S73+S74)*0.2</f>
        <v>-83723.9204543999</v>
      </c>
      <c r="T54" s="170" t="n">
        <f aca="false">-(T64+T67+T68+T71+T72+T73+T74)*0.2</f>
        <v>-82098.1429900799</v>
      </c>
      <c r="U54" s="170" t="n">
        <f aca="false">-(U64+U67+U68+U71+U72+U73+U74)*0.2</f>
        <v>-80472.3655257599</v>
      </c>
      <c r="V54" s="170" t="n">
        <f aca="false">-(V64+V67+V68+V71+V72+V73+V74)*0.2</f>
        <v>-78846.5880614399</v>
      </c>
      <c r="W54" s="170" t="n">
        <f aca="false">-(W64+W67+W68+W71+W72+W73+W74)*0.2</f>
        <v>-77220.8105971199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-19375300</v>
      </c>
      <c r="D55" s="175" t="n">
        <f aca="false">SUM(D41:D54)</f>
        <v>1598480.1296768</v>
      </c>
      <c r="E55" s="175" t="n">
        <f aca="false">SUM(E41:E54)</f>
        <v>1359816.21981952</v>
      </c>
      <c r="F55" s="175" t="n">
        <f aca="false">SUM(F41:F54)</f>
        <v>1353313.10996224</v>
      </c>
      <c r="G55" s="175" t="n">
        <f aca="false">SUM(G41:G54)</f>
        <v>1346810.00010496</v>
      </c>
      <c r="H55" s="175" t="n">
        <f aca="false">SUM(H41:H54)</f>
        <v>1340306.89024768</v>
      </c>
      <c r="I55" s="175" t="n">
        <f aca="false">SUM(I41:I54)</f>
        <v>1333803.7803904</v>
      </c>
      <c r="J55" s="175" t="n">
        <f aca="false">SUM(J41:J54)</f>
        <v>1327300.67053312</v>
      </c>
      <c r="K55" s="175" t="n">
        <f aca="false">SUM(K41:K54)</f>
        <v>1320797.56067584</v>
      </c>
      <c r="L55" s="175" t="n">
        <f aca="false">SUM(L41:L54)</f>
        <v>1314294.45081856</v>
      </c>
      <c r="M55" s="175" t="n">
        <f aca="false">SUM(M41:M54)</f>
        <v>1307791.34096128</v>
      </c>
      <c r="N55" s="175" t="n">
        <f aca="false">SUM(N41:N54)</f>
        <v>1336176.231104</v>
      </c>
      <c r="O55" s="175" t="n">
        <f aca="false">SUM(O41:O54)</f>
        <v>1329673.12124672</v>
      </c>
      <c r="P55" s="175" t="n">
        <f aca="false">SUM(P41:P54)</f>
        <v>1323170.01138944</v>
      </c>
      <c r="Q55" s="175" t="n">
        <f aca="false">SUM(Q41:Q54)</f>
        <v>1316666.90153216</v>
      </c>
      <c r="R55" s="175" t="n">
        <f aca="false">SUM(R41:R54)</f>
        <v>1310163.79167488</v>
      </c>
      <c r="S55" s="175" t="n">
        <f aca="false">SUM(S41:S54)</f>
        <v>1303660.6818176</v>
      </c>
      <c r="T55" s="175" t="n">
        <f aca="false">SUM(T41:T54)</f>
        <v>1297157.57196032</v>
      </c>
      <c r="U55" s="175" t="n">
        <f aca="false">SUM(U41:U54)</f>
        <v>1290654.46210304</v>
      </c>
      <c r="V55" s="175" t="n">
        <f aca="false">SUM(V41:V54)</f>
        <v>1284151.35224576</v>
      </c>
      <c r="W55" s="175" t="n">
        <f aca="false">SUM(W41:W54)</f>
        <v>1277648.24238848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-17776819.8703232</v>
      </c>
      <c r="E56" s="180" t="n">
        <f aca="false">D56+E55</f>
        <v>-16417003.6505037</v>
      </c>
      <c r="F56" s="180" t="n">
        <f aca="false">E56+F55</f>
        <v>-15063690.5405414</v>
      </c>
      <c r="G56" s="180" t="n">
        <f aca="false">F56+G55</f>
        <v>-13716880.5404365</v>
      </c>
      <c r="H56" s="180" t="n">
        <f aca="false">G56+H55</f>
        <v>-12376573.6501888</v>
      </c>
      <c r="I56" s="180" t="n">
        <f aca="false">H56+I55</f>
        <v>-11042769.8697984</v>
      </c>
      <c r="J56" s="180" t="n">
        <f aca="false">I56+J55</f>
        <v>-9715469.19926528</v>
      </c>
      <c r="K56" s="180" t="n">
        <f aca="false">J56+K55</f>
        <v>-8394671.63858944</v>
      </c>
      <c r="L56" s="180" t="n">
        <f aca="false">K56+L55</f>
        <v>-7080377.18777088</v>
      </c>
      <c r="M56" s="180" t="n">
        <f aca="false">L56+M55</f>
        <v>-5772585.8468096</v>
      </c>
      <c r="N56" s="180" t="n">
        <f aca="false">M56+N55</f>
        <v>-4436409.6157056</v>
      </c>
      <c r="O56" s="180" t="n">
        <f aca="false">N56+O55</f>
        <v>-3106736.49445888</v>
      </c>
      <c r="P56" s="180" t="n">
        <f aca="false">O56+P55</f>
        <v>-1783566.48306944</v>
      </c>
      <c r="Q56" s="180" t="n">
        <f aca="false">P56+Q55</f>
        <v>-466899.581537282</v>
      </c>
      <c r="R56" s="180" t="n">
        <f aca="false">Q56+R55</f>
        <v>843264.210137598</v>
      </c>
      <c r="S56" s="180" t="n">
        <f aca="false">R56+S55</f>
        <v>2146924.8919552</v>
      </c>
      <c r="T56" s="180" t="n">
        <f aca="false">S56+T55</f>
        <v>3444082.46391552</v>
      </c>
      <c r="U56" s="180" t="n">
        <f aca="false">T56+U55</f>
        <v>4734736.92601856</v>
      </c>
      <c r="V56" s="180" t="n">
        <f aca="false">U56+V55</f>
        <v>6018888.27826432</v>
      </c>
      <c r="W56" s="180" t="n">
        <f aca="false">V56+W55</f>
        <v>7296536.5206528</v>
      </c>
      <c r="X56" s="180" t="n">
        <f aca="false">W56+X55</f>
        <v>7296536.5206528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0.0332474252880255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-968765</v>
      </c>
      <c r="E67" s="191" t="n">
        <f aca="false">$C$44/$E$16</f>
        <v>-968765</v>
      </c>
      <c r="F67" s="191" t="n">
        <f aca="false">$C$44/$E$16</f>
        <v>-968765</v>
      </c>
      <c r="G67" s="191" t="n">
        <f aca="false">$C$44/$E$16</f>
        <v>-968765</v>
      </c>
      <c r="H67" s="191" t="n">
        <f aca="false">$C$44/$E$16</f>
        <v>-968765</v>
      </c>
      <c r="I67" s="191" t="n">
        <f aca="false">$C$44/$E$16</f>
        <v>-968765</v>
      </c>
      <c r="J67" s="191" t="n">
        <f aca="false">$C$44/$E$16</f>
        <v>-968765</v>
      </c>
      <c r="K67" s="191" t="n">
        <f aca="false">$C$44/$E$16</f>
        <v>-968765</v>
      </c>
      <c r="L67" s="191" t="n">
        <f aca="false">$C$44/$E$16</f>
        <v>-968765</v>
      </c>
      <c r="M67" s="191" t="n">
        <f aca="false">$C$44/$E$16</f>
        <v>-968765</v>
      </c>
      <c r="N67" s="191" t="n">
        <f aca="false">$C$44/$E$16</f>
        <v>-968765</v>
      </c>
      <c r="O67" s="191" t="n">
        <f aca="false">$C$44/$E$16</f>
        <v>-968765</v>
      </c>
      <c r="P67" s="191" t="n">
        <f aca="false">$C$44/$E$16</f>
        <v>-968765</v>
      </c>
      <c r="Q67" s="191" t="n">
        <f aca="false">$C$44/$E$16</f>
        <v>-968765</v>
      </c>
      <c r="R67" s="191" t="n">
        <f aca="false">$C$44/$E$16</f>
        <v>-968765</v>
      </c>
      <c r="S67" s="191" t="n">
        <f aca="false">$C$44/$E$16</f>
        <v>-968765</v>
      </c>
      <c r="T67" s="191" t="n">
        <f aca="false">$C$44/$E$16</f>
        <v>-968765</v>
      </c>
      <c r="U67" s="191" t="n">
        <f aca="false">$C$44/$E$16</f>
        <v>-968765</v>
      </c>
      <c r="V67" s="191" t="n">
        <f aca="false">$C$44/$E$16</f>
        <v>-968765</v>
      </c>
      <c r="W67" s="191" t="n">
        <f aca="false">$C$44/$E$16</f>
        <v>-968765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-396728.6428</v>
      </c>
      <c r="E70" s="170" t="n">
        <f aca="false">-E109*$D25</f>
        <v>-370280.066613334</v>
      </c>
      <c r="F70" s="170" t="n">
        <f aca="false">-F109*$D25</f>
        <v>-343831.490426667</v>
      </c>
      <c r="G70" s="170" t="n">
        <f aca="false">-G109*$D25</f>
        <v>-317382.91424</v>
      </c>
      <c r="H70" s="170" t="n">
        <f aca="false">-H109*$D25</f>
        <v>-290934.338053334</v>
      </c>
      <c r="I70" s="170" t="n">
        <f aca="false">-I109*$D25</f>
        <v>-264485.761866667</v>
      </c>
      <c r="J70" s="170" t="n">
        <f aca="false">-J109*$D25</f>
        <v>-238037.18568</v>
      </c>
      <c r="K70" s="170" t="n">
        <f aca="false">-K109*$D25</f>
        <v>-211588.609493334</v>
      </c>
      <c r="L70" s="170" t="n">
        <f aca="false">-L109*$D25</f>
        <v>-185140.033306667</v>
      </c>
      <c r="M70" s="170" t="n">
        <f aca="false">-M109*$D25</f>
        <v>-158691.45712</v>
      </c>
      <c r="N70" s="170" t="n">
        <f aca="false">-N109*$D25</f>
        <v>-132242.880933334</v>
      </c>
      <c r="O70" s="170" t="n">
        <f aca="false">-O109*$D25</f>
        <v>-105794.304746667</v>
      </c>
      <c r="P70" s="170" t="n">
        <f aca="false">-P109*$D25</f>
        <v>-79345.7285600003</v>
      </c>
      <c r="Q70" s="170" t="n">
        <f aca="false">-Q109*$D25</f>
        <v>-52897.1523733337</v>
      </c>
      <c r="R70" s="170" t="n">
        <f aca="false">-R109*$D25</f>
        <v>-26448.576186667</v>
      </c>
      <c r="S70" s="170" t="n">
        <f aca="false">-S109*$D25</f>
        <v>-3.57558019459248E-010</v>
      </c>
      <c r="T70" s="170" t="n">
        <f aca="false">-T109*$D25</f>
        <v>-3.57558019459248E-010</v>
      </c>
      <c r="U70" s="170" t="n">
        <f aca="false">-U109*$D25</f>
        <v>-3.57558019459248E-010</v>
      </c>
      <c r="V70" s="170" t="n">
        <f aca="false">-V109*$D25</f>
        <v>-3.57558019459248E-010</v>
      </c>
      <c r="W70" s="170" t="n">
        <f aca="false">-W109*$D25</f>
        <v>-3.57558019459248E-010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-37940.7</v>
      </c>
      <c r="E72" s="170" t="n">
        <f aca="false">E49</f>
        <v>-37940.7</v>
      </c>
      <c r="F72" s="170" t="n">
        <f aca="false">F49</f>
        <v>-37940.7</v>
      </c>
      <c r="G72" s="170" t="n">
        <f aca="false">G49</f>
        <v>-37940.7</v>
      </c>
      <c r="H72" s="170" t="n">
        <f aca="false">H49</f>
        <v>-37940.7</v>
      </c>
      <c r="I72" s="170" t="n">
        <f aca="false">I49</f>
        <v>-37940.7</v>
      </c>
      <c r="J72" s="170" t="n">
        <f aca="false">J49</f>
        <v>-37940.7</v>
      </c>
      <c r="K72" s="170" t="n">
        <f aca="false">K49</f>
        <v>-37940.7</v>
      </c>
      <c r="L72" s="170" t="n">
        <f aca="false">L49</f>
        <v>-37940.7</v>
      </c>
      <c r="M72" s="170" t="n">
        <f aca="false">M49</f>
        <v>-37940.7</v>
      </c>
      <c r="N72" s="170" t="n">
        <f aca="false">N49</f>
        <v>-37940.7</v>
      </c>
      <c r="O72" s="170" t="n">
        <f aca="false">O49</f>
        <v>-37940.7</v>
      </c>
      <c r="P72" s="170" t="n">
        <f aca="false">P49</f>
        <v>-37940.7</v>
      </c>
      <c r="Q72" s="170" t="n">
        <f aca="false">Q49</f>
        <v>-37940.7</v>
      </c>
      <c r="R72" s="170" t="n">
        <f aca="false">R49</f>
        <v>-37940.7</v>
      </c>
      <c r="S72" s="170" t="n">
        <f aca="false">S49</f>
        <v>-37940.7</v>
      </c>
      <c r="T72" s="170" t="n">
        <f aca="false">T49</f>
        <v>-37940.7</v>
      </c>
      <c r="U72" s="170" t="n">
        <f aca="false">U49</f>
        <v>-37940.7</v>
      </c>
      <c r="V72" s="170" t="n">
        <f aca="false">V49</f>
        <v>-37940.7</v>
      </c>
      <c r="W72" s="170" t="n">
        <f aca="false">W49</f>
        <v>-37940.7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390415.269295999</v>
      </c>
      <c r="E76" s="175" t="n">
        <f aca="false">SUM(E64:E75)</f>
        <v>118533.958161066</v>
      </c>
      <c r="F76" s="175" t="n">
        <f aca="false">SUM(F64:F75)</f>
        <v>136853.647026133</v>
      </c>
      <c r="G76" s="175" t="n">
        <f aca="false">SUM(G64:G75)</f>
        <v>155173.3358912</v>
      </c>
      <c r="H76" s="175" t="n">
        <f aca="false">SUM(H64:H75)</f>
        <v>173493.024756266</v>
      </c>
      <c r="I76" s="175" t="n">
        <f aca="false">SUM(I64:I75)</f>
        <v>191812.713621333</v>
      </c>
      <c r="J76" s="175" t="n">
        <f aca="false">SUM(J64:J75)</f>
        <v>210132.4024864</v>
      </c>
      <c r="K76" s="175" t="n">
        <f aca="false">SUM(K64:K75)</f>
        <v>228452.091351466</v>
      </c>
      <c r="L76" s="175" t="n">
        <f aca="false">SUM(L64:L75)</f>
        <v>246771.780216533</v>
      </c>
      <c r="M76" s="175" t="n">
        <f aca="false">SUM(M64:M75)</f>
        <v>265091.469081599</v>
      </c>
      <c r="N76" s="175" t="n">
        <f aca="false">SUM(N64:N75)</f>
        <v>327021.157946666</v>
      </c>
      <c r="O76" s="175" t="n">
        <f aca="false">SUM(O64:O75)</f>
        <v>345340.846811733</v>
      </c>
      <c r="P76" s="175" t="n">
        <f aca="false">SUM(P64:P75)</f>
        <v>363660.535676799</v>
      </c>
      <c r="Q76" s="175" t="n">
        <f aca="false">SUM(Q64:Q75)</f>
        <v>381980.224541866</v>
      </c>
      <c r="R76" s="175" t="n">
        <f aca="false">SUM(R64:R75)</f>
        <v>400299.913406933</v>
      </c>
      <c r="S76" s="175" t="n">
        <f aca="false">SUM(S64:S75)</f>
        <v>418619.602271999</v>
      </c>
      <c r="T76" s="175" t="n">
        <f aca="false">SUM(T64:T75)</f>
        <v>410490.714950399</v>
      </c>
      <c r="U76" s="175" t="n">
        <f aca="false">SUM(U64:U75)</f>
        <v>402361.827628799</v>
      </c>
      <c r="V76" s="175" t="n">
        <f aca="false">SUM(V64:V75)</f>
        <v>394232.940307199</v>
      </c>
      <c r="W76" s="175" t="n">
        <f aca="false">SUM(W64:W75)</f>
        <v>386104.052985599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-78083.0538591999</v>
      </c>
      <c r="E77" s="170" t="n">
        <f aca="false">-E76*0.2</f>
        <v>-23706.7916322132</v>
      </c>
      <c r="F77" s="170" t="n">
        <f aca="false">-F76*0.2</f>
        <v>-27370.7294052266</v>
      </c>
      <c r="G77" s="170" t="n">
        <f aca="false">-G76*0.2</f>
        <v>-31034.6671782399</v>
      </c>
      <c r="H77" s="170" t="n">
        <f aca="false">-H76*0.2</f>
        <v>-34698.6049512532</v>
      </c>
      <c r="I77" s="170" t="n">
        <f aca="false">-I76*0.2</f>
        <v>-38362.5427242665</v>
      </c>
      <c r="J77" s="170" t="n">
        <f aca="false">-J76*0.2</f>
        <v>-42026.4804972799</v>
      </c>
      <c r="K77" s="170" t="n">
        <f aca="false">-K76*0.2</f>
        <v>-45690.4182702932</v>
      </c>
      <c r="L77" s="170" t="n">
        <f aca="false">-L76*0.2</f>
        <v>-49354.3560433065</v>
      </c>
      <c r="M77" s="170" t="n">
        <f aca="false">-M76*0.2</f>
        <v>-53018.2938163199</v>
      </c>
      <c r="N77" s="170" t="n">
        <f aca="false">-N76*0.2</f>
        <v>-65404.2315893332</v>
      </c>
      <c r="O77" s="170" t="n">
        <f aca="false">-O76*0.2</f>
        <v>-69068.1693623465</v>
      </c>
      <c r="P77" s="170" t="n">
        <f aca="false">-P76*0.2</f>
        <v>-72732.1071353599</v>
      </c>
      <c r="Q77" s="170" t="n">
        <f aca="false">-Q76*0.2</f>
        <v>-76396.0449083732</v>
      </c>
      <c r="R77" s="170" t="n">
        <f aca="false">-R76*0.2</f>
        <v>-80059.9826813865</v>
      </c>
      <c r="S77" s="170" t="n">
        <f aca="false">-S76*0.2</f>
        <v>-83723.9204543999</v>
      </c>
      <c r="T77" s="170" t="n">
        <f aca="false">-T76*0.2</f>
        <v>-82098.1429900798</v>
      </c>
      <c r="U77" s="170" t="n">
        <f aca="false">-U76*0.2</f>
        <v>-80472.3655257599</v>
      </c>
      <c r="V77" s="170" t="n">
        <f aca="false">-V76*0.2</f>
        <v>-78846.5880614398</v>
      </c>
      <c r="W77" s="170" t="n">
        <f aca="false">-W76*0.2</f>
        <v>-77220.8105971199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312332.2154368</v>
      </c>
      <c r="E78" s="170" t="n">
        <f aca="false">SUM(E76:E77)</f>
        <v>94827.1665288529</v>
      </c>
      <c r="F78" s="170" t="n">
        <f aca="false">SUM(F76:F77)</f>
        <v>109482.917620906</v>
      </c>
      <c r="G78" s="170" t="n">
        <f aca="false">SUM(G76:G77)</f>
        <v>124138.66871296</v>
      </c>
      <c r="H78" s="170" t="n">
        <f aca="false">SUM(H76:H77)</f>
        <v>138794.419805013</v>
      </c>
      <c r="I78" s="170" t="n">
        <f aca="false">SUM(I76:I77)</f>
        <v>153450.170897066</v>
      </c>
      <c r="J78" s="170" t="n">
        <f aca="false">SUM(J76:J77)</f>
        <v>168105.92198912</v>
      </c>
      <c r="K78" s="170" t="n">
        <f aca="false">SUM(K76:K77)</f>
        <v>182761.673081173</v>
      </c>
      <c r="L78" s="170" t="n">
        <f aca="false">SUM(L76:L77)</f>
        <v>197417.424173226</v>
      </c>
      <c r="M78" s="170" t="n">
        <f aca="false">SUM(M76:M77)</f>
        <v>212073.175265279</v>
      </c>
      <c r="N78" s="170" t="n">
        <f aca="false">SUM(N76:N77)</f>
        <v>261616.926357333</v>
      </c>
      <c r="O78" s="170" t="n">
        <f aca="false">SUM(O76:O77)</f>
        <v>276272.677449386</v>
      </c>
      <c r="P78" s="170" t="n">
        <f aca="false">SUM(P76:P77)</f>
        <v>290928.428541439</v>
      </c>
      <c r="Q78" s="170" t="n">
        <f aca="false">SUM(Q76:Q77)</f>
        <v>305584.179633493</v>
      </c>
      <c r="R78" s="170" t="n">
        <f aca="false">SUM(R76:R77)</f>
        <v>320239.930725546</v>
      </c>
      <c r="S78" s="170" t="n">
        <f aca="false">SUM(S76:S77)</f>
        <v>334895.681817599</v>
      </c>
      <c r="T78" s="170" t="n">
        <f aca="false">SUM(T76:T77)</f>
        <v>328392.571960319</v>
      </c>
      <c r="U78" s="170" t="n">
        <f aca="false">SUM(U76:U77)</f>
        <v>321889.462103039</v>
      </c>
      <c r="V78" s="170" t="n">
        <f aca="false">SUM(V76:V77)</f>
        <v>315386.352245759</v>
      </c>
      <c r="W78" s="170" t="n">
        <f aca="false">SUM(W76:W77)</f>
        <v>308883.242388479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312332.2154368</v>
      </c>
      <c r="E85" s="206" t="n">
        <f aca="false">E78</f>
        <v>94827.1665288529</v>
      </c>
      <c r="F85" s="206" t="n">
        <f aca="false">F78</f>
        <v>109482.917620906</v>
      </c>
      <c r="G85" s="206" t="n">
        <f aca="false">G78</f>
        <v>124138.66871296</v>
      </c>
      <c r="H85" s="206" t="n">
        <f aca="false">H78</f>
        <v>138794.419805013</v>
      </c>
      <c r="I85" s="206" t="n">
        <f aca="false">I78</f>
        <v>153450.170897066</v>
      </c>
      <c r="J85" s="206" t="n">
        <f aca="false">J78</f>
        <v>168105.92198912</v>
      </c>
      <c r="K85" s="206" t="n">
        <f aca="false">K78</f>
        <v>182761.673081173</v>
      </c>
      <c r="L85" s="206" t="n">
        <f aca="false">L78</f>
        <v>197417.424173226</v>
      </c>
      <c r="M85" s="206" t="n">
        <f aca="false">M78</f>
        <v>212073.175265279</v>
      </c>
      <c r="N85" s="206" t="n">
        <f aca="false">N78</f>
        <v>261616.926357333</v>
      </c>
      <c r="O85" s="206" t="n">
        <f aca="false">O78</f>
        <v>276272.677449386</v>
      </c>
      <c r="P85" s="206" t="n">
        <f aca="false">P78</f>
        <v>290928.428541439</v>
      </c>
      <c r="Q85" s="206" t="n">
        <f aca="false">Q78</f>
        <v>305584.179633493</v>
      </c>
      <c r="R85" s="206" t="n">
        <f aca="false">R78</f>
        <v>320239.930725546</v>
      </c>
      <c r="S85" s="206" t="n">
        <f aca="false">S78</f>
        <v>334895.681817599</v>
      </c>
      <c r="T85" s="206" t="n">
        <f aca="false">T78</f>
        <v>328392.571960319</v>
      </c>
      <c r="U85" s="206" t="n">
        <f aca="false">U78</f>
        <v>321889.462103039</v>
      </c>
      <c r="V85" s="206" t="n">
        <f aca="false">V78</f>
        <v>315386.352245759</v>
      </c>
      <c r="W85" s="206" t="n">
        <f aca="false">W78</f>
        <v>308883.242388479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968765</v>
      </c>
      <c r="E86" s="207" t="n">
        <f aca="false">-E67</f>
        <v>968765</v>
      </c>
      <c r="F86" s="207" t="n">
        <f aca="false">-F67</f>
        <v>968765</v>
      </c>
      <c r="G86" s="207" t="n">
        <f aca="false">-G67</f>
        <v>968765</v>
      </c>
      <c r="H86" s="207" t="n">
        <f aca="false">-H67</f>
        <v>968765</v>
      </c>
      <c r="I86" s="207" t="n">
        <f aca="false">-I67</f>
        <v>968765</v>
      </c>
      <c r="J86" s="207" t="n">
        <f aca="false">-J67</f>
        <v>968765</v>
      </c>
      <c r="K86" s="207" t="n">
        <f aca="false">-K67</f>
        <v>968765</v>
      </c>
      <c r="L86" s="207" t="n">
        <f aca="false">-L67</f>
        <v>968765</v>
      </c>
      <c r="M86" s="207" t="n">
        <f aca="false">-M67</f>
        <v>968765</v>
      </c>
      <c r="N86" s="207" t="n">
        <f aca="false">-N67</f>
        <v>968765</v>
      </c>
      <c r="O86" s="207" t="n">
        <f aca="false">-O67</f>
        <v>968765</v>
      </c>
      <c r="P86" s="207" t="n">
        <f aca="false">-P67</f>
        <v>968765</v>
      </c>
      <c r="Q86" s="207" t="n">
        <f aca="false">-Q67</f>
        <v>968765</v>
      </c>
      <c r="R86" s="207" t="n">
        <f aca="false">-R67</f>
        <v>968765</v>
      </c>
      <c r="S86" s="207" t="n">
        <f aca="false">-S67</f>
        <v>968765</v>
      </c>
      <c r="T86" s="207" t="n">
        <f aca="false">-T67</f>
        <v>968765</v>
      </c>
      <c r="U86" s="207" t="n">
        <f aca="false">-U67</f>
        <v>968765</v>
      </c>
      <c r="V86" s="207" t="n">
        <f aca="false">-V67</f>
        <v>968765</v>
      </c>
      <c r="W86" s="207" t="n">
        <f aca="false">-W67</f>
        <v>968765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1281097.2154368</v>
      </c>
      <c r="E87" s="209" t="n">
        <f aca="false">SUM(E85:E86)</f>
        <v>1063592.16652885</v>
      </c>
      <c r="F87" s="209" t="n">
        <f aca="false">SUM(F85:F86)</f>
        <v>1078247.91762091</v>
      </c>
      <c r="G87" s="209" t="n">
        <f aca="false">SUM(G85:G86)</f>
        <v>1092903.66871296</v>
      </c>
      <c r="H87" s="209" t="n">
        <f aca="false">SUM(H85:H86)</f>
        <v>1107559.41980501</v>
      </c>
      <c r="I87" s="209" t="n">
        <f aca="false">SUM(I85:I86)</f>
        <v>1122215.17089707</v>
      </c>
      <c r="J87" s="209" t="n">
        <f aca="false">SUM(J85:J86)</f>
        <v>1136870.92198912</v>
      </c>
      <c r="K87" s="209" t="n">
        <f aca="false">SUM(K85:K86)</f>
        <v>1151526.67308117</v>
      </c>
      <c r="L87" s="209" t="n">
        <f aca="false">SUM(L85:L86)</f>
        <v>1166182.42417323</v>
      </c>
      <c r="M87" s="209" t="n">
        <f aca="false">SUM(M85:M86)</f>
        <v>1180838.17526528</v>
      </c>
      <c r="N87" s="209" t="n">
        <f aca="false">SUM(N85:N86)</f>
        <v>1230381.92635733</v>
      </c>
      <c r="O87" s="209" t="n">
        <f aca="false">SUM(O85:O86)</f>
        <v>1245037.67744939</v>
      </c>
      <c r="P87" s="209" t="n">
        <f aca="false">SUM(P85:P86)</f>
        <v>1259693.42854144</v>
      </c>
      <c r="Q87" s="209" t="n">
        <f aca="false">SUM(Q85:Q86)</f>
        <v>1274349.17963349</v>
      </c>
      <c r="R87" s="209" t="n">
        <f aca="false">SUM(R85:R86)</f>
        <v>1289004.93072555</v>
      </c>
      <c r="S87" s="209" t="n">
        <f aca="false">SUM(S85:S86)</f>
        <v>1303660.6818176</v>
      </c>
      <c r="T87" s="209" t="n">
        <f aca="false">SUM(T85:T86)</f>
        <v>1297157.57196032</v>
      </c>
      <c r="U87" s="209" t="n">
        <f aca="false">SUM(U85:U86)</f>
        <v>1290654.46210304</v>
      </c>
      <c r="V87" s="209" t="n">
        <f aca="false">SUM(V85:V86)</f>
        <v>1284151.35224576</v>
      </c>
      <c r="W87" s="209" t="n">
        <f aca="false">SUM(W85:W86)</f>
        <v>1277648.24238848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-19375300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15500240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-1033349.33333333</v>
      </c>
      <c r="F93" s="215" t="n">
        <v>-1033349.33333333</v>
      </c>
      <c r="G93" s="215" t="n">
        <v>-1033349.33333333</v>
      </c>
      <c r="H93" s="215" t="n">
        <v>-1033349.33333333</v>
      </c>
      <c r="I93" s="215" t="n">
        <v>-1033349.33333333</v>
      </c>
      <c r="J93" s="215" t="n">
        <v>-1033349.33333333</v>
      </c>
      <c r="K93" s="215" t="n">
        <v>-1033349.33333333</v>
      </c>
      <c r="L93" s="215" t="n">
        <v>-1033349.33333333</v>
      </c>
      <c r="M93" s="215" t="n">
        <v>-1033349.33333333</v>
      </c>
      <c r="N93" s="215" t="n">
        <v>-1033349.33333333</v>
      </c>
      <c r="O93" s="215" t="n">
        <v>-1033349.33333333</v>
      </c>
      <c r="P93" s="215" t="n">
        <v>-1033349.33333333</v>
      </c>
      <c r="Q93" s="215" t="n">
        <v>-1033349.33333333</v>
      </c>
      <c r="R93" s="215" t="n">
        <v>-1033349.33333333</v>
      </c>
      <c r="S93" s="215" t="n">
        <v>-1033349.33333333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3875060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-281098.99389312</v>
      </c>
      <c r="F95" s="216" t="n">
        <f aca="false">-E85*$D$33</f>
        <v>-85344.4498759676</v>
      </c>
      <c r="G95" s="216" t="n">
        <f aca="false">-F85*$D$33</f>
        <v>-98534.6258588157</v>
      </c>
      <c r="H95" s="216" t="n">
        <f aca="false">-G85*$D$33</f>
        <v>-111724.801841664</v>
      </c>
      <c r="I95" s="216" t="n">
        <f aca="false">-H85*$D$33</f>
        <v>-124914.977824512</v>
      </c>
      <c r="J95" s="216" t="n">
        <f aca="false">-I85*$D$33</f>
        <v>-138105.15380736</v>
      </c>
      <c r="K95" s="216" t="n">
        <f aca="false">-J85*$D$33</f>
        <v>-151295.329790208</v>
      </c>
      <c r="L95" s="216" t="n">
        <f aca="false">-K85*$D$33</f>
        <v>-164485.505773056</v>
      </c>
      <c r="M95" s="216" t="n">
        <f aca="false">-L85*$D$33</f>
        <v>-177675.681755904</v>
      </c>
      <c r="N95" s="216" t="n">
        <f aca="false">-M85*$D$33</f>
        <v>-190865.857738752</v>
      </c>
      <c r="O95" s="216" t="n">
        <f aca="false">-N85*$D$33</f>
        <v>-235455.233721599</v>
      </c>
      <c r="P95" s="216" t="n">
        <f aca="false">-O85*$D$33</f>
        <v>-248645.409704448</v>
      </c>
      <c r="Q95" s="216" t="n">
        <f aca="false">-P85*$D$33</f>
        <v>-261835.585687296</v>
      </c>
      <c r="R95" s="216" t="n">
        <f aca="false">-Q85*$D$33</f>
        <v>-275025.761670143</v>
      </c>
      <c r="S95" s="216" t="n">
        <f aca="false">-R85*$D$33</f>
        <v>-288215.937652992</v>
      </c>
      <c r="T95" s="216" t="n">
        <f aca="false">-S85*$D$33</f>
        <v>-301406.11363584</v>
      </c>
      <c r="U95" s="216" t="n">
        <f aca="false">-T85*$D$33</f>
        <v>-295553.314764287</v>
      </c>
      <c r="V95" s="216" t="n">
        <f aca="false">-U85*$D$33</f>
        <v>-289700.515892736</v>
      </c>
      <c r="W95" s="216" t="n">
        <f aca="false">-V85*$D$33</f>
        <v>-283847.717021183</v>
      </c>
      <c r="X95" s="216" t="n">
        <f aca="false">-W85*$D$33</f>
        <v>-277994.918149632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-968765</v>
      </c>
      <c r="U96" s="219" t="n">
        <v>-968765</v>
      </c>
      <c r="V96" s="219" t="n">
        <v>-968765</v>
      </c>
      <c r="W96" s="219" t="n">
        <v>-968765</v>
      </c>
      <c r="X96" s="220" t="n">
        <f aca="false">-W101-X95</f>
        <v>-475747.320673288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1281097.2154368</v>
      </c>
      <c r="E99" s="206" t="n">
        <f aca="false">SUM(E87:E96)</f>
        <v>-250856.1606976</v>
      </c>
      <c r="F99" s="206" t="n">
        <f aca="false">SUM(F87:F96)</f>
        <v>-40445.865588394</v>
      </c>
      <c r="G99" s="206" t="n">
        <f aca="false">SUM(G87:G96)</f>
        <v>-38980.2904791889</v>
      </c>
      <c r="H99" s="206" t="n">
        <f aca="false">SUM(H87:H96)</f>
        <v>-37514.7153699836</v>
      </c>
      <c r="I99" s="206" t="n">
        <f aca="false">SUM(I87:I96)</f>
        <v>-36049.1402607782</v>
      </c>
      <c r="J99" s="206" t="n">
        <f aca="false">SUM(J87:J96)</f>
        <v>-34583.5651515727</v>
      </c>
      <c r="K99" s="206" t="n">
        <f aca="false">SUM(K87:K96)</f>
        <v>-33117.9900423676</v>
      </c>
      <c r="L99" s="206" t="n">
        <f aca="false">SUM(L87:L96)</f>
        <v>-31652.4149331622</v>
      </c>
      <c r="M99" s="206" t="n">
        <f aca="false">SUM(M87:M96)</f>
        <v>-30186.8398239569</v>
      </c>
      <c r="N99" s="206" t="n">
        <f aca="false">SUM(N87:N96)</f>
        <v>6166.73528524855</v>
      </c>
      <c r="O99" s="206" t="n">
        <f aca="false">SUM(O87:O96)</f>
        <v>-23766.8896055462</v>
      </c>
      <c r="P99" s="206" t="n">
        <f aca="false">SUM(P87:P96)</f>
        <v>-22301.3144963409</v>
      </c>
      <c r="Q99" s="206" t="n">
        <f aca="false">SUM(Q87:Q96)</f>
        <v>-20835.7393871355</v>
      </c>
      <c r="R99" s="206" t="n">
        <f aca="false">SUM(R87:R96)</f>
        <v>-19370.1642779302</v>
      </c>
      <c r="S99" s="206" t="n">
        <f aca="false">SUM(S87:S96)</f>
        <v>-17904.589168725</v>
      </c>
      <c r="T99" s="206" t="n">
        <f aca="false">SUM(T87:T96)</f>
        <v>26986.45832448</v>
      </c>
      <c r="U99" s="206" t="n">
        <f aca="false">SUM(U87:U96)</f>
        <v>26336.1473387524</v>
      </c>
      <c r="V99" s="206" t="n">
        <f aca="false">SUM(V87:V96)</f>
        <v>25685.836353024</v>
      </c>
      <c r="W99" s="206" t="n">
        <f aca="false">SUM(W87:W96)</f>
        <v>25035.5253672963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1281097.2154368</v>
      </c>
      <c r="F100" s="206" t="n">
        <f aca="false">E101</f>
        <v>1030241.0547392</v>
      </c>
      <c r="G100" s="206" t="n">
        <f aca="false">F101</f>
        <v>989795.189150806</v>
      </c>
      <c r="H100" s="206" t="n">
        <f aca="false">G101</f>
        <v>950814.898671618</v>
      </c>
      <c r="I100" s="206" t="n">
        <f aca="false">H101</f>
        <v>913300.183301634</v>
      </c>
      <c r="J100" s="206" t="n">
        <f aca="false">I101</f>
        <v>877251.043040856</v>
      </c>
      <c r="K100" s="206" t="n">
        <f aca="false">J101</f>
        <v>842667.477889283</v>
      </c>
      <c r="L100" s="206" t="n">
        <f aca="false">K101</f>
        <v>809549.487846916</v>
      </c>
      <c r="M100" s="206" t="n">
        <f aca="false">L101</f>
        <v>777897.072913753</v>
      </c>
      <c r="N100" s="206" t="n">
        <f aca="false">M101</f>
        <v>747710.233089796</v>
      </c>
      <c r="O100" s="206" t="n">
        <f aca="false">N101</f>
        <v>753876.968375045</v>
      </c>
      <c r="P100" s="206" t="n">
        <f aca="false">O101</f>
        <v>730110.078769499</v>
      </c>
      <c r="Q100" s="206" t="n">
        <f aca="false">P101</f>
        <v>707808.764273158</v>
      </c>
      <c r="R100" s="206" t="n">
        <f aca="false">Q101</f>
        <v>686973.024886022</v>
      </c>
      <c r="S100" s="206" t="n">
        <f aca="false">R101</f>
        <v>667602.860608092</v>
      </c>
      <c r="T100" s="206" t="n">
        <f aca="false">S101</f>
        <v>649698.271439367</v>
      </c>
      <c r="U100" s="206" t="n">
        <f aca="false">T101</f>
        <v>676684.729763847</v>
      </c>
      <c r="V100" s="206" t="n">
        <f aca="false">U101</f>
        <v>703020.8771026</v>
      </c>
      <c r="W100" s="206" t="n">
        <f aca="false">V101</f>
        <v>728706.713455624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1281097.2154368</v>
      </c>
      <c r="E101" s="206" t="n">
        <f aca="false">E99+E100</f>
        <v>1030241.0547392</v>
      </c>
      <c r="F101" s="206" t="n">
        <f aca="false">F99+F100</f>
        <v>989795.189150806</v>
      </c>
      <c r="G101" s="206" t="n">
        <f aca="false">G99+G100</f>
        <v>950814.898671618</v>
      </c>
      <c r="H101" s="206" t="n">
        <f aca="false">H99+H100</f>
        <v>913300.183301634</v>
      </c>
      <c r="I101" s="206" t="n">
        <f aca="false">I99+I100</f>
        <v>877251.043040856</v>
      </c>
      <c r="J101" s="206" t="n">
        <f aca="false">J99+J100</f>
        <v>842667.477889283</v>
      </c>
      <c r="K101" s="206" t="n">
        <f aca="false">K99+K100</f>
        <v>809549.487846916</v>
      </c>
      <c r="L101" s="206" t="n">
        <f aca="false">L99+L100</f>
        <v>777897.072913753</v>
      </c>
      <c r="M101" s="206" t="n">
        <f aca="false">M99+M100</f>
        <v>747710.233089796</v>
      </c>
      <c r="N101" s="206" t="n">
        <f aca="false">N99+N100</f>
        <v>753876.968375045</v>
      </c>
      <c r="O101" s="206" t="n">
        <f aca="false">O99+O100</f>
        <v>730110.078769499</v>
      </c>
      <c r="P101" s="206" t="n">
        <f aca="false">P99+P100</f>
        <v>707808.764273158</v>
      </c>
      <c r="Q101" s="206" t="n">
        <f aca="false">Q99+Q100</f>
        <v>686973.024886022</v>
      </c>
      <c r="R101" s="206" t="n">
        <f aca="false">R99+R100</f>
        <v>667602.860608092</v>
      </c>
      <c r="S101" s="206" t="n">
        <f aca="false">S99+S100</f>
        <v>649698.271439367</v>
      </c>
      <c r="T101" s="206" t="n">
        <f aca="false">T99+T100</f>
        <v>676684.729763847</v>
      </c>
      <c r="U101" s="206" t="n">
        <f aca="false">U99+U100</f>
        <v>703020.8771026</v>
      </c>
      <c r="V101" s="206" t="n">
        <f aca="false">V99+V100</f>
        <v>728706.713455624</v>
      </c>
      <c r="W101" s="206" t="n">
        <f aca="false">W99+W100</f>
        <v>753742.23882292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-3875060</v>
      </c>
      <c r="E104" s="209" t="n">
        <f aca="false">-E95-E96</f>
        <v>281098.99389312</v>
      </c>
      <c r="F104" s="209" t="n">
        <f aca="false">-F95-F96</f>
        <v>85344.4498759676</v>
      </c>
      <c r="G104" s="209" t="n">
        <f aca="false">-G95-G96</f>
        <v>98534.6258588157</v>
      </c>
      <c r="H104" s="209" t="n">
        <f aca="false">-H95-H96</f>
        <v>111724.801841664</v>
      </c>
      <c r="I104" s="209" t="n">
        <f aca="false">-I95-I96</f>
        <v>124914.977824512</v>
      </c>
      <c r="J104" s="209" t="n">
        <f aca="false">-J95-J96</f>
        <v>138105.15380736</v>
      </c>
      <c r="K104" s="209" t="n">
        <f aca="false">-K95-K96</f>
        <v>151295.329790208</v>
      </c>
      <c r="L104" s="209" t="n">
        <f aca="false">-L95-L96</f>
        <v>164485.505773056</v>
      </c>
      <c r="M104" s="209" t="n">
        <f aca="false">-M95-M96</f>
        <v>177675.681755904</v>
      </c>
      <c r="N104" s="209" t="n">
        <f aca="false">-N95-N96</f>
        <v>190865.857738752</v>
      </c>
      <c r="O104" s="209" t="n">
        <f aca="false">-O95-O96</f>
        <v>235455.233721599</v>
      </c>
      <c r="P104" s="209" t="n">
        <f aca="false">-P95-P96</f>
        <v>248645.409704448</v>
      </c>
      <c r="Q104" s="209" t="n">
        <f aca="false">-Q95-Q96</f>
        <v>261835.585687296</v>
      </c>
      <c r="R104" s="209" t="n">
        <f aca="false">-R95-R96</f>
        <v>275025.761670143</v>
      </c>
      <c r="S104" s="209" t="n">
        <f aca="false">-S95-S96</f>
        <v>288215.937652992</v>
      </c>
      <c r="T104" s="209" t="n">
        <f aca="false">-T95-T96</f>
        <v>1270171.11363584</v>
      </c>
      <c r="U104" s="209" t="n">
        <f aca="false">-U95-U96</f>
        <v>1264318.31476429</v>
      </c>
      <c r="V104" s="209" t="n">
        <f aca="false">-V95-V96</f>
        <v>1258465.51589274</v>
      </c>
      <c r="W104" s="209" t="n">
        <f aca="false">-W95-W96</f>
        <v>1252612.71702118</v>
      </c>
      <c r="X104" s="209" t="n">
        <f aca="false">-X95-X96</f>
        <v>753742.23882292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0.0582309868861773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-3562727.7845632</v>
      </c>
      <c r="E106" s="209" t="n">
        <f aca="false">E85</f>
        <v>94827.1665288529</v>
      </c>
      <c r="F106" s="209" t="n">
        <f aca="false">F85-F96</f>
        <v>109482.917620906</v>
      </c>
      <c r="G106" s="209" t="n">
        <f aca="false">G85-G96</f>
        <v>124138.66871296</v>
      </c>
      <c r="H106" s="209" t="n">
        <f aca="false">H85-H96</f>
        <v>138794.419805013</v>
      </c>
      <c r="I106" s="209" t="n">
        <f aca="false">I85-I96</f>
        <v>153450.170897066</v>
      </c>
      <c r="J106" s="209" t="n">
        <f aca="false">J85-J96</f>
        <v>168105.92198912</v>
      </c>
      <c r="K106" s="209" t="n">
        <f aca="false">K85-K96</f>
        <v>182761.673081173</v>
      </c>
      <c r="L106" s="209" t="n">
        <f aca="false">L85-L96</f>
        <v>197417.424173226</v>
      </c>
      <c r="M106" s="209" t="n">
        <f aca="false">M85-M96</f>
        <v>212073.175265279</v>
      </c>
      <c r="N106" s="209" t="n">
        <f aca="false">N85-N96</f>
        <v>261616.926357333</v>
      </c>
      <c r="O106" s="209" t="n">
        <f aca="false">O85-O96</f>
        <v>276272.677449386</v>
      </c>
      <c r="P106" s="209" t="n">
        <f aca="false">P85-P96</f>
        <v>290928.428541439</v>
      </c>
      <c r="Q106" s="209" t="n">
        <f aca="false">Q85-Q96</f>
        <v>305584.179633493</v>
      </c>
      <c r="R106" s="209" t="n">
        <f aca="false">R85-R96</f>
        <v>320239.930725546</v>
      </c>
      <c r="S106" s="209" t="n">
        <f aca="false">S85-S96</f>
        <v>334895.681817599</v>
      </c>
      <c r="T106" s="209" t="n">
        <f aca="false">T85-T96</f>
        <v>1297157.57196032</v>
      </c>
      <c r="U106" s="209" t="n">
        <f aca="false">U85-U96</f>
        <v>1290654.46210304</v>
      </c>
      <c r="V106" s="209" t="n">
        <f aca="false">V85-V96</f>
        <v>1284151.35224576</v>
      </c>
      <c r="W106" s="209" t="n">
        <f aca="false">W85-W96</f>
        <v>1277648.24238848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0.0637210131891018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15500240</v>
      </c>
      <c r="E109" s="206" t="n">
        <f aca="false">D109+E93</f>
        <v>14466890.6666667</v>
      </c>
      <c r="F109" s="206" t="n">
        <f aca="false">E109+F93</f>
        <v>13433541.3333333</v>
      </c>
      <c r="G109" s="206" t="n">
        <f aca="false">F109+G93</f>
        <v>12400192</v>
      </c>
      <c r="H109" s="206" t="n">
        <f aca="false">G109+H93</f>
        <v>11366842.6666667</v>
      </c>
      <c r="I109" s="206" t="n">
        <f aca="false">H109+I93</f>
        <v>10333493.3333333</v>
      </c>
      <c r="J109" s="206" t="n">
        <f aca="false">I109+J93</f>
        <v>9300144.00000001</v>
      </c>
      <c r="K109" s="206" t="n">
        <f aca="false">J109+K93</f>
        <v>8266794.66666668</v>
      </c>
      <c r="L109" s="206" t="n">
        <f aca="false">K109+L93</f>
        <v>7233445.33333335</v>
      </c>
      <c r="M109" s="206" t="n">
        <f aca="false">L109+M93</f>
        <v>6200096.00000001</v>
      </c>
      <c r="N109" s="206" t="n">
        <f aca="false">M109+N93</f>
        <v>5166746.66666668</v>
      </c>
      <c r="O109" s="206" t="n">
        <f aca="false">N109+O93</f>
        <v>4133397.33333335</v>
      </c>
      <c r="P109" s="206" t="n">
        <f aca="false">O109+P93</f>
        <v>3100048.00000001</v>
      </c>
      <c r="Q109" s="206" t="n">
        <f aca="false">P109+Q93</f>
        <v>2066698.66666668</v>
      </c>
      <c r="R109" s="206" t="n">
        <f aca="false">Q109+R93</f>
        <v>1033349.33333335</v>
      </c>
      <c r="S109" s="206" t="n">
        <f aca="false">R109+S93</f>
        <v>1.39698386192322E-008</v>
      </c>
      <c r="T109" s="206" t="n">
        <f aca="false">S109+T93</f>
        <v>1.39698386192322E-008</v>
      </c>
      <c r="U109" s="206" t="n">
        <f aca="false">T109+U93</f>
        <v>1.39698386192322E-008</v>
      </c>
      <c r="V109" s="206" t="n">
        <f aca="false">U109+V93</f>
        <v>1.39698386192322E-008</v>
      </c>
      <c r="W109" s="206" t="n">
        <f aca="false">V109+W93</f>
        <v>1.39698386192322E-008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27000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-18129300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-35324.1</v>
      </c>
      <c r="E49" s="170" t="n">
        <v>-35324.1</v>
      </c>
      <c r="F49" s="170" t="n">
        <v>-35324.1</v>
      </c>
      <c r="G49" s="170" t="n">
        <v>-35324.1</v>
      </c>
      <c r="H49" s="170" t="n">
        <v>-35324.1</v>
      </c>
      <c r="I49" s="170" t="n">
        <v>-35324.1</v>
      </c>
      <c r="J49" s="170" t="n">
        <v>-35324.1</v>
      </c>
      <c r="K49" s="170" t="n">
        <v>-35324.1</v>
      </c>
      <c r="L49" s="170" t="n">
        <v>-35324.1</v>
      </c>
      <c r="M49" s="170" t="n">
        <v>-35324.1</v>
      </c>
      <c r="N49" s="170" t="n">
        <v>-35324.1</v>
      </c>
      <c r="O49" s="170" t="n">
        <v>-35324.1</v>
      </c>
      <c r="P49" s="170" t="n">
        <v>-35324.1</v>
      </c>
      <c r="Q49" s="170" t="n">
        <v>-35324.1</v>
      </c>
      <c r="R49" s="170" t="n">
        <v>-35324.1</v>
      </c>
      <c r="S49" s="170" t="n">
        <v>-35324.1</v>
      </c>
      <c r="T49" s="170" t="n">
        <v>-35324.1</v>
      </c>
      <c r="U49" s="170" t="n">
        <v>-35324.1</v>
      </c>
      <c r="V49" s="170" t="n">
        <v>-35324.1</v>
      </c>
      <c r="W49" s="170" t="n">
        <v>-35324.1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-170412.1024192</v>
      </c>
      <c r="E54" s="170" t="n">
        <f aca="false">-(E64+E67+E68+E71+E72+E73+E74)*0.2</f>
        <v>-110746.12495488</v>
      </c>
      <c r="F54" s="170" t="n">
        <f aca="false">-(F64+F67+F68+F71+F72+F73+F74)*0.2</f>
        <v>-109120.34749056</v>
      </c>
      <c r="G54" s="170" t="n">
        <f aca="false">-(G64+G67+G68+G71+G72+G73+G74)*0.2</f>
        <v>-107494.57002624</v>
      </c>
      <c r="H54" s="170" t="n">
        <f aca="false">-(H64+H67+H68+H71+H72+H73+H74)*0.2</f>
        <v>-105868.79256192</v>
      </c>
      <c r="I54" s="170" t="n">
        <f aca="false">-(I64+I67+I68+I71+I72+I73+I74)*0.2</f>
        <v>-104243.0150976</v>
      </c>
      <c r="J54" s="170" t="n">
        <f aca="false">-(J64+J67+J68+J71+J72+J73+J74)*0.2</f>
        <v>-102617.23763328</v>
      </c>
      <c r="K54" s="170" t="n">
        <f aca="false">-(K64+K67+K68+K71+K72+K73+K74)*0.2</f>
        <v>-100991.46016896</v>
      </c>
      <c r="L54" s="170" t="n">
        <f aca="false">-(L64+L67+L68+L71+L72+L73+L74)*0.2</f>
        <v>-99365.68270464</v>
      </c>
      <c r="M54" s="170" t="n">
        <f aca="false">-(M64+M67+M68+M71+M72+M73+M74)*0.2</f>
        <v>-97739.90524032</v>
      </c>
      <c r="N54" s="170" t="n">
        <f aca="false">-(N64+N67+N68+N71+N72+N73+N74)*0.2</f>
        <v>-104836.127776</v>
      </c>
      <c r="O54" s="170" t="n">
        <f aca="false">-(O64+O67+O68+O71+O72+O73+O74)*0.2</f>
        <v>-103210.35031168</v>
      </c>
      <c r="P54" s="170" t="n">
        <f aca="false">-(P64+P67+P68+P71+P72+P73+P74)*0.2</f>
        <v>-101584.57284736</v>
      </c>
      <c r="Q54" s="170" t="n">
        <f aca="false">-(Q64+Q67+Q68+Q71+Q72+Q73+Q74)*0.2</f>
        <v>-99958.79538304</v>
      </c>
      <c r="R54" s="170" t="n">
        <f aca="false">-(R64+R67+R68+R71+R72+R73+R74)*0.2</f>
        <v>-98333.01791872</v>
      </c>
      <c r="S54" s="170" t="n">
        <f aca="false">-(S64+S67+S68+S71+S72+S73+S74)*0.2</f>
        <v>-96707.2404544</v>
      </c>
      <c r="T54" s="170" t="n">
        <f aca="false">-(T64+T67+T68+T71+T72+T73+T74)*0.2</f>
        <v>-95081.46299008</v>
      </c>
      <c r="U54" s="170" t="n">
        <f aca="false">-(U64+U67+U68+U71+U72+U73+U74)*0.2</f>
        <v>-93455.68552576</v>
      </c>
      <c r="V54" s="170" t="n">
        <f aca="false">-(V64+V67+V68+V71+V72+V73+V74)*0.2</f>
        <v>-91829.9080614399</v>
      </c>
      <c r="W54" s="170" t="n">
        <f aca="false">-(W64+W67+W68+W71+W72+W73+W74)*0.2</f>
        <v>-90204.13059712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-18129300</v>
      </c>
      <c r="D55" s="175" t="n">
        <f aca="false">SUM(D41:D54)</f>
        <v>1588113.4096768</v>
      </c>
      <c r="E55" s="175" t="n">
        <f aca="false">SUM(E41:E54)</f>
        <v>1349449.49981952</v>
      </c>
      <c r="F55" s="175" t="n">
        <f aca="false">SUM(F41:F54)</f>
        <v>1342946.38996224</v>
      </c>
      <c r="G55" s="175" t="n">
        <f aca="false">SUM(G41:G54)</f>
        <v>1336443.28010496</v>
      </c>
      <c r="H55" s="175" t="n">
        <f aca="false">SUM(H41:H54)</f>
        <v>1329940.17024768</v>
      </c>
      <c r="I55" s="175" t="n">
        <f aca="false">SUM(I41:I54)</f>
        <v>1323437.0603904</v>
      </c>
      <c r="J55" s="175" t="n">
        <f aca="false">SUM(J41:J54)</f>
        <v>1316933.95053312</v>
      </c>
      <c r="K55" s="175" t="n">
        <f aca="false">SUM(K41:K54)</f>
        <v>1310430.84067584</v>
      </c>
      <c r="L55" s="175" t="n">
        <f aca="false">SUM(L41:L54)</f>
        <v>1303927.73081856</v>
      </c>
      <c r="M55" s="175" t="n">
        <f aca="false">SUM(M41:M54)</f>
        <v>1297424.62096128</v>
      </c>
      <c r="N55" s="175" t="n">
        <f aca="false">SUM(N41:N54)</f>
        <v>1325809.511104</v>
      </c>
      <c r="O55" s="175" t="n">
        <f aca="false">SUM(O41:O54)</f>
        <v>1319306.40124672</v>
      </c>
      <c r="P55" s="175" t="n">
        <f aca="false">SUM(P41:P54)</f>
        <v>1312803.29138944</v>
      </c>
      <c r="Q55" s="175" t="n">
        <f aca="false">SUM(Q41:Q54)</f>
        <v>1306300.18153216</v>
      </c>
      <c r="R55" s="175" t="n">
        <f aca="false">SUM(R41:R54)</f>
        <v>1299797.07167488</v>
      </c>
      <c r="S55" s="175" t="n">
        <f aca="false">SUM(S41:S54)</f>
        <v>1293293.9618176</v>
      </c>
      <c r="T55" s="175" t="n">
        <f aca="false">SUM(T41:T54)</f>
        <v>1286790.85196032</v>
      </c>
      <c r="U55" s="175" t="n">
        <f aca="false">SUM(U41:U54)</f>
        <v>1280287.74210304</v>
      </c>
      <c r="V55" s="175" t="n">
        <f aca="false">SUM(V41:V54)</f>
        <v>1273784.63224576</v>
      </c>
      <c r="W55" s="175" t="n">
        <f aca="false">SUM(W41:W54)</f>
        <v>1267281.52238848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-16541186.5903232</v>
      </c>
      <c r="E56" s="180" t="n">
        <f aca="false">D56+E55</f>
        <v>-15191737.0905037</v>
      </c>
      <c r="F56" s="180" t="n">
        <f aca="false">E56+F55</f>
        <v>-13848790.7005414</v>
      </c>
      <c r="G56" s="180" t="n">
        <f aca="false">F56+G55</f>
        <v>-12512347.4204365</v>
      </c>
      <c r="H56" s="180" t="n">
        <f aca="false">G56+H55</f>
        <v>-11182407.2501888</v>
      </c>
      <c r="I56" s="180" t="n">
        <f aca="false">H56+I55</f>
        <v>-9858970.1897984</v>
      </c>
      <c r="J56" s="180" t="n">
        <f aca="false">I56+J55</f>
        <v>-8542036.23926528</v>
      </c>
      <c r="K56" s="180" t="n">
        <f aca="false">J56+K55</f>
        <v>-7231605.39858944</v>
      </c>
      <c r="L56" s="180" t="n">
        <f aca="false">K56+L55</f>
        <v>-5927677.66777088</v>
      </c>
      <c r="M56" s="180" t="n">
        <f aca="false">L56+M55</f>
        <v>-4630253.0468096</v>
      </c>
      <c r="N56" s="180" t="n">
        <f aca="false">M56+N55</f>
        <v>-3304443.5357056</v>
      </c>
      <c r="O56" s="180" t="n">
        <f aca="false">N56+O55</f>
        <v>-1985137.13445888</v>
      </c>
      <c r="P56" s="180" t="n">
        <f aca="false">O56+P55</f>
        <v>-672333.843069444</v>
      </c>
      <c r="Q56" s="180" t="n">
        <f aca="false">P56+Q55</f>
        <v>633966.338462716</v>
      </c>
      <c r="R56" s="180" t="n">
        <f aca="false">Q56+R55</f>
        <v>1933763.4101376</v>
      </c>
      <c r="S56" s="180" t="n">
        <f aca="false">R56+S55</f>
        <v>3227057.3719552</v>
      </c>
      <c r="T56" s="180" t="n">
        <f aca="false">S56+T55</f>
        <v>4513848.22391552</v>
      </c>
      <c r="U56" s="180" t="n">
        <f aca="false">T56+U55</f>
        <v>5794135.96601856</v>
      </c>
      <c r="V56" s="180" t="n">
        <f aca="false">U56+V55</f>
        <v>7067920.59826432</v>
      </c>
      <c r="W56" s="180" t="n">
        <f aca="false">V56+W55</f>
        <v>8335202.1206528</v>
      </c>
      <c r="X56" s="180" t="n">
        <f aca="false">W56+X55</f>
        <v>8335202.1206528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0.0399199166457592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-906465</v>
      </c>
      <c r="E67" s="191" t="n">
        <f aca="false">$C$44/$E$16</f>
        <v>-906465</v>
      </c>
      <c r="F67" s="191" t="n">
        <f aca="false">$C$44/$E$16</f>
        <v>-906465</v>
      </c>
      <c r="G67" s="191" t="n">
        <f aca="false">$C$44/$E$16</f>
        <v>-906465</v>
      </c>
      <c r="H67" s="191" t="n">
        <f aca="false">$C$44/$E$16</f>
        <v>-906465</v>
      </c>
      <c r="I67" s="191" t="n">
        <f aca="false">$C$44/$E$16</f>
        <v>-906465</v>
      </c>
      <c r="J67" s="191" t="n">
        <f aca="false">$C$44/$E$16</f>
        <v>-906465</v>
      </c>
      <c r="K67" s="191" t="n">
        <f aca="false">$C$44/$E$16</f>
        <v>-906465</v>
      </c>
      <c r="L67" s="191" t="n">
        <f aca="false">$C$44/$E$16</f>
        <v>-906465</v>
      </c>
      <c r="M67" s="191" t="n">
        <f aca="false">$C$44/$E$16</f>
        <v>-906465</v>
      </c>
      <c r="N67" s="191" t="n">
        <f aca="false">$C$44/$E$16</f>
        <v>-906465</v>
      </c>
      <c r="O67" s="191" t="n">
        <f aca="false">$C$44/$E$16</f>
        <v>-906465</v>
      </c>
      <c r="P67" s="191" t="n">
        <f aca="false">$C$44/$E$16</f>
        <v>-906465</v>
      </c>
      <c r="Q67" s="191" t="n">
        <f aca="false">$C$44/$E$16</f>
        <v>-906465</v>
      </c>
      <c r="R67" s="191" t="n">
        <f aca="false">$C$44/$E$16</f>
        <v>-906465</v>
      </c>
      <c r="S67" s="191" t="n">
        <f aca="false">$C$44/$E$16</f>
        <v>-906465</v>
      </c>
      <c r="T67" s="191" t="n">
        <f aca="false">$C$44/$E$16</f>
        <v>-906465</v>
      </c>
      <c r="U67" s="191" t="n">
        <f aca="false">$C$44/$E$16</f>
        <v>-906465</v>
      </c>
      <c r="V67" s="191" t="n">
        <f aca="false">$C$44/$E$16</f>
        <v>-906465</v>
      </c>
      <c r="W67" s="191" t="n">
        <f aca="false">$C$44/$E$16</f>
        <v>-906465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-371215.5468</v>
      </c>
      <c r="E70" s="170" t="n">
        <f aca="false">-E109*$D25</f>
        <v>-346467.84368</v>
      </c>
      <c r="F70" s="170" t="n">
        <f aca="false">-F109*$D25</f>
        <v>-321720.14056</v>
      </c>
      <c r="G70" s="170" t="n">
        <f aca="false">-G109*$D25</f>
        <v>-296972.43744</v>
      </c>
      <c r="H70" s="170" t="n">
        <f aca="false">-H109*$D25</f>
        <v>-272224.73432</v>
      </c>
      <c r="I70" s="170" t="n">
        <f aca="false">-I109*$D25</f>
        <v>-247477.0312</v>
      </c>
      <c r="J70" s="170" t="n">
        <f aca="false">-J109*$D25</f>
        <v>-222729.32808</v>
      </c>
      <c r="K70" s="170" t="n">
        <f aca="false">-K109*$D25</f>
        <v>-197981.62496</v>
      </c>
      <c r="L70" s="170" t="n">
        <f aca="false">-L109*$D25</f>
        <v>-173233.92184</v>
      </c>
      <c r="M70" s="170" t="n">
        <f aca="false">-M109*$D25</f>
        <v>-148486.21872</v>
      </c>
      <c r="N70" s="170" t="n">
        <f aca="false">-N109*$D25</f>
        <v>-123738.5156</v>
      </c>
      <c r="O70" s="170" t="n">
        <f aca="false">-O109*$D25</f>
        <v>-98990.81248</v>
      </c>
      <c r="P70" s="170" t="n">
        <f aca="false">-P109*$D25</f>
        <v>-74243.10936</v>
      </c>
      <c r="Q70" s="170" t="n">
        <f aca="false">-Q109*$D25</f>
        <v>-49495.40624</v>
      </c>
      <c r="R70" s="170" t="n">
        <f aca="false">-R109*$D25</f>
        <v>-24747.70312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-35324.1</v>
      </c>
      <c r="E72" s="170" t="n">
        <f aca="false">E49</f>
        <v>-35324.1</v>
      </c>
      <c r="F72" s="170" t="n">
        <f aca="false">F49</f>
        <v>-35324.1</v>
      </c>
      <c r="G72" s="170" t="n">
        <f aca="false">G49</f>
        <v>-35324.1</v>
      </c>
      <c r="H72" s="170" t="n">
        <f aca="false">H49</f>
        <v>-35324.1</v>
      </c>
      <c r="I72" s="170" t="n">
        <f aca="false">I49</f>
        <v>-35324.1</v>
      </c>
      <c r="J72" s="170" t="n">
        <f aca="false">J49</f>
        <v>-35324.1</v>
      </c>
      <c r="K72" s="170" t="n">
        <f aca="false">K49</f>
        <v>-35324.1</v>
      </c>
      <c r="L72" s="170" t="n">
        <f aca="false">L49</f>
        <v>-35324.1</v>
      </c>
      <c r="M72" s="170" t="n">
        <f aca="false">M49</f>
        <v>-35324.1</v>
      </c>
      <c r="N72" s="170" t="n">
        <f aca="false">N49</f>
        <v>-35324.1</v>
      </c>
      <c r="O72" s="170" t="n">
        <f aca="false">O49</f>
        <v>-35324.1</v>
      </c>
      <c r="P72" s="170" t="n">
        <f aca="false">P49</f>
        <v>-35324.1</v>
      </c>
      <c r="Q72" s="170" t="n">
        <f aca="false">Q49</f>
        <v>-35324.1</v>
      </c>
      <c r="R72" s="170" t="n">
        <f aca="false">R49</f>
        <v>-35324.1</v>
      </c>
      <c r="S72" s="170" t="n">
        <f aca="false">S49</f>
        <v>-35324.1</v>
      </c>
      <c r="T72" s="170" t="n">
        <f aca="false">T49</f>
        <v>-35324.1</v>
      </c>
      <c r="U72" s="170" t="n">
        <f aca="false">U49</f>
        <v>-35324.1</v>
      </c>
      <c r="V72" s="170" t="n">
        <f aca="false">V49</f>
        <v>-35324.1</v>
      </c>
      <c r="W72" s="170" t="n">
        <f aca="false">W49</f>
        <v>-35324.1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480844.965296</v>
      </c>
      <c r="E76" s="175" t="n">
        <f aca="false">SUM(E64:E75)</f>
        <v>207262.7810944</v>
      </c>
      <c r="F76" s="175" t="n">
        <f aca="false">SUM(F64:F75)</f>
        <v>223881.5968928</v>
      </c>
      <c r="G76" s="175" t="n">
        <f aca="false">SUM(G64:G75)</f>
        <v>240500.4126912</v>
      </c>
      <c r="H76" s="175" t="n">
        <f aca="false">SUM(H64:H75)</f>
        <v>257119.2284896</v>
      </c>
      <c r="I76" s="175" t="n">
        <f aca="false">SUM(I64:I75)</f>
        <v>273738.044288</v>
      </c>
      <c r="J76" s="175" t="n">
        <f aca="false">SUM(J64:J75)</f>
        <v>290356.8600864</v>
      </c>
      <c r="K76" s="175" t="n">
        <f aca="false">SUM(K64:K75)</f>
        <v>306975.6758848</v>
      </c>
      <c r="L76" s="175" t="n">
        <f aca="false">SUM(L64:L75)</f>
        <v>323594.4916832</v>
      </c>
      <c r="M76" s="175" t="n">
        <f aca="false">SUM(M64:M75)</f>
        <v>340213.3074816</v>
      </c>
      <c r="N76" s="175" t="n">
        <f aca="false">SUM(N64:N75)</f>
        <v>400442.12328</v>
      </c>
      <c r="O76" s="175" t="n">
        <f aca="false">SUM(O64:O75)</f>
        <v>417060.9390784</v>
      </c>
      <c r="P76" s="175" t="n">
        <f aca="false">SUM(P64:P75)</f>
        <v>433679.7548768</v>
      </c>
      <c r="Q76" s="175" t="n">
        <f aca="false">SUM(Q64:Q75)</f>
        <v>450298.5706752</v>
      </c>
      <c r="R76" s="175" t="n">
        <f aca="false">SUM(R64:R75)</f>
        <v>466917.3864736</v>
      </c>
      <c r="S76" s="175" t="n">
        <f aca="false">SUM(S64:S75)</f>
        <v>483536.202272</v>
      </c>
      <c r="T76" s="175" t="n">
        <f aca="false">SUM(T64:T75)</f>
        <v>475407.3149504</v>
      </c>
      <c r="U76" s="175" t="n">
        <f aca="false">SUM(U64:U75)</f>
        <v>467278.4276288</v>
      </c>
      <c r="V76" s="175" t="n">
        <f aca="false">SUM(V64:V75)</f>
        <v>459149.5403072</v>
      </c>
      <c r="W76" s="175" t="n">
        <f aca="false">SUM(W64:W75)</f>
        <v>451020.6529856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-96168.9930592</v>
      </c>
      <c r="E77" s="170" t="n">
        <f aca="false">-E76*0.2</f>
        <v>-41452.55621888</v>
      </c>
      <c r="F77" s="170" t="n">
        <f aca="false">-F76*0.2</f>
        <v>-44776.31937856</v>
      </c>
      <c r="G77" s="170" t="n">
        <f aca="false">-G76*0.2</f>
        <v>-48100.08253824</v>
      </c>
      <c r="H77" s="170" t="n">
        <f aca="false">-H76*0.2</f>
        <v>-51423.84569792</v>
      </c>
      <c r="I77" s="170" t="n">
        <f aca="false">-I76*0.2</f>
        <v>-54747.6088576</v>
      </c>
      <c r="J77" s="170" t="n">
        <f aca="false">-J76*0.2</f>
        <v>-58071.37201728</v>
      </c>
      <c r="K77" s="170" t="n">
        <f aca="false">-K76*0.2</f>
        <v>-61395.13517696</v>
      </c>
      <c r="L77" s="170" t="n">
        <f aca="false">-L76*0.2</f>
        <v>-64718.89833664</v>
      </c>
      <c r="M77" s="170" t="n">
        <f aca="false">-M76*0.2</f>
        <v>-68042.66149632</v>
      </c>
      <c r="N77" s="170" t="n">
        <f aca="false">-N76*0.2</f>
        <v>-80088.424656</v>
      </c>
      <c r="O77" s="170" t="n">
        <f aca="false">-O76*0.2</f>
        <v>-83412.18781568</v>
      </c>
      <c r="P77" s="170" t="n">
        <f aca="false">-P76*0.2</f>
        <v>-86735.95097536</v>
      </c>
      <c r="Q77" s="170" t="n">
        <f aca="false">-Q76*0.2</f>
        <v>-90059.71413504</v>
      </c>
      <c r="R77" s="170" t="n">
        <f aca="false">-R76*0.2</f>
        <v>-93383.47729472</v>
      </c>
      <c r="S77" s="170" t="n">
        <f aca="false">-S76*0.2</f>
        <v>-96707.2404544</v>
      </c>
      <c r="T77" s="170" t="n">
        <f aca="false">-T76*0.2</f>
        <v>-95081.46299008</v>
      </c>
      <c r="U77" s="170" t="n">
        <f aca="false">-U76*0.2</f>
        <v>-93455.68552576</v>
      </c>
      <c r="V77" s="170" t="n">
        <f aca="false">-V76*0.2</f>
        <v>-91829.9080614399</v>
      </c>
      <c r="W77" s="170" t="n">
        <f aca="false">-W76*0.2</f>
        <v>-90204.13059712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384675.9722368</v>
      </c>
      <c r="E78" s="170" t="n">
        <f aca="false">SUM(E76:E77)</f>
        <v>165810.22487552</v>
      </c>
      <c r="F78" s="170" t="n">
        <f aca="false">SUM(F76:F77)</f>
        <v>179105.27751424</v>
      </c>
      <c r="G78" s="170" t="n">
        <f aca="false">SUM(G76:G77)</f>
        <v>192400.33015296</v>
      </c>
      <c r="H78" s="170" t="n">
        <f aca="false">SUM(H76:H77)</f>
        <v>205695.38279168</v>
      </c>
      <c r="I78" s="170" t="n">
        <f aca="false">SUM(I76:I77)</f>
        <v>218990.4354304</v>
      </c>
      <c r="J78" s="170" t="n">
        <f aca="false">SUM(J76:J77)</f>
        <v>232285.48806912</v>
      </c>
      <c r="K78" s="170" t="n">
        <f aca="false">SUM(K76:K77)</f>
        <v>245580.54070784</v>
      </c>
      <c r="L78" s="170" t="n">
        <f aca="false">SUM(L76:L77)</f>
        <v>258875.59334656</v>
      </c>
      <c r="M78" s="170" t="n">
        <f aca="false">SUM(M76:M77)</f>
        <v>272170.64598528</v>
      </c>
      <c r="N78" s="170" t="n">
        <f aca="false">SUM(N76:N77)</f>
        <v>320353.698624</v>
      </c>
      <c r="O78" s="170" t="n">
        <f aca="false">SUM(O76:O77)</f>
        <v>333648.75126272</v>
      </c>
      <c r="P78" s="170" t="n">
        <f aca="false">SUM(P76:P77)</f>
        <v>346943.80390144</v>
      </c>
      <c r="Q78" s="170" t="n">
        <f aca="false">SUM(Q76:Q77)</f>
        <v>360238.85654016</v>
      </c>
      <c r="R78" s="170" t="n">
        <f aca="false">SUM(R76:R77)</f>
        <v>373533.90917888</v>
      </c>
      <c r="S78" s="170" t="n">
        <f aca="false">SUM(S76:S77)</f>
        <v>386828.9618176</v>
      </c>
      <c r="T78" s="170" t="n">
        <f aca="false">SUM(T76:T77)</f>
        <v>380325.85196032</v>
      </c>
      <c r="U78" s="170" t="n">
        <f aca="false">SUM(U76:U77)</f>
        <v>373822.74210304</v>
      </c>
      <c r="V78" s="170" t="n">
        <f aca="false">SUM(V76:V77)</f>
        <v>367319.63224576</v>
      </c>
      <c r="W78" s="170" t="n">
        <f aca="false">SUM(W76:W77)</f>
        <v>360816.52238848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384675.9722368</v>
      </c>
      <c r="E85" s="206" t="n">
        <f aca="false">E78</f>
        <v>165810.22487552</v>
      </c>
      <c r="F85" s="206" t="n">
        <f aca="false">F78</f>
        <v>179105.27751424</v>
      </c>
      <c r="G85" s="206" t="n">
        <f aca="false">G78</f>
        <v>192400.33015296</v>
      </c>
      <c r="H85" s="206" t="n">
        <f aca="false">H78</f>
        <v>205695.38279168</v>
      </c>
      <c r="I85" s="206" t="n">
        <f aca="false">I78</f>
        <v>218990.4354304</v>
      </c>
      <c r="J85" s="206" t="n">
        <f aca="false">J78</f>
        <v>232285.48806912</v>
      </c>
      <c r="K85" s="206" t="n">
        <f aca="false">K78</f>
        <v>245580.54070784</v>
      </c>
      <c r="L85" s="206" t="n">
        <f aca="false">L78</f>
        <v>258875.59334656</v>
      </c>
      <c r="M85" s="206" t="n">
        <f aca="false">M78</f>
        <v>272170.64598528</v>
      </c>
      <c r="N85" s="206" t="n">
        <f aca="false">N78</f>
        <v>320353.698624</v>
      </c>
      <c r="O85" s="206" t="n">
        <f aca="false">O78</f>
        <v>333648.75126272</v>
      </c>
      <c r="P85" s="206" t="n">
        <f aca="false">P78</f>
        <v>346943.80390144</v>
      </c>
      <c r="Q85" s="206" t="n">
        <f aca="false">Q78</f>
        <v>360238.85654016</v>
      </c>
      <c r="R85" s="206" t="n">
        <f aca="false">R78</f>
        <v>373533.90917888</v>
      </c>
      <c r="S85" s="206" t="n">
        <f aca="false">S78</f>
        <v>386828.9618176</v>
      </c>
      <c r="T85" s="206" t="n">
        <f aca="false">T78</f>
        <v>380325.85196032</v>
      </c>
      <c r="U85" s="206" t="n">
        <f aca="false">U78</f>
        <v>373822.74210304</v>
      </c>
      <c r="V85" s="206" t="n">
        <f aca="false">V78</f>
        <v>367319.63224576</v>
      </c>
      <c r="W85" s="206" t="n">
        <f aca="false">W78</f>
        <v>360816.52238848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906465</v>
      </c>
      <c r="E86" s="207" t="n">
        <f aca="false">-E67</f>
        <v>906465</v>
      </c>
      <c r="F86" s="207" t="n">
        <f aca="false">-F67</f>
        <v>906465</v>
      </c>
      <c r="G86" s="207" t="n">
        <f aca="false">-G67</f>
        <v>906465</v>
      </c>
      <c r="H86" s="207" t="n">
        <f aca="false">-H67</f>
        <v>906465</v>
      </c>
      <c r="I86" s="207" t="n">
        <f aca="false">-I67</f>
        <v>906465</v>
      </c>
      <c r="J86" s="207" t="n">
        <f aca="false">-J67</f>
        <v>906465</v>
      </c>
      <c r="K86" s="207" t="n">
        <f aca="false">-K67</f>
        <v>906465</v>
      </c>
      <c r="L86" s="207" t="n">
        <f aca="false">-L67</f>
        <v>906465</v>
      </c>
      <c r="M86" s="207" t="n">
        <f aca="false">-M67</f>
        <v>906465</v>
      </c>
      <c r="N86" s="207" t="n">
        <f aca="false">-N67</f>
        <v>906465</v>
      </c>
      <c r="O86" s="207" t="n">
        <f aca="false">-O67</f>
        <v>906465</v>
      </c>
      <c r="P86" s="207" t="n">
        <f aca="false">-P67</f>
        <v>906465</v>
      </c>
      <c r="Q86" s="207" t="n">
        <f aca="false">-Q67</f>
        <v>906465</v>
      </c>
      <c r="R86" s="207" t="n">
        <f aca="false">-R67</f>
        <v>906465</v>
      </c>
      <c r="S86" s="207" t="n">
        <f aca="false">-S67</f>
        <v>906465</v>
      </c>
      <c r="T86" s="207" t="n">
        <f aca="false">-T67</f>
        <v>906465</v>
      </c>
      <c r="U86" s="207" t="n">
        <f aca="false">-U67</f>
        <v>906465</v>
      </c>
      <c r="V86" s="207" t="n">
        <f aca="false">-V67</f>
        <v>906465</v>
      </c>
      <c r="W86" s="207" t="n">
        <f aca="false">-W67</f>
        <v>906465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1291140.9722368</v>
      </c>
      <c r="E87" s="209" t="n">
        <f aca="false">SUM(E85:E86)</f>
        <v>1072275.22487552</v>
      </c>
      <c r="F87" s="209" t="n">
        <f aca="false">SUM(F85:F86)</f>
        <v>1085570.27751424</v>
      </c>
      <c r="G87" s="209" t="n">
        <f aca="false">SUM(G85:G86)</f>
        <v>1098865.33015296</v>
      </c>
      <c r="H87" s="209" t="n">
        <f aca="false">SUM(H85:H86)</f>
        <v>1112160.38279168</v>
      </c>
      <c r="I87" s="209" t="n">
        <f aca="false">SUM(I85:I86)</f>
        <v>1125455.4354304</v>
      </c>
      <c r="J87" s="209" t="n">
        <f aca="false">SUM(J85:J86)</f>
        <v>1138750.48806912</v>
      </c>
      <c r="K87" s="209" t="n">
        <f aca="false">SUM(K85:K86)</f>
        <v>1152045.54070784</v>
      </c>
      <c r="L87" s="209" t="n">
        <f aca="false">SUM(L85:L86)</f>
        <v>1165340.59334656</v>
      </c>
      <c r="M87" s="209" t="n">
        <f aca="false">SUM(M85:M86)</f>
        <v>1178635.64598528</v>
      </c>
      <c r="N87" s="209" t="n">
        <f aca="false">SUM(N85:N86)</f>
        <v>1226818.698624</v>
      </c>
      <c r="O87" s="209" t="n">
        <f aca="false">SUM(O85:O86)</f>
        <v>1240113.75126272</v>
      </c>
      <c r="P87" s="209" t="n">
        <f aca="false">SUM(P85:P86)</f>
        <v>1253408.80390144</v>
      </c>
      <c r="Q87" s="209" t="n">
        <f aca="false">SUM(Q85:Q86)</f>
        <v>1266703.85654016</v>
      </c>
      <c r="R87" s="209" t="n">
        <f aca="false">SUM(R85:R86)</f>
        <v>1279998.90917888</v>
      </c>
      <c r="S87" s="209" t="n">
        <f aca="false">SUM(S85:S86)</f>
        <v>1293293.9618176</v>
      </c>
      <c r="T87" s="209" t="n">
        <f aca="false">SUM(T85:T86)</f>
        <v>1286790.85196032</v>
      </c>
      <c r="U87" s="209" t="n">
        <f aca="false">SUM(U85:U86)</f>
        <v>1280287.74210304</v>
      </c>
      <c r="V87" s="209" t="n">
        <f aca="false">SUM(V85:V86)</f>
        <v>1273784.63224576</v>
      </c>
      <c r="W87" s="209" t="n">
        <f aca="false">SUM(W85:W86)</f>
        <v>1267281.52238848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-18129300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14503440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-966896</v>
      </c>
      <c r="F93" s="215" t="n">
        <v>-966896</v>
      </c>
      <c r="G93" s="215" t="n">
        <v>-966896</v>
      </c>
      <c r="H93" s="215" t="n">
        <v>-966896</v>
      </c>
      <c r="I93" s="215" t="n">
        <v>-966896</v>
      </c>
      <c r="J93" s="215" t="n">
        <v>-966896</v>
      </c>
      <c r="K93" s="215" t="n">
        <v>-966896</v>
      </c>
      <c r="L93" s="215" t="n">
        <v>-966896</v>
      </c>
      <c r="M93" s="215" t="n">
        <v>-966896</v>
      </c>
      <c r="N93" s="215" t="n">
        <v>-966896</v>
      </c>
      <c r="O93" s="215" t="n">
        <v>-966896</v>
      </c>
      <c r="P93" s="215" t="n">
        <v>-966896</v>
      </c>
      <c r="Q93" s="215" t="n">
        <v>-966896</v>
      </c>
      <c r="R93" s="215" t="n">
        <v>-966896</v>
      </c>
      <c r="S93" s="215" t="n">
        <v>-966896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3625860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-346208.37501312</v>
      </c>
      <c r="F95" s="216" t="n">
        <f aca="false">-E85*$D$33</f>
        <v>-149229.202387968</v>
      </c>
      <c r="G95" s="216" t="n">
        <f aca="false">-F85*$D$33</f>
        <v>-161194.749762816</v>
      </c>
      <c r="H95" s="216" t="n">
        <f aca="false">-G85*$D$33</f>
        <v>-173160.297137664</v>
      </c>
      <c r="I95" s="216" t="n">
        <f aca="false">-H85*$D$33</f>
        <v>-185125.844512512</v>
      </c>
      <c r="J95" s="216" t="n">
        <f aca="false">-I85*$D$33</f>
        <v>-197091.39188736</v>
      </c>
      <c r="K95" s="216" t="n">
        <f aca="false">-J85*$D$33</f>
        <v>-209056.939262208</v>
      </c>
      <c r="L95" s="216" t="n">
        <f aca="false">-K85*$D$33</f>
        <v>-221022.486637056</v>
      </c>
      <c r="M95" s="216" t="n">
        <f aca="false">-L85*$D$33</f>
        <v>-232988.034011904</v>
      </c>
      <c r="N95" s="216" t="n">
        <f aca="false">-M85*$D$33</f>
        <v>-244953.581386752</v>
      </c>
      <c r="O95" s="216" t="n">
        <f aca="false">-N85*$D$33</f>
        <v>-288318.3287616</v>
      </c>
      <c r="P95" s="216" t="n">
        <f aca="false">-O85*$D$33</f>
        <v>-300283.876136448</v>
      </c>
      <c r="Q95" s="216" t="n">
        <f aca="false">-P85*$D$33</f>
        <v>-312249.423511296</v>
      </c>
      <c r="R95" s="216" t="n">
        <f aca="false">-Q85*$D$33</f>
        <v>-324214.970886144</v>
      </c>
      <c r="S95" s="216" t="n">
        <f aca="false">-R85*$D$33</f>
        <v>-336180.518260992</v>
      </c>
      <c r="T95" s="216" t="n">
        <f aca="false">-S85*$D$33</f>
        <v>-348146.06563584</v>
      </c>
      <c r="U95" s="216" t="n">
        <f aca="false">-T85*$D$33</f>
        <v>-342293.266764288</v>
      </c>
      <c r="V95" s="216" t="n">
        <f aca="false">-U85*$D$33</f>
        <v>-336440.467892736</v>
      </c>
      <c r="W95" s="216" t="n">
        <f aca="false">-V85*$D$33</f>
        <v>-330587.669021184</v>
      </c>
      <c r="X95" s="216" t="n">
        <f aca="false">-W85*$D$33</f>
        <v>-324734.870149632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-906465</v>
      </c>
      <c r="U96" s="219" t="n">
        <v>-906465</v>
      </c>
      <c r="V96" s="219" t="n">
        <v>-906465</v>
      </c>
      <c r="W96" s="219" t="n">
        <v>-906465</v>
      </c>
      <c r="X96" s="220" t="n">
        <f aca="false">-W101-X95</f>
        <v>-595942.262113279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1291140.9722368</v>
      </c>
      <c r="E99" s="206" t="n">
        <f aca="false">SUM(E87:E96)</f>
        <v>-240829.1501376</v>
      </c>
      <c r="F99" s="206" t="n">
        <f aca="false">SUM(F87:F96)</f>
        <v>-30554.9248737278</v>
      </c>
      <c r="G99" s="206" t="n">
        <f aca="false">SUM(G87:G96)</f>
        <v>-29225.419609856</v>
      </c>
      <c r="H99" s="206" t="n">
        <f aca="false">SUM(H87:H96)</f>
        <v>-27895.9143459842</v>
      </c>
      <c r="I99" s="206" t="n">
        <f aca="false">SUM(I87:I96)</f>
        <v>-26566.409082112</v>
      </c>
      <c r="J99" s="206" t="n">
        <f aca="false">SUM(J87:J96)</f>
        <v>-25236.9038182398</v>
      </c>
      <c r="K99" s="206" t="n">
        <f aca="false">SUM(K87:K96)</f>
        <v>-23907.3985543682</v>
      </c>
      <c r="L99" s="206" t="n">
        <f aca="false">SUM(L87:L96)</f>
        <v>-22577.893290496</v>
      </c>
      <c r="M99" s="206" t="n">
        <f aca="false">SUM(M87:M96)</f>
        <v>-21248.3880266239</v>
      </c>
      <c r="N99" s="206" t="n">
        <f aca="false">SUM(N87:N96)</f>
        <v>14969.1172372481</v>
      </c>
      <c r="O99" s="206" t="n">
        <f aca="false">SUM(O87:O96)</f>
        <v>-15100.5774988799</v>
      </c>
      <c r="P99" s="206" t="n">
        <f aca="false">SUM(P87:P96)</f>
        <v>-13771.0722350079</v>
      </c>
      <c r="Q99" s="206" t="n">
        <f aca="false">SUM(Q87:Q96)</f>
        <v>-12441.5669711361</v>
      </c>
      <c r="R99" s="206" t="n">
        <f aca="false">SUM(R87:R96)</f>
        <v>-11112.0617072639</v>
      </c>
      <c r="S99" s="206" t="n">
        <f aca="false">SUM(S87:S96)</f>
        <v>-9782.55644339212</v>
      </c>
      <c r="T99" s="206" t="n">
        <f aca="false">SUM(T87:T96)</f>
        <v>32179.7863244799</v>
      </c>
      <c r="U99" s="206" t="n">
        <f aca="false">SUM(U87:U96)</f>
        <v>31529.4753387522</v>
      </c>
      <c r="V99" s="206" t="n">
        <f aca="false">SUM(V87:V96)</f>
        <v>30879.1643530238</v>
      </c>
      <c r="W99" s="206" t="n">
        <f aca="false">SUM(W87:W96)</f>
        <v>30228.853367296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1291140.9722368</v>
      </c>
      <c r="F100" s="206" t="n">
        <f aca="false">E101</f>
        <v>1050311.8220992</v>
      </c>
      <c r="G100" s="206" t="n">
        <f aca="false">F101</f>
        <v>1019756.89722547</v>
      </c>
      <c r="H100" s="206" t="n">
        <f aca="false">G101</f>
        <v>990531.477615615</v>
      </c>
      <c r="I100" s="206" t="n">
        <f aca="false">H101</f>
        <v>962635.563269631</v>
      </c>
      <c r="J100" s="206" t="n">
        <f aca="false">I101</f>
        <v>936069.154187519</v>
      </c>
      <c r="K100" s="206" t="n">
        <f aca="false">J101</f>
        <v>910832.250369279</v>
      </c>
      <c r="L100" s="206" t="n">
        <f aca="false">K101</f>
        <v>886924.851814911</v>
      </c>
      <c r="M100" s="206" t="n">
        <f aca="false">L101</f>
        <v>864346.958524415</v>
      </c>
      <c r="N100" s="206" t="n">
        <f aca="false">M101</f>
        <v>843098.570497791</v>
      </c>
      <c r="O100" s="206" t="n">
        <f aca="false">N101</f>
        <v>858067.687735039</v>
      </c>
      <c r="P100" s="206" t="n">
        <f aca="false">O101</f>
        <v>842967.110236159</v>
      </c>
      <c r="Q100" s="206" t="n">
        <f aca="false">P101</f>
        <v>829196.038001151</v>
      </c>
      <c r="R100" s="206" t="n">
        <f aca="false">Q101</f>
        <v>816754.471030015</v>
      </c>
      <c r="S100" s="206" t="n">
        <f aca="false">R101</f>
        <v>805642.409322751</v>
      </c>
      <c r="T100" s="206" t="n">
        <f aca="false">S101</f>
        <v>795859.852879359</v>
      </c>
      <c r="U100" s="206" t="n">
        <f aca="false">T101</f>
        <v>828039.639203839</v>
      </c>
      <c r="V100" s="206" t="n">
        <f aca="false">U101</f>
        <v>859569.114542591</v>
      </c>
      <c r="W100" s="206" t="n">
        <f aca="false">V101</f>
        <v>890448.278895615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1291140.9722368</v>
      </c>
      <c r="E101" s="206" t="n">
        <f aca="false">E99+E100</f>
        <v>1050311.8220992</v>
      </c>
      <c r="F101" s="206" t="n">
        <f aca="false">F99+F100</f>
        <v>1019756.89722547</v>
      </c>
      <c r="G101" s="206" t="n">
        <f aca="false">G99+G100</f>
        <v>990531.477615615</v>
      </c>
      <c r="H101" s="206" t="n">
        <f aca="false">H99+H100</f>
        <v>962635.563269631</v>
      </c>
      <c r="I101" s="206" t="n">
        <f aca="false">I99+I100</f>
        <v>936069.154187519</v>
      </c>
      <c r="J101" s="206" t="n">
        <f aca="false">J99+J100</f>
        <v>910832.250369279</v>
      </c>
      <c r="K101" s="206" t="n">
        <f aca="false">K99+K100</f>
        <v>886924.851814911</v>
      </c>
      <c r="L101" s="206" t="n">
        <f aca="false">L99+L100</f>
        <v>864346.958524415</v>
      </c>
      <c r="M101" s="206" t="n">
        <f aca="false">M99+M100</f>
        <v>843098.570497791</v>
      </c>
      <c r="N101" s="206" t="n">
        <f aca="false">N99+N100</f>
        <v>858067.687735039</v>
      </c>
      <c r="O101" s="206" t="n">
        <f aca="false">O99+O100</f>
        <v>842967.110236159</v>
      </c>
      <c r="P101" s="206" t="n">
        <f aca="false">P99+P100</f>
        <v>829196.038001151</v>
      </c>
      <c r="Q101" s="206" t="n">
        <f aca="false">Q99+Q100</f>
        <v>816754.471030015</v>
      </c>
      <c r="R101" s="206" t="n">
        <f aca="false">R99+R100</f>
        <v>805642.409322751</v>
      </c>
      <c r="S101" s="206" t="n">
        <f aca="false">S99+S100</f>
        <v>795859.852879359</v>
      </c>
      <c r="T101" s="206" t="n">
        <f aca="false">T99+T100</f>
        <v>828039.639203839</v>
      </c>
      <c r="U101" s="206" t="n">
        <f aca="false">U99+U100</f>
        <v>859569.114542591</v>
      </c>
      <c r="V101" s="206" t="n">
        <f aca="false">V99+V100</f>
        <v>890448.278895615</v>
      </c>
      <c r="W101" s="206" t="n">
        <f aca="false">W99+W100</f>
        <v>920677.132262911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-3625860</v>
      </c>
      <c r="E104" s="209" t="n">
        <f aca="false">-E95-E96</f>
        <v>346208.37501312</v>
      </c>
      <c r="F104" s="209" t="n">
        <f aca="false">-F95-F96</f>
        <v>149229.202387968</v>
      </c>
      <c r="G104" s="209" t="n">
        <f aca="false">-G95-G96</f>
        <v>161194.749762816</v>
      </c>
      <c r="H104" s="209" t="n">
        <f aca="false">-H95-H96</f>
        <v>173160.297137664</v>
      </c>
      <c r="I104" s="209" t="n">
        <f aca="false">-I95-I96</f>
        <v>185125.844512512</v>
      </c>
      <c r="J104" s="209" t="n">
        <f aca="false">-J95-J96</f>
        <v>197091.39188736</v>
      </c>
      <c r="K104" s="209" t="n">
        <f aca="false">-K95-K96</f>
        <v>209056.939262208</v>
      </c>
      <c r="L104" s="209" t="n">
        <f aca="false">-L95-L96</f>
        <v>221022.486637056</v>
      </c>
      <c r="M104" s="209" t="n">
        <f aca="false">-M95-M96</f>
        <v>232988.034011904</v>
      </c>
      <c r="N104" s="209" t="n">
        <f aca="false">-N95-N96</f>
        <v>244953.581386752</v>
      </c>
      <c r="O104" s="209" t="n">
        <f aca="false">-O95-O96</f>
        <v>288318.3287616</v>
      </c>
      <c r="P104" s="209" t="n">
        <f aca="false">-P95-P96</f>
        <v>300283.876136448</v>
      </c>
      <c r="Q104" s="209" t="n">
        <f aca="false">-Q95-Q96</f>
        <v>312249.423511296</v>
      </c>
      <c r="R104" s="209" t="n">
        <f aca="false">-R95-R96</f>
        <v>324214.970886144</v>
      </c>
      <c r="S104" s="209" t="n">
        <f aca="false">-S95-S96</f>
        <v>336180.518260992</v>
      </c>
      <c r="T104" s="209" t="n">
        <f aca="false">-T95-T96</f>
        <v>1254611.06563584</v>
      </c>
      <c r="U104" s="209" t="n">
        <f aca="false">-U95-U96</f>
        <v>1248758.26676429</v>
      </c>
      <c r="V104" s="209" t="n">
        <f aca="false">-V95-V96</f>
        <v>1242905.46789274</v>
      </c>
      <c r="W104" s="209" t="n">
        <f aca="false">-W95-W96</f>
        <v>1237052.66902118</v>
      </c>
      <c r="X104" s="209" t="n">
        <f aca="false">-X95-X96</f>
        <v>920677.132262911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0.076710628418068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-3241184.0277632</v>
      </c>
      <c r="E106" s="209" t="n">
        <f aca="false">E85</f>
        <v>165810.22487552</v>
      </c>
      <c r="F106" s="209" t="n">
        <f aca="false">F85-F96</f>
        <v>179105.27751424</v>
      </c>
      <c r="G106" s="209" t="n">
        <f aca="false">G85-G96</f>
        <v>192400.33015296</v>
      </c>
      <c r="H106" s="209" t="n">
        <f aca="false">H85-H96</f>
        <v>205695.38279168</v>
      </c>
      <c r="I106" s="209" t="n">
        <f aca="false">I85-I96</f>
        <v>218990.4354304</v>
      </c>
      <c r="J106" s="209" t="n">
        <f aca="false">J85-J96</f>
        <v>232285.48806912</v>
      </c>
      <c r="K106" s="209" t="n">
        <f aca="false">K85-K96</f>
        <v>245580.54070784</v>
      </c>
      <c r="L106" s="209" t="n">
        <f aca="false">L85-L96</f>
        <v>258875.59334656</v>
      </c>
      <c r="M106" s="209" t="n">
        <f aca="false">M85-M96</f>
        <v>272170.64598528</v>
      </c>
      <c r="N106" s="209" t="n">
        <f aca="false">N85-N96</f>
        <v>320353.698624</v>
      </c>
      <c r="O106" s="209" t="n">
        <f aca="false">O85-O96</f>
        <v>333648.75126272</v>
      </c>
      <c r="P106" s="209" t="n">
        <f aca="false">P85-P96</f>
        <v>346943.80390144</v>
      </c>
      <c r="Q106" s="209" t="n">
        <f aca="false">Q85-Q96</f>
        <v>360238.85654016</v>
      </c>
      <c r="R106" s="209" t="n">
        <f aca="false">R85-R96</f>
        <v>373533.90917888</v>
      </c>
      <c r="S106" s="209" t="n">
        <f aca="false">S85-S96</f>
        <v>386828.9618176</v>
      </c>
      <c r="T106" s="209" t="n">
        <f aca="false">T85-T96</f>
        <v>1286790.85196032</v>
      </c>
      <c r="U106" s="209" t="n">
        <f aca="false">U85-U96</f>
        <v>1280287.74210304</v>
      </c>
      <c r="V106" s="209" t="n">
        <f aca="false">V85-V96</f>
        <v>1273784.63224576</v>
      </c>
      <c r="W106" s="209" t="n">
        <f aca="false">W85-W96</f>
        <v>1267281.52238848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0.0865273696647347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14503440</v>
      </c>
      <c r="E109" s="206" t="n">
        <f aca="false">D109+E93</f>
        <v>13536544</v>
      </c>
      <c r="F109" s="206" t="n">
        <f aca="false">E109+F93</f>
        <v>12569648</v>
      </c>
      <c r="G109" s="206" t="n">
        <f aca="false">F109+G93</f>
        <v>11602752</v>
      </c>
      <c r="H109" s="206" t="n">
        <f aca="false">G109+H93</f>
        <v>10635856</v>
      </c>
      <c r="I109" s="206" t="n">
        <f aca="false">H109+I93</f>
        <v>9668960</v>
      </c>
      <c r="J109" s="206" t="n">
        <f aca="false">I109+J93</f>
        <v>8702064</v>
      </c>
      <c r="K109" s="206" t="n">
        <f aca="false">J109+K93</f>
        <v>7735168</v>
      </c>
      <c r="L109" s="206" t="n">
        <f aca="false">K109+L93</f>
        <v>6768272</v>
      </c>
      <c r="M109" s="206" t="n">
        <f aca="false">L109+M93</f>
        <v>5801376</v>
      </c>
      <c r="N109" s="206" t="n">
        <f aca="false">M109+N93</f>
        <v>4834480</v>
      </c>
      <c r="O109" s="206" t="n">
        <f aca="false">N109+O93</f>
        <v>3867584</v>
      </c>
      <c r="P109" s="206" t="n">
        <f aca="false">O109+P93</f>
        <v>2900688</v>
      </c>
      <c r="Q109" s="206" t="n">
        <f aca="false">P109+Q93</f>
        <v>1933792</v>
      </c>
      <c r="R109" s="206" t="n">
        <f aca="false">Q109+R93</f>
        <v>966896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97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-16883300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-32707.5</v>
      </c>
      <c r="E49" s="170" t="n">
        <v>-32707.5</v>
      </c>
      <c r="F49" s="170" t="n">
        <v>-32707.5</v>
      </c>
      <c r="G49" s="170" t="n">
        <v>-32707.5</v>
      </c>
      <c r="H49" s="170" t="n">
        <v>-32707.5</v>
      </c>
      <c r="I49" s="170" t="n">
        <v>-32707.5</v>
      </c>
      <c r="J49" s="170" t="n">
        <v>-32707.5</v>
      </c>
      <c r="K49" s="170" t="n">
        <v>-32707.5</v>
      </c>
      <c r="L49" s="170" t="n">
        <v>-32707.5</v>
      </c>
      <c r="M49" s="170" t="n">
        <v>-32707.5</v>
      </c>
      <c r="N49" s="170" t="n">
        <v>-32707.5</v>
      </c>
      <c r="O49" s="170" t="n">
        <v>-32707.5</v>
      </c>
      <c r="P49" s="170" t="n">
        <v>-32707.5</v>
      </c>
      <c r="Q49" s="170" t="n">
        <v>-32707.5</v>
      </c>
      <c r="R49" s="170" t="n">
        <v>-32707.5</v>
      </c>
      <c r="S49" s="170" t="n">
        <v>-32707.5</v>
      </c>
      <c r="T49" s="170" t="n">
        <v>-32707.5</v>
      </c>
      <c r="U49" s="170" t="n">
        <v>-32707.5</v>
      </c>
      <c r="V49" s="170" t="n">
        <v>-32707.5</v>
      </c>
      <c r="W49" s="170" t="n">
        <v>-32707.5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-183395.4224192</v>
      </c>
      <c r="E54" s="170" t="n">
        <f aca="false">-(E64+E67+E68+E71+E72+E73+E74)*0.2</f>
        <v>-123729.44495488</v>
      </c>
      <c r="F54" s="170" t="n">
        <f aca="false">-(F64+F67+F68+F71+F72+F73+F74)*0.2</f>
        <v>-122103.66749056</v>
      </c>
      <c r="G54" s="170" t="n">
        <f aca="false">-(G64+G67+G68+G71+G72+G73+G74)*0.2</f>
        <v>-120477.89002624</v>
      </c>
      <c r="H54" s="170" t="n">
        <f aca="false">-(H64+H67+H68+H71+H72+H73+H74)*0.2</f>
        <v>-118852.11256192</v>
      </c>
      <c r="I54" s="170" t="n">
        <f aca="false">-(I64+I67+I68+I71+I72+I73+I74)*0.2</f>
        <v>-117226.3350976</v>
      </c>
      <c r="J54" s="170" t="n">
        <f aca="false">-(J64+J67+J68+J71+J72+J73+J74)*0.2</f>
        <v>-115600.55763328</v>
      </c>
      <c r="K54" s="170" t="n">
        <f aca="false">-(K64+K67+K68+K71+K72+K73+K74)*0.2</f>
        <v>-113974.78016896</v>
      </c>
      <c r="L54" s="170" t="n">
        <f aca="false">-(L64+L67+L68+L71+L72+L73+L74)*0.2</f>
        <v>-112349.00270464</v>
      </c>
      <c r="M54" s="170" t="n">
        <f aca="false">-(M64+M67+M68+M71+M72+M73+M74)*0.2</f>
        <v>-110723.22524032</v>
      </c>
      <c r="N54" s="170" t="n">
        <f aca="false">-(N64+N67+N68+N71+N72+N73+N74)*0.2</f>
        <v>-117819.447776</v>
      </c>
      <c r="O54" s="170" t="n">
        <f aca="false">-(O64+O67+O68+O71+O72+O73+O74)*0.2</f>
        <v>-116193.67031168</v>
      </c>
      <c r="P54" s="170" t="n">
        <f aca="false">-(P64+P67+P68+P71+P72+P73+P74)*0.2</f>
        <v>-114567.89284736</v>
      </c>
      <c r="Q54" s="170" t="n">
        <f aca="false">-(Q64+Q67+Q68+Q71+Q72+Q73+Q74)*0.2</f>
        <v>-112942.11538304</v>
      </c>
      <c r="R54" s="170" t="n">
        <f aca="false">-(R64+R67+R68+R71+R72+R73+R74)*0.2</f>
        <v>-111316.33791872</v>
      </c>
      <c r="S54" s="170" t="n">
        <f aca="false">-(S64+S67+S68+S71+S72+S73+S74)*0.2</f>
        <v>-109690.5604544</v>
      </c>
      <c r="T54" s="170" t="n">
        <f aca="false">-(T64+T67+T68+T71+T72+T73+T74)*0.2</f>
        <v>-108064.78299008</v>
      </c>
      <c r="U54" s="170" t="n">
        <f aca="false">-(U64+U67+U68+U71+U72+U73+U74)*0.2</f>
        <v>-106439.00552576</v>
      </c>
      <c r="V54" s="170" t="n">
        <f aca="false">-(V64+V67+V68+V71+V72+V73+V74)*0.2</f>
        <v>-104813.22806144</v>
      </c>
      <c r="W54" s="170" t="n">
        <f aca="false">-(W64+W67+W68+W71+W72+W73+W74)*0.2</f>
        <v>-103187.45059712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-16883300</v>
      </c>
      <c r="D55" s="175" t="n">
        <f aca="false">SUM(D41:D54)</f>
        <v>1577746.6896768</v>
      </c>
      <c r="E55" s="175" t="n">
        <f aca="false">SUM(E41:E54)</f>
        <v>1339082.77981952</v>
      </c>
      <c r="F55" s="175" t="n">
        <f aca="false">SUM(F41:F54)</f>
        <v>1332579.66996224</v>
      </c>
      <c r="G55" s="175" t="n">
        <f aca="false">SUM(G41:G54)</f>
        <v>1326076.56010496</v>
      </c>
      <c r="H55" s="175" t="n">
        <f aca="false">SUM(H41:H54)</f>
        <v>1319573.45024768</v>
      </c>
      <c r="I55" s="175" t="n">
        <f aca="false">SUM(I41:I54)</f>
        <v>1313070.3403904</v>
      </c>
      <c r="J55" s="175" t="n">
        <f aca="false">SUM(J41:J54)</f>
        <v>1306567.23053312</v>
      </c>
      <c r="K55" s="175" t="n">
        <f aca="false">SUM(K41:K54)</f>
        <v>1300064.12067584</v>
      </c>
      <c r="L55" s="175" t="n">
        <f aca="false">SUM(L41:L54)</f>
        <v>1293561.01081856</v>
      </c>
      <c r="M55" s="175" t="n">
        <f aca="false">SUM(M41:M54)</f>
        <v>1287057.90096128</v>
      </c>
      <c r="N55" s="175" t="n">
        <f aca="false">SUM(N41:N54)</f>
        <v>1315442.791104</v>
      </c>
      <c r="O55" s="175" t="n">
        <f aca="false">SUM(O41:O54)</f>
        <v>1308939.68124672</v>
      </c>
      <c r="P55" s="175" t="n">
        <f aca="false">SUM(P41:P54)</f>
        <v>1302436.57138944</v>
      </c>
      <c r="Q55" s="175" t="n">
        <f aca="false">SUM(Q41:Q54)</f>
        <v>1295933.46153216</v>
      </c>
      <c r="R55" s="175" t="n">
        <f aca="false">SUM(R41:R54)</f>
        <v>1289430.35167488</v>
      </c>
      <c r="S55" s="175" t="n">
        <f aca="false">SUM(S41:S54)</f>
        <v>1282927.2418176</v>
      </c>
      <c r="T55" s="175" t="n">
        <f aca="false">SUM(T41:T54)</f>
        <v>1276424.13196032</v>
      </c>
      <c r="U55" s="175" t="n">
        <f aca="false">SUM(U41:U54)</f>
        <v>1269921.02210304</v>
      </c>
      <c r="V55" s="175" t="n">
        <f aca="false">SUM(V41:V54)</f>
        <v>1263417.91224576</v>
      </c>
      <c r="W55" s="175" t="n">
        <f aca="false">SUM(W41:W54)</f>
        <v>1256914.80238848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-15305553.3103232</v>
      </c>
      <c r="E56" s="180" t="n">
        <f aca="false">D56+E55</f>
        <v>-13966470.5305037</v>
      </c>
      <c r="F56" s="180" t="n">
        <f aca="false">E56+F55</f>
        <v>-12633890.8605414</v>
      </c>
      <c r="G56" s="180" t="n">
        <f aca="false">F56+G55</f>
        <v>-11307814.3004365</v>
      </c>
      <c r="H56" s="180" t="n">
        <f aca="false">G56+H55</f>
        <v>-9988240.8501888</v>
      </c>
      <c r="I56" s="180" t="n">
        <f aca="false">H56+I55</f>
        <v>-8675170.5097984</v>
      </c>
      <c r="J56" s="180" t="n">
        <f aca="false">I56+J55</f>
        <v>-7368603.27926528</v>
      </c>
      <c r="K56" s="180" t="n">
        <f aca="false">J56+K55</f>
        <v>-6068539.15858944</v>
      </c>
      <c r="L56" s="180" t="n">
        <f aca="false">K56+L55</f>
        <v>-4774978.14777088</v>
      </c>
      <c r="M56" s="180" t="n">
        <f aca="false">L56+M55</f>
        <v>-3487920.2468096</v>
      </c>
      <c r="N56" s="180" t="n">
        <f aca="false">M56+N55</f>
        <v>-2172477.4557056</v>
      </c>
      <c r="O56" s="180" t="n">
        <f aca="false">N56+O55</f>
        <v>-863537.774458884</v>
      </c>
      <c r="P56" s="180" t="n">
        <f aca="false">O56+P55</f>
        <v>438898.796930556</v>
      </c>
      <c r="Q56" s="180" t="n">
        <f aca="false">P56+Q55</f>
        <v>1734832.25846272</v>
      </c>
      <c r="R56" s="180" t="n">
        <f aca="false">Q56+R55</f>
        <v>3024262.6101376</v>
      </c>
      <c r="S56" s="180" t="n">
        <f aca="false">R56+S55</f>
        <v>4307189.8519552</v>
      </c>
      <c r="T56" s="180" t="n">
        <f aca="false">S56+T55</f>
        <v>5583613.98391552</v>
      </c>
      <c r="U56" s="180" t="n">
        <f aca="false">T56+U55</f>
        <v>6853535.00601856</v>
      </c>
      <c r="V56" s="180" t="n">
        <f aca="false">U56+V55</f>
        <v>8116952.91826431</v>
      </c>
      <c r="W56" s="180" t="n">
        <f aca="false">V56+W55</f>
        <v>9373867.72065279</v>
      </c>
      <c r="X56" s="180" t="n">
        <f aca="false">W56+X55</f>
        <v>9373867.72065279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0.0473546724830052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-844165</v>
      </c>
      <c r="E67" s="191" t="n">
        <f aca="false">$C$44/$E$16</f>
        <v>-844165</v>
      </c>
      <c r="F67" s="191" t="n">
        <f aca="false">$C$44/$E$16</f>
        <v>-844165</v>
      </c>
      <c r="G67" s="191" t="n">
        <f aca="false">$C$44/$E$16</f>
        <v>-844165</v>
      </c>
      <c r="H67" s="191" t="n">
        <f aca="false">$C$44/$E$16</f>
        <v>-844165</v>
      </c>
      <c r="I67" s="191" t="n">
        <f aca="false">$C$44/$E$16</f>
        <v>-844165</v>
      </c>
      <c r="J67" s="191" t="n">
        <f aca="false">$C$44/$E$16</f>
        <v>-844165</v>
      </c>
      <c r="K67" s="191" t="n">
        <f aca="false">$C$44/$E$16</f>
        <v>-844165</v>
      </c>
      <c r="L67" s="191" t="n">
        <f aca="false">$C$44/$E$16</f>
        <v>-844165</v>
      </c>
      <c r="M67" s="191" t="n">
        <f aca="false">$C$44/$E$16</f>
        <v>-844165</v>
      </c>
      <c r="N67" s="191" t="n">
        <f aca="false">$C$44/$E$16</f>
        <v>-844165</v>
      </c>
      <c r="O67" s="191" t="n">
        <f aca="false">$C$44/$E$16</f>
        <v>-844165</v>
      </c>
      <c r="P67" s="191" t="n">
        <f aca="false">$C$44/$E$16</f>
        <v>-844165</v>
      </c>
      <c r="Q67" s="191" t="n">
        <f aca="false">$C$44/$E$16</f>
        <v>-844165</v>
      </c>
      <c r="R67" s="191" t="n">
        <f aca="false">$C$44/$E$16</f>
        <v>-844165</v>
      </c>
      <c r="S67" s="191" t="n">
        <f aca="false">$C$44/$E$16</f>
        <v>-844165</v>
      </c>
      <c r="T67" s="191" t="n">
        <f aca="false">$C$44/$E$16</f>
        <v>-844165</v>
      </c>
      <c r="U67" s="191" t="n">
        <f aca="false">$C$44/$E$16</f>
        <v>-844165</v>
      </c>
      <c r="V67" s="191" t="n">
        <f aca="false">$C$44/$E$16</f>
        <v>-844165</v>
      </c>
      <c r="W67" s="191" t="n">
        <f aca="false">$C$44/$E$16</f>
        <v>-844165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-345702.4508</v>
      </c>
      <c r="E70" s="170" t="n">
        <f aca="false">-E109*$D25</f>
        <v>-322655.620746667</v>
      </c>
      <c r="F70" s="170" t="n">
        <f aca="false">-F109*$D25</f>
        <v>-299608.790693333</v>
      </c>
      <c r="G70" s="170" t="n">
        <f aca="false">-G109*$D25</f>
        <v>-276561.96064</v>
      </c>
      <c r="H70" s="170" t="n">
        <f aca="false">-H109*$D25</f>
        <v>-253515.130586667</v>
      </c>
      <c r="I70" s="170" t="n">
        <f aca="false">-I109*$D25</f>
        <v>-230468.300533334</v>
      </c>
      <c r="J70" s="170" t="n">
        <f aca="false">-J109*$D25</f>
        <v>-207421.47048</v>
      </c>
      <c r="K70" s="170" t="n">
        <f aca="false">-K109*$D25</f>
        <v>-184374.640426667</v>
      </c>
      <c r="L70" s="170" t="n">
        <f aca="false">-L109*$D25</f>
        <v>-161327.810373334</v>
      </c>
      <c r="M70" s="170" t="n">
        <f aca="false">-M109*$D25</f>
        <v>-138280.98032</v>
      </c>
      <c r="N70" s="170" t="n">
        <f aca="false">-N109*$D25</f>
        <v>-115234.150266667</v>
      </c>
      <c r="O70" s="170" t="n">
        <f aca="false">-O109*$D25</f>
        <v>-92187.3202133335</v>
      </c>
      <c r="P70" s="170" t="n">
        <f aca="false">-P109*$D25</f>
        <v>-69140.4901600002</v>
      </c>
      <c r="Q70" s="170" t="n">
        <f aca="false">-Q109*$D25</f>
        <v>-46093.6601066668</v>
      </c>
      <c r="R70" s="170" t="n">
        <f aca="false">-R109*$D25</f>
        <v>-23046.8300533335</v>
      </c>
      <c r="S70" s="170" t="n">
        <f aca="false">-S109*$D25</f>
        <v>-1.4898250810802E-010</v>
      </c>
      <c r="T70" s="170" t="n">
        <f aca="false">-T109*$D25</f>
        <v>-1.4898250810802E-010</v>
      </c>
      <c r="U70" s="170" t="n">
        <f aca="false">-U109*$D25</f>
        <v>-1.4898250810802E-010</v>
      </c>
      <c r="V70" s="170" t="n">
        <f aca="false">-V109*$D25</f>
        <v>-1.4898250810802E-010</v>
      </c>
      <c r="W70" s="170" t="n">
        <f aca="false">-W109*$D25</f>
        <v>-1.4898250810802E-010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-32707.5</v>
      </c>
      <c r="E72" s="170" t="n">
        <f aca="false">E49</f>
        <v>-32707.5</v>
      </c>
      <c r="F72" s="170" t="n">
        <f aca="false">F49</f>
        <v>-32707.5</v>
      </c>
      <c r="G72" s="170" t="n">
        <f aca="false">G49</f>
        <v>-32707.5</v>
      </c>
      <c r="H72" s="170" t="n">
        <f aca="false">H49</f>
        <v>-32707.5</v>
      </c>
      <c r="I72" s="170" t="n">
        <f aca="false">I49</f>
        <v>-32707.5</v>
      </c>
      <c r="J72" s="170" t="n">
        <f aca="false">J49</f>
        <v>-32707.5</v>
      </c>
      <c r="K72" s="170" t="n">
        <f aca="false">K49</f>
        <v>-32707.5</v>
      </c>
      <c r="L72" s="170" t="n">
        <f aca="false">L49</f>
        <v>-32707.5</v>
      </c>
      <c r="M72" s="170" t="n">
        <f aca="false">M49</f>
        <v>-32707.5</v>
      </c>
      <c r="N72" s="170" t="n">
        <f aca="false">N49</f>
        <v>-32707.5</v>
      </c>
      <c r="O72" s="170" t="n">
        <f aca="false">O49</f>
        <v>-32707.5</v>
      </c>
      <c r="P72" s="170" t="n">
        <f aca="false">P49</f>
        <v>-32707.5</v>
      </c>
      <c r="Q72" s="170" t="n">
        <f aca="false">Q49</f>
        <v>-32707.5</v>
      </c>
      <c r="R72" s="170" t="n">
        <f aca="false">R49</f>
        <v>-32707.5</v>
      </c>
      <c r="S72" s="170" t="n">
        <f aca="false">S49</f>
        <v>-32707.5</v>
      </c>
      <c r="T72" s="170" t="n">
        <f aca="false">T49</f>
        <v>-32707.5</v>
      </c>
      <c r="U72" s="170" t="n">
        <f aca="false">U49</f>
        <v>-32707.5</v>
      </c>
      <c r="V72" s="170" t="n">
        <f aca="false">V49</f>
        <v>-32707.5</v>
      </c>
      <c r="W72" s="170" t="n">
        <f aca="false">W49</f>
        <v>-32707.5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571274.661295999</v>
      </c>
      <c r="E76" s="175" t="n">
        <f aca="false">SUM(E64:E75)</f>
        <v>295991.604027733</v>
      </c>
      <c r="F76" s="175" t="n">
        <f aca="false">SUM(F64:F75)</f>
        <v>310909.546759466</v>
      </c>
      <c r="G76" s="175" t="n">
        <f aca="false">SUM(G64:G75)</f>
        <v>325827.4894912</v>
      </c>
      <c r="H76" s="175" t="n">
        <f aca="false">SUM(H64:H75)</f>
        <v>340745.432222933</v>
      </c>
      <c r="I76" s="175" t="n">
        <f aca="false">SUM(I64:I75)</f>
        <v>355663.374954666</v>
      </c>
      <c r="J76" s="175" t="n">
        <f aca="false">SUM(J64:J75)</f>
        <v>370581.3176864</v>
      </c>
      <c r="K76" s="175" t="n">
        <f aca="false">SUM(K64:K75)</f>
        <v>385499.260418133</v>
      </c>
      <c r="L76" s="175" t="n">
        <f aca="false">SUM(L64:L75)</f>
        <v>400417.203149866</v>
      </c>
      <c r="M76" s="175" t="n">
        <f aca="false">SUM(M64:M75)</f>
        <v>415335.145881599</v>
      </c>
      <c r="N76" s="175" t="n">
        <f aca="false">SUM(N64:N75)</f>
        <v>473863.088613333</v>
      </c>
      <c r="O76" s="175" t="n">
        <f aca="false">SUM(O64:O75)</f>
        <v>488781.031345066</v>
      </c>
      <c r="P76" s="175" t="n">
        <f aca="false">SUM(P64:P75)</f>
        <v>503698.974076799</v>
      </c>
      <c r="Q76" s="175" t="n">
        <f aca="false">SUM(Q64:Q75)</f>
        <v>518616.916808533</v>
      </c>
      <c r="R76" s="175" t="n">
        <f aca="false">SUM(R64:R75)</f>
        <v>533534.859540266</v>
      </c>
      <c r="S76" s="175" t="n">
        <f aca="false">SUM(S64:S75)</f>
        <v>548452.802272</v>
      </c>
      <c r="T76" s="175" t="n">
        <f aca="false">SUM(T64:T75)</f>
        <v>540323.914950399</v>
      </c>
      <c r="U76" s="175" t="n">
        <f aca="false">SUM(U64:U75)</f>
        <v>532195.0276288</v>
      </c>
      <c r="V76" s="175" t="n">
        <f aca="false">SUM(V64:V75)</f>
        <v>524066.140307199</v>
      </c>
      <c r="W76" s="175" t="n">
        <f aca="false">SUM(W64:W75)</f>
        <v>515937.2529856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-114254.9322592</v>
      </c>
      <c r="E77" s="170" t="n">
        <f aca="false">-E76*0.2</f>
        <v>-59198.3208055466</v>
      </c>
      <c r="F77" s="170" t="n">
        <f aca="false">-F76*0.2</f>
        <v>-62181.9093518933</v>
      </c>
      <c r="G77" s="170" t="n">
        <f aca="false">-G76*0.2</f>
        <v>-65165.4978982399</v>
      </c>
      <c r="H77" s="170" t="n">
        <f aca="false">-H76*0.2</f>
        <v>-68149.0864445866</v>
      </c>
      <c r="I77" s="170" t="n">
        <f aca="false">-I76*0.2</f>
        <v>-71132.6749909332</v>
      </c>
      <c r="J77" s="170" t="n">
        <f aca="false">-J76*0.2</f>
        <v>-74116.2635372799</v>
      </c>
      <c r="K77" s="170" t="n">
        <f aca="false">-K76*0.2</f>
        <v>-77099.8520836266</v>
      </c>
      <c r="L77" s="170" t="n">
        <f aca="false">-L76*0.2</f>
        <v>-80083.4406299732</v>
      </c>
      <c r="M77" s="170" t="n">
        <f aca="false">-M76*0.2</f>
        <v>-83067.0291763199</v>
      </c>
      <c r="N77" s="170" t="n">
        <f aca="false">-N76*0.2</f>
        <v>-94772.6177226666</v>
      </c>
      <c r="O77" s="170" t="n">
        <f aca="false">-O76*0.2</f>
        <v>-97756.2062690132</v>
      </c>
      <c r="P77" s="170" t="n">
        <f aca="false">-P76*0.2</f>
        <v>-100739.79481536</v>
      </c>
      <c r="Q77" s="170" t="n">
        <f aca="false">-Q76*0.2</f>
        <v>-103723.383361707</v>
      </c>
      <c r="R77" s="170" t="n">
        <f aca="false">-R76*0.2</f>
        <v>-106706.971908053</v>
      </c>
      <c r="S77" s="170" t="n">
        <f aca="false">-S76*0.2</f>
        <v>-109690.5604544</v>
      </c>
      <c r="T77" s="170" t="n">
        <f aca="false">-T76*0.2</f>
        <v>-108064.78299008</v>
      </c>
      <c r="U77" s="170" t="n">
        <f aca="false">-U76*0.2</f>
        <v>-106439.00552576</v>
      </c>
      <c r="V77" s="170" t="n">
        <f aca="false">-V76*0.2</f>
        <v>-104813.22806144</v>
      </c>
      <c r="W77" s="170" t="n">
        <f aca="false">-W76*0.2</f>
        <v>-103187.45059712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457019.7290368</v>
      </c>
      <c r="E78" s="170" t="n">
        <f aca="false">SUM(E76:E77)</f>
        <v>236793.283222186</v>
      </c>
      <c r="F78" s="170" t="n">
        <f aca="false">SUM(F76:F77)</f>
        <v>248727.637407573</v>
      </c>
      <c r="G78" s="170" t="n">
        <f aca="false">SUM(G76:G77)</f>
        <v>260661.99159296</v>
      </c>
      <c r="H78" s="170" t="n">
        <f aca="false">SUM(H76:H77)</f>
        <v>272596.345778346</v>
      </c>
      <c r="I78" s="170" t="n">
        <f aca="false">SUM(I76:I77)</f>
        <v>284530.699963733</v>
      </c>
      <c r="J78" s="170" t="n">
        <f aca="false">SUM(J76:J77)</f>
        <v>296465.05414912</v>
      </c>
      <c r="K78" s="170" t="n">
        <f aca="false">SUM(K76:K77)</f>
        <v>308399.408334506</v>
      </c>
      <c r="L78" s="170" t="n">
        <f aca="false">SUM(L76:L77)</f>
        <v>320333.762519893</v>
      </c>
      <c r="M78" s="170" t="n">
        <f aca="false">SUM(M76:M77)</f>
        <v>332268.11670528</v>
      </c>
      <c r="N78" s="170" t="n">
        <f aca="false">SUM(N76:N77)</f>
        <v>379090.470890666</v>
      </c>
      <c r="O78" s="170" t="n">
        <f aca="false">SUM(O76:O77)</f>
        <v>391024.825076053</v>
      </c>
      <c r="P78" s="170" t="n">
        <f aca="false">SUM(P76:P77)</f>
        <v>402959.17926144</v>
      </c>
      <c r="Q78" s="170" t="n">
        <f aca="false">SUM(Q76:Q77)</f>
        <v>414893.533446826</v>
      </c>
      <c r="R78" s="170" t="n">
        <f aca="false">SUM(R76:R77)</f>
        <v>426827.887632213</v>
      </c>
      <c r="S78" s="170" t="n">
        <f aca="false">SUM(S76:S77)</f>
        <v>438762.2418176</v>
      </c>
      <c r="T78" s="170" t="n">
        <f aca="false">SUM(T76:T77)</f>
        <v>432259.13196032</v>
      </c>
      <c r="U78" s="170" t="n">
        <f aca="false">SUM(U76:U77)</f>
        <v>425756.02210304</v>
      </c>
      <c r="V78" s="170" t="n">
        <f aca="false">SUM(V76:V77)</f>
        <v>419252.912245759</v>
      </c>
      <c r="W78" s="170" t="n">
        <f aca="false">SUM(W76:W77)</f>
        <v>412749.80238848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457019.7290368</v>
      </c>
      <c r="E85" s="206" t="n">
        <f aca="false">E78</f>
        <v>236793.283222186</v>
      </c>
      <c r="F85" s="206" t="n">
        <f aca="false">F78</f>
        <v>248727.637407573</v>
      </c>
      <c r="G85" s="206" t="n">
        <f aca="false">G78</f>
        <v>260661.99159296</v>
      </c>
      <c r="H85" s="206" t="n">
        <f aca="false">H78</f>
        <v>272596.345778346</v>
      </c>
      <c r="I85" s="206" t="n">
        <f aca="false">I78</f>
        <v>284530.699963733</v>
      </c>
      <c r="J85" s="206" t="n">
        <f aca="false">J78</f>
        <v>296465.05414912</v>
      </c>
      <c r="K85" s="206" t="n">
        <f aca="false">K78</f>
        <v>308399.408334506</v>
      </c>
      <c r="L85" s="206" t="n">
        <f aca="false">L78</f>
        <v>320333.762519893</v>
      </c>
      <c r="M85" s="206" t="n">
        <f aca="false">M78</f>
        <v>332268.11670528</v>
      </c>
      <c r="N85" s="206" t="n">
        <f aca="false">N78</f>
        <v>379090.470890666</v>
      </c>
      <c r="O85" s="206" t="n">
        <f aca="false">O78</f>
        <v>391024.825076053</v>
      </c>
      <c r="P85" s="206" t="n">
        <f aca="false">P78</f>
        <v>402959.17926144</v>
      </c>
      <c r="Q85" s="206" t="n">
        <f aca="false">Q78</f>
        <v>414893.533446826</v>
      </c>
      <c r="R85" s="206" t="n">
        <f aca="false">R78</f>
        <v>426827.887632213</v>
      </c>
      <c r="S85" s="206" t="n">
        <f aca="false">S78</f>
        <v>438762.2418176</v>
      </c>
      <c r="T85" s="206" t="n">
        <f aca="false">T78</f>
        <v>432259.13196032</v>
      </c>
      <c r="U85" s="206" t="n">
        <f aca="false">U78</f>
        <v>425756.02210304</v>
      </c>
      <c r="V85" s="206" t="n">
        <f aca="false">V78</f>
        <v>419252.912245759</v>
      </c>
      <c r="W85" s="206" t="n">
        <f aca="false">W78</f>
        <v>412749.80238848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844165</v>
      </c>
      <c r="E86" s="207" t="n">
        <f aca="false">-E67</f>
        <v>844165</v>
      </c>
      <c r="F86" s="207" t="n">
        <f aca="false">-F67</f>
        <v>844165</v>
      </c>
      <c r="G86" s="207" t="n">
        <f aca="false">-G67</f>
        <v>844165</v>
      </c>
      <c r="H86" s="207" t="n">
        <f aca="false">-H67</f>
        <v>844165</v>
      </c>
      <c r="I86" s="207" t="n">
        <f aca="false">-I67</f>
        <v>844165</v>
      </c>
      <c r="J86" s="207" t="n">
        <f aca="false">-J67</f>
        <v>844165</v>
      </c>
      <c r="K86" s="207" t="n">
        <f aca="false">-K67</f>
        <v>844165</v>
      </c>
      <c r="L86" s="207" t="n">
        <f aca="false">-L67</f>
        <v>844165</v>
      </c>
      <c r="M86" s="207" t="n">
        <f aca="false">-M67</f>
        <v>844165</v>
      </c>
      <c r="N86" s="207" t="n">
        <f aca="false">-N67</f>
        <v>844165</v>
      </c>
      <c r="O86" s="207" t="n">
        <f aca="false">-O67</f>
        <v>844165</v>
      </c>
      <c r="P86" s="207" t="n">
        <f aca="false">-P67</f>
        <v>844165</v>
      </c>
      <c r="Q86" s="207" t="n">
        <f aca="false">-Q67</f>
        <v>844165</v>
      </c>
      <c r="R86" s="207" t="n">
        <f aca="false">-R67</f>
        <v>844165</v>
      </c>
      <c r="S86" s="207" t="n">
        <f aca="false">-S67</f>
        <v>844165</v>
      </c>
      <c r="T86" s="207" t="n">
        <f aca="false">-T67</f>
        <v>844165</v>
      </c>
      <c r="U86" s="207" t="n">
        <f aca="false">-U67</f>
        <v>844165</v>
      </c>
      <c r="V86" s="207" t="n">
        <f aca="false">-V67</f>
        <v>844165</v>
      </c>
      <c r="W86" s="207" t="n">
        <f aca="false">-W67</f>
        <v>844165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1301184.7290368</v>
      </c>
      <c r="E87" s="209" t="n">
        <f aca="false">SUM(E85:E86)</f>
        <v>1080958.28322219</v>
      </c>
      <c r="F87" s="209" t="n">
        <f aca="false">SUM(F85:F86)</f>
        <v>1092892.63740757</v>
      </c>
      <c r="G87" s="209" t="n">
        <f aca="false">SUM(G85:G86)</f>
        <v>1104826.99159296</v>
      </c>
      <c r="H87" s="209" t="n">
        <f aca="false">SUM(H85:H86)</f>
        <v>1116761.34577835</v>
      </c>
      <c r="I87" s="209" t="n">
        <f aca="false">SUM(I85:I86)</f>
        <v>1128695.69996373</v>
      </c>
      <c r="J87" s="209" t="n">
        <f aca="false">SUM(J85:J86)</f>
        <v>1140630.05414912</v>
      </c>
      <c r="K87" s="209" t="n">
        <f aca="false">SUM(K85:K86)</f>
        <v>1152564.40833451</v>
      </c>
      <c r="L87" s="209" t="n">
        <f aca="false">SUM(L85:L86)</f>
        <v>1164498.76251989</v>
      </c>
      <c r="M87" s="209" t="n">
        <f aca="false">SUM(M85:M86)</f>
        <v>1176433.11670528</v>
      </c>
      <c r="N87" s="209" t="n">
        <f aca="false">SUM(N85:N86)</f>
        <v>1223255.47089067</v>
      </c>
      <c r="O87" s="209" t="n">
        <f aca="false">SUM(O85:O86)</f>
        <v>1235189.82507605</v>
      </c>
      <c r="P87" s="209" t="n">
        <f aca="false">SUM(P85:P86)</f>
        <v>1247124.17926144</v>
      </c>
      <c r="Q87" s="209" t="n">
        <f aca="false">SUM(Q85:Q86)</f>
        <v>1259058.53344683</v>
      </c>
      <c r="R87" s="209" t="n">
        <f aca="false">SUM(R85:R86)</f>
        <v>1270992.88763221</v>
      </c>
      <c r="S87" s="209" t="n">
        <f aca="false">SUM(S85:S86)</f>
        <v>1282927.2418176</v>
      </c>
      <c r="T87" s="209" t="n">
        <f aca="false">SUM(T85:T86)</f>
        <v>1276424.13196032</v>
      </c>
      <c r="U87" s="209" t="n">
        <f aca="false">SUM(U85:U86)</f>
        <v>1269921.02210304</v>
      </c>
      <c r="V87" s="209" t="n">
        <f aca="false">SUM(V85:V86)</f>
        <v>1263417.91224576</v>
      </c>
      <c r="W87" s="209" t="n">
        <f aca="false">SUM(W85:W86)</f>
        <v>1256914.80238848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-16883300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13506640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-900442.666666667</v>
      </c>
      <c r="F93" s="215" t="n">
        <v>-900442.666666667</v>
      </c>
      <c r="G93" s="215" t="n">
        <v>-900442.666666667</v>
      </c>
      <c r="H93" s="215" t="n">
        <v>-900442.666666667</v>
      </c>
      <c r="I93" s="215" t="n">
        <v>-900442.666666667</v>
      </c>
      <c r="J93" s="215" t="n">
        <v>-900442.666666667</v>
      </c>
      <c r="K93" s="215" t="n">
        <v>-900442.666666667</v>
      </c>
      <c r="L93" s="215" t="n">
        <v>-900442.666666667</v>
      </c>
      <c r="M93" s="215" t="n">
        <v>-900442.666666667</v>
      </c>
      <c r="N93" s="215" t="n">
        <v>-900442.666666667</v>
      </c>
      <c r="O93" s="215" t="n">
        <v>-900442.666666667</v>
      </c>
      <c r="P93" s="215" t="n">
        <v>-900442.666666667</v>
      </c>
      <c r="Q93" s="215" t="n">
        <v>-900442.666666667</v>
      </c>
      <c r="R93" s="215" t="n">
        <v>-900442.666666667</v>
      </c>
      <c r="S93" s="215" t="n">
        <v>-900442.666666667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3376660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-411317.75613312</v>
      </c>
      <c r="F95" s="216" t="n">
        <f aca="false">-E85*$D$33</f>
        <v>-213113.954899968</v>
      </c>
      <c r="G95" s="216" t="n">
        <f aca="false">-F85*$D$33</f>
        <v>-223854.873666816</v>
      </c>
      <c r="H95" s="216" t="n">
        <f aca="false">-G85*$D$33</f>
        <v>-234595.792433664</v>
      </c>
      <c r="I95" s="216" t="n">
        <f aca="false">-H85*$D$33</f>
        <v>-245336.711200512</v>
      </c>
      <c r="J95" s="216" t="n">
        <f aca="false">-I85*$D$33</f>
        <v>-256077.62996736</v>
      </c>
      <c r="K95" s="216" t="n">
        <f aca="false">-J85*$D$33</f>
        <v>-266818.548734208</v>
      </c>
      <c r="L95" s="216" t="n">
        <f aca="false">-K85*$D$33</f>
        <v>-277559.467501056</v>
      </c>
      <c r="M95" s="216" t="n">
        <f aca="false">-L85*$D$33</f>
        <v>-288300.386267904</v>
      </c>
      <c r="N95" s="216" t="n">
        <f aca="false">-M85*$D$33</f>
        <v>-299041.305034752</v>
      </c>
      <c r="O95" s="216" t="n">
        <f aca="false">-N85*$D$33</f>
        <v>-341181.4238016</v>
      </c>
      <c r="P95" s="216" t="n">
        <f aca="false">-O85*$D$33</f>
        <v>-351922.342568448</v>
      </c>
      <c r="Q95" s="216" t="n">
        <f aca="false">-P85*$D$33</f>
        <v>-362663.261335296</v>
      </c>
      <c r="R95" s="216" t="n">
        <f aca="false">-Q85*$D$33</f>
        <v>-373404.180102144</v>
      </c>
      <c r="S95" s="216" t="n">
        <f aca="false">-R85*$D$33</f>
        <v>-384145.098868992</v>
      </c>
      <c r="T95" s="216" t="n">
        <f aca="false">-S85*$D$33</f>
        <v>-394886.01763584</v>
      </c>
      <c r="U95" s="216" t="n">
        <f aca="false">-T85*$D$33</f>
        <v>-389033.218764288</v>
      </c>
      <c r="V95" s="216" t="n">
        <f aca="false">-U85*$D$33</f>
        <v>-383180.419892736</v>
      </c>
      <c r="W95" s="216" t="n">
        <f aca="false">-V85*$D$33</f>
        <v>-377327.621021184</v>
      </c>
      <c r="X95" s="216" t="n">
        <f aca="false">-W85*$D$33</f>
        <v>-371474.822149632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-844165</v>
      </c>
      <c r="U96" s="219" t="n">
        <v>-844165</v>
      </c>
      <c r="V96" s="219" t="n">
        <v>-844165</v>
      </c>
      <c r="W96" s="219" t="n">
        <v>-844165</v>
      </c>
      <c r="X96" s="220" t="n">
        <f aca="false">-W101-X95</f>
        <v>-716137.203553285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1301184.7290368</v>
      </c>
      <c r="E99" s="206" t="n">
        <f aca="false">SUM(E87:E96)</f>
        <v>-230802.1395776</v>
      </c>
      <c r="F99" s="206" t="n">
        <f aca="false">SUM(F87:F96)</f>
        <v>-20663.9841590608</v>
      </c>
      <c r="G99" s="206" t="n">
        <f aca="false">SUM(G87:G96)</f>
        <v>-19470.5487405224</v>
      </c>
      <c r="H99" s="206" t="n">
        <f aca="false">SUM(H87:H96)</f>
        <v>-18277.1133219839</v>
      </c>
      <c r="I99" s="206" t="n">
        <f aca="false">SUM(I87:I96)</f>
        <v>-17083.6779034451</v>
      </c>
      <c r="J99" s="206" t="n">
        <f aca="false">SUM(J87:J96)</f>
        <v>-15890.2424849061</v>
      </c>
      <c r="K99" s="206" t="n">
        <f aca="false">SUM(K87:K96)</f>
        <v>-14696.807066368</v>
      </c>
      <c r="L99" s="206" t="n">
        <f aca="false">SUM(L87:L96)</f>
        <v>-13503.371647829</v>
      </c>
      <c r="M99" s="206" t="n">
        <f aca="false">SUM(M87:M96)</f>
        <v>-12309.9362292904</v>
      </c>
      <c r="N99" s="206" t="n">
        <f aca="false">SUM(N87:N96)</f>
        <v>23771.4991892481</v>
      </c>
      <c r="O99" s="206" t="n">
        <f aca="false">SUM(O87:O96)</f>
        <v>-6434.26539221313</v>
      </c>
      <c r="P99" s="206" t="n">
        <f aca="false">SUM(P87:P96)</f>
        <v>-5240.82997367432</v>
      </c>
      <c r="Q99" s="206" t="n">
        <f aca="false">SUM(Q87:Q96)</f>
        <v>-4047.39455513575</v>
      </c>
      <c r="R99" s="206" t="n">
        <f aca="false">SUM(R87:R96)</f>
        <v>-2853.95913659717</v>
      </c>
      <c r="S99" s="206" t="n">
        <f aca="false">SUM(S87:S96)</f>
        <v>-1660.52371805842</v>
      </c>
      <c r="T99" s="206" t="n">
        <f aca="false">SUM(T87:T96)</f>
        <v>37373.1143244801</v>
      </c>
      <c r="U99" s="206" t="n">
        <f aca="false">SUM(U87:U96)</f>
        <v>36722.8033387525</v>
      </c>
      <c r="V99" s="206" t="n">
        <f aca="false">SUM(V87:V96)</f>
        <v>36072.492353024</v>
      </c>
      <c r="W99" s="206" t="n">
        <f aca="false">SUM(W87:W96)</f>
        <v>35422.1813672965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1301184.7290368</v>
      </c>
      <c r="F100" s="206" t="n">
        <f aca="false">E101</f>
        <v>1070382.5894592</v>
      </c>
      <c r="G100" s="206" t="n">
        <f aca="false">F101</f>
        <v>1049718.60530014</v>
      </c>
      <c r="H100" s="206" t="n">
        <f aca="false">G101</f>
        <v>1030248.05655962</v>
      </c>
      <c r="I100" s="206" t="n">
        <f aca="false">H101</f>
        <v>1011970.94323763</v>
      </c>
      <c r="J100" s="206" t="n">
        <f aca="false">I101</f>
        <v>994887.265334188</v>
      </c>
      <c r="K100" s="206" t="n">
        <f aca="false">J101</f>
        <v>978997.022849282</v>
      </c>
      <c r="L100" s="206" t="n">
        <f aca="false">K101</f>
        <v>964300.215782914</v>
      </c>
      <c r="M100" s="206" t="n">
        <f aca="false">L101</f>
        <v>950796.844135085</v>
      </c>
      <c r="N100" s="206" t="n">
        <f aca="false">M101</f>
        <v>938486.907905794</v>
      </c>
      <c r="O100" s="206" t="n">
        <f aca="false">N101</f>
        <v>962258.407095042</v>
      </c>
      <c r="P100" s="206" t="n">
        <f aca="false">O101</f>
        <v>955824.141702829</v>
      </c>
      <c r="Q100" s="206" t="n">
        <f aca="false">P101</f>
        <v>950583.311729155</v>
      </c>
      <c r="R100" s="206" t="n">
        <f aca="false">Q101</f>
        <v>946535.917174019</v>
      </c>
      <c r="S100" s="206" t="n">
        <f aca="false">R101</f>
        <v>943681.958037422</v>
      </c>
      <c r="T100" s="206" t="n">
        <f aca="false">S101</f>
        <v>942021.434319363</v>
      </c>
      <c r="U100" s="206" t="n">
        <f aca="false">T101</f>
        <v>979394.548643844</v>
      </c>
      <c r="V100" s="206" t="n">
        <f aca="false">U101</f>
        <v>1016117.3519826</v>
      </c>
      <c r="W100" s="206" t="n">
        <f aca="false">V101</f>
        <v>1052189.84433562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1301184.7290368</v>
      </c>
      <c r="E101" s="206" t="n">
        <f aca="false">E99+E100</f>
        <v>1070382.5894592</v>
      </c>
      <c r="F101" s="206" t="n">
        <f aca="false">F99+F100</f>
        <v>1049718.60530014</v>
      </c>
      <c r="G101" s="206" t="n">
        <f aca="false">G99+G100</f>
        <v>1030248.05655962</v>
      </c>
      <c r="H101" s="206" t="n">
        <f aca="false">H99+H100</f>
        <v>1011970.94323763</v>
      </c>
      <c r="I101" s="206" t="n">
        <f aca="false">I99+I100</f>
        <v>994887.265334188</v>
      </c>
      <c r="J101" s="206" t="n">
        <f aca="false">J99+J100</f>
        <v>978997.022849282</v>
      </c>
      <c r="K101" s="206" t="n">
        <f aca="false">K99+K100</f>
        <v>964300.215782914</v>
      </c>
      <c r="L101" s="206" t="n">
        <f aca="false">L99+L100</f>
        <v>950796.844135085</v>
      </c>
      <c r="M101" s="206" t="n">
        <f aca="false">M99+M100</f>
        <v>938486.907905794</v>
      </c>
      <c r="N101" s="206" t="n">
        <f aca="false">N99+N100</f>
        <v>962258.407095042</v>
      </c>
      <c r="O101" s="206" t="n">
        <f aca="false">O99+O100</f>
        <v>955824.141702829</v>
      </c>
      <c r="P101" s="206" t="n">
        <f aca="false">P99+P100</f>
        <v>950583.311729155</v>
      </c>
      <c r="Q101" s="206" t="n">
        <f aca="false">Q99+Q100</f>
        <v>946535.917174019</v>
      </c>
      <c r="R101" s="206" t="n">
        <f aca="false">R99+R100</f>
        <v>943681.958037422</v>
      </c>
      <c r="S101" s="206" t="n">
        <f aca="false">S99+S100</f>
        <v>942021.434319363</v>
      </c>
      <c r="T101" s="206" t="n">
        <f aca="false">T99+T100</f>
        <v>979394.548643844</v>
      </c>
      <c r="U101" s="206" t="n">
        <f aca="false">U99+U100</f>
        <v>1016117.3519826</v>
      </c>
      <c r="V101" s="206" t="n">
        <f aca="false">V99+V100</f>
        <v>1052189.84433562</v>
      </c>
      <c r="W101" s="206" t="n">
        <f aca="false">W99+W100</f>
        <v>1087612.02570292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-3376660</v>
      </c>
      <c r="E104" s="209" t="n">
        <f aca="false">-E95-E96</f>
        <v>411317.75613312</v>
      </c>
      <c r="F104" s="209" t="n">
        <f aca="false">-F95-F96</f>
        <v>213113.954899968</v>
      </c>
      <c r="G104" s="209" t="n">
        <f aca="false">-G95-G96</f>
        <v>223854.873666816</v>
      </c>
      <c r="H104" s="209" t="n">
        <f aca="false">-H95-H96</f>
        <v>234595.792433664</v>
      </c>
      <c r="I104" s="209" t="n">
        <f aca="false">-I95-I96</f>
        <v>245336.711200512</v>
      </c>
      <c r="J104" s="209" t="n">
        <f aca="false">-J95-J96</f>
        <v>256077.62996736</v>
      </c>
      <c r="K104" s="209" t="n">
        <f aca="false">-K95-K96</f>
        <v>266818.548734208</v>
      </c>
      <c r="L104" s="209" t="n">
        <f aca="false">-L95-L96</f>
        <v>277559.467501056</v>
      </c>
      <c r="M104" s="209" t="n">
        <f aca="false">-M95-M96</f>
        <v>288300.386267904</v>
      </c>
      <c r="N104" s="209" t="n">
        <f aca="false">-N95-N96</f>
        <v>299041.305034752</v>
      </c>
      <c r="O104" s="209" t="n">
        <f aca="false">-O95-O96</f>
        <v>341181.4238016</v>
      </c>
      <c r="P104" s="209" t="n">
        <f aca="false">-P95-P96</f>
        <v>351922.342568448</v>
      </c>
      <c r="Q104" s="209" t="n">
        <f aca="false">-Q95-Q96</f>
        <v>362663.261335296</v>
      </c>
      <c r="R104" s="209" t="n">
        <f aca="false">-R95-R96</f>
        <v>373404.180102144</v>
      </c>
      <c r="S104" s="209" t="n">
        <f aca="false">-S95-S96</f>
        <v>384145.098868992</v>
      </c>
      <c r="T104" s="209" t="n">
        <f aca="false">-T95-T96</f>
        <v>1239051.01763584</v>
      </c>
      <c r="U104" s="209" t="n">
        <f aca="false">-U95-U96</f>
        <v>1233198.21876429</v>
      </c>
      <c r="V104" s="209" t="n">
        <f aca="false">-V95-V96</f>
        <v>1227345.41989274</v>
      </c>
      <c r="W104" s="209" t="n">
        <f aca="false">-W95-W96</f>
        <v>1221492.62102118</v>
      </c>
      <c r="X104" s="209" t="n">
        <f aca="false">-X95-X96</f>
        <v>1087612.02570292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0.0976286464301215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-2919640.2709632</v>
      </c>
      <c r="E106" s="209" t="n">
        <f aca="false">E85</f>
        <v>236793.283222186</v>
      </c>
      <c r="F106" s="209" t="n">
        <f aca="false">F85-F96</f>
        <v>248727.637407573</v>
      </c>
      <c r="G106" s="209" t="n">
        <f aca="false">G85-G96</f>
        <v>260661.99159296</v>
      </c>
      <c r="H106" s="209" t="n">
        <f aca="false">H85-H96</f>
        <v>272596.345778346</v>
      </c>
      <c r="I106" s="209" t="n">
        <f aca="false">I85-I96</f>
        <v>284530.699963733</v>
      </c>
      <c r="J106" s="209" t="n">
        <f aca="false">J85-J96</f>
        <v>296465.05414912</v>
      </c>
      <c r="K106" s="209" t="n">
        <f aca="false">K85-K96</f>
        <v>308399.408334506</v>
      </c>
      <c r="L106" s="209" t="n">
        <f aca="false">L85-L96</f>
        <v>320333.762519893</v>
      </c>
      <c r="M106" s="209" t="n">
        <f aca="false">M85-M96</f>
        <v>332268.11670528</v>
      </c>
      <c r="N106" s="209" t="n">
        <f aca="false">N85-N96</f>
        <v>379090.470890666</v>
      </c>
      <c r="O106" s="209" t="n">
        <f aca="false">O85-O96</f>
        <v>391024.825076053</v>
      </c>
      <c r="P106" s="209" t="n">
        <f aca="false">P85-P96</f>
        <v>402959.17926144</v>
      </c>
      <c r="Q106" s="209" t="n">
        <f aca="false">Q85-Q96</f>
        <v>414893.533446826</v>
      </c>
      <c r="R106" s="209" t="n">
        <f aca="false">R85-R96</f>
        <v>426827.887632213</v>
      </c>
      <c r="S106" s="209" t="n">
        <f aca="false">S85-S96</f>
        <v>438762.2418176</v>
      </c>
      <c r="T106" s="209" t="n">
        <f aca="false">T85-T96</f>
        <v>1276424.13196032</v>
      </c>
      <c r="U106" s="209" t="n">
        <f aca="false">U85-U96</f>
        <v>1269921.02210304</v>
      </c>
      <c r="V106" s="209" t="n">
        <f aca="false">V85-V96</f>
        <v>1263417.91224576</v>
      </c>
      <c r="W106" s="209" t="n">
        <f aca="false">W85-W96</f>
        <v>1256914.80238848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0.113961172631006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13506640</v>
      </c>
      <c r="E109" s="206" t="n">
        <f aca="false">D109+E93</f>
        <v>12606197.3333333</v>
      </c>
      <c r="F109" s="206" t="n">
        <f aca="false">E109+F93</f>
        <v>11705754.6666667</v>
      </c>
      <c r="G109" s="206" t="n">
        <f aca="false">F109+G93</f>
        <v>10805312</v>
      </c>
      <c r="H109" s="206" t="n">
        <f aca="false">G109+H93</f>
        <v>9904869.33333334</v>
      </c>
      <c r="I109" s="206" t="n">
        <f aca="false">H109+I93</f>
        <v>9004426.66666667</v>
      </c>
      <c r="J109" s="206" t="n">
        <f aca="false">I109+J93</f>
        <v>8103984.00000001</v>
      </c>
      <c r="K109" s="206" t="n">
        <f aca="false">J109+K93</f>
        <v>7203541.33333334</v>
      </c>
      <c r="L109" s="206" t="n">
        <f aca="false">K109+L93</f>
        <v>6303098.66666667</v>
      </c>
      <c r="M109" s="206" t="n">
        <f aca="false">L109+M93</f>
        <v>5402656.00000001</v>
      </c>
      <c r="N109" s="206" t="n">
        <f aca="false">M109+N93</f>
        <v>4502213.33333334</v>
      </c>
      <c r="O109" s="206" t="n">
        <f aca="false">N109+O93</f>
        <v>3601770.66666667</v>
      </c>
      <c r="P109" s="206" t="n">
        <f aca="false">O109+P93</f>
        <v>2701328.00000001</v>
      </c>
      <c r="Q109" s="206" t="n">
        <f aca="false">P109+Q93</f>
        <v>1800885.33333334</v>
      </c>
      <c r="R109" s="206" t="n">
        <f aca="false">Q109+R93</f>
        <v>900442.666666672</v>
      </c>
      <c r="S109" s="206" t="n">
        <f aca="false">R109+S93</f>
        <v>5.82076609134674E-009</v>
      </c>
      <c r="T109" s="206" t="n">
        <f aca="false">S109+T93</f>
        <v>5.82076609134674E-009</v>
      </c>
      <c r="U109" s="206" t="n">
        <f aca="false">T109+U93</f>
        <v>5.82076609134674E-009</v>
      </c>
      <c r="V109" s="206" t="n">
        <f aca="false">U109+V93</f>
        <v>5.82076609134674E-009</v>
      </c>
      <c r="W109" s="206" t="n">
        <f aca="false">V109+W93</f>
        <v>5.82076609134674E-009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-15637300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-30090.9</v>
      </c>
      <c r="E49" s="170" t="n">
        <v>-30090.9</v>
      </c>
      <c r="F49" s="170" t="n">
        <v>-30090.9</v>
      </c>
      <c r="G49" s="170" t="n">
        <v>-30090.9</v>
      </c>
      <c r="H49" s="170" t="n">
        <v>-30090.9</v>
      </c>
      <c r="I49" s="170" t="n">
        <v>-30090.9</v>
      </c>
      <c r="J49" s="170" t="n">
        <v>-30090.9</v>
      </c>
      <c r="K49" s="170" t="n">
        <v>-30090.9</v>
      </c>
      <c r="L49" s="170" t="n">
        <v>-30090.9</v>
      </c>
      <c r="M49" s="170" t="n">
        <v>-30090.9</v>
      </c>
      <c r="N49" s="170" t="n">
        <v>-30090.9</v>
      </c>
      <c r="O49" s="170" t="n">
        <v>-30090.9</v>
      </c>
      <c r="P49" s="170" t="n">
        <v>-30090.9</v>
      </c>
      <c r="Q49" s="170" t="n">
        <v>-30090.9</v>
      </c>
      <c r="R49" s="170" t="n">
        <v>-30090.9</v>
      </c>
      <c r="S49" s="170" t="n">
        <v>-30090.9</v>
      </c>
      <c r="T49" s="170" t="n">
        <v>-30090.9</v>
      </c>
      <c r="U49" s="170" t="n">
        <v>-30090.9</v>
      </c>
      <c r="V49" s="170" t="n">
        <v>-30090.9</v>
      </c>
      <c r="W49" s="170" t="n">
        <v>-30090.9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-196378.7424192</v>
      </c>
      <c r="E54" s="170" t="n">
        <f aca="false">-(E64+E67+E68+E71+E72+E73+E74)*0.2</f>
        <v>-136712.76495488</v>
      </c>
      <c r="F54" s="170" t="n">
        <f aca="false">-(F64+F67+F68+F71+F72+F73+F74)*0.2</f>
        <v>-135086.98749056</v>
      </c>
      <c r="G54" s="170" t="n">
        <f aca="false">-(G64+G67+G68+G71+G72+G73+G74)*0.2</f>
        <v>-133461.21002624</v>
      </c>
      <c r="H54" s="170" t="n">
        <f aca="false">-(H64+H67+H68+H71+H72+H73+H74)*0.2</f>
        <v>-131835.43256192</v>
      </c>
      <c r="I54" s="170" t="n">
        <f aca="false">-(I64+I67+I68+I71+I72+I73+I74)*0.2</f>
        <v>-130209.6550976</v>
      </c>
      <c r="J54" s="170" t="n">
        <f aca="false">-(J64+J67+J68+J71+J72+J73+J74)*0.2</f>
        <v>-128583.87763328</v>
      </c>
      <c r="K54" s="170" t="n">
        <f aca="false">-(K64+K67+K68+K71+K72+K73+K74)*0.2</f>
        <v>-126958.10016896</v>
      </c>
      <c r="L54" s="170" t="n">
        <f aca="false">-(L64+L67+L68+L71+L72+L73+L74)*0.2</f>
        <v>-125332.32270464</v>
      </c>
      <c r="M54" s="170" t="n">
        <f aca="false">-(M64+M67+M68+M71+M72+M73+M74)*0.2</f>
        <v>-123706.54524032</v>
      </c>
      <c r="N54" s="170" t="n">
        <f aca="false">-(N64+N67+N68+N71+N72+N73+N74)*0.2</f>
        <v>-130802.767776</v>
      </c>
      <c r="O54" s="170" t="n">
        <f aca="false">-(O64+O67+O68+O71+O72+O73+O74)*0.2</f>
        <v>-129176.99031168</v>
      </c>
      <c r="P54" s="170" t="n">
        <f aca="false">-(P64+P67+P68+P71+P72+P73+P74)*0.2</f>
        <v>-127551.21284736</v>
      </c>
      <c r="Q54" s="170" t="n">
        <f aca="false">-(Q64+Q67+Q68+Q71+Q72+Q73+Q74)*0.2</f>
        <v>-125925.43538304</v>
      </c>
      <c r="R54" s="170" t="n">
        <f aca="false">-(R64+R67+R68+R71+R72+R73+R74)*0.2</f>
        <v>-124299.65791872</v>
      </c>
      <c r="S54" s="170" t="n">
        <f aca="false">-(S64+S67+S68+S71+S72+S73+S74)*0.2</f>
        <v>-122673.8804544</v>
      </c>
      <c r="T54" s="170" t="n">
        <f aca="false">-(T64+T67+T68+T71+T72+T73+T74)*0.2</f>
        <v>-121048.10299008</v>
      </c>
      <c r="U54" s="170" t="n">
        <f aca="false">-(U64+U67+U68+U71+U72+U73+U74)*0.2</f>
        <v>-119422.32552576</v>
      </c>
      <c r="V54" s="170" t="n">
        <f aca="false">-(V64+V67+V68+V71+V72+V73+V74)*0.2</f>
        <v>-117796.54806144</v>
      </c>
      <c r="W54" s="170" t="n">
        <f aca="false">-(W64+W67+W68+W71+W72+W73+W74)*0.2</f>
        <v>-116170.77059712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-15637300</v>
      </c>
      <c r="D55" s="175" t="n">
        <f aca="false">SUM(D41:D54)</f>
        <v>1567379.9696768</v>
      </c>
      <c r="E55" s="175" t="n">
        <f aca="false">SUM(E41:E54)</f>
        <v>1328716.05981952</v>
      </c>
      <c r="F55" s="175" t="n">
        <f aca="false">SUM(F41:F54)</f>
        <v>1322212.94996224</v>
      </c>
      <c r="G55" s="175" t="n">
        <f aca="false">SUM(G41:G54)</f>
        <v>1315709.84010496</v>
      </c>
      <c r="H55" s="175" t="n">
        <f aca="false">SUM(H41:H54)</f>
        <v>1309206.73024768</v>
      </c>
      <c r="I55" s="175" t="n">
        <f aca="false">SUM(I41:I54)</f>
        <v>1302703.6203904</v>
      </c>
      <c r="J55" s="175" t="n">
        <f aca="false">SUM(J41:J54)</f>
        <v>1296200.51053312</v>
      </c>
      <c r="K55" s="175" t="n">
        <f aca="false">SUM(K41:K54)</f>
        <v>1289697.40067584</v>
      </c>
      <c r="L55" s="175" t="n">
        <f aca="false">SUM(L41:L54)</f>
        <v>1283194.29081856</v>
      </c>
      <c r="M55" s="175" t="n">
        <f aca="false">SUM(M41:M54)</f>
        <v>1276691.18096128</v>
      </c>
      <c r="N55" s="175" t="n">
        <f aca="false">SUM(N41:N54)</f>
        <v>1305076.071104</v>
      </c>
      <c r="O55" s="175" t="n">
        <f aca="false">SUM(O41:O54)</f>
        <v>1298572.96124672</v>
      </c>
      <c r="P55" s="175" t="n">
        <f aca="false">SUM(P41:P54)</f>
        <v>1292069.85138944</v>
      </c>
      <c r="Q55" s="175" t="n">
        <f aca="false">SUM(Q41:Q54)</f>
        <v>1285566.74153216</v>
      </c>
      <c r="R55" s="175" t="n">
        <f aca="false">SUM(R41:R54)</f>
        <v>1279063.63167488</v>
      </c>
      <c r="S55" s="175" t="n">
        <f aca="false">SUM(S41:S54)</f>
        <v>1272560.5218176</v>
      </c>
      <c r="T55" s="175" t="n">
        <f aca="false">SUM(T41:T54)</f>
        <v>1266057.41196032</v>
      </c>
      <c r="U55" s="175" t="n">
        <f aca="false">SUM(U41:U54)</f>
        <v>1259554.30210304</v>
      </c>
      <c r="V55" s="175" t="n">
        <f aca="false">SUM(V41:V54)</f>
        <v>1253051.19224576</v>
      </c>
      <c r="W55" s="175" t="n">
        <f aca="false">SUM(W41:W54)</f>
        <v>1246548.08238848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-14069920.0303232</v>
      </c>
      <c r="E56" s="180" t="n">
        <f aca="false">D56+E55</f>
        <v>-12741203.9705037</v>
      </c>
      <c r="F56" s="180" t="n">
        <f aca="false">E56+F55</f>
        <v>-11418991.0205414</v>
      </c>
      <c r="G56" s="180" t="n">
        <f aca="false">F56+G55</f>
        <v>-10103281.1804365</v>
      </c>
      <c r="H56" s="180" t="n">
        <f aca="false">G56+H55</f>
        <v>-8794074.4501888</v>
      </c>
      <c r="I56" s="180" t="n">
        <f aca="false">H56+I55</f>
        <v>-7491370.8297984</v>
      </c>
      <c r="J56" s="180" t="n">
        <f aca="false">I56+J55</f>
        <v>-6195170.31926528</v>
      </c>
      <c r="K56" s="180" t="n">
        <f aca="false">J56+K55</f>
        <v>-4905472.91858944</v>
      </c>
      <c r="L56" s="180" t="n">
        <f aca="false">K56+L55</f>
        <v>-3622278.62777088</v>
      </c>
      <c r="M56" s="180" t="n">
        <f aca="false">L56+M55</f>
        <v>-2345587.4468096</v>
      </c>
      <c r="N56" s="180" t="n">
        <f aca="false">M56+N55</f>
        <v>-1040511.3757056</v>
      </c>
      <c r="O56" s="180" t="n">
        <f aca="false">N56+O55</f>
        <v>258061.585541116</v>
      </c>
      <c r="P56" s="180" t="n">
        <f aca="false">O56+P55</f>
        <v>1550131.43693056</v>
      </c>
      <c r="Q56" s="180" t="n">
        <f aca="false">P56+Q55</f>
        <v>2835698.17846272</v>
      </c>
      <c r="R56" s="180" t="n">
        <f aca="false">Q56+R55</f>
        <v>4114761.8101376</v>
      </c>
      <c r="S56" s="180" t="n">
        <f aca="false">R56+S55</f>
        <v>5387322.3319552</v>
      </c>
      <c r="T56" s="180" t="n">
        <f aca="false">S56+T55</f>
        <v>6653379.74391552</v>
      </c>
      <c r="U56" s="180" t="n">
        <f aca="false">T56+U55</f>
        <v>7912934.04601856</v>
      </c>
      <c r="V56" s="180" t="n">
        <f aca="false">U56+V55</f>
        <v>9165985.23826432</v>
      </c>
      <c r="W56" s="180" t="n">
        <f aca="false">V56+W55</f>
        <v>10412533.3206528</v>
      </c>
      <c r="X56" s="180" t="n">
        <f aca="false">W56+X55</f>
        <v>10412533.3206528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0.0557136678318171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-781865</v>
      </c>
      <c r="E67" s="191" t="n">
        <f aca="false">$C$44/$E$16</f>
        <v>-781865</v>
      </c>
      <c r="F67" s="191" t="n">
        <f aca="false">$C$44/$E$16</f>
        <v>-781865</v>
      </c>
      <c r="G67" s="191" t="n">
        <f aca="false">$C$44/$E$16</f>
        <v>-781865</v>
      </c>
      <c r="H67" s="191" t="n">
        <f aca="false">$C$44/$E$16</f>
        <v>-781865</v>
      </c>
      <c r="I67" s="191" t="n">
        <f aca="false">$C$44/$E$16</f>
        <v>-781865</v>
      </c>
      <c r="J67" s="191" t="n">
        <f aca="false">$C$44/$E$16</f>
        <v>-781865</v>
      </c>
      <c r="K67" s="191" t="n">
        <f aca="false">$C$44/$E$16</f>
        <v>-781865</v>
      </c>
      <c r="L67" s="191" t="n">
        <f aca="false">$C$44/$E$16</f>
        <v>-781865</v>
      </c>
      <c r="M67" s="191" t="n">
        <f aca="false">$C$44/$E$16</f>
        <v>-781865</v>
      </c>
      <c r="N67" s="191" t="n">
        <f aca="false">$C$44/$E$16</f>
        <v>-781865</v>
      </c>
      <c r="O67" s="191" t="n">
        <f aca="false">$C$44/$E$16</f>
        <v>-781865</v>
      </c>
      <c r="P67" s="191" t="n">
        <f aca="false">$C$44/$E$16</f>
        <v>-781865</v>
      </c>
      <c r="Q67" s="191" t="n">
        <f aca="false">$C$44/$E$16</f>
        <v>-781865</v>
      </c>
      <c r="R67" s="191" t="n">
        <f aca="false">$C$44/$E$16</f>
        <v>-781865</v>
      </c>
      <c r="S67" s="191" t="n">
        <f aca="false">$C$44/$E$16</f>
        <v>-781865</v>
      </c>
      <c r="T67" s="191" t="n">
        <f aca="false">$C$44/$E$16</f>
        <v>-781865</v>
      </c>
      <c r="U67" s="191" t="n">
        <f aca="false">$C$44/$E$16</f>
        <v>-781865</v>
      </c>
      <c r="V67" s="191" t="n">
        <f aca="false">$C$44/$E$16</f>
        <v>-781865</v>
      </c>
      <c r="W67" s="191" t="n">
        <f aca="false">$C$44/$E$16</f>
        <v>-781865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-320189.3548</v>
      </c>
      <c r="E70" s="170" t="n">
        <f aca="false">-E109*$D25</f>
        <v>-298843.397813333</v>
      </c>
      <c r="F70" s="170" t="n">
        <f aca="false">-F109*$D25</f>
        <v>-277497.440826667</v>
      </c>
      <c r="G70" s="170" t="n">
        <f aca="false">-G109*$D25</f>
        <v>-256151.48384</v>
      </c>
      <c r="H70" s="170" t="n">
        <f aca="false">-H109*$D25</f>
        <v>-234805.526853333</v>
      </c>
      <c r="I70" s="170" t="n">
        <f aca="false">-I109*$D25</f>
        <v>-213459.569866667</v>
      </c>
      <c r="J70" s="170" t="n">
        <f aca="false">-J109*$D25</f>
        <v>-192113.61288</v>
      </c>
      <c r="K70" s="170" t="n">
        <f aca="false">-K109*$D25</f>
        <v>-170767.655893333</v>
      </c>
      <c r="L70" s="170" t="n">
        <f aca="false">-L109*$D25</f>
        <v>-149421.698906667</v>
      </c>
      <c r="M70" s="170" t="n">
        <f aca="false">-M109*$D25</f>
        <v>-128075.74192</v>
      </c>
      <c r="N70" s="170" t="n">
        <f aca="false">-N109*$D25</f>
        <v>-106729.784933333</v>
      </c>
      <c r="O70" s="170" t="n">
        <f aca="false">-O109*$D25</f>
        <v>-85383.8279466667</v>
      </c>
      <c r="P70" s="170" t="n">
        <f aca="false">-P109*$D25</f>
        <v>-64037.8709600001</v>
      </c>
      <c r="Q70" s="170" t="n">
        <f aca="false">-Q109*$D25</f>
        <v>-42691.9139733334</v>
      </c>
      <c r="R70" s="170" t="n">
        <f aca="false">-R109*$D25</f>
        <v>-21345.9569866667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-30090.9</v>
      </c>
      <c r="E72" s="170" t="n">
        <f aca="false">E49</f>
        <v>-30090.9</v>
      </c>
      <c r="F72" s="170" t="n">
        <f aca="false">F49</f>
        <v>-30090.9</v>
      </c>
      <c r="G72" s="170" t="n">
        <f aca="false">G49</f>
        <v>-30090.9</v>
      </c>
      <c r="H72" s="170" t="n">
        <f aca="false">H49</f>
        <v>-30090.9</v>
      </c>
      <c r="I72" s="170" t="n">
        <f aca="false">I49</f>
        <v>-30090.9</v>
      </c>
      <c r="J72" s="170" t="n">
        <f aca="false">J49</f>
        <v>-30090.9</v>
      </c>
      <c r="K72" s="170" t="n">
        <f aca="false">K49</f>
        <v>-30090.9</v>
      </c>
      <c r="L72" s="170" t="n">
        <f aca="false">L49</f>
        <v>-30090.9</v>
      </c>
      <c r="M72" s="170" t="n">
        <f aca="false">M49</f>
        <v>-30090.9</v>
      </c>
      <c r="N72" s="170" t="n">
        <f aca="false">N49</f>
        <v>-30090.9</v>
      </c>
      <c r="O72" s="170" t="n">
        <f aca="false">O49</f>
        <v>-30090.9</v>
      </c>
      <c r="P72" s="170" t="n">
        <f aca="false">P49</f>
        <v>-30090.9</v>
      </c>
      <c r="Q72" s="170" t="n">
        <f aca="false">Q49</f>
        <v>-30090.9</v>
      </c>
      <c r="R72" s="170" t="n">
        <f aca="false">R49</f>
        <v>-30090.9</v>
      </c>
      <c r="S72" s="170" t="n">
        <f aca="false">S49</f>
        <v>-30090.9</v>
      </c>
      <c r="T72" s="170" t="n">
        <f aca="false">T49</f>
        <v>-30090.9</v>
      </c>
      <c r="U72" s="170" t="n">
        <f aca="false">U49</f>
        <v>-30090.9</v>
      </c>
      <c r="V72" s="170" t="n">
        <f aca="false">V49</f>
        <v>-30090.9</v>
      </c>
      <c r="W72" s="170" t="n">
        <f aca="false">W49</f>
        <v>-30090.9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661704.357295999</v>
      </c>
      <c r="E76" s="175" t="n">
        <f aca="false">SUM(E64:E75)</f>
        <v>384720.426961066</v>
      </c>
      <c r="F76" s="175" t="n">
        <f aca="false">SUM(F64:F75)</f>
        <v>397937.496626133</v>
      </c>
      <c r="G76" s="175" t="n">
        <f aca="false">SUM(G64:G75)</f>
        <v>411154.5662912</v>
      </c>
      <c r="H76" s="175" t="n">
        <f aca="false">SUM(H64:H75)</f>
        <v>424371.635956266</v>
      </c>
      <c r="I76" s="175" t="n">
        <f aca="false">SUM(I64:I75)</f>
        <v>437588.705621333</v>
      </c>
      <c r="J76" s="175" t="n">
        <f aca="false">SUM(J64:J75)</f>
        <v>450805.7752864</v>
      </c>
      <c r="K76" s="175" t="n">
        <f aca="false">SUM(K64:K75)</f>
        <v>464022.844951466</v>
      </c>
      <c r="L76" s="175" t="n">
        <f aca="false">SUM(L64:L75)</f>
        <v>477239.914616533</v>
      </c>
      <c r="M76" s="175" t="n">
        <f aca="false">SUM(M64:M75)</f>
        <v>490456.9842816</v>
      </c>
      <c r="N76" s="175" t="n">
        <f aca="false">SUM(N64:N75)</f>
        <v>547284.053946666</v>
      </c>
      <c r="O76" s="175" t="n">
        <f aca="false">SUM(O64:O75)</f>
        <v>560501.123611733</v>
      </c>
      <c r="P76" s="175" t="n">
        <f aca="false">SUM(P64:P75)</f>
        <v>573718.1932768</v>
      </c>
      <c r="Q76" s="175" t="n">
        <f aca="false">SUM(Q64:Q75)</f>
        <v>586935.262941866</v>
      </c>
      <c r="R76" s="175" t="n">
        <f aca="false">SUM(R64:R75)</f>
        <v>600152.332606933</v>
      </c>
      <c r="S76" s="175" t="n">
        <f aca="false">SUM(S64:S75)</f>
        <v>613369.402272</v>
      </c>
      <c r="T76" s="175" t="n">
        <f aca="false">SUM(T64:T75)</f>
        <v>605240.514950399</v>
      </c>
      <c r="U76" s="175" t="n">
        <f aca="false">SUM(U64:U75)</f>
        <v>597111.6276288</v>
      </c>
      <c r="V76" s="175" t="n">
        <f aca="false">SUM(V64:V75)</f>
        <v>588982.740307199</v>
      </c>
      <c r="W76" s="175" t="n">
        <f aca="false">SUM(W64:W75)</f>
        <v>580853.8529856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-132340.8714592</v>
      </c>
      <c r="E77" s="170" t="n">
        <f aca="false">-E76*0.2</f>
        <v>-76944.0853922132</v>
      </c>
      <c r="F77" s="170" t="n">
        <f aca="false">-F76*0.2</f>
        <v>-79587.4993252266</v>
      </c>
      <c r="G77" s="170" t="n">
        <f aca="false">-G76*0.2</f>
        <v>-82230.91325824</v>
      </c>
      <c r="H77" s="170" t="n">
        <f aca="false">-H76*0.2</f>
        <v>-84874.3271912533</v>
      </c>
      <c r="I77" s="170" t="n">
        <f aca="false">-I76*0.2</f>
        <v>-87517.7411242666</v>
      </c>
      <c r="J77" s="170" t="n">
        <f aca="false">-J76*0.2</f>
        <v>-90161.15505728</v>
      </c>
      <c r="K77" s="170" t="n">
        <f aca="false">-K76*0.2</f>
        <v>-92804.5689902933</v>
      </c>
      <c r="L77" s="170" t="n">
        <f aca="false">-L76*0.2</f>
        <v>-95447.9829233066</v>
      </c>
      <c r="M77" s="170" t="n">
        <f aca="false">-M76*0.2</f>
        <v>-98091.3968563199</v>
      </c>
      <c r="N77" s="170" t="n">
        <f aca="false">-N76*0.2</f>
        <v>-109456.810789333</v>
      </c>
      <c r="O77" s="170" t="n">
        <f aca="false">-O76*0.2</f>
        <v>-112100.224722347</v>
      </c>
      <c r="P77" s="170" t="n">
        <f aca="false">-P76*0.2</f>
        <v>-114743.63865536</v>
      </c>
      <c r="Q77" s="170" t="n">
        <f aca="false">-Q76*0.2</f>
        <v>-117387.052588373</v>
      </c>
      <c r="R77" s="170" t="n">
        <f aca="false">-R76*0.2</f>
        <v>-120030.466521387</v>
      </c>
      <c r="S77" s="170" t="n">
        <f aca="false">-S76*0.2</f>
        <v>-122673.8804544</v>
      </c>
      <c r="T77" s="170" t="n">
        <f aca="false">-T76*0.2</f>
        <v>-121048.10299008</v>
      </c>
      <c r="U77" s="170" t="n">
        <f aca="false">-U76*0.2</f>
        <v>-119422.32552576</v>
      </c>
      <c r="V77" s="170" t="n">
        <f aca="false">-V76*0.2</f>
        <v>-117796.54806144</v>
      </c>
      <c r="W77" s="170" t="n">
        <f aca="false">-W76*0.2</f>
        <v>-116170.77059712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529363.4858368</v>
      </c>
      <c r="E78" s="170" t="n">
        <f aca="false">SUM(E76:E77)</f>
        <v>307776.341568853</v>
      </c>
      <c r="F78" s="170" t="n">
        <f aca="false">SUM(F76:F77)</f>
        <v>318349.997300906</v>
      </c>
      <c r="G78" s="170" t="n">
        <f aca="false">SUM(G76:G77)</f>
        <v>328923.65303296</v>
      </c>
      <c r="H78" s="170" t="n">
        <f aca="false">SUM(H76:H77)</f>
        <v>339497.308765013</v>
      </c>
      <c r="I78" s="170" t="n">
        <f aca="false">SUM(I76:I77)</f>
        <v>350070.964497066</v>
      </c>
      <c r="J78" s="170" t="n">
        <f aca="false">SUM(J76:J77)</f>
        <v>360644.62022912</v>
      </c>
      <c r="K78" s="170" t="n">
        <f aca="false">SUM(K76:K77)</f>
        <v>371218.275961173</v>
      </c>
      <c r="L78" s="170" t="n">
        <f aca="false">SUM(L76:L77)</f>
        <v>381791.931693226</v>
      </c>
      <c r="M78" s="170" t="n">
        <f aca="false">SUM(M76:M77)</f>
        <v>392365.58742528</v>
      </c>
      <c r="N78" s="170" t="n">
        <f aca="false">SUM(N76:N77)</f>
        <v>437827.243157333</v>
      </c>
      <c r="O78" s="170" t="n">
        <f aca="false">SUM(O76:O77)</f>
        <v>448400.898889386</v>
      </c>
      <c r="P78" s="170" t="n">
        <f aca="false">SUM(P76:P77)</f>
        <v>458974.55462144</v>
      </c>
      <c r="Q78" s="170" t="n">
        <f aca="false">SUM(Q76:Q77)</f>
        <v>469548.210353493</v>
      </c>
      <c r="R78" s="170" t="n">
        <f aca="false">SUM(R76:R77)</f>
        <v>480121.866085546</v>
      </c>
      <c r="S78" s="170" t="n">
        <f aca="false">SUM(S76:S77)</f>
        <v>490695.5218176</v>
      </c>
      <c r="T78" s="170" t="n">
        <f aca="false">SUM(T76:T77)</f>
        <v>484192.41196032</v>
      </c>
      <c r="U78" s="170" t="n">
        <f aca="false">SUM(U76:U77)</f>
        <v>477689.30210304</v>
      </c>
      <c r="V78" s="170" t="n">
        <f aca="false">SUM(V76:V77)</f>
        <v>471186.19224576</v>
      </c>
      <c r="W78" s="170" t="n">
        <f aca="false">SUM(W76:W77)</f>
        <v>464683.08238848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529363.4858368</v>
      </c>
      <c r="E85" s="206" t="n">
        <f aca="false">E78</f>
        <v>307776.341568853</v>
      </c>
      <c r="F85" s="206" t="n">
        <f aca="false">F78</f>
        <v>318349.997300906</v>
      </c>
      <c r="G85" s="206" t="n">
        <f aca="false">G78</f>
        <v>328923.65303296</v>
      </c>
      <c r="H85" s="206" t="n">
        <f aca="false">H78</f>
        <v>339497.308765013</v>
      </c>
      <c r="I85" s="206" t="n">
        <f aca="false">I78</f>
        <v>350070.964497066</v>
      </c>
      <c r="J85" s="206" t="n">
        <f aca="false">J78</f>
        <v>360644.62022912</v>
      </c>
      <c r="K85" s="206" t="n">
        <f aca="false">K78</f>
        <v>371218.275961173</v>
      </c>
      <c r="L85" s="206" t="n">
        <f aca="false">L78</f>
        <v>381791.931693226</v>
      </c>
      <c r="M85" s="206" t="n">
        <f aca="false">M78</f>
        <v>392365.58742528</v>
      </c>
      <c r="N85" s="206" t="n">
        <f aca="false">N78</f>
        <v>437827.243157333</v>
      </c>
      <c r="O85" s="206" t="n">
        <f aca="false">O78</f>
        <v>448400.898889386</v>
      </c>
      <c r="P85" s="206" t="n">
        <f aca="false">P78</f>
        <v>458974.55462144</v>
      </c>
      <c r="Q85" s="206" t="n">
        <f aca="false">Q78</f>
        <v>469548.210353493</v>
      </c>
      <c r="R85" s="206" t="n">
        <f aca="false">R78</f>
        <v>480121.866085546</v>
      </c>
      <c r="S85" s="206" t="n">
        <f aca="false">S78</f>
        <v>490695.5218176</v>
      </c>
      <c r="T85" s="206" t="n">
        <f aca="false">T78</f>
        <v>484192.41196032</v>
      </c>
      <c r="U85" s="206" t="n">
        <f aca="false">U78</f>
        <v>477689.30210304</v>
      </c>
      <c r="V85" s="206" t="n">
        <f aca="false">V78</f>
        <v>471186.19224576</v>
      </c>
      <c r="W85" s="206" t="n">
        <f aca="false">W78</f>
        <v>464683.08238848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781865</v>
      </c>
      <c r="E86" s="207" t="n">
        <f aca="false">-E67</f>
        <v>781865</v>
      </c>
      <c r="F86" s="207" t="n">
        <f aca="false">-F67</f>
        <v>781865</v>
      </c>
      <c r="G86" s="207" t="n">
        <f aca="false">-G67</f>
        <v>781865</v>
      </c>
      <c r="H86" s="207" t="n">
        <f aca="false">-H67</f>
        <v>781865</v>
      </c>
      <c r="I86" s="207" t="n">
        <f aca="false">-I67</f>
        <v>781865</v>
      </c>
      <c r="J86" s="207" t="n">
        <f aca="false">-J67</f>
        <v>781865</v>
      </c>
      <c r="K86" s="207" t="n">
        <f aca="false">-K67</f>
        <v>781865</v>
      </c>
      <c r="L86" s="207" t="n">
        <f aca="false">-L67</f>
        <v>781865</v>
      </c>
      <c r="M86" s="207" t="n">
        <f aca="false">-M67</f>
        <v>781865</v>
      </c>
      <c r="N86" s="207" t="n">
        <f aca="false">-N67</f>
        <v>781865</v>
      </c>
      <c r="O86" s="207" t="n">
        <f aca="false">-O67</f>
        <v>781865</v>
      </c>
      <c r="P86" s="207" t="n">
        <f aca="false">-P67</f>
        <v>781865</v>
      </c>
      <c r="Q86" s="207" t="n">
        <f aca="false">-Q67</f>
        <v>781865</v>
      </c>
      <c r="R86" s="207" t="n">
        <f aca="false">-R67</f>
        <v>781865</v>
      </c>
      <c r="S86" s="207" t="n">
        <f aca="false">-S67</f>
        <v>781865</v>
      </c>
      <c r="T86" s="207" t="n">
        <f aca="false">-T67</f>
        <v>781865</v>
      </c>
      <c r="U86" s="207" t="n">
        <f aca="false">-U67</f>
        <v>781865</v>
      </c>
      <c r="V86" s="207" t="n">
        <f aca="false">-V67</f>
        <v>781865</v>
      </c>
      <c r="W86" s="207" t="n">
        <f aca="false">-W67</f>
        <v>781865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1311228.4858368</v>
      </c>
      <c r="E87" s="209" t="n">
        <f aca="false">SUM(E85:E86)</f>
        <v>1089641.34156885</v>
      </c>
      <c r="F87" s="209" t="n">
        <f aca="false">SUM(F85:F86)</f>
        <v>1100214.99730091</v>
      </c>
      <c r="G87" s="209" t="n">
        <f aca="false">SUM(G85:G86)</f>
        <v>1110788.65303296</v>
      </c>
      <c r="H87" s="209" t="n">
        <f aca="false">SUM(H85:H86)</f>
        <v>1121362.30876501</v>
      </c>
      <c r="I87" s="209" t="n">
        <f aca="false">SUM(I85:I86)</f>
        <v>1131935.96449707</v>
      </c>
      <c r="J87" s="209" t="n">
        <f aca="false">SUM(J85:J86)</f>
        <v>1142509.62022912</v>
      </c>
      <c r="K87" s="209" t="n">
        <f aca="false">SUM(K85:K86)</f>
        <v>1153083.27596117</v>
      </c>
      <c r="L87" s="209" t="n">
        <f aca="false">SUM(L85:L86)</f>
        <v>1163656.93169323</v>
      </c>
      <c r="M87" s="209" t="n">
        <f aca="false">SUM(M85:M86)</f>
        <v>1174230.58742528</v>
      </c>
      <c r="N87" s="209" t="n">
        <f aca="false">SUM(N85:N86)</f>
        <v>1219692.24315733</v>
      </c>
      <c r="O87" s="209" t="n">
        <f aca="false">SUM(O85:O86)</f>
        <v>1230265.89888939</v>
      </c>
      <c r="P87" s="209" t="n">
        <f aca="false">SUM(P85:P86)</f>
        <v>1240839.55462144</v>
      </c>
      <c r="Q87" s="209" t="n">
        <f aca="false">SUM(Q85:Q86)</f>
        <v>1251413.21035349</v>
      </c>
      <c r="R87" s="209" t="n">
        <f aca="false">SUM(R85:R86)</f>
        <v>1261986.86608555</v>
      </c>
      <c r="S87" s="209" t="n">
        <f aca="false">SUM(S85:S86)</f>
        <v>1272560.5218176</v>
      </c>
      <c r="T87" s="209" t="n">
        <f aca="false">SUM(T85:T86)</f>
        <v>1266057.41196032</v>
      </c>
      <c r="U87" s="209" t="n">
        <f aca="false">SUM(U85:U86)</f>
        <v>1259554.30210304</v>
      </c>
      <c r="V87" s="209" t="n">
        <f aca="false">SUM(V85:V86)</f>
        <v>1253051.19224576</v>
      </c>
      <c r="W87" s="209" t="n">
        <f aca="false">SUM(W85:W86)</f>
        <v>1246548.08238848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-15637300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12509840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-833989.333333333</v>
      </c>
      <c r="F93" s="215" t="n">
        <v>-833989.333333333</v>
      </c>
      <c r="G93" s="215" t="n">
        <v>-833989.333333333</v>
      </c>
      <c r="H93" s="215" t="n">
        <v>-833989.333333333</v>
      </c>
      <c r="I93" s="215" t="n">
        <v>-833989.333333333</v>
      </c>
      <c r="J93" s="215" t="n">
        <v>-833989.333333333</v>
      </c>
      <c r="K93" s="215" t="n">
        <v>-833989.333333333</v>
      </c>
      <c r="L93" s="215" t="n">
        <v>-833989.333333333</v>
      </c>
      <c r="M93" s="215" t="n">
        <v>-833989.333333333</v>
      </c>
      <c r="N93" s="215" t="n">
        <v>-833989.333333333</v>
      </c>
      <c r="O93" s="215" t="n">
        <v>-833989.333333333</v>
      </c>
      <c r="P93" s="215" t="n">
        <v>-833989.333333333</v>
      </c>
      <c r="Q93" s="215" t="n">
        <v>-833989.333333333</v>
      </c>
      <c r="R93" s="215" t="n">
        <v>-833989.333333333</v>
      </c>
      <c r="S93" s="215" t="n">
        <v>-833989.333333333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3127460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-476427.13725312</v>
      </c>
      <c r="F95" s="216" t="n">
        <f aca="false">-E85*$D$33</f>
        <v>-276998.707411968</v>
      </c>
      <c r="G95" s="216" t="n">
        <f aca="false">-F85*$D$33</f>
        <v>-286514.997570816</v>
      </c>
      <c r="H95" s="216" t="n">
        <f aca="false">-G85*$D$33</f>
        <v>-296031.287729664</v>
      </c>
      <c r="I95" s="216" t="n">
        <f aca="false">-H85*$D$33</f>
        <v>-305547.577888512</v>
      </c>
      <c r="J95" s="216" t="n">
        <f aca="false">-I85*$D$33</f>
        <v>-315063.86804736</v>
      </c>
      <c r="K95" s="216" t="n">
        <f aca="false">-J85*$D$33</f>
        <v>-324580.158206208</v>
      </c>
      <c r="L95" s="216" t="n">
        <f aca="false">-K85*$D$33</f>
        <v>-334096.448365056</v>
      </c>
      <c r="M95" s="216" t="n">
        <f aca="false">-L85*$D$33</f>
        <v>-343612.738523904</v>
      </c>
      <c r="N95" s="216" t="n">
        <f aca="false">-M85*$D$33</f>
        <v>-353129.028682752</v>
      </c>
      <c r="O95" s="216" t="n">
        <f aca="false">-N85*$D$33</f>
        <v>-394044.5188416</v>
      </c>
      <c r="P95" s="216" t="n">
        <f aca="false">-O85*$D$33</f>
        <v>-403560.809000448</v>
      </c>
      <c r="Q95" s="216" t="n">
        <f aca="false">-P85*$D$33</f>
        <v>-413077.099159296</v>
      </c>
      <c r="R95" s="216" t="n">
        <f aca="false">-Q85*$D$33</f>
        <v>-422593.389318144</v>
      </c>
      <c r="S95" s="216" t="n">
        <f aca="false">-R85*$D$33</f>
        <v>-432109.679476992</v>
      </c>
      <c r="T95" s="216" t="n">
        <f aca="false">-S85*$D$33</f>
        <v>-441625.96963584</v>
      </c>
      <c r="U95" s="216" t="n">
        <f aca="false">-T85*$D$33</f>
        <v>-435773.170764288</v>
      </c>
      <c r="V95" s="216" t="n">
        <f aca="false">-U85*$D$33</f>
        <v>-429920.371892736</v>
      </c>
      <c r="W95" s="216" t="n">
        <f aca="false">-V85*$D$33</f>
        <v>-424067.573021184</v>
      </c>
      <c r="X95" s="216" t="n">
        <f aca="false">-W85*$D$33</f>
        <v>-418214.774149632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-781865</v>
      </c>
      <c r="U96" s="219" t="n">
        <v>-781865</v>
      </c>
      <c r="V96" s="219" t="n">
        <v>-781865</v>
      </c>
      <c r="W96" s="219" t="n">
        <v>-781865</v>
      </c>
      <c r="X96" s="220" t="n">
        <f aca="false">-W101-X95</f>
        <v>-836332.144993283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1311228.4858368</v>
      </c>
      <c r="E99" s="206" t="n">
        <f aca="false">SUM(E87:E96)</f>
        <v>-220775.1290176</v>
      </c>
      <c r="F99" s="206" t="n">
        <f aca="false">SUM(F87:F96)</f>
        <v>-10773.0434443944</v>
      </c>
      <c r="G99" s="206" t="n">
        <f aca="false">SUM(G87:G96)</f>
        <v>-9715.67787118931</v>
      </c>
      <c r="H99" s="206" t="n">
        <f aca="false">SUM(H87:H96)</f>
        <v>-8658.31229798397</v>
      </c>
      <c r="I99" s="206" t="n">
        <f aca="false">SUM(I87:I96)</f>
        <v>-7600.94672477845</v>
      </c>
      <c r="J99" s="206" t="n">
        <f aca="false">SUM(J87:J96)</f>
        <v>-6543.5811515731</v>
      </c>
      <c r="K99" s="206" t="n">
        <f aca="false">SUM(K87:K96)</f>
        <v>-5486.21557836793</v>
      </c>
      <c r="L99" s="206" t="n">
        <f aca="false">SUM(L87:L96)</f>
        <v>-4428.85000516247</v>
      </c>
      <c r="M99" s="206" t="n">
        <f aca="false">SUM(M87:M96)</f>
        <v>-3371.48443195713</v>
      </c>
      <c r="N99" s="206" t="n">
        <f aca="false">SUM(N87:N96)</f>
        <v>32573.8811412482</v>
      </c>
      <c r="O99" s="206" t="n">
        <f aca="false">SUM(O87:O96)</f>
        <v>2232.04671445355</v>
      </c>
      <c r="P99" s="206" t="n">
        <f aca="false">SUM(P87:P96)</f>
        <v>3289.4122876589</v>
      </c>
      <c r="Q99" s="206" t="n">
        <f aca="false">SUM(Q87:Q96)</f>
        <v>4346.77786086418</v>
      </c>
      <c r="R99" s="206" t="n">
        <f aca="false">SUM(R87:R96)</f>
        <v>5404.14343406953</v>
      </c>
      <c r="S99" s="206" t="n">
        <f aca="false">SUM(S87:S96)</f>
        <v>6461.50900727487</v>
      </c>
      <c r="T99" s="206" t="n">
        <f aca="false">SUM(T87:T96)</f>
        <v>42566.4423244798</v>
      </c>
      <c r="U99" s="206" t="n">
        <f aca="false">SUM(U87:U96)</f>
        <v>41916.1313387522</v>
      </c>
      <c r="V99" s="206" t="n">
        <f aca="false">SUM(V87:V96)</f>
        <v>41265.8203530241</v>
      </c>
      <c r="W99" s="206" t="n">
        <f aca="false">SUM(W87:W96)</f>
        <v>40615.5093672964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1311228.4858368</v>
      </c>
      <c r="F100" s="206" t="n">
        <f aca="false">E101</f>
        <v>1090453.3568192</v>
      </c>
      <c r="G100" s="206" t="n">
        <f aca="false">F101</f>
        <v>1079680.31337481</v>
      </c>
      <c r="H100" s="206" t="n">
        <f aca="false">G101</f>
        <v>1069964.63550362</v>
      </c>
      <c r="I100" s="206" t="n">
        <f aca="false">H101</f>
        <v>1061306.32320563</v>
      </c>
      <c r="J100" s="206" t="n">
        <f aca="false">I101</f>
        <v>1053705.37648085</v>
      </c>
      <c r="K100" s="206" t="n">
        <f aca="false">J101</f>
        <v>1047161.79532928</v>
      </c>
      <c r="L100" s="206" t="n">
        <f aca="false">K101</f>
        <v>1041675.57975091</v>
      </c>
      <c r="M100" s="206" t="n">
        <f aca="false">L101</f>
        <v>1037246.72974575</v>
      </c>
      <c r="N100" s="206" t="n">
        <f aca="false">M101</f>
        <v>1033875.24531379</v>
      </c>
      <c r="O100" s="206" t="n">
        <f aca="false">N101</f>
        <v>1066449.12645504</v>
      </c>
      <c r="P100" s="206" t="n">
        <f aca="false">O101</f>
        <v>1068681.17316949</v>
      </c>
      <c r="Q100" s="206" t="n">
        <f aca="false">P101</f>
        <v>1071970.58545715</v>
      </c>
      <c r="R100" s="206" t="n">
        <f aca="false">Q101</f>
        <v>1076317.36331802</v>
      </c>
      <c r="S100" s="206" t="n">
        <f aca="false">R101</f>
        <v>1081721.50675209</v>
      </c>
      <c r="T100" s="206" t="n">
        <f aca="false">S101</f>
        <v>1088183.01575936</v>
      </c>
      <c r="U100" s="206" t="n">
        <f aca="false">T101</f>
        <v>1130749.45808384</v>
      </c>
      <c r="V100" s="206" t="n">
        <f aca="false">U101</f>
        <v>1172665.58942259</v>
      </c>
      <c r="W100" s="206" t="n">
        <f aca="false">V101</f>
        <v>1213931.40977562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1311228.4858368</v>
      </c>
      <c r="E101" s="206" t="n">
        <f aca="false">E99+E100</f>
        <v>1090453.3568192</v>
      </c>
      <c r="F101" s="206" t="n">
        <f aca="false">F99+F100</f>
        <v>1079680.31337481</v>
      </c>
      <c r="G101" s="206" t="n">
        <f aca="false">G99+G100</f>
        <v>1069964.63550362</v>
      </c>
      <c r="H101" s="206" t="n">
        <f aca="false">H99+H100</f>
        <v>1061306.32320563</v>
      </c>
      <c r="I101" s="206" t="n">
        <f aca="false">I99+I100</f>
        <v>1053705.37648085</v>
      </c>
      <c r="J101" s="206" t="n">
        <f aca="false">J99+J100</f>
        <v>1047161.79532928</v>
      </c>
      <c r="K101" s="206" t="n">
        <f aca="false">K99+K100</f>
        <v>1041675.57975091</v>
      </c>
      <c r="L101" s="206" t="n">
        <f aca="false">L99+L100</f>
        <v>1037246.72974575</v>
      </c>
      <c r="M101" s="206" t="n">
        <f aca="false">M99+M100</f>
        <v>1033875.24531379</v>
      </c>
      <c r="N101" s="206" t="n">
        <f aca="false">N99+N100</f>
        <v>1066449.12645504</v>
      </c>
      <c r="O101" s="206" t="n">
        <f aca="false">O99+O100</f>
        <v>1068681.17316949</v>
      </c>
      <c r="P101" s="206" t="n">
        <f aca="false">P99+P100</f>
        <v>1071970.58545715</v>
      </c>
      <c r="Q101" s="206" t="n">
        <f aca="false">Q99+Q100</f>
        <v>1076317.36331802</v>
      </c>
      <c r="R101" s="206" t="n">
        <f aca="false">R99+R100</f>
        <v>1081721.50675209</v>
      </c>
      <c r="S101" s="206" t="n">
        <f aca="false">S99+S100</f>
        <v>1088183.01575936</v>
      </c>
      <c r="T101" s="206" t="n">
        <f aca="false">T99+T100</f>
        <v>1130749.45808384</v>
      </c>
      <c r="U101" s="206" t="n">
        <f aca="false">U99+U100</f>
        <v>1172665.58942259</v>
      </c>
      <c r="V101" s="206" t="n">
        <f aca="false">V99+V100</f>
        <v>1213931.40977562</v>
      </c>
      <c r="W101" s="206" t="n">
        <f aca="false">W99+W100</f>
        <v>1254546.91914292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-3127460</v>
      </c>
      <c r="E104" s="209" t="n">
        <f aca="false">-E95-E96</f>
        <v>476427.13725312</v>
      </c>
      <c r="F104" s="209" t="n">
        <f aca="false">-F95-F96</f>
        <v>276998.707411968</v>
      </c>
      <c r="G104" s="209" t="n">
        <f aca="false">-G95-G96</f>
        <v>286514.997570816</v>
      </c>
      <c r="H104" s="209" t="n">
        <f aca="false">-H95-H96</f>
        <v>296031.287729664</v>
      </c>
      <c r="I104" s="209" t="n">
        <f aca="false">-I95-I96</f>
        <v>305547.577888512</v>
      </c>
      <c r="J104" s="209" t="n">
        <f aca="false">-J95-J96</f>
        <v>315063.86804736</v>
      </c>
      <c r="K104" s="209" t="n">
        <f aca="false">-K95-K96</f>
        <v>324580.158206208</v>
      </c>
      <c r="L104" s="209" t="n">
        <f aca="false">-L95-L96</f>
        <v>334096.448365056</v>
      </c>
      <c r="M104" s="209" t="n">
        <f aca="false">-M95-M96</f>
        <v>343612.738523904</v>
      </c>
      <c r="N104" s="209" t="n">
        <f aca="false">-N95-N96</f>
        <v>353129.028682752</v>
      </c>
      <c r="O104" s="209" t="n">
        <f aca="false">-O95-O96</f>
        <v>394044.5188416</v>
      </c>
      <c r="P104" s="209" t="n">
        <f aca="false">-P95-P96</f>
        <v>403560.809000448</v>
      </c>
      <c r="Q104" s="209" t="n">
        <f aca="false">-Q95-Q96</f>
        <v>413077.099159296</v>
      </c>
      <c r="R104" s="209" t="n">
        <f aca="false">-R95-R96</f>
        <v>422593.389318144</v>
      </c>
      <c r="S104" s="209" t="n">
        <f aca="false">-S95-S96</f>
        <v>432109.679476992</v>
      </c>
      <c r="T104" s="209" t="n">
        <f aca="false">-T95-T96</f>
        <v>1223490.96963584</v>
      </c>
      <c r="U104" s="209" t="n">
        <f aca="false">-U95-U96</f>
        <v>1217638.17076429</v>
      </c>
      <c r="V104" s="209" t="n">
        <f aca="false">-V95-V96</f>
        <v>1211785.37189274</v>
      </c>
      <c r="W104" s="209" t="n">
        <f aca="false">-W95-W96</f>
        <v>1205932.57302118</v>
      </c>
      <c r="X104" s="209" t="n">
        <f aca="false">-X95-X96</f>
        <v>1254546.91914292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0.12175567061676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-2598096.5141632</v>
      </c>
      <c r="E106" s="209" t="n">
        <f aca="false">E85</f>
        <v>307776.341568853</v>
      </c>
      <c r="F106" s="209" t="n">
        <f aca="false">F85-F96</f>
        <v>318349.997300906</v>
      </c>
      <c r="G106" s="209" t="n">
        <f aca="false">G85-G96</f>
        <v>328923.65303296</v>
      </c>
      <c r="H106" s="209" t="n">
        <f aca="false">H85-H96</f>
        <v>339497.308765013</v>
      </c>
      <c r="I106" s="209" t="n">
        <f aca="false">I85-I96</f>
        <v>350070.964497066</v>
      </c>
      <c r="J106" s="209" t="n">
        <f aca="false">J85-J96</f>
        <v>360644.62022912</v>
      </c>
      <c r="K106" s="209" t="n">
        <f aca="false">K85-K96</f>
        <v>371218.275961173</v>
      </c>
      <c r="L106" s="209" t="n">
        <f aca="false">L85-L96</f>
        <v>381791.931693226</v>
      </c>
      <c r="M106" s="209" t="n">
        <f aca="false">M85-M96</f>
        <v>392365.58742528</v>
      </c>
      <c r="N106" s="209" t="n">
        <f aca="false">N85-N96</f>
        <v>437827.243157333</v>
      </c>
      <c r="O106" s="209" t="n">
        <f aca="false">O85-O96</f>
        <v>448400.898889386</v>
      </c>
      <c r="P106" s="209" t="n">
        <f aca="false">P85-P96</f>
        <v>458974.55462144</v>
      </c>
      <c r="Q106" s="209" t="n">
        <f aca="false">Q85-Q96</f>
        <v>469548.210353493</v>
      </c>
      <c r="R106" s="209" t="n">
        <f aca="false">R85-R96</f>
        <v>480121.866085546</v>
      </c>
      <c r="S106" s="209" t="n">
        <f aca="false">S85-S96</f>
        <v>490695.5218176</v>
      </c>
      <c r="T106" s="209" t="n">
        <f aca="false">T85-T96</f>
        <v>1266057.41196032</v>
      </c>
      <c r="U106" s="209" t="n">
        <f aca="false">U85-U96</f>
        <v>1259554.30210304</v>
      </c>
      <c r="V106" s="209" t="n">
        <f aca="false">V85-V96</f>
        <v>1253051.19224576</v>
      </c>
      <c r="W106" s="209" t="n">
        <f aca="false">W85-W96</f>
        <v>1246548.08238848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0.147935313936342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12509840</v>
      </c>
      <c r="E109" s="206" t="n">
        <f aca="false">D109+E93</f>
        <v>11675850.6666667</v>
      </c>
      <c r="F109" s="206" t="n">
        <f aca="false">E109+F93</f>
        <v>10841861.3333333</v>
      </c>
      <c r="G109" s="206" t="n">
        <f aca="false">F109+G93</f>
        <v>10007872</v>
      </c>
      <c r="H109" s="206" t="n">
        <f aca="false">G109+H93</f>
        <v>9173882.66666667</v>
      </c>
      <c r="I109" s="206" t="n">
        <f aca="false">H109+I93</f>
        <v>8339893.33333334</v>
      </c>
      <c r="J109" s="206" t="n">
        <f aca="false">I109+J93</f>
        <v>7505904</v>
      </c>
      <c r="K109" s="206" t="n">
        <f aca="false">J109+K93</f>
        <v>6671914.66666667</v>
      </c>
      <c r="L109" s="206" t="n">
        <f aca="false">K109+L93</f>
        <v>5837925.33333334</v>
      </c>
      <c r="M109" s="206" t="n">
        <f aca="false">L109+M93</f>
        <v>5003936</v>
      </c>
      <c r="N109" s="206" t="n">
        <f aca="false">M109+N93</f>
        <v>4169946.66666667</v>
      </c>
      <c r="O109" s="206" t="n">
        <f aca="false">N109+O93</f>
        <v>3335957.33333334</v>
      </c>
      <c r="P109" s="206" t="n">
        <f aca="false">O109+P93</f>
        <v>2501968</v>
      </c>
      <c r="Q109" s="206" t="n">
        <f aca="false">P109+Q93</f>
        <v>1667978.66666667</v>
      </c>
      <c r="R109" s="206" t="n">
        <f aca="false">Q109+R93</f>
        <v>833989.333333336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150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151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99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-14391300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-27474.3</v>
      </c>
      <c r="E49" s="170" t="n">
        <v>-27474.3</v>
      </c>
      <c r="F49" s="170" t="n">
        <v>-27474.3</v>
      </c>
      <c r="G49" s="170" t="n">
        <v>-27474.3</v>
      </c>
      <c r="H49" s="170" t="n">
        <v>-27474.3</v>
      </c>
      <c r="I49" s="170" t="n">
        <v>-27474.3</v>
      </c>
      <c r="J49" s="170" t="n">
        <v>-27474.3</v>
      </c>
      <c r="K49" s="170" t="n">
        <v>-27474.3</v>
      </c>
      <c r="L49" s="170" t="n">
        <v>-27474.3</v>
      </c>
      <c r="M49" s="170" t="n">
        <v>-27474.3</v>
      </c>
      <c r="N49" s="170" t="n">
        <v>-27474.3</v>
      </c>
      <c r="O49" s="170" t="n">
        <v>-27474.3</v>
      </c>
      <c r="P49" s="170" t="n">
        <v>-27474.3</v>
      </c>
      <c r="Q49" s="170" t="n">
        <v>-27474.3</v>
      </c>
      <c r="R49" s="170" t="n">
        <v>-27474.3</v>
      </c>
      <c r="S49" s="170" t="n">
        <v>-27474.3</v>
      </c>
      <c r="T49" s="170" t="n">
        <v>-27474.3</v>
      </c>
      <c r="U49" s="170" t="n">
        <v>-27474.3</v>
      </c>
      <c r="V49" s="170" t="n">
        <v>-27474.3</v>
      </c>
      <c r="W49" s="170" t="n">
        <v>-27474.3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-209362.0624192</v>
      </c>
      <c r="E54" s="170" t="n">
        <f aca="false">-(E64+E67+E68+E71+E72+E73+E74)*0.2</f>
        <v>-149696.08495488</v>
      </c>
      <c r="F54" s="170" t="n">
        <f aca="false">-(F64+F67+F68+F71+F72+F73+F74)*0.2</f>
        <v>-148070.30749056</v>
      </c>
      <c r="G54" s="170" t="n">
        <f aca="false">-(G64+G67+G68+G71+G72+G73+G74)*0.2</f>
        <v>-146444.53002624</v>
      </c>
      <c r="H54" s="170" t="n">
        <f aca="false">-(H64+H67+H68+H71+H72+H73+H74)*0.2</f>
        <v>-144818.75256192</v>
      </c>
      <c r="I54" s="170" t="n">
        <f aca="false">-(I64+I67+I68+I71+I72+I73+I74)*0.2</f>
        <v>-143192.9750976</v>
      </c>
      <c r="J54" s="170" t="n">
        <f aca="false">-(J64+J67+J68+J71+J72+J73+J74)*0.2</f>
        <v>-141567.19763328</v>
      </c>
      <c r="K54" s="170" t="n">
        <f aca="false">-(K64+K67+K68+K71+K72+K73+K74)*0.2</f>
        <v>-139941.42016896</v>
      </c>
      <c r="L54" s="170" t="n">
        <f aca="false">-(L64+L67+L68+L71+L72+L73+L74)*0.2</f>
        <v>-138315.64270464</v>
      </c>
      <c r="M54" s="170" t="n">
        <f aca="false">-(M64+M67+M68+M71+M72+M73+M74)*0.2</f>
        <v>-136689.86524032</v>
      </c>
      <c r="N54" s="170" t="n">
        <f aca="false">-(N64+N67+N68+N71+N72+N73+N74)*0.2</f>
        <v>-143786.087776</v>
      </c>
      <c r="O54" s="170" t="n">
        <f aca="false">-(O64+O67+O68+O71+O72+O73+O74)*0.2</f>
        <v>-142160.31031168</v>
      </c>
      <c r="P54" s="170" t="n">
        <f aca="false">-(P64+P67+P68+P71+P72+P73+P74)*0.2</f>
        <v>-140534.53284736</v>
      </c>
      <c r="Q54" s="170" t="n">
        <f aca="false">-(Q64+Q67+Q68+Q71+Q72+Q73+Q74)*0.2</f>
        <v>-138908.75538304</v>
      </c>
      <c r="R54" s="170" t="n">
        <f aca="false">-(R64+R67+R68+R71+R72+R73+R74)*0.2</f>
        <v>-137282.97791872</v>
      </c>
      <c r="S54" s="170" t="n">
        <f aca="false">-(S64+S67+S68+S71+S72+S73+S74)*0.2</f>
        <v>-135657.2004544</v>
      </c>
      <c r="T54" s="170" t="n">
        <f aca="false">-(T64+T67+T68+T71+T72+T73+T74)*0.2</f>
        <v>-134031.42299008</v>
      </c>
      <c r="U54" s="170" t="n">
        <f aca="false">-(U64+U67+U68+U71+U72+U73+U74)*0.2</f>
        <v>-132405.64552576</v>
      </c>
      <c r="V54" s="170" t="n">
        <f aca="false">-(V64+V67+V68+V71+V72+V73+V74)*0.2</f>
        <v>-130779.86806144</v>
      </c>
      <c r="W54" s="170" t="n">
        <f aca="false">-(W64+W67+W68+W71+W72+W73+W74)*0.2</f>
        <v>-129154.09059712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-14391300</v>
      </c>
      <c r="D55" s="175" t="n">
        <f aca="false">SUM(D41:D54)</f>
        <v>1557013.2496768</v>
      </c>
      <c r="E55" s="175" t="n">
        <f aca="false">SUM(E41:E54)</f>
        <v>1318349.33981952</v>
      </c>
      <c r="F55" s="175" t="n">
        <f aca="false">SUM(F41:F54)</f>
        <v>1311846.22996224</v>
      </c>
      <c r="G55" s="175" t="n">
        <f aca="false">SUM(G41:G54)</f>
        <v>1305343.12010496</v>
      </c>
      <c r="H55" s="175" t="n">
        <f aca="false">SUM(H41:H54)</f>
        <v>1298840.01024768</v>
      </c>
      <c r="I55" s="175" t="n">
        <f aca="false">SUM(I41:I54)</f>
        <v>1292336.9003904</v>
      </c>
      <c r="J55" s="175" t="n">
        <f aca="false">SUM(J41:J54)</f>
        <v>1285833.79053312</v>
      </c>
      <c r="K55" s="175" t="n">
        <f aca="false">SUM(K41:K54)</f>
        <v>1279330.68067584</v>
      </c>
      <c r="L55" s="175" t="n">
        <f aca="false">SUM(L41:L54)</f>
        <v>1272827.57081856</v>
      </c>
      <c r="M55" s="175" t="n">
        <f aca="false">SUM(M41:M54)</f>
        <v>1266324.46096128</v>
      </c>
      <c r="N55" s="175" t="n">
        <f aca="false">SUM(N41:N54)</f>
        <v>1294709.351104</v>
      </c>
      <c r="O55" s="175" t="n">
        <f aca="false">SUM(O41:O54)</f>
        <v>1288206.24124672</v>
      </c>
      <c r="P55" s="175" t="n">
        <f aca="false">SUM(P41:P54)</f>
        <v>1281703.13138944</v>
      </c>
      <c r="Q55" s="175" t="n">
        <f aca="false">SUM(Q41:Q54)</f>
        <v>1275200.02153216</v>
      </c>
      <c r="R55" s="175" t="n">
        <f aca="false">SUM(R41:R54)</f>
        <v>1268696.91167488</v>
      </c>
      <c r="S55" s="175" t="n">
        <f aca="false">SUM(S41:S54)</f>
        <v>1262193.8018176</v>
      </c>
      <c r="T55" s="175" t="n">
        <f aca="false">SUM(T41:T54)</f>
        <v>1255690.69196032</v>
      </c>
      <c r="U55" s="175" t="n">
        <f aca="false">SUM(U41:U54)</f>
        <v>1249187.58210304</v>
      </c>
      <c r="V55" s="175" t="n">
        <f aca="false">SUM(V41:V54)</f>
        <v>1242684.47224576</v>
      </c>
      <c r="W55" s="175" t="n">
        <f aca="false">SUM(W41:W54)</f>
        <v>1236181.36238848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-12834286.7503232</v>
      </c>
      <c r="E56" s="180" t="n">
        <f aca="false">D56+E55</f>
        <v>-11515937.4105037</v>
      </c>
      <c r="F56" s="180" t="n">
        <f aca="false">E56+F55</f>
        <v>-10204091.1805414</v>
      </c>
      <c r="G56" s="180" t="n">
        <f aca="false">F56+G55</f>
        <v>-8898748.06043648</v>
      </c>
      <c r="H56" s="180" t="n">
        <f aca="false">G56+H55</f>
        <v>-7599908.0501888</v>
      </c>
      <c r="I56" s="180" t="n">
        <f aca="false">H56+I55</f>
        <v>-6307571.1497984</v>
      </c>
      <c r="J56" s="180" t="n">
        <f aca="false">I56+J55</f>
        <v>-5021737.35926528</v>
      </c>
      <c r="K56" s="180" t="n">
        <f aca="false">J56+K55</f>
        <v>-3742406.67858944</v>
      </c>
      <c r="L56" s="180" t="n">
        <f aca="false">K56+L55</f>
        <v>-2469579.10777088</v>
      </c>
      <c r="M56" s="180" t="n">
        <f aca="false">L56+M55</f>
        <v>-1203254.6468096</v>
      </c>
      <c r="N56" s="180" t="n">
        <f aca="false">M56+N55</f>
        <v>91454.7042943968</v>
      </c>
      <c r="O56" s="180" t="n">
        <f aca="false">N56+O55</f>
        <v>1379660.94554112</v>
      </c>
      <c r="P56" s="180" t="n">
        <f aca="false">O56+P55</f>
        <v>2661364.07693056</v>
      </c>
      <c r="Q56" s="180" t="n">
        <f aca="false">P56+Q55</f>
        <v>3936564.09846272</v>
      </c>
      <c r="R56" s="180" t="n">
        <f aca="false">Q56+R55</f>
        <v>5205261.0101376</v>
      </c>
      <c r="S56" s="180" t="n">
        <f aca="false">R56+S55</f>
        <v>6467454.8119552</v>
      </c>
      <c r="T56" s="180" t="n">
        <f aca="false">S56+T55</f>
        <v>7723145.50391552</v>
      </c>
      <c r="U56" s="180" t="n">
        <f aca="false">T56+U55</f>
        <v>8972333.08601856</v>
      </c>
      <c r="V56" s="180" t="n">
        <f aca="false">U56+V55</f>
        <v>10215017.5582643</v>
      </c>
      <c r="W56" s="180" t="n">
        <f aca="false">V56+W55</f>
        <v>11451198.9206528</v>
      </c>
      <c r="X56" s="180" t="n">
        <f aca="false">W56+X55</f>
        <v>11451198.9206528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0.0652122723518077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-719565</v>
      </c>
      <c r="E67" s="191" t="n">
        <f aca="false">$C$44/$E$16</f>
        <v>-719565</v>
      </c>
      <c r="F67" s="191" t="n">
        <f aca="false">$C$44/$E$16</f>
        <v>-719565</v>
      </c>
      <c r="G67" s="191" t="n">
        <f aca="false">$C$44/$E$16</f>
        <v>-719565</v>
      </c>
      <c r="H67" s="191" t="n">
        <f aca="false">$C$44/$E$16</f>
        <v>-719565</v>
      </c>
      <c r="I67" s="191" t="n">
        <f aca="false">$C$44/$E$16</f>
        <v>-719565</v>
      </c>
      <c r="J67" s="191" t="n">
        <f aca="false">$C$44/$E$16</f>
        <v>-719565</v>
      </c>
      <c r="K67" s="191" t="n">
        <f aca="false">$C$44/$E$16</f>
        <v>-719565</v>
      </c>
      <c r="L67" s="191" t="n">
        <f aca="false">$C$44/$E$16</f>
        <v>-719565</v>
      </c>
      <c r="M67" s="191" t="n">
        <f aca="false">$C$44/$E$16</f>
        <v>-719565</v>
      </c>
      <c r="N67" s="191" t="n">
        <f aca="false">$C$44/$E$16</f>
        <v>-719565</v>
      </c>
      <c r="O67" s="191" t="n">
        <f aca="false">$C$44/$E$16</f>
        <v>-719565</v>
      </c>
      <c r="P67" s="191" t="n">
        <f aca="false">$C$44/$E$16</f>
        <v>-719565</v>
      </c>
      <c r="Q67" s="191" t="n">
        <f aca="false">$C$44/$E$16</f>
        <v>-719565</v>
      </c>
      <c r="R67" s="191" t="n">
        <f aca="false">$C$44/$E$16</f>
        <v>-719565</v>
      </c>
      <c r="S67" s="191" t="n">
        <f aca="false">$C$44/$E$16</f>
        <v>-719565</v>
      </c>
      <c r="T67" s="191" t="n">
        <f aca="false">$C$44/$E$16</f>
        <v>-719565</v>
      </c>
      <c r="U67" s="191" t="n">
        <f aca="false">$C$44/$E$16</f>
        <v>-719565</v>
      </c>
      <c r="V67" s="191" t="n">
        <f aca="false">$C$44/$E$16</f>
        <v>-719565</v>
      </c>
      <c r="W67" s="191" t="n">
        <f aca="false">$C$44/$E$16</f>
        <v>-719565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-294676.2588</v>
      </c>
      <c r="E70" s="170" t="n">
        <f aca="false">-E109*$D25</f>
        <v>-275031.17488</v>
      </c>
      <c r="F70" s="170" t="n">
        <f aca="false">-F109*$D25</f>
        <v>-255386.09096</v>
      </c>
      <c r="G70" s="170" t="n">
        <f aca="false">-G109*$D25</f>
        <v>-235741.00704</v>
      </c>
      <c r="H70" s="170" t="n">
        <f aca="false">-H109*$D25</f>
        <v>-216095.92312</v>
      </c>
      <c r="I70" s="170" t="n">
        <f aca="false">-I109*$D25</f>
        <v>-196450.8392</v>
      </c>
      <c r="J70" s="170" t="n">
        <f aca="false">-J109*$D25</f>
        <v>-176805.75528</v>
      </c>
      <c r="K70" s="170" t="n">
        <f aca="false">-K109*$D25</f>
        <v>-157160.67136</v>
      </c>
      <c r="L70" s="170" t="n">
        <f aca="false">-L109*$D25</f>
        <v>-137515.58744</v>
      </c>
      <c r="M70" s="170" t="n">
        <f aca="false">-M109*$D25</f>
        <v>-117870.50352</v>
      </c>
      <c r="N70" s="170" t="n">
        <f aca="false">-N109*$D25</f>
        <v>-98225.4196</v>
      </c>
      <c r="O70" s="170" t="n">
        <f aca="false">-O109*$D25</f>
        <v>-78580.33568</v>
      </c>
      <c r="P70" s="170" t="n">
        <f aca="false">-P109*$D25</f>
        <v>-58935.25176</v>
      </c>
      <c r="Q70" s="170" t="n">
        <f aca="false">-Q109*$D25</f>
        <v>-39290.16784</v>
      </c>
      <c r="R70" s="170" t="n">
        <f aca="false">-R109*$D25</f>
        <v>-19645.08392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-27474.3</v>
      </c>
      <c r="E72" s="170" t="n">
        <f aca="false">E49</f>
        <v>-27474.3</v>
      </c>
      <c r="F72" s="170" t="n">
        <f aca="false">F49</f>
        <v>-27474.3</v>
      </c>
      <c r="G72" s="170" t="n">
        <f aca="false">G49</f>
        <v>-27474.3</v>
      </c>
      <c r="H72" s="170" t="n">
        <f aca="false">H49</f>
        <v>-27474.3</v>
      </c>
      <c r="I72" s="170" t="n">
        <f aca="false">I49</f>
        <v>-27474.3</v>
      </c>
      <c r="J72" s="170" t="n">
        <f aca="false">J49</f>
        <v>-27474.3</v>
      </c>
      <c r="K72" s="170" t="n">
        <f aca="false">K49</f>
        <v>-27474.3</v>
      </c>
      <c r="L72" s="170" t="n">
        <f aca="false">L49</f>
        <v>-27474.3</v>
      </c>
      <c r="M72" s="170" t="n">
        <f aca="false">M49</f>
        <v>-27474.3</v>
      </c>
      <c r="N72" s="170" t="n">
        <f aca="false">N49</f>
        <v>-27474.3</v>
      </c>
      <c r="O72" s="170" t="n">
        <f aca="false">O49</f>
        <v>-27474.3</v>
      </c>
      <c r="P72" s="170" t="n">
        <f aca="false">P49</f>
        <v>-27474.3</v>
      </c>
      <c r="Q72" s="170" t="n">
        <f aca="false">Q49</f>
        <v>-27474.3</v>
      </c>
      <c r="R72" s="170" t="n">
        <f aca="false">R49</f>
        <v>-27474.3</v>
      </c>
      <c r="S72" s="170" t="n">
        <f aca="false">S49</f>
        <v>-27474.3</v>
      </c>
      <c r="T72" s="170" t="n">
        <f aca="false">T49</f>
        <v>-27474.3</v>
      </c>
      <c r="U72" s="170" t="n">
        <f aca="false">U49</f>
        <v>-27474.3</v>
      </c>
      <c r="V72" s="170" t="n">
        <f aca="false">V49</f>
        <v>-27474.3</v>
      </c>
      <c r="W72" s="170" t="n">
        <f aca="false">W49</f>
        <v>-27474.3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752134.053296</v>
      </c>
      <c r="E76" s="175" t="n">
        <f aca="false">SUM(E64:E75)</f>
        <v>473449.2498944</v>
      </c>
      <c r="F76" s="175" t="n">
        <f aca="false">SUM(F64:F75)</f>
        <v>484965.4464928</v>
      </c>
      <c r="G76" s="175" t="n">
        <f aca="false">SUM(G64:G75)</f>
        <v>496481.6430912</v>
      </c>
      <c r="H76" s="175" t="n">
        <f aca="false">SUM(H64:H75)</f>
        <v>507997.8396896</v>
      </c>
      <c r="I76" s="175" t="n">
        <f aca="false">SUM(I64:I75)</f>
        <v>519514.036288</v>
      </c>
      <c r="J76" s="175" t="n">
        <f aca="false">SUM(J64:J75)</f>
        <v>531030.2328864</v>
      </c>
      <c r="K76" s="175" t="n">
        <f aca="false">SUM(K64:K75)</f>
        <v>542546.4294848</v>
      </c>
      <c r="L76" s="175" t="n">
        <f aca="false">SUM(L64:L75)</f>
        <v>554062.6260832</v>
      </c>
      <c r="M76" s="175" t="n">
        <f aca="false">SUM(M64:M75)</f>
        <v>565578.8226816</v>
      </c>
      <c r="N76" s="175" t="n">
        <f aca="false">SUM(N64:N75)</f>
        <v>620705.01928</v>
      </c>
      <c r="O76" s="175" t="n">
        <f aca="false">SUM(O64:O75)</f>
        <v>632221.2158784</v>
      </c>
      <c r="P76" s="175" t="n">
        <f aca="false">SUM(P64:P75)</f>
        <v>643737.4124768</v>
      </c>
      <c r="Q76" s="175" t="n">
        <f aca="false">SUM(Q64:Q75)</f>
        <v>655253.6090752</v>
      </c>
      <c r="R76" s="175" t="n">
        <f aca="false">SUM(R64:R75)</f>
        <v>666769.8056736</v>
      </c>
      <c r="S76" s="175" t="n">
        <f aca="false">SUM(S64:S75)</f>
        <v>678286.002272</v>
      </c>
      <c r="T76" s="175" t="n">
        <f aca="false">SUM(T64:T75)</f>
        <v>670157.1149504</v>
      </c>
      <c r="U76" s="175" t="n">
        <f aca="false">SUM(U64:U75)</f>
        <v>662028.2276288</v>
      </c>
      <c r="V76" s="175" t="n">
        <f aca="false">SUM(V64:V75)</f>
        <v>653899.3403072</v>
      </c>
      <c r="W76" s="175" t="n">
        <f aca="false">SUM(W64:W75)</f>
        <v>645770.4529856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-150426.8106592</v>
      </c>
      <c r="E77" s="170" t="n">
        <f aca="false">-E76*0.2</f>
        <v>-94689.84997888</v>
      </c>
      <c r="F77" s="170" t="n">
        <f aca="false">-F76*0.2</f>
        <v>-96993.08929856</v>
      </c>
      <c r="G77" s="170" t="n">
        <f aca="false">-G76*0.2</f>
        <v>-99296.32861824</v>
      </c>
      <c r="H77" s="170" t="n">
        <f aca="false">-H76*0.2</f>
        <v>-101599.56793792</v>
      </c>
      <c r="I77" s="170" t="n">
        <f aca="false">-I76*0.2</f>
        <v>-103902.8072576</v>
      </c>
      <c r="J77" s="170" t="n">
        <f aca="false">-J76*0.2</f>
        <v>-106206.04657728</v>
      </c>
      <c r="K77" s="170" t="n">
        <f aca="false">-K76*0.2</f>
        <v>-108509.28589696</v>
      </c>
      <c r="L77" s="170" t="n">
        <f aca="false">-L76*0.2</f>
        <v>-110812.52521664</v>
      </c>
      <c r="M77" s="170" t="n">
        <f aca="false">-M76*0.2</f>
        <v>-113115.76453632</v>
      </c>
      <c r="N77" s="170" t="n">
        <f aca="false">-N76*0.2</f>
        <v>-124141.003856</v>
      </c>
      <c r="O77" s="170" t="n">
        <f aca="false">-O76*0.2</f>
        <v>-126444.24317568</v>
      </c>
      <c r="P77" s="170" t="n">
        <f aca="false">-P76*0.2</f>
        <v>-128747.48249536</v>
      </c>
      <c r="Q77" s="170" t="n">
        <f aca="false">-Q76*0.2</f>
        <v>-131050.72181504</v>
      </c>
      <c r="R77" s="170" t="n">
        <f aca="false">-R76*0.2</f>
        <v>-133353.96113472</v>
      </c>
      <c r="S77" s="170" t="n">
        <f aca="false">-S76*0.2</f>
        <v>-135657.2004544</v>
      </c>
      <c r="T77" s="170" t="n">
        <f aca="false">-T76*0.2</f>
        <v>-134031.42299008</v>
      </c>
      <c r="U77" s="170" t="n">
        <f aca="false">-U76*0.2</f>
        <v>-132405.64552576</v>
      </c>
      <c r="V77" s="170" t="n">
        <f aca="false">-V76*0.2</f>
        <v>-130779.86806144</v>
      </c>
      <c r="W77" s="170" t="n">
        <f aca="false">-W76*0.2</f>
        <v>-129154.09059712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601707.2426368</v>
      </c>
      <c r="E78" s="170" t="n">
        <f aca="false">SUM(E76:E77)</f>
        <v>378759.39991552</v>
      </c>
      <c r="F78" s="170" t="n">
        <f aca="false">SUM(F76:F77)</f>
        <v>387972.35719424</v>
      </c>
      <c r="G78" s="170" t="n">
        <f aca="false">SUM(G76:G77)</f>
        <v>397185.31447296</v>
      </c>
      <c r="H78" s="170" t="n">
        <f aca="false">SUM(H76:H77)</f>
        <v>406398.27175168</v>
      </c>
      <c r="I78" s="170" t="n">
        <f aca="false">SUM(I76:I77)</f>
        <v>415611.2290304</v>
      </c>
      <c r="J78" s="170" t="n">
        <f aca="false">SUM(J76:J77)</f>
        <v>424824.18630912</v>
      </c>
      <c r="K78" s="170" t="n">
        <f aca="false">SUM(K76:K77)</f>
        <v>434037.14358784</v>
      </c>
      <c r="L78" s="170" t="n">
        <f aca="false">SUM(L76:L77)</f>
        <v>443250.10086656</v>
      </c>
      <c r="M78" s="170" t="n">
        <f aca="false">SUM(M76:M77)</f>
        <v>452463.05814528</v>
      </c>
      <c r="N78" s="170" t="n">
        <f aca="false">SUM(N76:N77)</f>
        <v>496564.015424</v>
      </c>
      <c r="O78" s="170" t="n">
        <f aca="false">SUM(O76:O77)</f>
        <v>505776.97270272</v>
      </c>
      <c r="P78" s="170" t="n">
        <f aca="false">SUM(P76:P77)</f>
        <v>514989.92998144</v>
      </c>
      <c r="Q78" s="170" t="n">
        <f aca="false">SUM(Q76:Q77)</f>
        <v>524202.88726016</v>
      </c>
      <c r="R78" s="170" t="n">
        <f aca="false">SUM(R76:R77)</f>
        <v>533415.84453888</v>
      </c>
      <c r="S78" s="170" t="n">
        <f aca="false">SUM(S76:S77)</f>
        <v>542628.8018176</v>
      </c>
      <c r="T78" s="170" t="n">
        <f aca="false">SUM(T76:T77)</f>
        <v>536125.69196032</v>
      </c>
      <c r="U78" s="170" t="n">
        <f aca="false">SUM(U76:U77)</f>
        <v>529622.58210304</v>
      </c>
      <c r="V78" s="170" t="n">
        <f aca="false">SUM(V76:V77)</f>
        <v>523119.47224576</v>
      </c>
      <c r="W78" s="170" t="n">
        <f aca="false">SUM(W76:W77)</f>
        <v>516616.36238848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601707.2426368</v>
      </c>
      <c r="E85" s="206" t="n">
        <f aca="false">E78</f>
        <v>378759.39991552</v>
      </c>
      <c r="F85" s="206" t="n">
        <f aca="false">F78</f>
        <v>387972.35719424</v>
      </c>
      <c r="G85" s="206" t="n">
        <f aca="false">G78</f>
        <v>397185.31447296</v>
      </c>
      <c r="H85" s="206" t="n">
        <f aca="false">H78</f>
        <v>406398.27175168</v>
      </c>
      <c r="I85" s="206" t="n">
        <f aca="false">I78</f>
        <v>415611.2290304</v>
      </c>
      <c r="J85" s="206" t="n">
        <f aca="false">J78</f>
        <v>424824.18630912</v>
      </c>
      <c r="K85" s="206" t="n">
        <f aca="false">K78</f>
        <v>434037.14358784</v>
      </c>
      <c r="L85" s="206" t="n">
        <f aca="false">L78</f>
        <v>443250.10086656</v>
      </c>
      <c r="M85" s="206" t="n">
        <f aca="false">M78</f>
        <v>452463.05814528</v>
      </c>
      <c r="N85" s="206" t="n">
        <f aca="false">N78</f>
        <v>496564.015424</v>
      </c>
      <c r="O85" s="206" t="n">
        <f aca="false">O78</f>
        <v>505776.97270272</v>
      </c>
      <c r="P85" s="206" t="n">
        <f aca="false">P78</f>
        <v>514989.92998144</v>
      </c>
      <c r="Q85" s="206" t="n">
        <f aca="false">Q78</f>
        <v>524202.88726016</v>
      </c>
      <c r="R85" s="206" t="n">
        <f aca="false">R78</f>
        <v>533415.84453888</v>
      </c>
      <c r="S85" s="206" t="n">
        <f aca="false">S78</f>
        <v>542628.8018176</v>
      </c>
      <c r="T85" s="206" t="n">
        <f aca="false">T78</f>
        <v>536125.69196032</v>
      </c>
      <c r="U85" s="206" t="n">
        <f aca="false">U78</f>
        <v>529622.58210304</v>
      </c>
      <c r="V85" s="206" t="n">
        <f aca="false">V78</f>
        <v>523119.47224576</v>
      </c>
      <c r="W85" s="206" t="n">
        <f aca="false">W78</f>
        <v>516616.36238848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719565</v>
      </c>
      <c r="E86" s="207" t="n">
        <f aca="false">-E67</f>
        <v>719565</v>
      </c>
      <c r="F86" s="207" t="n">
        <f aca="false">-F67</f>
        <v>719565</v>
      </c>
      <c r="G86" s="207" t="n">
        <f aca="false">-G67</f>
        <v>719565</v>
      </c>
      <c r="H86" s="207" t="n">
        <f aca="false">-H67</f>
        <v>719565</v>
      </c>
      <c r="I86" s="207" t="n">
        <f aca="false">-I67</f>
        <v>719565</v>
      </c>
      <c r="J86" s="207" t="n">
        <f aca="false">-J67</f>
        <v>719565</v>
      </c>
      <c r="K86" s="207" t="n">
        <f aca="false">-K67</f>
        <v>719565</v>
      </c>
      <c r="L86" s="207" t="n">
        <f aca="false">-L67</f>
        <v>719565</v>
      </c>
      <c r="M86" s="207" t="n">
        <f aca="false">-M67</f>
        <v>719565</v>
      </c>
      <c r="N86" s="207" t="n">
        <f aca="false">-N67</f>
        <v>719565</v>
      </c>
      <c r="O86" s="207" t="n">
        <f aca="false">-O67</f>
        <v>719565</v>
      </c>
      <c r="P86" s="207" t="n">
        <f aca="false">-P67</f>
        <v>719565</v>
      </c>
      <c r="Q86" s="207" t="n">
        <f aca="false">-Q67</f>
        <v>719565</v>
      </c>
      <c r="R86" s="207" t="n">
        <f aca="false">-R67</f>
        <v>719565</v>
      </c>
      <c r="S86" s="207" t="n">
        <f aca="false">-S67</f>
        <v>719565</v>
      </c>
      <c r="T86" s="207" t="n">
        <f aca="false">-T67</f>
        <v>719565</v>
      </c>
      <c r="U86" s="207" t="n">
        <f aca="false">-U67</f>
        <v>719565</v>
      </c>
      <c r="V86" s="207" t="n">
        <f aca="false">-V67</f>
        <v>719565</v>
      </c>
      <c r="W86" s="207" t="n">
        <f aca="false">-W67</f>
        <v>719565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1321272.2426368</v>
      </c>
      <c r="E87" s="209" t="n">
        <f aca="false">SUM(E85:E86)</f>
        <v>1098324.39991552</v>
      </c>
      <c r="F87" s="209" t="n">
        <f aca="false">SUM(F85:F86)</f>
        <v>1107537.35719424</v>
      </c>
      <c r="G87" s="209" t="n">
        <f aca="false">SUM(G85:G86)</f>
        <v>1116750.31447296</v>
      </c>
      <c r="H87" s="209" t="n">
        <f aca="false">SUM(H85:H86)</f>
        <v>1125963.27175168</v>
      </c>
      <c r="I87" s="209" t="n">
        <f aca="false">SUM(I85:I86)</f>
        <v>1135176.2290304</v>
      </c>
      <c r="J87" s="209" t="n">
        <f aca="false">SUM(J85:J86)</f>
        <v>1144389.18630912</v>
      </c>
      <c r="K87" s="209" t="n">
        <f aca="false">SUM(K85:K86)</f>
        <v>1153602.14358784</v>
      </c>
      <c r="L87" s="209" t="n">
        <f aca="false">SUM(L85:L86)</f>
        <v>1162815.10086656</v>
      </c>
      <c r="M87" s="209" t="n">
        <f aca="false">SUM(M85:M86)</f>
        <v>1172028.05814528</v>
      </c>
      <c r="N87" s="209" t="n">
        <f aca="false">SUM(N85:N86)</f>
        <v>1216129.015424</v>
      </c>
      <c r="O87" s="209" t="n">
        <f aca="false">SUM(O85:O86)</f>
        <v>1225341.97270272</v>
      </c>
      <c r="P87" s="209" t="n">
        <f aca="false">SUM(P85:P86)</f>
        <v>1234554.92998144</v>
      </c>
      <c r="Q87" s="209" t="n">
        <f aca="false">SUM(Q85:Q86)</f>
        <v>1243767.88726016</v>
      </c>
      <c r="R87" s="209" t="n">
        <f aca="false">SUM(R85:R86)</f>
        <v>1252980.84453888</v>
      </c>
      <c r="S87" s="209" t="n">
        <f aca="false">SUM(S85:S86)</f>
        <v>1262193.8018176</v>
      </c>
      <c r="T87" s="209" t="n">
        <f aca="false">SUM(T85:T86)</f>
        <v>1255690.69196032</v>
      </c>
      <c r="U87" s="209" t="n">
        <f aca="false">SUM(U85:U86)</f>
        <v>1249187.58210304</v>
      </c>
      <c r="V87" s="209" t="n">
        <f aca="false">SUM(V85:V86)</f>
        <v>1242684.47224576</v>
      </c>
      <c r="W87" s="209" t="n">
        <f aca="false">SUM(W85:W86)</f>
        <v>1236181.36238848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-14391300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11513040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-767536</v>
      </c>
      <c r="F93" s="215" t="n">
        <v>-767536</v>
      </c>
      <c r="G93" s="215" t="n">
        <v>-767536</v>
      </c>
      <c r="H93" s="215" t="n">
        <v>-767536</v>
      </c>
      <c r="I93" s="215" t="n">
        <v>-767536</v>
      </c>
      <c r="J93" s="215" t="n">
        <v>-767536</v>
      </c>
      <c r="K93" s="215" t="n">
        <v>-767536</v>
      </c>
      <c r="L93" s="215" t="n">
        <v>-767536</v>
      </c>
      <c r="M93" s="215" t="n">
        <v>-767536</v>
      </c>
      <c r="N93" s="215" t="n">
        <v>-767536</v>
      </c>
      <c r="O93" s="215" t="n">
        <v>-767536</v>
      </c>
      <c r="P93" s="215" t="n">
        <v>-767536</v>
      </c>
      <c r="Q93" s="215" t="n">
        <v>-767536</v>
      </c>
      <c r="R93" s="215" t="n">
        <v>-767536</v>
      </c>
      <c r="S93" s="215" t="n">
        <v>-767536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2878260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-541536.51837312</v>
      </c>
      <c r="F95" s="216" t="n">
        <f aca="false">-E85*$D$33</f>
        <v>-340883.459923968</v>
      </c>
      <c r="G95" s="216" t="n">
        <f aca="false">-F85*$D$33</f>
        <v>-349175.121474816</v>
      </c>
      <c r="H95" s="216" t="n">
        <f aca="false">-G85*$D$33</f>
        <v>-357466.783025664</v>
      </c>
      <c r="I95" s="216" t="n">
        <f aca="false">-H85*$D$33</f>
        <v>-365758.444576512</v>
      </c>
      <c r="J95" s="216" t="n">
        <f aca="false">-I85*$D$33</f>
        <v>-374050.10612736</v>
      </c>
      <c r="K95" s="216" t="n">
        <f aca="false">-J85*$D$33</f>
        <v>-382341.767678208</v>
      </c>
      <c r="L95" s="216" t="n">
        <f aca="false">-K85*$D$33</f>
        <v>-390633.429229056</v>
      </c>
      <c r="M95" s="216" t="n">
        <f aca="false">-L85*$D$33</f>
        <v>-398925.090779904</v>
      </c>
      <c r="N95" s="216" t="n">
        <f aca="false">-M85*$D$33</f>
        <v>-407216.752330752</v>
      </c>
      <c r="O95" s="216" t="n">
        <f aca="false">-N85*$D$33</f>
        <v>-446907.6138816</v>
      </c>
      <c r="P95" s="216" t="n">
        <f aca="false">-O85*$D$33</f>
        <v>-455199.275432448</v>
      </c>
      <c r="Q95" s="216" t="n">
        <f aca="false">-P85*$D$33</f>
        <v>-463490.936983296</v>
      </c>
      <c r="R95" s="216" t="n">
        <f aca="false">-Q85*$D$33</f>
        <v>-471782.598534144</v>
      </c>
      <c r="S95" s="216" t="n">
        <f aca="false">-R85*$D$33</f>
        <v>-480074.260084992</v>
      </c>
      <c r="T95" s="216" t="n">
        <f aca="false">-S85*$D$33</f>
        <v>-488365.92163584</v>
      </c>
      <c r="U95" s="216" t="n">
        <f aca="false">-T85*$D$33</f>
        <v>-482513.122764288</v>
      </c>
      <c r="V95" s="216" t="n">
        <f aca="false">-U85*$D$33</f>
        <v>-476660.323892736</v>
      </c>
      <c r="W95" s="216" t="n">
        <f aca="false">-V85*$D$33</f>
        <v>-470807.525021184</v>
      </c>
      <c r="X95" s="216" t="n">
        <f aca="false">-W85*$D$33</f>
        <v>-464954.726149632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-719565</v>
      </c>
      <c r="U96" s="219" t="n">
        <v>-719565</v>
      </c>
      <c r="V96" s="219" t="n">
        <v>-719565</v>
      </c>
      <c r="W96" s="219" t="n">
        <v>-719565</v>
      </c>
      <c r="X96" s="220" t="n">
        <f aca="false">-W101-X95</f>
        <v>-956527.086433279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1321272.2426368</v>
      </c>
      <c r="E99" s="206" t="n">
        <f aca="false">SUM(E87:E96)</f>
        <v>-210748.1184576</v>
      </c>
      <c r="F99" s="206" t="n">
        <f aca="false">SUM(F87:F96)</f>
        <v>-882.102729727863</v>
      </c>
      <c r="G99" s="206" t="n">
        <f aca="false">SUM(G87:G96)</f>
        <v>39.1929981440189</v>
      </c>
      <c r="H99" s="206" t="n">
        <f aca="false">SUM(H87:H96)</f>
        <v>960.488726015901</v>
      </c>
      <c r="I99" s="206" t="n">
        <f aca="false">SUM(I87:I96)</f>
        <v>1881.78445388796</v>
      </c>
      <c r="J99" s="206" t="n">
        <f aca="false">SUM(J87:J96)</f>
        <v>2803.08018176025</v>
      </c>
      <c r="K99" s="206" t="n">
        <f aca="false">SUM(K87:K96)</f>
        <v>3724.37590963172</v>
      </c>
      <c r="L99" s="206" t="n">
        <f aca="false">SUM(L87:L96)</f>
        <v>4645.67163750395</v>
      </c>
      <c r="M99" s="206" t="n">
        <f aca="false">SUM(M87:M96)</f>
        <v>5566.96736537607</v>
      </c>
      <c r="N99" s="206" t="n">
        <f aca="false">SUM(N87:N96)</f>
        <v>41376.263093248</v>
      </c>
      <c r="O99" s="206" t="n">
        <f aca="false">SUM(O87:O96)</f>
        <v>10898.3588211199</v>
      </c>
      <c r="P99" s="206" t="n">
        <f aca="false">SUM(P87:P96)</f>
        <v>11819.6545489919</v>
      </c>
      <c r="Q99" s="206" t="n">
        <f aca="false">SUM(Q87:Q96)</f>
        <v>12740.9502768641</v>
      </c>
      <c r="R99" s="206" t="n">
        <f aca="false">SUM(R87:R96)</f>
        <v>13662.2460047359</v>
      </c>
      <c r="S99" s="206" t="n">
        <f aca="false">SUM(S87:S96)</f>
        <v>14583.5417326081</v>
      </c>
      <c r="T99" s="206" t="n">
        <f aca="false">SUM(T87:T96)</f>
        <v>47759.7703244798</v>
      </c>
      <c r="U99" s="206" t="n">
        <f aca="false">SUM(U87:U96)</f>
        <v>47109.4593387521</v>
      </c>
      <c r="V99" s="206" t="n">
        <f aca="false">SUM(V87:V96)</f>
        <v>46459.1483530239</v>
      </c>
      <c r="W99" s="206" t="n">
        <f aca="false">SUM(W87:W96)</f>
        <v>45808.8373672962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1321272.2426368</v>
      </c>
      <c r="F100" s="206" t="n">
        <f aca="false">E101</f>
        <v>1110524.1241792</v>
      </c>
      <c r="G100" s="206" t="n">
        <f aca="false">F101</f>
        <v>1109642.02144947</v>
      </c>
      <c r="H100" s="206" t="n">
        <f aca="false">G101</f>
        <v>1109681.21444762</v>
      </c>
      <c r="I100" s="206" t="n">
        <f aca="false">H101</f>
        <v>1110641.70317363</v>
      </c>
      <c r="J100" s="206" t="n">
        <f aca="false">I101</f>
        <v>1112523.48762752</v>
      </c>
      <c r="K100" s="206" t="n">
        <f aca="false">J101</f>
        <v>1115326.56780928</v>
      </c>
      <c r="L100" s="206" t="n">
        <f aca="false">K101</f>
        <v>1119050.94371891</v>
      </c>
      <c r="M100" s="206" t="n">
        <f aca="false">L101</f>
        <v>1123696.61535642</v>
      </c>
      <c r="N100" s="206" t="n">
        <f aca="false">M101</f>
        <v>1129263.58272179</v>
      </c>
      <c r="O100" s="206" t="n">
        <f aca="false">N101</f>
        <v>1170639.84581504</v>
      </c>
      <c r="P100" s="206" t="n">
        <f aca="false">O101</f>
        <v>1181538.20463616</v>
      </c>
      <c r="Q100" s="206" t="n">
        <f aca="false">P101</f>
        <v>1193357.85918515</v>
      </c>
      <c r="R100" s="206" t="n">
        <f aca="false">Q101</f>
        <v>1206098.80946202</v>
      </c>
      <c r="S100" s="206" t="n">
        <f aca="false">R101</f>
        <v>1219761.05546675</v>
      </c>
      <c r="T100" s="206" t="n">
        <f aca="false">S101</f>
        <v>1234344.59719936</v>
      </c>
      <c r="U100" s="206" t="n">
        <f aca="false">T101</f>
        <v>1282104.36752384</v>
      </c>
      <c r="V100" s="206" t="n">
        <f aca="false">U101</f>
        <v>1329213.82686259</v>
      </c>
      <c r="W100" s="206" t="n">
        <f aca="false">V101</f>
        <v>1375672.97521562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1321272.2426368</v>
      </c>
      <c r="E101" s="206" t="n">
        <f aca="false">E99+E100</f>
        <v>1110524.1241792</v>
      </c>
      <c r="F101" s="206" t="n">
        <f aca="false">F99+F100</f>
        <v>1109642.02144947</v>
      </c>
      <c r="G101" s="206" t="n">
        <f aca="false">G99+G100</f>
        <v>1109681.21444762</v>
      </c>
      <c r="H101" s="206" t="n">
        <f aca="false">H99+H100</f>
        <v>1110641.70317363</v>
      </c>
      <c r="I101" s="206" t="n">
        <f aca="false">I99+I100</f>
        <v>1112523.48762752</v>
      </c>
      <c r="J101" s="206" t="n">
        <f aca="false">J99+J100</f>
        <v>1115326.56780928</v>
      </c>
      <c r="K101" s="206" t="n">
        <f aca="false">K99+K100</f>
        <v>1119050.94371891</v>
      </c>
      <c r="L101" s="206" t="n">
        <f aca="false">L99+L100</f>
        <v>1123696.61535642</v>
      </c>
      <c r="M101" s="206" t="n">
        <f aca="false">M99+M100</f>
        <v>1129263.58272179</v>
      </c>
      <c r="N101" s="206" t="n">
        <f aca="false">N99+N100</f>
        <v>1170639.84581504</v>
      </c>
      <c r="O101" s="206" t="n">
        <f aca="false">O99+O100</f>
        <v>1181538.20463616</v>
      </c>
      <c r="P101" s="206" t="n">
        <f aca="false">P99+P100</f>
        <v>1193357.85918515</v>
      </c>
      <c r="Q101" s="206" t="n">
        <f aca="false">Q99+Q100</f>
        <v>1206098.80946202</v>
      </c>
      <c r="R101" s="206" t="n">
        <f aca="false">R99+R100</f>
        <v>1219761.05546675</v>
      </c>
      <c r="S101" s="206" t="n">
        <f aca="false">S99+S100</f>
        <v>1234344.59719936</v>
      </c>
      <c r="T101" s="206" t="n">
        <f aca="false">T99+T100</f>
        <v>1282104.36752384</v>
      </c>
      <c r="U101" s="206" t="n">
        <f aca="false">U99+U100</f>
        <v>1329213.82686259</v>
      </c>
      <c r="V101" s="206" t="n">
        <f aca="false">V99+V100</f>
        <v>1375672.97521562</v>
      </c>
      <c r="W101" s="206" t="n">
        <f aca="false">W99+W100</f>
        <v>1421481.81258291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-2878260</v>
      </c>
      <c r="E104" s="209" t="n">
        <f aca="false">-E95-E96</f>
        <v>541536.51837312</v>
      </c>
      <c r="F104" s="209" t="n">
        <f aca="false">-F95-F96</f>
        <v>340883.459923968</v>
      </c>
      <c r="G104" s="209" t="n">
        <f aca="false">-G95-G96</f>
        <v>349175.121474816</v>
      </c>
      <c r="H104" s="209" t="n">
        <f aca="false">-H95-H96</f>
        <v>357466.783025664</v>
      </c>
      <c r="I104" s="209" t="n">
        <f aca="false">-I95-I96</f>
        <v>365758.444576512</v>
      </c>
      <c r="J104" s="209" t="n">
        <f aca="false">-J95-J96</f>
        <v>374050.10612736</v>
      </c>
      <c r="K104" s="209" t="n">
        <f aca="false">-K95-K96</f>
        <v>382341.767678208</v>
      </c>
      <c r="L104" s="209" t="n">
        <f aca="false">-L95-L96</f>
        <v>390633.429229056</v>
      </c>
      <c r="M104" s="209" t="n">
        <f aca="false">-M95-M96</f>
        <v>398925.090779904</v>
      </c>
      <c r="N104" s="209" t="n">
        <f aca="false">-N95-N96</f>
        <v>407216.752330752</v>
      </c>
      <c r="O104" s="209" t="n">
        <f aca="false">-O95-O96</f>
        <v>446907.6138816</v>
      </c>
      <c r="P104" s="209" t="n">
        <f aca="false">-P95-P96</f>
        <v>455199.275432448</v>
      </c>
      <c r="Q104" s="209" t="n">
        <f aca="false">-Q95-Q96</f>
        <v>463490.936983296</v>
      </c>
      <c r="R104" s="209" t="n">
        <f aca="false">-R95-R96</f>
        <v>471782.598534144</v>
      </c>
      <c r="S104" s="209" t="n">
        <f aca="false">-S95-S96</f>
        <v>480074.260084992</v>
      </c>
      <c r="T104" s="209" t="n">
        <f aca="false">-T95-T96</f>
        <v>1207930.92163584</v>
      </c>
      <c r="U104" s="209" t="n">
        <f aca="false">-U95-U96</f>
        <v>1202078.12276429</v>
      </c>
      <c r="V104" s="209" t="n">
        <f aca="false">-V95-V96</f>
        <v>1196225.32389274</v>
      </c>
      <c r="W104" s="209" t="n">
        <f aca="false">-W95-W96</f>
        <v>1190372.52502118</v>
      </c>
      <c r="X104" s="209" t="n">
        <f aca="false">-X95-X96</f>
        <v>1421481.81258291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0.150180968183777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-2276552.7573632</v>
      </c>
      <c r="E106" s="209" t="n">
        <f aca="false">E85</f>
        <v>378759.39991552</v>
      </c>
      <c r="F106" s="209" t="n">
        <f aca="false">F85-F96</f>
        <v>387972.35719424</v>
      </c>
      <c r="G106" s="209" t="n">
        <f aca="false">G85-G96</f>
        <v>397185.31447296</v>
      </c>
      <c r="H106" s="209" t="n">
        <f aca="false">H85-H96</f>
        <v>406398.27175168</v>
      </c>
      <c r="I106" s="209" t="n">
        <f aca="false">I85-I96</f>
        <v>415611.2290304</v>
      </c>
      <c r="J106" s="209" t="n">
        <f aca="false">J85-J96</f>
        <v>424824.18630912</v>
      </c>
      <c r="K106" s="209" t="n">
        <f aca="false">K85-K96</f>
        <v>434037.14358784</v>
      </c>
      <c r="L106" s="209" t="n">
        <f aca="false">L85-L96</f>
        <v>443250.10086656</v>
      </c>
      <c r="M106" s="209" t="n">
        <f aca="false">M85-M96</f>
        <v>452463.05814528</v>
      </c>
      <c r="N106" s="209" t="n">
        <f aca="false">N85-N96</f>
        <v>496564.015424</v>
      </c>
      <c r="O106" s="209" t="n">
        <f aca="false">O85-O96</f>
        <v>505776.97270272</v>
      </c>
      <c r="P106" s="209" t="n">
        <f aca="false">P85-P96</f>
        <v>514989.92998144</v>
      </c>
      <c r="Q106" s="209" t="n">
        <f aca="false">Q85-Q96</f>
        <v>524202.88726016</v>
      </c>
      <c r="R106" s="209" t="n">
        <f aca="false">R85-R96</f>
        <v>533415.84453888</v>
      </c>
      <c r="S106" s="209" t="n">
        <f aca="false">S85-S96</f>
        <v>542628.8018176</v>
      </c>
      <c r="T106" s="209" t="n">
        <f aca="false">T85-T96</f>
        <v>1255690.69196032</v>
      </c>
      <c r="U106" s="209" t="n">
        <f aca="false">U85-U96</f>
        <v>1249187.58210304</v>
      </c>
      <c r="V106" s="209" t="n">
        <f aca="false">V85-V96</f>
        <v>1242684.47224576</v>
      </c>
      <c r="W106" s="209" t="n">
        <f aca="false">W85-W96</f>
        <v>1236181.36238848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0.191572087917008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11513040</v>
      </c>
      <c r="E109" s="206" t="n">
        <f aca="false">D109+E93</f>
        <v>10745504</v>
      </c>
      <c r="F109" s="206" t="n">
        <f aca="false">E109+F93</f>
        <v>9977968</v>
      </c>
      <c r="G109" s="206" t="n">
        <f aca="false">F109+G93</f>
        <v>9210432</v>
      </c>
      <c r="H109" s="206" t="n">
        <f aca="false">G109+H93</f>
        <v>8442896</v>
      </c>
      <c r="I109" s="206" t="n">
        <f aca="false">H109+I93</f>
        <v>7675360</v>
      </c>
      <c r="J109" s="206" t="n">
        <f aca="false">I109+J93</f>
        <v>6907824</v>
      </c>
      <c r="K109" s="206" t="n">
        <f aca="false">J109+K93</f>
        <v>6140288</v>
      </c>
      <c r="L109" s="206" t="n">
        <f aca="false">K109+L93</f>
        <v>5372752</v>
      </c>
      <c r="M109" s="206" t="n">
        <f aca="false">L109+M93</f>
        <v>4605216</v>
      </c>
      <c r="N109" s="206" t="n">
        <f aca="false">M109+N93</f>
        <v>3837680</v>
      </c>
      <c r="O109" s="206" t="n">
        <f aca="false">N109+O93</f>
        <v>3070144</v>
      </c>
      <c r="P109" s="206" t="n">
        <f aca="false">O109+P93</f>
        <v>2302608</v>
      </c>
      <c r="Q109" s="206" t="n">
        <f aca="false">P109+Q93</f>
        <v>1535072</v>
      </c>
      <c r="R109" s="206" t="n">
        <f aca="false">Q109+R93</f>
        <v>767536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2026-03-29T15:44:52Z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