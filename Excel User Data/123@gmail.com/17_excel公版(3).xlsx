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0953\Desktop\信邦_財模資料\"/>
    </mc:Choice>
  </mc:AlternateContent>
  <xr:revisionPtr revIDLastSave="0" documentId="13_ncr:1_{BC7A59DE-7968-4694-9E0D-C97DAF2851B1}" xr6:coauthVersionLast="47" xr6:coauthVersionMax="47" xr10:uidLastSave="{00000000-0000-0000-0000-000000000000}"/>
  <bookViews>
    <workbookView xWindow="14400" yWindow="-172" windowWidth="21600" windowHeight="11594" xr2:uid="{00000000-000D-0000-FFFF-FFFF00000000}"/>
  </bookViews>
  <sheets>
    <sheet name="空白範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0" i="1"/>
  <c r="D16" i="1"/>
  <c r="D10" i="1"/>
  <c r="D5" i="1"/>
  <c r="O1" i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</calcChain>
</file>

<file path=xl/sharedStrings.xml><?xml version="1.0" encoding="utf-8"?>
<sst xmlns="http://schemas.openxmlformats.org/spreadsheetml/2006/main" count="90" uniqueCount="72">
  <si>
    <t>電站基本資料(請填寫著色處)</t>
  </si>
  <si>
    <t>說明</t>
  </si>
  <si>
    <t>電站名稱</t>
  </si>
  <si>
    <t>-</t>
  </si>
  <si>
    <t>填入本案場名稱</t>
  </si>
  <si>
    <t>電站壽命</t>
  </si>
  <si>
    <t>預設 20 年，代表財務評估年期。若合約年限不同可依實際情況修改</t>
  </si>
  <si>
    <t>建置量(kWp)</t>
  </si>
  <si>
    <t>填入裝置容量（kWp），通常由設計圖面或報價書取得</t>
  </si>
  <si>
    <t>起始年度</t>
  </si>
  <si>
    <t>結束年度</t>
  </si>
  <si>
    <t>填入電站預計掛表的西元年份（例：2025）。結束年度會自動計算</t>
  </si>
  <si>
    <t>綜合損益表(請填寫著色處)</t>
  </si>
  <si>
    <t>收入</t>
  </si>
  <si>
    <t>收支項目</t>
  </si>
  <si>
    <t>相關參數</t>
  </si>
  <si>
    <t>參數數值</t>
  </si>
  <si>
    <t>年限</t>
  </si>
  <si>
    <t>電費收入</t>
  </si>
  <si>
    <t>年度AC併網總發電量</t>
  </si>
  <si>
    <t>預估年發電量（kWh），通常來自 PVsyst 模擬或估算：裝置容量 × 年日照時數 × 系統效率</t>
  </si>
  <si>
    <t>首年衰退率</t>
  </si>
  <si>
    <t>第一年發電衰退比率，請填小數（例：1% → 填 0.01）。一般首年衰退約 1~2%(請參考模組規格書)</t>
  </si>
  <si>
    <t>次年衰退率</t>
  </si>
  <si>
    <t>第二年起每年固定衰退比率，請填小數（例：0.4% → 填 0.004）。一般約 0.4~0.7%(請參考模組規格書)</t>
  </si>
  <si>
    <t>躉售費率(FIT) / 綠電費率</t>
  </si>
  <si>
    <t>與台電簽訂的躉購費率或綠電合約費率，單位：元/度。請參考台電公告或合約內容</t>
  </si>
  <si>
    <t>支出(請填寫著色處)</t>
  </si>
  <si>
    <t>攤提年限</t>
  </si>
  <si>
    <t>設備費用(價金)</t>
  </si>
  <si>
    <t>每kWp設備成本</t>
  </si>
  <si>
    <t>每峰瓩設備成本（元/kWp），包含模組、逆變器、支架等硬體，不含工程施工費</t>
  </si>
  <si>
    <t>信邦利潤率(ex:20%填0.2)</t>
  </si>
  <si>
    <t>公司在設備費用上加計的利潤比率，請填小數（例：20% → 填 0.2）</t>
  </si>
  <si>
    <t>開發費</t>
  </si>
  <si>
    <t>前期開發費用（元），含可行性評估、申請規費、地主溝通等。若無則填 0</t>
  </si>
  <si>
    <t>租金費用</t>
  </si>
  <si>
    <t>租金計算方式</t>
  </si>
  <si>
    <t>填 1 = 固定年租金（需填方式1參數）；填 2 = 依電費收入抽成（需填方式2參數）</t>
  </si>
  <si>
    <t>【方式1參數】每年相同價格</t>
  </si>
  <si>
    <t>租金計算方式選「1」時填寫，固定年租金金額（元/年），套用至整個電站壽命期</t>
  </si>
  <si>
    <t>【方式2參數】抽成比率</t>
  </si>
  <si>
    <t>租金計算方式選「2」時填寫，請填小數（例：10% → 填 0.1）。租金 = 當年電費收入 × 抽成比率</t>
  </si>
  <si>
    <t>運維費用</t>
  </si>
  <si>
    <t>每kw運維成本</t>
  </si>
  <si>
    <t>每峰瓩每年運維費用（元/kWp/年），含清洗、巡檢、維修等。</t>
  </si>
  <si>
    <t>保險費用</t>
  </si>
  <si>
    <t>占整體設備費用比例</t>
  </si>
  <si>
    <t>保險費佔設備總費用比率，填小數（例：0.3% → 填 0.003）。預設 0.003，可依投保條件調整</t>
  </si>
  <si>
    <t>模組回收費用</t>
  </si>
  <si>
    <t>每kw模組回收成本</t>
  </si>
  <si>
    <t>每峰瓩模組廢棄回收費用（元/kWp），於第 1~10 年計提（攤提 10 年）。</t>
  </si>
  <si>
    <t>利息費用</t>
  </si>
  <si>
    <t>銀行利率</t>
  </si>
  <si>
    <t>向銀行貸款的年利率，填小數（例：2.56% → 填 0.0256）。請依銀行核准利率填入</t>
  </si>
  <si>
    <t>所得稅</t>
  </si>
  <si>
    <t>所得稅率</t>
  </si>
  <si>
    <t>公司所得稅率，填小數（例：20% → 填 0.2）。預設 0.2，通常不需更改</t>
  </si>
  <si>
    <t>現金流量表(請填寫著色處)</t>
  </si>
  <si>
    <t>金流項目</t>
  </si>
  <si>
    <t>貸款成數</t>
  </si>
  <si>
    <t>占總設備費用比例</t>
  </si>
  <si>
    <t>貸款佔設備總費用比例，填小數（例：80% → 填 0.8）。預設 0.8 代表貸八成、自備二成</t>
  </si>
  <si>
    <t>貸款還款</t>
  </si>
  <si>
    <t>攤還期數</t>
  </si>
  <si>
    <t>貸款還款年數（年）。預設 15 年，代表分 15 年平均攤還本金</t>
  </si>
  <si>
    <t>現金股利</t>
  </si>
  <si>
    <t>股利比率</t>
  </si>
  <si>
    <t>稅後現金流中分配給股東的比例，填小數（例：90% → 填 0.9）</t>
  </si>
  <si>
    <t>年底減資</t>
  </si>
  <si>
    <t>年底減資返還股東的年數。預設 4 年，代表 倒數 4 年進行減資，加速資金返還</t>
  </si>
  <si>
    <t>淡江大學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</si>
</sst>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#,##0_ "/>
    <numFmt numFmtId="178" formatCode="_-* #,##0_-;\-* #,##0_-;_-* \-??_-;_-@_-"/>
  </numFmts>
  <fonts count="11">
    <font>
      <sz val="11"/>
      <color theme="1"/>
      <name val="新細明體"/>
      <family val="2"/>
      <scheme val="minor"/>
    </font>
    <font>
      <b/>
      <sz val="12"/>
      <color theme="0"/>
      <name val="Calibri"/>
      <family val="2"/>
    </font>
    <font>
      <b/>
      <sz val="12"/>
      <name val="Calibri"/>
      <family val="2"/>
    </font>
    <font>
      <sz val="11"/>
      <color theme="0" tint="-0.14999847407452621"/>
      <name val="新細明體"/>
      <family val="2"/>
      <scheme val="minor"/>
    </font>
    <font>
      <sz val="12"/>
      <color theme="1"/>
      <name val="Calibri"/>
      <family val="2"/>
    </font>
    <font>
      <sz val="10"/>
      <color rgb="FF404040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5" tint="0.39988402966399123"/>
        <bgColor rgb="FFFF99CC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4" xfId="0" applyFont="1" applyBorder="1" applyAlignment="1">
      <alignment horizontal="left" vertical="center"/>
    </xf>
    <xf numFmtId="176" fontId="3" fillId="0" borderId="0" xfId="0" applyNumberFormat="1" applyFont="1"/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6" fillId="0" borderId="0" xfId="0" applyNumberFormat="1" applyFont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9" fontId="4" fillId="3" borderId="4" xfId="0" applyNumberFormat="1" applyFont="1" applyFill="1" applyBorder="1" applyAlignment="1">
      <alignment horizontal="center" vertical="center"/>
    </xf>
    <xf numFmtId="10" fontId="4" fillId="3" borderId="4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78" fontId="4" fillId="3" borderId="5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8" xfId="0" applyFont="1" applyBorder="1" applyAlignment="1">
      <alignment horizontal="center" vertical="center"/>
    </xf>
    <xf numFmtId="0" fontId="0" fillId="0" borderId="8" xfId="0" applyBorder="1"/>
    <xf numFmtId="0" fontId="8" fillId="5" borderId="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4" fillId="4" borderId="8" xfId="0" applyFont="1" applyFill="1" applyBorder="1" applyAlignment="1">
      <alignment horizontal="center" vertical="center"/>
    </xf>
    <xf numFmtId="0" fontId="0" fillId="0" borderId="0" xfId="0"/>
    <xf numFmtId="0" fontId="0" fillId="0" borderId="9" xfId="0" applyBorder="1"/>
    <xf numFmtId="0" fontId="4" fillId="0" borderId="6" xfId="0" applyFont="1" applyBorder="1" applyAlignment="1">
      <alignment horizontal="center" vertical="center"/>
    </xf>
    <xf numFmtId="0" fontId="0" fillId="0" borderId="6" xfId="0" applyBorder="1"/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7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"/>
  <sheetViews>
    <sheetView tabSelected="1" workbookViewId="0">
      <selection activeCell="D10" sqref="D10:D13"/>
    </sheetView>
  </sheetViews>
  <sheetFormatPr defaultRowHeight="15.75"/>
  <cols>
    <col min="1" max="1" width="33.140625" customWidth="1"/>
    <col min="2" max="2" width="28.28515625" customWidth="1"/>
    <col min="3" max="3" width="21.5703125" customWidth="1"/>
    <col min="4" max="4" width="17.85546875" customWidth="1"/>
    <col min="5" max="5" width="84.28515625" customWidth="1"/>
    <col min="6" max="6" width="17.85546875" customWidth="1"/>
    <col min="23" max="23" width="17.85546875" customWidth="1"/>
    <col min="24" max="24" width="30" customWidth="1"/>
    <col min="25" max="25" width="13.5703125" customWidth="1"/>
    <col min="29" max="29" width="19.5703125" customWidth="1"/>
    <col min="30" max="30" width="20.5703125" customWidth="1"/>
    <col min="31" max="31" width="20.28515625" customWidth="1"/>
    <col min="32" max="32" width="20.85546875" customWidth="1"/>
    <col min="33" max="33" width="15.5703125" customWidth="1"/>
    <col min="34" max="34" width="36.85546875" customWidth="1"/>
    <col min="35" max="35" width="32.5703125" customWidth="1"/>
    <col min="36" max="36" width="9.140625" customWidth="1"/>
  </cols>
  <sheetData>
    <row r="1" spans="1:34" ht="22.5" customHeight="1">
      <c r="A1" s="29" t="s">
        <v>0</v>
      </c>
      <c r="B1" s="30"/>
      <c r="C1" s="30"/>
      <c r="D1" s="31"/>
      <c r="E1" s="1" t="s">
        <v>1</v>
      </c>
      <c r="O1" s="2">
        <f>1-C11</f>
        <v>0.99</v>
      </c>
      <c r="P1" s="2">
        <f t="shared" ref="P1:AH1" si="0">O1-$C12</f>
        <v>0.98599999999999999</v>
      </c>
      <c r="Q1" s="2">
        <f t="shared" si="0"/>
        <v>0.98199999999999998</v>
      </c>
      <c r="R1" s="2">
        <f t="shared" si="0"/>
        <v>0.97799999999999998</v>
      </c>
      <c r="S1" s="2">
        <f t="shared" si="0"/>
        <v>0.97399999999999998</v>
      </c>
      <c r="T1" s="2">
        <f t="shared" si="0"/>
        <v>0.97</v>
      </c>
      <c r="U1" s="2">
        <f t="shared" si="0"/>
        <v>0.96599999999999997</v>
      </c>
      <c r="V1" s="2">
        <f t="shared" si="0"/>
        <v>0.96199999999999997</v>
      </c>
      <c r="W1" s="2">
        <f t="shared" si="0"/>
        <v>0.95799999999999996</v>
      </c>
      <c r="X1" s="2">
        <f t="shared" si="0"/>
        <v>0.95399999999999996</v>
      </c>
      <c r="Y1" s="2">
        <f t="shared" si="0"/>
        <v>0.95</v>
      </c>
      <c r="Z1" s="2">
        <f t="shared" si="0"/>
        <v>0.94599999999999995</v>
      </c>
      <c r="AA1" s="2">
        <f t="shared" si="0"/>
        <v>0.94199999999999995</v>
      </c>
      <c r="AB1" s="2">
        <f t="shared" si="0"/>
        <v>0.93799999999999994</v>
      </c>
      <c r="AC1" s="2">
        <f t="shared" si="0"/>
        <v>0.93399999999999994</v>
      </c>
      <c r="AD1" s="2">
        <f t="shared" si="0"/>
        <v>0.92999999999999994</v>
      </c>
      <c r="AE1" s="2">
        <f t="shared" si="0"/>
        <v>0.92599999999999993</v>
      </c>
      <c r="AF1" s="2">
        <f t="shared" si="0"/>
        <v>0.92199999999999993</v>
      </c>
      <c r="AG1" s="2">
        <f t="shared" si="0"/>
        <v>0.91799999999999993</v>
      </c>
      <c r="AH1" s="2">
        <f t="shared" si="0"/>
        <v>0.91399999999999992</v>
      </c>
    </row>
    <row r="2" spans="1:34" ht="21.75" customHeight="1">
      <c r="A2" s="3" t="s">
        <v>2</v>
      </c>
      <c r="B2" s="28" t="s">
        <v>71</v>
      </c>
      <c r="C2" s="3" t="s">
        <v>3</v>
      </c>
      <c r="D2" s="5" t="s">
        <v>3</v>
      </c>
      <c r="E2" s="6" t="s">
        <v>4</v>
      </c>
    </row>
    <row r="3" spans="1:34" ht="21.75" customHeight="1">
      <c r="A3" s="7" t="s">
        <v>5</v>
      </c>
      <c r="B3" s="8">
        <v>20</v>
      </c>
      <c r="C3" s="7" t="s">
        <v>3</v>
      </c>
      <c r="D3" s="9" t="s">
        <v>3</v>
      </c>
      <c r="E3" s="6" t="s">
        <v>6</v>
      </c>
    </row>
    <row r="4" spans="1:34" ht="21.75" customHeight="1">
      <c r="A4" s="7" t="s">
        <v>7</v>
      </c>
      <c r="B4" s="8">
        <v>436.1</v>
      </c>
      <c r="C4" s="7" t="s">
        <v>3</v>
      </c>
      <c r="D4" s="9" t="s">
        <v>3</v>
      </c>
      <c r="E4" s="6" t="s">
        <v>8</v>
      </c>
    </row>
    <row r="5" spans="1:34" ht="22.5" customHeight="1">
      <c r="A5" s="7" t="s">
        <v>9</v>
      </c>
      <c r="B5" s="8">
        <v>2020</v>
      </c>
      <c r="C5" s="7" t="s">
        <v>10</v>
      </c>
      <c r="D5" s="9">
        <f>B5+B3-1</f>
        <v>2039</v>
      </c>
      <c r="E5" s="6" t="s">
        <v>11</v>
      </c>
    </row>
    <row r="6" spans="1:34" ht="20.25" customHeight="1">
      <c r="A6" s="10"/>
      <c r="B6" s="10"/>
      <c r="C6" s="10"/>
      <c r="D6" s="10"/>
      <c r="E6" s="11"/>
    </row>
    <row r="7" spans="1:34" ht="22.5" customHeight="1">
      <c r="A7" s="44" t="s">
        <v>12</v>
      </c>
      <c r="B7" s="30"/>
      <c r="C7" s="30"/>
      <c r="D7" s="31"/>
      <c r="E7" s="11"/>
    </row>
    <row r="8" spans="1:34" ht="22.5" customHeight="1">
      <c r="A8" s="37" t="s">
        <v>13</v>
      </c>
      <c r="B8" s="38"/>
      <c r="C8" s="38"/>
      <c r="D8" s="39"/>
      <c r="E8" s="11"/>
    </row>
    <row r="9" spans="1:34" ht="22.5" customHeight="1">
      <c r="A9" s="12" t="s">
        <v>14</v>
      </c>
      <c r="B9" s="13" t="s">
        <v>15</v>
      </c>
      <c r="C9" s="13" t="s">
        <v>16</v>
      </c>
      <c r="D9" s="14" t="s">
        <v>17</v>
      </c>
      <c r="E9" s="1" t="s">
        <v>1</v>
      </c>
    </row>
    <row r="10" spans="1:34" ht="30" customHeight="1">
      <c r="A10" s="32" t="s">
        <v>18</v>
      </c>
      <c r="B10" s="3" t="s">
        <v>19</v>
      </c>
      <c r="C10" s="15">
        <v>547002</v>
      </c>
      <c r="D10" s="35">
        <f>B3</f>
        <v>20</v>
      </c>
      <c r="E10" s="6" t="s">
        <v>20</v>
      </c>
    </row>
    <row r="11" spans="1:34" ht="30" customHeight="1">
      <c r="A11" s="33"/>
      <c r="B11" s="7" t="s">
        <v>21</v>
      </c>
      <c r="C11" s="16">
        <v>0.01</v>
      </c>
      <c r="D11" s="36"/>
      <c r="E11" s="6" t="s">
        <v>22</v>
      </c>
    </row>
    <row r="12" spans="1:34" ht="30" customHeight="1">
      <c r="A12" s="33"/>
      <c r="B12" s="7" t="s">
        <v>23</v>
      </c>
      <c r="C12" s="17">
        <v>4.0000000000000001E-3</v>
      </c>
      <c r="D12" s="36"/>
      <c r="E12" s="6" t="s">
        <v>24</v>
      </c>
    </row>
    <row r="13" spans="1:34" ht="22.5" customHeight="1">
      <c r="A13" s="33"/>
      <c r="B13" s="18" t="s">
        <v>25</v>
      </c>
      <c r="C13" s="19">
        <v>4</v>
      </c>
      <c r="D13" s="36"/>
      <c r="E13" s="6" t="s">
        <v>26</v>
      </c>
    </row>
    <row r="14" spans="1:34" ht="22.5" customHeight="1">
      <c r="A14" s="34" t="s">
        <v>27</v>
      </c>
      <c r="B14" s="30"/>
      <c r="C14" s="30"/>
      <c r="D14" s="31"/>
      <c r="E14" s="11"/>
    </row>
    <row r="15" spans="1:34" ht="22.5" customHeight="1">
      <c r="A15" s="12" t="s">
        <v>14</v>
      </c>
      <c r="B15" s="13" t="s">
        <v>15</v>
      </c>
      <c r="C15" s="13" t="s">
        <v>16</v>
      </c>
      <c r="D15" s="14" t="s">
        <v>28</v>
      </c>
      <c r="E15" s="1" t="s">
        <v>1</v>
      </c>
    </row>
    <row r="16" spans="1:34" ht="21.75" customHeight="1">
      <c r="A16" s="45" t="s">
        <v>29</v>
      </c>
      <c r="B16" s="20" t="s">
        <v>30</v>
      </c>
      <c r="C16" s="21">
        <v>35000</v>
      </c>
      <c r="D16" s="40">
        <f>B3</f>
        <v>20</v>
      </c>
      <c r="E16" s="6" t="s">
        <v>31</v>
      </c>
    </row>
    <row r="17" spans="1:5" ht="21.75" customHeight="1">
      <c r="A17" s="33"/>
      <c r="B17" s="7" t="s">
        <v>32</v>
      </c>
      <c r="C17" s="8">
        <v>0.3</v>
      </c>
      <c r="D17" s="36"/>
      <c r="E17" s="6" t="s">
        <v>33</v>
      </c>
    </row>
    <row r="18" spans="1:5" ht="21.75" customHeight="1">
      <c r="A18" s="43"/>
      <c r="B18" s="7" t="s">
        <v>34</v>
      </c>
      <c r="C18" s="22">
        <v>2000</v>
      </c>
      <c r="D18" s="41"/>
      <c r="E18" s="6" t="s">
        <v>35</v>
      </c>
    </row>
    <row r="19" spans="1:5" ht="54" customHeight="1">
      <c r="A19" s="42" t="s">
        <v>36</v>
      </c>
      <c r="B19" s="23" t="s">
        <v>37</v>
      </c>
      <c r="C19" s="8">
        <v>1</v>
      </c>
      <c r="D19" s="5" t="s">
        <v>3</v>
      </c>
      <c r="E19" s="6" t="s">
        <v>38</v>
      </c>
    </row>
    <row r="20" spans="1:5" ht="20.25" customHeight="1">
      <c r="A20" s="33"/>
      <c r="B20" s="24" t="s">
        <v>39</v>
      </c>
      <c r="C20" s="22">
        <v>290201</v>
      </c>
      <c r="D20" s="5">
        <f>B3</f>
        <v>20</v>
      </c>
      <c r="E20" s="6" t="s">
        <v>40</v>
      </c>
    </row>
    <row r="21" spans="1:5" ht="30" customHeight="1">
      <c r="A21" s="43"/>
      <c r="B21" s="7" t="s">
        <v>41</v>
      </c>
      <c r="C21" s="8"/>
      <c r="D21" s="9" t="s">
        <v>3</v>
      </c>
      <c r="E21" s="6" t="s">
        <v>42</v>
      </c>
    </row>
    <row r="22" spans="1:5" ht="30" customHeight="1">
      <c r="A22" s="7" t="s">
        <v>43</v>
      </c>
      <c r="B22" s="25" t="s">
        <v>44</v>
      </c>
      <c r="C22" s="22">
        <v>400</v>
      </c>
      <c r="D22" s="9">
        <f>B3</f>
        <v>20</v>
      </c>
      <c r="E22" s="6" t="s">
        <v>45</v>
      </c>
    </row>
    <row r="23" spans="1:5" ht="30" customHeight="1">
      <c r="A23" s="7" t="s">
        <v>46</v>
      </c>
      <c r="B23" s="7" t="s">
        <v>47</v>
      </c>
      <c r="C23" s="8">
        <v>3.0000000000000001E-3</v>
      </c>
      <c r="D23" s="9">
        <f>B3</f>
        <v>20</v>
      </c>
      <c r="E23" s="6" t="s">
        <v>48</v>
      </c>
    </row>
    <row r="24" spans="1:5" ht="30" customHeight="1">
      <c r="A24" s="7" t="s">
        <v>49</v>
      </c>
      <c r="B24" s="25" t="s">
        <v>50</v>
      </c>
      <c r="C24" s="22">
        <v>1000</v>
      </c>
      <c r="D24" s="26">
        <v>10</v>
      </c>
      <c r="E24" s="6" t="s">
        <v>51</v>
      </c>
    </row>
    <row r="25" spans="1:5" ht="30" customHeight="1">
      <c r="A25" s="7" t="s">
        <v>52</v>
      </c>
      <c r="B25" s="7" t="s">
        <v>53</v>
      </c>
      <c r="C25" s="17">
        <v>2.5600000000000001E-2</v>
      </c>
      <c r="D25" s="9" t="s">
        <v>3</v>
      </c>
      <c r="E25" s="6" t="s">
        <v>54</v>
      </c>
    </row>
    <row r="26" spans="1:5" ht="30" customHeight="1">
      <c r="A26" s="7" t="s">
        <v>55</v>
      </c>
      <c r="B26" s="7" t="s">
        <v>56</v>
      </c>
      <c r="C26" s="8">
        <v>0.2</v>
      </c>
      <c r="D26" s="9" t="s">
        <v>3</v>
      </c>
      <c r="E26" s="6" t="s">
        <v>57</v>
      </c>
    </row>
    <row r="27" spans="1:5" ht="20.25" customHeight="1">
      <c r="A27" s="10"/>
      <c r="B27" s="10"/>
      <c r="C27" s="10"/>
      <c r="D27" s="10"/>
      <c r="E27" s="11"/>
    </row>
    <row r="28" spans="1:5" ht="20.25" customHeight="1">
      <c r="A28" s="10"/>
      <c r="B28" s="10"/>
      <c r="C28" s="10"/>
      <c r="D28" s="10"/>
      <c r="E28" s="11"/>
    </row>
    <row r="29" spans="1:5" ht="22.5" customHeight="1">
      <c r="A29" s="29" t="s">
        <v>58</v>
      </c>
      <c r="B29" s="30"/>
      <c r="C29" s="31"/>
      <c r="D29" s="10"/>
      <c r="E29" s="11"/>
    </row>
    <row r="30" spans="1:5" ht="22.5" customHeight="1">
      <c r="A30" s="12" t="s">
        <v>59</v>
      </c>
      <c r="B30" s="13" t="s">
        <v>15</v>
      </c>
      <c r="C30" s="27" t="s">
        <v>16</v>
      </c>
      <c r="D30" s="10"/>
      <c r="E30" s="1" t="s">
        <v>1</v>
      </c>
    </row>
    <row r="31" spans="1:5" ht="30" customHeight="1">
      <c r="A31" s="3" t="s">
        <v>60</v>
      </c>
      <c r="B31" s="3" t="s">
        <v>61</v>
      </c>
      <c r="C31" s="4">
        <v>0.8</v>
      </c>
      <c r="D31" s="10"/>
      <c r="E31" s="6" t="s">
        <v>62</v>
      </c>
    </row>
    <row r="32" spans="1:5" ht="18.75" customHeight="1">
      <c r="A32" s="3" t="s">
        <v>63</v>
      </c>
      <c r="B32" s="3" t="s">
        <v>64</v>
      </c>
      <c r="C32" s="4">
        <v>15</v>
      </c>
      <c r="D32" s="10"/>
      <c r="E32" s="6" t="s">
        <v>65</v>
      </c>
    </row>
    <row r="33" spans="1:5" ht="18.75" customHeight="1">
      <c r="A33" s="7" t="s">
        <v>66</v>
      </c>
      <c r="B33" s="7" t="s">
        <v>67</v>
      </c>
      <c r="C33" s="8">
        <v>0.9</v>
      </c>
      <c r="D33" s="10"/>
      <c r="E33" s="6" t="s">
        <v>68</v>
      </c>
    </row>
    <row r="34" spans="1:5" ht="30" customHeight="1">
      <c r="A34" s="7" t="s">
        <v>69</v>
      </c>
      <c r="B34" s="7" t="s">
        <v>64</v>
      </c>
      <c r="C34" s="8">
        <v>4</v>
      </c>
      <c r="D34" s="10"/>
      <c r="E34" s="6" t="s">
        <v>70</v>
      </c>
    </row>
    <row r="35" spans="1:5" ht="18.75" customHeight="1"/>
  </sheetData>
  <mergeCells count="10">
    <mergeCell ref="A29:C29"/>
    <mergeCell ref="A10:A13"/>
    <mergeCell ref="A14:D14"/>
    <mergeCell ref="D10:D13"/>
    <mergeCell ref="A1:D1"/>
    <mergeCell ref="A8:D8"/>
    <mergeCell ref="D16:D18"/>
    <mergeCell ref="A19:A21"/>
    <mergeCell ref="A7:D7"/>
    <mergeCell ref="A16:A18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空白範例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王竣生</cp:lastModifiedBy>
  <dcterms:created xsi:type="dcterms:W3CDTF">2026-04-12T05:27:38Z</dcterms:created>
  <dcterms:modified xsi:type="dcterms:W3CDTF">2026-04-14T13:33:52Z</dcterms:modified>
</cp:coreProperties>
</file>