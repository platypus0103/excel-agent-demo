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多站彙整" sheetId="1" state="visible" r:id="rId3"/>
    <sheet name="淡江大學_p3" sheetId="2" state="visible" r:id="rId4"/>
    <sheet name="淡江大學_p4" sheetId="3" state="visible" r:id="rId5"/>
    <sheet name="淡江大學_p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<sst xmlns="http://schemas.openxmlformats.org/spreadsheetml/2006/main" count="703" uniqueCount="149">
  <si>
    <t xml:space="preserve">年份</t>
  </si>
  <si>
    <t xml:space="preserve">預估發電度數</t>
  </si>
  <si>
    <t xml:space="preserve">淡江大學</t>
  </si>
  <si>
    <t xml:space="preserve">預估發電度數/年總計</t>
  </si>
  <si>
    <t xml:space="preserve">預估收入</t>
  </si>
  <si>
    <t xml:space="preserve">預估收入/年總計</t>
  </si>
  <si>
    <t xml:space="preserve">租金</t>
  </si>
  <si>
    <t xml:space="preserve">租金/年總計</t>
  </si>
  <si>
    <t xml:space="preserve">運維</t>
  </si>
  <si>
    <t xml:space="preserve">運維/年總計</t>
  </si>
  <si>
    <t xml:space="preserve">保險</t>
  </si>
  <si>
    <t xml:space="preserve">保險/年總計</t>
  </si>
  <si>
    <t xml:space="preserve">模組回收費</t>
  </si>
  <si>
    <t xml:space="preserve">模組回收費/年總計</t>
  </si>
  <si>
    <t xml:space="preserve">所得稅</t>
  </si>
  <si>
    <t xml:space="preserve">所得稅/年總計</t>
  </si>
  <si>
    <t xml:space="preserve">設備折舊</t>
  </si>
  <si>
    <t xml:space="preserve">設備折舊/年總計</t>
  </si>
  <si>
    <t xml:space="preserve">貸款成數(%)</t>
  </si>
  <si>
    <t xml:space="preserve">還款期數</t>
  </si>
  <si>
    <t xml:space="preserve">股利比率(%)</t>
  </si>
  <si>
    <t xml:space="preserve">年底減資攤還期數</t>
  </si>
  <si>
    <t xml:space="preserve">銀行利率(%)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</si>
  <si>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</si>
  <si>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</si>
  <si>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電費收入</t>
    </r>
  </si>
  <si>
    <t xml:space="preserve">-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</si>
  <si>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</si>
  <si>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</si>
  <si>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</si>
  <si>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</si>
  <si>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</si>
  <si>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</si>
  <si>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</si>
  <si>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</si>
  <si>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</si>
  <si>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Noto Sans TC"/>
        <family val="2"/>
        <charset val="136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</si>
  <si>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Noto Sans TC"/>
        <family val="2"/>
        <charset val="136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</si>
  <si>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</si>
  <si>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</si>
  <si>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</si>
  <si>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</si>
  <si>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</si>
  <si>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專案法IRR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</si>
  <si>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</si>
  <si>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設備折舊</t>
    </r>
  </si>
  <si>
    <t xml:space="preserve">稅前淨利</t>
  </si>
  <si>
    <t xml:space="preserve">稅後淨利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</si>
  <si>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</si>
  <si>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</si>
  <si>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</si>
  <si>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</si>
  <si>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</si>
  <si>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現金股利</t>
  </si>
  <si>
    <t xml:space="preserve">年底減資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</si>
  <si>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</si>
  <si>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</si>
  <si>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</si>
  <si>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</si>
  <si>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</si>
  <si>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</si>
  <si>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</si>
  <si>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</si>
  <si>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電站基本資料</t>
  </si>
  <si>
    <t xml:space="preserve">說明</t>
  </si>
  <si>
    <t xml:space="preserve">電站名稱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</si>
  <si>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</si>
  <si>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</si>
  <si>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</si>
  <si>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</si>
  <si>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</si>
  <si>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情境編號: 3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</si>
  <si>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</si>
  <si>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</si>
  <si>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</si>
  <si>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第2次滾算摘要</t>
  </si>
  <si>
    <t xml:space="preserve">價金: 31000</t>
  </si>
  <si>
    <t xml:space="preserve">綜合損益表</t>
  </si>
  <si>
    <t xml:space="preserve">專案IRR: 3.75</t>
  </si>
  <si>
    <t xml:space="preserve">收入</t>
  </si>
  <si>
    <t xml:space="preserve">權益法IRR: 8.21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</si>
  <si>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</si>
  <si>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</si>
  <si>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</si>
  <si>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</si>
  <si>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利潤率: 30.00%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</si>
  <si>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</si>
  <si>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</si>
  <si>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</si>
  <si>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第2次滾算，減少 2000 元 - 現金模式，每次減少 2000 元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</si>
  <si>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</si>
  <si>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</si>
  <si>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</si>
  <si>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</si>
  <si>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</si>
  <si>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</si>
  <si>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</si>
  <si>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</si>
  <si>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</si>
  <si>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</si>
  <si>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</si>
  <si>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</si>
  <si>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</si>
  <si>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</si>
  <si>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</si>
  <si>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</si>
  <si>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</si>
  <si>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</si>
  <si>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</si>
  <si>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</si>
  <si>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</si>
  <si>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</si>
  <si>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</si>
  <si>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</si>
  <si>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</si>
  <si>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</si>
  <si>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</si>
  <si>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</si>
  <si>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</si>
  <si>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</si>
  <si>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</si>
  <si>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</si>
  <si>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</si>
  <si>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</si>
  <si>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所得稅率</t>
  </si>
  <si>
    <t xml:space="preserve">公司所得稅率，填小數（例：20% → 填 0.2）。預設 0.2，通常不需更改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</si>
  <si>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</si>
  <si>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</si>
  <si>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</si>
  <si>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</si>
  <si>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</si>
  <si>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</si>
  <si>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</si>
  <si>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</si>
  <si>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股利比率</t>
  </si>
  <si>
    <t xml:space="preserve">稅後現金流中分配給股東的比例，填小數（例：90% → 填 0.9）</t>
  </si>
  <si>
    <t xml:space="preserve">年底減資返還股東的年數。預設 4 年，代表 倒數 4 年進行減資，加速資金返還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</si>
  <si>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</si>
  <si>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</si>
  <si>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</si>
  <si>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</si>
  <si>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</si>
  <si>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第3次滾算，減少 2000 元 - 現金模式，每次減少 2000 元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</si>
  <si>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</si>
  <si>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</si>
  <si>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</si>
  <si>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</si>
  <si>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</si>
  <si>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第4次滾算，減少 2000 元 - 現金模式，每次減少 2000 元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</si>
</sst>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_);[RED]\(0.00\)"/>
    <numFmt numFmtId="167" formatCode="0_);[RED]\(0\)"/>
    <numFmt numFmtId="168" formatCode="\$#,##0.00_);[RED]&quot;($&quot;#,##0.00\)"/>
    <numFmt numFmtId="169" formatCode="\$#,##0_);[RED]&quot;($&quot;#,##0\)"/>
    <numFmt numFmtId="170" formatCode="0.00%"/>
    <numFmt numFmtId="171" formatCode="_-\$* #,##0_-;&quot;-$&quot;* #,##0_-;_-\$* \-??_-;_-@_-"/>
    <numFmt numFmtId="172" formatCode="#,##0_ "/>
    <numFmt numFmtId="173" formatCode="0%"/>
    <numFmt numFmtId="174" formatCode="_-* #,##0_-;\-* #,##0_-;_-* \-??_-;_-@_-"/>
  </numFmts>
  <fonts count="40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rgb="FFFFFFFF"/>
      <name val="Noto Sans TC"/>
      <family val="2"/>
      <charset val="136"/>
    </font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Noto Sans TC"/>
      <family val="2"/>
      <charset val="136"/>
    </font>
    <font>
      <sz val="12"/>
      <color rgb="FF000000"/>
      <name val="Arial"/>
      <family val="2"/>
      <charset val="1"/>
    </font>
    <font>
      <sz val="12"/>
      <color theme="1"/>
      <name val="Noto Sans TC"/>
      <family val="2"/>
      <charset val="136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sz val="12"/>
      <color rgb="FF000080"/>
      <name val="Noto Sans TC"/>
      <family val="2"/>
      <charset val="136"/>
    </font>
    <font>
      <b val="true"/>
      <sz val="11"/>
      <color theme="1"/>
      <name val="新細明體"/>
      <family val="1"/>
      <charset val="136"/>
    </font>
    <font>
      <b val="true"/>
      <sz val="12"/>
      <color theme="1"/>
      <name val="Noto Sans TC"/>
      <family val="2"/>
      <charset val="136"/>
    </font>
    <font>
      <sz val="12"/>
      <color rgb="FF000000"/>
      <name val="微軟正黑體"/>
      <family val="2"/>
      <charset val="1"/>
    </font>
    <font>
      <b val="true"/>
      <sz val="12"/>
      <color theme="0"/>
      <name val="新細明體"/>
      <family val="2"/>
      <charset val="1"/>
    </font>
    <font>
      <sz val="11"/>
      <color theme="1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新細明體"/>
      <family val="2"/>
      <charset val="1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2"/>
      <charset val="1"/>
    </font>
    <font>
      <sz val="12"/>
      <color rgb="FF000080"/>
      <name val="新細明體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rgb="FFF2DCDB"/>
        <bgColor rgb="FFE6E0EC"/>
      </patternFill>
    </fill>
    <fill>
      <patternFill patternType="solid">
        <fgColor rgb="FFFCD5B5"/>
        <bgColor rgb="FFFFCCCC"/>
      </patternFill>
    </fill>
    <fill>
      <patternFill patternType="solid">
        <fgColor rgb="FFDCE6F1"/>
        <bgColor rgb="FFDCE6F2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DCE6F2"/>
      </patternFill>
    </fill>
    <fill>
      <patternFill patternType="solid">
        <fgColor rgb="FF376092"/>
        <bgColor rgb="FF2F75B5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CC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FCD5B5"/>
      </patternFill>
    </fill>
    <fill>
      <patternFill patternType="solid">
        <fgColor rgb="FF9BC2E6"/>
        <bgColor rgb="FFC6C6C6"/>
      </patternFill>
    </fill>
    <fill>
      <patternFill patternType="solid">
        <fgColor rgb="FFFFFFCC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1"/>
      </patternFill>
    </fill>
    <fill>
      <patternFill patternType="solid">
        <fgColor theme="4" tint="0.7998"/>
        <bgColor rgb="FFDCE6F1"/>
      </patternFill>
    </fill>
    <fill>
      <patternFill patternType="solid">
        <fgColor theme="5" tint="0.3998"/>
        <bgColor rgb="FF96969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3" fillId="19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9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9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37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F2DCDB"/>
      <rgbColor rgb="FF993366"/>
      <rgbColor rgb="FFFFFFCC"/>
      <rgbColor rgb="FFDAEEF3"/>
      <rgbColor rgb="FF660066"/>
      <rgbColor rgb="FFD99694"/>
      <rgbColor rgb="FF0070C0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FFF99"/>
      <rgbColor rgb="FF9BC2E6"/>
      <rgbColor rgb="FFFFCCCC"/>
      <rgbColor rgb="FFE6E0EC"/>
      <rgbColor rgb="FFFCD5B5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X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1" width="30.01"/>
    <col collapsed="false" customWidth="true" hidden="false" outlineLevel="0" max="23" min="3" style="1" width="16.38"/>
  </cols>
  <sheetData>
    <row r="4" customFormat="false" ht="15" hidden="false" customHeight="true" outlineLevel="0" collapsed="false">
      <c r="C4" s="2" t="s">
        <v>0</v>
      </c>
      <c r="D4" s="2" t="n">
        <v>2020</v>
      </c>
      <c r="E4" s="2" t="n">
        <v>2021</v>
      </c>
      <c r="F4" s="2" t="n">
        <v>2022</v>
      </c>
      <c r="G4" s="2" t="n">
        <v>2023</v>
      </c>
      <c r="H4" s="2" t="n">
        <v>2024</v>
      </c>
      <c r="I4" s="2" t="n">
        <v>2025</v>
      </c>
      <c r="J4" s="2" t="n">
        <v>2026</v>
      </c>
      <c r="K4" s="2" t="n">
        <v>2027</v>
      </c>
      <c r="L4" s="2" t="n">
        <v>2028</v>
      </c>
      <c r="M4" s="2" t="n">
        <v>2029</v>
      </c>
      <c r="N4" s="2" t="n">
        <v>2030</v>
      </c>
      <c r="O4" s="2" t="n">
        <v>2031</v>
      </c>
      <c r="P4" s="2" t="n">
        <v>2032</v>
      </c>
      <c r="Q4" s="2" t="n">
        <v>2033</v>
      </c>
      <c r="R4" s="2" t="n">
        <v>2034</v>
      </c>
      <c r="S4" s="2" t="n">
        <v>2035</v>
      </c>
      <c r="T4" s="2" t="n">
        <v>2036</v>
      </c>
      <c r="U4" s="2" t="n">
        <v>2037</v>
      </c>
      <c r="V4" s="2" t="n">
        <v>2038</v>
      </c>
      <c r="W4" s="2" t="n">
        <v>2039</v>
      </c>
    </row>
    <row r="5" customFormat="false" ht="15" hidden="false" customHeight="true" outlineLevel="0" collapsed="false">
      <c r="C5" s="1" t="s">
        <v>1</v>
      </c>
    </row>
    <row r="6" customFormat="false" ht="15" hidden="false" customHeight="true" outlineLevel="0" collapsed="false">
      <c r="B6" s="1" t="s">
        <v>2</v>
      </c>
      <c r="D6" s="3" t="n">
        <f aca="false">ROUND(ABS(淡江大學_p3!D40),0)</f>
        <v>541532</v>
      </c>
      <c r="E6" s="3" t="n">
        <f aca="false">ROUND(ABS(淡江大學_p3!E40),0)</f>
        <v>539344</v>
      </c>
      <c r="F6" s="3" t="n">
        <f aca="false">ROUND(ABS(淡江大學_p3!F40),0)</f>
        <v>537156</v>
      </c>
      <c r="G6" s="3" t="n">
        <f aca="false">ROUND(ABS(淡江大學_p3!G40),0)</f>
        <v>534968</v>
      </c>
      <c r="H6" s="3" t="n">
        <f aca="false">ROUND(ABS(淡江大學_p3!H40),0)</f>
        <v>532780</v>
      </c>
      <c r="I6" s="3" t="n">
        <f aca="false">ROUND(ABS(淡江大學_p3!I40),0)</f>
        <v>530592</v>
      </c>
      <c r="J6" s="3" t="n">
        <f aca="false">ROUND(ABS(淡江大學_p3!J40),0)</f>
        <v>528404</v>
      </c>
      <c r="K6" s="3" t="n">
        <f aca="false">ROUND(ABS(淡江大學_p3!K40),0)</f>
        <v>526216</v>
      </c>
      <c r="L6" s="3" t="n">
        <f aca="false">ROUND(ABS(淡江大學_p3!L40),0)</f>
        <v>524028</v>
      </c>
      <c r="M6" s="3" t="n">
        <f aca="false">ROUND(ABS(淡江大學_p3!M40),0)</f>
        <v>521840</v>
      </c>
      <c r="N6" s="3" t="n">
        <f aca="false">ROUND(ABS(淡江大學_p3!N40),0)</f>
        <v>519652</v>
      </c>
      <c r="O6" s="3" t="n">
        <f aca="false">ROUND(ABS(淡江大學_p3!O40),0)</f>
        <v>517464</v>
      </c>
      <c r="P6" s="3" t="n">
        <f aca="false">ROUND(ABS(淡江大學_p3!P40),0)</f>
        <v>515276</v>
      </c>
      <c r="Q6" s="3" t="n">
        <f aca="false">ROUND(ABS(淡江大學_p3!Q40),0)</f>
        <v>513088</v>
      </c>
      <c r="R6" s="3" t="n">
        <f aca="false">ROUND(ABS(淡江大學_p3!R40),0)</f>
        <v>510900</v>
      </c>
      <c r="S6" s="3" t="n">
        <f aca="false">ROUND(ABS(淡江大學_p3!S40),0)</f>
        <v>508712</v>
      </c>
      <c r="T6" s="3" t="n">
        <f aca="false">ROUND(ABS(淡江大學_p3!T40),0)</f>
        <v>506524</v>
      </c>
      <c r="U6" s="3" t="n">
        <f aca="false">ROUND(ABS(淡江大學_p3!U40),0)</f>
        <v>504336</v>
      </c>
      <c r="V6" s="3" t="n">
        <f aca="false">ROUND(ABS(淡江大學_p3!V40),0)</f>
        <v>502148</v>
      </c>
      <c r="W6" s="3" t="n">
        <f aca="false">ROUND(ABS(淡江大學_p3!W40),0)</f>
        <v>499960</v>
      </c>
    </row>
    <row r="7" customFormat="false" ht="15" hidden="false" customHeight="true" outlineLevel="0" collapsed="false">
      <c r="B7" s="1" t="s">
        <v>2</v>
      </c>
      <c r="D7" s="3" t="n">
        <f aca="false">ROUND(ABS(淡江大學_p4!D40),0)</f>
        <v>541532</v>
      </c>
      <c r="E7" s="3" t="n">
        <f aca="false">ROUND(ABS(淡江大學_p4!E40),0)</f>
        <v>539344</v>
      </c>
      <c r="F7" s="3" t="n">
        <f aca="false">ROUND(ABS(淡江大學_p4!F40),0)</f>
        <v>537156</v>
      </c>
      <c r="G7" s="3" t="n">
        <f aca="false">ROUND(ABS(淡江大學_p4!G40),0)</f>
        <v>534968</v>
      </c>
      <c r="H7" s="3" t="n">
        <f aca="false">ROUND(ABS(淡江大學_p4!H40),0)</f>
        <v>532780</v>
      </c>
      <c r="I7" s="3" t="n">
        <f aca="false">ROUND(ABS(淡江大學_p4!I40),0)</f>
        <v>530592</v>
      </c>
      <c r="J7" s="3" t="n">
        <f aca="false">ROUND(ABS(淡江大學_p4!J40),0)</f>
        <v>528404</v>
      </c>
      <c r="K7" s="3" t="n">
        <f aca="false">ROUND(ABS(淡江大學_p4!K40),0)</f>
        <v>526216</v>
      </c>
      <c r="L7" s="3" t="n">
        <f aca="false">ROUND(ABS(淡江大學_p4!L40),0)</f>
        <v>524028</v>
      </c>
      <c r="M7" s="3" t="n">
        <f aca="false">ROUND(ABS(淡江大學_p4!M40),0)</f>
        <v>521840</v>
      </c>
      <c r="N7" s="3" t="n">
        <f aca="false">ROUND(ABS(淡江大學_p4!N40),0)</f>
        <v>519652</v>
      </c>
      <c r="O7" s="3" t="n">
        <f aca="false">ROUND(ABS(淡江大學_p4!O40),0)</f>
        <v>517464</v>
      </c>
      <c r="P7" s="3" t="n">
        <f aca="false">ROUND(ABS(淡江大學_p4!P40),0)</f>
        <v>515276</v>
      </c>
      <c r="Q7" s="3" t="n">
        <f aca="false">ROUND(ABS(淡江大學_p4!Q40),0)</f>
        <v>513088</v>
      </c>
      <c r="R7" s="3" t="n">
        <f aca="false">ROUND(ABS(淡江大學_p4!R40),0)</f>
        <v>510900</v>
      </c>
      <c r="S7" s="3" t="n">
        <f aca="false">ROUND(ABS(淡江大學_p4!S40),0)</f>
        <v>508712</v>
      </c>
      <c r="T7" s="3" t="n">
        <f aca="false">ROUND(ABS(淡江大學_p4!T40),0)</f>
        <v>506524</v>
      </c>
      <c r="U7" s="3" t="n">
        <f aca="false">ROUND(ABS(淡江大學_p4!U40),0)</f>
        <v>504336</v>
      </c>
      <c r="V7" s="3" t="n">
        <f aca="false">ROUND(ABS(淡江大學_p4!V40),0)</f>
        <v>502148</v>
      </c>
      <c r="W7" s="3" t="n">
        <f aca="false">ROUND(ABS(淡江大學_p4!W40),0)</f>
        <v>499960</v>
      </c>
    </row>
    <row r="8" customFormat="false" ht="15" hidden="false" customHeight="true" outlineLevel="0" collapsed="false">
      <c r="B8" s="1" t="s">
        <v>2</v>
      </c>
      <c r="D8" s="3" t="n">
        <f aca="false">ROUND(ABS(淡江大學_p5!D40),0)</f>
        <v>541532</v>
      </c>
      <c r="E8" s="3" t="n">
        <f aca="false">ROUND(ABS(淡江大學_p5!E40),0)</f>
        <v>539344</v>
      </c>
      <c r="F8" s="3" t="n">
        <f aca="false">ROUND(ABS(淡江大學_p5!F40),0)</f>
        <v>537156</v>
      </c>
      <c r="G8" s="3" t="n">
        <f aca="false">ROUND(ABS(淡江大學_p5!G40),0)</f>
        <v>534968</v>
      </c>
      <c r="H8" s="3" t="n">
        <f aca="false">ROUND(ABS(淡江大學_p5!H40),0)</f>
        <v>532780</v>
      </c>
      <c r="I8" s="3" t="n">
        <f aca="false">ROUND(ABS(淡江大學_p5!I40),0)</f>
        <v>530592</v>
      </c>
      <c r="J8" s="3" t="n">
        <f aca="false">ROUND(ABS(淡江大學_p5!J40),0)</f>
        <v>528404</v>
      </c>
      <c r="K8" s="3" t="n">
        <f aca="false">ROUND(ABS(淡江大學_p5!K40),0)</f>
        <v>526216</v>
      </c>
      <c r="L8" s="3" t="n">
        <f aca="false">ROUND(ABS(淡江大學_p5!L40),0)</f>
        <v>524028</v>
      </c>
      <c r="M8" s="3" t="n">
        <f aca="false">ROUND(ABS(淡江大學_p5!M40),0)</f>
        <v>521840</v>
      </c>
      <c r="N8" s="3" t="n">
        <f aca="false">ROUND(ABS(淡江大學_p5!N40),0)</f>
        <v>519652</v>
      </c>
      <c r="O8" s="3" t="n">
        <f aca="false">ROUND(ABS(淡江大學_p5!O40),0)</f>
        <v>517464</v>
      </c>
      <c r="P8" s="3" t="n">
        <f aca="false">ROUND(ABS(淡江大學_p5!P40),0)</f>
        <v>515276</v>
      </c>
      <c r="Q8" s="3" t="n">
        <f aca="false">ROUND(ABS(淡江大學_p5!Q40),0)</f>
        <v>513088</v>
      </c>
      <c r="R8" s="3" t="n">
        <f aca="false">ROUND(ABS(淡江大學_p5!R40),0)</f>
        <v>510900</v>
      </c>
      <c r="S8" s="3" t="n">
        <f aca="false">ROUND(ABS(淡江大學_p5!S40),0)</f>
        <v>508712</v>
      </c>
      <c r="T8" s="3" t="n">
        <f aca="false">ROUND(ABS(淡江大學_p5!T40),0)</f>
        <v>506524</v>
      </c>
      <c r="U8" s="3" t="n">
        <f aca="false">ROUND(ABS(淡江大學_p5!U40),0)</f>
        <v>504336</v>
      </c>
      <c r="V8" s="3" t="n">
        <f aca="false">ROUND(ABS(淡江大學_p5!V40),0)</f>
        <v>502148</v>
      </c>
      <c r="W8" s="3" t="n">
        <f aca="false">ROUND(ABS(淡江大學_p5!W40),0)</f>
        <v>499960</v>
      </c>
    </row>
    <row r="9" customFormat="false" ht="15" hidden="false" customHeight="true" outlineLevel="0" collapsed="false">
      <c r="C9" s="4" t="s">
        <v>3</v>
      </c>
      <c r="D9" s="5" t="n">
        <f aca="false">SUM(D6:D8)</f>
        <v>1624596</v>
      </c>
      <c r="E9" s="5" t="n">
        <f aca="false">SUM(E6:E8)</f>
        <v>1618032</v>
      </c>
      <c r="F9" s="5" t="n">
        <f aca="false">SUM(F6:F8)</f>
        <v>1611468</v>
      </c>
      <c r="G9" s="5" t="n">
        <f aca="false">SUM(G6:G8)</f>
        <v>1604904</v>
      </c>
      <c r="H9" s="5" t="n">
        <f aca="false">SUM(H6:H8)</f>
        <v>1598340</v>
      </c>
      <c r="I9" s="5" t="n">
        <f aca="false">SUM(I6:I8)</f>
        <v>1591776</v>
      </c>
      <c r="J9" s="5" t="n">
        <f aca="false">SUM(J6:J8)</f>
        <v>1585212</v>
      </c>
      <c r="K9" s="5" t="n">
        <f aca="false">SUM(K6:K8)</f>
        <v>1578648</v>
      </c>
      <c r="L9" s="5" t="n">
        <f aca="false">SUM(L6:L8)</f>
        <v>1572084</v>
      </c>
      <c r="M9" s="5" t="n">
        <f aca="false">SUM(M6:M8)</f>
        <v>1565520</v>
      </c>
      <c r="N9" s="5" t="n">
        <f aca="false">SUM(N6:N8)</f>
        <v>1558956</v>
      </c>
      <c r="O9" s="5" t="n">
        <f aca="false">SUM(O6:O8)</f>
        <v>1552392</v>
      </c>
      <c r="P9" s="5" t="n">
        <f aca="false">SUM(P6:P8)</f>
        <v>1545828</v>
      </c>
      <c r="Q9" s="5" t="n">
        <f aca="false">SUM(Q6:Q8)</f>
        <v>1539264</v>
      </c>
      <c r="R9" s="5" t="n">
        <f aca="false">SUM(R6:R8)</f>
        <v>1532700</v>
      </c>
      <c r="S9" s="5" t="n">
        <f aca="false">SUM(S6:S8)</f>
        <v>1526136</v>
      </c>
      <c r="T9" s="5" t="n">
        <f aca="false">SUM(T6:T8)</f>
        <v>1519572</v>
      </c>
      <c r="U9" s="5" t="n">
        <f aca="false">SUM(U6:U8)</f>
        <v>1513008</v>
      </c>
      <c r="V9" s="5" t="n">
        <f aca="false">SUM(V6:V8)</f>
        <v>1506444</v>
      </c>
      <c r="W9" s="5" t="n">
        <f aca="false">SUM(W6:W8)</f>
        <v>1499880</v>
      </c>
    </row>
    <row r="10" customFormat="false" ht="15" hidden="false" customHeight="true" outlineLevel="0" collapsed="false">
      <c r="C10" s="2" t="s">
        <v>0</v>
      </c>
      <c r="D10" s="2" t="n">
        <v>2020</v>
      </c>
      <c r="E10" s="2" t="n">
        <v>2021</v>
      </c>
      <c r="F10" s="2" t="n">
        <v>2022</v>
      </c>
      <c r="G10" s="2" t="n">
        <v>2023</v>
      </c>
      <c r="H10" s="2" t="n">
        <v>2024</v>
      </c>
      <c r="I10" s="2" t="n">
        <v>2025</v>
      </c>
      <c r="J10" s="2" t="n">
        <v>2026</v>
      </c>
      <c r="K10" s="2" t="n">
        <v>2027</v>
      </c>
      <c r="L10" s="2" t="n">
        <v>2028</v>
      </c>
      <c r="M10" s="2" t="n">
        <v>2029</v>
      </c>
      <c r="N10" s="2" t="n">
        <v>2030</v>
      </c>
      <c r="O10" s="2" t="n">
        <v>2031</v>
      </c>
      <c r="P10" s="2" t="n">
        <v>2032</v>
      </c>
      <c r="Q10" s="2" t="n">
        <v>2033</v>
      </c>
      <c r="R10" s="2" t="n">
        <v>2034</v>
      </c>
      <c r="S10" s="2" t="n">
        <v>2035</v>
      </c>
      <c r="T10" s="2" t="n">
        <v>2036</v>
      </c>
      <c r="U10" s="2" t="n">
        <v>2037</v>
      </c>
      <c r="V10" s="2" t="n">
        <v>2038</v>
      </c>
      <c r="W10" s="2" t="n">
        <v>2039</v>
      </c>
    </row>
    <row r="11" customFormat="false" ht="15" hidden="false" customHeight="true" outlineLevel="0" collapsed="false">
      <c r="C11" s="1" t="s">
        <v>4</v>
      </c>
    </row>
    <row r="12" customFormat="false" ht="15" hidden="false" customHeight="true" outlineLevel="0" collapsed="false">
      <c r="B12" s="1" t="s">
        <v>2</v>
      </c>
      <c r="D12" s="3" t="n">
        <f aca="false">ROUND(ABS(淡江大學_p3!D41),0)</f>
        <v>2166128</v>
      </c>
      <c r="E12" s="3" t="n">
        <f aca="false">ROUND(ABS(淡江大學_p3!E41),0)</f>
        <v>2157376</v>
      </c>
      <c r="F12" s="3" t="n">
        <f aca="false">ROUND(ABS(淡江大學_p3!F41),0)</f>
        <v>2148624</v>
      </c>
      <c r="G12" s="3" t="n">
        <f aca="false">ROUND(ABS(淡江大學_p3!G41),0)</f>
        <v>2139872</v>
      </c>
      <c r="H12" s="3" t="n">
        <f aca="false">ROUND(ABS(淡江大學_p3!H41),0)</f>
        <v>2131120</v>
      </c>
      <c r="I12" s="3" t="n">
        <f aca="false">ROUND(ABS(淡江大學_p3!I41),0)</f>
        <v>2122368</v>
      </c>
      <c r="J12" s="3" t="n">
        <f aca="false">ROUND(ABS(淡江大學_p3!J41),0)</f>
        <v>2113616</v>
      </c>
      <c r="K12" s="3" t="n">
        <f aca="false">ROUND(ABS(淡江大學_p3!K41),0)</f>
        <v>2104864</v>
      </c>
      <c r="L12" s="3" t="n">
        <f aca="false">ROUND(ABS(淡江大學_p3!L41),0)</f>
        <v>2096112</v>
      </c>
      <c r="M12" s="3" t="n">
        <f aca="false">ROUND(ABS(淡江大學_p3!M41),0)</f>
        <v>2087360</v>
      </c>
      <c r="N12" s="3" t="n">
        <f aca="false">ROUND(ABS(淡江大學_p3!N41),0)</f>
        <v>2078608</v>
      </c>
      <c r="O12" s="3" t="n">
        <f aca="false">ROUND(ABS(淡江大學_p3!O41),0)</f>
        <v>2069856</v>
      </c>
      <c r="P12" s="3" t="n">
        <f aca="false">ROUND(ABS(淡江大學_p3!P41),0)</f>
        <v>2061104</v>
      </c>
      <c r="Q12" s="3" t="n">
        <f aca="false">ROUND(ABS(淡江大學_p3!Q41),0)</f>
        <v>2052352</v>
      </c>
      <c r="R12" s="3" t="n">
        <f aca="false">ROUND(ABS(淡江大學_p3!R41),0)</f>
        <v>2043599</v>
      </c>
      <c r="S12" s="3" t="n">
        <f aca="false">ROUND(ABS(淡江大學_p3!S41),0)</f>
        <v>2034847</v>
      </c>
      <c r="T12" s="3" t="n">
        <f aca="false">ROUND(ABS(淡江大學_p3!T41),0)</f>
        <v>2026095</v>
      </c>
      <c r="U12" s="3" t="n">
        <f aca="false">ROUND(ABS(淡江大學_p3!U41),0)</f>
        <v>2017343</v>
      </c>
      <c r="V12" s="3" t="n">
        <f aca="false">ROUND(ABS(淡江大學_p3!V41),0)</f>
        <v>2008591</v>
      </c>
      <c r="W12" s="3" t="n">
        <f aca="false">ROUND(ABS(淡江大學_p3!W41),0)</f>
        <v>1999839</v>
      </c>
    </row>
    <row r="13" customFormat="false" ht="15" hidden="false" customHeight="true" outlineLevel="0" collapsed="false">
      <c r="B13" s="1" t="s">
        <v>2</v>
      </c>
      <c r="D13" s="3" t="n">
        <f aca="false">ROUND(ABS(淡江大學_p4!D41),0)</f>
        <v>2166128</v>
      </c>
      <c r="E13" s="3" t="n">
        <f aca="false">ROUND(ABS(淡江大學_p4!E41),0)</f>
        <v>2157376</v>
      </c>
      <c r="F13" s="3" t="n">
        <f aca="false">ROUND(ABS(淡江大學_p4!F41),0)</f>
        <v>2148624</v>
      </c>
      <c r="G13" s="3" t="n">
        <f aca="false">ROUND(ABS(淡江大學_p4!G41),0)</f>
        <v>2139872</v>
      </c>
      <c r="H13" s="3" t="n">
        <f aca="false">ROUND(ABS(淡江大學_p4!H41),0)</f>
        <v>2131120</v>
      </c>
      <c r="I13" s="3" t="n">
        <f aca="false">ROUND(ABS(淡江大學_p4!I41),0)</f>
        <v>2122368</v>
      </c>
      <c r="J13" s="3" t="n">
        <f aca="false">ROUND(ABS(淡江大學_p4!J41),0)</f>
        <v>2113616</v>
      </c>
      <c r="K13" s="3" t="n">
        <f aca="false">ROUND(ABS(淡江大學_p4!K41),0)</f>
        <v>2104864</v>
      </c>
      <c r="L13" s="3" t="n">
        <f aca="false">ROUND(ABS(淡江大學_p4!L41),0)</f>
        <v>2096112</v>
      </c>
      <c r="M13" s="3" t="n">
        <f aca="false">ROUND(ABS(淡江大學_p4!M41),0)</f>
        <v>2087360</v>
      </c>
      <c r="N13" s="3" t="n">
        <f aca="false">ROUND(ABS(淡江大學_p4!N41),0)</f>
        <v>2078608</v>
      </c>
      <c r="O13" s="3" t="n">
        <f aca="false">ROUND(ABS(淡江大學_p4!O41),0)</f>
        <v>2069856</v>
      </c>
      <c r="P13" s="3" t="n">
        <f aca="false">ROUND(ABS(淡江大學_p4!P41),0)</f>
        <v>2061104</v>
      </c>
      <c r="Q13" s="3" t="n">
        <f aca="false">ROUND(ABS(淡江大學_p4!Q41),0)</f>
        <v>2052352</v>
      </c>
      <c r="R13" s="3" t="n">
        <f aca="false">ROUND(ABS(淡江大學_p4!R41),0)</f>
        <v>2043599</v>
      </c>
      <c r="S13" s="3" t="n">
        <f aca="false">ROUND(ABS(淡江大學_p4!S41),0)</f>
        <v>2034847</v>
      </c>
      <c r="T13" s="3" t="n">
        <f aca="false">ROUND(ABS(淡江大學_p4!T41),0)</f>
        <v>2026095</v>
      </c>
      <c r="U13" s="3" t="n">
        <f aca="false">ROUND(ABS(淡江大學_p4!U41),0)</f>
        <v>2017343</v>
      </c>
      <c r="V13" s="3" t="n">
        <f aca="false">ROUND(ABS(淡江大學_p4!V41),0)</f>
        <v>2008591</v>
      </c>
      <c r="W13" s="3" t="n">
        <f aca="false">ROUND(ABS(淡江大學_p4!W41),0)</f>
        <v>1999839</v>
      </c>
    </row>
    <row r="14" customFormat="false" ht="15" hidden="false" customHeight="true" outlineLevel="0" collapsed="false">
      <c r="B14" s="1" t="s">
        <v>2</v>
      </c>
      <c r="D14" s="3" t="n">
        <f aca="false">ROUND(ABS(淡江大學_p5!D41),0)</f>
        <v>2166128</v>
      </c>
      <c r="E14" s="3" t="n">
        <f aca="false">ROUND(ABS(淡江大學_p5!E41),0)</f>
        <v>2157376</v>
      </c>
      <c r="F14" s="3" t="n">
        <f aca="false">ROUND(ABS(淡江大學_p5!F41),0)</f>
        <v>2148624</v>
      </c>
      <c r="G14" s="3" t="n">
        <f aca="false">ROUND(ABS(淡江大學_p5!G41),0)</f>
        <v>2139872</v>
      </c>
      <c r="H14" s="3" t="n">
        <f aca="false">ROUND(ABS(淡江大學_p5!H41),0)</f>
        <v>2131120</v>
      </c>
      <c r="I14" s="3" t="n">
        <f aca="false">ROUND(ABS(淡江大學_p5!I41),0)</f>
        <v>2122368</v>
      </c>
      <c r="J14" s="3" t="n">
        <f aca="false">ROUND(ABS(淡江大學_p5!J41),0)</f>
        <v>2113616</v>
      </c>
      <c r="K14" s="3" t="n">
        <f aca="false">ROUND(ABS(淡江大學_p5!K41),0)</f>
        <v>2104864</v>
      </c>
      <c r="L14" s="3" t="n">
        <f aca="false">ROUND(ABS(淡江大學_p5!L41),0)</f>
        <v>2096112</v>
      </c>
      <c r="M14" s="3" t="n">
        <f aca="false">ROUND(ABS(淡江大學_p5!M41),0)</f>
        <v>2087360</v>
      </c>
      <c r="N14" s="3" t="n">
        <f aca="false">ROUND(ABS(淡江大學_p5!N41),0)</f>
        <v>2078608</v>
      </c>
      <c r="O14" s="3" t="n">
        <f aca="false">ROUND(ABS(淡江大學_p5!O41),0)</f>
        <v>2069856</v>
      </c>
      <c r="P14" s="3" t="n">
        <f aca="false">ROUND(ABS(淡江大學_p5!P41),0)</f>
        <v>2061104</v>
      </c>
      <c r="Q14" s="3" t="n">
        <f aca="false">ROUND(ABS(淡江大學_p5!Q41),0)</f>
        <v>2052352</v>
      </c>
      <c r="R14" s="3" t="n">
        <f aca="false">ROUND(ABS(淡江大學_p5!R41),0)</f>
        <v>2043599</v>
      </c>
      <c r="S14" s="3" t="n">
        <f aca="false">ROUND(ABS(淡江大學_p5!S41),0)</f>
        <v>2034847</v>
      </c>
      <c r="T14" s="3" t="n">
        <f aca="false">ROUND(ABS(淡江大學_p5!T41),0)</f>
        <v>2026095</v>
      </c>
      <c r="U14" s="3" t="n">
        <f aca="false">ROUND(ABS(淡江大學_p5!U41),0)</f>
        <v>2017343</v>
      </c>
      <c r="V14" s="3" t="n">
        <f aca="false">ROUND(ABS(淡江大學_p5!V41),0)</f>
        <v>2008591</v>
      </c>
      <c r="W14" s="3" t="n">
        <f aca="false">ROUND(ABS(淡江大學_p5!W41),0)</f>
        <v>1999839</v>
      </c>
    </row>
    <row r="15" customFormat="false" ht="15" hidden="false" customHeight="true" outlineLevel="0" collapsed="false">
      <c r="C15" s="6" t="s">
        <v>5</v>
      </c>
      <c r="D15" s="7" t="n">
        <f aca="false">SUM(D12:D14)</f>
        <v>6498384</v>
      </c>
      <c r="E15" s="7" t="n">
        <f aca="false">SUM(E12:E14)</f>
        <v>6472128</v>
      </c>
      <c r="F15" s="7" t="n">
        <f aca="false">SUM(F12:F14)</f>
        <v>6445872</v>
      </c>
      <c r="G15" s="7" t="n">
        <f aca="false">SUM(G12:G14)</f>
        <v>6419616</v>
      </c>
      <c r="H15" s="7" t="n">
        <f aca="false">SUM(H12:H14)</f>
        <v>6393360</v>
      </c>
      <c r="I15" s="7" t="n">
        <f aca="false">SUM(I12:I14)</f>
        <v>6367104</v>
      </c>
      <c r="J15" s="7" t="n">
        <f aca="false">SUM(J12:J14)</f>
        <v>6340848</v>
      </c>
      <c r="K15" s="7" t="n">
        <f aca="false">SUM(K12:K14)</f>
        <v>6314592</v>
      </c>
      <c r="L15" s="7" t="n">
        <f aca="false">SUM(L12:L14)</f>
        <v>6288336</v>
      </c>
      <c r="M15" s="7" t="n">
        <f aca="false">SUM(M12:M14)</f>
        <v>6262080</v>
      </c>
      <c r="N15" s="7" t="n">
        <f aca="false">SUM(N12:N14)</f>
        <v>6235824</v>
      </c>
      <c r="O15" s="7" t="n">
        <f aca="false">SUM(O12:O14)</f>
        <v>6209568</v>
      </c>
      <c r="P15" s="7" t="n">
        <f aca="false">SUM(P12:P14)</f>
        <v>6183312</v>
      </c>
      <c r="Q15" s="7" t="n">
        <f aca="false">SUM(Q12:Q14)</f>
        <v>6157056</v>
      </c>
      <c r="R15" s="7" t="n">
        <f aca="false">SUM(R12:R14)</f>
        <v>6130797</v>
      </c>
      <c r="S15" s="7" t="n">
        <f aca="false">SUM(S12:S14)</f>
        <v>6104541</v>
      </c>
      <c r="T15" s="7" t="n">
        <f aca="false">SUM(T12:T14)</f>
        <v>6078285</v>
      </c>
      <c r="U15" s="7" t="n">
        <f aca="false">SUM(U12:U14)</f>
        <v>6052029</v>
      </c>
      <c r="V15" s="7" t="n">
        <f aca="false">SUM(V12:V14)</f>
        <v>6025773</v>
      </c>
      <c r="W15" s="7" t="n">
        <f aca="false">SUM(W12:W14)</f>
        <v>5999517</v>
      </c>
    </row>
    <row r="16" customFormat="false" ht="15" hidden="false" customHeight="true" outlineLevel="0" collapsed="false">
      <c r="C16" s="2" t="s">
        <v>0</v>
      </c>
      <c r="D16" s="2" t="n">
        <v>2020</v>
      </c>
      <c r="E16" s="2" t="n">
        <v>2021</v>
      </c>
      <c r="F16" s="2" t="n">
        <v>2022</v>
      </c>
      <c r="G16" s="2" t="n">
        <v>2023</v>
      </c>
      <c r="H16" s="2" t="n">
        <v>2024</v>
      </c>
      <c r="I16" s="2" t="n">
        <v>2025</v>
      </c>
      <c r="J16" s="2" t="n">
        <v>2026</v>
      </c>
      <c r="K16" s="2" t="n">
        <v>2027</v>
      </c>
      <c r="L16" s="2" t="n">
        <v>2028</v>
      </c>
      <c r="M16" s="2" t="n">
        <v>2029</v>
      </c>
      <c r="N16" s="2" t="n">
        <v>2030</v>
      </c>
      <c r="O16" s="2" t="n">
        <v>2031</v>
      </c>
      <c r="P16" s="2" t="n">
        <v>2032</v>
      </c>
      <c r="Q16" s="2" t="n">
        <v>2033</v>
      </c>
      <c r="R16" s="2" t="n">
        <v>2034</v>
      </c>
      <c r="S16" s="2" t="n">
        <v>2035</v>
      </c>
      <c r="T16" s="2" t="n">
        <v>2036</v>
      </c>
      <c r="U16" s="2" t="n">
        <v>2037</v>
      </c>
      <c r="V16" s="2" t="n">
        <v>2038</v>
      </c>
      <c r="W16" s="2" t="n">
        <v>2039</v>
      </c>
    </row>
    <row r="17" customFormat="false" ht="15" hidden="false" customHeight="true" outlineLevel="0" collapsed="false">
      <c r="C17" s="1" t="s">
        <v>6</v>
      </c>
    </row>
    <row r="18" customFormat="false" ht="15" hidden="false" customHeight="true" outlineLevel="0" collapsed="false">
      <c r="B18" s="1" t="s">
        <v>2</v>
      </c>
      <c r="D18" s="3" t="n">
        <f aca="false">ROUND(ABS(淡江大學_p3!D45),0)</f>
        <v>290201</v>
      </c>
      <c r="E18" s="3" t="n">
        <f aca="false">ROUND(ABS(淡江大學_p3!E45),0)</f>
        <v>290201</v>
      </c>
      <c r="F18" s="3" t="n">
        <f aca="false">ROUND(ABS(淡江大學_p3!F45),0)</f>
        <v>290201</v>
      </c>
      <c r="G18" s="3" t="n">
        <f aca="false">ROUND(ABS(淡江大學_p3!G45),0)</f>
        <v>290201</v>
      </c>
      <c r="H18" s="3" t="n">
        <f aca="false">ROUND(ABS(淡江大學_p3!H45),0)</f>
        <v>290201</v>
      </c>
      <c r="I18" s="3" t="n">
        <f aca="false">ROUND(ABS(淡江大學_p3!I45),0)</f>
        <v>290201</v>
      </c>
      <c r="J18" s="3" t="n">
        <f aca="false">ROUND(ABS(淡江大學_p3!J45),0)</f>
        <v>290201</v>
      </c>
      <c r="K18" s="3" t="n">
        <f aca="false">ROUND(ABS(淡江大學_p3!K45),0)</f>
        <v>290201</v>
      </c>
      <c r="L18" s="3" t="n">
        <f aca="false">ROUND(ABS(淡江大學_p3!L45),0)</f>
        <v>290201</v>
      </c>
      <c r="M18" s="3" t="n">
        <f aca="false">ROUND(ABS(淡江大學_p3!M45),0)</f>
        <v>290201</v>
      </c>
      <c r="N18" s="3" t="n">
        <f aca="false">ROUND(ABS(淡江大學_p3!N45),0)</f>
        <v>290201</v>
      </c>
      <c r="O18" s="3" t="n">
        <f aca="false">ROUND(ABS(淡江大學_p3!O45),0)</f>
        <v>290201</v>
      </c>
      <c r="P18" s="3" t="n">
        <f aca="false">ROUND(ABS(淡江大學_p3!P45),0)</f>
        <v>290201</v>
      </c>
      <c r="Q18" s="3" t="n">
        <f aca="false">ROUND(ABS(淡江大學_p3!Q45),0)</f>
        <v>290201</v>
      </c>
      <c r="R18" s="3" t="n">
        <f aca="false">ROUND(ABS(淡江大學_p3!R45),0)</f>
        <v>290201</v>
      </c>
      <c r="S18" s="3" t="n">
        <f aca="false">ROUND(ABS(淡江大學_p3!S45),0)</f>
        <v>290201</v>
      </c>
      <c r="T18" s="3" t="n">
        <f aca="false">ROUND(ABS(淡江大學_p3!T45),0)</f>
        <v>290201</v>
      </c>
      <c r="U18" s="3" t="n">
        <f aca="false">ROUND(ABS(淡江大學_p3!U45),0)</f>
        <v>290201</v>
      </c>
      <c r="V18" s="3" t="n">
        <f aca="false">ROUND(ABS(淡江大學_p3!V45),0)</f>
        <v>290201</v>
      </c>
      <c r="W18" s="3" t="n">
        <f aca="false">ROUND(ABS(淡江大學_p3!W45),0)</f>
        <v>290201</v>
      </c>
    </row>
    <row r="19" customFormat="false" ht="15" hidden="false" customHeight="true" outlineLevel="0" collapsed="false">
      <c r="B19" s="1" t="s">
        <v>2</v>
      </c>
      <c r="D19" s="3" t="n">
        <f aca="false">ROUND(ABS(淡江大學_p4!D45),0)</f>
        <v>290201</v>
      </c>
      <c r="E19" s="3" t="n">
        <f aca="false">ROUND(ABS(淡江大學_p4!E45),0)</f>
        <v>290201</v>
      </c>
      <c r="F19" s="3" t="n">
        <f aca="false">ROUND(ABS(淡江大學_p4!F45),0)</f>
        <v>290201</v>
      </c>
      <c r="G19" s="3" t="n">
        <f aca="false">ROUND(ABS(淡江大學_p4!G45),0)</f>
        <v>290201</v>
      </c>
      <c r="H19" s="3" t="n">
        <f aca="false">ROUND(ABS(淡江大學_p4!H45),0)</f>
        <v>290201</v>
      </c>
      <c r="I19" s="3" t="n">
        <f aca="false">ROUND(ABS(淡江大學_p4!I45),0)</f>
        <v>290201</v>
      </c>
      <c r="J19" s="3" t="n">
        <f aca="false">ROUND(ABS(淡江大學_p4!J45),0)</f>
        <v>290201</v>
      </c>
      <c r="K19" s="3" t="n">
        <f aca="false">ROUND(ABS(淡江大學_p4!K45),0)</f>
        <v>290201</v>
      </c>
      <c r="L19" s="3" t="n">
        <f aca="false">ROUND(ABS(淡江大學_p4!L45),0)</f>
        <v>290201</v>
      </c>
      <c r="M19" s="3" t="n">
        <f aca="false">ROUND(ABS(淡江大學_p4!M45),0)</f>
        <v>290201</v>
      </c>
      <c r="N19" s="3" t="n">
        <f aca="false">ROUND(ABS(淡江大學_p4!N45),0)</f>
        <v>290201</v>
      </c>
      <c r="O19" s="3" t="n">
        <f aca="false">ROUND(ABS(淡江大學_p4!O45),0)</f>
        <v>290201</v>
      </c>
      <c r="P19" s="3" t="n">
        <f aca="false">ROUND(ABS(淡江大學_p4!P45),0)</f>
        <v>290201</v>
      </c>
      <c r="Q19" s="3" t="n">
        <f aca="false">ROUND(ABS(淡江大學_p4!Q45),0)</f>
        <v>290201</v>
      </c>
      <c r="R19" s="3" t="n">
        <f aca="false">ROUND(ABS(淡江大學_p4!R45),0)</f>
        <v>290201</v>
      </c>
      <c r="S19" s="3" t="n">
        <f aca="false">ROUND(ABS(淡江大學_p4!S45),0)</f>
        <v>290201</v>
      </c>
      <c r="T19" s="3" t="n">
        <f aca="false">ROUND(ABS(淡江大學_p4!T45),0)</f>
        <v>290201</v>
      </c>
      <c r="U19" s="3" t="n">
        <f aca="false">ROUND(ABS(淡江大學_p4!U45),0)</f>
        <v>290201</v>
      </c>
      <c r="V19" s="3" t="n">
        <f aca="false">ROUND(ABS(淡江大學_p4!V45),0)</f>
        <v>290201</v>
      </c>
      <c r="W19" s="3" t="n">
        <f aca="false">ROUND(ABS(淡江大學_p4!W45),0)</f>
        <v>290201</v>
      </c>
    </row>
    <row r="20" customFormat="false" ht="15" hidden="false" customHeight="true" outlineLevel="0" collapsed="false">
      <c r="B20" s="1" t="s">
        <v>2</v>
      </c>
      <c r="D20" s="3" t="n">
        <f aca="false">ROUND(ABS(淡江大學_p5!D45),0)</f>
        <v>290201</v>
      </c>
      <c r="E20" s="3" t="n">
        <f aca="false">ROUND(ABS(淡江大學_p5!E45),0)</f>
        <v>290201</v>
      </c>
      <c r="F20" s="3" t="n">
        <f aca="false">ROUND(ABS(淡江大學_p5!F45),0)</f>
        <v>290201</v>
      </c>
      <c r="G20" s="3" t="n">
        <f aca="false">ROUND(ABS(淡江大學_p5!G45),0)</f>
        <v>290201</v>
      </c>
      <c r="H20" s="3" t="n">
        <f aca="false">ROUND(ABS(淡江大學_p5!H45),0)</f>
        <v>290201</v>
      </c>
      <c r="I20" s="3" t="n">
        <f aca="false">ROUND(ABS(淡江大學_p5!I45),0)</f>
        <v>290201</v>
      </c>
      <c r="J20" s="3" t="n">
        <f aca="false">ROUND(ABS(淡江大學_p5!J45),0)</f>
        <v>290201</v>
      </c>
      <c r="K20" s="3" t="n">
        <f aca="false">ROUND(ABS(淡江大學_p5!K45),0)</f>
        <v>290201</v>
      </c>
      <c r="L20" s="3" t="n">
        <f aca="false">ROUND(ABS(淡江大學_p5!L45),0)</f>
        <v>290201</v>
      </c>
      <c r="M20" s="3" t="n">
        <f aca="false">ROUND(ABS(淡江大學_p5!M45),0)</f>
        <v>290201</v>
      </c>
      <c r="N20" s="3" t="n">
        <f aca="false">ROUND(ABS(淡江大學_p5!N45),0)</f>
        <v>290201</v>
      </c>
      <c r="O20" s="3" t="n">
        <f aca="false">ROUND(ABS(淡江大學_p5!O45),0)</f>
        <v>290201</v>
      </c>
      <c r="P20" s="3" t="n">
        <f aca="false">ROUND(ABS(淡江大學_p5!P45),0)</f>
        <v>290201</v>
      </c>
      <c r="Q20" s="3" t="n">
        <f aca="false">ROUND(ABS(淡江大學_p5!Q45),0)</f>
        <v>290201</v>
      </c>
      <c r="R20" s="3" t="n">
        <f aca="false">ROUND(ABS(淡江大學_p5!R45),0)</f>
        <v>290201</v>
      </c>
      <c r="S20" s="3" t="n">
        <f aca="false">ROUND(ABS(淡江大學_p5!S45),0)</f>
        <v>290201</v>
      </c>
      <c r="T20" s="3" t="n">
        <f aca="false">ROUND(ABS(淡江大學_p5!T45),0)</f>
        <v>290201</v>
      </c>
      <c r="U20" s="3" t="n">
        <f aca="false">ROUND(ABS(淡江大學_p5!U45),0)</f>
        <v>290201</v>
      </c>
      <c r="V20" s="3" t="n">
        <f aca="false">ROUND(ABS(淡江大學_p5!V45),0)</f>
        <v>290201</v>
      </c>
      <c r="W20" s="3" t="n">
        <f aca="false">ROUND(ABS(淡江大學_p5!W45),0)</f>
        <v>290201</v>
      </c>
    </row>
    <row r="21" customFormat="false" ht="15" hidden="false" customHeight="true" outlineLevel="0" collapsed="false">
      <c r="C21" s="8" t="s">
        <v>7</v>
      </c>
      <c r="D21" s="9" t="n">
        <f aca="false">SUM(D18:D20)</f>
        <v>870603</v>
      </c>
      <c r="E21" s="9" t="n">
        <f aca="false">SUM(E18:E20)</f>
        <v>870603</v>
      </c>
      <c r="F21" s="9" t="n">
        <f aca="false">SUM(F18:F20)</f>
        <v>870603</v>
      </c>
      <c r="G21" s="9" t="n">
        <f aca="false">SUM(G18:G20)</f>
        <v>870603</v>
      </c>
      <c r="H21" s="9" t="n">
        <f aca="false">SUM(H18:H20)</f>
        <v>870603</v>
      </c>
      <c r="I21" s="9" t="n">
        <f aca="false">SUM(I18:I20)</f>
        <v>870603</v>
      </c>
      <c r="J21" s="9" t="n">
        <f aca="false">SUM(J18:J20)</f>
        <v>870603</v>
      </c>
      <c r="K21" s="9" t="n">
        <f aca="false">SUM(K18:K20)</f>
        <v>870603</v>
      </c>
      <c r="L21" s="9" t="n">
        <f aca="false">SUM(L18:L20)</f>
        <v>870603</v>
      </c>
      <c r="M21" s="9" t="n">
        <f aca="false">SUM(M18:M20)</f>
        <v>870603</v>
      </c>
      <c r="N21" s="9" t="n">
        <f aca="false">SUM(N18:N20)</f>
        <v>870603</v>
      </c>
      <c r="O21" s="9" t="n">
        <f aca="false">SUM(O18:O20)</f>
        <v>870603</v>
      </c>
      <c r="P21" s="9" t="n">
        <f aca="false">SUM(P18:P20)</f>
        <v>870603</v>
      </c>
      <c r="Q21" s="9" t="n">
        <f aca="false">SUM(Q18:Q20)</f>
        <v>870603</v>
      </c>
      <c r="R21" s="9" t="n">
        <f aca="false">SUM(R18:R20)</f>
        <v>870603</v>
      </c>
      <c r="S21" s="9" t="n">
        <f aca="false">SUM(S18:S20)</f>
        <v>870603</v>
      </c>
      <c r="T21" s="9" t="n">
        <f aca="false">SUM(T18:T20)</f>
        <v>870603</v>
      </c>
      <c r="U21" s="9" t="n">
        <f aca="false">SUM(U18:U20)</f>
        <v>870603</v>
      </c>
      <c r="V21" s="9" t="n">
        <f aca="false">SUM(V18:V20)</f>
        <v>870603</v>
      </c>
      <c r="W21" s="9" t="n">
        <f aca="false">SUM(W18:W20)</f>
        <v>870603</v>
      </c>
    </row>
    <row r="22" customFormat="false" ht="15" hidden="false" customHeight="true" outlineLevel="0" collapsed="false">
      <c r="C22" s="2" t="s">
        <v>0</v>
      </c>
      <c r="D22" s="2" t="n">
        <v>2020</v>
      </c>
      <c r="E22" s="2" t="n">
        <v>2021</v>
      </c>
      <c r="F22" s="2" t="n">
        <v>2022</v>
      </c>
      <c r="G22" s="2" t="n">
        <v>2023</v>
      </c>
      <c r="H22" s="2" t="n">
        <v>2024</v>
      </c>
      <c r="I22" s="2" t="n">
        <v>2025</v>
      </c>
      <c r="J22" s="2" t="n">
        <v>2026</v>
      </c>
      <c r="K22" s="2" t="n">
        <v>2027</v>
      </c>
      <c r="L22" s="2" t="n">
        <v>2028</v>
      </c>
      <c r="M22" s="2" t="n">
        <v>2029</v>
      </c>
      <c r="N22" s="2" t="n">
        <v>2030</v>
      </c>
      <c r="O22" s="2" t="n">
        <v>2031</v>
      </c>
      <c r="P22" s="2" t="n">
        <v>2032</v>
      </c>
      <c r="Q22" s="2" t="n">
        <v>2033</v>
      </c>
      <c r="R22" s="2" t="n">
        <v>2034</v>
      </c>
      <c r="S22" s="2" t="n">
        <v>2035</v>
      </c>
      <c r="T22" s="2" t="n">
        <v>2036</v>
      </c>
      <c r="U22" s="2" t="n">
        <v>2037</v>
      </c>
      <c r="V22" s="2" t="n">
        <v>2038</v>
      </c>
      <c r="W22" s="2" t="n">
        <v>2039</v>
      </c>
    </row>
    <row r="23" customFormat="false" ht="15" hidden="false" customHeight="true" outlineLevel="0" collapsed="false">
      <c r="C23" s="1" t="s">
        <v>8</v>
      </c>
    </row>
    <row r="24" customFormat="false" ht="15" hidden="false" customHeight="true" outlineLevel="0" collapsed="false">
      <c r="B24" s="1" t="s">
        <v>2</v>
      </c>
      <c r="D24" s="3" t="n">
        <f aca="false">ROUND(ABS(淡江大學_p3!D48),0)</f>
        <v>174440</v>
      </c>
      <c r="E24" s="3" t="n">
        <f aca="false">ROUND(ABS(淡江大學_p3!E48),0)</f>
        <v>174440</v>
      </c>
      <c r="F24" s="3" t="n">
        <f aca="false">ROUND(ABS(淡江大學_p3!F48),0)</f>
        <v>174440</v>
      </c>
      <c r="G24" s="3" t="n">
        <f aca="false">ROUND(ABS(淡江大學_p3!G48),0)</f>
        <v>174440</v>
      </c>
      <c r="H24" s="3" t="n">
        <f aca="false">ROUND(ABS(淡江大學_p3!H48),0)</f>
        <v>174440</v>
      </c>
      <c r="I24" s="3" t="n">
        <f aca="false">ROUND(ABS(淡江大學_p3!I48),0)</f>
        <v>174440</v>
      </c>
      <c r="J24" s="3" t="n">
        <f aca="false">ROUND(ABS(淡江大學_p3!J48),0)</f>
        <v>174440</v>
      </c>
      <c r="K24" s="3" t="n">
        <f aca="false">ROUND(ABS(淡江大學_p3!K48),0)</f>
        <v>174440</v>
      </c>
      <c r="L24" s="3" t="n">
        <f aca="false">ROUND(ABS(淡江大學_p3!L48),0)</f>
        <v>174440</v>
      </c>
      <c r="M24" s="3" t="n">
        <f aca="false">ROUND(ABS(淡江大學_p3!M48),0)</f>
        <v>174440</v>
      </c>
      <c r="N24" s="3" t="n">
        <f aca="false">ROUND(ABS(淡江大學_p3!N48),0)</f>
        <v>174440</v>
      </c>
      <c r="O24" s="3" t="n">
        <f aca="false">ROUND(ABS(淡江大學_p3!O48),0)</f>
        <v>174440</v>
      </c>
      <c r="P24" s="3" t="n">
        <f aca="false">ROUND(ABS(淡江大學_p3!P48),0)</f>
        <v>174440</v>
      </c>
      <c r="Q24" s="3" t="n">
        <f aca="false">ROUND(ABS(淡江大學_p3!Q48),0)</f>
        <v>174440</v>
      </c>
      <c r="R24" s="3" t="n">
        <f aca="false">ROUND(ABS(淡江大學_p3!R48),0)</f>
        <v>174440</v>
      </c>
      <c r="S24" s="3" t="n">
        <f aca="false">ROUND(ABS(淡江大學_p3!S48),0)</f>
        <v>174440</v>
      </c>
      <c r="T24" s="3" t="n">
        <f aca="false">ROUND(ABS(淡江大學_p3!T48),0)</f>
        <v>174440</v>
      </c>
      <c r="U24" s="3" t="n">
        <f aca="false">ROUND(ABS(淡江大學_p3!U48),0)</f>
        <v>174440</v>
      </c>
      <c r="V24" s="3" t="n">
        <f aca="false">ROUND(ABS(淡江大學_p3!V48),0)</f>
        <v>174440</v>
      </c>
      <c r="W24" s="3" t="n">
        <f aca="false">ROUND(ABS(淡江大學_p3!W48),0)</f>
        <v>174440</v>
      </c>
    </row>
    <row r="25" customFormat="false" ht="15" hidden="false" customHeight="true" outlineLevel="0" collapsed="false">
      <c r="B25" s="1" t="s">
        <v>2</v>
      </c>
      <c r="D25" s="3" t="n">
        <f aca="false">ROUND(ABS(淡江大學_p4!D48),0)</f>
        <v>174440</v>
      </c>
      <c r="E25" s="3" t="n">
        <f aca="false">ROUND(ABS(淡江大學_p4!E48),0)</f>
        <v>174440</v>
      </c>
      <c r="F25" s="3" t="n">
        <f aca="false">ROUND(ABS(淡江大學_p4!F48),0)</f>
        <v>174440</v>
      </c>
      <c r="G25" s="3" t="n">
        <f aca="false">ROUND(ABS(淡江大學_p4!G48),0)</f>
        <v>174440</v>
      </c>
      <c r="H25" s="3" t="n">
        <f aca="false">ROUND(ABS(淡江大學_p4!H48),0)</f>
        <v>174440</v>
      </c>
      <c r="I25" s="3" t="n">
        <f aca="false">ROUND(ABS(淡江大學_p4!I48),0)</f>
        <v>174440</v>
      </c>
      <c r="J25" s="3" t="n">
        <f aca="false">ROUND(ABS(淡江大學_p4!J48),0)</f>
        <v>174440</v>
      </c>
      <c r="K25" s="3" t="n">
        <f aca="false">ROUND(ABS(淡江大學_p4!K48),0)</f>
        <v>174440</v>
      </c>
      <c r="L25" s="3" t="n">
        <f aca="false">ROUND(ABS(淡江大學_p4!L48),0)</f>
        <v>174440</v>
      </c>
      <c r="M25" s="3" t="n">
        <f aca="false">ROUND(ABS(淡江大學_p4!M48),0)</f>
        <v>174440</v>
      </c>
      <c r="N25" s="3" t="n">
        <f aca="false">ROUND(ABS(淡江大學_p4!N48),0)</f>
        <v>174440</v>
      </c>
      <c r="O25" s="3" t="n">
        <f aca="false">ROUND(ABS(淡江大學_p4!O48),0)</f>
        <v>174440</v>
      </c>
      <c r="P25" s="3" t="n">
        <f aca="false">ROUND(ABS(淡江大學_p4!P48),0)</f>
        <v>174440</v>
      </c>
      <c r="Q25" s="3" t="n">
        <f aca="false">ROUND(ABS(淡江大學_p4!Q48),0)</f>
        <v>174440</v>
      </c>
      <c r="R25" s="3" t="n">
        <f aca="false">ROUND(ABS(淡江大學_p4!R48),0)</f>
        <v>174440</v>
      </c>
      <c r="S25" s="3" t="n">
        <f aca="false">ROUND(ABS(淡江大學_p4!S48),0)</f>
        <v>174440</v>
      </c>
      <c r="T25" s="3" t="n">
        <f aca="false">ROUND(ABS(淡江大學_p4!T48),0)</f>
        <v>174440</v>
      </c>
      <c r="U25" s="3" t="n">
        <f aca="false">ROUND(ABS(淡江大學_p4!U48),0)</f>
        <v>174440</v>
      </c>
      <c r="V25" s="3" t="n">
        <f aca="false">ROUND(ABS(淡江大學_p4!V48),0)</f>
        <v>174440</v>
      </c>
      <c r="W25" s="3" t="n">
        <f aca="false">ROUND(ABS(淡江大學_p4!W48),0)</f>
        <v>174440</v>
      </c>
    </row>
    <row r="26" customFormat="false" ht="15" hidden="false" customHeight="true" outlineLevel="0" collapsed="false">
      <c r="B26" s="1" t="s">
        <v>2</v>
      </c>
      <c r="D26" s="3" t="n">
        <f aca="false">ROUND(ABS(淡江大學_p5!D48),0)</f>
        <v>174440</v>
      </c>
      <c r="E26" s="3" t="n">
        <f aca="false">ROUND(ABS(淡江大學_p5!E48),0)</f>
        <v>174440</v>
      </c>
      <c r="F26" s="3" t="n">
        <f aca="false">ROUND(ABS(淡江大學_p5!F48),0)</f>
        <v>174440</v>
      </c>
      <c r="G26" s="3" t="n">
        <f aca="false">ROUND(ABS(淡江大學_p5!G48),0)</f>
        <v>174440</v>
      </c>
      <c r="H26" s="3" t="n">
        <f aca="false">ROUND(ABS(淡江大學_p5!H48),0)</f>
        <v>174440</v>
      </c>
      <c r="I26" s="3" t="n">
        <f aca="false">ROUND(ABS(淡江大學_p5!I48),0)</f>
        <v>174440</v>
      </c>
      <c r="J26" s="3" t="n">
        <f aca="false">ROUND(ABS(淡江大學_p5!J48),0)</f>
        <v>174440</v>
      </c>
      <c r="K26" s="3" t="n">
        <f aca="false">ROUND(ABS(淡江大學_p5!K48),0)</f>
        <v>174440</v>
      </c>
      <c r="L26" s="3" t="n">
        <f aca="false">ROUND(ABS(淡江大學_p5!L48),0)</f>
        <v>174440</v>
      </c>
      <c r="M26" s="3" t="n">
        <f aca="false">ROUND(ABS(淡江大學_p5!M48),0)</f>
        <v>174440</v>
      </c>
      <c r="N26" s="3" t="n">
        <f aca="false">ROUND(ABS(淡江大學_p5!N48),0)</f>
        <v>174440</v>
      </c>
      <c r="O26" s="3" t="n">
        <f aca="false">ROUND(ABS(淡江大學_p5!O48),0)</f>
        <v>174440</v>
      </c>
      <c r="P26" s="3" t="n">
        <f aca="false">ROUND(ABS(淡江大學_p5!P48),0)</f>
        <v>174440</v>
      </c>
      <c r="Q26" s="3" t="n">
        <f aca="false">ROUND(ABS(淡江大學_p5!Q48),0)</f>
        <v>174440</v>
      </c>
      <c r="R26" s="3" t="n">
        <f aca="false">ROUND(ABS(淡江大學_p5!R48),0)</f>
        <v>174440</v>
      </c>
      <c r="S26" s="3" t="n">
        <f aca="false">ROUND(ABS(淡江大學_p5!S48),0)</f>
        <v>174440</v>
      </c>
      <c r="T26" s="3" t="n">
        <f aca="false">ROUND(ABS(淡江大學_p5!T48),0)</f>
        <v>174440</v>
      </c>
      <c r="U26" s="3" t="n">
        <f aca="false">ROUND(ABS(淡江大學_p5!U48),0)</f>
        <v>174440</v>
      </c>
      <c r="V26" s="3" t="n">
        <f aca="false">ROUND(ABS(淡江大學_p5!V48),0)</f>
        <v>174440</v>
      </c>
      <c r="W26" s="3" t="n">
        <f aca="false">ROUND(ABS(淡江大學_p5!W48),0)</f>
        <v>174440</v>
      </c>
    </row>
    <row r="27" customFormat="false" ht="15" hidden="false" customHeight="true" outlineLevel="0" collapsed="false">
      <c r="C27" s="10" t="s">
        <v>9</v>
      </c>
      <c r="D27" s="11" t="n">
        <f aca="false">SUM(D24:D26)</f>
        <v>523320</v>
      </c>
      <c r="E27" s="11" t="n">
        <f aca="false">SUM(E24:E26)</f>
        <v>523320</v>
      </c>
      <c r="F27" s="11" t="n">
        <f aca="false">SUM(F24:F26)</f>
        <v>523320</v>
      </c>
      <c r="G27" s="11" t="n">
        <f aca="false">SUM(G24:G26)</f>
        <v>523320</v>
      </c>
      <c r="H27" s="11" t="n">
        <f aca="false">SUM(H24:H26)</f>
        <v>523320</v>
      </c>
      <c r="I27" s="11" t="n">
        <f aca="false">SUM(I24:I26)</f>
        <v>523320</v>
      </c>
      <c r="J27" s="11" t="n">
        <f aca="false">SUM(J24:J26)</f>
        <v>523320</v>
      </c>
      <c r="K27" s="11" t="n">
        <f aca="false">SUM(K24:K26)</f>
        <v>523320</v>
      </c>
      <c r="L27" s="11" t="n">
        <f aca="false">SUM(L24:L26)</f>
        <v>523320</v>
      </c>
      <c r="M27" s="11" t="n">
        <f aca="false">SUM(M24:M26)</f>
        <v>523320</v>
      </c>
      <c r="N27" s="11" t="n">
        <f aca="false">SUM(N24:N26)</f>
        <v>523320</v>
      </c>
      <c r="O27" s="11" t="n">
        <f aca="false">SUM(O24:O26)</f>
        <v>523320</v>
      </c>
      <c r="P27" s="11" t="n">
        <f aca="false">SUM(P24:P26)</f>
        <v>523320</v>
      </c>
      <c r="Q27" s="11" t="n">
        <f aca="false">SUM(Q24:Q26)</f>
        <v>523320</v>
      </c>
      <c r="R27" s="11" t="n">
        <f aca="false">SUM(R24:R26)</f>
        <v>523320</v>
      </c>
      <c r="S27" s="11" t="n">
        <f aca="false">SUM(S24:S26)</f>
        <v>523320</v>
      </c>
      <c r="T27" s="11" t="n">
        <f aca="false">SUM(T24:T26)</f>
        <v>523320</v>
      </c>
      <c r="U27" s="11" t="n">
        <f aca="false">SUM(U24:U26)</f>
        <v>523320</v>
      </c>
      <c r="V27" s="11" t="n">
        <f aca="false">SUM(V24:V26)</f>
        <v>523320</v>
      </c>
      <c r="W27" s="11" t="n">
        <f aca="false">SUM(W24:W26)</f>
        <v>523320</v>
      </c>
    </row>
    <row r="28" customFormat="false" ht="15" hidden="false" customHeight="true" outlineLevel="0" collapsed="false">
      <c r="C28" s="2" t="s">
        <v>0</v>
      </c>
      <c r="D28" s="2" t="n">
        <v>2020</v>
      </c>
      <c r="E28" s="2" t="n">
        <v>2021</v>
      </c>
      <c r="F28" s="2" t="n">
        <v>2022</v>
      </c>
      <c r="G28" s="2" t="n">
        <v>2023</v>
      </c>
      <c r="H28" s="2" t="n">
        <v>2024</v>
      </c>
      <c r="I28" s="2" t="n">
        <v>2025</v>
      </c>
      <c r="J28" s="2" t="n">
        <v>2026</v>
      </c>
      <c r="K28" s="2" t="n">
        <v>2027</v>
      </c>
      <c r="L28" s="2" t="n">
        <v>2028</v>
      </c>
      <c r="M28" s="2" t="n">
        <v>2029</v>
      </c>
      <c r="N28" s="2" t="n">
        <v>2030</v>
      </c>
      <c r="O28" s="2" t="n">
        <v>2031</v>
      </c>
      <c r="P28" s="2" t="n">
        <v>2032</v>
      </c>
      <c r="Q28" s="2" t="n">
        <v>2033</v>
      </c>
      <c r="R28" s="2" t="n">
        <v>2034</v>
      </c>
      <c r="S28" s="2" t="n">
        <v>2035</v>
      </c>
      <c r="T28" s="2" t="n">
        <v>2036</v>
      </c>
      <c r="U28" s="2" t="n">
        <v>2037</v>
      </c>
      <c r="V28" s="2" t="n">
        <v>2038</v>
      </c>
      <c r="W28" s="2" t="n">
        <v>2039</v>
      </c>
    </row>
    <row r="29" customFormat="false" ht="15" hidden="false" customHeight="true" outlineLevel="0" collapsed="false">
      <c r="C29" s="1" t="s">
        <v>10</v>
      </c>
    </row>
    <row r="30" customFormat="false" ht="15" hidden="false" customHeight="true" outlineLevel="0" collapsed="false">
      <c r="B30" s="1" t="s">
        <v>2</v>
      </c>
      <c r="D30" s="3" t="n">
        <f aca="false">ROUND(ABS(淡江大學_p3!D49),0)</f>
        <v>40000</v>
      </c>
      <c r="E30" s="3" t="n">
        <f aca="false">ROUND(ABS(淡江大學_p3!E49),0)</f>
        <v>40000</v>
      </c>
      <c r="F30" s="3" t="n">
        <f aca="false">ROUND(ABS(淡江大學_p3!F49),0)</f>
        <v>40000</v>
      </c>
      <c r="G30" s="3" t="n">
        <f aca="false">ROUND(ABS(淡江大學_p3!G49),0)</f>
        <v>40000</v>
      </c>
      <c r="H30" s="3" t="n">
        <f aca="false">ROUND(ABS(淡江大學_p3!H49),0)</f>
        <v>40000</v>
      </c>
      <c r="I30" s="3" t="n">
        <f aca="false">ROUND(ABS(淡江大學_p3!I49),0)</f>
        <v>40000</v>
      </c>
      <c r="J30" s="3" t="n">
        <f aca="false">ROUND(ABS(淡江大學_p3!J49),0)</f>
        <v>40000</v>
      </c>
      <c r="K30" s="3" t="n">
        <f aca="false">ROUND(ABS(淡江大學_p3!K49),0)</f>
        <v>40000</v>
      </c>
      <c r="L30" s="3" t="n">
        <f aca="false">ROUND(ABS(淡江大學_p3!L49),0)</f>
        <v>40000</v>
      </c>
      <c r="M30" s="3" t="n">
        <f aca="false">ROUND(ABS(淡江大學_p3!M49),0)</f>
        <v>40000</v>
      </c>
      <c r="N30" s="3" t="n">
        <f aca="false">ROUND(ABS(淡江大學_p3!N49),0)</f>
        <v>40000</v>
      </c>
      <c r="O30" s="3" t="n">
        <f aca="false">ROUND(ABS(淡江大學_p3!O49),0)</f>
        <v>40000</v>
      </c>
      <c r="P30" s="3" t="n">
        <f aca="false">ROUND(ABS(淡江大學_p3!P49),0)</f>
        <v>40000</v>
      </c>
      <c r="Q30" s="3" t="n">
        <f aca="false">ROUND(ABS(淡江大學_p3!Q49),0)</f>
        <v>40000</v>
      </c>
      <c r="R30" s="3" t="n">
        <f aca="false">ROUND(ABS(淡江大學_p3!R49),0)</f>
        <v>40000</v>
      </c>
      <c r="S30" s="3" t="n">
        <f aca="false">ROUND(ABS(淡江大學_p3!S49),0)</f>
        <v>40000</v>
      </c>
      <c r="T30" s="3" t="n">
        <f aca="false">ROUND(ABS(淡江大學_p3!T49),0)</f>
        <v>40000</v>
      </c>
      <c r="U30" s="3" t="n">
        <f aca="false">ROUND(ABS(淡江大學_p3!U49),0)</f>
        <v>40000</v>
      </c>
      <c r="V30" s="3" t="n">
        <f aca="false">ROUND(ABS(淡江大學_p3!V49),0)</f>
        <v>40000</v>
      </c>
      <c r="W30" s="3" t="n">
        <f aca="false">ROUND(ABS(淡江大學_p3!W49),0)</f>
        <v>40000</v>
      </c>
    </row>
    <row r="31" customFormat="false" ht="15" hidden="false" customHeight="true" outlineLevel="0" collapsed="false">
      <c r="B31" s="1" t="s">
        <v>2</v>
      </c>
      <c r="D31" s="3" t="n">
        <f aca="false">ROUND(ABS(淡江大學_p4!D49),0)</f>
        <v>37941</v>
      </c>
      <c r="E31" s="3" t="n">
        <f aca="false">ROUND(ABS(淡江大學_p4!E49),0)</f>
        <v>37941</v>
      </c>
      <c r="F31" s="3" t="n">
        <f aca="false">ROUND(ABS(淡江大學_p4!F49),0)</f>
        <v>37941</v>
      </c>
      <c r="G31" s="3" t="n">
        <f aca="false">ROUND(ABS(淡江大學_p4!G49),0)</f>
        <v>37941</v>
      </c>
      <c r="H31" s="3" t="n">
        <f aca="false">ROUND(ABS(淡江大學_p4!H49),0)</f>
        <v>37941</v>
      </c>
      <c r="I31" s="3" t="n">
        <f aca="false">ROUND(ABS(淡江大學_p4!I49),0)</f>
        <v>37941</v>
      </c>
      <c r="J31" s="3" t="n">
        <f aca="false">ROUND(ABS(淡江大學_p4!J49),0)</f>
        <v>37941</v>
      </c>
      <c r="K31" s="3" t="n">
        <f aca="false">ROUND(ABS(淡江大學_p4!K49),0)</f>
        <v>37941</v>
      </c>
      <c r="L31" s="3" t="n">
        <f aca="false">ROUND(ABS(淡江大學_p4!L49),0)</f>
        <v>37941</v>
      </c>
      <c r="M31" s="3" t="n">
        <f aca="false">ROUND(ABS(淡江大學_p4!M49),0)</f>
        <v>37941</v>
      </c>
      <c r="N31" s="3" t="n">
        <f aca="false">ROUND(ABS(淡江大學_p4!N49),0)</f>
        <v>37941</v>
      </c>
      <c r="O31" s="3" t="n">
        <f aca="false">ROUND(ABS(淡江大學_p4!O49),0)</f>
        <v>37941</v>
      </c>
      <c r="P31" s="3" t="n">
        <f aca="false">ROUND(ABS(淡江大學_p4!P49),0)</f>
        <v>37941</v>
      </c>
      <c r="Q31" s="3" t="n">
        <f aca="false">ROUND(ABS(淡江大學_p4!Q49),0)</f>
        <v>37941</v>
      </c>
      <c r="R31" s="3" t="n">
        <f aca="false">ROUND(ABS(淡江大學_p4!R49),0)</f>
        <v>37941</v>
      </c>
      <c r="S31" s="3" t="n">
        <f aca="false">ROUND(ABS(淡江大學_p4!S49),0)</f>
        <v>37941</v>
      </c>
      <c r="T31" s="3" t="n">
        <f aca="false">ROUND(ABS(淡江大學_p4!T49),0)</f>
        <v>37941</v>
      </c>
      <c r="U31" s="3" t="n">
        <f aca="false">ROUND(ABS(淡江大學_p4!U49),0)</f>
        <v>37941</v>
      </c>
      <c r="V31" s="3" t="n">
        <f aca="false">ROUND(ABS(淡江大學_p4!V49),0)</f>
        <v>37941</v>
      </c>
      <c r="W31" s="3" t="n">
        <f aca="false">ROUND(ABS(淡江大學_p4!W49),0)</f>
        <v>37941</v>
      </c>
    </row>
    <row r="32" customFormat="false" ht="15" hidden="false" customHeight="true" outlineLevel="0" collapsed="false">
      <c r="B32" s="1" t="s">
        <v>2</v>
      </c>
      <c r="D32" s="3" t="n">
        <f aca="false">ROUND(ABS(淡江大學_p5!D49),0)</f>
        <v>35324</v>
      </c>
      <c r="E32" s="3" t="n">
        <f aca="false">ROUND(ABS(淡江大學_p5!E49),0)</f>
        <v>35324</v>
      </c>
      <c r="F32" s="3" t="n">
        <f aca="false">ROUND(ABS(淡江大學_p5!F49),0)</f>
        <v>35324</v>
      </c>
      <c r="G32" s="3" t="n">
        <f aca="false">ROUND(ABS(淡江大學_p5!G49),0)</f>
        <v>35324</v>
      </c>
      <c r="H32" s="3" t="n">
        <f aca="false">ROUND(ABS(淡江大學_p5!H49),0)</f>
        <v>35324</v>
      </c>
      <c r="I32" s="3" t="n">
        <f aca="false">ROUND(ABS(淡江大學_p5!I49),0)</f>
        <v>35324</v>
      </c>
      <c r="J32" s="3" t="n">
        <f aca="false">ROUND(ABS(淡江大學_p5!J49),0)</f>
        <v>35324</v>
      </c>
      <c r="K32" s="3" t="n">
        <f aca="false">ROUND(ABS(淡江大學_p5!K49),0)</f>
        <v>35324</v>
      </c>
      <c r="L32" s="3" t="n">
        <f aca="false">ROUND(ABS(淡江大學_p5!L49),0)</f>
        <v>35324</v>
      </c>
      <c r="M32" s="3" t="n">
        <f aca="false">ROUND(ABS(淡江大學_p5!M49),0)</f>
        <v>35324</v>
      </c>
      <c r="N32" s="3" t="n">
        <f aca="false">ROUND(ABS(淡江大學_p5!N49),0)</f>
        <v>35324</v>
      </c>
      <c r="O32" s="3" t="n">
        <f aca="false">ROUND(ABS(淡江大學_p5!O49),0)</f>
        <v>35324</v>
      </c>
      <c r="P32" s="3" t="n">
        <f aca="false">ROUND(ABS(淡江大學_p5!P49),0)</f>
        <v>35324</v>
      </c>
      <c r="Q32" s="3" t="n">
        <f aca="false">ROUND(ABS(淡江大學_p5!Q49),0)</f>
        <v>35324</v>
      </c>
      <c r="R32" s="3" t="n">
        <f aca="false">ROUND(ABS(淡江大學_p5!R49),0)</f>
        <v>35324</v>
      </c>
      <c r="S32" s="3" t="n">
        <f aca="false">ROUND(ABS(淡江大學_p5!S49),0)</f>
        <v>35324</v>
      </c>
      <c r="T32" s="3" t="n">
        <f aca="false">ROUND(ABS(淡江大學_p5!T49),0)</f>
        <v>35324</v>
      </c>
      <c r="U32" s="3" t="n">
        <f aca="false">ROUND(ABS(淡江大學_p5!U49),0)</f>
        <v>35324</v>
      </c>
      <c r="V32" s="3" t="n">
        <f aca="false">ROUND(ABS(淡江大學_p5!V49),0)</f>
        <v>35324</v>
      </c>
      <c r="W32" s="3" t="n">
        <f aca="false">ROUND(ABS(淡江大學_p5!W49),0)</f>
        <v>35324</v>
      </c>
    </row>
    <row r="33" customFormat="false" ht="15" hidden="false" customHeight="true" outlineLevel="0" collapsed="false">
      <c r="C33" s="12" t="s">
        <v>11</v>
      </c>
      <c r="D33" s="13" t="n">
        <f aca="false">SUM(D30:D32)</f>
        <v>113265</v>
      </c>
      <c r="E33" s="13" t="n">
        <f aca="false">SUM(E30:E32)</f>
        <v>113265</v>
      </c>
      <c r="F33" s="13" t="n">
        <f aca="false">SUM(F30:F32)</f>
        <v>113265</v>
      </c>
      <c r="G33" s="13" t="n">
        <f aca="false">SUM(G30:G32)</f>
        <v>113265</v>
      </c>
      <c r="H33" s="13" t="n">
        <f aca="false">SUM(H30:H32)</f>
        <v>113265</v>
      </c>
      <c r="I33" s="13" t="n">
        <f aca="false">SUM(I30:I32)</f>
        <v>113265</v>
      </c>
      <c r="J33" s="13" t="n">
        <f aca="false">SUM(J30:J32)</f>
        <v>113265</v>
      </c>
      <c r="K33" s="13" t="n">
        <f aca="false">SUM(K30:K32)</f>
        <v>113265</v>
      </c>
      <c r="L33" s="13" t="n">
        <f aca="false">SUM(L30:L32)</f>
        <v>113265</v>
      </c>
      <c r="M33" s="13" t="n">
        <f aca="false">SUM(M30:M32)</f>
        <v>113265</v>
      </c>
      <c r="N33" s="13" t="n">
        <f aca="false">SUM(N30:N32)</f>
        <v>113265</v>
      </c>
      <c r="O33" s="13" t="n">
        <f aca="false">SUM(O30:O32)</f>
        <v>113265</v>
      </c>
      <c r="P33" s="13" t="n">
        <f aca="false">SUM(P30:P32)</f>
        <v>113265</v>
      </c>
      <c r="Q33" s="13" t="n">
        <f aca="false">SUM(Q30:Q32)</f>
        <v>113265</v>
      </c>
      <c r="R33" s="13" t="n">
        <f aca="false">SUM(R30:R32)</f>
        <v>113265</v>
      </c>
      <c r="S33" s="13" t="n">
        <f aca="false">SUM(S30:S32)</f>
        <v>113265</v>
      </c>
      <c r="T33" s="13" t="n">
        <f aca="false">SUM(T30:T32)</f>
        <v>113265</v>
      </c>
      <c r="U33" s="13" t="n">
        <f aca="false">SUM(U30:U32)</f>
        <v>113265</v>
      </c>
      <c r="V33" s="13" t="n">
        <f aca="false">SUM(V30:V32)</f>
        <v>113265</v>
      </c>
      <c r="W33" s="13" t="n">
        <f aca="false">SUM(W30:W32)</f>
        <v>113265</v>
      </c>
    </row>
    <row r="34" customFormat="false" ht="15" hidden="false" customHeight="true" outlineLevel="0" collapsed="false">
      <c r="C34" s="2" t="s">
        <v>0</v>
      </c>
      <c r="D34" s="2" t="n">
        <v>2020</v>
      </c>
      <c r="E34" s="2" t="n">
        <v>2021</v>
      </c>
      <c r="F34" s="2" t="n">
        <v>2022</v>
      </c>
      <c r="G34" s="2" t="n">
        <v>2023</v>
      </c>
      <c r="H34" s="2" t="n">
        <v>2024</v>
      </c>
      <c r="I34" s="2" t="n">
        <v>2025</v>
      </c>
      <c r="J34" s="2" t="n">
        <v>2026</v>
      </c>
      <c r="K34" s="2" t="n">
        <v>2027</v>
      </c>
      <c r="L34" s="2" t="n">
        <v>2028</v>
      </c>
      <c r="M34" s="2" t="n">
        <v>2029</v>
      </c>
      <c r="N34" s="2" t="n">
        <v>2030</v>
      </c>
      <c r="O34" s="2" t="n">
        <v>2031</v>
      </c>
      <c r="P34" s="2" t="n">
        <v>2032</v>
      </c>
      <c r="Q34" s="2" t="n">
        <v>2033</v>
      </c>
      <c r="R34" s="2" t="n">
        <v>2034</v>
      </c>
      <c r="S34" s="2" t="n">
        <v>2035</v>
      </c>
      <c r="T34" s="2" t="n">
        <v>2036</v>
      </c>
      <c r="U34" s="2" t="n">
        <v>2037</v>
      </c>
      <c r="V34" s="2" t="n">
        <v>2038</v>
      </c>
      <c r="W34" s="2" t="n">
        <v>2039</v>
      </c>
    </row>
    <row r="35" customFormat="false" ht="15" hidden="false" customHeight="true" outlineLevel="0" collapsed="false">
      <c r="C35" s="1" t="s">
        <v>12</v>
      </c>
    </row>
    <row r="36" customFormat="false" ht="15" hidden="false" customHeight="true" outlineLevel="0" collapsed="false">
      <c r="B36" s="1" t="s">
        <v>2</v>
      </c>
      <c r="D36" s="3" t="n">
        <f aca="false">ROUND(ABS(淡江大學_p3!D50),0)</f>
        <v>43610</v>
      </c>
      <c r="E36" s="3" t="n">
        <f aca="false">ROUND(ABS(淡江大學_p3!E50),0)</f>
        <v>43610</v>
      </c>
      <c r="F36" s="3" t="n">
        <f aca="false">ROUND(ABS(淡江大學_p3!F50),0)</f>
        <v>43610</v>
      </c>
      <c r="G36" s="3" t="n">
        <f aca="false">ROUND(ABS(淡江大學_p3!G50),0)</f>
        <v>43610</v>
      </c>
      <c r="H36" s="3" t="n">
        <f aca="false">ROUND(ABS(淡江大學_p3!H50),0)</f>
        <v>43610</v>
      </c>
      <c r="I36" s="3" t="n">
        <f aca="false">ROUND(ABS(淡江大學_p3!I50),0)</f>
        <v>43610</v>
      </c>
      <c r="J36" s="3" t="n">
        <f aca="false">ROUND(ABS(淡江大學_p3!J50),0)</f>
        <v>43610</v>
      </c>
      <c r="K36" s="3" t="n">
        <f aca="false">ROUND(ABS(淡江大學_p3!K50),0)</f>
        <v>43610</v>
      </c>
      <c r="L36" s="3" t="n">
        <f aca="false">ROUND(ABS(淡江大學_p3!L50),0)</f>
        <v>43610</v>
      </c>
      <c r="M36" s="3" t="n">
        <f aca="false">ROUND(ABS(淡江大學_p3!M50),0)</f>
        <v>43610</v>
      </c>
      <c r="N36" s="3" t="n">
        <f aca="false">ROUND(ABS(淡江大學_p3!N50),0)</f>
        <v>0</v>
      </c>
      <c r="O36" s="3" t="n">
        <f aca="false">ROUND(ABS(淡江大學_p3!O50),0)</f>
        <v>0</v>
      </c>
      <c r="P36" s="3" t="n">
        <f aca="false">ROUND(ABS(淡江大學_p3!P50),0)</f>
        <v>0</v>
      </c>
      <c r="Q36" s="3" t="n">
        <f aca="false">ROUND(ABS(淡江大學_p3!Q50),0)</f>
        <v>0</v>
      </c>
      <c r="R36" s="3" t="n">
        <f aca="false">ROUND(ABS(淡江大學_p3!R50),0)</f>
        <v>0</v>
      </c>
      <c r="S36" s="3" t="n">
        <f aca="false">ROUND(ABS(淡江大學_p3!S50),0)</f>
        <v>0</v>
      </c>
      <c r="T36" s="3" t="n">
        <f aca="false">ROUND(ABS(淡江大學_p3!T50),0)</f>
        <v>0</v>
      </c>
      <c r="U36" s="3" t="n">
        <f aca="false">ROUND(ABS(淡江大學_p3!U50),0)</f>
        <v>0</v>
      </c>
      <c r="V36" s="3" t="n">
        <f aca="false">ROUND(ABS(淡江大學_p3!V50),0)</f>
        <v>0</v>
      </c>
      <c r="W36" s="3" t="n">
        <f aca="false">ROUND(ABS(淡江大學_p3!W50),0)</f>
        <v>0</v>
      </c>
    </row>
    <row r="37" customFormat="false" ht="15" hidden="false" customHeight="true" outlineLevel="0" collapsed="false">
      <c r="B37" s="1" t="s">
        <v>2</v>
      </c>
      <c r="D37" s="3" t="n">
        <f aca="false">ROUND(ABS(淡江大學_p4!D50),0)</f>
        <v>43610</v>
      </c>
      <c r="E37" s="3" t="n">
        <f aca="false">ROUND(ABS(淡江大學_p4!E50),0)</f>
        <v>43610</v>
      </c>
      <c r="F37" s="3" t="n">
        <f aca="false">ROUND(ABS(淡江大學_p4!F50),0)</f>
        <v>43610</v>
      </c>
      <c r="G37" s="3" t="n">
        <f aca="false">ROUND(ABS(淡江大學_p4!G50),0)</f>
        <v>43610</v>
      </c>
      <c r="H37" s="3" t="n">
        <f aca="false">ROUND(ABS(淡江大學_p4!H50),0)</f>
        <v>43610</v>
      </c>
      <c r="I37" s="3" t="n">
        <f aca="false">ROUND(ABS(淡江大學_p4!I50),0)</f>
        <v>43610</v>
      </c>
      <c r="J37" s="3" t="n">
        <f aca="false">ROUND(ABS(淡江大學_p4!J50),0)</f>
        <v>43610</v>
      </c>
      <c r="K37" s="3" t="n">
        <f aca="false">ROUND(ABS(淡江大學_p4!K50),0)</f>
        <v>43610</v>
      </c>
      <c r="L37" s="3" t="n">
        <f aca="false">ROUND(ABS(淡江大學_p4!L50),0)</f>
        <v>43610</v>
      </c>
      <c r="M37" s="3" t="n">
        <f aca="false">ROUND(ABS(淡江大學_p4!M50),0)</f>
        <v>43610</v>
      </c>
      <c r="N37" s="3" t="n">
        <f aca="false">ROUND(ABS(淡江大學_p4!N50),0)</f>
        <v>0</v>
      </c>
      <c r="O37" s="3" t="n">
        <f aca="false">ROUND(ABS(淡江大學_p4!O50),0)</f>
        <v>0</v>
      </c>
      <c r="P37" s="3" t="n">
        <f aca="false">ROUND(ABS(淡江大學_p4!P50),0)</f>
        <v>0</v>
      </c>
      <c r="Q37" s="3" t="n">
        <f aca="false">ROUND(ABS(淡江大學_p4!Q50),0)</f>
        <v>0</v>
      </c>
      <c r="R37" s="3" t="n">
        <f aca="false">ROUND(ABS(淡江大學_p4!R50),0)</f>
        <v>0</v>
      </c>
      <c r="S37" s="3" t="n">
        <f aca="false">ROUND(ABS(淡江大學_p4!S50),0)</f>
        <v>0</v>
      </c>
      <c r="T37" s="3" t="n">
        <f aca="false">ROUND(ABS(淡江大學_p4!T50),0)</f>
        <v>0</v>
      </c>
      <c r="U37" s="3" t="n">
        <f aca="false">ROUND(ABS(淡江大學_p4!U50),0)</f>
        <v>0</v>
      </c>
      <c r="V37" s="3" t="n">
        <f aca="false">ROUND(ABS(淡江大學_p4!V50),0)</f>
        <v>0</v>
      </c>
      <c r="W37" s="3" t="n">
        <f aca="false">ROUND(ABS(淡江大學_p4!W50),0)</f>
        <v>0</v>
      </c>
    </row>
    <row r="38" customFormat="false" ht="15" hidden="false" customHeight="true" outlineLevel="0" collapsed="false">
      <c r="B38" s="1" t="s">
        <v>2</v>
      </c>
      <c r="D38" s="3" t="n">
        <f aca="false">ROUND(ABS(淡江大學_p5!D50),0)</f>
        <v>43610</v>
      </c>
      <c r="E38" s="3" t="n">
        <f aca="false">ROUND(ABS(淡江大學_p5!E50),0)</f>
        <v>43610</v>
      </c>
      <c r="F38" s="3" t="n">
        <f aca="false">ROUND(ABS(淡江大學_p5!F50),0)</f>
        <v>43610</v>
      </c>
      <c r="G38" s="3" t="n">
        <f aca="false">ROUND(ABS(淡江大學_p5!G50),0)</f>
        <v>43610</v>
      </c>
      <c r="H38" s="3" t="n">
        <f aca="false">ROUND(ABS(淡江大學_p5!H50),0)</f>
        <v>43610</v>
      </c>
      <c r="I38" s="3" t="n">
        <f aca="false">ROUND(ABS(淡江大學_p5!I50),0)</f>
        <v>43610</v>
      </c>
      <c r="J38" s="3" t="n">
        <f aca="false">ROUND(ABS(淡江大學_p5!J50),0)</f>
        <v>43610</v>
      </c>
      <c r="K38" s="3" t="n">
        <f aca="false">ROUND(ABS(淡江大學_p5!K50),0)</f>
        <v>43610</v>
      </c>
      <c r="L38" s="3" t="n">
        <f aca="false">ROUND(ABS(淡江大學_p5!L50),0)</f>
        <v>43610</v>
      </c>
      <c r="M38" s="3" t="n">
        <f aca="false">ROUND(ABS(淡江大學_p5!M50),0)</f>
        <v>43610</v>
      </c>
      <c r="N38" s="3" t="n">
        <f aca="false">ROUND(ABS(淡江大學_p5!N50),0)</f>
        <v>0</v>
      </c>
      <c r="O38" s="3" t="n">
        <f aca="false">ROUND(ABS(淡江大學_p5!O50),0)</f>
        <v>0</v>
      </c>
      <c r="P38" s="3" t="n">
        <f aca="false">ROUND(ABS(淡江大學_p5!P50),0)</f>
        <v>0</v>
      </c>
      <c r="Q38" s="3" t="n">
        <f aca="false">ROUND(ABS(淡江大學_p5!Q50),0)</f>
        <v>0</v>
      </c>
      <c r="R38" s="3" t="n">
        <f aca="false">ROUND(ABS(淡江大學_p5!R50),0)</f>
        <v>0</v>
      </c>
      <c r="S38" s="3" t="n">
        <f aca="false">ROUND(ABS(淡江大學_p5!S50),0)</f>
        <v>0</v>
      </c>
      <c r="T38" s="3" t="n">
        <f aca="false">ROUND(ABS(淡江大學_p5!T50),0)</f>
        <v>0</v>
      </c>
      <c r="U38" s="3" t="n">
        <f aca="false">ROUND(ABS(淡江大學_p5!U50),0)</f>
        <v>0</v>
      </c>
      <c r="V38" s="3" t="n">
        <f aca="false">ROUND(ABS(淡江大學_p5!V50),0)</f>
        <v>0</v>
      </c>
      <c r="W38" s="3" t="n">
        <f aca="false">ROUND(ABS(淡江大學_p5!W50),0)</f>
        <v>0</v>
      </c>
    </row>
    <row r="39" customFormat="false" ht="15" hidden="false" customHeight="true" outlineLevel="0" collapsed="false">
      <c r="C39" s="6" t="s">
        <v>13</v>
      </c>
      <c r="D39" s="7" t="n">
        <f aca="false">SUM(D36:D38)</f>
        <v>130830</v>
      </c>
      <c r="E39" s="7" t="n">
        <f aca="false">SUM(E36:E38)</f>
        <v>130830</v>
      </c>
      <c r="F39" s="7" t="n">
        <f aca="false">SUM(F36:F38)</f>
        <v>130830</v>
      </c>
      <c r="G39" s="7" t="n">
        <f aca="false">SUM(G36:G38)</f>
        <v>130830</v>
      </c>
      <c r="H39" s="7" t="n">
        <f aca="false">SUM(H36:H38)</f>
        <v>130830</v>
      </c>
      <c r="I39" s="7" t="n">
        <f aca="false">SUM(I36:I38)</f>
        <v>130830</v>
      </c>
      <c r="J39" s="7" t="n">
        <f aca="false">SUM(J36:J38)</f>
        <v>130830</v>
      </c>
      <c r="K39" s="7" t="n">
        <f aca="false">SUM(K36:K38)</f>
        <v>130830</v>
      </c>
      <c r="L39" s="7" t="n">
        <f aca="false">SUM(L36:L38)</f>
        <v>130830</v>
      </c>
      <c r="M39" s="7" t="n">
        <f aca="false">SUM(M36:M38)</f>
        <v>130830</v>
      </c>
      <c r="N39" s="7" t="n">
        <f aca="false">SUM(N36:N38)</f>
        <v>0</v>
      </c>
      <c r="O39" s="7" t="n">
        <f aca="false">SUM(O36:O38)</f>
        <v>0</v>
      </c>
      <c r="P39" s="7" t="n">
        <f aca="false">SUM(P36:P38)</f>
        <v>0</v>
      </c>
      <c r="Q39" s="7" t="n">
        <f aca="false">SUM(Q36:Q38)</f>
        <v>0</v>
      </c>
      <c r="R39" s="7" t="n">
        <f aca="false">SUM(R36:R38)</f>
        <v>0</v>
      </c>
      <c r="S39" s="7" t="n">
        <f aca="false">SUM(S36:S38)</f>
        <v>0</v>
      </c>
      <c r="T39" s="7" t="n">
        <f aca="false">SUM(T36:T38)</f>
        <v>0</v>
      </c>
      <c r="U39" s="7" t="n">
        <f aca="false">SUM(U36:U38)</f>
        <v>0</v>
      </c>
      <c r="V39" s="7" t="n">
        <f aca="false">SUM(V36:V38)</f>
        <v>0</v>
      </c>
      <c r="W39" s="7" t="n">
        <f aca="false">SUM(W36:W38)</f>
        <v>0</v>
      </c>
    </row>
    <row r="40" customFormat="false" ht="15" hidden="false" customHeight="true" outlineLevel="0" collapsed="false">
      <c r="C40" s="2" t="s">
        <v>0</v>
      </c>
      <c r="D40" s="2" t="n">
        <v>2020</v>
      </c>
      <c r="E40" s="2" t="n">
        <v>2021</v>
      </c>
      <c r="F40" s="2" t="n">
        <v>2022</v>
      </c>
      <c r="G40" s="2" t="n">
        <v>2023</v>
      </c>
      <c r="H40" s="2" t="n">
        <v>2024</v>
      </c>
      <c r="I40" s="2" t="n">
        <v>2025</v>
      </c>
      <c r="J40" s="2" t="n">
        <v>2026</v>
      </c>
      <c r="K40" s="2" t="n">
        <v>2027</v>
      </c>
      <c r="L40" s="2" t="n">
        <v>2028</v>
      </c>
      <c r="M40" s="2" t="n">
        <v>2029</v>
      </c>
      <c r="N40" s="2" t="n">
        <v>2030</v>
      </c>
      <c r="O40" s="2" t="n">
        <v>2031</v>
      </c>
      <c r="P40" s="2" t="n">
        <v>2032</v>
      </c>
      <c r="Q40" s="2" t="n">
        <v>2033</v>
      </c>
      <c r="R40" s="2" t="n">
        <v>2034</v>
      </c>
      <c r="S40" s="2" t="n">
        <v>2035</v>
      </c>
      <c r="T40" s="2" t="n">
        <v>2036</v>
      </c>
      <c r="U40" s="2" t="n">
        <v>2037</v>
      </c>
      <c r="V40" s="2" t="n">
        <v>2038</v>
      </c>
      <c r="W40" s="2" t="n">
        <v>2039</v>
      </c>
    </row>
    <row r="41" customFormat="false" ht="15" hidden="false" customHeight="true" outlineLevel="0" collapsed="false">
      <c r="C41" s="1" t="s">
        <v>14</v>
      </c>
    </row>
    <row r="42" customFormat="false" ht="15" hidden="false" customHeight="true" outlineLevel="0" collapsed="false">
      <c r="B42" s="1" t="s">
        <v>2</v>
      </c>
      <c r="D42" s="3" t="n">
        <f aca="false">ROUND(ABS(淡江大學_p3!D54),0)</f>
        <v>179764</v>
      </c>
      <c r="E42" s="3" t="n">
        <f aca="false">ROUND(ABS(淡江大學_p3!E54),0)</f>
        <v>119973</v>
      </c>
      <c r="F42" s="3" t="n">
        <f aca="false">ROUND(ABS(淡江大學_p3!F54),0)</f>
        <v>118223</v>
      </c>
      <c r="G42" s="3" t="n">
        <f aca="false">ROUND(ABS(淡江大學_p3!G54),0)</f>
        <v>116472</v>
      </c>
      <c r="H42" s="3" t="n">
        <f aca="false">ROUND(ABS(淡江大學_p3!H54),0)</f>
        <v>114722</v>
      </c>
      <c r="I42" s="3" t="n">
        <f aca="false">ROUND(ABS(淡江大學_p3!I54),0)</f>
        <v>112971</v>
      </c>
      <c r="J42" s="3" t="n">
        <f aca="false">ROUND(ABS(淡江大學_p3!J54),0)</f>
        <v>111221</v>
      </c>
      <c r="K42" s="3" t="n">
        <f aca="false">ROUND(ABS(淡江大學_p3!K54),0)</f>
        <v>109471</v>
      </c>
      <c r="L42" s="3" t="n">
        <f aca="false">ROUND(ABS(淡江大學_p3!L54),0)</f>
        <v>107720</v>
      </c>
      <c r="M42" s="3" t="n">
        <f aca="false">ROUND(ABS(淡江大學_p3!M54),0)</f>
        <v>105970</v>
      </c>
      <c r="N42" s="3" t="n">
        <f aca="false">ROUND(ABS(淡江大學_p3!N54),0)</f>
        <v>112941</v>
      </c>
      <c r="O42" s="3" t="n">
        <f aca="false">ROUND(ABS(淡江大學_p3!O54),0)</f>
        <v>111191</v>
      </c>
      <c r="P42" s="3" t="n">
        <f aca="false">ROUND(ABS(淡江大學_p3!P54),0)</f>
        <v>109441</v>
      </c>
      <c r="Q42" s="3" t="n">
        <f aca="false">ROUND(ABS(淡江大學_p3!Q54),0)</f>
        <v>107690</v>
      </c>
      <c r="R42" s="3" t="n">
        <f aca="false">ROUND(ABS(淡江大學_p3!R54),0)</f>
        <v>105940</v>
      </c>
      <c r="S42" s="3" t="n">
        <f aca="false">ROUND(ABS(淡江大學_p3!S54),0)</f>
        <v>104189</v>
      </c>
      <c r="T42" s="3" t="n">
        <f aca="false">ROUND(ABS(淡江大學_p3!T54),0)</f>
        <v>102439</v>
      </c>
      <c r="U42" s="3" t="n">
        <f aca="false">ROUND(ABS(淡江大學_p3!U54),0)</f>
        <v>100688</v>
      </c>
      <c r="V42" s="3" t="n">
        <f aca="false">ROUND(ABS(淡江大學_p3!V54),0)</f>
        <v>98938</v>
      </c>
      <c r="W42" s="3" t="n">
        <f aca="false">ROUND(ABS(淡江大學_p3!W54),0)</f>
        <v>97188</v>
      </c>
    </row>
    <row r="43" customFormat="false" ht="15" hidden="false" customHeight="true" outlineLevel="0" collapsed="false">
      <c r="B43" s="1" t="s">
        <v>2</v>
      </c>
      <c r="D43" s="3" t="n">
        <f aca="false">ROUND(ABS(淡江大學_p4!D54),0)</f>
        <v>192635</v>
      </c>
      <c r="E43" s="3" t="n">
        <f aca="false">ROUND(ABS(淡江大學_p4!E54),0)</f>
        <v>132845</v>
      </c>
      <c r="F43" s="3" t="n">
        <f aca="false">ROUND(ABS(淡江大學_p4!F54),0)</f>
        <v>131094</v>
      </c>
      <c r="G43" s="3" t="n">
        <f aca="false">ROUND(ABS(淡江大學_p4!G54),0)</f>
        <v>129344</v>
      </c>
      <c r="H43" s="3" t="n">
        <f aca="false">ROUND(ABS(淡江大學_p4!H54),0)</f>
        <v>127594</v>
      </c>
      <c r="I43" s="3" t="n">
        <f aca="false">ROUND(ABS(淡江大學_p4!I54),0)</f>
        <v>125843</v>
      </c>
      <c r="J43" s="3" t="n">
        <f aca="false">ROUND(ABS(淡江大學_p4!J54),0)</f>
        <v>124093</v>
      </c>
      <c r="K43" s="3" t="n">
        <f aca="false">ROUND(ABS(淡江大學_p4!K54),0)</f>
        <v>122342</v>
      </c>
      <c r="L43" s="3" t="n">
        <f aca="false">ROUND(ABS(淡江大學_p4!L54),0)</f>
        <v>120592</v>
      </c>
      <c r="M43" s="3" t="n">
        <f aca="false">ROUND(ABS(淡江大學_p4!M54),0)</f>
        <v>118842</v>
      </c>
      <c r="N43" s="3" t="n">
        <f aca="false">ROUND(ABS(淡江大學_p4!N54),0)</f>
        <v>125813</v>
      </c>
      <c r="O43" s="3" t="n">
        <f aca="false">ROUND(ABS(淡江大學_p4!O54),0)</f>
        <v>124063</v>
      </c>
      <c r="P43" s="3" t="n">
        <f aca="false">ROUND(ABS(淡江大學_p4!P54),0)</f>
        <v>122312</v>
      </c>
      <c r="Q43" s="3" t="n">
        <f aca="false">ROUND(ABS(淡江大學_p4!Q54),0)</f>
        <v>120562</v>
      </c>
      <c r="R43" s="3" t="n">
        <f aca="false">ROUND(ABS(淡江大學_p4!R54),0)</f>
        <v>118812</v>
      </c>
      <c r="S43" s="3" t="n">
        <f aca="false">ROUND(ABS(淡江大學_p4!S54),0)</f>
        <v>117061</v>
      </c>
      <c r="T43" s="3" t="n">
        <f aca="false">ROUND(ABS(淡江大學_p4!T54),0)</f>
        <v>115311</v>
      </c>
      <c r="U43" s="3" t="n">
        <f aca="false">ROUND(ABS(淡江大學_p4!U54),0)</f>
        <v>113560</v>
      </c>
      <c r="V43" s="3" t="n">
        <f aca="false">ROUND(ABS(淡江大學_p4!V54),0)</f>
        <v>111810</v>
      </c>
      <c r="W43" s="3" t="n">
        <f aca="false">ROUND(ABS(淡江大學_p4!W54),0)</f>
        <v>110060</v>
      </c>
    </row>
    <row r="44" customFormat="false" ht="15" hidden="false" customHeight="true" outlineLevel="0" collapsed="false">
      <c r="B44" s="1" t="s">
        <v>2</v>
      </c>
      <c r="D44" s="3" t="n">
        <f aca="false">ROUND(ABS(淡江大學_p5!D54),0)</f>
        <v>205619</v>
      </c>
      <c r="E44" s="3" t="n">
        <f aca="false">ROUND(ABS(淡江大學_p5!E54),0)</f>
        <v>145828</v>
      </c>
      <c r="F44" s="3" t="n">
        <f aca="false">ROUND(ABS(淡江大學_p5!F54),0)</f>
        <v>144078</v>
      </c>
      <c r="G44" s="3" t="n">
        <f aca="false">ROUND(ABS(淡江大學_p5!G54),0)</f>
        <v>142327</v>
      </c>
      <c r="H44" s="3" t="n">
        <f aca="false">ROUND(ABS(淡江大學_p5!H54),0)</f>
        <v>140577</v>
      </c>
      <c r="I44" s="3" t="n">
        <f aca="false">ROUND(ABS(淡江大學_p5!I54),0)</f>
        <v>138827</v>
      </c>
      <c r="J44" s="3" t="n">
        <f aca="false">ROUND(ABS(淡江大學_p5!J54),0)</f>
        <v>137076</v>
      </c>
      <c r="K44" s="3" t="n">
        <f aca="false">ROUND(ABS(淡江大學_p5!K54),0)</f>
        <v>135326</v>
      </c>
      <c r="L44" s="3" t="n">
        <f aca="false">ROUND(ABS(淡江大學_p5!L54),0)</f>
        <v>133575</v>
      </c>
      <c r="M44" s="3" t="n">
        <f aca="false">ROUND(ABS(淡江大學_p5!M54),0)</f>
        <v>131825</v>
      </c>
      <c r="N44" s="3" t="n">
        <f aca="false">ROUND(ABS(淡江大學_p5!N54),0)</f>
        <v>138797</v>
      </c>
      <c r="O44" s="3" t="n">
        <f aca="false">ROUND(ABS(淡江大學_p5!O54),0)</f>
        <v>137046</v>
      </c>
      <c r="P44" s="3" t="n">
        <f aca="false">ROUND(ABS(淡江大學_p5!P54),0)</f>
        <v>135296</v>
      </c>
      <c r="Q44" s="3" t="n">
        <f aca="false">ROUND(ABS(淡江大學_p5!Q54),0)</f>
        <v>133545</v>
      </c>
      <c r="R44" s="3" t="n">
        <f aca="false">ROUND(ABS(淡江大學_p5!R54),0)</f>
        <v>131795</v>
      </c>
      <c r="S44" s="3" t="n">
        <f aca="false">ROUND(ABS(淡江大學_p5!S54),0)</f>
        <v>130044</v>
      </c>
      <c r="T44" s="3" t="n">
        <f aca="false">ROUND(ABS(淡江大學_p5!T54),0)</f>
        <v>128294</v>
      </c>
      <c r="U44" s="3" t="n">
        <f aca="false">ROUND(ABS(淡江大學_p5!U54),0)</f>
        <v>126544</v>
      </c>
      <c r="V44" s="3" t="n">
        <f aca="false">ROUND(ABS(淡江大學_p5!V54),0)</f>
        <v>124793</v>
      </c>
      <c r="W44" s="3" t="n">
        <f aca="false">ROUND(ABS(淡江大學_p5!W54),0)</f>
        <v>123043</v>
      </c>
    </row>
    <row r="45" customFormat="false" ht="15" hidden="false" customHeight="true" outlineLevel="0" collapsed="false">
      <c r="C45" s="4" t="s">
        <v>15</v>
      </c>
      <c r="D45" s="5" t="n">
        <f aca="false">SUM(D42:D44)</f>
        <v>578018</v>
      </c>
      <c r="E45" s="5" t="n">
        <f aca="false">SUM(E42:E44)</f>
        <v>398646</v>
      </c>
      <c r="F45" s="5" t="n">
        <f aca="false">SUM(F42:F44)</f>
        <v>393395</v>
      </c>
      <c r="G45" s="5" t="n">
        <f aca="false">SUM(G42:G44)</f>
        <v>388143</v>
      </c>
      <c r="H45" s="5" t="n">
        <f aca="false">SUM(H42:H44)</f>
        <v>382893</v>
      </c>
      <c r="I45" s="5" t="n">
        <f aca="false">SUM(I42:I44)</f>
        <v>377641</v>
      </c>
      <c r="J45" s="5" t="n">
        <f aca="false">SUM(J42:J44)</f>
        <v>372390</v>
      </c>
      <c r="K45" s="5" t="n">
        <f aca="false">SUM(K42:K44)</f>
        <v>367139</v>
      </c>
      <c r="L45" s="5" t="n">
        <f aca="false">SUM(L42:L44)</f>
        <v>361887</v>
      </c>
      <c r="M45" s="5" t="n">
        <f aca="false">SUM(M42:M44)</f>
        <v>356637</v>
      </c>
      <c r="N45" s="5" t="n">
        <f aca="false">SUM(N42:N44)</f>
        <v>377551</v>
      </c>
      <c r="O45" s="5" t="n">
        <f aca="false">SUM(O42:O44)</f>
        <v>372300</v>
      </c>
      <c r="P45" s="5" t="n">
        <f aca="false">SUM(P42:P44)</f>
        <v>367049</v>
      </c>
      <c r="Q45" s="5" t="n">
        <f aca="false">SUM(Q42:Q44)</f>
        <v>361797</v>
      </c>
      <c r="R45" s="5" t="n">
        <f aca="false">SUM(R42:R44)</f>
        <v>356547</v>
      </c>
      <c r="S45" s="5" t="n">
        <f aca="false">SUM(S42:S44)</f>
        <v>351294</v>
      </c>
      <c r="T45" s="5" t="n">
        <f aca="false">SUM(T42:T44)</f>
        <v>346044</v>
      </c>
      <c r="U45" s="5" t="n">
        <f aca="false">SUM(U42:U44)</f>
        <v>340792</v>
      </c>
      <c r="V45" s="5" t="n">
        <f aca="false">SUM(V42:V44)</f>
        <v>335541</v>
      </c>
      <c r="W45" s="5" t="n">
        <f aca="false">SUM(W42:W44)</f>
        <v>330291</v>
      </c>
    </row>
    <row r="46" customFormat="false" ht="15" hidden="false" customHeight="true" outlineLevel="0" collapsed="false">
      <c r="C46" s="2" t="s">
        <v>0</v>
      </c>
      <c r="D46" s="2" t="n">
        <v>2020</v>
      </c>
      <c r="E46" s="2" t="n">
        <v>2021</v>
      </c>
      <c r="F46" s="2" t="n">
        <v>2022</v>
      </c>
      <c r="G46" s="2" t="n">
        <v>2023</v>
      </c>
      <c r="H46" s="2" t="n">
        <v>2024</v>
      </c>
      <c r="I46" s="2" t="n">
        <v>2025</v>
      </c>
      <c r="J46" s="2" t="n">
        <v>2026</v>
      </c>
      <c r="K46" s="2" t="n">
        <v>2027</v>
      </c>
      <c r="L46" s="2" t="n">
        <v>2028</v>
      </c>
      <c r="M46" s="2" t="n">
        <v>2029</v>
      </c>
      <c r="N46" s="2" t="n">
        <v>2030</v>
      </c>
      <c r="O46" s="2" t="n">
        <v>2031</v>
      </c>
      <c r="P46" s="2" t="n">
        <v>2032</v>
      </c>
      <c r="Q46" s="2" t="n">
        <v>2033</v>
      </c>
      <c r="R46" s="2" t="n">
        <v>2034</v>
      </c>
      <c r="S46" s="2" t="n">
        <v>2035</v>
      </c>
      <c r="T46" s="2" t="n">
        <v>2036</v>
      </c>
      <c r="U46" s="2" t="n">
        <v>2037</v>
      </c>
      <c r="V46" s="2" t="n">
        <v>2038</v>
      </c>
      <c r="W46" s="2" t="n">
        <v>2039</v>
      </c>
    </row>
    <row r="47" customFormat="false" ht="15" hidden="false" customHeight="true" outlineLevel="0" collapsed="false">
      <c r="C47" s="1" t="s">
        <v>16</v>
      </c>
    </row>
    <row r="48" customFormat="false" ht="15" hidden="false" customHeight="true" outlineLevel="0" collapsed="false">
      <c r="B48" s="1" t="s">
        <v>2</v>
      </c>
      <c r="D48" s="3" t="n">
        <f aca="false">ROUND(ABS(淡江大學_p3!D67),0)</f>
        <v>1009260</v>
      </c>
      <c r="E48" s="3" t="n">
        <f aca="false">ROUND(ABS(淡江大學_p3!E67),0)</f>
        <v>1009260</v>
      </c>
      <c r="F48" s="3" t="n">
        <f aca="false">ROUND(ABS(淡江大學_p3!F67),0)</f>
        <v>1009260</v>
      </c>
      <c r="G48" s="3" t="n">
        <f aca="false">ROUND(ABS(淡江大學_p3!G67),0)</f>
        <v>1009260</v>
      </c>
      <c r="H48" s="3" t="n">
        <f aca="false">ROUND(ABS(淡江大學_p3!H67),0)</f>
        <v>1009260</v>
      </c>
      <c r="I48" s="3" t="n">
        <f aca="false">ROUND(ABS(淡江大學_p3!I67),0)</f>
        <v>1009260</v>
      </c>
      <c r="J48" s="3" t="n">
        <f aca="false">ROUND(ABS(淡江大學_p3!J67),0)</f>
        <v>1009260</v>
      </c>
      <c r="K48" s="3" t="n">
        <f aca="false">ROUND(ABS(淡江大學_p3!K67),0)</f>
        <v>1009260</v>
      </c>
      <c r="L48" s="3" t="n">
        <f aca="false">ROUND(ABS(淡江大學_p3!L67),0)</f>
        <v>1009260</v>
      </c>
      <c r="M48" s="3" t="n">
        <f aca="false">ROUND(ABS(淡江大學_p3!M67),0)</f>
        <v>1009260</v>
      </c>
      <c r="N48" s="3" t="n">
        <f aca="false">ROUND(ABS(淡江大學_p3!N67),0)</f>
        <v>1009260</v>
      </c>
      <c r="O48" s="3" t="n">
        <f aca="false">ROUND(ABS(淡江大學_p3!O67),0)</f>
        <v>1009260</v>
      </c>
      <c r="P48" s="3" t="n">
        <f aca="false">ROUND(ABS(淡江大學_p3!P67),0)</f>
        <v>1009260</v>
      </c>
      <c r="Q48" s="3" t="n">
        <f aca="false">ROUND(ABS(淡江大學_p3!Q67),0)</f>
        <v>1009260</v>
      </c>
      <c r="R48" s="3" t="n">
        <f aca="false">ROUND(ABS(淡江大學_p3!R67),0)</f>
        <v>1009260</v>
      </c>
      <c r="S48" s="3" t="n">
        <f aca="false">ROUND(ABS(淡江大學_p3!S67),0)</f>
        <v>1009260</v>
      </c>
      <c r="T48" s="3" t="n">
        <f aca="false">ROUND(ABS(淡江大學_p3!T67),0)</f>
        <v>1009260</v>
      </c>
      <c r="U48" s="3" t="n">
        <f aca="false">ROUND(ABS(淡江大學_p3!U67),0)</f>
        <v>1009260</v>
      </c>
      <c r="V48" s="3" t="n">
        <f aca="false">ROUND(ABS(淡江大學_p3!V67),0)</f>
        <v>1009260</v>
      </c>
      <c r="W48" s="3" t="n">
        <f aca="false">ROUND(ABS(淡江大學_p3!W67),0)</f>
        <v>1009260</v>
      </c>
    </row>
    <row r="49" customFormat="false" ht="15" hidden="false" customHeight="true" outlineLevel="0" collapsed="false">
      <c r="B49" s="1" t="s">
        <v>2</v>
      </c>
      <c r="D49" s="3" t="n">
        <f aca="false">ROUND(ABS(淡江大學_p4!D67),0)</f>
        <v>946960</v>
      </c>
      <c r="E49" s="3" t="n">
        <f aca="false">ROUND(ABS(淡江大學_p4!E67),0)</f>
        <v>946960</v>
      </c>
      <c r="F49" s="3" t="n">
        <f aca="false">ROUND(ABS(淡江大學_p4!F67),0)</f>
        <v>946960</v>
      </c>
      <c r="G49" s="3" t="n">
        <f aca="false">ROUND(ABS(淡江大學_p4!G67),0)</f>
        <v>946960</v>
      </c>
      <c r="H49" s="3" t="n">
        <f aca="false">ROUND(ABS(淡江大學_p4!H67),0)</f>
        <v>946960</v>
      </c>
      <c r="I49" s="3" t="n">
        <f aca="false">ROUND(ABS(淡江大學_p4!I67),0)</f>
        <v>946960</v>
      </c>
      <c r="J49" s="3" t="n">
        <f aca="false">ROUND(ABS(淡江大學_p4!J67),0)</f>
        <v>946960</v>
      </c>
      <c r="K49" s="3" t="n">
        <f aca="false">ROUND(ABS(淡江大學_p4!K67),0)</f>
        <v>946960</v>
      </c>
      <c r="L49" s="3" t="n">
        <f aca="false">ROUND(ABS(淡江大學_p4!L67),0)</f>
        <v>946960</v>
      </c>
      <c r="M49" s="3" t="n">
        <f aca="false">ROUND(ABS(淡江大學_p4!M67),0)</f>
        <v>946960</v>
      </c>
      <c r="N49" s="3" t="n">
        <f aca="false">ROUND(ABS(淡江大學_p4!N67),0)</f>
        <v>946960</v>
      </c>
      <c r="O49" s="3" t="n">
        <f aca="false">ROUND(ABS(淡江大學_p4!O67),0)</f>
        <v>946960</v>
      </c>
      <c r="P49" s="3" t="n">
        <f aca="false">ROUND(ABS(淡江大學_p4!P67),0)</f>
        <v>946960</v>
      </c>
      <c r="Q49" s="3" t="n">
        <f aca="false">ROUND(ABS(淡江大學_p4!Q67),0)</f>
        <v>946960</v>
      </c>
      <c r="R49" s="3" t="n">
        <f aca="false">ROUND(ABS(淡江大學_p4!R67),0)</f>
        <v>946960</v>
      </c>
      <c r="S49" s="3" t="n">
        <f aca="false">ROUND(ABS(淡江大學_p4!S67),0)</f>
        <v>946960</v>
      </c>
      <c r="T49" s="3" t="n">
        <f aca="false">ROUND(ABS(淡江大學_p4!T67),0)</f>
        <v>946960</v>
      </c>
      <c r="U49" s="3" t="n">
        <f aca="false">ROUND(ABS(淡江大學_p4!U67),0)</f>
        <v>946960</v>
      </c>
      <c r="V49" s="3" t="n">
        <f aca="false">ROUND(ABS(淡江大學_p4!V67),0)</f>
        <v>946960</v>
      </c>
      <c r="W49" s="3" t="n">
        <f aca="false">ROUND(ABS(淡江大學_p4!W67),0)</f>
        <v>946960</v>
      </c>
    </row>
    <row r="50" customFormat="false" ht="15" hidden="false" customHeight="true" outlineLevel="0" collapsed="false">
      <c r="B50" s="1" t="s">
        <v>2</v>
      </c>
      <c r="D50" s="3" t="n">
        <f aca="false">ROUND(ABS(淡江大學_p5!D67),0)</f>
        <v>884660</v>
      </c>
      <c r="E50" s="3" t="n">
        <f aca="false">ROUND(ABS(淡江大學_p5!E67),0)</f>
        <v>884660</v>
      </c>
      <c r="F50" s="3" t="n">
        <f aca="false">ROUND(ABS(淡江大學_p5!F67),0)</f>
        <v>884660</v>
      </c>
      <c r="G50" s="3" t="n">
        <f aca="false">ROUND(ABS(淡江大學_p5!G67),0)</f>
        <v>884660</v>
      </c>
      <c r="H50" s="3" t="n">
        <f aca="false">ROUND(ABS(淡江大學_p5!H67),0)</f>
        <v>884660</v>
      </c>
      <c r="I50" s="3" t="n">
        <f aca="false">ROUND(ABS(淡江大學_p5!I67),0)</f>
        <v>884660</v>
      </c>
      <c r="J50" s="3" t="n">
        <f aca="false">ROUND(ABS(淡江大學_p5!J67),0)</f>
        <v>884660</v>
      </c>
      <c r="K50" s="3" t="n">
        <f aca="false">ROUND(ABS(淡江大學_p5!K67),0)</f>
        <v>884660</v>
      </c>
      <c r="L50" s="3" t="n">
        <f aca="false">ROUND(ABS(淡江大學_p5!L67),0)</f>
        <v>884660</v>
      </c>
      <c r="M50" s="3" t="n">
        <f aca="false">ROUND(ABS(淡江大學_p5!M67),0)</f>
        <v>884660</v>
      </c>
      <c r="N50" s="3" t="n">
        <f aca="false">ROUND(ABS(淡江大學_p5!N67),0)</f>
        <v>884660</v>
      </c>
      <c r="O50" s="3" t="n">
        <f aca="false">ROUND(ABS(淡江大學_p5!O67),0)</f>
        <v>884660</v>
      </c>
      <c r="P50" s="3" t="n">
        <f aca="false">ROUND(ABS(淡江大學_p5!P67),0)</f>
        <v>884660</v>
      </c>
      <c r="Q50" s="3" t="n">
        <f aca="false">ROUND(ABS(淡江大學_p5!Q67),0)</f>
        <v>884660</v>
      </c>
      <c r="R50" s="3" t="n">
        <f aca="false">ROUND(ABS(淡江大學_p5!R67),0)</f>
        <v>884660</v>
      </c>
      <c r="S50" s="3" t="n">
        <f aca="false">ROUND(ABS(淡江大學_p5!S67),0)</f>
        <v>884660</v>
      </c>
      <c r="T50" s="3" t="n">
        <f aca="false">ROUND(ABS(淡江大學_p5!T67),0)</f>
        <v>884660</v>
      </c>
      <c r="U50" s="3" t="n">
        <f aca="false">ROUND(ABS(淡江大學_p5!U67),0)</f>
        <v>884660</v>
      </c>
      <c r="V50" s="3" t="n">
        <f aca="false">ROUND(ABS(淡江大學_p5!V67),0)</f>
        <v>884660</v>
      </c>
      <c r="W50" s="3" t="n">
        <f aca="false">ROUND(ABS(淡江大學_p5!W67),0)</f>
        <v>884660</v>
      </c>
    </row>
    <row r="51" customFormat="false" ht="15" hidden="false" customHeight="true" outlineLevel="0" collapsed="false">
      <c r="C51" s="14" t="s">
        <v>17</v>
      </c>
      <c r="D51" s="15" t="n">
        <f aca="false">SUM(D48:D50)</f>
        <v>2840880</v>
      </c>
      <c r="E51" s="15" t="n">
        <f aca="false">SUM(E48:E50)</f>
        <v>2840880</v>
      </c>
      <c r="F51" s="15" t="n">
        <f aca="false">SUM(F48:F50)</f>
        <v>2840880</v>
      </c>
      <c r="G51" s="15" t="n">
        <f aca="false">SUM(G48:G50)</f>
        <v>2840880</v>
      </c>
      <c r="H51" s="15" t="n">
        <f aca="false">SUM(H48:H50)</f>
        <v>2840880</v>
      </c>
      <c r="I51" s="15" t="n">
        <f aca="false">SUM(I48:I50)</f>
        <v>2840880</v>
      </c>
      <c r="J51" s="15" t="n">
        <f aca="false">SUM(J48:J50)</f>
        <v>2840880</v>
      </c>
      <c r="K51" s="15" t="n">
        <f aca="false">SUM(K48:K50)</f>
        <v>2840880</v>
      </c>
      <c r="L51" s="15" t="n">
        <f aca="false">SUM(L48:L50)</f>
        <v>2840880</v>
      </c>
      <c r="M51" s="15" t="n">
        <f aca="false">SUM(M48:M50)</f>
        <v>2840880</v>
      </c>
      <c r="N51" s="15" t="n">
        <f aca="false">SUM(N48:N50)</f>
        <v>2840880</v>
      </c>
      <c r="O51" s="15" t="n">
        <f aca="false">SUM(O48:O50)</f>
        <v>2840880</v>
      </c>
      <c r="P51" s="15" t="n">
        <f aca="false">SUM(P48:P50)</f>
        <v>2840880</v>
      </c>
      <c r="Q51" s="15" t="n">
        <f aca="false">SUM(Q48:Q50)</f>
        <v>2840880</v>
      </c>
      <c r="R51" s="15" t="n">
        <f aca="false">SUM(R48:R50)</f>
        <v>2840880</v>
      </c>
      <c r="S51" s="15" t="n">
        <f aca="false">SUM(S48:S50)</f>
        <v>2840880</v>
      </c>
      <c r="T51" s="15" t="n">
        <f aca="false">SUM(T48:T50)</f>
        <v>2840880</v>
      </c>
      <c r="U51" s="15" t="n">
        <f aca="false">SUM(U48:U50)</f>
        <v>2840880</v>
      </c>
      <c r="V51" s="15" t="n">
        <f aca="false">SUM(V48:V50)</f>
        <v>2840880</v>
      </c>
      <c r="W51" s="15" t="n">
        <f aca="false">SUM(W48:W50)</f>
        <v>2840880</v>
      </c>
    </row>
    <row r="53" customFormat="false" ht="15" hidden="false" customHeight="true" outlineLevel="0" collapsed="false">
      <c r="B53" s="1" t="s">
        <v>18</v>
      </c>
      <c r="C53" s="1" t="n">
        <v>0.8</v>
      </c>
    </row>
    <row r="54" customFormat="false" ht="15" hidden="false" customHeight="true" outlineLevel="0" collapsed="false">
      <c r="B54" s="1" t="s">
        <v>19</v>
      </c>
      <c r="C54" s="1" t="n">
        <v>14</v>
      </c>
    </row>
    <row r="55" customFormat="false" ht="15" hidden="false" customHeight="true" outlineLevel="0" collapsed="false">
      <c r="B55" s="1" t="s">
        <v>20</v>
      </c>
      <c r="C55" s="1" t="n">
        <v>0.9</v>
      </c>
    </row>
    <row r="56" customFormat="false" ht="15" hidden="false" customHeight="true" outlineLevel="0" collapsed="false">
      <c r="B56" s="1" t="s">
        <v>21</v>
      </c>
      <c r="C56" s="1" t="n">
        <v>4</v>
      </c>
    </row>
    <row r="57" customFormat="false" ht="15" hidden="false" customHeight="true" outlineLevel="0" collapsed="false">
      <c r="B57" s="1" t="s">
        <v>22</v>
      </c>
      <c r="C57" s="1" t="n">
        <v>0.03</v>
      </c>
    </row>
    <row r="58" customFormat="false" ht="18.75" hidden="false" customHeight="true" outlineLevel="0" collapsed="false">
      <c r="B58" s="16"/>
      <c r="C58" s="17" t="s">
        <v>0</v>
      </c>
      <c r="D58" s="17" t="n">
        <v>2020</v>
      </c>
      <c r="E58" s="17" t="n">
        <v>2021</v>
      </c>
      <c r="F58" s="17" t="n">
        <v>2022</v>
      </c>
      <c r="G58" s="17" t="n">
        <v>2023</v>
      </c>
      <c r="H58" s="17" t="n">
        <v>2024</v>
      </c>
      <c r="I58" s="17" t="n">
        <v>2025</v>
      </c>
      <c r="J58" s="17" t="n">
        <v>2026</v>
      </c>
      <c r="K58" s="17" t="n">
        <v>2027</v>
      </c>
      <c r="L58" s="17" t="n">
        <v>2028</v>
      </c>
      <c r="M58" s="17" t="n">
        <v>2029</v>
      </c>
      <c r="N58" s="17" t="n">
        <v>2030</v>
      </c>
      <c r="O58" s="17" t="n">
        <v>2031</v>
      </c>
      <c r="P58" s="17" t="n">
        <v>2032</v>
      </c>
      <c r="Q58" s="17" t="n">
        <v>2033</v>
      </c>
      <c r="R58" s="17" t="n">
        <v>2034</v>
      </c>
      <c r="S58" s="17" t="n">
        <v>2035</v>
      </c>
      <c r="T58" s="17" t="n">
        <v>2036</v>
      </c>
      <c r="U58" s="17" t="n">
        <v>2037</v>
      </c>
      <c r="V58" s="17" t="n">
        <v>2038</v>
      </c>
      <c r="W58" s="17" t="n">
        <v>2039</v>
      </c>
    </row>
    <row r="59" customFormat="false" ht="18.75" hidden="false" customHeight="true" outlineLevel="0" collapsed="false">
      <c r="B59" s="18" t="n">
        <v>0</v>
      </c>
      <c r="C59" s="19"/>
      <c r="D59" s="20"/>
      <c r="E59" s="20"/>
      <c r="F59" s="21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/>
      <c r="U59" s="22"/>
      <c r="V59" s="22"/>
      <c r="W59" s="22"/>
    </row>
    <row r="60" customFormat="false" ht="18.75" hidden="false" customHeight="true" outlineLevel="0" collapsed="false">
      <c r="B60" s="24" t="s">
        <v>23</v>
      </c>
      <c r="C60" s="25" t="n">
        <v>0</v>
      </c>
      <c r="D60" s="26" t="n">
        <v>1</v>
      </c>
      <c r="E60" s="26" t="n">
        <v>2</v>
      </c>
      <c r="F60" s="26" t="n">
        <v>3</v>
      </c>
      <c r="G60" s="26" t="n">
        <v>4</v>
      </c>
      <c r="H60" s="26" t="n">
        <v>5</v>
      </c>
      <c r="I60" s="26" t="n">
        <v>6</v>
      </c>
      <c r="J60" s="26" t="n">
        <v>7</v>
      </c>
      <c r="K60" s="26" t="n">
        <v>8</v>
      </c>
      <c r="L60" s="26" t="n">
        <v>9</v>
      </c>
      <c r="M60" s="26" t="n">
        <v>10</v>
      </c>
      <c r="N60" s="26" t="n">
        <v>11</v>
      </c>
      <c r="O60" s="26" t="n">
        <v>12</v>
      </c>
      <c r="P60" s="26" t="n">
        <v>13</v>
      </c>
      <c r="Q60" s="26" t="n">
        <v>14</v>
      </c>
      <c r="R60" s="26" t="n">
        <v>15</v>
      </c>
      <c r="S60" s="26" t="n">
        <v>16</v>
      </c>
      <c r="T60" s="27" t="n">
        <v>17</v>
      </c>
      <c r="U60" s="26" t="n">
        <v>18</v>
      </c>
      <c r="V60" s="26" t="n">
        <v>19</v>
      </c>
      <c r="W60" s="26" t="n">
        <v>20</v>
      </c>
    </row>
    <row r="61" customFormat="false" ht="18.75" hidden="false" customHeight="true" outlineLevel="0" collapsed="false">
      <c r="B61" s="28" t="s">
        <v>24</v>
      </c>
      <c r="C61" s="29" t="n">
        <v>0</v>
      </c>
      <c r="D61" s="30" t="n">
        <f aca="false">D9</f>
        <v>1624596</v>
      </c>
      <c r="E61" s="30" t="n">
        <f aca="false">E9</f>
        <v>1618032</v>
      </c>
      <c r="F61" s="30" t="n">
        <f aca="false">F9</f>
        <v>1611468</v>
      </c>
      <c r="G61" s="30" t="n">
        <f aca="false">G9</f>
        <v>1604904</v>
      </c>
      <c r="H61" s="30" t="n">
        <f aca="false">H9</f>
        <v>1598340</v>
      </c>
      <c r="I61" s="30" t="n">
        <f aca="false">I9</f>
        <v>1591776</v>
      </c>
      <c r="J61" s="30" t="n">
        <f aca="false">J9</f>
        <v>1585212</v>
      </c>
      <c r="K61" s="30" t="n">
        <f aca="false">K9</f>
        <v>1578648</v>
      </c>
      <c r="L61" s="30" t="n">
        <f aca="false">L9</f>
        <v>1572084</v>
      </c>
      <c r="M61" s="30" t="n">
        <f aca="false">M9</f>
        <v>1565520</v>
      </c>
      <c r="N61" s="30" t="n">
        <f aca="false">N9</f>
        <v>1558956</v>
      </c>
      <c r="O61" s="30" t="n">
        <f aca="false">O9</f>
        <v>1552392</v>
      </c>
      <c r="P61" s="30" t="n">
        <f aca="false">P9</f>
        <v>1545828</v>
      </c>
      <c r="Q61" s="30" t="n">
        <f aca="false">Q9</f>
        <v>1539264</v>
      </c>
      <c r="R61" s="30" t="n">
        <f aca="false">R9</f>
        <v>1532700</v>
      </c>
      <c r="S61" s="30" t="n">
        <f aca="false">S9</f>
        <v>1526136</v>
      </c>
      <c r="T61" s="30" t="n">
        <f aca="false">T9</f>
        <v>1519572</v>
      </c>
      <c r="U61" s="30" t="n">
        <f aca="false">U9</f>
        <v>1513008</v>
      </c>
      <c r="V61" s="30" t="n">
        <f aca="false">V9</f>
        <v>1506444</v>
      </c>
      <c r="W61" s="30" t="n">
        <f aca="false">W9</f>
        <v>1499880</v>
      </c>
    </row>
    <row r="62" customFormat="false" ht="18.75" hidden="false" customHeight="true" outlineLevel="0" collapsed="false">
      <c r="B62" s="31" t="s">
        <v>25</v>
      </c>
      <c r="C62" s="32" t="s">
        <v>26</v>
      </c>
      <c r="D62" s="33" t="n">
        <f aca="false">D15</f>
        <v>6498384</v>
      </c>
      <c r="E62" s="33" t="n">
        <f aca="false">E15</f>
        <v>6472128</v>
      </c>
      <c r="F62" s="33" t="n">
        <f aca="false">F15</f>
        <v>6445872</v>
      </c>
      <c r="G62" s="33" t="n">
        <f aca="false">G15</f>
        <v>6419616</v>
      </c>
      <c r="H62" s="33" t="n">
        <f aca="false">H15</f>
        <v>6393360</v>
      </c>
      <c r="I62" s="33" t="n">
        <f aca="false">I15</f>
        <v>6367104</v>
      </c>
      <c r="J62" s="33" t="n">
        <f aca="false">J15</f>
        <v>6340848</v>
      </c>
      <c r="K62" s="33" t="n">
        <f aca="false">K15</f>
        <v>6314592</v>
      </c>
      <c r="L62" s="33" t="n">
        <f aca="false">L15</f>
        <v>6288336</v>
      </c>
      <c r="M62" s="33" t="n">
        <f aca="false">M15</f>
        <v>6262080</v>
      </c>
      <c r="N62" s="33" t="n">
        <f aca="false">N15</f>
        <v>6235824</v>
      </c>
      <c r="O62" s="33" t="n">
        <f aca="false">O15</f>
        <v>6209568</v>
      </c>
      <c r="P62" s="33" t="n">
        <f aca="false">P15</f>
        <v>6183312</v>
      </c>
      <c r="Q62" s="33" t="n">
        <f aca="false">Q15</f>
        <v>6157056</v>
      </c>
      <c r="R62" s="33" t="n">
        <f aca="false">R15</f>
        <v>6130797</v>
      </c>
      <c r="S62" s="33" t="n">
        <f aca="false">S15</f>
        <v>6104541</v>
      </c>
      <c r="T62" s="33" t="n">
        <f aca="false">T15</f>
        <v>6078285</v>
      </c>
      <c r="U62" s="33" t="n">
        <f aca="false">U15</f>
        <v>6052029</v>
      </c>
      <c r="V62" s="33" t="n">
        <f aca="false">V15</f>
        <v>6025773</v>
      </c>
      <c r="W62" s="33" t="n">
        <f aca="false">W15</f>
        <v>5999517</v>
      </c>
    </row>
    <row r="63" customFormat="false" ht="18.75" hidden="false" customHeight="true" outlineLevel="0" collapsed="false">
      <c r="B63" s="34" t="s">
        <v>27</v>
      </c>
      <c r="C63" s="35" t="s">
        <v>26</v>
      </c>
      <c r="D63" s="36"/>
      <c r="E63" s="36"/>
      <c r="F63" s="36"/>
      <c r="G63" s="37" t="s">
        <v>26</v>
      </c>
      <c r="H63" s="37" t="s">
        <v>26</v>
      </c>
      <c r="I63" s="37" t="s">
        <v>26</v>
      </c>
      <c r="J63" s="37" t="s">
        <v>26</v>
      </c>
      <c r="K63" s="37" t="s">
        <v>26</v>
      </c>
      <c r="L63" s="37" t="s">
        <v>26</v>
      </c>
      <c r="M63" s="37" t="s">
        <v>26</v>
      </c>
      <c r="N63" s="37" t="s">
        <v>26</v>
      </c>
      <c r="O63" s="37" t="s">
        <v>26</v>
      </c>
      <c r="P63" s="37" t="s">
        <v>26</v>
      </c>
      <c r="Q63" s="37" t="s">
        <v>26</v>
      </c>
      <c r="R63" s="37" t="s">
        <v>26</v>
      </c>
      <c r="S63" s="37" t="s">
        <v>26</v>
      </c>
      <c r="T63" s="37" t="s">
        <v>26</v>
      </c>
      <c r="U63" s="37" t="s">
        <v>26</v>
      </c>
      <c r="V63" s="37" t="s">
        <v>26</v>
      </c>
      <c r="W63" s="37" t="s">
        <v>26</v>
      </c>
    </row>
    <row r="64" customFormat="false" ht="18.75" hidden="false" customHeight="true" outlineLevel="0" collapsed="false">
      <c r="B64" s="38" t="s">
        <v>28</v>
      </c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customFormat="false" ht="18.75" hidden="false" customHeight="true" outlineLevel="0" collapsed="false">
      <c r="B65" s="41" t="s">
        <v>29</v>
      </c>
      <c r="C65" s="42" t="n">
        <f aca="false">-SUM(D51:W51)</f>
        <v>-56817600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</row>
    <row r="66" customFormat="false" ht="18.75" hidden="false" customHeight="true" outlineLevel="0" collapsed="false">
      <c r="B66" s="41" t="s">
        <v>30</v>
      </c>
      <c r="C66" s="35" t="s">
        <v>26</v>
      </c>
      <c r="D66" s="1" t="n">
        <f aca="false">-D21</f>
        <v>-870603</v>
      </c>
      <c r="E66" s="43" t="n">
        <f aca="false">-E21</f>
        <v>-870603</v>
      </c>
      <c r="F66" s="43" t="n">
        <f aca="false">-F21</f>
        <v>-870603</v>
      </c>
      <c r="G66" s="43" t="n">
        <f aca="false">-G21</f>
        <v>-870603</v>
      </c>
      <c r="H66" s="43" t="n">
        <f aca="false">-H21</f>
        <v>-870603</v>
      </c>
      <c r="I66" s="43" t="n">
        <f aca="false">-I21</f>
        <v>-870603</v>
      </c>
      <c r="J66" s="43" t="n">
        <f aca="false">-J21</f>
        <v>-870603</v>
      </c>
      <c r="K66" s="43" t="n">
        <f aca="false">-K21</f>
        <v>-870603</v>
      </c>
      <c r="L66" s="43" t="n">
        <f aca="false">-L21</f>
        <v>-870603</v>
      </c>
      <c r="M66" s="43" t="n">
        <f aca="false">-M21</f>
        <v>-870603</v>
      </c>
      <c r="N66" s="43" t="n">
        <f aca="false">-N21</f>
        <v>-870603</v>
      </c>
      <c r="O66" s="43" t="n">
        <f aca="false">-O21</f>
        <v>-870603</v>
      </c>
      <c r="P66" s="43" t="n">
        <f aca="false">-P21</f>
        <v>-870603</v>
      </c>
      <c r="Q66" s="43" t="n">
        <f aca="false">-Q21</f>
        <v>-870603</v>
      </c>
      <c r="R66" s="43" t="n">
        <f aca="false">-R21</f>
        <v>-870603</v>
      </c>
      <c r="S66" s="43" t="n">
        <f aca="false">-S21</f>
        <v>-870603</v>
      </c>
      <c r="T66" s="43" t="n">
        <f aca="false">-T21</f>
        <v>-870603</v>
      </c>
      <c r="U66" s="43" t="n">
        <f aca="false">-U21</f>
        <v>-870603</v>
      </c>
      <c r="V66" s="43" t="n">
        <f aca="false">-V21</f>
        <v>-870603</v>
      </c>
      <c r="W66" s="43" t="n">
        <f aca="false">-W21</f>
        <v>-870603</v>
      </c>
    </row>
    <row r="67" customFormat="false" ht="18.75" hidden="false" customHeight="true" outlineLevel="0" collapsed="false">
      <c r="B67" s="41" t="s">
        <v>31</v>
      </c>
      <c r="C67" s="35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customFormat="false" ht="18.75" hidden="false" customHeight="true" outlineLevel="0" collapsed="false">
      <c r="B68" s="41" t="s">
        <v>32</v>
      </c>
      <c r="C68" s="35" t="s">
        <v>26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customFormat="false" ht="18.75" hidden="false" customHeight="true" outlineLevel="0" collapsed="false">
      <c r="B69" s="41" t="s">
        <v>33</v>
      </c>
      <c r="C69" s="35" t="s">
        <v>26</v>
      </c>
      <c r="D69" s="43" t="n">
        <f aca="false">-D27</f>
        <v>-523320</v>
      </c>
      <c r="E69" s="43" t="n">
        <f aca="false">-E27</f>
        <v>-523320</v>
      </c>
      <c r="F69" s="43" t="n">
        <f aca="false">-F27</f>
        <v>-523320</v>
      </c>
      <c r="G69" s="43" t="n">
        <f aca="false">-G27</f>
        <v>-523320</v>
      </c>
      <c r="H69" s="43" t="n">
        <f aca="false">-H27</f>
        <v>-523320</v>
      </c>
      <c r="I69" s="43" t="n">
        <f aca="false">-I27</f>
        <v>-523320</v>
      </c>
      <c r="J69" s="43" t="n">
        <f aca="false">-J27</f>
        <v>-523320</v>
      </c>
      <c r="K69" s="43" t="n">
        <f aca="false">-K27</f>
        <v>-523320</v>
      </c>
      <c r="L69" s="43" t="n">
        <f aca="false">-L27</f>
        <v>-523320</v>
      </c>
      <c r="M69" s="43" t="n">
        <f aca="false">-M27</f>
        <v>-523320</v>
      </c>
      <c r="N69" s="43" t="n">
        <f aca="false">-N27</f>
        <v>-523320</v>
      </c>
      <c r="O69" s="43" t="n">
        <f aca="false">-O27</f>
        <v>-523320</v>
      </c>
      <c r="P69" s="43" t="n">
        <f aca="false">-P27</f>
        <v>-523320</v>
      </c>
      <c r="Q69" s="43" t="n">
        <f aca="false">-Q27</f>
        <v>-523320</v>
      </c>
      <c r="R69" s="43" t="n">
        <f aca="false">-R27</f>
        <v>-523320</v>
      </c>
      <c r="S69" s="43" t="n">
        <f aca="false">-S27</f>
        <v>-523320</v>
      </c>
      <c r="T69" s="43" t="n">
        <f aca="false">-T27</f>
        <v>-523320</v>
      </c>
      <c r="U69" s="43" t="n">
        <f aca="false">-U27</f>
        <v>-523320</v>
      </c>
      <c r="V69" s="43" t="n">
        <f aca="false">-V27</f>
        <v>-523320</v>
      </c>
      <c r="W69" s="43" t="n">
        <f aca="false">-W27</f>
        <v>-523320</v>
      </c>
    </row>
    <row r="70" customFormat="false" ht="18.75" hidden="false" customHeight="true" outlineLevel="0" collapsed="false">
      <c r="B70" s="41" t="s">
        <v>34</v>
      </c>
      <c r="C70" s="35" t="s">
        <v>26</v>
      </c>
      <c r="D70" s="43" t="n">
        <f aca="false">-D33</f>
        <v>-113265</v>
      </c>
      <c r="E70" s="43" t="n">
        <f aca="false">-E33</f>
        <v>-113265</v>
      </c>
      <c r="F70" s="43" t="n">
        <f aca="false">-F33</f>
        <v>-113265</v>
      </c>
      <c r="G70" s="43" t="n">
        <f aca="false">-G33</f>
        <v>-113265</v>
      </c>
      <c r="H70" s="43" t="n">
        <f aca="false">-H33</f>
        <v>-113265</v>
      </c>
      <c r="I70" s="43" t="n">
        <f aca="false">-I33</f>
        <v>-113265</v>
      </c>
      <c r="J70" s="43" t="n">
        <f aca="false">-J33</f>
        <v>-113265</v>
      </c>
      <c r="K70" s="43" t="n">
        <f aca="false">-K33</f>
        <v>-113265</v>
      </c>
      <c r="L70" s="43" t="n">
        <f aca="false">-L33</f>
        <v>-113265</v>
      </c>
      <c r="M70" s="43" t="n">
        <f aca="false">-M33</f>
        <v>-113265</v>
      </c>
      <c r="N70" s="43" t="n">
        <f aca="false">-N33</f>
        <v>-113265</v>
      </c>
      <c r="O70" s="43" t="n">
        <f aca="false">-O33</f>
        <v>-113265</v>
      </c>
      <c r="P70" s="43" t="n">
        <f aca="false">-P33</f>
        <v>-113265</v>
      </c>
      <c r="Q70" s="43" t="n">
        <f aca="false">-Q33</f>
        <v>-113265</v>
      </c>
      <c r="R70" s="43" t="n">
        <f aca="false">-R33</f>
        <v>-113265</v>
      </c>
      <c r="S70" s="43" t="n">
        <f aca="false">-S33</f>
        <v>-113265</v>
      </c>
      <c r="T70" s="43" t="n">
        <f aca="false">-T33</f>
        <v>-113265</v>
      </c>
      <c r="U70" s="43" t="n">
        <f aca="false">-U33</f>
        <v>-113265</v>
      </c>
      <c r="V70" s="43" t="n">
        <f aca="false">-V33</f>
        <v>-113265</v>
      </c>
      <c r="W70" s="43" t="n">
        <f aca="false">-W33</f>
        <v>-113265</v>
      </c>
    </row>
    <row r="71" customFormat="false" ht="18.75" hidden="false" customHeight="true" outlineLevel="0" collapsed="false">
      <c r="B71" s="41" t="s">
        <v>35</v>
      </c>
      <c r="C71" s="35"/>
      <c r="D71" s="43" t="n">
        <f aca="false">-D39</f>
        <v>-130830</v>
      </c>
      <c r="E71" s="43" t="n">
        <f aca="false">-E39</f>
        <v>-130830</v>
      </c>
      <c r="F71" s="43" t="n">
        <f aca="false">-F39</f>
        <v>-130830</v>
      </c>
      <c r="G71" s="43" t="n">
        <f aca="false">-G39</f>
        <v>-130830</v>
      </c>
      <c r="H71" s="43" t="n">
        <f aca="false">-H39</f>
        <v>-130830</v>
      </c>
      <c r="I71" s="43" t="n">
        <f aca="false">-I39</f>
        <v>-130830</v>
      </c>
      <c r="J71" s="43" t="n">
        <f aca="false">-J39</f>
        <v>-130830</v>
      </c>
      <c r="K71" s="43" t="n">
        <f aca="false">-K39</f>
        <v>-130830</v>
      </c>
      <c r="L71" s="43" t="n">
        <f aca="false">-L39</f>
        <v>-130830</v>
      </c>
      <c r="M71" s="43" t="n">
        <f aca="false">-M39</f>
        <v>-130830</v>
      </c>
      <c r="N71" s="43" t="n">
        <f aca="false">-N39</f>
        <v>-0</v>
      </c>
      <c r="O71" s="43" t="n">
        <f aca="false">-O39</f>
        <v>-0</v>
      </c>
      <c r="P71" s="43" t="n">
        <f aca="false">-P39</f>
        <v>-0</v>
      </c>
      <c r="Q71" s="43" t="n">
        <f aca="false">-Q39</f>
        <v>-0</v>
      </c>
      <c r="R71" s="43" t="n">
        <f aca="false">-R39</f>
        <v>-0</v>
      </c>
      <c r="S71" s="43" t="n">
        <f aca="false">-S39</f>
        <v>-0</v>
      </c>
      <c r="T71" s="43" t="n">
        <f aca="false">-T39</f>
        <v>-0</v>
      </c>
      <c r="U71" s="43" t="n">
        <f aca="false">-U39</f>
        <v>-0</v>
      </c>
      <c r="V71" s="43" t="n">
        <f aca="false">-V39</f>
        <v>-0</v>
      </c>
      <c r="W71" s="43" t="n">
        <f aca="false">-W39</f>
        <v>-0</v>
      </c>
    </row>
    <row r="72" customFormat="false" ht="18.75" hidden="false" customHeight="true" outlineLevel="0" collapsed="false">
      <c r="B72" s="41" t="s">
        <v>36</v>
      </c>
      <c r="C72" s="4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customFormat="false" ht="18.75" hidden="false" customHeight="true" outlineLevel="0" collapsed="false">
      <c r="B73" s="41" t="s">
        <v>37</v>
      </c>
      <c r="C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customFormat="false" ht="18.75" hidden="false" customHeight="true" outlineLevel="0" collapsed="false">
      <c r="B74" s="45" t="s">
        <v>38</v>
      </c>
      <c r="C74" s="44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customFormat="false" ht="18.75" hidden="false" customHeight="true" outlineLevel="0" collapsed="false">
      <c r="B75" s="45" t="s">
        <v>39</v>
      </c>
      <c r="C75" s="44"/>
      <c r="D75" s="43" t="n">
        <f aca="false">-D98</f>
        <v>-131172.72</v>
      </c>
      <c r="E75" s="43" t="n">
        <f aca="false">-E98</f>
        <v>-145401.84</v>
      </c>
      <c r="F75" s="43" t="n">
        <f aca="false">-F98</f>
        <v>-159630.96</v>
      </c>
      <c r="G75" s="43" t="n">
        <f aca="false">-G98</f>
        <v>-173860.08</v>
      </c>
      <c r="H75" s="43" t="n">
        <f aca="false">-H98</f>
        <v>-188089.2</v>
      </c>
      <c r="I75" s="43" t="n">
        <f aca="false">-I98</f>
        <v>-202318.32</v>
      </c>
      <c r="J75" s="43" t="n">
        <f aca="false">-J98</f>
        <v>-216547.44</v>
      </c>
      <c r="K75" s="43" t="n">
        <f aca="false">-K98</f>
        <v>-230776.56</v>
      </c>
      <c r="L75" s="43" t="n">
        <f aca="false">-L98</f>
        <v>-245005.68</v>
      </c>
      <c r="M75" s="43" t="n">
        <f aca="false">-M98</f>
        <v>-259234.8</v>
      </c>
      <c r="N75" s="43" t="n">
        <f aca="false">-N98</f>
        <v>-299629.92</v>
      </c>
      <c r="O75" s="43" t="n">
        <f aca="false">-O98</f>
        <v>-313859.04</v>
      </c>
      <c r="P75" s="43" t="n">
        <f aca="false">-P98</f>
        <v>-328088.16</v>
      </c>
      <c r="Q75" s="43" t="n">
        <f aca="false">-Q98</f>
        <v>-342317.28</v>
      </c>
      <c r="R75" s="43" t="n">
        <f aca="false">-R98</f>
        <v>-356545.8</v>
      </c>
      <c r="S75" s="43" t="n">
        <f aca="false">-S98</f>
        <v>-351294.6</v>
      </c>
      <c r="T75" s="43" t="n">
        <f aca="false">-T98</f>
        <v>-346043.4</v>
      </c>
      <c r="U75" s="43" t="n">
        <f aca="false">-U98</f>
        <v>-340792.2</v>
      </c>
      <c r="V75" s="43" t="n">
        <f aca="false">-V98</f>
        <v>-335541</v>
      </c>
      <c r="W75" s="43" t="n">
        <f aca="false">-W98</f>
        <v>-330289.8</v>
      </c>
    </row>
    <row r="76" customFormat="false" ht="18.75" hidden="false" customHeight="true" outlineLevel="0" collapsed="false">
      <c r="B76" s="46" t="s">
        <v>40</v>
      </c>
      <c r="C76" s="47" t="n">
        <f aca="false">C65</f>
        <v>-56817600</v>
      </c>
      <c r="D76" s="48" t="n">
        <f aca="false">SUM(D62:D75)</f>
        <v>4729193.28</v>
      </c>
      <c r="E76" s="48" t="n">
        <f aca="false">SUM(E62:E75)</f>
        <v>4688708.16</v>
      </c>
      <c r="F76" s="48" t="n">
        <f aca="false">SUM(F62:F75)</f>
        <v>4648223.04</v>
      </c>
      <c r="G76" s="48" t="n">
        <f aca="false">SUM(G62:G75)</f>
        <v>4607737.92</v>
      </c>
      <c r="H76" s="48" t="n">
        <f aca="false">SUM(H62:H75)</f>
        <v>4567252.8</v>
      </c>
      <c r="I76" s="48" t="n">
        <f aca="false">SUM(I62:I75)</f>
        <v>4526767.68</v>
      </c>
      <c r="J76" s="48" t="n">
        <f aca="false">SUM(J62:J75)</f>
        <v>4486282.56</v>
      </c>
      <c r="K76" s="48" t="n">
        <f aca="false">SUM(K62:K75)</f>
        <v>4445797.44</v>
      </c>
      <c r="L76" s="48" t="n">
        <f aca="false">SUM(L62:L75)</f>
        <v>4405312.32</v>
      </c>
      <c r="M76" s="48" t="n">
        <f aca="false">SUM(M62:M75)</f>
        <v>4364827.2</v>
      </c>
      <c r="N76" s="48" t="n">
        <f aca="false">SUM(N62:N75)</f>
        <v>4429006.08</v>
      </c>
      <c r="O76" s="48" t="n">
        <f aca="false">SUM(O62:O75)</f>
        <v>4388520.96</v>
      </c>
      <c r="P76" s="48" t="n">
        <f aca="false">SUM(P62:P75)</f>
        <v>4348035.84</v>
      </c>
      <c r="Q76" s="48" t="n">
        <f aca="false">SUM(Q62:Q75)</f>
        <v>4307550.72</v>
      </c>
      <c r="R76" s="48" t="n">
        <f aca="false">SUM(R62:R75)</f>
        <v>4267063.2</v>
      </c>
      <c r="S76" s="48" t="n">
        <f aca="false">SUM(S62:S75)</f>
        <v>4246058.4</v>
      </c>
      <c r="T76" s="48" t="n">
        <f aca="false">SUM(T62:T75)</f>
        <v>4225053.6</v>
      </c>
      <c r="U76" s="48" t="n">
        <f aca="false">SUM(U62:U75)</f>
        <v>4204048.8</v>
      </c>
      <c r="V76" s="48" t="n">
        <f aca="false">SUM(V62:V75)</f>
        <v>4183044</v>
      </c>
      <c r="W76" s="48" t="n">
        <f aca="false">SUM(W62:W75)</f>
        <v>4162039.2</v>
      </c>
    </row>
    <row r="77" customFormat="false" ht="18.75" hidden="false" customHeight="true" outlineLevel="0" collapsed="false">
      <c r="B77" s="49" t="s">
        <v>41</v>
      </c>
      <c r="D77" s="50" t="n">
        <f aca="false">C55+D55</f>
        <v>0.9</v>
      </c>
      <c r="E77" s="50" t="n">
        <f aca="false">D56+E55</f>
        <v>0</v>
      </c>
      <c r="F77" s="50" t="n">
        <f aca="false">E56+F55</f>
        <v>0</v>
      </c>
      <c r="G77" s="50" t="n">
        <f aca="false">F56+G55</f>
        <v>0</v>
      </c>
      <c r="H77" s="50" t="n">
        <f aca="false">G56+H55</f>
        <v>0</v>
      </c>
      <c r="I77" s="50" t="n">
        <f aca="false">H56+I55</f>
        <v>0</v>
      </c>
      <c r="J77" s="50" t="n">
        <f aca="false">I56+J55</f>
        <v>0</v>
      </c>
      <c r="K77" s="50" t="n">
        <f aca="false">J56+K55</f>
        <v>0</v>
      </c>
      <c r="L77" s="50" t="n">
        <f aca="false">K56+L55</f>
        <v>0</v>
      </c>
      <c r="M77" s="50" t="n">
        <f aca="false">L56+M55</f>
        <v>0</v>
      </c>
      <c r="N77" s="50" t="n">
        <f aca="false">M56+N55</f>
        <v>0</v>
      </c>
      <c r="O77" s="50" t="n">
        <f aca="false">N56+O55</f>
        <v>0</v>
      </c>
      <c r="P77" s="50" t="n">
        <f aca="false">O56+P55</f>
        <v>0</v>
      </c>
      <c r="Q77" s="50" t="n">
        <f aca="false">P56+Q55</f>
        <v>0</v>
      </c>
      <c r="R77" s="50" t="n">
        <f aca="false">Q56+R55</f>
        <v>0</v>
      </c>
      <c r="S77" s="50" t="n">
        <f aca="false">R56+S55</f>
        <v>0</v>
      </c>
      <c r="T77" s="50" t="n">
        <f aca="false">S56+T55</f>
        <v>0</v>
      </c>
      <c r="U77" s="50" t="n">
        <f aca="false">T56+U55</f>
        <v>0</v>
      </c>
      <c r="V77" s="50" t="n">
        <f aca="false">U56+V55</f>
        <v>0</v>
      </c>
      <c r="W77" s="50" t="n">
        <f aca="false">V56+W55</f>
        <v>0</v>
      </c>
    </row>
    <row r="78" customFormat="false" ht="18.75" hidden="false" customHeight="true" outlineLevel="0" collapsed="false">
      <c r="B78" s="51" t="s">
        <v>42</v>
      </c>
      <c r="C78" s="52"/>
      <c r="D78" s="53" t="str">
        <f aca="false">IF((D56)&gt;0,"回收","未回收")</f>
        <v>未回收</v>
      </c>
      <c r="E78" s="54" t="str">
        <f aca="false">IF((E56)&gt;0,"回收","未回收")</f>
        <v>未回收</v>
      </c>
      <c r="F78" s="54" t="str">
        <f aca="false">IF((F56)&gt;0,"回收","未回收")</f>
        <v>未回收</v>
      </c>
      <c r="G78" s="54" t="str">
        <f aca="false">IF((G56)&gt;0,"回收","未回收")</f>
        <v>未回收</v>
      </c>
      <c r="H78" s="54" t="str">
        <f aca="false">IF((H56)&gt;0,"回收","未回收")</f>
        <v>未回收</v>
      </c>
      <c r="I78" s="54" t="str">
        <f aca="false">IF((I56)&gt;0,"回收","未回收")</f>
        <v>未回收</v>
      </c>
      <c r="J78" s="54" t="str">
        <f aca="false">IF((J56)&gt;0,"回收","未回收")</f>
        <v>未回收</v>
      </c>
      <c r="K78" s="54" t="str">
        <f aca="false">IF((K56)&gt;0,"回收","未回收")</f>
        <v>未回收</v>
      </c>
      <c r="L78" s="54" t="str">
        <f aca="false">IF((L56)&gt;0,"回收","未回收")</f>
        <v>未回收</v>
      </c>
      <c r="M78" s="54" t="str">
        <f aca="false">IF((M56)&gt;0,"回收","未回收")</f>
        <v>未回收</v>
      </c>
      <c r="N78" s="54" t="str">
        <f aca="false">IF((N56)&gt;0,"回收","未回收")</f>
        <v>未回收</v>
      </c>
      <c r="O78" s="54" t="str">
        <f aca="false">IF((O56)&gt;0,"回收","未回收")</f>
        <v>未回收</v>
      </c>
      <c r="P78" s="54" t="str">
        <f aca="false">IF((P56)&gt;0,"回收","未回收")</f>
        <v>未回收</v>
      </c>
      <c r="Q78" s="54" t="str">
        <f aca="false">IF((Q56)&gt;0,"回收","未回收")</f>
        <v>未回收</v>
      </c>
      <c r="R78" s="54" t="str">
        <f aca="false">IF((R56)&gt;0,"回收","未回收")</f>
        <v>未回收</v>
      </c>
      <c r="S78" s="54" t="str">
        <f aca="false">IF((S56)&gt;0,"回收","未回收")</f>
        <v>未回收</v>
      </c>
      <c r="T78" s="54" t="str">
        <f aca="false">IF((T56)&gt;0,"回收","未回收")</f>
        <v>未回收</v>
      </c>
      <c r="U78" s="54" t="str">
        <f aca="false">IF((U56)&gt;0,"回收","未回收")</f>
        <v>未回收</v>
      </c>
      <c r="V78" s="54" t="str">
        <f aca="false">IF((V56)&gt;0,"回收","未回收")</f>
        <v>未回收</v>
      </c>
      <c r="W78" s="54" t="str">
        <f aca="false">IF((W56)&gt;0,"回收","未回收")</f>
        <v>未回收</v>
      </c>
    </row>
    <row r="79" customFormat="false" ht="18.75" hidden="false" customHeight="true" outlineLevel="0" collapsed="false">
      <c r="B79" s="55" t="s">
        <v>43</v>
      </c>
      <c r="C79" s="56" t="n">
        <f aca="false">IRR(C76:W76)</f>
        <v>0.0473177106687471</v>
      </c>
      <c r="D79" s="57"/>
      <c r="E79" s="57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</row>
    <row r="80" customFormat="false" ht="18.75" hidden="false" customHeight="true" outlineLevel="0" collapsed="false">
      <c r="B80" s="58"/>
      <c r="C80" s="57"/>
      <c r="D80" s="57"/>
      <c r="E80" s="57"/>
      <c r="F80" s="58"/>
      <c r="G80" s="58"/>
      <c r="H80" s="58"/>
      <c r="I80" s="58"/>
      <c r="J80" s="58"/>
      <c r="K80" s="58"/>
      <c r="L80" s="58"/>
      <c r="M80" s="57"/>
      <c r="N80" s="58"/>
      <c r="O80" s="58"/>
      <c r="P80" s="58"/>
      <c r="Q80" s="58"/>
      <c r="R80" s="58"/>
      <c r="S80" s="58"/>
      <c r="T80" s="58"/>
      <c r="U80" s="58"/>
      <c r="V80" s="58"/>
      <c r="W80" s="58"/>
    </row>
    <row r="81" customFormat="false" ht="18.75" hidden="false" customHeight="true" outlineLevel="0" collapsed="false">
      <c r="B81" s="16"/>
      <c r="C81" s="17" t="s">
        <v>0</v>
      </c>
      <c r="D81" s="17" t="n">
        <v>2020</v>
      </c>
      <c r="E81" s="17" t="n">
        <v>2021</v>
      </c>
      <c r="F81" s="17" t="n">
        <v>2022</v>
      </c>
      <c r="G81" s="17" t="n">
        <v>2023</v>
      </c>
      <c r="H81" s="17" t="n">
        <v>2024</v>
      </c>
      <c r="I81" s="17" t="n">
        <v>2025</v>
      </c>
      <c r="J81" s="17" t="n">
        <v>2026</v>
      </c>
      <c r="K81" s="17" t="n">
        <v>2027</v>
      </c>
      <c r="L81" s="17" t="n">
        <v>2028</v>
      </c>
      <c r="M81" s="17" t="n">
        <v>2029</v>
      </c>
      <c r="N81" s="17" t="n">
        <v>2030</v>
      </c>
      <c r="O81" s="17" t="n">
        <v>2031</v>
      </c>
      <c r="P81" s="17" t="n">
        <v>2032</v>
      </c>
      <c r="Q81" s="17" t="n">
        <v>2033</v>
      </c>
      <c r="R81" s="17" t="n">
        <v>2034</v>
      </c>
      <c r="S81" s="17" t="n">
        <v>2035</v>
      </c>
      <c r="T81" s="17" t="n">
        <v>2036</v>
      </c>
      <c r="U81" s="17" t="n">
        <v>2037</v>
      </c>
      <c r="V81" s="17" t="n">
        <v>2038</v>
      </c>
      <c r="W81" s="17" t="n">
        <v>2039</v>
      </c>
    </row>
    <row r="82" customFormat="false" ht="18.75" hidden="false" customHeight="true" outlineLevel="0" collapsed="false">
      <c r="B82" s="18" t="n">
        <v>0</v>
      </c>
      <c r="C82" s="19"/>
      <c r="D82" s="20"/>
      <c r="E82" s="20"/>
      <c r="F82" s="2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59" t="s">
        <v>44</v>
      </c>
      <c r="U82" s="22"/>
      <c r="V82" s="22"/>
      <c r="W82" s="22"/>
    </row>
    <row r="83" customFormat="false" ht="18.75" hidden="false" customHeight="true" outlineLevel="0" collapsed="false">
      <c r="B83" s="24" t="s">
        <v>23</v>
      </c>
      <c r="C83" s="25" t="n">
        <v>0</v>
      </c>
      <c r="D83" s="26" t="n">
        <v>1</v>
      </c>
      <c r="E83" s="26" t="n">
        <v>2</v>
      </c>
      <c r="F83" s="26" t="n">
        <v>3</v>
      </c>
      <c r="G83" s="26" t="n">
        <v>4</v>
      </c>
      <c r="H83" s="26" t="n">
        <v>5</v>
      </c>
      <c r="I83" s="26" t="n">
        <v>6</v>
      </c>
      <c r="J83" s="26" t="n">
        <v>7</v>
      </c>
      <c r="K83" s="26" t="n">
        <v>8</v>
      </c>
      <c r="L83" s="26" t="n">
        <v>9</v>
      </c>
      <c r="M83" s="26" t="n">
        <v>10</v>
      </c>
      <c r="N83" s="26" t="n">
        <v>11</v>
      </c>
      <c r="O83" s="26" t="n">
        <v>12</v>
      </c>
      <c r="P83" s="26" t="n">
        <v>13</v>
      </c>
      <c r="Q83" s="26" t="n">
        <v>14</v>
      </c>
      <c r="R83" s="26" t="n">
        <v>15</v>
      </c>
      <c r="S83" s="26" t="n">
        <v>16</v>
      </c>
      <c r="T83" s="60" t="n">
        <v>17</v>
      </c>
      <c r="U83" s="26" t="n">
        <v>18</v>
      </c>
      <c r="V83" s="26" t="n">
        <v>19</v>
      </c>
      <c r="W83" s="26" t="n">
        <v>20</v>
      </c>
    </row>
    <row r="84" customFormat="false" ht="18.75" hidden="false" customHeight="true" outlineLevel="0" collapsed="false">
      <c r="B84" s="28" t="s">
        <v>24</v>
      </c>
      <c r="C84" s="29" t="n">
        <v>0</v>
      </c>
      <c r="D84" s="30" t="n">
        <f aca="false">D9</f>
        <v>1624596</v>
      </c>
      <c r="E84" s="30" t="n">
        <f aca="false">E9</f>
        <v>1618032</v>
      </c>
      <c r="F84" s="30" t="n">
        <f aca="false">F9</f>
        <v>1611468</v>
      </c>
      <c r="G84" s="30" t="n">
        <f aca="false">G9</f>
        <v>1604904</v>
      </c>
      <c r="H84" s="30" t="n">
        <f aca="false">H9</f>
        <v>1598340</v>
      </c>
      <c r="I84" s="30" t="n">
        <f aca="false">I9</f>
        <v>1591776</v>
      </c>
      <c r="J84" s="30" t="n">
        <f aca="false">J9</f>
        <v>1585212</v>
      </c>
      <c r="K84" s="30" t="n">
        <f aca="false">K9</f>
        <v>1578648</v>
      </c>
      <c r="L84" s="30" t="n">
        <f aca="false">L9</f>
        <v>1572084</v>
      </c>
      <c r="M84" s="30" t="n">
        <f aca="false">M9</f>
        <v>1565520</v>
      </c>
      <c r="N84" s="30" t="n">
        <f aca="false">N9</f>
        <v>1558956</v>
      </c>
      <c r="O84" s="30" t="n">
        <f aca="false">O9</f>
        <v>1552392</v>
      </c>
      <c r="P84" s="30" t="n">
        <f aca="false">P9</f>
        <v>1545828</v>
      </c>
      <c r="Q84" s="30" t="n">
        <f aca="false">Q9</f>
        <v>1539264</v>
      </c>
      <c r="R84" s="30" t="n">
        <f aca="false">R9</f>
        <v>1532700</v>
      </c>
      <c r="S84" s="30" t="n">
        <f aca="false">S9</f>
        <v>1526136</v>
      </c>
      <c r="T84" s="30" t="n">
        <f aca="false">T9</f>
        <v>1519572</v>
      </c>
      <c r="U84" s="30" t="n">
        <f aca="false">U9</f>
        <v>1513008</v>
      </c>
      <c r="V84" s="30" t="n">
        <f aca="false">V9</f>
        <v>1506444</v>
      </c>
      <c r="W84" s="30" t="n">
        <f aca="false">W9</f>
        <v>1499880</v>
      </c>
    </row>
    <row r="85" customFormat="false" ht="18.75" hidden="false" customHeight="true" outlineLevel="0" collapsed="false">
      <c r="B85" s="31" t="s">
        <v>25</v>
      </c>
      <c r="C85" s="32" t="s">
        <v>26</v>
      </c>
      <c r="D85" s="33" t="n">
        <f aca="false">D15</f>
        <v>6498384</v>
      </c>
      <c r="E85" s="33" t="n">
        <f aca="false">E15</f>
        <v>6472128</v>
      </c>
      <c r="F85" s="33" t="n">
        <f aca="false">F15</f>
        <v>6445872</v>
      </c>
      <c r="G85" s="33" t="n">
        <f aca="false">G15</f>
        <v>6419616</v>
      </c>
      <c r="H85" s="33" t="n">
        <f aca="false">H15</f>
        <v>6393360</v>
      </c>
      <c r="I85" s="33" t="n">
        <f aca="false">I15</f>
        <v>6367104</v>
      </c>
      <c r="J85" s="33" t="n">
        <f aca="false">J15</f>
        <v>6340848</v>
      </c>
      <c r="K85" s="33" t="n">
        <f aca="false">K15</f>
        <v>6314592</v>
      </c>
      <c r="L85" s="33" t="n">
        <f aca="false">L15</f>
        <v>6288336</v>
      </c>
      <c r="M85" s="33" t="n">
        <f aca="false">M15</f>
        <v>6262080</v>
      </c>
      <c r="N85" s="33" t="n">
        <f aca="false">N15</f>
        <v>6235824</v>
      </c>
      <c r="O85" s="33" t="n">
        <f aca="false">O15</f>
        <v>6209568</v>
      </c>
      <c r="P85" s="33" t="n">
        <f aca="false">P15</f>
        <v>6183312</v>
      </c>
      <c r="Q85" s="33" t="n">
        <f aca="false">Q15</f>
        <v>6157056</v>
      </c>
      <c r="R85" s="33" t="n">
        <f aca="false">R15</f>
        <v>6130797</v>
      </c>
      <c r="S85" s="33" t="n">
        <f aca="false">S15</f>
        <v>6104541</v>
      </c>
      <c r="T85" s="33" t="n">
        <f aca="false">T15</f>
        <v>6078285</v>
      </c>
      <c r="U85" s="33" t="n">
        <f aca="false">U15</f>
        <v>6052029</v>
      </c>
      <c r="V85" s="33" t="n">
        <f aca="false">V15</f>
        <v>6025773</v>
      </c>
      <c r="W85" s="33" t="n">
        <f aca="false">W15</f>
        <v>5999517</v>
      </c>
    </row>
    <row r="86" customFormat="false" ht="18.75" hidden="false" customHeight="true" outlineLevel="0" collapsed="false">
      <c r="B86" s="34" t="s">
        <v>27</v>
      </c>
      <c r="C86" s="35" t="s">
        <v>26</v>
      </c>
      <c r="D86" s="37"/>
      <c r="E86" s="37"/>
      <c r="F86" s="37"/>
      <c r="G86" s="37" t="s">
        <v>26</v>
      </c>
      <c r="H86" s="37" t="s">
        <v>26</v>
      </c>
      <c r="I86" s="37" t="s">
        <v>26</v>
      </c>
      <c r="J86" s="37" t="s">
        <v>26</v>
      </c>
      <c r="K86" s="37" t="s">
        <v>26</v>
      </c>
      <c r="L86" s="37" t="s">
        <v>26</v>
      </c>
      <c r="M86" s="37" t="s">
        <v>26</v>
      </c>
      <c r="N86" s="37" t="s">
        <v>26</v>
      </c>
      <c r="O86" s="37" t="s">
        <v>26</v>
      </c>
      <c r="P86" s="37" t="s">
        <v>26</v>
      </c>
      <c r="Q86" s="37" t="s">
        <v>26</v>
      </c>
      <c r="R86" s="37" t="s">
        <v>26</v>
      </c>
      <c r="S86" s="37" t="s">
        <v>26</v>
      </c>
      <c r="T86" s="37" t="s">
        <v>26</v>
      </c>
      <c r="U86" s="37" t="s">
        <v>26</v>
      </c>
      <c r="V86" s="37" t="s">
        <v>26</v>
      </c>
      <c r="W86" s="37" t="s">
        <v>26</v>
      </c>
    </row>
    <row r="87" customFormat="false" ht="18.75" hidden="false" customHeight="true" outlineLevel="0" collapsed="false">
      <c r="B87" s="38" t="s">
        <v>28</v>
      </c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customFormat="false" ht="18.75" hidden="false" customHeight="true" outlineLevel="0" collapsed="false">
      <c r="B88" s="41" t="s">
        <v>45</v>
      </c>
      <c r="C88" s="35"/>
      <c r="D88" s="61" t="n">
        <f aca="false">-D51</f>
        <v>-2840880</v>
      </c>
      <c r="E88" s="61" t="n">
        <f aca="false">-E51</f>
        <v>-2840880</v>
      </c>
      <c r="F88" s="61" t="n">
        <f aca="false">-F51</f>
        <v>-2840880</v>
      </c>
      <c r="G88" s="61" t="n">
        <f aca="false">-G51</f>
        <v>-2840880</v>
      </c>
      <c r="H88" s="61" t="n">
        <f aca="false">-H51</f>
        <v>-2840880</v>
      </c>
      <c r="I88" s="61" t="n">
        <f aca="false">-I51</f>
        <v>-2840880</v>
      </c>
      <c r="J88" s="61" t="n">
        <f aca="false">-J51</f>
        <v>-2840880</v>
      </c>
      <c r="K88" s="61" t="n">
        <f aca="false">-K51</f>
        <v>-2840880</v>
      </c>
      <c r="L88" s="61" t="n">
        <f aca="false">-L51</f>
        <v>-2840880</v>
      </c>
      <c r="M88" s="61" t="n">
        <f aca="false">-M51</f>
        <v>-2840880</v>
      </c>
      <c r="N88" s="61" t="n">
        <f aca="false">-N51</f>
        <v>-2840880</v>
      </c>
      <c r="O88" s="61" t="n">
        <f aca="false">-O51</f>
        <v>-2840880</v>
      </c>
      <c r="P88" s="61" t="n">
        <f aca="false">-P51</f>
        <v>-2840880</v>
      </c>
      <c r="Q88" s="61" t="n">
        <f aca="false">-Q51</f>
        <v>-2840880</v>
      </c>
      <c r="R88" s="61" t="n">
        <f aca="false">-R51</f>
        <v>-2840880</v>
      </c>
      <c r="S88" s="61" t="n">
        <f aca="false">-S51</f>
        <v>-2840880</v>
      </c>
      <c r="T88" s="61" t="n">
        <f aca="false">-T51</f>
        <v>-2840880</v>
      </c>
      <c r="U88" s="61" t="n">
        <f aca="false">-U51</f>
        <v>-2840880</v>
      </c>
      <c r="V88" s="61" t="n">
        <f aca="false">-V51</f>
        <v>-2840880</v>
      </c>
      <c r="W88" s="61" t="n">
        <f aca="false">-W51</f>
        <v>-2840880</v>
      </c>
    </row>
    <row r="89" customFormat="false" ht="18.75" hidden="false" customHeight="true" outlineLevel="0" collapsed="false">
      <c r="B89" s="41" t="s">
        <v>30</v>
      </c>
      <c r="C89" s="35" t="s">
        <v>26</v>
      </c>
      <c r="D89" s="43" t="n">
        <f aca="false">-D21</f>
        <v>-870603</v>
      </c>
      <c r="E89" s="43" t="n">
        <f aca="false">-E21</f>
        <v>-870603</v>
      </c>
      <c r="F89" s="43" t="n">
        <f aca="false">-F21</f>
        <v>-870603</v>
      </c>
      <c r="G89" s="43" t="n">
        <f aca="false">-G21</f>
        <v>-870603</v>
      </c>
      <c r="H89" s="43" t="n">
        <f aca="false">-H21</f>
        <v>-870603</v>
      </c>
      <c r="I89" s="43" t="n">
        <f aca="false">-I21</f>
        <v>-870603</v>
      </c>
      <c r="J89" s="43" t="n">
        <f aca="false">-J21</f>
        <v>-870603</v>
      </c>
      <c r="K89" s="43" t="n">
        <f aca="false">-K21</f>
        <v>-870603</v>
      </c>
      <c r="L89" s="43" t="n">
        <f aca="false">-L21</f>
        <v>-870603</v>
      </c>
      <c r="M89" s="43" t="n">
        <f aca="false">-M21</f>
        <v>-870603</v>
      </c>
      <c r="N89" s="43" t="n">
        <f aca="false">-N21</f>
        <v>-870603</v>
      </c>
      <c r="O89" s="43" t="n">
        <f aca="false">-O21</f>
        <v>-870603</v>
      </c>
      <c r="P89" s="43" t="n">
        <f aca="false">-P21</f>
        <v>-870603</v>
      </c>
      <c r="Q89" s="43" t="n">
        <f aca="false">-Q21</f>
        <v>-870603</v>
      </c>
      <c r="R89" s="43" t="n">
        <f aca="false">-R21</f>
        <v>-870603</v>
      </c>
      <c r="S89" s="43" t="n">
        <f aca="false">-S21</f>
        <v>-870603</v>
      </c>
      <c r="T89" s="43" t="n">
        <f aca="false">-T21</f>
        <v>-870603</v>
      </c>
      <c r="U89" s="43" t="n">
        <f aca="false">-U21</f>
        <v>-870603</v>
      </c>
      <c r="V89" s="43" t="n">
        <f aca="false">-V21</f>
        <v>-870603</v>
      </c>
      <c r="W89" s="43" t="n">
        <f aca="false">-W21</f>
        <v>-870603</v>
      </c>
    </row>
    <row r="90" customFormat="false" ht="18.75" hidden="false" customHeight="true" outlineLevel="0" collapsed="false">
      <c r="B90" s="41" t="s">
        <v>31</v>
      </c>
      <c r="C90" s="35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</row>
    <row r="91" customFormat="false" ht="18.75" hidden="false" customHeight="true" outlineLevel="0" collapsed="false">
      <c r="B91" s="41" t="s">
        <v>32</v>
      </c>
      <c r="C91" s="35" t="s">
        <v>26</v>
      </c>
      <c r="D91" s="43" t="n">
        <f aca="false">-D129*C57</f>
        <v>-1363622.4</v>
      </c>
      <c r="E91" s="43" t="n">
        <f aca="false">-E129*C57</f>
        <v>-1266220.8</v>
      </c>
      <c r="F91" s="43" t="n">
        <f aca="false">-F129*C57</f>
        <v>-1168819.2</v>
      </c>
      <c r="G91" s="43" t="n">
        <f aca="false">-G129*C57</f>
        <v>-1071417.6</v>
      </c>
      <c r="H91" s="43" t="n">
        <f aca="false">-H129*C57</f>
        <v>-974016</v>
      </c>
      <c r="I91" s="43" t="n">
        <f aca="false">-I129*C57</f>
        <v>-876614.4</v>
      </c>
      <c r="J91" s="43" t="n">
        <f aca="false">-J129*C57</f>
        <v>-779212.8</v>
      </c>
      <c r="K91" s="43" t="n">
        <f aca="false">-K129*C57</f>
        <v>-681811.2</v>
      </c>
      <c r="L91" s="43" t="n">
        <f aca="false">-L129*C57</f>
        <v>-584409.6</v>
      </c>
      <c r="M91" s="43" t="n">
        <f aca="false">-M129*C57</f>
        <v>-487008</v>
      </c>
      <c r="N91" s="43" t="n">
        <f aca="false">-N129*C57</f>
        <v>-389606.4</v>
      </c>
      <c r="O91" s="43" t="n">
        <f aca="false">-O129*C57</f>
        <v>-292204.8</v>
      </c>
      <c r="P91" s="43" t="n">
        <f aca="false">-P129*C57</f>
        <v>-194803.2</v>
      </c>
      <c r="Q91" s="43" t="n">
        <f aca="false">-Q129*C57</f>
        <v>-97401.6</v>
      </c>
      <c r="R91" s="43" t="n">
        <f aca="false">-R129*C57</f>
        <v>-0</v>
      </c>
      <c r="S91" s="43" t="n">
        <f aca="false">-S129*C57</f>
        <v>-0</v>
      </c>
      <c r="T91" s="43" t="n">
        <f aca="false">-T129*C57</f>
        <v>-0</v>
      </c>
      <c r="U91" s="43" t="n">
        <f aca="false">-U129*C57</f>
        <v>-0</v>
      </c>
      <c r="V91" s="43" t="n">
        <f aca="false">-V129*C57</f>
        <v>-0</v>
      </c>
      <c r="W91" s="43" t="n">
        <f aca="false">-W129*C57</f>
        <v>-0</v>
      </c>
    </row>
    <row r="92" customFormat="false" ht="18.75" hidden="false" customHeight="true" outlineLevel="0" collapsed="false">
      <c r="B92" s="41" t="s">
        <v>33</v>
      </c>
      <c r="C92" s="35" t="s">
        <v>26</v>
      </c>
      <c r="D92" s="43" t="n">
        <f aca="false">-D27</f>
        <v>-523320</v>
      </c>
      <c r="E92" s="43" t="n">
        <f aca="false">-E27</f>
        <v>-523320</v>
      </c>
      <c r="F92" s="43" t="n">
        <f aca="false">-F27</f>
        <v>-523320</v>
      </c>
      <c r="G92" s="43" t="n">
        <f aca="false">-G27</f>
        <v>-523320</v>
      </c>
      <c r="H92" s="43" t="n">
        <f aca="false">-H27</f>
        <v>-523320</v>
      </c>
      <c r="I92" s="43" t="n">
        <f aca="false">-I27</f>
        <v>-523320</v>
      </c>
      <c r="J92" s="43" t="n">
        <f aca="false">-J27</f>
        <v>-523320</v>
      </c>
      <c r="K92" s="43" t="n">
        <f aca="false">-K27</f>
        <v>-523320</v>
      </c>
      <c r="L92" s="43" t="n">
        <f aca="false">-L27</f>
        <v>-523320</v>
      </c>
      <c r="M92" s="43" t="n">
        <f aca="false">-M27</f>
        <v>-523320</v>
      </c>
      <c r="N92" s="43" t="n">
        <f aca="false">-N27</f>
        <v>-523320</v>
      </c>
      <c r="O92" s="43" t="n">
        <f aca="false">-O27</f>
        <v>-523320</v>
      </c>
      <c r="P92" s="43" t="n">
        <f aca="false">-P27</f>
        <v>-523320</v>
      </c>
      <c r="Q92" s="43" t="n">
        <f aca="false">-Q27</f>
        <v>-523320</v>
      </c>
      <c r="R92" s="43" t="n">
        <f aca="false">-R27</f>
        <v>-523320</v>
      </c>
      <c r="S92" s="43" t="n">
        <f aca="false">-S27</f>
        <v>-523320</v>
      </c>
      <c r="T92" s="43" t="n">
        <f aca="false">-T27</f>
        <v>-523320</v>
      </c>
      <c r="U92" s="43" t="n">
        <f aca="false">-U27</f>
        <v>-523320</v>
      </c>
      <c r="V92" s="43" t="n">
        <f aca="false">-V27</f>
        <v>-523320</v>
      </c>
      <c r="W92" s="43" t="n">
        <f aca="false">-W27</f>
        <v>-523320</v>
      </c>
    </row>
    <row r="93" customFormat="false" ht="18.75" hidden="false" customHeight="true" outlineLevel="0" collapsed="false">
      <c r="B93" s="41" t="s">
        <v>34</v>
      </c>
      <c r="C93" s="35" t="s">
        <v>26</v>
      </c>
      <c r="D93" s="43" t="n">
        <f aca="false">-D33</f>
        <v>-113265</v>
      </c>
      <c r="E93" s="43" t="n">
        <f aca="false">-E33</f>
        <v>-113265</v>
      </c>
      <c r="F93" s="43" t="n">
        <f aca="false">-F33</f>
        <v>-113265</v>
      </c>
      <c r="G93" s="43" t="n">
        <f aca="false">-G33</f>
        <v>-113265</v>
      </c>
      <c r="H93" s="43" t="n">
        <f aca="false">-H33</f>
        <v>-113265</v>
      </c>
      <c r="I93" s="43" t="n">
        <f aca="false">-I33</f>
        <v>-113265</v>
      </c>
      <c r="J93" s="43" t="n">
        <f aca="false">-J33</f>
        <v>-113265</v>
      </c>
      <c r="K93" s="43" t="n">
        <f aca="false">-K33</f>
        <v>-113265</v>
      </c>
      <c r="L93" s="43" t="n">
        <f aca="false">-L33</f>
        <v>-113265</v>
      </c>
      <c r="M93" s="43" t="n">
        <f aca="false">-M33</f>
        <v>-113265</v>
      </c>
      <c r="N93" s="43" t="n">
        <f aca="false">-N33</f>
        <v>-113265</v>
      </c>
      <c r="O93" s="43" t="n">
        <f aca="false">-O33</f>
        <v>-113265</v>
      </c>
      <c r="P93" s="43" t="n">
        <f aca="false">-P33</f>
        <v>-113265</v>
      </c>
      <c r="Q93" s="43" t="n">
        <f aca="false">-Q33</f>
        <v>-113265</v>
      </c>
      <c r="R93" s="43" t="n">
        <f aca="false">-R33</f>
        <v>-113265</v>
      </c>
      <c r="S93" s="43" t="n">
        <f aca="false">-S33</f>
        <v>-113265</v>
      </c>
      <c r="T93" s="43" t="n">
        <f aca="false">-T33</f>
        <v>-113265</v>
      </c>
      <c r="U93" s="43" t="n">
        <f aca="false">-U33</f>
        <v>-113265</v>
      </c>
      <c r="V93" s="43" t="n">
        <f aca="false">-V33</f>
        <v>-113265</v>
      </c>
      <c r="W93" s="43" t="n">
        <f aca="false">-W33</f>
        <v>-113265</v>
      </c>
    </row>
    <row r="94" customFormat="false" ht="18.75" hidden="false" customHeight="true" outlineLevel="0" collapsed="false">
      <c r="B94" s="41" t="s">
        <v>35</v>
      </c>
      <c r="C94" s="35"/>
      <c r="D94" s="43" t="n">
        <f aca="false">-D39</f>
        <v>-130830</v>
      </c>
      <c r="E94" s="43" t="n">
        <f aca="false">-E39</f>
        <v>-130830</v>
      </c>
      <c r="F94" s="43" t="n">
        <f aca="false">-F39</f>
        <v>-130830</v>
      </c>
      <c r="G94" s="43" t="n">
        <f aca="false">-G39</f>
        <v>-130830</v>
      </c>
      <c r="H94" s="43" t="n">
        <f aca="false">-H39</f>
        <v>-130830</v>
      </c>
      <c r="I94" s="43" t="n">
        <f aca="false">-I39</f>
        <v>-130830</v>
      </c>
      <c r="J94" s="43" t="n">
        <f aca="false">-J39</f>
        <v>-130830</v>
      </c>
      <c r="K94" s="43" t="n">
        <f aca="false">-K39</f>
        <v>-130830</v>
      </c>
      <c r="L94" s="43" t="n">
        <f aca="false">-L39</f>
        <v>-130830</v>
      </c>
      <c r="M94" s="43" t="n">
        <f aca="false">-M39</f>
        <v>-130830</v>
      </c>
      <c r="N94" s="43" t="n">
        <f aca="false">-N39</f>
        <v>-0</v>
      </c>
      <c r="O94" s="43" t="n">
        <f aca="false">-O39</f>
        <v>-0</v>
      </c>
      <c r="P94" s="43" t="n">
        <f aca="false">-P39</f>
        <v>-0</v>
      </c>
      <c r="Q94" s="43" t="n">
        <f aca="false">-Q39</f>
        <v>-0</v>
      </c>
      <c r="R94" s="43" t="n">
        <f aca="false">-R39</f>
        <v>-0</v>
      </c>
      <c r="S94" s="43" t="n">
        <f aca="false">-S39</f>
        <v>-0</v>
      </c>
      <c r="T94" s="43" t="n">
        <f aca="false">-T39</f>
        <v>-0</v>
      </c>
      <c r="U94" s="43" t="n">
        <f aca="false">-U39</f>
        <v>-0</v>
      </c>
      <c r="V94" s="43" t="n">
        <f aca="false">-V39</f>
        <v>-0</v>
      </c>
      <c r="W94" s="43" t="n">
        <f aca="false">-W39</f>
        <v>-0</v>
      </c>
    </row>
    <row r="95" customFormat="false" ht="18.75" hidden="false" customHeight="true" outlineLevel="0" collapsed="false">
      <c r="B95" s="41" t="s">
        <v>36</v>
      </c>
      <c r="C95" s="44"/>
      <c r="D95" s="62"/>
      <c r="E95" s="63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</row>
    <row r="96" customFormat="false" ht="18.75" hidden="false" customHeight="true" outlineLevel="0" collapsed="false">
      <c r="B96" s="41" t="s">
        <v>37</v>
      </c>
      <c r="C96" s="4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 customFormat="false" ht="18.75" hidden="false" customHeight="true" outlineLevel="0" collapsed="false">
      <c r="B97" s="46" t="s">
        <v>46</v>
      </c>
      <c r="C97" s="64"/>
      <c r="D97" s="48" t="n">
        <f aca="false">SUM(D85:D96)</f>
        <v>655863.6</v>
      </c>
      <c r="E97" s="48" t="n">
        <f aca="false">SUM(E85:E96)</f>
        <v>727009.2</v>
      </c>
      <c r="F97" s="48" t="n">
        <f aca="false">SUM(F85:F96)</f>
        <v>798154.8</v>
      </c>
      <c r="G97" s="48" t="n">
        <f aca="false">SUM(G85:G96)</f>
        <v>869300.4</v>
      </c>
      <c r="H97" s="48" t="n">
        <f aca="false">SUM(H85:H96)</f>
        <v>940446</v>
      </c>
      <c r="I97" s="48" t="n">
        <f aca="false">SUM(I85:I96)</f>
        <v>1011591.6</v>
      </c>
      <c r="J97" s="48" t="n">
        <f aca="false">SUM(J85:J96)</f>
        <v>1082737.2</v>
      </c>
      <c r="K97" s="48" t="n">
        <f aca="false">SUM(K85:K96)</f>
        <v>1153882.8</v>
      </c>
      <c r="L97" s="48" t="n">
        <f aca="false">SUM(L85:L96)</f>
        <v>1225028.4</v>
      </c>
      <c r="M97" s="48" t="n">
        <f aca="false">SUM(M85:M96)</f>
        <v>1296174</v>
      </c>
      <c r="N97" s="48" t="n">
        <f aca="false">SUM(N85:N96)</f>
        <v>1498149.6</v>
      </c>
      <c r="O97" s="48" t="n">
        <f aca="false">SUM(O85:O96)</f>
        <v>1569295.2</v>
      </c>
      <c r="P97" s="48" t="n">
        <f aca="false">SUM(P85:P96)</f>
        <v>1640440.8</v>
      </c>
      <c r="Q97" s="48" t="n">
        <f aca="false">SUM(Q85:Q96)</f>
        <v>1711586.4</v>
      </c>
      <c r="R97" s="48" t="n">
        <f aca="false">SUM(R85:R96)</f>
        <v>1782729</v>
      </c>
      <c r="S97" s="48" t="n">
        <f aca="false">SUM(S85:S96)</f>
        <v>1756473</v>
      </c>
      <c r="T97" s="48" t="n">
        <f aca="false">SUM(T85:T96)</f>
        <v>1730217</v>
      </c>
      <c r="U97" s="48" t="n">
        <f aca="false">SUM(U85:U96)</f>
        <v>1703961</v>
      </c>
      <c r="V97" s="48" t="n">
        <f aca="false">SUM(V85:V96)</f>
        <v>1677705</v>
      </c>
      <c r="W97" s="48" t="n">
        <f aca="false">SUM(W85:W96)</f>
        <v>1651449</v>
      </c>
    </row>
    <row r="98" customFormat="false" ht="18.75" hidden="false" customHeight="true" outlineLevel="0" collapsed="false">
      <c r="B98" s="45" t="s">
        <v>39</v>
      </c>
      <c r="C98" s="44"/>
      <c r="D98" s="43" t="n">
        <f aca="false">D97*0.2</f>
        <v>131172.72</v>
      </c>
      <c r="E98" s="43" t="n">
        <f aca="false">E97*0.2</f>
        <v>145401.84</v>
      </c>
      <c r="F98" s="43" t="n">
        <f aca="false">F97*0.2</f>
        <v>159630.96</v>
      </c>
      <c r="G98" s="43" t="n">
        <f aca="false">G97*0.2</f>
        <v>173860.08</v>
      </c>
      <c r="H98" s="43" t="n">
        <f aca="false">H97*0.2</f>
        <v>188089.2</v>
      </c>
      <c r="I98" s="43" t="n">
        <f aca="false">I97*0.2</f>
        <v>202318.32</v>
      </c>
      <c r="J98" s="43" t="n">
        <f aca="false">J97*0.2</f>
        <v>216547.44</v>
      </c>
      <c r="K98" s="43" t="n">
        <f aca="false">K97*0.2</f>
        <v>230776.56</v>
      </c>
      <c r="L98" s="43" t="n">
        <f aca="false">L97*0.2</f>
        <v>245005.68</v>
      </c>
      <c r="M98" s="43" t="n">
        <f aca="false">M97*0.2</f>
        <v>259234.8</v>
      </c>
      <c r="N98" s="43" t="n">
        <f aca="false">N97*0.2</f>
        <v>299629.92</v>
      </c>
      <c r="O98" s="43" t="n">
        <f aca="false">O97*0.2</f>
        <v>313859.04</v>
      </c>
      <c r="P98" s="43" t="n">
        <f aca="false">P97*0.2</f>
        <v>328088.16</v>
      </c>
      <c r="Q98" s="43" t="n">
        <f aca="false">Q97*0.2</f>
        <v>342317.28</v>
      </c>
      <c r="R98" s="43" t="n">
        <f aca="false">R97*0.2</f>
        <v>356545.8</v>
      </c>
      <c r="S98" s="43" t="n">
        <f aca="false">S97*0.2</f>
        <v>351294.6</v>
      </c>
      <c r="T98" s="43" t="n">
        <f aca="false">T97*0.2</f>
        <v>346043.4</v>
      </c>
      <c r="U98" s="43" t="n">
        <f aca="false">U97*0.2</f>
        <v>340792.2</v>
      </c>
      <c r="V98" s="43" t="n">
        <f aca="false">V97*0.2</f>
        <v>335541</v>
      </c>
      <c r="W98" s="43" t="n">
        <f aca="false">W97*0.2</f>
        <v>330289.8</v>
      </c>
    </row>
    <row r="99" customFormat="false" ht="15.75" hidden="false" customHeight="true" outlineLevel="0" collapsed="false">
      <c r="B99" s="65" t="s">
        <v>47</v>
      </c>
      <c r="D99" s="43" t="n">
        <f aca="false">D97-D98</f>
        <v>524690.88</v>
      </c>
      <c r="E99" s="43" t="n">
        <f aca="false">E97-E98</f>
        <v>581607.36</v>
      </c>
      <c r="F99" s="43" t="n">
        <f aca="false">F97-F98</f>
        <v>638523.84</v>
      </c>
      <c r="G99" s="43" t="n">
        <f aca="false">G97-G98</f>
        <v>695440.32</v>
      </c>
      <c r="H99" s="43" t="n">
        <f aca="false">H97-H98</f>
        <v>752356.8</v>
      </c>
      <c r="I99" s="43" t="n">
        <f aca="false">I97-I98</f>
        <v>809273.28</v>
      </c>
      <c r="J99" s="43" t="n">
        <f aca="false">J97-J98</f>
        <v>866189.76</v>
      </c>
      <c r="K99" s="43" t="n">
        <f aca="false">K97-K98</f>
        <v>923106.24</v>
      </c>
      <c r="L99" s="43" t="n">
        <f aca="false">L97-L98</f>
        <v>980022.72</v>
      </c>
      <c r="M99" s="43" t="n">
        <f aca="false">M97-M98</f>
        <v>1036939.2</v>
      </c>
      <c r="N99" s="43" t="n">
        <f aca="false">N97-N98</f>
        <v>1198519.68</v>
      </c>
      <c r="O99" s="43" t="n">
        <f aca="false">O97-O98</f>
        <v>1255436.16</v>
      </c>
      <c r="P99" s="43" t="n">
        <f aca="false">P97-P98</f>
        <v>1312352.64</v>
      </c>
      <c r="Q99" s="43" t="n">
        <f aca="false">Q97-Q98</f>
        <v>1369269.12</v>
      </c>
      <c r="R99" s="43" t="n">
        <f aca="false">R97-R98</f>
        <v>1426183.2</v>
      </c>
      <c r="S99" s="43" t="n">
        <f aca="false">S97-S98</f>
        <v>1405178.4</v>
      </c>
      <c r="T99" s="43" t="n">
        <f aca="false">T97-T98</f>
        <v>1384173.6</v>
      </c>
      <c r="U99" s="43" t="n">
        <f aca="false">U97-U98</f>
        <v>1363168.8</v>
      </c>
      <c r="V99" s="43" t="n">
        <f aca="false">V97-V98</f>
        <v>1342164</v>
      </c>
      <c r="W99" s="43" t="n">
        <f aca="false">W97-W98</f>
        <v>1321159.2</v>
      </c>
    </row>
    <row r="100" customFormat="false" ht="18.75" hidden="false" customHeight="true" outlineLevel="0" collapsed="false">
      <c r="B100" s="49" t="s">
        <v>41</v>
      </c>
      <c r="C100" s="66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</row>
    <row r="101" customFormat="false" ht="18.75" hidden="false" customHeight="true" outlineLevel="0" collapsed="false">
      <c r="B101" s="68" t="s">
        <v>42</v>
      </c>
      <c r="C101" s="69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 customFormat="false" ht="18.75" hidden="false" customHeight="true" outlineLevel="0" collapsed="false">
      <c r="C102" s="71" t="s">
        <v>0</v>
      </c>
      <c r="D102" s="72" t="n">
        <v>2020</v>
      </c>
      <c r="E102" s="72" t="n">
        <v>2021</v>
      </c>
      <c r="F102" s="72" t="n">
        <v>2022</v>
      </c>
      <c r="G102" s="72" t="n">
        <v>2023</v>
      </c>
      <c r="H102" s="72" t="n">
        <v>2024</v>
      </c>
      <c r="I102" s="72" t="n">
        <v>2025</v>
      </c>
      <c r="J102" s="72" t="n">
        <v>2026</v>
      </c>
      <c r="K102" s="72" t="n">
        <v>2027</v>
      </c>
      <c r="L102" s="72" t="n">
        <v>2028</v>
      </c>
      <c r="M102" s="72" t="n">
        <v>2029</v>
      </c>
      <c r="N102" s="72" t="n">
        <v>2030</v>
      </c>
      <c r="O102" s="72" t="n">
        <v>2031</v>
      </c>
      <c r="P102" s="72" t="n">
        <v>2032</v>
      </c>
      <c r="Q102" s="72" t="n">
        <v>2033</v>
      </c>
      <c r="R102" s="72" t="n">
        <v>2034</v>
      </c>
      <c r="S102" s="72" t="n">
        <v>2035</v>
      </c>
      <c r="T102" s="72" t="n">
        <v>2036</v>
      </c>
      <c r="U102" s="72" t="n">
        <v>2037</v>
      </c>
      <c r="V102" s="72" t="n">
        <v>2038</v>
      </c>
      <c r="W102" s="72" t="n">
        <v>2039</v>
      </c>
      <c r="X102" s="72"/>
    </row>
    <row r="103" customFormat="false" ht="18.75" hidden="false" customHeight="true" outlineLevel="0" collapsed="false"/>
    <row r="104" customFormat="false" ht="18.75" hidden="false" customHeight="true" outlineLevel="0" collapsed="false">
      <c r="B104" s="73" t="s">
        <v>23</v>
      </c>
      <c r="C104" s="73" t="n">
        <v>0</v>
      </c>
      <c r="D104" s="73" t="n">
        <v>1</v>
      </c>
      <c r="E104" s="73" t="n">
        <v>2</v>
      </c>
      <c r="F104" s="73" t="n">
        <v>3</v>
      </c>
      <c r="G104" s="73" t="n">
        <v>4</v>
      </c>
      <c r="H104" s="73" t="n">
        <v>5</v>
      </c>
      <c r="I104" s="73" t="n">
        <v>6</v>
      </c>
      <c r="J104" s="73" t="n">
        <v>7</v>
      </c>
      <c r="K104" s="73" t="n">
        <v>8</v>
      </c>
      <c r="L104" s="73" t="n">
        <v>9</v>
      </c>
      <c r="M104" s="73" t="n">
        <v>10</v>
      </c>
      <c r="N104" s="73" t="n">
        <v>11</v>
      </c>
      <c r="O104" s="73" t="n">
        <v>12</v>
      </c>
      <c r="P104" s="73" t="n">
        <v>13</v>
      </c>
      <c r="Q104" s="73" t="n">
        <v>14</v>
      </c>
      <c r="R104" s="73" t="n">
        <v>15</v>
      </c>
      <c r="S104" s="73" t="n">
        <v>16</v>
      </c>
      <c r="T104" s="73" t="n">
        <v>17</v>
      </c>
      <c r="U104" s="73" t="n">
        <v>18</v>
      </c>
      <c r="V104" s="73" t="n">
        <v>19</v>
      </c>
      <c r="W104" s="73" t="n">
        <v>20</v>
      </c>
      <c r="X104" s="73"/>
    </row>
    <row r="105" customFormat="false" ht="18.75" hidden="false" customHeight="true" outlineLevel="0" collapsed="false">
      <c r="B105" s="74" t="s">
        <v>47</v>
      </c>
      <c r="C105" s="74"/>
      <c r="D105" s="75" t="n">
        <f aca="false">D99</f>
        <v>524690.88</v>
      </c>
      <c r="E105" s="75" t="n">
        <f aca="false">E99</f>
        <v>581607.36</v>
      </c>
      <c r="F105" s="75" t="n">
        <f aca="false">F99</f>
        <v>638523.84</v>
      </c>
      <c r="G105" s="75" t="n">
        <f aca="false">G99</f>
        <v>695440.32</v>
      </c>
      <c r="H105" s="75" t="n">
        <f aca="false">H99</f>
        <v>752356.8</v>
      </c>
      <c r="I105" s="75" t="n">
        <f aca="false">I99</f>
        <v>809273.28</v>
      </c>
      <c r="J105" s="75" t="n">
        <f aca="false">J99</f>
        <v>866189.76</v>
      </c>
      <c r="K105" s="75" t="n">
        <f aca="false">K99</f>
        <v>923106.24</v>
      </c>
      <c r="L105" s="75" t="n">
        <f aca="false">L99</f>
        <v>980022.72</v>
      </c>
      <c r="M105" s="75" t="n">
        <f aca="false">M99</f>
        <v>1036939.2</v>
      </c>
      <c r="N105" s="75" t="n">
        <f aca="false">N99</f>
        <v>1198519.68</v>
      </c>
      <c r="O105" s="75" t="n">
        <f aca="false">O99</f>
        <v>1255436.16</v>
      </c>
      <c r="P105" s="75" t="n">
        <f aca="false">P99</f>
        <v>1312352.64</v>
      </c>
      <c r="Q105" s="75" t="n">
        <f aca="false">Q99</f>
        <v>1369269.12</v>
      </c>
      <c r="R105" s="75" t="n">
        <f aca="false">R99</f>
        <v>1426183.2</v>
      </c>
      <c r="S105" s="75" t="n">
        <f aca="false">S99</f>
        <v>1405178.4</v>
      </c>
      <c r="T105" s="75" t="n">
        <f aca="false">T99</f>
        <v>1384173.6</v>
      </c>
      <c r="U105" s="75" t="n">
        <f aca="false">U99</f>
        <v>1363168.8</v>
      </c>
      <c r="V105" s="75" t="n">
        <f aca="false">V99</f>
        <v>1342164</v>
      </c>
      <c r="W105" s="75" t="n">
        <f aca="false">W99</f>
        <v>1321159.2</v>
      </c>
      <c r="X105" s="75"/>
    </row>
    <row r="106" customFormat="false" ht="15.75" hidden="false" customHeight="true" outlineLevel="0" collapsed="false">
      <c r="B106" s="74" t="s">
        <v>16</v>
      </c>
      <c r="C106" s="74"/>
      <c r="D106" s="76" t="n">
        <f aca="false">D51</f>
        <v>2840880</v>
      </c>
      <c r="E106" s="76" t="n">
        <f aca="false">E51</f>
        <v>2840880</v>
      </c>
      <c r="F106" s="76" t="n">
        <f aca="false">F51</f>
        <v>2840880</v>
      </c>
      <c r="G106" s="76" t="n">
        <f aca="false">G51</f>
        <v>2840880</v>
      </c>
      <c r="H106" s="76" t="n">
        <f aca="false">H51</f>
        <v>2840880</v>
      </c>
      <c r="I106" s="76" t="n">
        <f aca="false">I51</f>
        <v>2840880</v>
      </c>
      <c r="J106" s="76" t="n">
        <f aca="false">J51</f>
        <v>2840880</v>
      </c>
      <c r="K106" s="76" t="n">
        <f aca="false">K51</f>
        <v>2840880</v>
      </c>
      <c r="L106" s="76" t="n">
        <f aca="false">L51</f>
        <v>2840880</v>
      </c>
      <c r="M106" s="76" t="n">
        <f aca="false">M51</f>
        <v>2840880</v>
      </c>
      <c r="N106" s="76" t="n">
        <f aca="false">N51</f>
        <v>2840880</v>
      </c>
      <c r="O106" s="76" t="n">
        <f aca="false">O51</f>
        <v>2840880</v>
      </c>
      <c r="P106" s="76" t="n">
        <f aca="false">P51</f>
        <v>2840880</v>
      </c>
      <c r="Q106" s="76" t="n">
        <f aca="false">Q51</f>
        <v>2840880</v>
      </c>
      <c r="R106" s="76" t="n">
        <f aca="false">R51</f>
        <v>2840880</v>
      </c>
      <c r="S106" s="76" t="n">
        <f aca="false">S51</f>
        <v>2840880</v>
      </c>
      <c r="T106" s="76" t="n">
        <f aca="false">T51</f>
        <v>2840880</v>
      </c>
      <c r="U106" s="76" t="n">
        <f aca="false">U51</f>
        <v>2840880</v>
      </c>
      <c r="V106" s="76" t="n">
        <f aca="false">V51</f>
        <v>2840880</v>
      </c>
      <c r="W106" s="76" t="n">
        <f aca="false">W51</f>
        <v>2840880</v>
      </c>
      <c r="X106" s="76"/>
    </row>
    <row r="107" customFormat="false" ht="15.75" hidden="false" customHeight="true" outlineLevel="0" collapsed="false">
      <c r="B107" s="74" t="s">
        <v>48</v>
      </c>
      <c r="C107" s="74"/>
      <c r="D107" s="77" t="n">
        <f aca="false">D105+D106</f>
        <v>3365570.88</v>
      </c>
      <c r="E107" s="77" t="n">
        <f aca="false">E105+E106</f>
        <v>3422487.36</v>
      </c>
      <c r="F107" s="77" t="n">
        <f aca="false">F105+F106</f>
        <v>3479403.84</v>
      </c>
      <c r="G107" s="77" t="n">
        <f aca="false">G105+G106</f>
        <v>3536320.32</v>
      </c>
      <c r="H107" s="77" t="n">
        <f aca="false">H105+H106</f>
        <v>3593236.8</v>
      </c>
      <c r="I107" s="77" t="n">
        <f aca="false">I105+I106</f>
        <v>3650153.28</v>
      </c>
      <c r="J107" s="77" t="n">
        <f aca="false">J105+J106</f>
        <v>3707069.76</v>
      </c>
      <c r="K107" s="77" t="n">
        <f aca="false">K105+K106</f>
        <v>3763986.24</v>
      </c>
      <c r="L107" s="77" t="n">
        <f aca="false">L105+L106</f>
        <v>3820902.72</v>
      </c>
      <c r="M107" s="77" t="n">
        <f aca="false">M105+M106</f>
        <v>3877819.2</v>
      </c>
      <c r="N107" s="77" t="n">
        <f aca="false">N105+N106</f>
        <v>4039399.68</v>
      </c>
      <c r="O107" s="77" t="n">
        <f aca="false">O105+O106</f>
        <v>4096316.16</v>
      </c>
      <c r="P107" s="77" t="n">
        <f aca="false">P105+P106</f>
        <v>4153232.64</v>
      </c>
      <c r="Q107" s="77" t="n">
        <f aca="false">Q105+Q106</f>
        <v>4210149.12</v>
      </c>
      <c r="R107" s="77" t="n">
        <f aca="false">R105+R106</f>
        <v>4267063.2</v>
      </c>
      <c r="S107" s="77" t="n">
        <f aca="false">S105+S106</f>
        <v>4246058.4</v>
      </c>
      <c r="T107" s="77" t="n">
        <f aca="false">T105+T106</f>
        <v>4225053.6</v>
      </c>
      <c r="U107" s="77" t="n">
        <f aca="false">U105+U106</f>
        <v>4204048.8</v>
      </c>
      <c r="V107" s="77" t="n">
        <f aca="false">V105+V106</f>
        <v>4183044</v>
      </c>
      <c r="W107" s="77" t="n">
        <f aca="false">W105+W106</f>
        <v>4162039.2</v>
      </c>
      <c r="X107" s="77"/>
    </row>
    <row r="108" customFormat="false" ht="15.75" hidden="false" customHeight="true" outlineLevel="0" collapsed="false">
      <c r="B108" s="74"/>
      <c r="C108" s="74"/>
      <c r="D108" s="74"/>
      <c r="E108" s="74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4"/>
    </row>
    <row r="109" customFormat="false" ht="15.75" hidden="false" customHeight="true" outlineLevel="0" collapsed="false">
      <c r="B109" s="79" t="s">
        <v>49</v>
      </c>
      <c r="C109" s="80"/>
      <c r="D109" s="81" t="n">
        <f aca="false">C65</f>
        <v>-56817600</v>
      </c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</row>
    <row r="110" customFormat="false" ht="15.75" hidden="false" customHeight="true" outlineLevel="0" collapsed="false">
      <c r="B110" s="74"/>
      <c r="C110" s="74"/>
      <c r="D110" s="74"/>
      <c r="E110" s="74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4"/>
    </row>
    <row r="111" customFormat="false" ht="15.75" hidden="false" customHeight="true" outlineLevel="0" collapsed="false">
      <c r="B111" s="74"/>
      <c r="C111" s="74"/>
      <c r="D111" s="74"/>
      <c r="E111" s="74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4"/>
    </row>
    <row r="112" customFormat="false" ht="15.75" hidden="false" customHeight="true" outlineLevel="0" collapsed="false">
      <c r="B112" s="79" t="s">
        <v>50</v>
      </c>
      <c r="C112" s="80"/>
      <c r="D112" s="81" t="n">
        <f aca="false">-D109*C53</f>
        <v>45454080</v>
      </c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</row>
    <row r="113" customFormat="false" ht="15.75" hidden="false" customHeight="true" outlineLevel="0" collapsed="false">
      <c r="B113" s="74" t="s">
        <v>51</v>
      </c>
      <c r="C113" s="74"/>
      <c r="D113" s="82"/>
      <c r="E113" s="82" t="n">
        <f aca="false">-D112/C54</f>
        <v>-3246720</v>
      </c>
      <c r="F113" s="82" t="n">
        <f aca="false">-D112/C54</f>
        <v>-3246720</v>
      </c>
      <c r="G113" s="82" t="n">
        <f aca="false">-D112/C54</f>
        <v>-3246720</v>
      </c>
      <c r="H113" s="82" t="n">
        <f aca="false">-D112/C54</f>
        <v>-3246720</v>
      </c>
      <c r="I113" s="82" t="n">
        <f aca="false">-D112/C54</f>
        <v>-3246720</v>
      </c>
      <c r="J113" s="82" t="n">
        <f aca="false">-D112/C54</f>
        <v>-3246720</v>
      </c>
      <c r="K113" s="82" t="n">
        <f aca="false">-D112/C54</f>
        <v>-3246720</v>
      </c>
      <c r="L113" s="82" t="n">
        <f aca="false">-D112/C54</f>
        <v>-3246720</v>
      </c>
      <c r="M113" s="82" t="n">
        <f aca="false">-D112/C54</f>
        <v>-3246720</v>
      </c>
      <c r="N113" s="82" t="n">
        <f aca="false">-D112/C54</f>
        <v>-3246720</v>
      </c>
      <c r="O113" s="82" t="n">
        <f aca="false">-D112/C54</f>
        <v>-3246720</v>
      </c>
      <c r="P113" s="82" t="n">
        <f aca="false">-D112/C54</f>
        <v>-3246720</v>
      </c>
      <c r="Q113" s="82" t="n">
        <f aca="false">-D112/C54</f>
        <v>-3246720</v>
      </c>
      <c r="R113" s="82" t="n">
        <f aca="false">-D112/C54</f>
        <v>-3246720</v>
      </c>
      <c r="S113" s="82"/>
      <c r="T113" s="82"/>
      <c r="U113" s="82"/>
      <c r="V113" s="82"/>
      <c r="W113" s="82"/>
      <c r="X113" s="82"/>
    </row>
    <row r="114" customFormat="false" ht="15.75" hidden="false" customHeight="true" outlineLevel="0" collapsed="false">
      <c r="B114" s="74" t="s">
        <v>52</v>
      </c>
      <c r="C114" s="78"/>
      <c r="D114" s="75" t="n">
        <f aca="false">-D109*(1-C53)</f>
        <v>11363520</v>
      </c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</row>
    <row r="115" customFormat="false" ht="15.75" hidden="false" customHeight="true" outlineLevel="0" collapsed="false">
      <c r="B115" s="74" t="s">
        <v>53</v>
      </c>
      <c r="C115" s="78"/>
      <c r="D115" s="78"/>
      <c r="E115" s="83" t="n">
        <f aca="false">-D105*C55</f>
        <v>-472221.792</v>
      </c>
      <c r="F115" s="83" t="n">
        <f aca="false">-E105*C55</f>
        <v>-523446.624</v>
      </c>
      <c r="G115" s="83" t="n">
        <f aca="false">-F105*C55</f>
        <v>-574671.456</v>
      </c>
      <c r="H115" s="83" t="n">
        <f aca="false">-G105*C55</f>
        <v>-625896.288</v>
      </c>
      <c r="I115" s="83" t="n">
        <f aca="false">-H105*C55</f>
        <v>-677121.12</v>
      </c>
      <c r="J115" s="83" t="n">
        <f aca="false">-I105*C55</f>
        <v>-728345.952</v>
      </c>
      <c r="K115" s="83" t="n">
        <f aca="false">-J105*C55</f>
        <v>-779570.784</v>
      </c>
      <c r="L115" s="83" t="n">
        <f aca="false">-K105*C55</f>
        <v>-830795.616</v>
      </c>
      <c r="M115" s="83" t="n">
        <f aca="false">-L105*C55</f>
        <v>-882020.448</v>
      </c>
      <c r="N115" s="83" t="n">
        <f aca="false">-M105*C55</f>
        <v>-933245.28</v>
      </c>
      <c r="O115" s="83" t="n">
        <f aca="false">-N105*C55</f>
        <v>-1078667.712</v>
      </c>
      <c r="P115" s="83" t="n">
        <f aca="false">-O105*C55</f>
        <v>-1129892.544</v>
      </c>
      <c r="Q115" s="83" t="n">
        <f aca="false">-P105*C55</f>
        <v>-1181117.376</v>
      </c>
      <c r="R115" s="83" t="n">
        <f aca="false">-Q105*C55</f>
        <v>-1232342.208</v>
      </c>
      <c r="S115" s="83" t="n">
        <f aca="false">-R105*C55</f>
        <v>-1283564.88</v>
      </c>
      <c r="T115" s="83" t="n">
        <f aca="false">-S105*C55</f>
        <v>-1264660.56</v>
      </c>
      <c r="U115" s="83" t="n">
        <f aca="false">-T105*C55</f>
        <v>-1245756.24</v>
      </c>
      <c r="V115" s="83" t="n">
        <f aca="false">-U105*C55</f>
        <v>-1226851.92</v>
      </c>
      <c r="W115" s="83" t="n">
        <f aca="false">-V105*C55</f>
        <v>-1207947.6</v>
      </c>
      <c r="X115" s="83"/>
    </row>
    <row r="116" customFormat="false" ht="15.75" hidden="false" customHeight="true" outlineLevel="0" collapsed="false">
      <c r="B116" s="84" t="s">
        <v>54</v>
      </c>
      <c r="C116" s="85"/>
      <c r="D116" s="85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 t="n">
        <f aca="false">-D114/C56</f>
        <v>-2840880</v>
      </c>
      <c r="U116" s="86" t="n">
        <f aca="false">-D114/C56</f>
        <v>-2840880</v>
      </c>
      <c r="V116" s="86" t="n">
        <f aca="false">-D114/C56</f>
        <v>-2840880</v>
      </c>
      <c r="W116" s="86" t="n">
        <f aca="false">-D114/C56</f>
        <v>-2840880</v>
      </c>
      <c r="X116" s="86"/>
    </row>
    <row r="117" customFormat="false" ht="15.75" hidden="false" customHeight="true" outlineLevel="0" collapsed="false"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</row>
    <row r="118" customFormat="false" ht="15.75" hidden="false" customHeight="true" outlineLevel="0" collapsed="false"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</row>
    <row r="119" customFormat="false" ht="15.75" hidden="false" customHeight="true" outlineLevel="0" collapsed="false">
      <c r="B119" s="74" t="s">
        <v>55</v>
      </c>
      <c r="C119" s="75" t="n">
        <v>0</v>
      </c>
      <c r="D119" s="75" t="n">
        <f aca="false">SUM(D107:D116)</f>
        <v>3365570.88</v>
      </c>
      <c r="E119" s="75" t="n">
        <f aca="false">SUM(E107:E116)</f>
        <v>-296454.432</v>
      </c>
      <c r="F119" s="75" t="n">
        <f aca="false">SUM(F107:F116)</f>
        <v>-290762.784</v>
      </c>
      <c r="G119" s="75" t="n">
        <f aca="false">SUM(G107:G116)</f>
        <v>-285071.136</v>
      </c>
      <c r="H119" s="75" t="n">
        <f aca="false">SUM(H107:H116)</f>
        <v>-279379.488</v>
      </c>
      <c r="I119" s="75" t="n">
        <f aca="false">SUM(I107:I116)</f>
        <v>-273687.84</v>
      </c>
      <c r="J119" s="75" t="n">
        <f aca="false">SUM(J107:J116)</f>
        <v>-267996.192</v>
      </c>
      <c r="K119" s="75" t="n">
        <f aca="false">SUM(K107:K116)</f>
        <v>-262304.544</v>
      </c>
      <c r="L119" s="75" t="n">
        <f aca="false">SUM(L107:L116)</f>
        <v>-256612.896</v>
      </c>
      <c r="M119" s="75" t="n">
        <f aca="false">SUM(M107:M116)</f>
        <v>-250921.248</v>
      </c>
      <c r="N119" s="75" t="n">
        <f aca="false">SUM(N107:N116)</f>
        <v>-140565.6</v>
      </c>
      <c r="O119" s="75" t="n">
        <f aca="false">SUM(O107:O116)</f>
        <v>-229071.552</v>
      </c>
      <c r="P119" s="75" t="n">
        <f aca="false">SUM(P107:P116)</f>
        <v>-223379.904</v>
      </c>
      <c r="Q119" s="75" t="n">
        <f aca="false">SUM(Q107:Q116)</f>
        <v>-217688.256</v>
      </c>
      <c r="R119" s="75" t="n">
        <f aca="false">SUM(R107:R116)</f>
        <v>-211999.008</v>
      </c>
      <c r="S119" s="75" t="n">
        <f aca="false">SUM(S107:S116)</f>
        <v>2962493.52</v>
      </c>
      <c r="T119" s="75" t="n">
        <f aca="false">SUM(T107:T116)</f>
        <v>119513.04</v>
      </c>
      <c r="U119" s="75" t="n">
        <f aca="false">SUM(U107:U116)</f>
        <v>117412.56</v>
      </c>
      <c r="V119" s="75" t="n">
        <f aca="false">SUM(V107:V116)</f>
        <v>115312.080000001</v>
      </c>
      <c r="W119" s="75" t="n">
        <f aca="false">SUM(W107:W116)</f>
        <v>113211.600000001</v>
      </c>
      <c r="X119" s="75"/>
    </row>
    <row r="120" customFormat="false" ht="15.75" hidden="false" customHeight="true" outlineLevel="0" collapsed="false">
      <c r="B120" s="74" t="s">
        <v>56</v>
      </c>
      <c r="C120" s="75" t="n">
        <v>0</v>
      </c>
      <c r="D120" s="75" t="n">
        <v>0</v>
      </c>
      <c r="E120" s="75" t="n">
        <f aca="false">D121</f>
        <v>3365570.88</v>
      </c>
      <c r="F120" s="75" t="n">
        <f aca="false">E121</f>
        <v>3069116.448</v>
      </c>
      <c r="G120" s="75" t="n">
        <f aca="false">F121</f>
        <v>2778353.664</v>
      </c>
      <c r="H120" s="75" t="n">
        <f aca="false">G121</f>
        <v>2493282.528</v>
      </c>
      <c r="I120" s="75" t="n">
        <f aca="false">H121</f>
        <v>2213903.04</v>
      </c>
      <c r="J120" s="75" t="n">
        <f aca="false">I121</f>
        <v>1940215.2</v>
      </c>
      <c r="K120" s="75" t="n">
        <f aca="false">J121</f>
        <v>1672219.008</v>
      </c>
      <c r="L120" s="75" t="n">
        <f aca="false">K121</f>
        <v>1409914.464</v>
      </c>
      <c r="M120" s="75" t="n">
        <f aca="false">L121</f>
        <v>1153301.568</v>
      </c>
      <c r="N120" s="75" t="n">
        <f aca="false">M121</f>
        <v>902380.319999998</v>
      </c>
      <c r="O120" s="75" t="n">
        <f aca="false">N121</f>
        <v>761814.719999999</v>
      </c>
      <c r="P120" s="75" t="n">
        <f aca="false">O121</f>
        <v>532743.167999998</v>
      </c>
      <c r="Q120" s="75" t="n">
        <f aca="false">P121</f>
        <v>309363.263999998</v>
      </c>
      <c r="R120" s="75" t="n">
        <f aca="false">Q121</f>
        <v>91675.0079999984</v>
      </c>
      <c r="S120" s="75" t="n">
        <f aca="false">R121</f>
        <v>-120324.000000001</v>
      </c>
      <c r="T120" s="75" t="n">
        <f aca="false">S121</f>
        <v>2842169.52</v>
      </c>
      <c r="U120" s="75" t="n">
        <f aca="false">T121</f>
        <v>2961682.56</v>
      </c>
      <c r="V120" s="75" t="n">
        <f aca="false">U121</f>
        <v>3079095.12</v>
      </c>
      <c r="W120" s="75" t="n">
        <f aca="false">V121</f>
        <v>3194407.2</v>
      </c>
      <c r="X120" s="75"/>
    </row>
    <row r="121" customFormat="false" ht="15.75" hidden="false" customHeight="true" outlineLevel="0" collapsed="false">
      <c r="B121" s="74" t="s">
        <v>57</v>
      </c>
      <c r="C121" s="75" t="n">
        <v>0</v>
      </c>
      <c r="D121" s="75" t="n">
        <f aca="false">D119+D120</f>
        <v>3365570.88</v>
      </c>
      <c r="E121" s="75" t="n">
        <f aca="false">E119+E120</f>
        <v>3069116.448</v>
      </c>
      <c r="F121" s="75" t="n">
        <f aca="false">F119+F120</f>
        <v>2778353.664</v>
      </c>
      <c r="G121" s="75" t="n">
        <f aca="false">G119+G120</f>
        <v>2493282.528</v>
      </c>
      <c r="H121" s="75" t="n">
        <f aca="false">H119+H120</f>
        <v>2213903.04</v>
      </c>
      <c r="I121" s="75" t="n">
        <f aca="false">I119+I120</f>
        <v>1940215.2</v>
      </c>
      <c r="J121" s="75" t="n">
        <f aca="false">J119+J120</f>
        <v>1672219.008</v>
      </c>
      <c r="K121" s="75" t="n">
        <f aca="false">K119+K120</f>
        <v>1409914.464</v>
      </c>
      <c r="L121" s="75" t="n">
        <f aca="false">L119+L120</f>
        <v>1153301.568</v>
      </c>
      <c r="M121" s="75" t="n">
        <f aca="false">M119+M120</f>
        <v>902380.319999998</v>
      </c>
      <c r="N121" s="75" t="n">
        <f aca="false">N119+N120</f>
        <v>761814.719999999</v>
      </c>
      <c r="O121" s="75" t="n">
        <f aca="false">O119+O120</f>
        <v>532743.167999998</v>
      </c>
      <c r="P121" s="75" t="n">
        <f aca="false">P119+P120</f>
        <v>309363.263999998</v>
      </c>
      <c r="Q121" s="75" t="n">
        <f aca="false">Q119+Q120</f>
        <v>91675.0079999984</v>
      </c>
      <c r="R121" s="75" t="n">
        <f aca="false">R119+R120</f>
        <v>-120324.000000001</v>
      </c>
      <c r="S121" s="75" t="n">
        <f aca="false">S119+S120</f>
        <v>2842169.52</v>
      </c>
      <c r="T121" s="75" t="n">
        <f aca="false">T119+T120</f>
        <v>2961682.56</v>
      </c>
      <c r="U121" s="75" t="n">
        <f aca="false">U119+U120</f>
        <v>3079095.12</v>
      </c>
      <c r="V121" s="75" t="n">
        <f aca="false">V119+V120</f>
        <v>3194407.2</v>
      </c>
      <c r="W121" s="75" t="n">
        <f aca="false">W119+W120</f>
        <v>3307618.8</v>
      </c>
      <c r="X121" s="75"/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</row>
    <row r="123" customFormat="false" ht="15.75" hidden="false" customHeight="true" outlineLevel="0" collapsed="false">
      <c r="B123" s="74"/>
      <c r="C123" s="74"/>
      <c r="D123" s="74"/>
      <c r="E123" s="74"/>
      <c r="F123" s="78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</row>
    <row r="124" customFormat="false" ht="15.75" hidden="false" customHeight="true" outlineLevel="0" collapsed="false">
      <c r="B124" s="87" t="s">
        <v>58</v>
      </c>
      <c r="C124" s="88"/>
      <c r="D124" s="89" t="n">
        <f aca="false">-D114</f>
        <v>-11363520</v>
      </c>
      <c r="E124" s="77" t="n">
        <f aca="false">-E115-E116</f>
        <v>472221.792</v>
      </c>
      <c r="F124" s="77" t="n">
        <f aca="false">-F115-F116</f>
        <v>523446.624</v>
      </c>
      <c r="G124" s="77" t="n">
        <f aca="false">-G115-G116</f>
        <v>574671.456</v>
      </c>
      <c r="H124" s="77" t="n">
        <f aca="false">-H115-H116</f>
        <v>625896.288</v>
      </c>
      <c r="I124" s="77" t="n">
        <f aca="false">-I115-I116</f>
        <v>677121.12</v>
      </c>
      <c r="J124" s="77" t="n">
        <f aca="false">-J115-J116</f>
        <v>728345.952</v>
      </c>
      <c r="K124" s="77" t="n">
        <f aca="false">-K115-K116</f>
        <v>779570.784</v>
      </c>
      <c r="L124" s="77" t="n">
        <f aca="false">-L115-L116</f>
        <v>830795.616</v>
      </c>
      <c r="M124" s="77" t="n">
        <f aca="false">-M115-M116</f>
        <v>882020.448</v>
      </c>
      <c r="N124" s="77" t="n">
        <f aca="false">-N115-N116</f>
        <v>933245.28</v>
      </c>
      <c r="O124" s="77" t="n">
        <f aca="false">-O115-O116</f>
        <v>1078667.712</v>
      </c>
      <c r="P124" s="77" t="n">
        <f aca="false">-P115-P116</f>
        <v>1129892.544</v>
      </c>
      <c r="Q124" s="77" t="n">
        <f aca="false">-Q115-Q116</f>
        <v>1181117.376</v>
      </c>
      <c r="R124" s="77" t="n">
        <f aca="false">-R115-R116</f>
        <v>1232342.208</v>
      </c>
      <c r="S124" s="77" t="n">
        <f aca="false">-S115-S116</f>
        <v>1283564.88</v>
      </c>
      <c r="T124" s="77" t="n">
        <f aca="false">-T115-T116</f>
        <v>4105540.56</v>
      </c>
      <c r="U124" s="77" t="n">
        <f aca="false">-U115-U116</f>
        <v>4086636.24</v>
      </c>
      <c r="V124" s="77" t="n">
        <f aca="false">-V115-V116</f>
        <v>4067731.92</v>
      </c>
      <c r="W124" s="77" t="n">
        <f aca="false">-W115-W116</f>
        <v>4048827.6</v>
      </c>
      <c r="X124" s="77"/>
    </row>
    <row r="125" customFormat="false" ht="15.75" hidden="false" customHeight="true" outlineLevel="0" collapsed="false">
      <c r="B125" s="74" t="s">
        <v>59</v>
      </c>
      <c r="C125" s="90" t="n">
        <f aca="false">IRR(D124:W124)</f>
        <v>0.0763873966878086</v>
      </c>
      <c r="D125" s="78"/>
      <c r="E125" s="78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8"/>
    </row>
    <row r="126" customFormat="false" ht="15.75" hidden="false" customHeight="true" outlineLevel="0" collapsed="false">
      <c r="B126" s="87" t="s">
        <v>60</v>
      </c>
      <c r="C126" s="88"/>
      <c r="D126" s="89" t="n">
        <f aca="false">D105-D114</f>
        <v>-10838829.12</v>
      </c>
      <c r="E126" s="77" t="n">
        <f aca="false">E105-E116</f>
        <v>581607.36</v>
      </c>
      <c r="F126" s="77" t="n">
        <f aca="false">F105-F116</f>
        <v>638523.84</v>
      </c>
      <c r="G126" s="77" t="n">
        <f aca="false">G105-G116</f>
        <v>695440.32</v>
      </c>
      <c r="H126" s="77" t="n">
        <f aca="false">H105-H116</f>
        <v>752356.8</v>
      </c>
      <c r="I126" s="77" t="n">
        <f aca="false">I105-I116</f>
        <v>809273.28</v>
      </c>
      <c r="J126" s="77" t="n">
        <f aca="false">J105-J116</f>
        <v>866189.76</v>
      </c>
      <c r="K126" s="77" t="n">
        <f aca="false">K105-K116</f>
        <v>923106.24</v>
      </c>
      <c r="L126" s="77" t="n">
        <f aca="false">L105-L116</f>
        <v>980022.72</v>
      </c>
      <c r="M126" s="77" t="n">
        <f aca="false">M105-M116</f>
        <v>1036939.2</v>
      </c>
      <c r="N126" s="77" t="n">
        <f aca="false">N105-N116</f>
        <v>1198519.68</v>
      </c>
      <c r="O126" s="77" t="n">
        <f aca="false">O105-O116</f>
        <v>1255436.16</v>
      </c>
      <c r="P126" s="77" t="n">
        <f aca="false">P105-P116</f>
        <v>1312352.64</v>
      </c>
      <c r="Q126" s="77" t="n">
        <f aca="false">Q105-Q116</f>
        <v>1369269.12</v>
      </c>
      <c r="R126" s="77" t="n">
        <f aca="false">R105-R116</f>
        <v>1426183.2</v>
      </c>
      <c r="S126" s="77" t="n">
        <f aca="false">S105-S116</f>
        <v>1405178.4</v>
      </c>
      <c r="T126" s="77" t="n">
        <f aca="false">T105-T116</f>
        <v>4225053.6</v>
      </c>
      <c r="U126" s="77" t="n">
        <f aca="false">U105-U116</f>
        <v>4204048.8</v>
      </c>
      <c r="V126" s="77" t="n">
        <f aca="false">V105-V116</f>
        <v>4183044</v>
      </c>
      <c r="W126" s="77" t="n">
        <f aca="false">W105-W116</f>
        <v>4162039.2</v>
      </c>
      <c r="X126" s="77"/>
    </row>
    <row r="127" customFormat="false" ht="15.75" hidden="false" customHeight="true" outlineLevel="0" collapsed="false">
      <c r="B127" s="87" t="s">
        <v>61</v>
      </c>
      <c r="C127" s="90" t="n">
        <f aca="false">IRR(D126:W126)</f>
        <v>0.0924608440375332</v>
      </c>
      <c r="D127" s="78"/>
      <c r="E127" s="78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8"/>
    </row>
    <row r="128" customFormat="false" ht="15.75" hidden="false" customHeight="true" outlineLevel="0" collapsed="false"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</row>
    <row r="129" customFormat="false" ht="15.75" hidden="false" customHeight="true" outlineLevel="0" collapsed="false">
      <c r="B129" s="74" t="s">
        <v>62</v>
      </c>
      <c r="C129" s="75" t="n">
        <v>0</v>
      </c>
      <c r="D129" s="75" t="n">
        <f aca="false">D112</f>
        <v>45454080</v>
      </c>
      <c r="E129" s="75" t="n">
        <f aca="false">D129+E113</f>
        <v>42207360</v>
      </c>
      <c r="F129" s="75" t="n">
        <f aca="false">E129+F113</f>
        <v>38960640</v>
      </c>
      <c r="G129" s="75" t="n">
        <f aca="false">F129+G113</f>
        <v>35713920</v>
      </c>
      <c r="H129" s="75" t="n">
        <f aca="false">G129+H113</f>
        <v>32467200</v>
      </c>
      <c r="I129" s="75" t="n">
        <f aca="false">H129+I113</f>
        <v>29220480</v>
      </c>
      <c r="J129" s="75" t="n">
        <f aca="false">I129+J113</f>
        <v>25973760</v>
      </c>
      <c r="K129" s="75" t="n">
        <f aca="false">J129+K113</f>
        <v>22727040</v>
      </c>
      <c r="L129" s="75" t="n">
        <f aca="false">K129+L113</f>
        <v>19480320</v>
      </c>
      <c r="M129" s="75" t="n">
        <f aca="false">L129+M113</f>
        <v>16233600</v>
      </c>
      <c r="N129" s="75" t="n">
        <f aca="false">M129+N113</f>
        <v>12986880</v>
      </c>
      <c r="O129" s="75" t="n">
        <f aca="false">N129+O113</f>
        <v>9740160</v>
      </c>
      <c r="P129" s="75" t="n">
        <f aca="false">O129+P113</f>
        <v>6493440</v>
      </c>
      <c r="Q129" s="75" t="n">
        <f aca="false">P129+Q113</f>
        <v>3246720</v>
      </c>
      <c r="R129" s="75" t="n">
        <f aca="false">Q129+R113</f>
        <v>0</v>
      </c>
      <c r="S129" s="75" t="n">
        <f aca="false">R129+S113</f>
        <v>0</v>
      </c>
      <c r="T129" s="75" t="n">
        <f aca="false">S129+T113</f>
        <v>0</v>
      </c>
      <c r="U129" s="75" t="n">
        <f aca="false">T129+U113</f>
        <v>0</v>
      </c>
      <c r="V129" s="75" t="n">
        <f aca="false">U129+V113</f>
        <v>0</v>
      </c>
      <c r="W129" s="75" t="n">
        <f aca="false">V129+W113</f>
        <v>0</v>
      </c>
      <c r="X129" s="7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45.49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91" t="s">
        <v>63</v>
      </c>
      <c r="C1" s="92"/>
      <c r="D1" s="92"/>
      <c r="E1" s="93"/>
      <c r="F1" s="94" t="s">
        <v>64</v>
      </c>
      <c r="P1" s="95" t="n">
        <f aca="false">1-D11</f>
        <v>0.99</v>
      </c>
      <c r="Q1" s="95" t="n">
        <f aca="false">P1-$D12</f>
        <v>0.986</v>
      </c>
      <c r="R1" s="95" t="n">
        <f aca="false">Q1-$D12</f>
        <v>0.982</v>
      </c>
      <c r="S1" s="95" t="n">
        <f aca="false">R1-$D12</f>
        <v>0.978</v>
      </c>
      <c r="T1" s="95" t="n">
        <f aca="false">S1-$D12</f>
        <v>0.974</v>
      </c>
      <c r="U1" s="95" t="n">
        <f aca="false">T1-$D12</f>
        <v>0.97</v>
      </c>
      <c r="V1" s="95" t="n">
        <f aca="false">U1-$D12</f>
        <v>0.966</v>
      </c>
      <c r="W1" s="95" t="n">
        <f aca="false">V1-$D12</f>
        <v>0.962</v>
      </c>
      <c r="X1" s="95" t="n">
        <f aca="false">W1-$D12</f>
        <v>0.958</v>
      </c>
      <c r="Y1" s="95" t="n">
        <f aca="false">X1-$D12</f>
        <v>0.954</v>
      </c>
      <c r="Z1" s="95" t="n">
        <f aca="false">Y1-$D12</f>
        <v>0.95</v>
      </c>
      <c r="AA1" s="95" t="n">
        <f aca="false">Z1-$D12</f>
        <v>0.946</v>
      </c>
      <c r="AB1" s="95" t="n">
        <f aca="false">AA1-$D12</f>
        <v>0.942</v>
      </c>
      <c r="AC1" s="95" t="n">
        <f aca="false">AB1-$D12</f>
        <v>0.938</v>
      </c>
      <c r="AD1" s="95" t="n">
        <f aca="false">AC1-$D12</f>
        <v>0.934</v>
      </c>
      <c r="AE1" s="95" t="n">
        <f aca="false">AD1-$D12</f>
        <v>0.93</v>
      </c>
      <c r="AF1" s="95" t="n">
        <f aca="false">AE1-$D12</f>
        <v>0.926</v>
      </c>
      <c r="AG1" s="95" t="n">
        <f aca="false">AF1-$D12</f>
        <v>0.922</v>
      </c>
      <c r="AH1" s="95" t="n">
        <f aca="false">AG1-$D12</f>
        <v>0.918</v>
      </c>
      <c r="AI1" s="95" t="n">
        <f aca="false">AH1-$D12</f>
        <v>0.914</v>
      </c>
    </row>
    <row r="2" customFormat="false" ht="21.75" hidden="false" customHeight="true" outlineLevel="0" collapsed="false">
      <c r="B2" s="96" t="s">
        <v>65</v>
      </c>
      <c r="C2" s="97" t="s">
        <v>2</v>
      </c>
      <c r="D2" s="98" t="s">
        <v>26</v>
      </c>
      <c r="E2" s="99" t="s">
        <v>26</v>
      </c>
      <c r="F2" s="100" t="s">
        <v>66</v>
      </c>
    </row>
    <row r="3" customFormat="false" ht="21.75" hidden="false" customHeight="true" outlineLevel="0" collapsed="false">
      <c r="B3" s="101" t="s">
        <v>67</v>
      </c>
      <c r="C3" s="102" t="n">
        <v>20</v>
      </c>
      <c r="D3" s="103" t="s">
        <v>26</v>
      </c>
      <c r="E3" s="104" t="s">
        <v>26</v>
      </c>
      <c r="F3" s="105" t="s">
        <v>68</v>
      </c>
    </row>
    <row r="4" customFormat="false" ht="21.75" hidden="false" customHeight="true" outlineLevel="0" collapsed="false">
      <c r="B4" s="101" t="s">
        <v>69</v>
      </c>
      <c r="C4" s="102" t="n">
        <v>436.1</v>
      </c>
      <c r="D4" s="103" t="s">
        <v>26</v>
      </c>
      <c r="E4" s="104" t="s">
        <v>26</v>
      </c>
      <c r="F4" s="105" t="s">
        <v>70</v>
      </c>
      <c r="M4" s="106" t="s">
        <v>71</v>
      </c>
    </row>
    <row r="5" customFormat="false" ht="22.5" hidden="false" customHeight="true" outlineLevel="0" collapsed="false">
      <c r="B5" s="107" t="s">
        <v>72</v>
      </c>
      <c r="C5" s="102" t="n">
        <v>2020</v>
      </c>
      <c r="D5" s="107" t="s">
        <v>73</v>
      </c>
      <c r="E5" s="108" t="n">
        <v>2039</v>
      </c>
      <c r="F5" s="105" t="s">
        <v>74</v>
      </c>
      <c r="M5" s="106" t="s">
        <v>75</v>
      </c>
    </row>
    <row r="6" customFormat="false" ht="20.25" hidden="false" customHeight="true" outlineLevel="0" collapsed="false">
      <c r="B6" s="109"/>
      <c r="C6" s="109"/>
      <c r="D6" s="109"/>
      <c r="E6" s="109"/>
      <c r="M6" s="106" t="s">
        <v>76</v>
      </c>
    </row>
    <row r="7" customFormat="false" ht="22.5" hidden="false" customHeight="true" outlineLevel="0" collapsed="false">
      <c r="B7" s="91" t="s">
        <v>77</v>
      </c>
      <c r="C7" s="92"/>
      <c r="D7" s="92"/>
      <c r="E7" s="93"/>
      <c r="M7" s="106" t="s">
        <v>78</v>
      </c>
    </row>
    <row r="8" customFormat="false" ht="22.5" hidden="false" customHeight="true" outlineLevel="0" collapsed="false">
      <c r="B8" s="110" t="s">
        <v>79</v>
      </c>
      <c r="E8" s="111"/>
      <c r="M8" s="106" t="s">
        <v>80</v>
      </c>
    </row>
    <row r="9" customFormat="false" ht="22.5" hidden="false" customHeight="true" outlineLevel="0" collapsed="false">
      <c r="B9" s="112" t="s">
        <v>81</v>
      </c>
      <c r="C9" s="113" t="s">
        <v>82</v>
      </c>
      <c r="D9" s="113" t="s">
        <v>83</v>
      </c>
      <c r="E9" s="114" t="s">
        <v>84</v>
      </c>
      <c r="F9" s="94" t="s">
        <v>64</v>
      </c>
      <c r="M9" s="106" t="s">
        <v>85</v>
      </c>
    </row>
    <row r="10" customFormat="false" ht="30" hidden="false" customHeight="true" outlineLevel="0" collapsed="false">
      <c r="B10" s="115" t="s">
        <v>86</v>
      </c>
      <c r="C10" s="116" t="s">
        <v>87</v>
      </c>
      <c r="D10" s="117" t="n">
        <v>547002</v>
      </c>
      <c r="E10" s="118" t="n">
        <v>20</v>
      </c>
      <c r="F10" s="105" t="s">
        <v>88</v>
      </c>
      <c r="M10" s="106" t="s">
        <v>89</v>
      </c>
    </row>
    <row r="11" customFormat="false" ht="30" hidden="false" customHeight="true" outlineLevel="0" collapsed="false">
      <c r="B11" s="119"/>
      <c r="C11" s="107" t="s">
        <v>90</v>
      </c>
      <c r="D11" s="120" t="n">
        <v>0.01</v>
      </c>
      <c r="E11" s="121"/>
      <c r="F11" s="105" t="s">
        <v>91</v>
      </c>
    </row>
    <row r="12" customFormat="false" ht="30" hidden="false" customHeight="true" outlineLevel="0" collapsed="false">
      <c r="B12" s="119"/>
      <c r="C12" s="107" t="s">
        <v>92</v>
      </c>
      <c r="D12" s="122" t="n">
        <v>0.004</v>
      </c>
      <c r="E12" s="121"/>
      <c r="F12" s="105" t="s">
        <v>93</v>
      </c>
    </row>
    <row r="13" customFormat="false" ht="22.5" hidden="false" customHeight="true" outlineLevel="0" collapsed="false">
      <c r="B13" s="119"/>
      <c r="C13" s="123" t="s">
        <v>94</v>
      </c>
      <c r="D13" s="124" t="n">
        <v>4</v>
      </c>
      <c r="E13" s="121"/>
      <c r="F13" s="105" t="s">
        <v>95</v>
      </c>
    </row>
    <row r="14" customFormat="false" ht="22.5" hidden="false" customHeight="true" outlineLevel="0" collapsed="false">
      <c r="B14" s="125" t="s">
        <v>96</v>
      </c>
      <c r="C14" s="92"/>
      <c r="D14" s="92"/>
      <c r="E14" s="93"/>
    </row>
    <row r="15" customFormat="false" ht="22.5" hidden="false" customHeight="true" outlineLevel="0" collapsed="false">
      <c r="B15" s="112" t="s">
        <v>81</v>
      </c>
      <c r="C15" s="113" t="s">
        <v>82</v>
      </c>
      <c r="D15" s="113" t="s">
        <v>83</v>
      </c>
      <c r="E15" s="114" t="s">
        <v>97</v>
      </c>
      <c r="F15" s="94" t="s">
        <v>64</v>
      </c>
    </row>
    <row r="16" customFormat="false" ht="21.75" hidden="false" customHeight="true" outlineLevel="0" collapsed="false">
      <c r="B16" s="116" t="s">
        <v>98</v>
      </c>
      <c r="C16" s="116" t="s">
        <v>99</v>
      </c>
      <c r="D16" s="126" t="n">
        <v>31000</v>
      </c>
      <c r="E16" s="99" t="n">
        <v>20</v>
      </c>
      <c r="F16" s="105" t="s">
        <v>100</v>
      </c>
    </row>
    <row r="17" customFormat="false" ht="21.75" hidden="false" customHeight="true" outlineLevel="0" collapsed="false">
      <c r="B17" s="119"/>
      <c r="C17" s="107" t="s">
        <v>101</v>
      </c>
      <c r="D17" s="127" t="n">
        <v>0.3</v>
      </c>
      <c r="E17" s="121"/>
      <c r="F17" s="105" t="s">
        <v>102</v>
      </c>
    </row>
    <row r="18" customFormat="false" ht="21.75" hidden="false" customHeight="true" outlineLevel="0" collapsed="false">
      <c r="B18" s="128"/>
      <c r="C18" s="107" t="s">
        <v>103</v>
      </c>
      <c r="D18" s="129" t="n">
        <v>2000</v>
      </c>
      <c r="E18" s="130"/>
      <c r="F18" s="105" t="s">
        <v>104</v>
      </c>
    </row>
    <row r="19" customFormat="false" ht="54" hidden="false" customHeight="true" outlineLevel="0" collapsed="false">
      <c r="B19" s="107" t="s">
        <v>105</v>
      </c>
      <c r="C19" s="131" t="s">
        <v>106</v>
      </c>
      <c r="D19" s="127" t="n">
        <v>1</v>
      </c>
      <c r="E19" s="99" t="n">
        <v>20</v>
      </c>
      <c r="F19" s="105" t="s">
        <v>107</v>
      </c>
    </row>
    <row r="20" customFormat="false" ht="20.25" hidden="false" customHeight="true" outlineLevel="0" collapsed="false">
      <c r="B20" s="119"/>
      <c r="C20" s="132" t="s">
        <v>108</v>
      </c>
      <c r="D20" s="129" t="n">
        <v>290201</v>
      </c>
      <c r="E20" s="99" t="n">
        <v>20</v>
      </c>
      <c r="F20" s="105" t="s">
        <v>109</v>
      </c>
    </row>
    <row r="21" customFormat="false" ht="30" hidden="false" customHeight="true" outlineLevel="0" collapsed="false">
      <c r="B21" s="128"/>
      <c r="C21" s="107" t="s">
        <v>110</v>
      </c>
      <c r="D21" s="127" t="n">
        <v>0</v>
      </c>
      <c r="E21" s="104" t="n">
        <v>20</v>
      </c>
      <c r="F21" s="105" t="s">
        <v>111</v>
      </c>
    </row>
    <row r="22" customFormat="false" ht="30" hidden="false" customHeight="true" outlineLevel="0" collapsed="false">
      <c r="B22" s="107" t="s">
        <v>112</v>
      </c>
      <c r="C22" s="107" t="s">
        <v>113</v>
      </c>
      <c r="D22" s="133" t="n">
        <v>400</v>
      </c>
      <c r="E22" s="104" t="n">
        <v>20</v>
      </c>
      <c r="F22" s="105" t="s">
        <v>114</v>
      </c>
    </row>
    <row r="23" customFormat="false" ht="30" hidden="false" customHeight="true" outlineLevel="0" collapsed="false">
      <c r="B23" s="107" t="s">
        <v>115</v>
      </c>
      <c r="C23" s="107" t="s">
        <v>116</v>
      </c>
      <c r="D23" s="127" t="n">
        <v>0.003</v>
      </c>
      <c r="E23" s="104" t="n">
        <v>20</v>
      </c>
      <c r="F23" s="105" t="s">
        <v>117</v>
      </c>
    </row>
    <row r="24" customFormat="false" ht="30" hidden="false" customHeight="true" outlineLevel="0" collapsed="false">
      <c r="B24" s="107" t="s">
        <v>118</v>
      </c>
      <c r="C24" s="107" t="s">
        <v>119</v>
      </c>
      <c r="D24" s="133" t="n">
        <v>1000</v>
      </c>
      <c r="E24" s="134" t="n">
        <v>10</v>
      </c>
      <c r="F24" s="105" t="s">
        <v>120</v>
      </c>
    </row>
    <row r="25" customFormat="false" ht="30" hidden="false" customHeight="true" outlineLevel="0" collapsed="false">
      <c r="B25" s="107" t="s">
        <v>121</v>
      </c>
      <c r="C25" s="107" t="s">
        <v>122</v>
      </c>
      <c r="D25" s="135" t="n">
        <v>0.0256</v>
      </c>
      <c r="E25" s="104" t="n">
        <v>20</v>
      </c>
      <c r="F25" s="105" t="s">
        <v>123</v>
      </c>
    </row>
    <row r="26" customFormat="false" ht="30" hidden="false" customHeight="true" outlineLevel="0" collapsed="false">
      <c r="B26" s="107" t="s">
        <v>14</v>
      </c>
      <c r="C26" s="107" t="s">
        <v>124</v>
      </c>
      <c r="D26" s="127" t="n">
        <v>0.2</v>
      </c>
      <c r="E26" s="104" t="n">
        <v>20</v>
      </c>
      <c r="F26" s="105" t="s">
        <v>125</v>
      </c>
    </row>
    <row r="27" customFormat="false" ht="20.25" hidden="false" customHeight="true" outlineLevel="0" collapsed="false">
      <c r="B27" s="109"/>
      <c r="C27" s="109"/>
      <c r="D27" s="109"/>
      <c r="E27" s="109"/>
    </row>
    <row r="28" customFormat="false" ht="20.25" hidden="false" customHeight="true" outlineLevel="0" collapsed="false">
      <c r="B28" s="109"/>
      <c r="C28" s="109"/>
      <c r="D28" s="109"/>
      <c r="E28" s="109"/>
    </row>
    <row r="29" customFormat="false" ht="22.5" hidden="false" customHeight="true" outlineLevel="0" collapsed="false">
      <c r="B29" s="91" t="s">
        <v>126</v>
      </c>
      <c r="C29" s="92"/>
      <c r="D29" s="93"/>
      <c r="E29" s="109"/>
    </row>
    <row r="30" customFormat="false" ht="22.5" hidden="false" customHeight="true" outlineLevel="0" collapsed="false">
      <c r="B30" s="112" t="s">
        <v>127</v>
      </c>
      <c r="C30" s="136" t="s">
        <v>82</v>
      </c>
      <c r="D30" s="137" t="s">
        <v>83</v>
      </c>
      <c r="E30" s="109"/>
      <c r="F30" s="94" t="s">
        <v>64</v>
      </c>
    </row>
    <row r="31" customFormat="false" ht="30" hidden="false" customHeight="true" outlineLevel="0" collapsed="false">
      <c r="B31" s="116" t="s">
        <v>128</v>
      </c>
      <c r="C31" s="96" t="s">
        <v>129</v>
      </c>
      <c r="D31" s="138" t="n">
        <v>0.8</v>
      </c>
      <c r="E31" s="109"/>
      <c r="F31" s="105" t="s">
        <v>130</v>
      </c>
    </row>
    <row r="32" customFormat="false" ht="18.75" hidden="false" customHeight="true" outlineLevel="0" collapsed="false">
      <c r="B32" s="116" t="s">
        <v>131</v>
      </c>
      <c r="C32" s="96" t="s">
        <v>132</v>
      </c>
      <c r="D32" s="138" t="n">
        <v>15</v>
      </c>
      <c r="E32" s="109"/>
      <c r="F32" s="105" t="s">
        <v>133</v>
      </c>
    </row>
    <row r="33" customFormat="false" ht="18.75" hidden="false" customHeight="true" outlineLevel="0" collapsed="false">
      <c r="B33" s="107" t="s">
        <v>53</v>
      </c>
      <c r="C33" s="101" t="s">
        <v>134</v>
      </c>
      <c r="D33" s="127" t="n">
        <v>0.9</v>
      </c>
      <c r="E33" s="109"/>
      <c r="F33" s="105" t="s">
        <v>135</v>
      </c>
    </row>
    <row r="34" customFormat="false" ht="30" hidden="false" customHeight="true" outlineLevel="0" collapsed="false">
      <c r="B34" s="107" t="s">
        <v>54</v>
      </c>
      <c r="C34" s="101" t="s">
        <v>132</v>
      </c>
      <c r="D34" s="127" t="n">
        <v>4</v>
      </c>
      <c r="E34" s="109"/>
      <c r="F34" s="105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6"/>
      <c r="C37" s="17" t="s">
        <v>0</v>
      </c>
      <c r="D37" s="17" t="n">
        <v>2020</v>
      </c>
      <c r="E37" s="17" t="n">
        <v>2021</v>
      </c>
      <c r="F37" s="17" t="n">
        <v>2022</v>
      </c>
      <c r="G37" s="17" t="n">
        <v>2023</v>
      </c>
      <c r="H37" s="17" t="n">
        <v>2024</v>
      </c>
      <c r="I37" s="17" t="n">
        <v>2025</v>
      </c>
      <c r="J37" s="17" t="n">
        <v>2026</v>
      </c>
      <c r="K37" s="17" t="n">
        <v>2027</v>
      </c>
      <c r="L37" s="17" t="n">
        <v>2028</v>
      </c>
      <c r="M37" s="17" t="n">
        <v>2029</v>
      </c>
      <c r="N37" s="17" t="n">
        <v>2030</v>
      </c>
      <c r="O37" s="17" t="n">
        <v>2031</v>
      </c>
      <c r="P37" s="17" t="n">
        <v>2032</v>
      </c>
      <c r="Q37" s="17" t="n">
        <v>2033</v>
      </c>
      <c r="R37" s="17" t="n">
        <v>2034</v>
      </c>
      <c r="S37" s="17" t="n">
        <v>2035</v>
      </c>
      <c r="T37" s="17" t="n">
        <v>2036</v>
      </c>
      <c r="U37" s="17" t="n">
        <v>2037</v>
      </c>
      <c r="V37" s="17" t="n">
        <v>2038</v>
      </c>
      <c r="W37" s="17" t="n">
        <v>2039</v>
      </c>
      <c r="X37" s="17"/>
    </row>
    <row r="38" customFormat="false" ht="18.75" hidden="false" customHeight="true" outlineLevel="0" collapsed="false">
      <c r="B38" s="18" t="n">
        <v>0</v>
      </c>
      <c r="C38" s="19"/>
      <c r="D38" s="20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2"/>
      <c r="V38" s="22"/>
      <c r="W38" s="22"/>
      <c r="X38" s="139"/>
    </row>
    <row r="39" customFormat="false" ht="18.75" hidden="false" customHeight="true" outlineLevel="0" collapsed="false">
      <c r="B39" s="24" t="s">
        <v>23</v>
      </c>
      <c r="C39" s="25" t="n">
        <v>0</v>
      </c>
      <c r="D39" s="26" t="n">
        <v>1</v>
      </c>
      <c r="E39" s="26" t="n">
        <v>2</v>
      </c>
      <c r="F39" s="26" t="n">
        <v>3</v>
      </c>
      <c r="G39" s="26" t="n">
        <v>4</v>
      </c>
      <c r="H39" s="26" t="n">
        <v>5</v>
      </c>
      <c r="I39" s="26" t="n">
        <v>6</v>
      </c>
      <c r="J39" s="26" t="n">
        <v>7</v>
      </c>
      <c r="K39" s="26" t="n">
        <v>8</v>
      </c>
      <c r="L39" s="26" t="n">
        <v>9</v>
      </c>
      <c r="M39" s="26" t="n">
        <v>10</v>
      </c>
      <c r="N39" s="26" t="n">
        <v>11</v>
      </c>
      <c r="O39" s="26" t="n">
        <v>12</v>
      </c>
      <c r="P39" s="26" t="n">
        <v>13</v>
      </c>
      <c r="Q39" s="26" t="n">
        <v>14</v>
      </c>
      <c r="R39" s="26" t="n">
        <v>15</v>
      </c>
      <c r="S39" s="26" t="n">
        <v>16</v>
      </c>
      <c r="T39" s="27" t="n">
        <v>17</v>
      </c>
      <c r="U39" s="26" t="n">
        <v>18</v>
      </c>
      <c r="V39" s="26" t="n">
        <v>19</v>
      </c>
      <c r="W39" s="26" t="n">
        <v>20</v>
      </c>
      <c r="X39" s="140"/>
    </row>
    <row r="40" customFormat="false" ht="18.75" hidden="false" customHeight="true" outlineLevel="0" collapsed="false">
      <c r="B40" s="141" t="s">
        <v>24</v>
      </c>
      <c r="C40" s="29" t="n">
        <v>0</v>
      </c>
      <c r="D40" s="30" t="n">
        <f aca="false">$D$10*P1</f>
        <v>541531.98</v>
      </c>
      <c r="E40" s="30" t="n">
        <f aca="false">$D$10*Q1</f>
        <v>539343.972</v>
      </c>
      <c r="F40" s="30" t="n">
        <f aca="false">$D$10*R1</f>
        <v>537155.964</v>
      </c>
      <c r="G40" s="30" t="n">
        <f aca="false">$D$10*S1</f>
        <v>534967.956</v>
      </c>
      <c r="H40" s="30" t="n">
        <f aca="false">$D$10*T1</f>
        <v>532779.948</v>
      </c>
      <c r="I40" s="30" t="n">
        <f aca="false">$D$10*U1</f>
        <v>530591.94</v>
      </c>
      <c r="J40" s="30" t="n">
        <f aca="false">$D$10*V1</f>
        <v>528403.932</v>
      </c>
      <c r="K40" s="30" t="n">
        <f aca="false">$D$10*W1</f>
        <v>526215.924</v>
      </c>
      <c r="L40" s="30" t="n">
        <f aca="false">$D$10*X1</f>
        <v>524027.916</v>
      </c>
      <c r="M40" s="30" t="n">
        <f aca="false">$D$10*Y1</f>
        <v>521839.908</v>
      </c>
      <c r="N40" s="30" t="n">
        <f aca="false">$D$10*Z1</f>
        <v>519651.9</v>
      </c>
      <c r="O40" s="30" t="n">
        <f aca="false">$D$10*AA1</f>
        <v>517463.892</v>
      </c>
      <c r="P40" s="30" t="n">
        <f aca="false">$D$10*AB1</f>
        <v>515275.884</v>
      </c>
      <c r="Q40" s="30" t="n">
        <f aca="false">$D$10*AC1</f>
        <v>513087.876</v>
      </c>
      <c r="R40" s="30" t="n">
        <f aca="false">$D$10*AD1</f>
        <v>510899.868</v>
      </c>
      <c r="S40" s="30" t="n">
        <f aca="false">$D$10*AE1</f>
        <v>508711.86</v>
      </c>
      <c r="T40" s="30" t="n">
        <f aca="false">$D$10*AF1</f>
        <v>506523.852</v>
      </c>
      <c r="U40" s="30" t="n">
        <f aca="false">$D$10*AG1</f>
        <v>504335.844</v>
      </c>
      <c r="V40" s="30" t="n">
        <f aca="false">$D$10*AH1</f>
        <v>502147.836</v>
      </c>
      <c r="W40" s="30" t="n">
        <f aca="false">$D$10*AI1</f>
        <v>499959.828</v>
      </c>
      <c r="X40" s="142"/>
    </row>
    <row r="41" customFormat="false" ht="18.75" hidden="false" customHeight="true" outlineLevel="0" collapsed="false">
      <c r="B41" s="31" t="s">
        <v>25</v>
      </c>
      <c r="C41" s="32" t="s">
        <v>26</v>
      </c>
      <c r="D41" s="33" t="n">
        <f aca="false">D40*$D$13</f>
        <v>2166127.92</v>
      </c>
      <c r="E41" s="33" t="n">
        <f aca="false">E40*$D$13</f>
        <v>2157375.888</v>
      </c>
      <c r="F41" s="33" t="n">
        <f aca="false">F40*$D$13</f>
        <v>2148623.856</v>
      </c>
      <c r="G41" s="33" t="n">
        <f aca="false">G40*$D$13</f>
        <v>2139871.824</v>
      </c>
      <c r="H41" s="33" t="n">
        <f aca="false">H40*$D$13</f>
        <v>2131119.792</v>
      </c>
      <c r="I41" s="33" t="n">
        <f aca="false">I40*$D$13</f>
        <v>2122367.76</v>
      </c>
      <c r="J41" s="33" t="n">
        <f aca="false">J40*$D$13</f>
        <v>2113615.728</v>
      </c>
      <c r="K41" s="33" t="n">
        <f aca="false">K40*$D$13</f>
        <v>2104863.696</v>
      </c>
      <c r="L41" s="33" t="n">
        <f aca="false">L40*$D$13</f>
        <v>2096111.664</v>
      </c>
      <c r="M41" s="33" t="n">
        <f aca="false">M40*$D$13</f>
        <v>2087359.632</v>
      </c>
      <c r="N41" s="33" t="n">
        <f aca="false">N40*$D$13</f>
        <v>2078607.6</v>
      </c>
      <c r="O41" s="33" t="n">
        <f aca="false">O40*$D$13</f>
        <v>2069855.568</v>
      </c>
      <c r="P41" s="33" t="n">
        <f aca="false">P40*$D$13</f>
        <v>2061103.536</v>
      </c>
      <c r="Q41" s="33" t="n">
        <f aca="false">Q40*$D$13</f>
        <v>2052351.504</v>
      </c>
      <c r="R41" s="33" t="n">
        <f aca="false">R40*$D$13</f>
        <v>2043599.472</v>
      </c>
      <c r="S41" s="33" t="n">
        <f aca="false">S40*$D$13</f>
        <v>2034847.44</v>
      </c>
      <c r="T41" s="33" t="n">
        <f aca="false">T40*$D$13</f>
        <v>2026095.408</v>
      </c>
      <c r="U41" s="33" t="n">
        <f aca="false">U40*$D$13</f>
        <v>2017343.376</v>
      </c>
      <c r="V41" s="33" t="n">
        <f aca="false">V40*$D$13</f>
        <v>2008591.344</v>
      </c>
      <c r="W41" s="33" t="n">
        <f aca="false">W40*$D$13</f>
        <v>1999839.312</v>
      </c>
      <c r="X41" s="143"/>
    </row>
    <row r="42" customFormat="false" ht="18.75" hidden="false" customHeight="true" outlineLevel="0" collapsed="false">
      <c r="B42" s="34" t="s">
        <v>27</v>
      </c>
      <c r="C42" s="35" t="s">
        <v>26</v>
      </c>
      <c r="D42" s="144"/>
      <c r="E42" s="144"/>
      <c r="F42" s="144"/>
      <c r="G42" s="37" t="s">
        <v>26</v>
      </c>
      <c r="H42" s="37" t="s">
        <v>26</v>
      </c>
      <c r="I42" s="37" t="s">
        <v>26</v>
      </c>
      <c r="J42" s="37" t="s">
        <v>26</v>
      </c>
      <c r="K42" s="37" t="s">
        <v>26</v>
      </c>
      <c r="L42" s="37" t="s">
        <v>26</v>
      </c>
      <c r="M42" s="37" t="s">
        <v>26</v>
      </c>
      <c r="N42" s="37" t="s">
        <v>26</v>
      </c>
      <c r="O42" s="37" t="s">
        <v>26</v>
      </c>
      <c r="P42" s="37" t="s">
        <v>26</v>
      </c>
      <c r="Q42" s="37" t="s">
        <v>26</v>
      </c>
      <c r="R42" s="37" t="s">
        <v>26</v>
      </c>
      <c r="S42" s="37" t="s">
        <v>26</v>
      </c>
      <c r="T42" s="37" t="s">
        <v>26</v>
      </c>
      <c r="U42" s="37" t="s">
        <v>26</v>
      </c>
      <c r="V42" s="37" t="s">
        <v>26</v>
      </c>
      <c r="W42" s="37" t="s">
        <v>26</v>
      </c>
      <c r="X42" s="145"/>
    </row>
    <row r="43" customFormat="false" ht="18.75" hidden="false" customHeight="true" outlineLevel="0" collapsed="false">
      <c r="B43" s="38" t="s">
        <v>28</v>
      </c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8"/>
    </row>
    <row r="44" customFormat="false" ht="18.75" hidden="false" customHeight="true" outlineLevel="0" collapsed="false">
      <c r="B44" s="41" t="s">
        <v>29</v>
      </c>
      <c r="C44" s="42" t="n">
        <f aca="false">-(D16/(1-D17)+D18)*C4</f>
        <v>-20185200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</row>
    <row r="45" customFormat="false" ht="18.75" hidden="false" customHeight="true" outlineLevel="0" collapsed="false">
      <c r="B45" s="41" t="s">
        <v>30</v>
      </c>
      <c r="C45" s="35" t="s">
        <v>26</v>
      </c>
      <c r="D45" s="106" t="n">
        <v>-290201</v>
      </c>
      <c r="E45" s="149" t="n">
        <v>-290201</v>
      </c>
      <c r="F45" s="149" t="n">
        <v>-290201</v>
      </c>
      <c r="G45" s="149" t="n">
        <v>-290201</v>
      </c>
      <c r="H45" s="149" t="n">
        <v>-290201</v>
      </c>
      <c r="I45" s="149" t="n">
        <v>-290201</v>
      </c>
      <c r="J45" s="149" t="n">
        <v>-290201</v>
      </c>
      <c r="K45" s="149" t="n">
        <v>-290201</v>
      </c>
      <c r="L45" s="149" t="n">
        <v>-290201</v>
      </c>
      <c r="M45" s="149" t="n">
        <v>-290201</v>
      </c>
      <c r="N45" s="149" t="n">
        <v>-290201</v>
      </c>
      <c r="O45" s="149" t="n">
        <v>-290201</v>
      </c>
      <c r="P45" s="149" t="n">
        <v>-290201</v>
      </c>
      <c r="Q45" s="149" t="n">
        <v>-290201</v>
      </c>
      <c r="R45" s="149" t="n">
        <v>-290201</v>
      </c>
      <c r="S45" s="149" t="n">
        <v>-290201</v>
      </c>
      <c r="T45" s="149" t="n">
        <v>-290201</v>
      </c>
      <c r="U45" s="149" t="n">
        <v>-290201</v>
      </c>
      <c r="V45" s="149" t="n">
        <v>-290201</v>
      </c>
      <c r="W45" s="149" t="n">
        <v>-290201</v>
      </c>
      <c r="X45" s="149"/>
    </row>
    <row r="46" customFormat="false" ht="18.75" hidden="false" customHeight="true" outlineLevel="0" collapsed="false">
      <c r="B46" s="41" t="s">
        <v>31</v>
      </c>
      <c r="C46" s="35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</row>
    <row r="47" customFormat="false" ht="18.75" hidden="false" customHeight="true" outlineLevel="0" collapsed="false">
      <c r="B47" s="41" t="s">
        <v>32</v>
      </c>
      <c r="C47" s="35" t="s">
        <v>26</v>
      </c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</row>
    <row r="48" customFormat="false" ht="18.75" hidden="false" customHeight="true" outlineLevel="0" collapsed="false">
      <c r="B48" s="41" t="s">
        <v>33</v>
      </c>
      <c r="C48" s="35" t="s">
        <v>26</v>
      </c>
      <c r="D48" s="149" t="n">
        <v>-174440</v>
      </c>
      <c r="E48" s="149" t="n">
        <v>-174440</v>
      </c>
      <c r="F48" s="149" t="n">
        <v>-174440</v>
      </c>
      <c r="G48" s="149" t="n">
        <v>-174440</v>
      </c>
      <c r="H48" s="149" t="n">
        <v>-174440</v>
      </c>
      <c r="I48" s="149" t="n">
        <v>-174440</v>
      </c>
      <c r="J48" s="149" t="n">
        <v>-174440</v>
      </c>
      <c r="K48" s="149" t="n">
        <v>-174440</v>
      </c>
      <c r="L48" s="149" t="n">
        <v>-174440</v>
      </c>
      <c r="M48" s="149" t="n">
        <v>-174440</v>
      </c>
      <c r="N48" s="149" t="n">
        <v>-174440</v>
      </c>
      <c r="O48" s="149" t="n">
        <v>-174440</v>
      </c>
      <c r="P48" s="149" t="n">
        <v>-174440</v>
      </c>
      <c r="Q48" s="149" t="n">
        <v>-174440</v>
      </c>
      <c r="R48" s="149" t="n">
        <v>-174440</v>
      </c>
      <c r="S48" s="149" t="n">
        <v>-174440</v>
      </c>
      <c r="T48" s="149" t="n">
        <v>-174440</v>
      </c>
      <c r="U48" s="149" t="n">
        <v>-174440</v>
      </c>
      <c r="V48" s="149" t="n">
        <v>-174440</v>
      </c>
      <c r="W48" s="149" t="n">
        <v>-174440</v>
      </c>
      <c r="X48" s="149"/>
    </row>
    <row r="49" customFormat="false" ht="18.75" hidden="false" customHeight="true" outlineLevel="0" collapsed="false">
      <c r="B49" s="41" t="s">
        <v>34</v>
      </c>
      <c r="C49" s="35" t="s">
        <v>26</v>
      </c>
      <c r="D49" s="149" t="n">
        <v>-40000</v>
      </c>
      <c r="E49" s="149" t="n">
        <v>-40000</v>
      </c>
      <c r="F49" s="149" t="n">
        <v>-40000</v>
      </c>
      <c r="G49" s="149" t="n">
        <v>-40000</v>
      </c>
      <c r="H49" s="149" t="n">
        <v>-40000</v>
      </c>
      <c r="I49" s="149" t="n">
        <v>-40000</v>
      </c>
      <c r="J49" s="149" t="n">
        <v>-40000</v>
      </c>
      <c r="K49" s="149" t="n">
        <v>-40000</v>
      </c>
      <c r="L49" s="149" t="n">
        <v>-40000</v>
      </c>
      <c r="M49" s="149" t="n">
        <v>-40000</v>
      </c>
      <c r="N49" s="149" t="n">
        <v>-40000</v>
      </c>
      <c r="O49" s="149" t="n">
        <v>-40000</v>
      </c>
      <c r="P49" s="149" t="n">
        <v>-40000</v>
      </c>
      <c r="Q49" s="149" t="n">
        <v>-40000</v>
      </c>
      <c r="R49" s="149" t="n">
        <v>-40000</v>
      </c>
      <c r="S49" s="149" t="n">
        <v>-40000</v>
      </c>
      <c r="T49" s="149" t="n">
        <v>-40000</v>
      </c>
      <c r="U49" s="149" t="n">
        <v>-40000</v>
      </c>
      <c r="V49" s="149" t="n">
        <v>-40000</v>
      </c>
      <c r="W49" s="149" t="n">
        <v>-40000</v>
      </c>
      <c r="X49" s="149"/>
    </row>
    <row r="50" customFormat="false" ht="18.75" hidden="false" customHeight="true" outlineLevel="0" collapsed="false">
      <c r="B50" s="41" t="s">
        <v>35</v>
      </c>
      <c r="C50" s="35"/>
      <c r="D50" s="149" t="n">
        <v>-43610</v>
      </c>
      <c r="E50" s="149" t="n">
        <v>-43610</v>
      </c>
      <c r="F50" s="149" t="n">
        <v>-43610</v>
      </c>
      <c r="G50" s="149" t="n">
        <v>-43610</v>
      </c>
      <c r="H50" s="149" t="n">
        <v>-43610</v>
      </c>
      <c r="I50" s="149" t="n">
        <v>-43610</v>
      </c>
      <c r="J50" s="149" t="n">
        <v>-43610</v>
      </c>
      <c r="K50" s="149" t="n">
        <v>-43610</v>
      </c>
      <c r="L50" s="149" t="n">
        <v>-43610</v>
      </c>
      <c r="M50" s="149" t="n">
        <v>-43610</v>
      </c>
      <c r="N50" s="149" t="n">
        <v>0</v>
      </c>
      <c r="O50" s="149" t="n">
        <v>0</v>
      </c>
      <c r="P50" s="149" t="n">
        <v>0</v>
      </c>
      <c r="Q50" s="149" t="n">
        <v>0</v>
      </c>
      <c r="R50" s="149" t="n">
        <v>0</v>
      </c>
      <c r="S50" s="149" t="n">
        <v>0</v>
      </c>
      <c r="T50" s="149" t="n">
        <v>0</v>
      </c>
      <c r="U50" s="149" t="n">
        <v>0</v>
      </c>
      <c r="V50" s="149" t="n">
        <v>0</v>
      </c>
      <c r="W50" s="149" t="n">
        <v>0</v>
      </c>
      <c r="X50" s="149"/>
    </row>
    <row r="51" customFormat="false" ht="18.75" hidden="false" customHeight="true" outlineLevel="0" collapsed="false">
      <c r="B51" s="41" t="s">
        <v>36</v>
      </c>
      <c r="C51" s="44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</row>
    <row r="52" customFormat="false" ht="18.75" hidden="false" customHeight="true" outlineLevel="0" collapsed="false">
      <c r="B52" s="41" t="s">
        <v>37</v>
      </c>
      <c r="C52" s="44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</row>
    <row r="53" customFormat="false" ht="18.75" hidden="false" customHeight="true" outlineLevel="0" collapsed="false">
      <c r="B53" s="45" t="s">
        <v>38</v>
      </c>
      <c r="C53" s="44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</row>
    <row r="54" customFormat="false" ht="18.75" hidden="false" customHeight="true" outlineLevel="0" collapsed="false">
      <c r="B54" s="45" t="s">
        <v>39</v>
      </c>
      <c r="C54" s="44"/>
      <c r="D54" s="149" t="n">
        <f aca="false">D77</f>
        <v>-179763.584</v>
      </c>
      <c r="E54" s="149" t="n">
        <f aca="false">E77</f>
        <v>-119972.9776</v>
      </c>
      <c r="F54" s="149" t="n">
        <f aca="false">F77</f>
        <v>-118222.5712</v>
      </c>
      <c r="G54" s="149" t="n">
        <f aca="false">G77</f>
        <v>-116472.1648</v>
      </c>
      <c r="H54" s="149" t="n">
        <f aca="false">H77</f>
        <v>-114721.7584</v>
      </c>
      <c r="I54" s="149" t="n">
        <f aca="false">I77</f>
        <v>-112971.352</v>
      </c>
      <c r="J54" s="149" t="n">
        <f aca="false">J77</f>
        <v>-111220.9456</v>
      </c>
      <c r="K54" s="149" t="n">
        <f aca="false">K77</f>
        <v>-109470.5392</v>
      </c>
      <c r="L54" s="149" t="n">
        <f aca="false">L77</f>
        <v>-107720.1328</v>
      </c>
      <c r="M54" s="149" t="n">
        <f aca="false">M77</f>
        <v>-105969.7264</v>
      </c>
      <c r="N54" s="149" t="n">
        <f aca="false">N77</f>
        <v>-112941.32</v>
      </c>
      <c r="O54" s="149" t="n">
        <f aca="false">O77</f>
        <v>-111190.9136</v>
      </c>
      <c r="P54" s="149" t="n">
        <f aca="false">P77</f>
        <v>-109440.5072</v>
      </c>
      <c r="Q54" s="149" t="n">
        <f aca="false">Q77</f>
        <v>-107690.1008</v>
      </c>
      <c r="R54" s="149" t="n">
        <f aca="false">R77</f>
        <v>-105939.6944</v>
      </c>
      <c r="S54" s="149" t="n">
        <f aca="false">S77</f>
        <v>-104189.288</v>
      </c>
      <c r="T54" s="149" t="n">
        <f aca="false">T77</f>
        <v>-102438.8816</v>
      </c>
      <c r="U54" s="149" t="n">
        <f aca="false">U77</f>
        <v>-100688.4752</v>
      </c>
      <c r="V54" s="149" t="n">
        <f aca="false">V77</f>
        <v>-98938.0687999999</v>
      </c>
      <c r="W54" s="149" t="n">
        <f aca="false">W77</f>
        <v>-97187.6623999999</v>
      </c>
      <c r="X54" s="144"/>
    </row>
    <row r="55" customFormat="false" ht="18.75" hidden="false" customHeight="true" outlineLevel="0" collapsed="false">
      <c r="B55" s="46" t="s">
        <v>40</v>
      </c>
      <c r="C55" s="47" t="n">
        <f aca="false">C44</f>
        <v>-20185200</v>
      </c>
      <c r="D55" s="48" t="n">
        <f aca="false">SUM(D41:D54)</f>
        <v>1438113.336</v>
      </c>
      <c r="E55" s="48" t="n">
        <f aca="false">SUM(E41:E54)</f>
        <v>1489151.9104</v>
      </c>
      <c r="F55" s="48" t="n">
        <f aca="false">SUM(F41:F54)</f>
        <v>1482150.2848</v>
      </c>
      <c r="G55" s="48" t="n">
        <f aca="false">SUM(G41:G54)</f>
        <v>1475148.6592</v>
      </c>
      <c r="H55" s="48" t="n">
        <f aca="false">SUM(H41:H54)</f>
        <v>1468147.0336</v>
      </c>
      <c r="I55" s="48" t="n">
        <f aca="false">SUM(I41:I54)</f>
        <v>1461145.408</v>
      </c>
      <c r="J55" s="48" t="n">
        <f aca="false">SUM(J41:J54)</f>
        <v>1454143.7824</v>
      </c>
      <c r="K55" s="48" t="n">
        <f aca="false">SUM(K41:K54)</f>
        <v>1447142.1568</v>
      </c>
      <c r="L55" s="48" t="n">
        <f aca="false">SUM(L41:L54)</f>
        <v>1440140.5312</v>
      </c>
      <c r="M55" s="48" t="n">
        <f aca="false">SUM(M41:M54)</f>
        <v>1433138.9056</v>
      </c>
      <c r="N55" s="48" t="n">
        <f aca="false">SUM(N41:N54)</f>
        <v>1461025.28</v>
      </c>
      <c r="O55" s="48" t="n">
        <f aca="false">SUM(O41:O54)</f>
        <v>1454023.6544</v>
      </c>
      <c r="P55" s="48" t="n">
        <f aca="false">SUM(P41:P54)</f>
        <v>1447022.0288</v>
      </c>
      <c r="Q55" s="48" t="n">
        <f aca="false">SUM(Q41:Q54)</f>
        <v>1440020.4032</v>
      </c>
      <c r="R55" s="48" t="n">
        <f aca="false">SUM(R41:R54)</f>
        <v>1433018.7776</v>
      </c>
      <c r="S55" s="48" t="n">
        <f aca="false">SUM(S41:S54)</f>
        <v>1426017.152</v>
      </c>
      <c r="T55" s="48" t="n">
        <f aca="false">SUM(T41:T54)</f>
        <v>1419015.5264</v>
      </c>
      <c r="U55" s="48" t="n">
        <f aca="false">SUM(U41:U54)</f>
        <v>1412013.9008</v>
      </c>
      <c r="V55" s="48" t="n">
        <f aca="false">SUM(V41:V54)</f>
        <v>1405012.2752</v>
      </c>
      <c r="W55" s="48" t="n">
        <f aca="false">SUM(W41:W54)</f>
        <v>1398010.6496</v>
      </c>
      <c r="X55" s="150"/>
      <c r="Y55" s="151"/>
      <c r="Z55" s="152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customFormat="false" ht="18.75" hidden="false" customHeight="true" outlineLevel="0" collapsed="false">
      <c r="B56" s="49" t="s">
        <v>41</v>
      </c>
      <c r="D56" s="50" t="n">
        <f aca="false">C55+D55</f>
        <v>-18747086.664</v>
      </c>
      <c r="E56" s="50" t="n">
        <f aca="false">D56+E55</f>
        <v>-17257934.7536</v>
      </c>
      <c r="F56" s="50" t="n">
        <f aca="false">E56+F55</f>
        <v>-15775784.4688</v>
      </c>
      <c r="G56" s="50" t="n">
        <f aca="false">F56+G55</f>
        <v>-14300635.8096</v>
      </c>
      <c r="H56" s="50" t="n">
        <f aca="false">G56+H55</f>
        <v>-12832488.776</v>
      </c>
      <c r="I56" s="50" t="n">
        <f aca="false">H56+I55</f>
        <v>-11371343.368</v>
      </c>
      <c r="J56" s="50" t="n">
        <f aca="false">I56+J55</f>
        <v>-9917199.5856</v>
      </c>
      <c r="K56" s="50" t="n">
        <f aca="false">J56+K55</f>
        <v>-8470057.4288</v>
      </c>
      <c r="L56" s="50" t="n">
        <f aca="false">K56+L55</f>
        <v>-7029916.8976</v>
      </c>
      <c r="M56" s="50" t="n">
        <f aca="false">L56+M55</f>
        <v>-5596777.992</v>
      </c>
      <c r="N56" s="50" t="n">
        <f aca="false">M56+N55</f>
        <v>-4135752.712</v>
      </c>
      <c r="O56" s="50" t="n">
        <f aca="false">N56+O55</f>
        <v>-2681729.0576</v>
      </c>
      <c r="P56" s="50" t="n">
        <f aca="false">O56+P55</f>
        <v>-1234707.0288</v>
      </c>
      <c r="Q56" s="50" t="n">
        <f aca="false">P56+Q55</f>
        <v>205313.374399997</v>
      </c>
      <c r="R56" s="50" t="n">
        <f aca="false">Q56+R55</f>
        <v>1638332.152</v>
      </c>
      <c r="S56" s="50" t="n">
        <f aca="false">R56+S55</f>
        <v>3064349.304</v>
      </c>
      <c r="T56" s="50" t="n">
        <f aca="false">S56+T55</f>
        <v>4483364.8304</v>
      </c>
      <c r="U56" s="50" t="n">
        <f aca="false">T56+U55</f>
        <v>5895378.7312</v>
      </c>
      <c r="V56" s="50" t="n">
        <f aca="false">U56+V55</f>
        <v>7300391.0064</v>
      </c>
      <c r="W56" s="50" t="n">
        <f aca="false">V56+W55</f>
        <v>8698401.656</v>
      </c>
      <c r="X56" s="50" t="n">
        <f aca="false">W56+X55</f>
        <v>8698401.656</v>
      </c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</row>
    <row r="57" customFormat="false" ht="18.75" hidden="false" customHeight="true" outlineLevel="0" collapsed="false">
      <c r="B57" s="51" t="s">
        <v>42</v>
      </c>
      <c r="C57" s="52"/>
      <c r="D57" s="53" t="str">
        <f aca="false">IF((D56)&gt;0,"回收","未回收")</f>
        <v>未回收</v>
      </c>
      <c r="E57" s="54" t="str">
        <f aca="false">IF((E56)&gt;0,"回收","未回收")</f>
        <v>未回收</v>
      </c>
      <c r="F57" s="54" t="str">
        <f aca="false">IF((F56)&gt;0,"回收","未回收")</f>
        <v>未回收</v>
      </c>
      <c r="G57" s="54" t="str">
        <f aca="false">IF((G56)&gt;0,"回收","未回收")</f>
        <v>未回收</v>
      </c>
      <c r="H57" s="54" t="str">
        <f aca="false">IF((H56)&gt;0,"回收","未回收")</f>
        <v>未回收</v>
      </c>
      <c r="I57" s="54" t="str">
        <f aca="false">IF((I56)&gt;0,"回收","未回收")</f>
        <v>未回收</v>
      </c>
      <c r="J57" s="54" t="str">
        <f aca="false">IF((J56)&gt;0,"回收","未回收")</f>
        <v>未回收</v>
      </c>
      <c r="K57" s="54" t="str">
        <f aca="false">IF((K56)&gt;0,"回收","未回收")</f>
        <v>未回收</v>
      </c>
      <c r="L57" s="54" t="str">
        <f aca="false">IF((L56)&gt;0,"回收","未回收")</f>
        <v>未回收</v>
      </c>
      <c r="M57" s="54" t="str">
        <f aca="false">IF((M56)&gt;0,"回收","未回收")</f>
        <v>未回收</v>
      </c>
      <c r="N57" s="54" t="str">
        <f aca="false">IF((N56)&gt;0,"回收","未回收")</f>
        <v>未回收</v>
      </c>
      <c r="O57" s="54" t="str">
        <f aca="false">IF((O56)&gt;0,"回收","未回收")</f>
        <v>未回收</v>
      </c>
      <c r="P57" s="54" t="str">
        <f aca="false">IF((P56)&gt;0,"回收","未回收")</f>
        <v>未回收</v>
      </c>
      <c r="Q57" s="54" t="str">
        <f aca="false">IF((Q56)&gt;0,"回收","未回收")</f>
        <v>回收</v>
      </c>
      <c r="R57" s="54" t="str">
        <f aca="false">IF((R56)&gt;0,"回收","未回收")</f>
        <v>回收</v>
      </c>
      <c r="S57" s="54" t="str">
        <f aca="false">IF((S56)&gt;0,"回收","未回收")</f>
        <v>回收</v>
      </c>
      <c r="T57" s="54" t="str">
        <f aca="false">IF((T56)&gt;0,"回收","未回收")</f>
        <v>回收</v>
      </c>
      <c r="U57" s="54" t="str">
        <f aca="false">IF((U56)&gt;0,"回收","未回收")</f>
        <v>回收</v>
      </c>
      <c r="V57" s="54" t="str">
        <f aca="false">IF((V56)&gt;0,"回收","未回收")</f>
        <v>回收</v>
      </c>
      <c r="W57" s="54" t="str">
        <f aca="false">IF((W56)&gt;0,"回收","未回收")</f>
        <v>回收</v>
      </c>
      <c r="X57" s="54" t="str">
        <f aca="false">IF((X56)&gt;0,"回收","未回收")</f>
        <v>回收</v>
      </c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</row>
    <row r="58" customFormat="false" ht="18.75" hidden="false" customHeight="true" outlineLevel="0" collapsed="false">
      <c r="B58" s="55" t="s">
        <v>43</v>
      </c>
      <c r="C58" s="56" t="n">
        <f aca="false">IRR(C55:W55)</f>
        <v>0.0371745429835076</v>
      </c>
      <c r="D58" s="57"/>
      <c r="E58" s="57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</row>
    <row r="59" customFormat="false" ht="18.75" hidden="false" customHeight="true" outlineLevel="0" collapsed="false">
      <c r="B59" s="58"/>
      <c r="C59" s="57"/>
      <c r="D59" s="57"/>
      <c r="E59" s="57"/>
      <c r="F59" s="58"/>
      <c r="G59" s="58"/>
      <c r="H59" s="58"/>
      <c r="I59" s="58"/>
      <c r="J59" s="58"/>
      <c r="K59" s="58"/>
      <c r="L59" s="58"/>
      <c r="M59" s="57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customFormat="false" ht="18.75" hidden="false" customHeight="true" outlineLevel="0" collapsed="false">
      <c r="B60" s="16"/>
      <c r="C60" s="17" t="s">
        <v>0</v>
      </c>
      <c r="D60" s="17" t="n">
        <f aca="false">D37</f>
        <v>2020</v>
      </c>
      <c r="E60" s="17" t="n">
        <f aca="false">E37</f>
        <v>2021</v>
      </c>
      <c r="F60" s="17" t="n">
        <f aca="false">F37</f>
        <v>2022</v>
      </c>
      <c r="G60" s="17" t="n">
        <f aca="false">G37</f>
        <v>2023</v>
      </c>
      <c r="H60" s="17" t="n">
        <f aca="false">H37</f>
        <v>2024</v>
      </c>
      <c r="I60" s="17" t="n">
        <f aca="false">I37</f>
        <v>2025</v>
      </c>
      <c r="J60" s="17" t="n">
        <f aca="false">J37</f>
        <v>2026</v>
      </c>
      <c r="K60" s="17" t="n">
        <f aca="false">K37</f>
        <v>2027</v>
      </c>
      <c r="L60" s="17" t="n">
        <f aca="false">L37</f>
        <v>2028</v>
      </c>
      <c r="M60" s="17" t="n">
        <f aca="false">M37</f>
        <v>2029</v>
      </c>
      <c r="N60" s="17" t="n">
        <f aca="false">N37</f>
        <v>2030</v>
      </c>
      <c r="O60" s="17" t="n">
        <f aca="false">O37</f>
        <v>2031</v>
      </c>
      <c r="P60" s="17" t="n">
        <f aca="false">P37</f>
        <v>2032</v>
      </c>
      <c r="Q60" s="17" t="n">
        <f aca="false">Q37</f>
        <v>2033</v>
      </c>
      <c r="R60" s="17" t="n">
        <f aca="false">R37</f>
        <v>2034</v>
      </c>
      <c r="S60" s="17" t="n">
        <f aca="false">S37</f>
        <v>2035</v>
      </c>
      <c r="T60" s="17" t="n">
        <f aca="false">T37</f>
        <v>2036</v>
      </c>
      <c r="U60" s="17" t="n">
        <f aca="false">U37</f>
        <v>2037</v>
      </c>
      <c r="V60" s="17" t="n">
        <f aca="false">V37</f>
        <v>2038</v>
      </c>
      <c r="W60" s="17" t="n">
        <f aca="false">W37</f>
        <v>2039</v>
      </c>
      <c r="X60" s="17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</row>
    <row r="61" customFormat="false" ht="18.75" hidden="false" customHeight="true" outlineLevel="0" collapsed="false">
      <c r="B61" s="18" t="n">
        <v>0</v>
      </c>
      <c r="C61" s="19"/>
      <c r="D61" s="20"/>
      <c r="E61" s="20"/>
      <c r="F61" s="2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59" t="s">
        <v>44</v>
      </c>
      <c r="U61" s="22"/>
      <c r="V61" s="22"/>
      <c r="W61" s="22"/>
      <c r="X61" s="139"/>
    </row>
    <row r="62" customFormat="false" ht="18.75" hidden="false" customHeight="true" outlineLevel="0" collapsed="false">
      <c r="B62" s="24" t="s">
        <v>23</v>
      </c>
      <c r="C62" s="25" t="n">
        <v>0</v>
      </c>
      <c r="D62" s="26" t="n">
        <v>1</v>
      </c>
      <c r="E62" s="26" t="n">
        <v>2</v>
      </c>
      <c r="F62" s="26" t="n">
        <v>3</v>
      </c>
      <c r="G62" s="26" t="n">
        <v>4</v>
      </c>
      <c r="H62" s="26" t="n">
        <v>5</v>
      </c>
      <c r="I62" s="26" t="n">
        <v>6</v>
      </c>
      <c r="J62" s="26" t="n">
        <v>7</v>
      </c>
      <c r="K62" s="26" t="n">
        <v>8</v>
      </c>
      <c r="L62" s="26" t="n">
        <v>9</v>
      </c>
      <c r="M62" s="26" t="n">
        <v>10</v>
      </c>
      <c r="N62" s="26" t="n">
        <v>11</v>
      </c>
      <c r="O62" s="26" t="n">
        <v>12</v>
      </c>
      <c r="P62" s="26" t="n">
        <v>13</v>
      </c>
      <c r="Q62" s="26" t="n">
        <v>14</v>
      </c>
      <c r="R62" s="26" t="n">
        <v>15</v>
      </c>
      <c r="S62" s="26" t="n">
        <v>16</v>
      </c>
      <c r="T62" s="60" t="n">
        <v>17</v>
      </c>
      <c r="U62" s="26" t="n">
        <v>18</v>
      </c>
      <c r="V62" s="26" t="n">
        <v>19</v>
      </c>
      <c r="W62" s="26" t="n">
        <v>20</v>
      </c>
      <c r="X62" s="140"/>
    </row>
    <row r="63" customFormat="false" ht="18.75" hidden="false" customHeight="true" outlineLevel="0" collapsed="false">
      <c r="B63" s="141" t="s">
        <v>24</v>
      </c>
      <c r="C63" s="29" t="n">
        <v>0</v>
      </c>
      <c r="D63" s="30" t="n">
        <f aca="false">D40</f>
        <v>541531.98</v>
      </c>
      <c r="E63" s="30" t="n">
        <f aca="false">E40</f>
        <v>539343.972</v>
      </c>
      <c r="F63" s="30" t="n">
        <f aca="false">F40</f>
        <v>537155.964</v>
      </c>
      <c r="G63" s="30" t="n">
        <f aca="false">G40</f>
        <v>534967.956</v>
      </c>
      <c r="H63" s="30" t="n">
        <f aca="false">H40</f>
        <v>532779.948</v>
      </c>
      <c r="I63" s="30" t="n">
        <f aca="false">I40</f>
        <v>530591.94</v>
      </c>
      <c r="J63" s="30" t="n">
        <f aca="false">J40</f>
        <v>528403.932</v>
      </c>
      <c r="K63" s="30" t="n">
        <f aca="false">K40</f>
        <v>526215.924</v>
      </c>
      <c r="L63" s="30" t="n">
        <f aca="false">L40</f>
        <v>524027.916</v>
      </c>
      <c r="M63" s="30" t="n">
        <f aca="false">M40</f>
        <v>521839.908</v>
      </c>
      <c r="N63" s="30" t="n">
        <f aca="false">N40</f>
        <v>519651.9</v>
      </c>
      <c r="O63" s="30" t="n">
        <f aca="false">O40</f>
        <v>517463.892</v>
      </c>
      <c r="P63" s="30" t="n">
        <f aca="false">P40</f>
        <v>515275.884</v>
      </c>
      <c r="Q63" s="30" t="n">
        <f aca="false">Q40</f>
        <v>513087.876</v>
      </c>
      <c r="R63" s="30" t="n">
        <f aca="false">R40</f>
        <v>510899.868</v>
      </c>
      <c r="S63" s="30" t="n">
        <f aca="false">S40</f>
        <v>508711.86</v>
      </c>
      <c r="T63" s="30" t="n">
        <f aca="false">T40</f>
        <v>506523.852</v>
      </c>
      <c r="U63" s="30" t="n">
        <f aca="false">U40</f>
        <v>504335.844</v>
      </c>
      <c r="V63" s="30" t="n">
        <f aca="false">V40</f>
        <v>502147.836</v>
      </c>
      <c r="W63" s="30" t="n">
        <f aca="false">W40</f>
        <v>499959.828</v>
      </c>
      <c r="X63" s="142"/>
    </row>
    <row r="64" customFormat="false" ht="18.75" hidden="false" customHeight="true" outlineLevel="0" collapsed="false">
      <c r="B64" s="31" t="s">
        <v>25</v>
      </c>
      <c r="C64" s="32" t="s">
        <v>26</v>
      </c>
      <c r="D64" s="33" t="n">
        <f aca="false">D41</f>
        <v>2166127.92</v>
      </c>
      <c r="E64" s="33" t="n">
        <f aca="false">E41</f>
        <v>2157375.888</v>
      </c>
      <c r="F64" s="33" t="n">
        <f aca="false">F41</f>
        <v>2148623.856</v>
      </c>
      <c r="G64" s="33" t="n">
        <f aca="false">G41</f>
        <v>2139871.824</v>
      </c>
      <c r="H64" s="33" t="n">
        <f aca="false">H41</f>
        <v>2131119.792</v>
      </c>
      <c r="I64" s="33" t="n">
        <f aca="false">I41</f>
        <v>2122367.76</v>
      </c>
      <c r="J64" s="33" t="n">
        <f aca="false">J41</f>
        <v>2113615.728</v>
      </c>
      <c r="K64" s="33" t="n">
        <f aca="false">K41</f>
        <v>2104863.696</v>
      </c>
      <c r="L64" s="33" t="n">
        <f aca="false">L41</f>
        <v>2096111.664</v>
      </c>
      <c r="M64" s="33" t="n">
        <f aca="false">M41</f>
        <v>2087359.632</v>
      </c>
      <c r="N64" s="33" t="n">
        <f aca="false">N41</f>
        <v>2078607.6</v>
      </c>
      <c r="O64" s="33" t="n">
        <f aca="false">O41</f>
        <v>2069855.568</v>
      </c>
      <c r="P64" s="33" t="n">
        <f aca="false">P41</f>
        <v>2061103.536</v>
      </c>
      <c r="Q64" s="33" t="n">
        <f aca="false">Q41</f>
        <v>2052351.504</v>
      </c>
      <c r="R64" s="33" t="n">
        <f aca="false">R41</f>
        <v>2043599.472</v>
      </c>
      <c r="S64" s="33" t="n">
        <f aca="false">S41</f>
        <v>2034847.44</v>
      </c>
      <c r="T64" s="33" t="n">
        <f aca="false">T41</f>
        <v>2026095.408</v>
      </c>
      <c r="U64" s="33" t="n">
        <f aca="false">U41</f>
        <v>2017343.376</v>
      </c>
      <c r="V64" s="33" t="n">
        <f aca="false">V41</f>
        <v>2008591.344</v>
      </c>
      <c r="W64" s="33" t="n">
        <f aca="false">W41</f>
        <v>1999839.312</v>
      </c>
      <c r="X64" s="143"/>
    </row>
    <row r="65" customFormat="false" ht="18.75" hidden="false" customHeight="true" outlineLevel="0" collapsed="false">
      <c r="B65" s="34" t="s">
        <v>27</v>
      </c>
      <c r="C65" s="35" t="s">
        <v>26</v>
      </c>
      <c r="D65" s="144"/>
      <c r="E65" s="144"/>
      <c r="F65" s="144"/>
      <c r="G65" s="37" t="s">
        <v>26</v>
      </c>
      <c r="H65" s="37" t="s">
        <v>26</v>
      </c>
      <c r="I65" s="37" t="s">
        <v>26</v>
      </c>
      <c r="J65" s="37" t="s">
        <v>26</v>
      </c>
      <c r="K65" s="37" t="s">
        <v>26</v>
      </c>
      <c r="L65" s="37" t="s">
        <v>26</v>
      </c>
      <c r="M65" s="37" t="s">
        <v>26</v>
      </c>
      <c r="N65" s="37" t="s">
        <v>26</v>
      </c>
      <c r="O65" s="37" t="s">
        <v>26</v>
      </c>
      <c r="P65" s="37" t="s">
        <v>26</v>
      </c>
      <c r="Q65" s="37" t="s">
        <v>26</v>
      </c>
      <c r="R65" s="37" t="s">
        <v>26</v>
      </c>
      <c r="S65" s="37" t="s">
        <v>26</v>
      </c>
      <c r="T65" s="37" t="s">
        <v>26</v>
      </c>
      <c r="U65" s="37" t="s">
        <v>26</v>
      </c>
      <c r="V65" s="37" t="s">
        <v>26</v>
      </c>
      <c r="W65" s="37" t="s">
        <v>26</v>
      </c>
      <c r="X65" s="145"/>
    </row>
    <row r="66" customFormat="false" ht="18.75" hidden="false" customHeight="true" outlineLevel="0" collapsed="false">
      <c r="B66" s="38" t="s">
        <v>28</v>
      </c>
      <c r="C66" s="146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8"/>
    </row>
    <row r="67" customFormat="false" ht="18.75" hidden="false" customHeight="true" outlineLevel="0" collapsed="false">
      <c r="B67" s="41" t="s">
        <v>45</v>
      </c>
      <c r="C67" s="35"/>
      <c r="D67" s="61" t="n">
        <f aca="false">$C$44/$E$16</f>
        <v>-1009260</v>
      </c>
      <c r="E67" s="61" t="n">
        <f aca="false">$C$44/$E$16</f>
        <v>-1009260</v>
      </c>
      <c r="F67" s="61" t="n">
        <f aca="false">$C$44/$E$16</f>
        <v>-1009260</v>
      </c>
      <c r="G67" s="61" t="n">
        <f aca="false">$C$44/$E$16</f>
        <v>-1009260</v>
      </c>
      <c r="H67" s="61" t="n">
        <f aca="false">$C$44/$E$16</f>
        <v>-1009260</v>
      </c>
      <c r="I67" s="61" t="n">
        <f aca="false">$C$44/$E$16</f>
        <v>-1009260</v>
      </c>
      <c r="J67" s="61" t="n">
        <f aca="false">$C$44/$E$16</f>
        <v>-1009260</v>
      </c>
      <c r="K67" s="61" t="n">
        <f aca="false">$C$44/$E$16</f>
        <v>-1009260</v>
      </c>
      <c r="L67" s="61" t="n">
        <f aca="false">$C$44/$E$16</f>
        <v>-1009260</v>
      </c>
      <c r="M67" s="61" t="n">
        <f aca="false">$C$44/$E$16</f>
        <v>-1009260</v>
      </c>
      <c r="N67" s="61" t="n">
        <f aca="false">$C$44/$E$16</f>
        <v>-1009260</v>
      </c>
      <c r="O67" s="61" t="n">
        <f aca="false">$C$44/$E$16</f>
        <v>-1009260</v>
      </c>
      <c r="P67" s="61" t="n">
        <f aca="false">$C$44/$E$16</f>
        <v>-1009260</v>
      </c>
      <c r="Q67" s="61" t="n">
        <f aca="false">$C$44/$E$16</f>
        <v>-1009260</v>
      </c>
      <c r="R67" s="61" t="n">
        <f aca="false">$C$44/$E$16</f>
        <v>-1009260</v>
      </c>
      <c r="S67" s="61" t="n">
        <f aca="false">$C$44/$E$16</f>
        <v>-1009260</v>
      </c>
      <c r="T67" s="61" t="n">
        <f aca="false">$C$44/$E$16</f>
        <v>-1009260</v>
      </c>
      <c r="U67" s="61" t="n">
        <f aca="false">$C$44/$E$16</f>
        <v>-1009260</v>
      </c>
      <c r="V67" s="61" t="n">
        <f aca="false">$C$44/$E$16</f>
        <v>-1009260</v>
      </c>
      <c r="W67" s="61" t="n">
        <f aca="false">$C$44/$E$16</f>
        <v>-1009260</v>
      </c>
      <c r="X67" s="145"/>
    </row>
    <row r="68" customFormat="false" ht="18.75" hidden="false" customHeight="true" outlineLevel="0" collapsed="false">
      <c r="B68" s="41" t="s">
        <v>30</v>
      </c>
      <c r="C68" s="35" t="s">
        <v>26</v>
      </c>
      <c r="D68" s="149" t="n">
        <f aca="false">D44</f>
        <v>0</v>
      </c>
      <c r="E68" s="149" t="n">
        <f aca="false">E45</f>
        <v>-290201</v>
      </c>
      <c r="F68" s="149" t="n">
        <f aca="false">F45</f>
        <v>-290201</v>
      </c>
      <c r="G68" s="149" t="n">
        <f aca="false">G45</f>
        <v>-290201</v>
      </c>
      <c r="H68" s="149" t="n">
        <f aca="false">H45</f>
        <v>-290201</v>
      </c>
      <c r="I68" s="149" t="n">
        <f aca="false">I45</f>
        <v>-290201</v>
      </c>
      <c r="J68" s="149" t="n">
        <f aca="false">J45</f>
        <v>-290201</v>
      </c>
      <c r="K68" s="149" t="n">
        <f aca="false">K45</f>
        <v>-290201</v>
      </c>
      <c r="L68" s="149" t="n">
        <f aca="false">L45</f>
        <v>-290201</v>
      </c>
      <c r="M68" s="149" t="n">
        <f aca="false">M45</f>
        <v>-290201</v>
      </c>
      <c r="N68" s="149" t="n">
        <f aca="false">N45</f>
        <v>-290201</v>
      </c>
      <c r="O68" s="149" t="n">
        <f aca="false">O45</f>
        <v>-290201</v>
      </c>
      <c r="P68" s="149" t="n">
        <f aca="false">P45</f>
        <v>-290201</v>
      </c>
      <c r="Q68" s="149" t="n">
        <f aca="false">Q45</f>
        <v>-290201</v>
      </c>
      <c r="R68" s="149" t="n">
        <f aca="false">R45</f>
        <v>-290201</v>
      </c>
      <c r="S68" s="149" t="n">
        <f aca="false">S45</f>
        <v>-290201</v>
      </c>
      <c r="T68" s="149" t="n">
        <f aca="false">T45</f>
        <v>-290201</v>
      </c>
      <c r="U68" s="149" t="n">
        <f aca="false">U45</f>
        <v>-290201</v>
      </c>
      <c r="V68" s="149" t="n">
        <f aca="false">V45</f>
        <v>-290201</v>
      </c>
      <c r="W68" s="149" t="n">
        <f aca="false">W45</f>
        <v>-290201</v>
      </c>
      <c r="X68" s="145"/>
    </row>
    <row r="69" customFormat="false" ht="18.75" hidden="false" customHeight="true" outlineLevel="0" collapsed="false">
      <c r="B69" s="41" t="s">
        <v>31</v>
      </c>
      <c r="C69" s="35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5"/>
    </row>
    <row r="70" customFormat="false" ht="18.75" hidden="false" customHeight="true" outlineLevel="0" collapsed="false">
      <c r="B70" s="41" t="s">
        <v>32</v>
      </c>
      <c r="C70" s="35" t="s">
        <v>26</v>
      </c>
      <c r="D70" s="149" t="n">
        <v>0</v>
      </c>
      <c r="E70" s="149" t="n">
        <v>0</v>
      </c>
      <c r="F70" s="149" t="n">
        <v>0</v>
      </c>
      <c r="G70" s="149" t="n">
        <v>0</v>
      </c>
      <c r="H70" s="149" t="n">
        <v>0</v>
      </c>
      <c r="I70" s="149" t="n">
        <v>0</v>
      </c>
      <c r="J70" s="149" t="n">
        <v>0</v>
      </c>
      <c r="K70" s="149" t="n">
        <v>0</v>
      </c>
      <c r="L70" s="149" t="n">
        <v>0</v>
      </c>
      <c r="M70" s="149" t="n">
        <v>0</v>
      </c>
      <c r="N70" s="149" t="n">
        <v>0</v>
      </c>
      <c r="O70" s="149" t="n">
        <v>0</v>
      </c>
      <c r="P70" s="149" t="n">
        <v>0</v>
      </c>
      <c r="Q70" s="149" t="n">
        <v>0</v>
      </c>
      <c r="R70" s="149" t="n">
        <v>0</v>
      </c>
      <c r="S70" s="149" t="n">
        <v>0</v>
      </c>
      <c r="T70" s="149" t="n">
        <v>0</v>
      </c>
      <c r="U70" s="149" t="n">
        <v>0</v>
      </c>
      <c r="V70" s="149" t="n">
        <v>0</v>
      </c>
      <c r="W70" s="149" t="n">
        <v>0</v>
      </c>
      <c r="X70" s="145"/>
    </row>
    <row r="71" customFormat="false" ht="18.75" hidden="false" customHeight="true" outlineLevel="0" collapsed="false">
      <c r="B71" s="41" t="s">
        <v>33</v>
      </c>
      <c r="C71" s="35" t="s">
        <v>26</v>
      </c>
      <c r="D71" s="149" t="n">
        <f aca="false">D48</f>
        <v>-174440</v>
      </c>
      <c r="E71" s="149" t="n">
        <f aca="false">E48</f>
        <v>-174440</v>
      </c>
      <c r="F71" s="149" t="n">
        <f aca="false">F48</f>
        <v>-174440</v>
      </c>
      <c r="G71" s="149" t="n">
        <f aca="false">G48</f>
        <v>-174440</v>
      </c>
      <c r="H71" s="149" t="n">
        <f aca="false">H48</f>
        <v>-174440</v>
      </c>
      <c r="I71" s="149" t="n">
        <f aca="false">I48</f>
        <v>-174440</v>
      </c>
      <c r="J71" s="149" t="n">
        <f aca="false">J48</f>
        <v>-174440</v>
      </c>
      <c r="K71" s="149" t="n">
        <f aca="false">K48</f>
        <v>-174440</v>
      </c>
      <c r="L71" s="149" t="n">
        <f aca="false">L48</f>
        <v>-174440</v>
      </c>
      <c r="M71" s="149" t="n">
        <f aca="false">M48</f>
        <v>-174440</v>
      </c>
      <c r="N71" s="149" t="n">
        <f aca="false">N48</f>
        <v>-174440</v>
      </c>
      <c r="O71" s="149" t="n">
        <f aca="false">O48</f>
        <v>-174440</v>
      </c>
      <c r="P71" s="149" t="n">
        <f aca="false">P48</f>
        <v>-174440</v>
      </c>
      <c r="Q71" s="149" t="n">
        <f aca="false">Q48</f>
        <v>-174440</v>
      </c>
      <c r="R71" s="149" t="n">
        <f aca="false">R48</f>
        <v>-174440</v>
      </c>
      <c r="S71" s="149" t="n">
        <f aca="false">S48</f>
        <v>-174440</v>
      </c>
      <c r="T71" s="149" t="n">
        <f aca="false">T48</f>
        <v>-174440</v>
      </c>
      <c r="U71" s="149" t="n">
        <f aca="false">U48</f>
        <v>-174440</v>
      </c>
      <c r="V71" s="149" t="n">
        <f aca="false">V48</f>
        <v>-174440</v>
      </c>
      <c r="W71" s="149" t="n">
        <f aca="false">W48</f>
        <v>-174440</v>
      </c>
      <c r="X71" s="145"/>
    </row>
    <row r="72" customFormat="false" ht="18.75" hidden="false" customHeight="true" outlineLevel="0" collapsed="false">
      <c r="B72" s="41" t="s">
        <v>34</v>
      </c>
      <c r="C72" s="35" t="s">
        <v>26</v>
      </c>
      <c r="D72" s="149" t="n">
        <f aca="false">D49</f>
        <v>-40000</v>
      </c>
      <c r="E72" s="149" t="n">
        <f aca="false">E49</f>
        <v>-40000</v>
      </c>
      <c r="F72" s="149" t="n">
        <f aca="false">F49</f>
        <v>-40000</v>
      </c>
      <c r="G72" s="149" t="n">
        <f aca="false">G49</f>
        <v>-40000</v>
      </c>
      <c r="H72" s="149" t="n">
        <f aca="false">H49</f>
        <v>-40000</v>
      </c>
      <c r="I72" s="149" t="n">
        <f aca="false">I49</f>
        <v>-40000</v>
      </c>
      <c r="J72" s="149" t="n">
        <f aca="false">J49</f>
        <v>-40000</v>
      </c>
      <c r="K72" s="149" t="n">
        <f aca="false">K49</f>
        <v>-40000</v>
      </c>
      <c r="L72" s="149" t="n">
        <f aca="false">L49</f>
        <v>-40000</v>
      </c>
      <c r="M72" s="149" t="n">
        <f aca="false">M49</f>
        <v>-40000</v>
      </c>
      <c r="N72" s="149" t="n">
        <f aca="false">N49</f>
        <v>-40000</v>
      </c>
      <c r="O72" s="149" t="n">
        <f aca="false">O49</f>
        <v>-40000</v>
      </c>
      <c r="P72" s="149" t="n">
        <f aca="false">P49</f>
        <v>-40000</v>
      </c>
      <c r="Q72" s="149" t="n">
        <f aca="false">Q49</f>
        <v>-40000</v>
      </c>
      <c r="R72" s="149" t="n">
        <f aca="false">R49</f>
        <v>-40000</v>
      </c>
      <c r="S72" s="149" t="n">
        <f aca="false">S49</f>
        <v>-40000</v>
      </c>
      <c r="T72" s="149" t="n">
        <f aca="false">T49</f>
        <v>-40000</v>
      </c>
      <c r="U72" s="149" t="n">
        <f aca="false">U49</f>
        <v>-40000</v>
      </c>
      <c r="V72" s="149" t="n">
        <f aca="false">V49</f>
        <v>-40000</v>
      </c>
      <c r="W72" s="149" t="n">
        <f aca="false">W49</f>
        <v>-40000</v>
      </c>
      <c r="X72" s="145"/>
    </row>
    <row r="73" customFormat="false" ht="18.75" hidden="false" customHeight="true" outlineLevel="0" collapsed="false">
      <c r="B73" s="41" t="s">
        <v>35</v>
      </c>
      <c r="C73" s="35"/>
      <c r="D73" s="149" t="n">
        <f aca="false">D50</f>
        <v>-43610</v>
      </c>
      <c r="E73" s="149" t="n">
        <f aca="false">E50</f>
        <v>-43610</v>
      </c>
      <c r="F73" s="149" t="n">
        <f aca="false">F50</f>
        <v>-43610</v>
      </c>
      <c r="G73" s="149" t="n">
        <f aca="false">G50</f>
        <v>-43610</v>
      </c>
      <c r="H73" s="149" t="n">
        <f aca="false">H50</f>
        <v>-43610</v>
      </c>
      <c r="I73" s="149" t="n">
        <f aca="false">I50</f>
        <v>-43610</v>
      </c>
      <c r="J73" s="149" t="n">
        <f aca="false">J50</f>
        <v>-43610</v>
      </c>
      <c r="K73" s="149" t="n">
        <f aca="false">K50</f>
        <v>-43610</v>
      </c>
      <c r="L73" s="149" t="n">
        <f aca="false">L50</f>
        <v>-43610</v>
      </c>
      <c r="M73" s="149" t="n">
        <f aca="false">M50</f>
        <v>-43610</v>
      </c>
      <c r="N73" s="149" t="n">
        <f aca="false">N50</f>
        <v>0</v>
      </c>
      <c r="O73" s="149" t="n">
        <f aca="false">O50</f>
        <v>0</v>
      </c>
      <c r="P73" s="149" t="n">
        <f aca="false">P50</f>
        <v>0</v>
      </c>
      <c r="Q73" s="149" t="n">
        <f aca="false">Q50</f>
        <v>0</v>
      </c>
      <c r="R73" s="149" t="n">
        <f aca="false">R50</f>
        <v>0</v>
      </c>
      <c r="S73" s="149" t="n">
        <f aca="false">S50</f>
        <v>0</v>
      </c>
      <c r="T73" s="149" t="n">
        <f aca="false">T50</f>
        <v>0</v>
      </c>
      <c r="U73" s="149" t="n">
        <f aca="false">U50</f>
        <v>0</v>
      </c>
      <c r="V73" s="149" t="n">
        <f aca="false">V50</f>
        <v>0</v>
      </c>
      <c r="W73" s="149" t="n">
        <f aca="false">W50</f>
        <v>0</v>
      </c>
      <c r="X73" s="145"/>
    </row>
    <row r="74" customFormat="false" ht="18.75" hidden="false" customHeight="true" outlineLevel="0" collapsed="false">
      <c r="B74" s="41" t="s">
        <v>36</v>
      </c>
      <c r="C74" s="44"/>
      <c r="D74" s="62"/>
      <c r="E74" s="63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5"/>
    </row>
    <row r="75" customFormat="false" ht="18.75" hidden="false" customHeight="true" outlineLevel="0" collapsed="false">
      <c r="B75" s="41" t="s">
        <v>37</v>
      </c>
      <c r="C75" s="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5"/>
    </row>
    <row r="76" customFormat="false" ht="18.75" hidden="false" customHeight="true" outlineLevel="0" collapsed="false">
      <c r="B76" s="46" t="s">
        <v>46</v>
      </c>
      <c r="C76" s="155"/>
      <c r="D76" s="48" t="n">
        <f aca="false">SUM(D64:D75)</f>
        <v>898817.92</v>
      </c>
      <c r="E76" s="48" t="n">
        <f aca="false">SUM(E64:E75)</f>
        <v>599864.888</v>
      </c>
      <c r="F76" s="48" t="n">
        <f aca="false">SUM(F64:F75)</f>
        <v>591112.856</v>
      </c>
      <c r="G76" s="48" t="n">
        <f aca="false">SUM(G64:G75)</f>
        <v>582360.824</v>
      </c>
      <c r="H76" s="48" t="n">
        <f aca="false">SUM(H64:H75)</f>
        <v>573608.792</v>
      </c>
      <c r="I76" s="48" t="n">
        <f aca="false">SUM(I64:I75)</f>
        <v>564856.76</v>
      </c>
      <c r="J76" s="48" t="n">
        <f aca="false">SUM(J64:J75)</f>
        <v>556104.728</v>
      </c>
      <c r="K76" s="48" t="n">
        <f aca="false">SUM(K64:K75)</f>
        <v>547352.696</v>
      </c>
      <c r="L76" s="48" t="n">
        <f aca="false">SUM(L64:L75)</f>
        <v>538600.664</v>
      </c>
      <c r="M76" s="48" t="n">
        <f aca="false">SUM(M64:M75)</f>
        <v>529848.632</v>
      </c>
      <c r="N76" s="48" t="n">
        <f aca="false">SUM(N64:N75)</f>
        <v>564706.6</v>
      </c>
      <c r="O76" s="48" t="n">
        <f aca="false">SUM(O64:O75)</f>
        <v>555954.568</v>
      </c>
      <c r="P76" s="48" t="n">
        <f aca="false">SUM(P64:P75)</f>
        <v>547202.536</v>
      </c>
      <c r="Q76" s="48" t="n">
        <f aca="false">SUM(Q64:Q75)</f>
        <v>538450.504</v>
      </c>
      <c r="R76" s="48" t="n">
        <f aca="false">SUM(R64:R75)</f>
        <v>529698.472</v>
      </c>
      <c r="S76" s="48" t="n">
        <f aca="false">SUM(S64:S75)</f>
        <v>520946.44</v>
      </c>
      <c r="T76" s="48" t="n">
        <f aca="false">SUM(T64:T75)</f>
        <v>512194.408</v>
      </c>
      <c r="U76" s="48" t="n">
        <f aca="false">SUM(U64:U75)</f>
        <v>503442.376</v>
      </c>
      <c r="V76" s="48" t="n">
        <f aca="false">SUM(V64:V75)</f>
        <v>494690.344</v>
      </c>
      <c r="W76" s="48" t="n">
        <f aca="false">SUM(W64:W75)</f>
        <v>485938.312</v>
      </c>
      <c r="X76" s="48" t="n">
        <f aca="false">SUM(X64:X75)</f>
        <v>0</v>
      </c>
    </row>
    <row r="77" customFormat="false" ht="18.75" hidden="false" customHeight="true" outlineLevel="0" collapsed="false">
      <c r="B77" s="45" t="s">
        <v>39</v>
      </c>
      <c r="C77" s="44"/>
      <c r="D77" s="149" t="n">
        <f aca="false">-D76*0.2</f>
        <v>-179763.584</v>
      </c>
      <c r="E77" s="149" t="n">
        <f aca="false">-E76*0.2</f>
        <v>-119972.9776</v>
      </c>
      <c r="F77" s="149" t="n">
        <f aca="false">-F76*0.2</f>
        <v>-118222.5712</v>
      </c>
      <c r="G77" s="149" t="n">
        <f aca="false">-G76*0.2</f>
        <v>-116472.1648</v>
      </c>
      <c r="H77" s="149" t="n">
        <f aca="false">-H76*0.2</f>
        <v>-114721.7584</v>
      </c>
      <c r="I77" s="149" t="n">
        <f aca="false">-I76*0.2</f>
        <v>-112971.352</v>
      </c>
      <c r="J77" s="149" t="n">
        <f aca="false">-J76*0.2</f>
        <v>-111220.9456</v>
      </c>
      <c r="K77" s="149" t="n">
        <f aca="false">-K76*0.2</f>
        <v>-109470.5392</v>
      </c>
      <c r="L77" s="149" t="n">
        <f aca="false">-L76*0.2</f>
        <v>-107720.1328</v>
      </c>
      <c r="M77" s="149" t="n">
        <f aca="false">-M76*0.2</f>
        <v>-105969.7264</v>
      </c>
      <c r="N77" s="149" t="n">
        <f aca="false">-N76*0.2</f>
        <v>-112941.32</v>
      </c>
      <c r="O77" s="149" t="n">
        <f aca="false">-O76*0.2</f>
        <v>-111190.9136</v>
      </c>
      <c r="P77" s="149" t="n">
        <f aca="false">-P76*0.2</f>
        <v>-109440.5072</v>
      </c>
      <c r="Q77" s="149" t="n">
        <f aca="false">-Q76*0.2</f>
        <v>-107690.1008</v>
      </c>
      <c r="R77" s="149" t="n">
        <f aca="false">-R76*0.2</f>
        <v>-105939.6944</v>
      </c>
      <c r="S77" s="149" t="n">
        <f aca="false">-S76*0.2</f>
        <v>-104189.288</v>
      </c>
      <c r="T77" s="149" t="n">
        <f aca="false">-T76*0.2</f>
        <v>-102438.8816</v>
      </c>
      <c r="U77" s="149" t="n">
        <f aca="false">-U76*0.2</f>
        <v>-100688.4752</v>
      </c>
      <c r="V77" s="149" t="n">
        <f aca="false">-V76*0.2</f>
        <v>-98938.0687999999</v>
      </c>
      <c r="W77" s="149" t="n">
        <f aca="false">-W76*0.2</f>
        <v>-97187.6623999999</v>
      </c>
      <c r="X77" s="149" t="n">
        <f aca="false">-X76*0.2</f>
        <v>-0</v>
      </c>
    </row>
    <row r="78" customFormat="false" ht="15.75" hidden="false" customHeight="true" outlineLevel="0" collapsed="false">
      <c r="B78" s="65" t="s">
        <v>47</v>
      </c>
      <c r="D78" s="149" t="n">
        <f aca="false">SUM(D76:D77)</f>
        <v>719054.336</v>
      </c>
      <c r="E78" s="149" t="n">
        <f aca="false">SUM(E76:E77)</f>
        <v>479891.9104</v>
      </c>
      <c r="F78" s="149" t="n">
        <f aca="false">SUM(F76:F77)</f>
        <v>472890.2848</v>
      </c>
      <c r="G78" s="149" t="n">
        <f aca="false">SUM(G76:G77)</f>
        <v>465888.6592</v>
      </c>
      <c r="H78" s="149" t="n">
        <f aca="false">SUM(H76:H77)</f>
        <v>458887.0336</v>
      </c>
      <c r="I78" s="149" t="n">
        <f aca="false">SUM(I76:I77)</f>
        <v>451885.408</v>
      </c>
      <c r="J78" s="149" t="n">
        <f aca="false">SUM(J76:J77)</f>
        <v>444883.7824</v>
      </c>
      <c r="K78" s="149" t="n">
        <f aca="false">SUM(K76:K77)</f>
        <v>437882.1568</v>
      </c>
      <c r="L78" s="149" t="n">
        <f aca="false">SUM(L76:L77)</f>
        <v>430880.5312</v>
      </c>
      <c r="M78" s="149" t="n">
        <f aca="false">SUM(M76:M77)</f>
        <v>423878.9056</v>
      </c>
      <c r="N78" s="149" t="n">
        <f aca="false">SUM(N76:N77)</f>
        <v>451765.28</v>
      </c>
      <c r="O78" s="149" t="n">
        <f aca="false">SUM(O76:O77)</f>
        <v>444763.6544</v>
      </c>
      <c r="P78" s="149" t="n">
        <f aca="false">SUM(P76:P77)</f>
        <v>437762.0288</v>
      </c>
      <c r="Q78" s="149" t="n">
        <f aca="false">SUM(Q76:Q77)</f>
        <v>430760.4032</v>
      </c>
      <c r="R78" s="149" t="n">
        <f aca="false">SUM(R76:R77)</f>
        <v>423758.7776</v>
      </c>
      <c r="S78" s="149" t="n">
        <f aca="false">SUM(S76:S77)</f>
        <v>416757.152</v>
      </c>
      <c r="T78" s="149" t="n">
        <f aca="false">SUM(T76:T77)</f>
        <v>409755.5264</v>
      </c>
      <c r="U78" s="149" t="n">
        <f aca="false">SUM(U76:U77)</f>
        <v>402753.9008</v>
      </c>
      <c r="V78" s="149" t="n">
        <f aca="false">SUM(V76:V77)</f>
        <v>395752.2752</v>
      </c>
      <c r="W78" s="149" t="n">
        <f aca="false">SUM(W76:W77)</f>
        <v>388750.6496</v>
      </c>
      <c r="X78" s="149" t="n">
        <f aca="false">SUM(X76:X77)</f>
        <v>0</v>
      </c>
    </row>
    <row r="79" customFormat="false" ht="18.75" hidden="false" customHeight="true" outlineLevel="0" collapsed="false">
      <c r="B79" s="49" t="s">
        <v>41</v>
      </c>
      <c r="C79" s="52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7"/>
    </row>
    <row r="80" customFormat="false" ht="18.75" hidden="false" customHeight="true" outlineLevel="0" collapsed="false">
      <c r="B80" s="68" t="s">
        <v>42</v>
      </c>
      <c r="C80" s="69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9"/>
    </row>
    <row r="81" customFormat="false" ht="18.75" hidden="false" customHeight="true" outlineLevel="0" collapsed="false">
      <c r="B81" s="58"/>
      <c r="C81" s="57"/>
      <c r="D81" s="57"/>
      <c r="E81" s="57"/>
      <c r="F81" s="58"/>
      <c r="G81" s="58"/>
      <c r="H81" s="58"/>
      <c r="I81" s="58"/>
      <c r="J81" s="58"/>
      <c r="K81" s="58"/>
      <c r="L81" s="58"/>
      <c r="M81" s="57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45.49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91" t="s">
        <v>63</v>
      </c>
      <c r="C1" s="92"/>
      <c r="D1" s="92"/>
      <c r="E1" s="93"/>
      <c r="F1" s="94" t="s">
        <v>64</v>
      </c>
      <c r="P1" s="95" t="n">
        <f aca="false">1-D11</f>
        <v>0.99</v>
      </c>
      <c r="Q1" s="95" t="n">
        <f aca="false">P1-$D12</f>
        <v>0.986</v>
      </c>
      <c r="R1" s="95" t="n">
        <f aca="false">Q1-$D12</f>
        <v>0.982</v>
      </c>
      <c r="S1" s="95" t="n">
        <f aca="false">R1-$D12</f>
        <v>0.978</v>
      </c>
      <c r="T1" s="95" t="n">
        <f aca="false">S1-$D12</f>
        <v>0.974</v>
      </c>
      <c r="U1" s="95" t="n">
        <f aca="false">T1-$D12</f>
        <v>0.97</v>
      </c>
      <c r="V1" s="95" t="n">
        <f aca="false">U1-$D12</f>
        <v>0.966</v>
      </c>
      <c r="W1" s="95" t="n">
        <f aca="false">V1-$D12</f>
        <v>0.962</v>
      </c>
      <c r="X1" s="95" t="n">
        <f aca="false">W1-$D12</f>
        <v>0.958</v>
      </c>
      <c r="Y1" s="95" t="n">
        <f aca="false">X1-$D12</f>
        <v>0.954</v>
      </c>
      <c r="Z1" s="95" t="n">
        <f aca="false">Y1-$D12</f>
        <v>0.95</v>
      </c>
      <c r="AA1" s="95" t="n">
        <f aca="false">Z1-$D12</f>
        <v>0.946</v>
      </c>
      <c r="AB1" s="95" t="n">
        <f aca="false">AA1-$D12</f>
        <v>0.942</v>
      </c>
      <c r="AC1" s="95" t="n">
        <f aca="false">AB1-$D12</f>
        <v>0.938</v>
      </c>
      <c r="AD1" s="95" t="n">
        <f aca="false">AC1-$D12</f>
        <v>0.934</v>
      </c>
      <c r="AE1" s="95" t="n">
        <f aca="false">AD1-$D12</f>
        <v>0.93</v>
      </c>
      <c r="AF1" s="95" t="n">
        <f aca="false">AE1-$D12</f>
        <v>0.926</v>
      </c>
      <c r="AG1" s="95" t="n">
        <f aca="false">AF1-$D12</f>
        <v>0.922</v>
      </c>
      <c r="AH1" s="95" t="n">
        <f aca="false">AG1-$D12</f>
        <v>0.918</v>
      </c>
      <c r="AI1" s="95" t="n">
        <f aca="false">AH1-$D12</f>
        <v>0.914</v>
      </c>
    </row>
    <row r="2" customFormat="false" ht="21.75" hidden="false" customHeight="true" outlineLevel="0" collapsed="false">
      <c r="B2" s="96" t="s">
        <v>65</v>
      </c>
      <c r="C2" s="97" t="s">
        <v>2</v>
      </c>
      <c r="D2" s="98" t="s">
        <v>26</v>
      </c>
      <c r="E2" s="99" t="s">
        <v>26</v>
      </c>
      <c r="F2" s="100" t="s">
        <v>66</v>
      </c>
    </row>
    <row r="3" customFormat="false" ht="21.75" hidden="false" customHeight="true" outlineLevel="0" collapsed="false">
      <c r="B3" s="101" t="s">
        <v>67</v>
      </c>
      <c r="C3" s="102" t="n">
        <v>20</v>
      </c>
      <c r="D3" s="103" t="s">
        <v>26</v>
      </c>
      <c r="E3" s="104" t="s">
        <v>26</v>
      </c>
      <c r="F3" s="105" t="s">
        <v>68</v>
      </c>
    </row>
    <row r="4" customFormat="false" ht="21.75" hidden="false" customHeight="true" outlineLevel="0" collapsed="false">
      <c r="B4" s="101" t="s">
        <v>69</v>
      </c>
      <c r="C4" s="102" t="n">
        <v>436.1</v>
      </c>
      <c r="D4" s="103" t="s">
        <v>26</v>
      </c>
      <c r="E4" s="104" t="s">
        <v>26</v>
      </c>
      <c r="F4" s="105" t="s">
        <v>70</v>
      </c>
      <c r="M4" s="106" t="s">
        <v>137</v>
      </c>
    </row>
    <row r="5" customFormat="false" ht="22.5" hidden="false" customHeight="true" outlineLevel="0" collapsed="false">
      <c r="B5" s="107" t="s">
        <v>72</v>
      </c>
      <c r="C5" s="102" t="n">
        <v>2020</v>
      </c>
      <c r="D5" s="107" t="s">
        <v>73</v>
      </c>
      <c r="E5" s="108" t="n">
        <v>2039</v>
      </c>
      <c r="F5" s="105" t="s">
        <v>74</v>
      </c>
      <c r="M5" s="106" t="s">
        <v>138</v>
      </c>
    </row>
    <row r="6" customFormat="false" ht="20.25" hidden="false" customHeight="true" outlineLevel="0" collapsed="false">
      <c r="B6" s="109"/>
      <c r="C6" s="109"/>
      <c r="D6" s="109"/>
      <c r="E6" s="109"/>
      <c r="M6" s="106" t="s">
        <v>139</v>
      </c>
    </row>
    <row r="7" customFormat="false" ht="22.5" hidden="false" customHeight="true" outlineLevel="0" collapsed="false">
      <c r="B7" s="91" t="s">
        <v>77</v>
      </c>
      <c r="C7" s="92"/>
      <c r="D7" s="92"/>
      <c r="E7" s="93"/>
      <c r="M7" s="106" t="s">
        <v>140</v>
      </c>
    </row>
    <row r="8" customFormat="false" ht="22.5" hidden="false" customHeight="true" outlineLevel="0" collapsed="false">
      <c r="B8" s="110" t="s">
        <v>79</v>
      </c>
      <c r="E8" s="111"/>
      <c r="M8" s="106" t="s">
        <v>141</v>
      </c>
    </row>
    <row r="9" customFormat="false" ht="22.5" hidden="false" customHeight="true" outlineLevel="0" collapsed="false">
      <c r="B9" s="112" t="s">
        <v>81</v>
      </c>
      <c r="C9" s="113" t="s">
        <v>82</v>
      </c>
      <c r="D9" s="113" t="s">
        <v>83</v>
      </c>
      <c r="E9" s="114" t="s">
        <v>84</v>
      </c>
      <c r="F9" s="94" t="s">
        <v>64</v>
      </c>
      <c r="M9" s="106" t="s">
        <v>85</v>
      </c>
    </row>
    <row r="10" customFormat="false" ht="30" hidden="false" customHeight="true" outlineLevel="0" collapsed="false">
      <c r="B10" s="115" t="s">
        <v>86</v>
      </c>
      <c r="C10" s="116" t="s">
        <v>87</v>
      </c>
      <c r="D10" s="117" t="n">
        <v>547002</v>
      </c>
      <c r="E10" s="118" t="n">
        <v>20</v>
      </c>
      <c r="F10" s="105" t="s">
        <v>88</v>
      </c>
      <c r="M10" s="106" t="s">
        <v>142</v>
      </c>
    </row>
    <row r="11" customFormat="false" ht="30" hidden="false" customHeight="true" outlineLevel="0" collapsed="false">
      <c r="B11" s="119"/>
      <c r="C11" s="107" t="s">
        <v>90</v>
      </c>
      <c r="D11" s="120" t="n">
        <v>0.01</v>
      </c>
      <c r="E11" s="121"/>
      <c r="F11" s="105" t="s">
        <v>91</v>
      </c>
    </row>
    <row r="12" customFormat="false" ht="30" hidden="false" customHeight="true" outlineLevel="0" collapsed="false">
      <c r="B12" s="119"/>
      <c r="C12" s="107" t="s">
        <v>92</v>
      </c>
      <c r="D12" s="122" t="n">
        <v>0.004</v>
      </c>
      <c r="E12" s="121"/>
      <c r="F12" s="105" t="s">
        <v>93</v>
      </c>
    </row>
    <row r="13" customFormat="false" ht="22.5" hidden="false" customHeight="true" outlineLevel="0" collapsed="false">
      <c r="B13" s="119"/>
      <c r="C13" s="123" t="s">
        <v>94</v>
      </c>
      <c r="D13" s="124" t="n">
        <v>4</v>
      </c>
      <c r="E13" s="121"/>
      <c r="F13" s="105" t="s">
        <v>95</v>
      </c>
    </row>
    <row r="14" customFormat="false" ht="22.5" hidden="false" customHeight="true" outlineLevel="0" collapsed="false">
      <c r="B14" s="125" t="s">
        <v>96</v>
      </c>
      <c r="C14" s="92"/>
      <c r="D14" s="92"/>
      <c r="E14" s="93"/>
    </row>
    <row r="15" customFormat="false" ht="22.5" hidden="false" customHeight="true" outlineLevel="0" collapsed="false">
      <c r="B15" s="112" t="s">
        <v>81</v>
      </c>
      <c r="C15" s="113" t="s">
        <v>82</v>
      </c>
      <c r="D15" s="113" t="s">
        <v>83</v>
      </c>
      <c r="E15" s="114" t="s">
        <v>97</v>
      </c>
      <c r="F15" s="94" t="s">
        <v>64</v>
      </c>
    </row>
    <row r="16" customFormat="false" ht="21.75" hidden="false" customHeight="true" outlineLevel="0" collapsed="false">
      <c r="B16" s="116" t="s">
        <v>98</v>
      </c>
      <c r="C16" s="116" t="s">
        <v>99</v>
      </c>
      <c r="D16" s="126" t="n">
        <v>29000</v>
      </c>
      <c r="E16" s="99" t="n">
        <v>20</v>
      </c>
      <c r="F16" s="105" t="s">
        <v>100</v>
      </c>
    </row>
    <row r="17" customFormat="false" ht="21.75" hidden="false" customHeight="true" outlineLevel="0" collapsed="false">
      <c r="B17" s="119"/>
      <c r="C17" s="107" t="s">
        <v>101</v>
      </c>
      <c r="D17" s="127" t="n">
        <v>0.3</v>
      </c>
      <c r="E17" s="121"/>
      <c r="F17" s="105" t="s">
        <v>102</v>
      </c>
    </row>
    <row r="18" customFormat="false" ht="21.75" hidden="false" customHeight="true" outlineLevel="0" collapsed="false">
      <c r="B18" s="128"/>
      <c r="C18" s="107" t="s">
        <v>103</v>
      </c>
      <c r="D18" s="129" t="n">
        <v>2000</v>
      </c>
      <c r="E18" s="130"/>
      <c r="F18" s="105" t="s">
        <v>104</v>
      </c>
    </row>
    <row r="19" customFormat="false" ht="54" hidden="false" customHeight="true" outlineLevel="0" collapsed="false">
      <c r="B19" s="107" t="s">
        <v>105</v>
      </c>
      <c r="C19" s="131" t="s">
        <v>106</v>
      </c>
      <c r="D19" s="127" t="n">
        <v>1</v>
      </c>
      <c r="E19" s="99" t="n">
        <v>20</v>
      </c>
      <c r="F19" s="105" t="s">
        <v>107</v>
      </c>
    </row>
    <row r="20" customFormat="false" ht="20.25" hidden="false" customHeight="true" outlineLevel="0" collapsed="false">
      <c r="B20" s="119"/>
      <c r="C20" s="132" t="s">
        <v>108</v>
      </c>
      <c r="D20" s="129" t="n">
        <v>290201</v>
      </c>
      <c r="E20" s="99" t="n">
        <v>20</v>
      </c>
      <c r="F20" s="105" t="s">
        <v>109</v>
      </c>
    </row>
    <row r="21" customFormat="false" ht="30" hidden="false" customHeight="true" outlineLevel="0" collapsed="false">
      <c r="B21" s="128"/>
      <c r="C21" s="107" t="s">
        <v>110</v>
      </c>
      <c r="D21" s="127" t="n">
        <v>0</v>
      </c>
      <c r="E21" s="104" t="n">
        <v>20</v>
      </c>
      <c r="F21" s="105" t="s">
        <v>111</v>
      </c>
    </row>
    <row r="22" customFormat="false" ht="30" hidden="false" customHeight="true" outlineLevel="0" collapsed="false">
      <c r="B22" s="107" t="s">
        <v>112</v>
      </c>
      <c r="C22" s="107" t="s">
        <v>113</v>
      </c>
      <c r="D22" s="133" t="n">
        <v>400</v>
      </c>
      <c r="E22" s="104" t="n">
        <v>20</v>
      </c>
      <c r="F22" s="105" t="s">
        <v>114</v>
      </c>
    </row>
    <row r="23" customFormat="false" ht="30" hidden="false" customHeight="true" outlineLevel="0" collapsed="false">
      <c r="B23" s="107" t="s">
        <v>115</v>
      </c>
      <c r="C23" s="107" t="s">
        <v>116</v>
      </c>
      <c r="D23" s="127" t="n">
        <v>0.003</v>
      </c>
      <c r="E23" s="104" t="n">
        <v>20</v>
      </c>
      <c r="F23" s="105" t="s">
        <v>117</v>
      </c>
    </row>
    <row r="24" customFormat="false" ht="30" hidden="false" customHeight="true" outlineLevel="0" collapsed="false">
      <c r="B24" s="107" t="s">
        <v>118</v>
      </c>
      <c r="C24" s="107" t="s">
        <v>119</v>
      </c>
      <c r="D24" s="133" t="n">
        <v>1000</v>
      </c>
      <c r="E24" s="134" t="n">
        <v>10</v>
      </c>
      <c r="F24" s="105" t="s">
        <v>120</v>
      </c>
    </row>
    <row r="25" customFormat="false" ht="30" hidden="false" customHeight="true" outlineLevel="0" collapsed="false">
      <c r="B25" s="107" t="s">
        <v>121</v>
      </c>
      <c r="C25" s="107" t="s">
        <v>122</v>
      </c>
      <c r="D25" s="135" t="n">
        <v>0.0256</v>
      </c>
      <c r="E25" s="104" t="n">
        <v>20</v>
      </c>
      <c r="F25" s="105" t="s">
        <v>123</v>
      </c>
    </row>
    <row r="26" customFormat="false" ht="30" hidden="false" customHeight="true" outlineLevel="0" collapsed="false">
      <c r="B26" s="107" t="s">
        <v>14</v>
      </c>
      <c r="C26" s="107" t="s">
        <v>124</v>
      </c>
      <c r="D26" s="127" t="n">
        <v>0.2</v>
      </c>
      <c r="E26" s="104" t="n">
        <v>20</v>
      </c>
      <c r="F26" s="105" t="s">
        <v>125</v>
      </c>
    </row>
    <row r="27" customFormat="false" ht="20.25" hidden="false" customHeight="true" outlineLevel="0" collapsed="false">
      <c r="B27" s="109"/>
      <c r="C27" s="109"/>
      <c r="D27" s="109"/>
      <c r="E27" s="109"/>
    </row>
    <row r="28" customFormat="false" ht="20.25" hidden="false" customHeight="true" outlineLevel="0" collapsed="false">
      <c r="B28" s="109"/>
      <c r="C28" s="109"/>
      <c r="D28" s="109"/>
      <c r="E28" s="109"/>
    </row>
    <row r="29" customFormat="false" ht="22.5" hidden="false" customHeight="true" outlineLevel="0" collapsed="false">
      <c r="B29" s="91" t="s">
        <v>126</v>
      </c>
      <c r="C29" s="92"/>
      <c r="D29" s="93"/>
      <c r="E29" s="109"/>
    </row>
    <row r="30" customFormat="false" ht="22.5" hidden="false" customHeight="true" outlineLevel="0" collapsed="false">
      <c r="B30" s="112" t="s">
        <v>127</v>
      </c>
      <c r="C30" s="136" t="s">
        <v>82</v>
      </c>
      <c r="D30" s="137" t="s">
        <v>83</v>
      </c>
      <c r="E30" s="109"/>
      <c r="F30" s="94" t="s">
        <v>64</v>
      </c>
    </row>
    <row r="31" customFormat="false" ht="30" hidden="false" customHeight="true" outlineLevel="0" collapsed="false">
      <c r="B31" s="116" t="s">
        <v>128</v>
      </c>
      <c r="C31" s="96" t="s">
        <v>129</v>
      </c>
      <c r="D31" s="138" t="n">
        <v>0.8</v>
      </c>
      <c r="E31" s="109"/>
      <c r="F31" s="105" t="s">
        <v>130</v>
      </c>
    </row>
    <row r="32" customFormat="false" ht="18.75" hidden="false" customHeight="true" outlineLevel="0" collapsed="false">
      <c r="B32" s="116" t="s">
        <v>131</v>
      </c>
      <c r="C32" s="96" t="s">
        <v>132</v>
      </c>
      <c r="D32" s="138" t="n">
        <v>15</v>
      </c>
      <c r="E32" s="109"/>
      <c r="F32" s="105" t="s">
        <v>133</v>
      </c>
    </row>
    <row r="33" customFormat="false" ht="18.75" hidden="false" customHeight="true" outlineLevel="0" collapsed="false">
      <c r="B33" s="107" t="s">
        <v>53</v>
      </c>
      <c r="C33" s="101" t="s">
        <v>134</v>
      </c>
      <c r="D33" s="127" t="n">
        <v>0.9</v>
      </c>
      <c r="E33" s="109"/>
      <c r="F33" s="105" t="s">
        <v>135</v>
      </c>
    </row>
    <row r="34" customFormat="false" ht="30" hidden="false" customHeight="true" outlineLevel="0" collapsed="false">
      <c r="B34" s="107" t="s">
        <v>54</v>
      </c>
      <c r="C34" s="101" t="s">
        <v>132</v>
      </c>
      <c r="D34" s="127" t="n">
        <v>4</v>
      </c>
      <c r="E34" s="109"/>
      <c r="F34" s="105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6"/>
      <c r="C37" s="17" t="s">
        <v>0</v>
      </c>
      <c r="D37" s="17" t="n">
        <v>2020</v>
      </c>
      <c r="E37" s="17" t="n">
        <v>2021</v>
      </c>
      <c r="F37" s="17" t="n">
        <v>2022</v>
      </c>
      <c r="G37" s="17" t="n">
        <v>2023</v>
      </c>
      <c r="H37" s="17" t="n">
        <v>2024</v>
      </c>
      <c r="I37" s="17" t="n">
        <v>2025</v>
      </c>
      <c r="J37" s="17" t="n">
        <v>2026</v>
      </c>
      <c r="K37" s="17" t="n">
        <v>2027</v>
      </c>
      <c r="L37" s="17" t="n">
        <v>2028</v>
      </c>
      <c r="M37" s="17" t="n">
        <v>2029</v>
      </c>
      <c r="N37" s="17" t="n">
        <v>2030</v>
      </c>
      <c r="O37" s="17" t="n">
        <v>2031</v>
      </c>
      <c r="P37" s="17" t="n">
        <v>2032</v>
      </c>
      <c r="Q37" s="17" t="n">
        <v>2033</v>
      </c>
      <c r="R37" s="17" t="n">
        <v>2034</v>
      </c>
      <c r="S37" s="17" t="n">
        <v>2035</v>
      </c>
      <c r="T37" s="17" t="n">
        <v>2036</v>
      </c>
      <c r="U37" s="17" t="n">
        <v>2037</v>
      </c>
      <c r="V37" s="17" t="n">
        <v>2038</v>
      </c>
      <c r="W37" s="17" t="n">
        <v>2039</v>
      </c>
      <c r="X37" s="17"/>
    </row>
    <row r="38" customFormat="false" ht="18.75" hidden="false" customHeight="true" outlineLevel="0" collapsed="false">
      <c r="B38" s="18" t="n">
        <v>0</v>
      </c>
      <c r="C38" s="19"/>
      <c r="D38" s="20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2"/>
      <c r="V38" s="22"/>
      <c r="W38" s="22"/>
      <c r="X38" s="139"/>
    </row>
    <row r="39" customFormat="false" ht="18.75" hidden="false" customHeight="true" outlineLevel="0" collapsed="false">
      <c r="B39" s="24" t="s">
        <v>23</v>
      </c>
      <c r="C39" s="25" t="n">
        <v>0</v>
      </c>
      <c r="D39" s="26" t="n">
        <v>1</v>
      </c>
      <c r="E39" s="26" t="n">
        <v>2</v>
      </c>
      <c r="F39" s="26" t="n">
        <v>3</v>
      </c>
      <c r="G39" s="26" t="n">
        <v>4</v>
      </c>
      <c r="H39" s="26" t="n">
        <v>5</v>
      </c>
      <c r="I39" s="26" t="n">
        <v>6</v>
      </c>
      <c r="J39" s="26" t="n">
        <v>7</v>
      </c>
      <c r="K39" s="26" t="n">
        <v>8</v>
      </c>
      <c r="L39" s="26" t="n">
        <v>9</v>
      </c>
      <c r="M39" s="26" t="n">
        <v>10</v>
      </c>
      <c r="N39" s="26" t="n">
        <v>11</v>
      </c>
      <c r="O39" s="26" t="n">
        <v>12</v>
      </c>
      <c r="P39" s="26" t="n">
        <v>13</v>
      </c>
      <c r="Q39" s="26" t="n">
        <v>14</v>
      </c>
      <c r="R39" s="26" t="n">
        <v>15</v>
      </c>
      <c r="S39" s="26" t="n">
        <v>16</v>
      </c>
      <c r="T39" s="27" t="n">
        <v>17</v>
      </c>
      <c r="U39" s="26" t="n">
        <v>18</v>
      </c>
      <c r="V39" s="26" t="n">
        <v>19</v>
      </c>
      <c r="W39" s="26" t="n">
        <v>20</v>
      </c>
      <c r="X39" s="140"/>
    </row>
    <row r="40" customFormat="false" ht="18.75" hidden="false" customHeight="true" outlineLevel="0" collapsed="false">
      <c r="B40" s="141" t="s">
        <v>24</v>
      </c>
      <c r="C40" s="29" t="n">
        <v>0</v>
      </c>
      <c r="D40" s="30" t="n">
        <f aca="false">$D$10*P1</f>
        <v>541531.98</v>
      </c>
      <c r="E40" s="30" t="n">
        <f aca="false">$D$10*Q1</f>
        <v>539343.972</v>
      </c>
      <c r="F40" s="30" t="n">
        <f aca="false">$D$10*R1</f>
        <v>537155.964</v>
      </c>
      <c r="G40" s="30" t="n">
        <f aca="false">$D$10*S1</f>
        <v>534967.956</v>
      </c>
      <c r="H40" s="30" t="n">
        <f aca="false">$D$10*T1</f>
        <v>532779.948</v>
      </c>
      <c r="I40" s="30" t="n">
        <f aca="false">$D$10*U1</f>
        <v>530591.94</v>
      </c>
      <c r="J40" s="30" t="n">
        <f aca="false">$D$10*V1</f>
        <v>528403.932</v>
      </c>
      <c r="K40" s="30" t="n">
        <f aca="false">$D$10*W1</f>
        <v>526215.924</v>
      </c>
      <c r="L40" s="30" t="n">
        <f aca="false">$D$10*X1</f>
        <v>524027.916</v>
      </c>
      <c r="M40" s="30" t="n">
        <f aca="false">$D$10*Y1</f>
        <v>521839.908</v>
      </c>
      <c r="N40" s="30" t="n">
        <f aca="false">$D$10*Z1</f>
        <v>519651.9</v>
      </c>
      <c r="O40" s="30" t="n">
        <f aca="false">$D$10*AA1</f>
        <v>517463.892</v>
      </c>
      <c r="P40" s="30" t="n">
        <f aca="false">$D$10*AB1</f>
        <v>515275.884</v>
      </c>
      <c r="Q40" s="30" t="n">
        <f aca="false">$D$10*AC1</f>
        <v>513087.876</v>
      </c>
      <c r="R40" s="30" t="n">
        <f aca="false">$D$10*AD1</f>
        <v>510899.868</v>
      </c>
      <c r="S40" s="30" t="n">
        <f aca="false">$D$10*AE1</f>
        <v>508711.86</v>
      </c>
      <c r="T40" s="30" t="n">
        <f aca="false">$D$10*AF1</f>
        <v>506523.852</v>
      </c>
      <c r="U40" s="30" t="n">
        <f aca="false">$D$10*AG1</f>
        <v>504335.844</v>
      </c>
      <c r="V40" s="30" t="n">
        <f aca="false">$D$10*AH1</f>
        <v>502147.836</v>
      </c>
      <c r="W40" s="30" t="n">
        <f aca="false">$D$10*AI1</f>
        <v>499959.828</v>
      </c>
      <c r="X40" s="142"/>
    </row>
    <row r="41" customFormat="false" ht="18.75" hidden="false" customHeight="true" outlineLevel="0" collapsed="false">
      <c r="B41" s="31" t="s">
        <v>25</v>
      </c>
      <c r="C41" s="32" t="s">
        <v>26</v>
      </c>
      <c r="D41" s="33" t="n">
        <f aca="false">D40*$D$13</f>
        <v>2166127.92</v>
      </c>
      <c r="E41" s="33" t="n">
        <f aca="false">E40*$D$13</f>
        <v>2157375.888</v>
      </c>
      <c r="F41" s="33" t="n">
        <f aca="false">F40*$D$13</f>
        <v>2148623.856</v>
      </c>
      <c r="G41" s="33" t="n">
        <f aca="false">G40*$D$13</f>
        <v>2139871.824</v>
      </c>
      <c r="H41" s="33" t="n">
        <f aca="false">H40*$D$13</f>
        <v>2131119.792</v>
      </c>
      <c r="I41" s="33" t="n">
        <f aca="false">I40*$D$13</f>
        <v>2122367.76</v>
      </c>
      <c r="J41" s="33" t="n">
        <f aca="false">J40*$D$13</f>
        <v>2113615.728</v>
      </c>
      <c r="K41" s="33" t="n">
        <f aca="false">K40*$D$13</f>
        <v>2104863.696</v>
      </c>
      <c r="L41" s="33" t="n">
        <f aca="false">L40*$D$13</f>
        <v>2096111.664</v>
      </c>
      <c r="M41" s="33" t="n">
        <f aca="false">M40*$D$13</f>
        <v>2087359.632</v>
      </c>
      <c r="N41" s="33" t="n">
        <f aca="false">N40*$D$13</f>
        <v>2078607.6</v>
      </c>
      <c r="O41" s="33" t="n">
        <f aca="false">O40*$D$13</f>
        <v>2069855.568</v>
      </c>
      <c r="P41" s="33" t="n">
        <f aca="false">P40*$D$13</f>
        <v>2061103.536</v>
      </c>
      <c r="Q41" s="33" t="n">
        <f aca="false">Q40*$D$13</f>
        <v>2052351.504</v>
      </c>
      <c r="R41" s="33" t="n">
        <f aca="false">R40*$D$13</f>
        <v>2043599.472</v>
      </c>
      <c r="S41" s="33" t="n">
        <f aca="false">S40*$D$13</f>
        <v>2034847.44</v>
      </c>
      <c r="T41" s="33" t="n">
        <f aca="false">T40*$D$13</f>
        <v>2026095.408</v>
      </c>
      <c r="U41" s="33" t="n">
        <f aca="false">U40*$D$13</f>
        <v>2017343.376</v>
      </c>
      <c r="V41" s="33" t="n">
        <f aca="false">V40*$D$13</f>
        <v>2008591.344</v>
      </c>
      <c r="W41" s="33" t="n">
        <f aca="false">W40*$D$13</f>
        <v>1999839.312</v>
      </c>
      <c r="X41" s="143"/>
    </row>
    <row r="42" customFormat="false" ht="18.75" hidden="false" customHeight="true" outlineLevel="0" collapsed="false">
      <c r="B42" s="34" t="s">
        <v>27</v>
      </c>
      <c r="C42" s="35" t="s">
        <v>26</v>
      </c>
      <c r="D42" s="144"/>
      <c r="E42" s="144"/>
      <c r="F42" s="144"/>
      <c r="G42" s="37" t="s">
        <v>26</v>
      </c>
      <c r="H42" s="37" t="s">
        <v>26</v>
      </c>
      <c r="I42" s="37" t="s">
        <v>26</v>
      </c>
      <c r="J42" s="37" t="s">
        <v>26</v>
      </c>
      <c r="K42" s="37" t="s">
        <v>26</v>
      </c>
      <c r="L42" s="37" t="s">
        <v>26</v>
      </c>
      <c r="M42" s="37" t="s">
        <v>26</v>
      </c>
      <c r="N42" s="37" t="s">
        <v>26</v>
      </c>
      <c r="O42" s="37" t="s">
        <v>26</v>
      </c>
      <c r="P42" s="37" t="s">
        <v>26</v>
      </c>
      <c r="Q42" s="37" t="s">
        <v>26</v>
      </c>
      <c r="R42" s="37" t="s">
        <v>26</v>
      </c>
      <c r="S42" s="37" t="s">
        <v>26</v>
      </c>
      <c r="T42" s="37" t="s">
        <v>26</v>
      </c>
      <c r="U42" s="37" t="s">
        <v>26</v>
      </c>
      <c r="V42" s="37" t="s">
        <v>26</v>
      </c>
      <c r="W42" s="37" t="s">
        <v>26</v>
      </c>
      <c r="X42" s="145"/>
    </row>
    <row r="43" customFormat="false" ht="18.75" hidden="false" customHeight="true" outlineLevel="0" collapsed="false">
      <c r="B43" s="38" t="s">
        <v>28</v>
      </c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8"/>
    </row>
    <row r="44" customFormat="false" ht="18.75" hidden="false" customHeight="true" outlineLevel="0" collapsed="false">
      <c r="B44" s="41" t="s">
        <v>29</v>
      </c>
      <c r="C44" s="42" t="n">
        <f aca="false">-(D16/(1-D17)+D18)*C4</f>
        <v>-18939200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</row>
    <row r="45" customFormat="false" ht="18.75" hidden="false" customHeight="true" outlineLevel="0" collapsed="false">
      <c r="B45" s="41" t="s">
        <v>30</v>
      </c>
      <c r="C45" s="35" t="s">
        <v>26</v>
      </c>
      <c r="D45" s="106" t="n">
        <v>-290201</v>
      </c>
      <c r="E45" s="149" t="n">
        <v>-290201</v>
      </c>
      <c r="F45" s="149" t="n">
        <v>-290201</v>
      </c>
      <c r="G45" s="149" t="n">
        <v>-290201</v>
      </c>
      <c r="H45" s="149" t="n">
        <v>-290201</v>
      </c>
      <c r="I45" s="149" t="n">
        <v>-290201</v>
      </c>
      <c r="J45" s="149" t="n">
        <v>-290201</v>
      </c>
      <c r="K45" s="149" t="n">
        <v>-290201</v>
      </c>
      <c r="L45" s="149" t="n">
        <v>-290201</v>
      </c>
      <c r="M45" s="149" t="n">
        <v>-290201</v>
      </c>
      <c r="N45" s="149" t="n">
        <v>-290201</v>
      </c>
      <c r="O45" s="149" t="n">
        <v>-290201</v>
      </c>
      <c r="P45" s="149" t="n">
        <v>-290201</v>
      </c>
      <c r="Q45" s="149" t="n">
        <v>-290201</v>
      </c>
      <c r="R45" s="149" t="n">
        <v>-290201</v>
      </c>
      <c r="S45" s="149" t="n">
        <v>-290201</v>
      </c>
      <c r="T45" s="149" t="n">
        <v>-290201</v>
      </c>
      <c r="U45" s="149" t="n">
        <v>-290201</v>
      </c>
      <c r="V45" s="149" t="n">
        <v>-290201</v>
      </c>
      <c r="W45" s="149" t="n">
        <v>-290201</v>
      </c>
      <c r="X45" s="149"/>
    </row>
    <row r="46" customFormat="false" ht="18.75" hidden="false" customHeight="true" outlineLevel="0" collapsed="false">
      <c r="B46" s="41" t="s">
        <v>31</v>
      </c>
      <c r="C46" s="35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</row>
    <row r="47" customFormat="false" ht="18.75" hidden="false" customHeight="true" outlineLevel="0" collapsed="false">
      <c r="B47" s="41" t="s">
        <v>32</v>
      </c>
      <c r="C47" s="35" t="s">
        <v>26</v>
      </c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</row>
    <row r="48" customFormat="false" ht="18.75" hidden="false" customHeight="true" outlineLevel="0" collapsed="false">
      <c r="B48" s="41" t="s">
        <v>33</v>
      </c>
      <c r="C48" s="35" t="s">
        <v>26</v>
      </c>
      <c r="D48" s="149" t="n">
        <v>-174440</v>
      </c>
      <c r="E48" s="149" t="n">
        <v>-174440</v>
      </c>
      <c r="F48" s="149" t="n">
        <v>-174440</v>
      </c>
      <c r="G48" s="149" t="n">
        <v>-174440</v>
      </c>
      <c r="H48" s="149" t="n">
        <v>-174440</v>
      </c>
      <c r="I48" s="149" t="n">
        <v>-174440</v>
      </c>
      <c r="J48" s="149" t="n">
        <v>-174440</v>
      </c>
      <c r="K48" s="149" t="n">
        <v>-174440</v>
      </c>
      <c r="L48" s="149" t="n">
        <v>-174440</v>
      </c>
      <c r="M48" s="149" t="n">
        <v>-174440</v>
      </c>
      <c r="N48" s="149" t="n">
        <v>-174440</v>
      </c>
      <c r="O48" s="149" t="n">
        <v>-174440</v>
      </c>
      <c r="P48" s="149" t="n">
        <v>-174440</v>
      </c>
      <c r="Q48" s="149" t="n">
        <v>-174440</v>
      </c>
      <c r="R48" s="149" t="n">
        <v>-174440</v>
      </c>
      <c r="S48" s="149" t="n">
        <v>-174440</v>
      </c>
      <c r="T48" s="149" t="n">
        <v>-174440</v>
      </c>
      <c r="U48" s="149" t="n">
        <v>-174440</v>
      </c>
      <c r="V48" s="149" t="n">
        <v>-174440</v>
      </c>
      <c r="W48" s="149" t="n">
        <v>-174440</v>
      </c>
      <c r="X48" s="149"/>
    </row>
    <row r="49" customFormat="false" ht="18.75" hidden="false" customHeight="true" outlineLevel="0" collapsed="false">
      <c r="B49" s="41" t="s">
        <v>34</v>
      </c>
      <c r="C49" s="35" t="s">
        <v>26</v>
      </c>
      <c r="D49" s="149" t="n">
        <v>-37940.7</v>
      </c>
      <c r="E49" s="149" t="n">
        <v>-37940.7</v>
      </c>
      <c r="F49" s="149" t="n">
        <v>-37940.7</v>
      </c>
      <c r="G49" s="149" t="n">
        <v>-37940.7</v>
      </c>
      <c r="H49" s="149" t="n">
        <v>-37940.7</v>
      </c>
      <c r="I49" s="149" t="n">
        <v>-37940.7</v>
      </c>
      <c r="J49" s="149" t="n">
        <v>-37940.7</v>
      </c>
      <c r="K49" s="149" t="n">
        <v>-37940.7</v>
      </c>
      <c r="L49" s="149" t="n">
        <v>-37940.7</v>
      </c>
      <c r="M49" s="149" t="n">
        <v>-37940.7</v>
      </c>
      <c r="N49" s="149" t="n">
        <v>-37940.7</v>
      </c>
      <c r="O49" s="149" t="n">
        <v>-37940.7</v>
      </c>
      <c r="P49" s="149" t="n">
        <v>-37940.7</v>
      </c>
      <c r="Q49" s="149" t="n">
        <v>-37940.7</v>
      </c>
      <c r="R49" s="149" t="n">
        <v>-37940.7</v>
      </c>
      <c r="S49" s="149" t="n">
        <v>-37940.7</v>
      </c>
      <c r="T49" s="149" t="n">
        <v>-37940.7</v>
      </c>
      <c r="U49" s="149" t="n">
        <v>-37940.7</v>
      </c>
      <c r="V49" s="149" t="n">
        <v>-37940.7</v>
      </c>
      <c r="W49" s="149" t="n">
        <v>-37940.7</v>
      </c>
      <c r="X49" s="149"/>
    </row>
    <row r="50" customFormat="false" ht="18.75" hidden="false" customHeight="true" outlineLevel="0" collapsed="false">
      <c r="B50" s="41" t="s">
        <v>35</v>
      </c>
      <c r="C50" s="35"/>
      <c r="D50" s="149" t="n">
        <v>-43610</v>
      </c>
      <c r="E50" s="149" t="n">
        <v>-43610</v>
      </c>
      <c r="F50" s="149" t="n">
        <v>-43610</v>
      </c>
      <c r="G50" s="149" t="n">
        <v>-43610</v>
      </c>
      <c r="H50" s="149" t="n">
        <v>-43610</v>
      </c>
      <c r="I50" s="149" t="n">
        <v>-43610</v>
      </c>
      <c r="J50" s="149" t="n">
        <v>-43610</v>
      </c>
      <c r="K50" s="149" t="n">
        <v>-43610</v>
      </c>
      <c r="L50" s="149" t="n">
        <v>-43610</v>
      </c>
      <c r="M50" s="149" t="n">
        <v>-43610</v>
      </c>
      <c r="N50" s="149" t="n">
        <v>0</v>
      </c>
      <c r="O50" s="149" t="n">
        <v>0</v>
      </c>
      <c r="P50" s="149" t="n">
        <v>0</v>
      </c>
      <c r="Q50" s="149" t="n">
        <v>0</v>
      </c>
      <c r="R50" s="149" t="n">
        <v>0</v>
      </c>
      <c r="S50" s="149" t="n">
        <v>0</v>
      </c>
      <c r="T50" s="149" t="n">
        <v>0</v>
      </c>
      <c r="U50" s="149" t="n">
        <v>0</v>
      </c>
      <c r="V50" s="149" t="n">
        <v>0</v>
      </c>
      <c r="W50" s="149" t="n">
        <v>0</v>
      </c>
      <c r="X50" s="149"/>
    </row>
    <row r="51" customFormat="false" ht="18.75" hidden="false" customHeight="true" outlineLevel="0" collapsed="false">
      <c r="B51" s="41" t="s">
        <v>36</v>
      </c>
      <c r="C51" s="44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</row>
    <row r="52" customFormat="false" ht="18.75" hidden="false" customHeight="true" outlineLevel="0" collapsed="false">
      <c r="B52" s="41" t="s">
        <v>37</v>
      </c>
      <c r="C52" s="44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</row>
    <row r="53" customFormat="false" ht="18.75" hidden="false" customHeight="true" outlineLevel="0" collapsed="false">
      <c r="B53" s="45" t="s">
        <v>38</v>
      </c>
      <c r="C53" s="44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</row>
    <row r="54" customFormat="false" ht="18.75" hidden="false" customHeight="true" outlineLevel="0" collapsed="false">
      <c r="B54" s="45" t="s">
        <v>39</v>
      </c>
      <c r="C54" s="44"/>
      <c r="D54" s="149" t="n">
        <f aca="false">D77</f>
        <v>-192635.444</v>
      </c>
      <c r="E54" s="149" t="n">
        <f aca="false">E77</f>
        <v>-132844.8376</v>
      </c>
      <c r="F54" s="149" t="n">
        <f aca="false">F77</f>
        <v>-131094.4312</v>
      </c>
      <c r="G54" s="149" t="n">
        <f aca="false">G77</f>
        <v>-129344.0248</v>
      </c>
      <c r="H54" s="149" t="n">
        <f aca="false">H77</f>
        <v>-127593.6184</v>
      </c>
      <c r="I54" s="149" t="n">
        <f aca="false">I77</f>
        <v>-125843.212</v>
      </c>
      <c r="J54" s="149" t="n">
        <f aca="false">J77</f>
        <v>-124092.8056</v>
      </c>
      <c r="K54" s="149" t="n">
        <f aca="false">K77</f>
        <v>-122342.3992</v>
      </c>
      <c r="L54" s="149" t="n">
        <f aca="false">L77</f>
        <v>-120591.9928</v>
      </c>
      <c r="M54" s="149" t="n">
        <f aca="false">M77</f>
        <v>-118841.5864</v>
      </c>
      <c r="N54" s="149" t="n">
        <f aca="false">N77</f>
        <v>-125813.18</v>
      </c>
      <c r="O54" s="149" t="n">
        <f aca="false">O77</f>
        <v>-124062.7736</v>
      </c>
      <c r="P54" s="149" t="n">
        <f aca="false">P77</f>
        <v>-122312.3672</v>
      </c>
      <c r="Q54" s="149" t="n">
        <f aca="false">Q77</f>
        <v>-120561.9608</v>
      </c>
      <c r="R54" s="149" t="n">
        <f aca="false">R77</f>
        <v>-118811.5544</v>
      </c>
      <c r="S54" s="149" t="n">
        <f aca="false">S77</f>
        <v>-117061.148</v>
      </c>
      <c r="T54" s="149" t="n">
        <f aca="false">T77</f>
        <v>-115310.7416</v>
      </c>
      <c r="U54" s="149" t="n">
        <f aca="false">U77</f>
        <v>-113560.3352</v>
      </c>
      <c r="V54" s="149" t="n">
        <f aca="false">V77</f>
        <v>-111809.9288</v>
      </c>
      <c r="W54" s="149" t="n">
        <f aca="false">W77</f>
        <v>-110059.5224</v>
      </c>
      <c r="X54" s="144"/>
    </row>
    <row r="55" customFormat="false" ht="18.75" hidden="false" customHeight="true" outlineLevel="0" collapsed="false">
      <c r="B55" s="46" t="s">
        <v>40</v>
      </c>
      <c r="C55" s="47" t="n">
        <f aca="false">C44</f>
        <v>-18939200</v>
      </c>
      <c r="D55" s="48" t="n">
        <f aca="false">SUM(D41:D54)</f>
        <v>1427300.776</v>
      </c>
      <c r="E55" s="48" t="n">
        <f aca="false">SUM(E41:E54)</f>
        <v>1478339.3504</v>
      </c>
      <c r="F55" s="48" t="n">
        <f aca="false">SUM(F41:F54)</f>
        <v>1471337.7248</v>
      </c>
      <c r="G55" s="48" t="n">
        <f aca="false">SUM(G41:G54)</f>
        <v>1464336.0992</v>
      </c>
      <c r="H55" s="48" t="n">
        <f aca="false">SUM(H41:H54)</f>
        <v>1457334.4736</v>
      </c>
      <c r="I55" s="48" t="n">
        <f aca="false">SUM(I41:I54)</f>
        <v>1450332.848</v>
      </c>
      <c r="J55" s="48" t="n">
        <f aca="false">SUM(J41:J54)</f>
        <v>1443331.2224</v>
      </c>
      <c r="K55" s="48" t="n">
        <f aca="false">SUM(K41:K54)</f>
        <v>1436329.5968</v>
      </c>
      <c r="L55" s="48" t="n">
        <f aca="false">SUM(L41:L54)</f>
        <v>1429327.9712</v>
      </c>
      <c r="M55" s="48" t="n">
        <f aca="false">SUM(M41:M54)</f>
        <v>1422326.3456</v>
      </c>
      <c r="N55" s="48" t="n">
        <f aca="false">SUM(N41:N54)</f>
        <v>1450212.72</v>
      </c>
      <c r="O55" s="48" t="n">
        <f aca="false">SUM(O41:O54)</f>
        <v>1443211.0944</v>
      </c>
      <c r="P55" s="48" t="n">
        <f aca="false">SUM(P41:P54)</f>
        <v>1436209.4688</v>
      </c>
      <c r="Q55" s="48" t="n">
        <f aca="false">SUM(Q41:Q54)</f>
        <v>1429207.8432</v>
      </c>
      <c r="R55" s="48" t="n">
        <f aca="false">SUM(R41:R54)</f>
        <v>1422206.2176</v>
      </c>
      <c r="S55" s="48" t="n">
        <f aca="false">SUM(S41:S54)</f>
        <v>1415204.592</v>
      </c>
      <c r="T55" s="48" t="n">
        <f aca="false">SUM(T41:T54)</f>
        <v>1408202.9664</v>
      </c>
      <c r="U55" s="48" t="n">
        <f aca="false">SUM(U41:U54)</f>
        <v>1401201.3408</v>
      </c>
      <c r="V55" s="48" t="n">
        <f aca="false">SUM(V41:V54)</f>
        <v>1394199.7152</v>
      </c>
      <c r="W55" s="48" t="n">
        <f aca="false">SUM(W41:W54)</f>
        <v>1387198.0896</v>
      </c>
      <c r="X55" s="150"/>
      <c r="Y55" s="151"/>
      <c r="Z55" s="152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customFormat="false" ht="18.75" hidden="false" customHeight="true" outlineLevel="0" collapsed="false">
      <c r="B56" s="49" t="s">
        <v>41</v>
      </c>
      <c r="D56" s="50" t="n">
        <f aca="false">C55+D55</f>
        <v>-17511899.224</v>
      </c>
      <c r="E56" s="50" t="n">
        <f aca="false">D56+E55</f>
        <v>-16033559.8736</v>
      </c>
      <c r="F56" s="50" t="n">
        <f aca="false">E56+F55</f>
        <v>-14562222.1488</v>
      </c>
      <c r="G56" s="50" t="n">
        <f aca="false">F56+G55</f>
        <v>-13097886.0496</v>
      </c>
      <c r="H56" s="50" t="n">
        <f aca="false">G56+H55</f>
        <v>-11640551.576</v>
      </c>
      <c r="I56" s="50" t="n">
        <f aca="false">H56+I55</f>
        <v>-10190218.728</v>
      </c>
      <c r="J56" s="50" t="n">
        <f aca="false">I56+J55</f>
        <v>-8746887.5056</v>
      </c>
      <c r="K56" s="50" t="n">
        <f aca="false">J56+K55</f>
        <v>-7310557.9088</v>
      </c>
      <c r="L56" s="50" t="n">
        <f aca="false">K56+L55</f>
        <v>-5881229.9376</v>
      </c>
      <c r="M56" s="50" t="n">
        <f aca="false">L56+M55</f>
        <v>-4458903.592</v>
      </c>
      <c r="N56" s="50" t="n">
        <f aca="false">M56+N55</f>
        <v>-3008690.872</v>
      </c>
      <c r="O56" s="50" t="n">
        <f aca="false">N56+O55</f>
        <v>-1565479.7776</v>
      </c>
      <c r="P56" s="50" t="n">
        <f aca="false">O56+P55</f>
        <v>-129270.308800002</v>
      </c>
      <c r="Q56" s="50" t="n">
        <f aca="false">P56+Q55</f>
        <v>1299937.5344</v>
      </c>
      <c r="R56" s="50" t="n">
        <f aca="false">Q56+R55</f>
        <v>2722143.752</v>
      </c>
      <c r="S56" s="50" t="n">
        <f aca="false">R56+S55</f>
        <v>4137348.344</v>
      </c>
      <c r="T56" s="50" t="n">
        <f aca="false">S56+T55</f>
        <v>5545551.3104</v>
      </c>
      <c r="U56" s="50" t="n">
        <f aca="false">T56+U55</f>
        <v>6946752.6512</v>
      </c>
      <c r="V56" s="50" t="n">
        <f aca="false">U56+V55</f>
        <v>8340952.3664</v>
      </c>
      <c r="W56" s="50" t="n">
        <f aca="false">V56+W55</f>
        <v>9728150.456</v>
      </c>
      <c r="X56" s="50" t="n">
        <f aca="false">W56+X55</f>
        <v>9728150.456</v>
      </c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</row>
    <row r="57" customFormat="false" ht="18.75" hidden="false" customHeight="true" outlineLevel="0" collapsed="false">
      <c r="B57" s="51" t="s">
        <v>42</v>
      </c>
      <c r="C57" s="52"/>
      <c r="D57" s="53" t="str">
        <f aca="false">IF((D56)&gt;0,"回收","未回收")</f>
        <v>未回收</v>
      </c>
      <c r="E57" s="54" t="str">
        <f aca="false">IF((E56)&gt;0,"回收","未回收")</f>
        <v>未回收</v>
      </c>
      <c r="F57" s="54" t="str">
        <f aca="false">IF((F56)&gt;0,"回收","未回收")</f>
        <v>未回收</v>
      </c>
      <c r="G57" s="54" t="str">
        <f aca="false">IF((G56)&gt;0,"回收","未回收")</f>
        <v>未回收</v>
      </c>
      <c r="H57" s="54" t="str">
        <f aca="false">IF((H56)&gt;0,"回收","未回收")</f>
        <v>未回收</v>
      </c>
      <c r="I57" s="54" t="str">
        <f aca="false">IF((I56)&gt;0,"回收","未回收")</f>
        <v>未回收</v>
      </c>
      <c r="J57" s="54" t="str">
        <f aca="false">IF((J56)&gt;0,"回收","未回收")</f>
        <v>未回收</v>
      </c>
      <c r="K57" s="54" t="str">
        <f aca="false">IF((K56)&gt;0,"回收","未回收")</f>
        <v>未回收</v>
      </c>
      <c r="L57" s="54" t="str">
        <f aca="false">IF((L56)&gt;0,"回收","未回收")</f>
        <v>未回收</v>
      </c>
      <c r="M57" s="54" t="str">
        <f aca="false">IF((M56)&gt;0,"回收","未回收")</f>
        <v>未回收</v>
      </c>
      <c r="N57" s="54" t="str">
        <f aca="false">IF((N56)&gt;0,"回收","未回收")</f>
        <v>未回收</v>
      </c>
      <c r="O57" s="54" t="str">
        <f aca="false">IF((O56)&gt;0,"回收","未回收")</f>
        <v>未回收</v>
      </c>
      <c r="P57" s="54" t="str">
        <f aca="false">IF((P56)&gt;0,"回收","未回收")</f>
        <v>未回收</v>
      </c>
      <c r="Q57" s="54" t="str">
        <f aca="false">IF((Q56)&gt;0,"回收","未回收")</f>
        <v>回收</v>
      </c>
      <c r="R57" s="54" t="str">
        <f aca="false">IF((R56)&gt;0,"回收","未回收")</f>
        <v>回收</v>
      </c>
      <c r="S57" s="54" t="str">
        <f aca="false">IF((S56)&gt;0,"回收","未回收")</f>
        <v>回收</v>
      </c>
      <c r="T57" s="54" t="str">
        <f aca="false">IF((T56)&gt;0,"回收","未回收")</f>
        <v>回收</v>
      </c>
      <c r="U57" s="54" t="str">
        <f aca="false">IF((U56)&gt;0,"回收","未回收")</f>
        <v>回收</v>
      </c>
      <c r="V57" s="54" t="str">
        <f aca="false">IF((V56)&gt;0,"回收","未回收")</f>
        <v>回收</v>
      </c>
      <c r="W57" s="54" t="str">
        <f aca="false">IF((W56)&gt;0,"回收","未回收")</f>
        <v>回收</v>
      </c>
      <c r="X57" s="54" t="str">
        <f aca="false">IF((X56)&gt;0,"回收","未回收")</f>
        <v>回收</v>
      </c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</row>
    <row r="58" customFormat="false" ht="18.75" hidden="false" customHeight="true" outlineLevel="0" collapsed="false">
      <c r="B58" s="55" t="s">
        <v>43</v>
      </c>
      <c r="C58" s="56" t="n">
        <f aca="false">IRR(C55:W55)</f>
        <v>0.0435864672657961</v>
      </c>
      <c r="D58" s="57"/>
      <c r="E58" s="57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</row>
    <row r="59" customFormat="false" ht="18.75" hidden="false" customHeight="true" outlineLevel="0" collapsed="false">
      <c r="B59" s="58"/>
      <c r="C59" s="57"/>
      <c r="D59" s="57"/>
      <c r="E59" s="57"/>
      <c r="F59" s="58"/>
      <c r="G59" s="58"/>
      <c r="H59" s="58"/>
      <c r="I59" s="58"/>
      <c r="J59" s="58"/>
      <c r="K59" s="58"/>
      <c r="L59" s="58"/>
      <c r="M59" s="57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customFormat="false" ht="18.75" hidden="false" customHeight="true" outlineLevel="0" collapsed="false">
      <c r="B60" s="16"/>
      <c r="C60" s="17" t="s">
        <v>0</v>
      </c>
      <c r="D60" s="17" t="n">
        <f aca="false">D37</f>
        <v>2020</v>
      </c>
      <c r="E60" s="17" t="n">
        <f aca="false">E37</f>
        <v>2021</v>
      </c>
      <c r="F60" s="17" t="n">
        <f aca="false">F37</f>
        <v>2022</v>
      </c>
      <c r="G60" s="17" t="n">
        <f aca="false">G37</f>
        <v>2023</v>
      </c>
      <c r="H60" s="17" t="n">
        <f aca="false">H37</f>
        <v>2024</v>
      </c>
      <c r="I60" s="17" t="n">
        <f aca="false">I37</f>
        <v>2025</v>
      </c>
      <c r="J60" s="17" t="n">
        <f aca="false">J37</f>
        <v>2026</v>
      </c>
      <c r="K60" s="17" t="n">
        <f aca="false">K37</f>
        <v>2027</v>
      </c>
      <c r="L60" s="17" t="n">
        <f aca="false">L37</f>
        <v>2028</v>
      </c>
      <c r="M60" s="17" t="n">
        <f aca="false">M37</f>
        <v>2029</v>
      </c>
      <c r="N60" s="17" t="n">
        <f aca="false">N37</f>
        <v>2030</v>
      </c>
      <c r="O60" s="17" t="n">
        <f aca="false">O37</f>
        <v>2031</v>
      </c>
      <c r="P60" s="17" t="n">
        <f aca="false">P37</f>
        <v>2032</v>
      </c>
      <c r="Q60" s="17" t="n">
        <f aca="false">Q37</f>
        <v>2033</v>
      </c>
      <c r="R60" s="17" t="n">
        <f aca="false">R37</f>
        <v>2034</v>
      </c>
      <c r="S60" s="17" t="n">
        <f aca="false">S37</f>
        <v>2035</v>
      </c>
      <c r="T60" s="17" t="n">
        <f aca="false">T37</f>
        <v>2036</v>
      </c>
      <c r="U60" s="17" t="n">
        <f aca="false">U37</f>
        <v>2037</v>
      </c>
      <c r="V60" s="17" t="n">
        <f aca="false">V37</f>
        <v>2038</v>
      </c>
      <c r="W60" s="17" t="n">
        <f aca="false">W37</f>
        <v>2039</v>
      </c>
      <c r="X60" s="17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</row>
    <row r="61" customFormat="false" ht="18.75" hidden="false" customHeight="true" outlineLevel="0" collapsed="false">
      <c r="B61" s="18" t="n">
        <v>0</v>
      </c>
      <c r="C61" s="19"/>
      <c r="D61" s="20"/>
      <c r="E61" s="20"/>
      <c r="F61" s="2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59" t="s">
        <v>44</v>
      </c>
      <c r="U61" s="22"/>
      <c r="V61" s="22"/>
      <c r="W61" s="22"/>
      <c r="X61" s="139"/>
    </row>
    <row r="62" customFormat="false" ht="18.75" hidden="false" customHeight="true" outlineLevel="0" collapsed="false">
      <c r="B62" s="24" t="s">
        <v>23</v>
      </c>
      <c r="C62" s="25" t="n">
        <v>0</v>
      </c>
      <c r="D62" s="26" t="n">
        <v>1</v>
      </c>
      <c r="E62" s="26" t="n">
        <v>2</v>
      </c>
      <c r="F62" s="26" t="n">
        <v>3</v>
      </c>
      <c r="G62" s="26" t="n">
        <v>4</v>
      </c>
      <c r="H62" s="26" t="n">
        <v>5</v>
      </c>
      <c r="I62" s="26" t="n">
        <v>6</v>
      </c>
      <c r="J62" s="26" t="n">
        <v>7</v>
      </c>
      <c r="K62" s="26" t="n">
        <v>8</v>
      </c>
      <c r="L62" s="26" t="n">
        <v>9</v>
      </c>
      <c r="M62" s="26" t="n">
        <v>10</v>
      </c>
      <c r="N62" s="26" t="n">
        <v>11</v>
      </c>
      <c r="O62" s="26" t="n">
        <v>12</v>
      </c>
      <c r="P62" s="26" t="n">
        <v>13</v>
      </c>
      <c r="Q62" s="26" t="n">
        <v>14</v>
      </c>
      <c r="R62" s="26" t="n">
        <v>15</v>
      </c>
      <c r="S62" s="26" t="n">
        <v>16</v>
      </c>
      <c r="T62" s="60" t="n">
        <v>17</v>
      </c>
      <c r="U62" s="26" t="n">
        <v>18</v>
      </c>
      <c r="V62" s="26" t="n">
        <v>19</v>
      </c>
      <c r="W62" s="26" t="n">
        <v>20</v>
      </c>
      <c r="X62" s="140"/>
    </row>
    <row r="63" customFormat="false" ht="18.75" hidden="false" customHeight="true" outlineLevel="0" collapsed="false">
      <c r="B63" s="141" t="s">
        <v>24</v>
      </c>
      <c r="C63" s="29" t="n">
        <v>0</v>
      </c>
      <c r="D63" s="30" t="n">
        <f aca="false">D40</f>
        <v>541531.98</v>
      </c>
      <c r="E63" s="30" t="n">
        <f aca="false">E40</f>
        <v>539343.972</v>
      </c>
      <c r="F63" s="30" t="n">
        <f aca="false">F40</f>
        <v>537155.964</v>
      </c>
      <c r="G63" s="30" t="n">
        <f aca="false">G40</f>
        <v>534967.956</v>
      </c>
      <c r="H63" s="30" t="n">
        <f aca="false">H40</f>
        <v>532779.948</v>
      </c>
      <c r="I63" s="30" t="n">
        <f aca="false">I40</f>
        <v>530591.94</v>
      </c>
      <c r="J63" s="30" t="n">
        <f aca="false">J40</f>
        <v>528403.932</v>
      </c>
      <c r="K63" s="30" t="n">
        <f aca="false">K40</f>
        <v>526215.924</v>
      </c>
      <c r="L63" s="30" t="n">
        <f aca="false">L40</f>
        <v>524027.916</v>
      </c>
      <c r="M63" s="30" t="n">
        <f aca="false">M40</f>
        <v>521839.908</v>
      </c>
      <c r="N63" s="30" t="n">
        <f aca="false">N40</f>
        <v>519651.9</v>
      </c>
      <c r="O63" s="30" t="n">
        <f aca="false">O40</f>
        <v>517463.892</v>
      </c>
      <c r="P63" s="30" t="n">
        <f aca="false">P40</f>
        <v>515275.884</v>
      </c>
      <c r="Q63" s="30" t="n">
        <f aca="false">Q40</f>
        <v>513087.876</v>
      </c>
      <c r="R63" s="30" t="n">
        <f aca="false">R40</f>
        <v>510899.868</v>
      </c>
      <c r="S63" s="30" t="n">
        <f aca="false">S40</f>
        <v>508711.86</v>
      </c>
      <c r="T63" s="30" t="n">
        <f aca="false">T40</f>
        <v>506523.852</v>
      </c>
      <c r="U63" s="30" t="n">
        <f aca="false">U40</f>
        <v>504335.844</v>
      </c>
      <c r="V63" s="30" t="n">
        <f aca="false">V40</f>
        <v>502147.836</v>
      </c>
      <c r="W63" s="30" t="n">
        <f aca="false">W40</f>
        <v>499959.828</v>
      </c>
      <c r="X63" s="142"/>
    </row>
    <row r="64" customFormat="false" ht="18.75" hidden="false" customHeight="true" outlineLevel="0" collapsed="false">
      <c r="B64" s="31" t="s">
        <v>25</v>
      </c>
      <c r="C64" s="32" t="s">
        <v>26</v>
      </c>
      <c r="D64" s="33" t="n">
        <f aca="false">D41</f>
        <v>2166127.92</v>
      </c>
      <c r="E64" s="33" t="n">
        <f aca="false">E41</f>
        <v>2157375.888</v>
      </c>
      <c r="F64" s="33" t="n">
        <f aca="false">F41</f>
        <v>2148623.856</v>
      </c>
      <c r="G64" s="33" t="n">
        <f aca="false">G41</f>
        <v>2139871.824</v>
      </c>
      <c r="H64" s="33" t="n">
        <f aca="false">H41</f>
        <v>2131119.792</v>
      </c>
      <c r="I64" s="33" t="n">
        <f aca="false">I41</f>
        <v>2122367.76</v>
      </c>
      <c r="J64" s="33" t="n">
        <f aca="false">J41</f>
        <v>2113615.728</v>
      </c>
      <c r="K64" s="33" t="n">
        <f aca="false">K41</f>
        <v>2104863.696</v>
      </c>
      <c r="L64" s="33" t="n">
        <f aca="false">L41</f>
        <v>2096111.664</v>
      </c>
      <c r="M64" s="33" t="n">
        <f aca="false">M41</f>
        <v>2087359.632</v>
      </c>
      <c r="N64" s="33" t="n">
        <f aca="false">N41</f>
        <v>2078607.6</v>
      </c>
      <c r="O64" s="33" t="n">
        <f aca="false">O41</f>
        <v>2069855.568</v>
      </c>
      <c r="P64" s="33" t="n">
        <f aca="false">P41</f>
        <v>2061103.536</v>
      </c>
      <c r="Q64" s="33" t="n">
        <f aca="false">Q41</f>
        <v>2052351.504</v>
      </c>
      <c r="R64" s="33" t="n">
        <f aca="false">R41</f>
        <v>2043599.472</v>
      </c>
      <c r="S64" s="33" t="n">
        <f aca="false">S41</f>
        <v>2034847.44</v>
      </c>
      <c r="T64" s="33" t="n">
        <f aca="false">T41</f>
        <v>2026095.408</v>
      </c>
      <c r="U64" s="33" t="n">
        <f aca="false">U41</f>
        <v>2017343.376</v>
      </c>
      <c r="V64" s="33" t="n">
        <f aca="false">V41</f>
        <v>2008591.344</v>
      </c>
      <c r="W64" s="33" t="n">
        <f aca="false">W41</f>
        <v>1999839.312</v>
      </c>
      <c r="X64" s="143"/>
    </row>
    <row r="65" customFormat="false" ht="18.75" hidden="false" customHeight="true" outlineLevel="0" collapsed="false">
      <c r="B65" s="34" t="s">
        <v>27</v>
      </c>
      <c r="C65" s="35" t="s">
        <v>26</v>
      </c>
      <c r="D65" s="144"/>
      <c r="E65" s="144"/>
      <c r="F65" s="144"/>
      <c r="G65" s="37" t="s">
        <v>26</v>
      </c>
      <c r="H65" s="37" t="s">
        <v>26</v>
      </c>
      <c r="I65" s="37" t="s">
        <v>26</v>
      </c>
      <c r="J65" s="37" t="s">
        <v>26</v>
      </c>
      <c r="K65" s="37" t="s">
        <v>26</v>
      </c>
      <c r="L65" s="37" t="s">
        <v>26</v>
      </c>
      <c r="M65" s="37" t="s">
        <v>26</v>
      </c>
      <c r="N65" s="37" t="s">
        <v>26</v>
      </c>
      <c r="O65" s="37" t="s">
        <v>26</v>
      </c>
      <c r="P65" s="37" t="s">
        <v>26</v>
      </c>
      <c r="Q65" s="37" t="s">
        <v>26</v>
      </c>
      <c r="R65" s="37" t="s">
        <v>26</v>
      </c>
      <c r="S65" s="37" t="s">
        <v>26</v>
      </c>
      <c r="T65" s="37" t="s">
        <v>26</v>
      </c>
      <c r="U65" s="37" t="s">
        <v>26</v>
      </c>
      <c r="V65" s="37" t="s">
        <v>26</v>
      </c>
      <c r="W65" s="37" t="s">
        <v>26</v>
      </c>
      <c r="X65" s="145"/>
    </row>
    <row r="66" customFormat="false" ht="18.75" hidden="false" customHeight="true" outlineLevel="0" collapsed="false">
      <c r="B66" s="38" t="s">
        <v>28</v>
      </c>
      <c r="C66" s="146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8"/>
    </row>
    <row r="67" customFormat="false" ht="18.75" hidden="false" customHeight="true" outlineLevel="0" collapsed="false">
      <c r="B67" s="41" t="s">
        <v>45</v>
      </c>
      <c r="C67" s="35"/>
      <c r="D67" s="61" t="n">
        <f aca="false">$C$44/$E$16</f>
        <v>-946960</v>
      </c>
      <c r="E67" s="61" t="n">
        <f aca="false">$C$44/$E$16</f>
        <v>-946960</v>
      </c>
      <c r="F67" s="61" t="n">
        <f aca="false">$C$44/$E$16</f>
        <v>-946960</v>
      </c>
      <c r="G67" s="61" t="n">
        <f aca="false">$C$44/$E$16</f>
        <v>-946960</v>
      </c>
      <c r="H67" s="61" t="n">
        <f aca="false">$C$44/$E$16</f>
        <v>-946960</v>
      </c>
      <c r="I67" s="61" t="n">
        <f aca="false">$C$44/$E$16</f>
        <v>-946960</v>
      </c>
      <c r="J67" s="61" t="n">
        <f aca="false">$C$44/$E$16</f>
        <v>-946960</v>
      </c>
      <c r="K67" s="61" t="n">
        <f aca="false">$C$44/$E$16</f>
        <v>-946960</v>
      </c>
      <c r="L67" s="61" t="n">
        <f aca="false">$C$44/$E$16</f>
        <v>-946960</v>
      </c>
      <c r="M67" s="61" t="n">
        <f aca="false">$C$44/$E$16</f>
        <v>-946960</v>
      </c>
      <c r="N67" s="61" t="n">
        <f aca="false">$C$44/$E$16</f>
        <v>-946960</v>
      </c>
      <c r="O67" s="61" t="n">
        <f aca="false">$C$44/$E$16</f>
        <v>-946960</v>
      </c>
      <c r="P67" s="61" t="n">
        <f aca="false">$C$44/$E$16</f>
        <v>-946960</v>
      </c>
      <c r="Q67" s="61" t="n">
        <f aca="false">$C$44/$E$16</f>
        <v>-946960</v>
      </c>
      <c r="R67" s="61" t="n">
        <f aca="false">$C$44/$E$16</f>
        <v>-946960</v>
      </c>
      <c r="S67" s="61" t="n">
        <f aca="false">$C$44/$E$16</f>
        <v>-946960</v>
      </c>
      <c r="T67" s="61" t="n">
        <f aca="false">$C$44/$E$16</f>
        <v>-946960</v>
      </c>
      <c r="U67" s="61" t="n">
        <f aca="false">$C$44/$E$16</f>
        <v>-946960</v>
      </c>
      <c r="V67" s="61" t="n">
        <f aca="false">$C$44/$E$16</f>
        <v>-946960</v>
      </c>
      <c r="W67" s="61" t="n">
        <f aca="false">$C$44/$E$16</f>
        <v>-946960</v>
      </c>
      <c r="X67" s="145"/>
    </row>
    <row r="68" customFormat="false" ht="18.75" hidden="false" customHeight="true" outlineLevel="0" collapsed="false">
      <c r="B68" s="41" t="s">
        <v>30</v>
      </c>
      <c r="C68" s="35" t="s">
        <v>26</v>
      </c>
      <c r="D68" s="149" t="n">
        <f aca="false">D44</f>
        <v>0</v>
      </c>
      <c r="E68" s="149" t="n">
        <f aca="false">E45</f>
        <v>-290201</v>
      </c>
      <c r="F68" s="149" t="n">
        <f aca="false">F45</f>
        <v>-290201</v>
      </c>
      <c r="G68" s="149" t="n">
        <f aca="false">G45</f>
        <v>-290201</v>
      </c>
      <c r="H68" s="149" t="n">
        <f aca="false">H45</f>
        <v>-290201</v>
      </c>
      <c r="I68" s="149" t="n">
        <f aca="false">I45</f>
        <v>-290201</v>
      </c>
      <c r="J68" s="149" t="n">
        <f aca="false">J45</f>
        <v>-290201</v>
      </c>
      <c r="K68" s="149" t="n">
        <f aca="false">K45</f>
        <v>-290201</v>
      </c>
      <c r="L68" s="149" t="n">
        <f aca="false">L45</f>
        <v>-290201</v>
      </c>
      <c r="M68" s="149" t="n">
        <f aca="false">M45</f>
        <v>-290201</v>
      </c>
      <c r="N68" s="149" t="n">
        <f aca="false">N45</f>
        <v>-290201</v>
      </c>
      <c r="O68" s="149" t="n">
        <f aca="false">O45</f>
        <v>-290201</v>
      </c>
      <c r="P68" s="149" t="n">
        <f aca="false">P45</f>
        <v>-290201</v>
      </c>
      <c r="Q68" s="149" t="n">
        <f aca="false">Q45</f>
        <v>-290201</v>
      </c>
      <c r="R68" s="149" t="n">
        <f aca="false">R45</f>
        <v>-290201</v>
      </c>
      <c r="S68" s="149" t="n">
        <f aca="false">S45</f>
        <v>-290201</v>
      </c>
      <c r="T68" s="149" t="n">
        <f aca="false">T45</f>
        <v>-290201</v>
      </c>
      <c r="U68" s="149" t="n">
        <f aca="false">U45</f>
        <v>-290201</v>
      </c>
      <c r="V68" s="149" t="n">
        <f aca="false">V45</f>
        <v>-290201</v>
      </c>
      <c r="W68" s="149" t="n">
        <f aca="false">W45</f>
        <v>-290201</v>
      </c>
      <c r="X68" s="145"/>
    </row>
    <row r="69" customFormat="false" ht="18.75" hidden="false" customHeight="true" outlineLevel="0" collapsed="false">
      <c r="B69" s="41" t="s">
        <v>31</v>
      </c>
      <c r="C69" s="35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5"/>
    </row>
    <row r="70" customFormat="false" ht="18.75" hidden="false" customHeight="true" outlineLevel="0" collapsed="false">
      <c r="B70" s="41" t="s">
        <v>32</v>
      </c>
      <c r="C70" s="35" t="s">
        <v>26</v>
      </c>
      <c r="D70" s="149" t="n">
        <v>0</v>
      </c>
      <c r="E70" s="149" t="n">
        <v>0</v>
      </c>
      <c r="F70" s="149" t="n">
        <v>0</v>
      </c>
      <c r="G70" s="149" t="n">
        <v>0</v>
      </c>
      <c r="H70" s="149" t="n">
        <v>0</v>
      </c>
      <c r="I70" s="149" t="n">
        <v>0</v>
      </c>
      <c r="J70" s="149" t="n">
        <v>0</v>
      </c>
      <c r="K70" s="149" t="n">
        <v>0</v>
      </c>
      <c r="L70" s="149" t="n">
        <v>0</v>
      </c>
      <c r="M70" s="149" t="n">
        <v>0</v>
      </c>
      <c r="N70" s="149" t="n">
        <v>0</v>
      </c>
      <c r="O70" s="149" t="n">
        <v>0</v>
      </c>
      <c r="P70" s="149" t="n">
        <v>0</v>
      </c>
      <c r="Q70" s="149" t="n">
        <v>0</v>
      </c>
      <c r="R70" s="149" t="n">
        <v>0</v>
      </c>
      <c r="S70" s="149" t="n">
        <v>0</v>
      </c>
      <c r="T70" s="149" t="n">
        <v>0</v>
      </c>
      <c r="U70" s="149" t="n">
        <v>0</v>
      </c>
      <c r="V70" s="149" t="n">
        <v>0</v>
      </c>
      <c r="W70" s="149" t="n">
        <v>0</v>
      </c>
      <c r="X70" s="145"/>
    </row>
    <row r="71" customFormat="false" ht="18.75" hidden="false" customHeight="true" outlineLevel="0" collapsed="false">
      <c r="B71" s="41" t="s">
        <v>33</v>
      </c>
      <c r="C71" s="35" t="s">
        <v>26</v>
      </c>
      <c r="D71" s="149" t="n">
        <f aca="false">D48</f>
        <v>-174440</v>
      </c>
      <c r="E71" s="149" t="n">
        <f aca="false">E48</f>
        <v>-174440</v>
      </c>
      <c r="F71" s="149" t="n">
        <f aca="false">F48</f>
        <v>-174440</v>
      </c>
      <c r="G71" s="149" t="n">
        <f aca="false">G48</f>
        <v>-174440</v>
      </c>
      <c r="H71" s="149" t="n">
        <f aca="false">H48</f>
        <v>-174440</v>
      </c>
      <c r="I71" s="149" t="n">
        <f aca="false">I48</f>
        <v>-174440</v>
      </c>
      <c r="J71" s="149" t="n">
        <f aca="false">J48</f>
        <v>-174440</v>
      </c>
      <c r="K71" s="149" t="n">
        <f aca="false">K48</f>
        <v>-174440</v>
      </c>
      <c r="L71" s="149" t="n">
        <f aca="false">L48</f>
        <v>-174440</v>
      </c>
      <c r="M71" s="149" t="n">
        <f aca="false">M48</f>
        <v>-174440</v>
      </c>
      <c r="N71" s="149" t="n">
        <f aca="false">N48</f>
        <v>-174440</v>
      </c>
      <c r="O71" s="149" t="n">
        <f aca="false">O48</f>
        <v>-174440</v>
      </c>
      <c r="P71" s="149" t="n">
        <f aca="false">P48</f>
        <v>-174440</v>
      </c>
      <c r="Q71" s="149" t="n">
        <f aca="false">Q48</f>
        <v>-174440</v>
      </c>
      <c r="R71" s="149" t="n">
        <f aca="false">R48</f>
        <v>-174440</v>
      </c>
      <c r="S71" s="149" t="n">
        <f aca="false">S48</f>
        <v>-174440</v>
      </c>
      <c r="T71" s="149" t="n">
        <f aca="false">T48</f>
        <v>-174440</v>
      </c>
      <c r="U71" s="149" t="n">
        <f aca="false">U48</f>
        <v>-174440</v>
      </c>
      <c r="V71" s="149" t="n">
        <f aca="false">V48</f>
        <v>-174440</v>
      </c>
      <c r="W71" s="149" t="n">
        <f aca="false">W48</f>
        <v>-174440</v>
      </c>
      <c r="X71" s="145"/>
    </row>
    <row r="72" customFormat="false" ht="18.75" hidden="false" customHeight="true" outlineLevel="0" collapsed="false">
      <c r="B72" s="41" t="s">
        <v>34</v>
      </c>
      <c r="C72" s="35" t="s">
        <v>26</v>
      </c>
      <c r="D72" s="149" t="n">
        <f aca="false">D49</f>
        <v>-37940.7</v>
      </c>
      <c r="E72" s="149" t="n">
        <f aca="false">E49</f>
        <v>-37940.7</v>
      </c>
      <c r="F72" s="149" t="n">
        <f aca="false">F49</f>
        <v>-37940.7</v>
      </c>
      <c r="G72" s="149" t="n">
        <f aca="false">G49</f>
        <v>-37940.7</v>
      </c>
      <c r="H72" s="149" t="n">
        <f aca="false">H49</f>
        <v>-37940.7</v>
      </c>
      <c r="I72" s="149" t="n">
        <f aca="false">I49</f>
        <v>-37940.7</v>
      </c>
      <c r="J72" s="149" t="n">
        <f aca="false">J49</f>
        <v>-37940.7</v>
      </c>
      <c r="K72" s="149" t="n">
        <f aca="false">K49</f>
        <v>-37940.7</v>
      </c>
      <c r="L72" s="149" t="n">
        <f aca="false">L49</f>
        <v>-37940.7</v>
      </c>
      <c r="M72" s="149" t="n">
        <f aca="false">M49</f>
        <v>-37940.7</v>
      </c>
      <c r="N72" s="149" t="n">
        <f aca="false">N49</f>
        <v>-37940.7</v>
      </c>
      <c r="O72" s="149" t="n">
        <f aca="false">O49</f>
        <v>-37940.7</v>
      </c>
      <c r="P72" s="149" t="n">
        <f aca="false">P49</f>
        <v>-37940.7</v>
      </c>
      <c r="Q72" s="149" t="n">
        <f aca="false">Q49</f>
        <v>-37940.7</v>
      </c>
      <c r="R72" s="149" t="n">
        <f aca="false">R49</f>
        <v>-37940.7</v>
      </c>
      <c r="S72" s="149" t="n">
        <f aca="false">S49</f>
        <v>-37940.7</v>
      </c>
      <c r="T72" s="149" t="n">
        <f aca="false">T49</f>
        <v>-37940.7</v>
      </c>
      <c r="U72" s="149" t="n">
        <f aca="false">U49</f>
        <v>-37940.7</v>
      </c>
      <c r="V72" s="149" t="n">
        <f aca="false">V49</f>
        <v>-37940.7</v>
      </c>
      <c r="W72" s="149" t="n">
        <f aca="false">W49</f>
        <v>-37940.7</v>
      </c>
      <c r="X72" s="145"/>
    </row>
    <row r="73" customFormat="false" ht="18.75" hidden="false" customHeight="true" outlineLevel="0" collapsed="false">
      <c r="B73" s="41" t="s">
        <v>35</v>
      </c>
      <c r="C73" s="35"/>
      <c r="D73" s="149" t="n">
        <f aca="false">D50</f>
        <v>-43610</v>
      </c>
      <c r="E73" s="149" t="n">
        <f aca="false">E50</f>
        <v>-43610</v>
      </c>
      <c r="F73" s="149" t="n">
        <f aca="false">F50</f>
        <v>-43610</v>
      </c>
      <c r="G73" s="149" t="n">
        <f aca="false">G50</f>
        <v>-43610</v>
      </c>
      <c r="H73" s="149" t="n">
        <f aca="false">H50</f>
        <v>-43610</v>
      </c>
      <c r="I73" s="149" t="n">
        <f aca="false">I50</f>
        <v>-43610</v>
      </c>
      <c r="J73" s="149" t="n">
        <f aca="false">J50</f>
        <v>-43610</v>
      </c>
      <c r="K73" s="149" t="n">
        <f aca="false">K50</f>
        <v>-43610</v>
      </c>
      <c r="L73" s="149" t="n">
        <f aca="false">L50</f>
        <v>-43610</v>
      </c>
      <c r="M73" s="149" t="n">
        <f aca="false">M50</f>
        <v>-43610</v>
      </c>
      <c r="N73" s="149" t="n">
        <f aca="false">N50</f>
        <v>0</v>
      </c>
      <c r="O73" s="149" t="n">
        <f aca="false">O50</f>
        <v>0</v>
      </c>
      <c r="P73" s="149" t="n">
        <f aca="false">P50</f>
        <v>0</v>
      </c>
      <c r="Q73" s="149" t="n">
        <f aca="false">Q50</f>
        <v>0</v>
      </c>
      <c r="R73" s="149" t="n">
        <f aca="false">R50</f>
        <v>0</v>
      </c>
      <c r="S73" s="149" t="n">
        <f aca="false">S50</f>
        <v>0</v>
      </c>
      <c r="T73" s="149" t="n">
        <f aca="false">T50</f>
        <v>0</v>
      </c>
      <c r="U73" s="149" t="n">
        <f aca="false">U50</f>
        <v>0</v>
      </c>
      <c r="V73" s="149" t="n">
        <f aca="false">V50</f>
        <v>0</v>
      </c>
      <c r="W73" s="149" t="n">
        <f aca="false">W50</f>
        <v>0</v>
      </c>
      <c r="X73" s="145"/>
    </row>
    <row r="74" customFormat="false" ht="18.75" hidden="false" customHeight="true" outlineLevel="0" collapsed="false">
      <c r="B74" s="41" t="s">
        <v>36</v>
      </c>
      <c r="C74" s="44"/>
      <c r="D74" s="62"/>
      <c r="E74" s="63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5"/>
    </row>
    <row r="75" customFormat="false" ht="18.75" hidden="false" customHeight="true" outlineLevel="0" collapsed="false">
      <c r="B75" s="41" t="s">
        <v>37</v>
      </c>
      <c r="C75" s="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5"/>
    </row>
    <row r="76" customFormat="false" ht="18.75" hidden="false" customHeight="true" outlineLevel="0" collapsed="false">
      <c r="B76" s="46" t="s">
        <v>46</v>
      </c>
      <c r="C76" s="155"/>
      <c r="D76" s="48" t="n">
        <f aca="false">SUM(D64:D75)</f>
        <v>963177.22</v>
      </c>
      <c r="E76" s="48" t="n">
        <f aca="false">SUM(E64:E75)</f>
        <v>664224.188</v>
      </c>
      <c r="F76" s="48" t="n">
        <f aca="false">SUM(F64:F75)</f>
        <v>655472.156</v>
      </c>
      <c r="G76" s="48" t="n">
        <f aca="false">SUM(G64:G75)</f>
        <v>646720.124</v>
      </c>
      <c r="H76" s="48" t="n">
        <f aca="false">SUM(H64:H75)</f>
        <v>637968.092</v>
      </c>
      <c r="I76" s="48" t="n">
        <f aca="false">SUM(I64:I75)</f>
        <v>629216.06</v>
      </c>
      <c r="J76" s="48" t="n">
        <f aca="false">SUM(J64:J75)</f>
        <v>620464.028</v>
      </c>
      <c r="K76" s="48" t="n">
        <f aca="false">SUM(K64:K75)</f>
        <v>611711.996</v>
      </c>
      <c r="L76" s="48" t="n">
        <f aca="false">SUM(L64:L75)</f>
        <v>602959.964</v>
      </c>
      <c r="M76" s="48" t="n">
        <f aca="false">SUM(M64:M75)</f>
        <v>594207.932</v>
      </c>
      <c r="N76" s="48" t="n">
        <f aca="false">SUM(N64:N75)</f>
        <v>629065.9</v>
      </c>
      <c r="O76" s="48" t="n">
        <f aca="false">SUM(O64:O75)</f>
        <v>620313.868</v>
      </c>
      <c r="P76" s="48" t="n">
        <f aca="false">SUM(P64:P75)</f>
        <v>611561.836</v>
      </c>
      <c r="Q76" s="48" t="n">
        <f aca="false">SUM(Q64:Q75)</f>
        <v>602809.804</v>
      </c>
      <c r="R76" s="48" t="n">
        <f aca="false">SUM(R64:R75)</f>
        <v>594057.772</v>
      </c>
      <c r="S76" s="48" t="n">
        <f aca="false">SUM(S64:S75)</f>
        <v>585305.74</v>
      </c>
      <c r="T76" s="48" t="n">
        <f aca="false">SUM(T64:T75)</f>
        <v>576553.708</v>
      </c>
      <c r="U76" s="48" t="n">
        <f aca="false">SUM(U64:U75)</f>
        <v>567801.676</v>
      </c>
      <c r="V76" s="48" t="n">
        <f aca="false">SUM(V64:V75)</f>
        <v>559049.644</v>
      </c>
      <c r="W76" s="48" t="n">
        <f aca="false">SUM(W64:W75)</f>
        <v>550297.612</v>
      </c>
      <c r="X76" s="48" t="n">
        <f aca="false">SUM(X64:X75)</f>
        <v>0</v>
      </c>
    </row>
    <row r="77" customFormat="false" ht="18.75" hidden="false" customHeight="true" outlineLevel="0" collapsed="false">
      <c r="B77" s="45" t="s">
        <v>39</v>
      </c>
      <c r="C77" s="44"/>
      <c r="D77" s="149" t="n">
        <f aca="false">-D76*0.2</f>
        <v>-192635.444</v>
      </c>
      <c r="E77" s="149" t="n">
        <f aca="false">-E76*0.2</f>
        <v>-132844.8376</v>
      </c>
      <c r="F77" s="149" t="n">
        <f aca="false">-F76*0.2</f>
        <v>-131094.4312</v>
      </c>
      <c r="G77" s="149" t="n">
        <f aca="false">-G76*0.2</f>
        <v>-129344.0248</v>
      </c>
      <c r="H77" s="149" t="n">
        <f aca="false">-H76*0.2</f>
        <v>-127593.6184</v>
      </c>
      <c r="I77" s="149" t="n">
        <f aca="false">-I76*0.2</f>
        <v>-125843.212</v>
      </c>
      <c r="J77" s="149" t="n">
        <f aca="false">-J76*0.2</f>
        <v>-124092.8056</v>
      </c>
      <c r="K77" s="149" t="n">
        <f aca="false">-K76*0.2</f>
        <v>-122342.3992</v>
      </c>
      <c r="L77" s="149" t="n">
        <f aca="false">-L76*0.2</f>
        <v>-120591.9928</v>
      </c>
      <c r="M77" s="149" t="n">
        <f aca="false">-M76*0.2</f>
        <v>-118841.5864</v>
      </c>
      <c r="N77" s="149" t="n">
        <f aca="false">-N76*0.2</f>
        <v>-125813.18</v>
      </c>
      <c r="O77" s="149" t="n">
        <f aca="false">-O76*0.2</f>
        <v>-124062.7736</v>
      </c>
      <c r="P77" s="149" t="n">
        <f aca="false">-P76*0.2</f>
        <v>-122312.3672</v>
      </c>
      <c r="Q77" s="149" t="n">
        <f aca="false">-Q76*0.2</f>
        <v>-120561.9608</v>
      </c>
      <c r="R77" s="149" t="n">
        <f aca="false">-R76*0.2</f>
        <v>-118811.5544</v>
      </c>
      <c r="S77" s="149" t="n">
        <f aca="false">-S76*0.2</f>
        <v>-117061.148</v>
      </c>
      <c r="T77" s="149" t="n">
        <f aca="false">-T76*0.2</f>
        <v>-115310.7416</v>
      </c>
      <c r="U77" s="149" t="n">
        <f aca="false">-U76*0.2</f>
        <v>-113560.3352</v>
      </c>
      <c r="V77" s="149" t="n">
        <f aca="false">-V76*0.2</f>
        <v>-111809.9288</v>
      </c>
      <c r="W77" s="149" t="n">
        <f aca="false">-W76*0.2</f>
        <v>-110059.5224</v>
      </c>
      <c r="X77" s="149" t="n">
        <f aca="false">-X76*0.2</f>
        <v>-0</v>
      </c>
    </row>
    <row r="78" customFormat="false" ht="15.75" hidden="false" customHeight="true" outlineLevel="0" collapsed="false">
      <c r="B78" s="65" t="s">
        <v>47</v>
      </c>
      <c r="D78" s="149" t="n">
        <f aca="false">SUM(D76:D77)</f>
        <v>770541.776</v>
      </c>
      <c r="E78" s="149" t="n">
        <f aca="false">SUM(E76:E77)</f>
        <v>531379.3504</v>
      </c>
      <c r="F78" s="149" t="n">
        <f aca="false">SUM(F76:F77)</f>
        <v>524377.7248</v>
      </c>
      <c r="G78" s="149" t="n">
        <f aca="false">SUM(G76:G77)</f>
        <v>517376.0992</v>
      </c>
      <c r="H78" s="149" t="n">
        <f aca="false">SUM(H76:H77)</f>
        <v>510374.4736</v>
      </c>
      <c r="I78" s="149" t="n">
        <f aca="false">SUM(I76:I77)</f>
        <v>503372.848</v>
      </c>
      <c r="J78" s="149" t="n">
        <f aca="false">SUM(J76:J77)</f>
        <v>496371.2224</v>
      </c>
      <c r="K78" s="149" t="n">
        <f aca="false">SUM(K76:K77)</f>
        <v>489369.5968</v>
      </c>
      <c r="L78" s="149" t="n">
        <f aca="false">SUM(L76:L77)</f>
        <v>482367.9712</v>
      </c>
      <c r="M78" s="149" t="n">
        <f aca="false">SUM(M76:M77)</f>
        <v>475366.3456</v>
      </c>
      <c r="N78" s="149" t="n">
        <f aca="false">SUM(N76:N77)</f>
        <v>503252.72</v>
      </c>
      <c r="O78" s="149" t="n">
        <f aca="false">SUM(O76:O77)</f>
        <v>496251.0944</v>
      </c>
      <c r="P78" s="149" t="n">
        <f aca="false">SUM(P76:P77)</f>
        <v>489249.4688</v>
      </c>
      <c r="Q78" s="149" t="n">
        <f aca="false">SUM(Q76:Q77)</f>
        <v>482247.8432</v>
      </c>
      <c r="R78" s="149" t="n">
        <f aca="false">SUM(R76:R77)</f>
        <v>475246.2176</v>
      </c>
      <c r="S78" s="149" t="n">
        <f aca="false">SUM(S76:S77)</f>
        <v>468244.592</v>
      </c>
      <c r="T78" s="149" t="n">
        <f aca="false">SUM(T76:T77)</f>
        <v>461242.9664</v>
      </c>
      <c r="U78" s="149" t="n">
        <f aca="false">SUM(U76:U77)</f>
        <v>454241.3408</v>
      </c>
      <c r="V78" s="149" t="n">
        <f aca="false">SUM(V76:V77)</f>
        <v>447239.7152</v>
      </c>
      <c r="W78" s="149" t="n">
        <f aca="false">SUM(W76:W77)</f>
        <v>440238.0896</v>
      </c>
      <c r="X78" s="149" t="n">
        <f aca="false">SUM(X76:X77)</f>
        <v>0</v>
      </c>
    </row>
    <row r="79" customFormat="false" ht="18.75" hidden="false" customHeight="true" outlineLevel="0" collapsed="false">
      <c r="B79" s="49" t="s">
        <v>41</v>
      </c>
      <c r="C79" s="52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7"/>
    </row>
    <row r="80" customFormat="false" ht="18.75" hidden="false" customHeight="true" outlineLevel="0" collapsed="false">
      <c r="B80" s="68" t="s">
        <v>42</v>
      </c>
      <c r="C80" s="69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9"/>
    </row>
    <row r="81" customFormat="false" ht="18.75" hidden="false" customHeight="true" outlineLevel="0" collapsed="false">
      <c r="B81" s="58"/>
      <c r="C81" s="57"/>
      <c r="D81" s="57"/>
      <c r="E81" s="57"/>
      <c r="F81" s="58"/>
      <c r="G81" s="58"/>
      <c r="H81" s="58"/>
      <c r="I81" s="58"/>
      <c r="J81" s="58"/>
      <c r="K81" s="58"/>
      <c r="L81" s="58"/>
      <c r="M81" s="57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45.49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91" t="s">
        <v>63</v>
      </c>
      <c r="C1" s="92"/>
      <c r="D1" s="92"/>
      <c r="E1" s="93"/>
      <c r="F1" s="94" t="s">
        <v>64</v>
      </c>
      <c r="P1" s="95" t="n">
        <f aca="false">1-D11</f>
        <v>0.99</v>
      </c>
      <c r="Q1" s="95" t="n">
        <f aca="false">P1-$D12</f>
        <v>0.986</v>
      </c>
      <c r="R1" s="95" t="n">
        <f aca="false">Q1-$D12</f>
        <v>0.982</v>
      </c>
      <c r="S1" s="95" t="n">
        <f aca="false">R1-$D12</f>
        <v>0.978</v>
      </c>
      <c r="T1" s="95" t="n">
        <f aca="false">S1-$D12</f>
        <v>0.974</v>
      </c>
      <c r="U1" s="95" t="n">
        <f aca="false">T1-$D12</f>
        <v>0.97</v>
      </c>
      <c r="V1" s="95" t="n">
        <f aca="false">U1-$D12</f>
        <v>0.966</v>
      </c>
      <c r="W1" s="95" t="n">
        <f aca="false">V1-$D12</f>
        <v>0.962</v>
      </c>
      <c r="X1" s="95" t="n">
        <f aca="false">W1-$D12</f>
        <v>0.958</v>
      </c>
      <c r="Y1" s="95" t="n">
        <f aca="false">X1-$D12</f>
        <v>0.954</v>
      </c>
      <c r="Z1" s="95" t="n">
        <f aca="false">Y1-$D12</f>
        <v>0.95</v>
      </c>
      <c r="AA1" s="95" t="n">
        <f aca="false">Z1-$D12</f>
        <v>0.946</v>
      </c>
      <c r="AB1" s="95" t="n">
        <f aca="false">AA1-$D12</f>
        <v>0.942</v>
      </c>
      <c r="AC1" s="95" t="n">
        <f aca="false">AB1-$D12</f>
        <v>0.938</v>
      </c>
      <c r="AD1" s="95" t="n">
        <f aca="false">AC1-$D12</f>
        <v>0.934</v>
      </c>
      <c r="AE1" s="95" t="n">
        <f aca="false">AD1-$D12</f>
        <v>0.93</v>
      </c>
      <c r="AF1" s="95" t="n">
        <f aca="false">AE1-$D12</f>
        <v>0.926</v>
      </c>
      <c r="AG1" s="95" t="n">
        <f aca="false">AF1-$D12</f>
        <v>0.922</v>
      </c>
      <c r="AH1" s="95" t="n">
        <f aca="false">AG1-$D12</f>
        <v>0.918</v>
      </c>
      <c r="AI1" s="95" t="n">
        <f aca="false">AH1-$D12</f>
        <v>0.914</v>
      </c>
    </row>
    <row r="2" customFormat="false" ht="21.75" hidden="false" customHeight="true" outlineLevel="0" collapsed="false">
      <c r="B2" s="96" t="s">
        <v>65</v>
      </c>
      <c r="C2" s="97" t="s">
        <v>2</v>
      </c>
      <c r="D2" s="98" t="s">
        <v>26</v>
      </c>
      <c r="E2" s="99" t="s">
        <v>26</v>
      </c>
      <c r="F2" s="100" t="s">
        <v>66</v>
      </c>
    </row>
    <row r="3" customFormat="false" ht="21.75" hidden="false" customHeight="true" outlineLevel="0" collapsed="false">
      <c r="B3" s="101" t="s">
        <v>67</v>
      </c>
      <c r="C3" s="102" t="n">
        <v>20</v>
      </c>
      <c r="D3" s="103" t="s">
        <v>26</v>
      </c>
      <c r="E3" s="104" t="s">
        <v>26</v>
      </c>
      <c r="F3" s="105" t="s">
        <v>68</v>
      </c>
    </row>
    <row r="4" customFormat="false" ht="21.75" hidden="false" customHeight="true" outlineLevel="0" collapsed="false">
      <c r="B4" s="101" t="s">
        <v>69</v>
      </c>
      <c r="C4" s="102" t="n">
        <v>436.1</v>
      </c>
      <c r="D4" s="103" t="s">
        <v>26</v>
      </c>
      <c r="E4" s="104" t="s">
        <v>26</v>
      </c>
      <c r="F4" s="105" t="s">
        <v>70</v>
      </c>
      <c r="M4" s="106" t="s">
        <v>143</v>
      </c>
    </row>
    <row r="5" customFormat="false" ht="22.5" hidden="false" customHeight="true" outlineLevel="0" collapsed="false">
      <c r="B5" s="107" t="s">
        <v>72</v>
      </c>
      <c r="C5" s="102" t="n">
        <v>2020</v>
      </c>
      <c r="D5" s="107" t="s">
        <v>73</v>
      </c>
      <c r="E5" s="108" t="n">
        <v>2039</v>
      </c>
      <c r="F5" s="105" t="s">
        <v>74</v>
      </c>
      <c r="M5" s="106" t="s">
        <v>144</v>
      </c>
    </row>
    <row r="6" customFormat="false" ht="20.25" hidden="false" customHeight="true" outlineLevel="0" collapsed="false">
      <c r="B6" s="109"/>
      <c r="C6" s="109"/>
      <c r="D6" s="109"/>
      <c r="E6" s="109"/>
      <c r="M6" s="106" t="s">
        <v>145</v>
      </c>
    </row>
    <row r="7" customFormat="false" ht="22.5" hidden="false" customHeight="true" outlineLevel="0" collapsed="false">
      <c r="B7" s="91" t="s">
        <v>77</v>
      </c>
      <c r="C7" s="92"/>
      <c r="D7" s="92"/>
      <c r="E7" s="93"/>
      <c r="M7" s="106" t="s">
        <v>146</v>
      </c>
    </row>
    <row r="8" customFormat="false" ht="22.5" hidden="false" customHeight="true" outlineLevel="0" collapsed="false">
      <c r="B8" s="110" t="s">
        <v>79</v>
      </c>
      <c r="E8" s="111"/>
      <c r="M8" s="106" t="s">
        <v>147</v>
      </c>
    </row>
    <row r="9" customFormat="false" ht="22.5" hidden="false" customHeight="true" outlineLevel="0" collapsed="false">
      <c r="B9" s="112" t="s">
        <v>81</v>
      </c>
      <c r="C9" s="113" t="s">
        <v>82</v>
      </c>
      <c r="D9" s="113" t="s">
        <v>83</v>
      </c>
      <c r="E9" s="114" t="s">
        <v>84</v>
      </c>
      <c r="F9" s="94" t="s">
        <v>64</v>
      </c>
      <c r="M9" s="106" t="s">
        <v>85</v>
      </c>
    </row>
    <row r="10" customFormat="false" ht="30" hidden="false" customHeight="true" outlineLevel="0" collapsed="false">
      <c r="B10" s="115" t="s">
        <v>86</v>
      </c>
      <c r="C10" s="116" t="s">
        <v>87</v>
      </c>
      <c r="D10" s="117" t="n">
        <v>547002</v>
      </c>
      <c r="E10" s="118" t="n">
        <v>20</v>
      </c>
      <c r="F10" s="105" t="s">
        <v>88</v>
      </c>
      <c r="M10" s="106" t="s">
        <v>148</v>
      </c>
    </row>
    <row r="11" customFormat="false" ht="30" hidden="false" customHeight="true" outlineLevel="0" collapsed="false">
      <c r="B11" s="119"/>
      <c r="C11" s="107" t="s">
        <v>90</v>
      </c>
      <c r="D11" s="120" t="n">
        <v>0.01</v>
      </c>
      <c r="E11" s="121"/>
      <c r="F11" s="105" t="s">
        <v>91</v>
      </c>
    </row>
    <row r="12" customFormat="false" ht="30" hidden="false" customHeight="true" outlineLevel="0" collapsed="false">
      <c r="B12" s="119"/>
      <c r="C12" s="107" t="s">
        <v>92</v>
      </c>
      <c r="D12" s="122" t="n">
        <v>0.004</v>
      </c>
      <c r="E12" s="121"/>
      <c r="F12" s="105" t="s">
        <v>93</v>
      </c>
    </row>
    <row r="13" customFormat="false" ht="22.5" hidden="false" customHeight="true" outlineLevel="0" collapsed="false">
      <c r="B13" s="119"/>
      <c r="C13" s="123" t="s">
        <v>94</v>
      </c>
      <c r="D13" s="124" t="n">
        <v>4</v>
      </c>
      <c r="E13" s="121"/>
      <c r="F13" s="105" t="s">
        <v>95</v>
      </c>
    </row>
    <row r="14" customFormat="false" ht="22.5" hidden="false" customHeight="true" outlineLevel="0" collapsed="false">
      <c r="B14" s="125" t="s">
        <v>96</v>
      </c>
      <c r="C14" s="92"/>
      <c r="D14" s="92"/>
      <c r="E14" s="93"/>
    </row>
    <row r="15" customFormat="false" ht="22.5" hidden="false" customHeight="true" outlineLevel="0" collapsed="false">
      <c r="B15" s="112" t="s">
        <v>81</v>
      </c>
      <c r="C15" s="113" t="s">
        <v>82</v>
      </c>
      <c r="D15" s="113" t="s">
        <v>83</v>
      </c>
      <c r="E15" s="114" t="s">
        <v>97</v>
      </c>
      <c r="F15" s="94" t="s">
        <v>64</v>
      </c>
    </row>
    <row r="16" customFormat="false" ht="21.75" hidden="false" customHeight="true" outlineLevel="0" collapsed="false">
      <c r="B16" s="116" t="s">
        <v>98</v>
      </c>
      <c r="C16" s="116" t="s">
        <v>99</v>
      </c>
      <c r="D16" s="126" t="n">
        <v>27000</v>
      </c>
      <c r="E16" s="99" t="n">
        <v>20</v>
      </c>
      <c r="F16" s="105" t="s">
        <v>100</v>
      </c>
    </row>
    <row r="17" customFormat="false" ht="21.75" hidden="false" customHeight="true" outlineLevel="0" collapsed="false">
      <c r="B17" s="119"/>
      <c r="C17" s="107" t="s">
        <v>101</v>
      </c>
      <c r="D17" s="127" t="n">
        <v>0.3</v>
      </c>
      <c r="E17" s="121"/>
      <c r="F17" s="105" t="s">
        <v>102</v>
      </c>
    </row>
    <row r="18" customFormat="false" ht="21.75" hidden="false" customHeight="true" outlineLevel="0" collapsed="false">
      <c r="B18" s="128"/>
      <c r="C18" s="107" t="s">
        <v>103</v>
      </c>
      <c r="D18" s="129" t="n">
        <v>2000</v>
      </c>
      <c r="E18" s="130"/>
      <c r="F18" s="105" t="s">
        <v>104</v>
      </c>
    </row>
    <row r="19" customFormat="false" ht="54" hidden="false" customHeight="true" outlineLevel="0" collapsed="false">
      <c r="B19" s="107" t="s">
        <v>105</v>
      </c>
      <c r="C19" s="131" t="s">
        <v>106</v>
      </c>
      <c r="D19" s="127" t="n">
        <v>1</v>
      </c>
      <c r="E19" s="99" t="n">
        <v>20</v>
      </c>
      <c r="F19" s="105" t="s">
        <v>107</v>
      </c>
    </row>
    <row r="20" customFormat="false" ht="20.25" hidden="false" customHeight="true" outlineLevel="0" collapsed="false">
      <c r="B20" s="119"/>
      <c r="C20" s="132" t="s">
        <v>108</v>
      </c>
      <c r="D20" s="129" t="n">
        <v>290201</v>
      </c>
      <c r="E20" s="99" t="n">
        <v>20</v>
      </c>
      <c r="F20" s="105" t="s">
        <v>109</v>
      </c>
    </row>
    <row r="21" customFormat="false" ht="30" hidden="false" customHeight="true" outlineLevel="0" collapsed="false">
      <c r="B21" s="128"/>
      <c r="C21" s="107" t="s">
        <v>110</v>
      </c>
      <c r="D21" s="127" t="n">
        <v>0</v>
      </c>
      <c r="E21" s="104" t="n">
        <v>20</v>
      </c>
      <c r="F21" s="105" t="s">
        <v>111</v>
      </c>
    </row>
    <row r="22" customFormat="false" ht="30" hidden="false" customHeight="true" outlineLevel="0" collapsed="false">
      <c r="B22" s="107" t="s">
        <v>112</v>
      </c>
      <c r="C22" s="107" t="s">
        <v>113</v>
      </c>
      <c r="D22" s="133" t="n">
        <v>400</v>
      </c>
      <c r="E22" s="104" t="n">
        <v>20</v>
      </c>
      <c r="F22" s="105" t="s">
        <v>114</v>
      </c>
    </row>
    <row r="23" customFormat="false" ht="30" hidden="false" customHeight="true" outlineLevel="0" collapsed="false">
      <c r="B23" s="107" t="s">
        <v>115</v>
      </c>
      <c r="C23" s="107" t="s">
        <v>116</v>
      </c>
      <c r="D23" s="127" t="n">
        <v>0.003</v>
      </c>
      <c r="E23" s="104" t="n">
        <v>20</v>
      </c>
      <c r="F23" s="105" t="s">
        <v>117</v>
      </c>
    </row>
    <row r="24" customFormat="false" ht="30" hidden="false" customHeight="true" outlineLevel="0" collapsed="false">
      <c r="B24" s="107" t="s">
        <v>118</v>
      </c>
      <c r="C24" s="107" t="s">
        <v>119</v>
      </c>
      <c r="D24" s="133" t="n">
        <v>1000</v>
      </c>
      <c r="E24" s="134" t="n">
        <v>10</v>
      </c>
      <c r="F24" s="105" t="s">
        <v>120</v>
      </c>
    </row>
    <row r="25" customFormat="false" ht="30" hidden="false" customHeight="true" outlineLevel="0" collapsed="false">
      <c r="B25" s="107" t="s">
        <v>121</v>
      </c>
      <c r="C25" s="107" t="s">
        <v>122</v>
      </c>
      <c r="D25" s="135" t="n">
        <v>0.0256</v>
      </c>
      <c r="E25" s="104" t="n">
        <v>20</v>
      </c>
      <c r="F25" s="105" t="s">
        <v>123</v>
      </c>
    </row>
    <row r="26" customFormat="false" ht="30" hidden="false" customHeight="true" outlineLevel="0" collapsed="false">
      <c r="B26" s="107" t="s">
        <v>14</v>
      </c>
      <c r="C26" s="107" t="s">
        <v>124</v>
      </c>
      <c r="D26" s="127" t="n">
        <v>0.2</v>
      </c>
      <c r="E26" s="104" t="n">
        <v>20</v>
      </c>
      <c r="F26" s="105" t="s">
        <v>125</v>
      </c>
    </row>
    <row r="27" customFormat="false" ht="20.25" hidden="false" customHeight="true" outlineLevel="0" collapsed="false">
      <c r="B27" s="109"/>
      <c r="C27" s="109"/>
      <c r="D27" s="109"/>
      <c r="E27" s="109"/>
    </row>
    <row r="28" customFormat="false" ht="20.25" hidden="false" customHeight="true" outlineLevel="0" collapsed="false">
      <c r="B28" s="109"/>
      <c r="C28" s="109"/>
      <c r="D28" s="109"/>
      <c r="E28" s="109"/>
    </row>
    <row r="29" customFormat="false" ht="22.5" hidden="false" customHeight="true" outlineLevel="0" collapsed="false">
      <c r="B29" s="91" t="s">
        <v>126</v>
      </c>
      <c r="C29" s="92"/>
      <c r="D29" s="93"/>
      <c r="E29" s="109"/>
    </row>
    <row r="30" customFormat="false" ht="22.5" hidden="false" customHeight="true" outlineLevel="0" collapsed="false">
      <c r="B30" s="112" t="s">
        <v>127</v>
      </c>
      <c r="C30" s="136" t="s">
        <v>82</v>
      </c>
      <c r="D30" s="137" t="s">
        <v>83</v>
      </c>
      <c r="E30" s="109"/>
      <c r="F30" s="94" t="s">
        <v>64</v>
      </c>
    </row>
    <row r="31" customFormat="false" ht="30" hidden="false" customHeight="true" outlineLevel="0" collapsed="false">
      <c r="B31" s="116" t="s">
        <v>128</v>
      </c>
      <c r="C31" s="96" t="s">
        <v>129</v>
      </c>
      <c r="D31" s="138" t="n">
        <v>0.8</v>
      </c>
      <c r="E31" s="109"/>
      <c r="F31" s="105" t="s">
        <v>130</v>
      </c>
    </row>
    <row r="32" customFormat="false" ht="18.75" hidden="false" customHeight="true" outlineLevel="0" collapsed="false">
      <c r="B32" s="116" t="s">
        <v>131</v>
      </c>
      <c r="C32" s="96" t="s">
        <v>132</v>
      </c>
      <c r="D32" s="138" t="n">
        <v>15</v>
      </c>
      <c r="E32" s="109"/>
      <c r="F32" s="105" t="s">
        <v>133</v>
      </c>
    </row>
    <row r="33" customFormat="false" ht="18.75" hidden="false" customHeight="true" outlineLevel="0" collapsed="false">
      <c r="B33" s="107" t="s">
        <v>53</v>
      </c>
      <c r="C33" s="101" t="s">
        <v>134</v>
      </c>
      <c r="D33" s="127" t="n">
        <v>0.9</v>
      </c>
      <c r="E33" s="109"/>
      <c r="F33" s="105" t="s">
        <v>135</v>
      </c>
    </row>
    <row r="34" customFormat="false" ht="30" hidden="false" customHeight="true" outlineLevel="0" collapsed="false">
      <c r="B34" s="107" t="s">
        <v>54</v>
      </c>
      <c r="C34" s="101" t="s">
        <v>132</v>
      </c>
      <c r="D34" s="127" t="n">
        <v>4</v>
      </c>
      <c r="E34" s="109"/>
      <c r="F34" s="105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6"/>
      <c r="C37" s="17" t="s">
        <v>0</v>
      </c>
      <c r="D37" s="17" t="n">
        <v>2020</v>
      </c>
      <c r="E37" s="17" t="n">
        <v>2021</v>
      </c>
      <c r="F37" s="17" t="n">
        <v>2022</v>
      </c>
      <c r="G37" s="17" t="n">
        <v>2023</v>
      </c>
      <c r="H37" s="17" t="n">
        <v>2024</v>
      </c>
      <c r="I37" s="17" t="n">
        <v>2025</v>
      </c>
      <c r="J37" s="17" t="n">
        <v>2026</v>
      </c>
      <c r="K37" s="17" t="n">
        <v>2027</v>
      </c>
      <c r="L37" s="17" t="n">
        <v>2028</v>
      </c>
      <c r="M37" s="17" t="n">
        <v>2029</v>
      </c>
      <c r="N37" s="17" t="n">
        <v>2030</v>
      </c>
      <c r="O37" s="17" t="n">
        <v>2031</v>
      </c>
      <c r="P37" s="17" t="n">
        <v>2032</v>
      </c>
      <c r="Q37" s="17" t="n">
        <v>2033</v>
      </c>
      <c r="R37" s="17" t="n">
        <v>2034</v>
      </c>
      <c r="S37" s="17" t="n">
        <v>2035</v>
      </c>
      <c r="T37" s="17" t="n">
        <v>2036</v>
      </c>
      <c r="U37" s="17" t="n">
        <v>2037</v>
      </c>
      <c r="V37" s="17" t="n">
        <v>2038</v>
      </c>
      <c r="W37" s="17" t="n">
        <v>2039</v>
      </c>
      <c r="X37" s="17"/>
    </row>
    <row r="38" customFormat="false" ht="18.75" hidden="false" customHeight="true" outlineLevel="0" collapsed="false">
      <c r="B38" s="18" t="n">
        <v>0</v>
      </c>
      <c r="C38" s="19"/>
      <c r="D38" s="20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2"/>
      <c r="V38" s="22"/>
      <c r="W38" s="22"/>
      <c r="X38" s="139"/>
    </row>
    <row r="39" customFormat="false" ht="18.75" hidden="false" customHeight="true" outlineLevel="0" collapsed="false">
      <c r="B39" s="24" t="s">
        <v>23</v>
      </c>
      <c r="C39" s="25" t="n">
        <v>0</v>
      </c>
      <c r="D39" s="26" t="n">
        <v>1</v>
      </c>
      <c r="E39" s="26" t="n">
        <v>2</v>
      </c>
      <c r="F39" s="26" t="n">
        <v>3</v>
      </c>
      <c r="G39" s="26" t="n">
        <v>4</v>
      </c>
      <c r="H39" s="26" t="n">
        <v>5</v>
      </c>
      <c r="I39" s="26" t="n">
        <v>6</v>
      </c>
      <c r="J39" s="26" t="n">
        <v>7</v>
      </c>
      <c r="K39" s="26" t="n">
        <v>8</v>
      </c>
      <c r="L39" s="26" t="n">
        <v>9</v>
      </c>
      <c r="M39" s="26" t="n">
        <v>10</v>
      </c>
      <c r="N39" s="26" t="n">
        <v>11</v>
      </c>
      <c r="O39" s="26" t="n">
        <v>12</v>
      </c>
      <c r="P39" s="26" t="n">
        <v>13</v>
      </c>
      <c r="Q39" s="26" t="n">
        <v>14</v>
      </c>
      <c r="R39" s="26" t="n">
        <v>15</v>
      </c>
      <c r="S39" s="26" t="n">
        <v>16</v>
      </c>
      <c r="T39" s="27" t="n">
        <v>17</v>
      </c>
      <c r="U39" s="26" t="n">
        <v>18</v>
      </c>
      <c r="V39" s="26" t="n">
        <v>19</v>
      </c>
      <c r="W39" s="26" t="n">
        <v>20</v>
      </c>
      <c r="X39" s="140"/>
    </row>
    <row r="40" customFormat="false" ht="18.75" hidden="false" customHeight="true" outlineLevel="0" collapsed="false">
      <c r="B40" s="141" t="s">
        <v>24</v>
      </c>
      <c r="C40" s="29" t="n">
        <v>0</v>
      </c>
      <c r="D40" s="30" t="n">
        <f aca="false">$D$10*P1</f>
        <v>541531.98</v>
      </c>
      <c r="E40" s="30" t="n">
        <f aca="false">$D$10*Q1</f>
        <v>539343.972</v>
      </c>
      <c r="F40" s="30" t="n">
        <f aca="false">$D$10*R1</f>
        <v>537155.964</v>
      </c>
      <c r="G40" s="30" t="n">
        <f aca="false">$D$10*S1</f>
        <v>534967.956</v>
      </c>
      <c r="H40" s="30" t="n">
        <f aca="false">$D$10*T1</f>
        <v>532779.948</v>
      </c>
      <c r="I40" s="30" t="n">
        <f aca="false">$D$10*U1</f>
        <v>530591.94</v>
      </c>
      <c r="J40" s="30" t="n">
        <f aca="false">$D$10*V1</f>
        <v>528403.932</v>
      </c>
      <c r="K40" s="30" t="n">
        <f aca="false">$D$10*W1</f>
        <v>526215.924</v>
      </c>
      <c r="L40" s="30" t="n">
        <f aca="false">$D$10*X1</f>
        <v>524027.916</v>
      </c>
      <c r="M40" s="30" t="n">
        <f aca="false">$D$10*Y1</f>
        <v>521839.908</v>
      </c>
      <c r="N40" s="30" t="n">
        <f aca="false">$D$10*Z1</f>
        <v>519651.9</v>
      </c>
      <c r="O40" s="30" t="n">
        <f aca="false">$D$10*AA1</f>
        <v>517463.892</v>
      </c>
      <c r="P40" s="30" t="n">
        <f aca="false">$D$10*AB1</f>
        <v>515275.884</v>
      </c>
      <c r="Q40" s="30" t="n">
        <f aca="false">$D$10*AC1</f>
        <v>513087.876</v>
      </c>
      <c r="R40" s="30" t="n">
        <f aca="false">$D$10*AD1</f>
        <v>510899.868</v>
      </c>
      <c r="S40" s="30" t="n">
        <f aca="false">$D$10*AE1</f>
        <v>508711.86</v>
      </c>
      <c r="T40" s="30" t="n">
        <f aca="false">$D$10*AF1</f>
        <v>506523.852</v>
      </c>
      <c r="U40" s="30" t="n">
        <f aca="false">$D$10*AG1</f>
        <v>504335.844</v>
      </c>
      <c r="V40" s="30" t="n">
        <f aca="false">$D$10*AH1</f>
        <v>502147.836</v>
      </c>
      <c r="W40" s="30" t="n">
        <f aca="false">$D$10*AI1</f>
        <v>499959.828</v>
      </c>
      <c r="X40" s="142"/>
    </row>
    <row r="41" customFormat="false" ht="18.75" hidden="false" customHeight="true" outlineLevel="0" collapsed="false">
      <c r="B41" s="31" t="s">
        <v>25</v>
      </c>
      <c r="C41" s="32" t="s">
        <v>26</v>
      </c>
      <c r="D41" s="33" t="n">
        <f aca="false">D40*$D$13</f>
        <v>2166127.92</v>
      </c>
      <c r="E41" s="33" t="n">
        <f aca="false">E40*$D$13</f>
        <v>2157375.888</v>
      </c>
      <c r="F41" s="33" t="n">
        <f aca="false">F40*$D$13</f>
        <v>2148623.856</v>
      </c>
      <c r="G41" s="33" t="n">
        <f aca="false">G40*$D$13</f>
        <v>2139871.824</v>
      </c>
      <c r="H41" s="33" t="n">
        <f aca="false">H40*$D$13</f>
        <v>2131119.792</v>
      </c>
      <c r="I41" s="33" t="n">
        <f aca="false">I40*$D$13</f>
        <v>2122367.76</v>
      </c>
      <c r="J41" s="33" t="n">
        <f aca="false">J40*$D$13</f>
        <v>2113615.728</v>
      </c>
      <c r="K41" s="33" t="n">
        <f aca="false">K40*$D$13</f>
        <v>2104863.696</v>
      </c>
      <c r="L41" s="33" t="n">
        <f aca="false">L40*$D$13</f>
        <v>2096111.664</v>
      </c>
      <c r="M41" s="33" t="n">
        <f aca="false">M40*$D$13</f>
        <v>2087359.632</v>
      </c>
      <c r="N41" s="33" t="n">
        <f aca="false">N40*$D$13</f>
        <v>2078607.6</v>
      </c>
      <c r="O41" s="33" t="n">
        <f aca="false">O40*$D$13</f>
        <v>2069855.568</v>
      </c>
      <c r="P41" s="33" t="n">
        <f aca="false">P40*$D$13</f>
        <v>2061103.536</v>
      </c>
      <c r="Q41" s="33" t="n">
        <f aca="false">Q40*$D$13</f>
        <v>2052351.504</v>
      </c>
      <c r="R41" s="33" t="n">
        <f aca="false">R40*$D$13</f>
        <v>2043599.472</v>
      </c>
      <c r="S41" s="33" t="n">
        <f aca="false">S40*$D$13</f>
        <v>2034847.44</v>
      </c>
      <c r="T41" s="33" t="n">
        <f aca="false">T40*$D$13</f>
        <v>2026095.408</v>
      </c>
      <c r="U41" s="33" t="n">
        <f aca="false">U40*$D$13</f>
        <v>2017343.376</v>
      </c>
      <c r="V41" s="33" t="n">
        <f aca="false">V40*$D$13</f>
        <v>2008591.344</v>
      </c>
      <c r="W41" s="33" t="n">
        <f aca="false">W40*$D$13</f>
        <v>1999839.312</v>
      </c>
      <c r="X41" s="143"/>
    </row>
    <row r="42" customFormat="false" ht="18.75" hidden="false" customHeight="true" outlineLevel="0" collapsed="false">
      <c r="B42" s="34" t="s">
        <v>27</v>
      </c>
      <c r="C42" s="35" t="s">
        <v>26</v>
      </c>
      <c r="D42" s="144"/>
      <c r="E42" s="144"/>
      <c r="F42" s="144"/>
      <c r="G42" s="37" t="s">
        <v>26</v>
      </c>
      <c r="H42" s="37" t="s">
        <v>26</v>
      </c>
      <c r="I42" s="37" t="s">
        <v>26</v>
      </c>
      <c r="J42" s="37" t="s">
        <v>26</v>
      </c>
      <c r="K42" s="37" t="s">
        <v>26</v>
      </c>
      <c r="L42" s="37" t="s">
        <v>26</v>
      </c>
      <c r="M42" s="37" t="s">
        <v>26</v>
      </c>
      <c r="N42" s="37" t="s">
        <v>26</v>
      </c>
      <c r="O42" s="37" t="s">
        <v>26</v>
      </c>
      <c r="P42" s="37" t="s">
        <v>26</v>
      </c>
      <c r="Q42" s="37" t="s">
        <v>26</v>
      </c>
      <c r="R42" s="37" t="s">
        <v>26</v>
      </c>
      <c r="S42" s="37" t="s">
        <v>26</v>
      </c>
      <c r="T42" s="37" t="s">
        <v>26</v>
      </c>
      <c r="U42" s="37" t="s">
        <v>26</v>
      </c>
      <c r="V42" s="37" t="s">
        <v>26</v>
      </c>
      <c r="W42" s="37" t="s">
        <v>26</v>
      </c>
      <c r="X42" s="145"/>
    </row>
    <row r="43" customFormat="false" ht="18.75" hidden="false" customHeight="true" outlineLevel="0" collapsed="false">
      <c r="B43" s="38" t="s">
        <v>28</v>
      </c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8"/>
    </row>
    <row r="44" customFormat="false" ht="18.75" hidden="false" customHeight="true" outlineLevel="0" collapsed="false">
      <c r="B44" s="41" t="s">
        <v>29</v>
      </c>
      <c r="C44" s="42" t="n">
        <f aca="false">-(D16/(1-D17)+D18)*C4</f>
        <v>-17693200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</row>
    <row r="45" customFormat="false" ht="18.75" hidden="false" customHeight="true" outlineLevel="0" collapsed="false">
      <c r="B45" s="41" t="s">
        <v>30</v>
      </c>
      <c r="C45" s="35" t="s">
        <v>26</v>
      </c>
      <c r="D45" s="106" t="n">
        <v>-290201</v>
      </c>
      <c r="E45" s="149" t="n">
        <v>-290201</v>
      </c>
      <c r="F45" s="149" t="n">
        <v>-290201</v>
      </c>
      <c r="G45" s="149" t="n">
        <v>-290201</v>
      </c>
      <c r="H45" s="149" t="n">
        <v>-290201</v>
      </c>
      <c r="I45" s="149" t="n">
        <v>-290201</v>
      </c>
      <c r="J45" s="149" t="n">
        <v>-290201</v>
      </c>
      <c r="K45" s="149" t="n">
        <v>-290201</v>
      </c>
      <c r="L45" s="149" t="n">
        <v>-290201</v>
      </c>
      <c r="M45" s="149" t="n">
        <v>-290201</v>
      </c>
      <c r="N45" s="149" t="n">
        <v>-290201</v>
      </c>
      <c r="O45" s="149" t="n">
        <v>-290201</v>
      </c>
      <c r="P45" s="149" t="n">
        <v>-290201</v>
      </c>
      <c r="Q45" s="149" t="n">
        <v>-290201</v>
      </c>
      <c r="R45" s="149" t="n">
        <v>-290201</v>
      </c>
      <c r="S45" s="149" t="n">
        <v>-290201</v>
      </c>
      <c r="T45" s="149" t="n">
        <v>-290201</v>
      </c>
      <c r="U45" s="149" t="n">
        <v>-290201</v>
      </c>
      <c r="V45" s="149" t="n">
        <v>-290201</v>
      </c>
      <c r="W45" s="149" t="n">
        <v>-290201</v>
      </c>
      <c r="X45" s="149"/>
    </row>
    <row r="46" customFormat="false" ht="18.75" hidden="false" customHeight="true" outlineLevel="0" collapsed="false">
      <c r="B46" s="41" t="s">
        <v>31</v>
      </c>
      <c r="C46" s="35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</row>
    <row r="47" customFormat="false" ht="18.75" hidden="false" customHeight="true" outlineLevel="0" collapsed="false">
      <c r="B47" s="41" t="s">
        <v>32</v>
      </c>
      <c r="C47" s="35" t="s">
        <v>26</v>
      </c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</row>
    <row r="48" customFormat="false" ht="18.75" hidden="false" customHeight="true" outlineLevel="0" collapsed="false">
      <c r="B48" s="41" t="s">
        <v>33</v>
      </c>
      <c r="C48" s="35" t="s">
        <v>26</v>
      </c>
      <c r="D48" s="149" t="n">
        <v>-174440</v>
      </c>
      <c r="E48" s="149" t="n">
        <v>-174440</v>
      </c>
      <c r="F48" s="149" t="n">
        <v>-174440</v>
      </c>
      <c r="G48" s="149" t="n">
        <v>-174440</v>
      </c>
      <c r="H48" s="149" t="n">
        <v>-174440</v>
      </c>
      <c r="I48" s="149" t="n">
        <v>-174440</v>
      </c>
      <c r="J48" s="149" t="n">
        <v>-174440</v>
      </c>
      <c r="K48" s="149" t="n">
        <v>-174440</v>
      </c>
      <c r="L48" s="149" t="n">
        <v>-174440</v>
      </c>
      <c r="M48" s="149" t="n">
        <v>-174440</v>
      </c>
      <c r="N48" s="149" t="n">
        <v>-174440</v>
      </c>
      <c r="O48" s="149" t="n">
        <v>-174440</v>
      </c>
      <c r="P48" s="149" t="n">
        <v>-174440</v>
      </c>
      <c r="Q48" s="149" t="n">
        <v>-174440</v>
      </c>
      <c r="R48" s="149" t="n">
        <v>-174440</v>
      </c>
      <c r="S48" s="149" t="n">
        <v>-174440</v>
      </c>
      <c r="T48" s="149" t="n">
        <v>-174440</v>
      </c>
      <c r="U48" s="149" t="n">
        <v>-174440</v>
      </c>
      <c r="V48" s="149" t="n">
        <v>-174440</v>
      </c>
      <c r="W48" s="149" t="n">
        <v>-174440</v>
      </c>
      <c r="X48" s="149"/>
    </row>
    <row r="49" customFormat="false" ht="18.75" hidden="false" customHeight="true" outlineLevel="0" collapsed="false">
      <c r="B49" s="41" t="s">
        <v>34</v>
      </c>
      <c r="C49" s="35" t="s">
        <v>26</v>
      </c>
      <c r="D49" s="149" t="n">
        <v>-35324.1</v>
      </c>
      <c r="E49" s="149" t="n">
        <v>-35324.1</v>
      </c>
      <c r="F49" s="149" t="n">
        <v>-35324.1</v>
      </c>
      <c r="G49" s="149" t="n">
        <v>-35324.1</v>
      </c>
      <c r="H49" s="149" t="n">
        <v>-35324.1</v>
      </c>
      <c r="I49" s="149" t="n">
        <v>-35324.1</v>
      </c>
      <c r="J49" s="149" t="n">
        <v>-35324.1</v>
      </c>
      <c r="K49" s="149" t="n">
        <v>-35324.1</v>
      </c>
      <c r="L49" s="149" t="n">
        <v>-35324.1</v>
      </c>
      <c r="M49" s="149" t="n">
        <v>-35324.1</v>
      </c>
      <c r="N49" s="149" t="n">
        <v>-35324.1</v>
      </c>
      <c r="O49" s="149" t="n">
        <v>-35324.1</v>
      </c>
      <c r="P49" s="149" t="n">
        <v>-35324.1</v>
      </c>
      <c r="Q49" s="149" t="n">
        <v>-35324.1</v>
      </c>
      <c r="R49" s="149" t="n">
        <v>-35324.1</v>
      </c>
      <c r="S49" s="149" t="n">
        <v>-35324.1</v>
      </c>
      <c r="T49" s="149" t="n">
        <v>-35324.1</v>
      </c>
      <c r="U49" s="149" t="n">
        <v>-35324.1</v>
      </c>
      <c r="V49" s="149" t="n">
        <v>-35324.1</v>
      </c>
      <c r="W49" s="149" t="n">
        <v>-35324.1</v>
      </c>
      <c r="X49" s="149"/>
    </row>
    <row r="50" customFormat="false" ht="18.75" hidden="false" customHeight="true" outlineLevel="0" collapsed="false">
      <c r="B50" s="41" t="s">
        <v>35</v>
      </c>
      <c r="C50" s="35"/>
      <c r="D50" s="149" t="n">
        <v>-43610</v>
      </c>
      <c r="E50" s="149" t="n">
        <v>-43610</v>
      </c>
      <c r="F50" s="149" t="n">
        <v>-43610</v>
      </c>
      <c r="G50" s="149" t="n">
        <v>-43610</v>
      </c>
      <c r="H50" s="149" t="n">
        <v>-43610</v>
      </c>
      <c r="I50" s="149" t="n">
        <v>-43610</v>
      </c>
      <c r="J50" s="149" t="n">
        <v>-43610</v>
      </c>
      <c r="K50" s="149" t="n">
        <v>-43610</v>
      </c>
      <c r="L50" s="149" t="n">
        <v>-43610</v>
      </c>
      <c r="M50" s="149" t="n">
        <v>-43610</v>
      </c>
      <c r="N50" s="149" t="n">
        <v>0</v>
      </c>
      <c r="O50" s="149" t="n">
        <v>0</v>
      </c>
      <c r="P50" s="149" t="n">
        <v>0</v>
      </c>
      <c r="Q50" s="149" t="n">
        <v>0</v>
      </c>
      <c r="R50" s="149" t="n">
        <v>0</v>
      </c>
      <c r="S50" s="149" t="n">
        <v>0</v>
      </c>
      <c r="T50" s="149" t="n">
        <v>0</v>
      </c>
      <c r="U50" s="149" t="n">
        <v>0</v>
      </c>
      <c r="V50" s="149" t="n">
        <v>0</v>
      </c>
      <c r="W50" s="149" t="n">
        <v>0</v>
      </c>
      <c r="X50" s="149"/>
    </row>
    <row r="51" customFormat="false" ht="18.75" hidden="false" customHeight="true" outlineLevel="0" collapsed="false">
      <c r="B51" s="41" t="s">
        <v>36</v>
      </c>
      <c r="C51" s="44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</row>
    <row r="52" customFormat="false" ht="18.75" hidden="false" customHeight="true" outlineLevel="0" collapsed="false">
      <c r="B52" s="41" t="s">
        <v>37</v>
      </c>
      <c r="C52" s="44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</row>
    <row r="53" customFormat="false" ht="18.75" hidden="false" customHeight="true" outlineLevel="0" collapsed="false">
      <c r="B53" s="45" t="s">
        <v>38</v>
      </c>
      <c r="C53" s="44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</row>
    <row r="54" customFormat="false" ht="18.75" hidden="false" customHeight="true" outlineLevel="0" collapsed="false">
      <c r="B54" s="45" t="s">
        <v>39</v>
      </c>
      <c r="C54" s="44"/>
      <c r="D54" s="149" t="n">
        <f aca="false">D77</f>
        <v>-205618.764</v>
      </c>
      <c r="E54" s="149" t="n">
        <f aca="false">E77</f>
        <v>-145828.1576</v>
      </c>
      <c r="F54" s="149" t="n">
        <f aca="false">F77</f>
        <v>-144077.7512</v>
      </c>
      <c r="G54" s="149" t="n">
        <f aca="false">G77</f>
        <v>-142327.3448</v>
      </c>
      <c r="H54" s="149" t="n">
        <f aca="false">H77</f>
        <v>-140576.9384</v>
      </c>
      <c r="I54" s="149" t="n">
        <f aca="false">I77</f>
        <v>-138826.532</v>
      </c>
      <c r="J54" s="149" t="n">
        <f aca="false">J77</f>
        <v>-137076.1256</v>
      </c>
      <c r="K54" s="149" t="n">
        <f aca="false">K77</f>
        <v>-135325.7192</v>
      </c>
      <c r="L54" s="149" t="n">
        <f aca="false">L77</f>
        <v>-133575.3128</v>
      </c>
      <c r="M54" s="149" t="n">
        <f aca="false">M77</f>
        <v>-131824.9064</v>
      </c>
      <c r="N54" s="149" t="n">
        <f aca="false">N77</f>
        <v>-138796.5</v>
      </c>
      <c r="O54" s="149" t="n">
        <f aca="false">O77</f>
        <v>-137046.0936</v>
      </c>
      <c r="P54" s="149" t="n">
        <f aca="false">P77</f>
        <v>-135295.6872</v>
      </c>
      <c r="Q54" s="149" t="n">
        <f aca="false">Q77</f>
        <v>-133545.2808</v>
      </c>
      <c r="R54" s="149" t="n">
        <f aca="false">R77</f>
        <v>-131794.8744</v>
      </c>
      <c r="S54" s="149" t="n">
        <f aca="false">S77</f>
        <v>-130044.468</v>
      </c>
      <c r="T54" s="149" t="n">
        <f aca="false">T77</f>
        <v>-128294.0616</v>
      </c>
      <c r="U54" s="149" t="n">
        <f aca="false">U77</f>
        <v>-126543.6552</v>
      </c>
      <c r="V54" s="149" t="n">
        <f aca="false">V77</f>
        <v>-124793.2488</v>
      </c>
      <c r="W54" s="149" t="n">
        <f aca="false">W77</f>
        <v>-123042.8424</v>
      </c>
      <c r="X54" s="144"/>
    </row>
    <row r="55" customFormat="false" ht="18.75" hidden="false" customHeight="true" outlineLevel="0" collapsed="false">
      <c r="B55" s="46" t="s">
        <v>40</v>
      </c>
      <c r="C55" s="47" t="n">
        <f aca="false">C44</f>
        <v>-17693200</v>
      </c>
      <c r="D55" s="48" t="n">
        <f aca="false">SUM(D41:D54)</f>
        <v>1416934.056</v>
      </c>
      <c r="E55" s="48" t="n">
        <f aca="false">SUM(E41:E54)</f>
        <v>1467972.6304</v>
      </c>
      <c r="F55" s="48" t="n">
        <f aca="false">SUM(F41:F54)</f>
        <v>1460971.0048</v>
      </c>
      <c r="G55" s="48" t="n">
        <f aca="false">SUM(G41:G54)</f>
        <v>1453969.3792</v>
      </c>
      <c r="H55" s="48" t="n">
        <f aca="false">SUM(H41:H54)</f>
        <v>1446967.7536</v>
      </c>
      <c r="I55" s="48" t="n">
        <f aca="false">SUM(I41:I54)</f>
        <v>1439966.128</v>
      </c>
      <c r="J55" s="48" t="n">
        <f aca="false">SUM(J41:J54)</f>
        <v>1432964.5024</v>
      </c>
      <c r="K55" s="48" t="n">
        <f aca="false">SUM(K41:K54)</f>
        <v>1425962.8768</v>
      </c>
      <c r="L55" s="48" t="n">
        <f aca="false">SUM(L41:L54)</f>
        <v>1418961.2512</v>
      </c>
      <c r="M55" s="48" t="n">
        <f aca="false">SUM(M41:M54)</f>
        <v>1411959.6256</v>
      </c>
      <c r="N55" s="48" t="n">
        <f aca="false">SUM(N41:N54)</f>
        <v>1439846</v>
      </c>
      <c r="O55" s="48" t="n">
        <f aca="false">SUM(O41:O54)</f>
        <v>1432844.3744</v>
      </c>
      <c r="P55" s="48" t="n">
        <f aca="false">SUM(P41:P54)</f>
        <v>1425842.7488</v>
      </c>
      <c r="Q55" s="48" t="n">
        <f aca="false">SUM(Q41:Q54)</f>
        <v>1418841.1232</v>
      </c>
      <c r="R55" s="48" t="n">
        <f aca="false">SUM(R41:R54)</f>
        <v>1411839.4976</v>
      </c>
      <c r="S55" s="48" t="n">
        <f aca="false">SUM(S41:S54)</f>
        <v>1404837.872</v>
      </c>
      <c r="T55" s="48" t="n">
        <f aca="false">SUM(T41:T54)</f>
        <v>1397836.2464</v>
      </c>
      <c r="U55" s="48" t="n">
        <f aca="false">SUM(U41:U54)</f>
        <v>1390834.6208</v>
      </c>
      <c r="V55" s="48" t="n">
        <f aca="false">SUM(V41:V54)</f>
        <v>1383832.9952</v>
      </c>
      <c r="W55" s="48" t="n">
        <f aca="false">SUM(W41:W54)</f>
        <v>1376831.3696</v>
      </c>
      <c r="X55" s="150"/>
      <c r="Y55" s="151"/>
      <c r="Z55" s="152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customFormat="false" ht="18.75" hidden="false" customHeight="true" outlineLevel="0" collapsed="false">
      <c r="B56" s="49" t="s">
        <v>41</v>
      </c>
      <c r="D56" s="50" t="n">
        <f aca="false">C55+D55</f>
        <v>-16276265.944</v>
      </c>
      <c r="E56" s="50" t="n">
        <f aca="false">D56+E55</f>
        <v>-14808293.3136</v>
      </c>
      <c r="F56" s="50" t="n">
        <f aca="false">E56+F55</f>
        <v>-13347322.3088</v>
      </c>
      <c r="G56" s="50" t="n">
        <f aca="false">F56+G55</f>
        <v>-11893352.9296</v>
      </c>
      <c r="H56" s="50" t="n">
        <f aca="false">G56+H55</f>
        <v>-10446385.176</v>
      </c>
      <c r="I56" s="50" t="n">
        <f aca="false">H56+I55</f>
        <v>-9006419.048</v>
      </c>
      <c r="J56" s="50" t="n">
        <f aca="false">I56+J55</f>
        <v>-7573454.5456</v>
      </c>
      <c r="K56" s="50" t="n">
        <f aca="false">J56+K55</f>
        <v>-6147491.6688</v>
      </c>
      <c r="L56" s="50" t="n">
        <f aca="false">K56+L55</f>
        <v>-4728530.4176</v>
      </c>
      <c r="M56" s="50" t="n">
        <f aca="false">L56+M55</f>
        <v>-3316570.792</v>
      </c>
      <c r="N56" s="50" t="n">
        <f aca="false">M56+N55</f>
        <v>-1876724.792</v>
      </c>
      <c r="O56" s="50" t="n">
        <f aca="false">N56+O55</f>
        <v>-443880.417600002</v>
      </c>
      <c r="P56" s="50" t="n">
        <f aca="false">O56+P55</f>
        <v>981962.331199998</v>
      </c>
      <c r="Q56" s="50" t="n">
        <f aca="false">P56+Q55</f>
        <v>2400803.4544</v>
      </c>
      <c r="R56" s="50" t="n">
        <f aca="false">Q56+R55</f>
        <v>3812642.952</v>
      </c>
      <c r="S56" s="50" t="n">
        <f aca="false">R56+S55</f>
        <v>5217480.824</v>
      </c>
      <c r="T56" s="50" t="n">
        <f aca="false">S56+T55</f>
        <v>6615317.0704</v>
      </c>
      <c r="U56" s="50" t="n">
        <f aca="false">T56+U55</f>
        <v>8006151.6912</v>
      </c>
      <c r="V56" s="50" t="n">
        <f aca="false">U56+V55</f>
        <v>9389984.6864</v>
      </c>
      <c r="W56" s="50" t="n">
        <f aca="false">V56+W55</f>
        <v>10766816.056</v>
      </c>
      <c r="X56" s="50" t="n">
        <f aca="false">W56+X55</f>
        <v>10766816.056</v>
      </c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</row>
    <row r="57" customFormat="false" ht="18.75" hidden="false" customHeight="true" outlineLevel="0" collapsed="false">
      <c r="B57" s="51" t="s">
        <v>42</v>
      </c>
      <c r="C57" s="52"/>
      <c r="D57" s="53" t="str">
        <f aca="false">IF((D56)&gt;0,"回收","未回收")</f>
        <v>未回收</v>
      </c>
      <c r="E57" s="54" t="str">
        <f aca="false">IF((E56)&gt;0,"回收","未回收")</f>
        <v>未回收</v>
      </c>
      <c r="F57" s="54" t="str">
        <f aca="false">IF((F56)&gt;0,"回收","未回收")</f>
        <v>未回收</v>
      </c>
      <c r="G57" s="54" t="str">
        <f aca="false">IF((G56)&gt;0,"回收","未回收")</f>
        <v>未回收</v>
      </c>
      <c r="H57" s="54" t="str">
        <f aca="false">IF((H56)&gt;0,"回收","未回收")</f>
        <v>未回收</v>
      </c>
      <c r="I57" s="54" t="str">
        <f aca="false">IF((I56)&gt;0,"回收","未回收")</f>
        <v>未回收</v>
      </c>
      <c r="J57" s="54" t="str">
        <f aca="false">IF((J56)&gt;0,"回收","未回收")</f>
        <v>未回收</v>
      </c>
      <c r="K57" s="54" t="str">
        <f aca="false">IF((K56)&gt;0,"回收","未回收")</f>
        <v>未回收</v>
      </c>
      <c r="L57" s="54" t="str">
        <f aca="false">IF((L56)&gt;0,"回收","未回收")</f>
        <v>未回收</v>
      </c>
      <c r="M57" s="54" t="str">
        <f aca="false">IF((M56)&gt;0,"回收","未回收")</f>
        <v>未回收</v>
      </c>
      <c r="N57" s="54" t="str">
        <f aca="false">IF((N56)&gt;0,"回收","未回收")</f>
        <v>未回收</v>
      </c>
      <c r="O57" s="54" t="str">
        <f aca="false">IF((O56)&gt;0,"回收","未回收")</f>
        <v>未回收</v>
      </c>
      <c r="P57" s="54" t="str">
        <f aca="false">IF((P56)&gt;0,"回收","未回收")</f>
        <v>回收</v>
      </c>
      <c r="Q57" s="54" t="str">
        <f aca="false">IF((Q56)&gt;0,"回收","未回收")</f>
        <v>回收</v>
      </c>
      <c r="R57" s="54" t="str">
        <f aca="false">IF((R56)&gt;0,"回收","未回收")</f>
        <v>回收</v>
      </c>
      <c r="S57" s="54" t="str">
        <f aca="false">IF((S56)&gt;0,"回收","未回收")</f>
        <v>回收</v>
      </c>
      <c r="T57" s="54" t="str">
        <f aca="false">IF((T56)&gt;0,"回收","未回收")</f>
        <v>回收</v>
      </c>
      <c r="U57" s="54" t="str">
        <f aca="false">IF((U56)&gt;0,"回收","未回收")</f>
        <v>回收</v>
      </c>
      <c r="V57" s="54" t="str">
        <f aca="false">IF((V56)&gt;0,"回收","未回收")</f>
        <v>回收</v>
      </c>
      <c r="W57" s="54" t="str">
        <f aca="false">IF((W56)&gt;0,"回收","未回收")</f>
        <v>回收</v>
      </c>
      <c r="X57" s="54" t="str">
        <f aca="false">IF((X56)&gt;0,"回收","未回收")</f>
        <v>回收</v>
      </c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</row>
    <row r="58" customFormat="false" ht="18.75" hidden="false" customHeight="true" outlineLevel="0" collapsed="false">
      <c r="B58" s="55" t="s">
        <v>43</v>
      </c>
      <c r="C58" s="56" t="n">
        <f aca="false">IRR(C55:W55)</f>
        <v>0.050729974712442</v>
      </c>
      <c r="D58" s="57"/>
      <c r="E58" s="57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</row>
    <row r="59" customFormat="false" ht="18.75" hidden="false" customHeight="true" outlineLevel="0" collapsed="false">
      <c r="B59" s="58"/>
      <c r="C59" s="57"/>
      <c r="D59" s="57"/>
      <c r="E59" s="57"/>
      <c r="F59" s="58"/>
      <c r="G59" s="58"/>
      <c r="H59" s="58"/>
      <c r="I59" s="58"/>
      <c r="J59" s="58"/>
      <c r="K59" s="58"/>
      <c r="L59" s="58"/>
      <c r="M59" s="57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customFormat="false" ht="18.75" hidden="false" customHeight="true" outlineLevel="0" collapsed="false">
      <c r="B60" s="16"/>
      <c r="C60" s="17" t="s">
        <v>0</v>
      </c>
      <c r="D60" s="17" t="n">
        <f aca="false">D37</f>
        <v>2020</v>
      </c>
      <c r="E60" s="17" t="n">
        <f aca="false">E37</f>
        <v>2021</v>
      </c>
      <c r="F60" s="17" t="n">
        <f aca="false">F37</f>
        <v>2022</v>
      </c>
      <c r="G60" s="17" t="n">
        <f aca="false">G37</f>
        <v>2023</v>
      </c>
      <c r="H60" s="17" t="n">
        <f aca="false">H37</f>
        <v>2024</v>
      </c>
      <c r="I60" s="17" t="n">
        <f aca="false">I37</f>
        <v>2025</v>
      </c>
      <c r="J60" s="17" t="n">
        <f aca="false">J37</f>
        <v>2026</v>
      </c>
      <c r="K60" s="17" t="n">
        <f aca="false">K37</f>
        <v>2027</v>
      </c>
      <c r="L60" s="17" t="n">
        <f aca="false">L37</f>
        <v>2028</v>
      </c>
      <c r="M60" s="17" t="n">
        <f aca="false">M37</f>
        <v>2029</v>
      </c>
      <c r="N60" s="17" t="n">
        <f aca="false">N37</f>
        <v>2030</v>
      </c>
      <c r="O60" s="17" t="n">
        <f aca="false">O37</f>
        <v>2031</v>
      </c>
      <c r="P60" s="17" t="n">
        <f aca="false">P37</f>
        <v>2032</v>
      </c>
      <c r="Q60" s="17" t="n">
        <f aca="false">Q37</f>
        <v>2033</v>
      </c>
      <c r="R60" s="17" t="n">
        <f aca="false">R37</f>
        <v>2034</v>
      </c>
      <c r="S60" s="17" t="n">
        <f aca="false">S37</f>
        <v>2035</v>
      </c>
      <c r="T60" s="17" t="n">
        <f aca="false">T37</f>
        <v>2036</v>
      </c>
      <c r="U60" s="17" t="n">
        <f aca="false">U37</f>
        <v>2037</v>
      </c>
      <c r="V60" s="17" t="n">
        <f aca="false">V37</f>
        <v>2038</v>
      </c>
      <c r="W60" s="17" t="n">
        <f aca="false">W37</f>
        <v>2039</v>
      </c>
      <c r="X60" s="17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</row>
    <row r="61" customFormat="false" ht="18.75" hidden="false" customHeight="true" outlineLevel="0" collapsed="false">
      <c r="B61" s="18" t="n">
        <v>0</v>
      </c>
      <c r="C61" s="19"/>
      <c r="D61" s="20"/>
      <c r="E61" s="20"/>
      <c r="F61" s="2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59" t="s">
        <v>44</v>
      </c>
      <c r="U61" s="22"/>
      <c r="V61" s="22"/>
      <c r="W61" s="22"/>
      <c r="X61" s="139"/>
    </row>
    <row r="62" customFormat="false" ht="18.75" hidden="false" customHeight="true" outlineLevel="0" collapsed="false">
      <c r="B62" s="24" t="s">
        <v>23</v>
      </c>
      <c r="C62" s="25" t="n">
        <v>0</v>
      </c>
      <c r="D62" s="26" t="n">
        <v>1</v>
      </c>
      <c r="E62" s="26" t="n">
        <v>2</v>
      </c>
      <c r="F62" s="26" t="n">
        <v>3</v>
      </c>
      <c r="G62" s="26" t="n">
        <v>4</v>
      </c>
      <c r="H62" s="26" t="n">
        <v>5</v>
      </c>
      <c r="I62" s="26" t="n">
        <v>6</v>
      </c>
      <c r="J62" s="26" t="n">
        <v>7</v>
      </c>
      <c r="K62" s="26" t="n">
        <v>8</v>
      </c>
      <c r="L62" s="26" t="n">
        <v>9</v>
      </c>
      <c r="M62" s="26" t="n">
        <v>10</v>
      </c>
      <c r="N62" s="26" t="n">
        <v>11</v>
      </c>
      <c r="O62" s="26" t="n">
        <v>12</v>
      </c>
      <c r="P62" s="26" t="n">
        <v>13</v>
      </c>
      <c r="Q62" s="26" t="n">
        <v>14</v>
      </c>
      <c r="R62" s="26" t="n">
        <v>15</v>
      </c>
      <c r="S62" s="26" t="n">
        <v>16</v>
      </c>
      <c r="T62" s="60" t="n">
        <v>17</v>
      </c>
      <c r="U62" s="26" t="n">
        <v>18</v>
      </c>
      <c r="V62" s="26" t="n">
        <v>19</v>
      </c>
      <c r="W62" s="26" t="n">
        <v>20</v>
      </c>
      <c r="X62" s="140"/>
    </row>
    <row r="63" customFormat="false" ht="18.75" hidden="false" customHeight="true" outlineLevel="0" collapsed="false">
      <c r="B63" s="141" t="s">
        <v>24</v>
      </c>
      <c r="C63" s="29" t="n">
        <v>0</v>
      </c>
      <c r="D63" s="30" t="n">
        <f aca="false">D40</f>
        <v>541531.98</v>
      </c>
      <c r="E63" s="30" t="n">
        <f aca="false">E40</f>
        <v>539343.972</v>
      </c>
      <c r="F63" s="30" t="n">
        <f aca="false">F40</f>
        <v>537155.964</v>
      </c>
      <c r="G63" s="30" t="n">
        <f aca="false">G40</f>
        <v>534967.956</v>
      </c>
      <c r="H63" s="30" t="n">
        <f aca="false">H40</f>
        <v>532779.948</v>
      </c>
      <c r="I63" s="30" t="n">
        <f aca="false">I40</f>
        <v>530591.94</v>
      </c>
      <c r="J63" s="30" t="n">
        <f aca="false">J40</f>
        <v>528403.932</v>
      </c>
      <c r="K63" s="30" t="n">
        <f aca="false">K40</f>
        <v>526215.924</v>
      </c>
      <c r="L63" s="30" t="n">
        <f aca="false">L40</f>
        <v>524027.916</v>
      </c>
      <c r="M63" s="30" t="n">
        <f aca="false">M40</f>
        <v>521839.908</v>
      </c>
      <c r="N63" s="30" t="n">
        <f aca="false">N40</f>
        <v>519651.9</v>
      </c>
      <c r="O63" s="30" t="n">
        <f aca="false">O40</f>
        <v>517463.892</v>
      </c>
      <c r="P63" s="30" t="n">
        <f aca="false">P40</f>
        <v>515275.884</v>
      </c>
      <c r="Q63" s="30" t="n">
        <f aca="false">Q40</f>
        <v>513087.876</v>
      </c>
      <c r="R63" s="30" t="n">
        <f aca="false">R40</f>
        <v>510899.868</v>
      </c>
      <c r="S63" s="30" t="n">
        <f aca="false">S40</f>
        <v>508711.86</v>
      </c>
      <c r="T63" s="30" t="n">
        <f aca="false">T40</f>
        <v>506523.852</v>
      </c>
      <c r="U63" s="30" t="n">
        <f aca="false">U40</f>
        <v>504335.844</v>
      </c>
      <c r="V63" s="30" t="n">
        <f aca="false">V40</f>
        <v>502147.836</v>
      </c>
      <c r="W63" s="30" t="n">
        <f aca="false">W40</f>
        <v>499959.828</v>
      </c>
      <c r="X63" s="142"/>
    </row>
    <row r="64" customFormat="false" ht="18.75" hidden="false" customHeight="true" outlineLevel="0" collapsed="false">
      <c r="B64" s="31" t="s">
        <v>25</v>
      </c>
      <c r="C64" s="32" t="s">
        <v>26</v>
      </c>
      <c r="D64" s="33" t="n">
        <f aca="false">D41</f>
        <v>2166127.92</v>
      </c>
      <c r="E64" s="33" t="n">
        <f aca="false">E41</f>
        <v>2157375.888</v>
      </c>
      <c r="F64" s="33" t="n">
        <f aca="false">F41</f>
        <v>2148623.856</v>
      </c>
      <c r="G64" s="33" t="n">
        <f aca="false">G41</f>
        <v>2139871.824</v>
      </c>
      <c r="H64" s="33" t="n">
        <f aca="false">H41</f>
        <v>2131119.792</v>
      </c>
      <c r="I64" s="33" t="n">
        <f aca="false">I41</f>
        <v>2122367.76</v>
      </c>
      <c r="J64" s="33" t="n">
        <f aca="false">J41</f>
        <v>2113615.728</v>
      </c>
      <c r="K64" s="33" t="n">
        <f aca="false">K41</f>
        <v>2104863.696</v>
      </c>
      <c r="L64" s="33" t="n">
        <f aca="false">L41</f>
        <v>2096111.664</v>
      </c>
      <c r="M64" s="33" t="n">
        <f aca="false">M41</f>
        <v>2087359.632</v>
      </c>
      <c r="N64" s="33" t="n">
        <f aca="false">N41</f>
        <v>2078607.6</v>
      </c>
      <c r="O64" s="33" t="n">
        <f aca="false">O41</f>
        <v>2069855.568</v>
      </c>
      <c r="P64" s="33" t="n">
        <f aca="false">P41</f>
        <v>2061103.536</v>
      </c>
      <c r="Q64" s="33" t="n">
        <f aca="false">Q41</f>
        <v>2052351.504</v>
      </c>
      <c r="R64" s="33" t="n">
        <f aca="false">R41</f>
        <v>2043599.472</v>
      </c>
      <c r="S64" s="33" t="n">
        <f aca="false">S41</f>
        <v>2034847.44</v>
      </c>
      <c r="T64" s="33" t="n">
        <f aca="false">T41</f>
        <v>2026095.408</v>
      </c>
      <c r="U64" s="33" t="n">
        <f aca="false">U41</f>
        <v>2017343.376</v>
      </c>
      <c r="V64" s="33" t="n">
        <f aca="false">V41</f>
        <v>2008591.344</v>
      </c>
      <c r="W64" s="33" t="n">
        <f aca="false">W41</f>
        <v>1999839.312</v>
      </c>
      <c r="X64" s="143"/>
    </row>
    <row r="65" customFormat="false" ht="18.75" hidden="false" customHeight="true" outlineLevel="0" collapsed="false">
      <c r="B65" s="34" t="s">
        <v>27</v>
      </c>
      <c r="C65" s="35" t="s">
        <v>26</v>
      </c>
      <c r="D65" s="144"/>
      <c r="E65" s="144"/>
      <c r="F65" s="144"/>
      <c r="G65" s="37" t="s">
        <v>26</v>
      </c>
      <c r="H65" s="37" t="s">
        <v>26</v>
      </c>
      <c r="I65" s="37" t="s">
        <v>26</v>
      </c>
      <c r="J65" s="37" t="s">
        <v>26</v>
      </c>
      <c r="K65" s="37" t="s">
        <v>26</v>
      </c>
      <c r="L65" s="37" t="s">
        <v>26</v>
      </c>
      <c r="M65" s="37" t="s">
        <v>26</v>
      </c>
      <c r="N65" s="37" t="s">
        <v>26</v>
      </c>
      <c r="O65" s="37" t="s">
        <v>26</v>
      </c>
      <c r="P65" s="37" t="s">
        <v>26</v>
      </c>
      <c r="Q65" s="37" t="s">
        <v>26</v>
      </c>
      <c r="R65" s="37" t="s">
        <v>26</v>
      </c>
      <c r="S65" s="37" t="s">
        <v>26</v>
      </c>
      <c r="T65" s="37" t="s">
        <v>26</v>
      </c>
      <c r="U65" s="37" t="s">
        <v>26</v>
      </c>
      <c r="V65" s="37" t="s">
        <v>26</v>
      </c>
      <c r="W65" s="37" t="s">
        <v>26</v>
      </c>
      <c r="X65" s="145"/>
    </row>
    <row r="66" customFormat="false" ht="18.75" hidden="false" customHeight="true" outlineLevel="0" collapsed="false">
      <c r="B66" s="38" t="s">
        <v>28</v>
      </c>
      <c r="C66" s="146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8"/>
    </row>
    <row r="67" customFormat="false" ht="18.75" hidden="false" customHeight="true" outlineLevel="0" collapsed="false">
      <c r="B67" s="41" t="s">
        <v>45</v>
      </c>
      <c r="C67" s="35"/>
      <c r="D67" s="61" t="n">
        <f aca="false">$C$44/$E$16</f>
        <v>-884660</v>
      </c>
      <c r="E67" s="61" t="n">
        <f aca="false">$C$44/$E$16</f>
        <v>-884660</v>
      </c>
      <c r="F67" s="61" t="n">
        <f aca="false">$C$44/$E$16</f>
        <v>-884660</v>
      </c>
      <c r="G67" s="61" t="n">
        <f aca="false">$C$44/$E$16</f>
        <v>-884660</v>
      </c>
      <c r="H67" s="61" t="n">
        <f aca="false">$C$44/$E$16</f>
        <v>-884660</v>
      </c>
      <c r="I67" s="61" t="n">
        <f aca="false">$C$44/$E$16</f>
        <v>-884660</v>
      </c>
      <c r="J67" s="61" t="n">
        <f aca="false">$C$44/$E$16</f>
        <v>-884660</v>
      </c>
      <c r="K67" s="61" t="n">
        <f aca="false">$C$44/$E$16</f>
        <v>-884660</v>
      </c>
      <c r="L67" s="61" t="n">
        <f aca="false">$C$44/$E$16</f>
        <v>-884660</v>
      </c>
      <c r="M67" s="61" t="n">
        <f aca="false">$C$44/$E$16</f>
        <v>-884660</v>
      </c>
      <c r="N67" s="61" t="n">
        <f aca="false">$C$44/$E$16</f>
        <v>-884660</v>
      </c>
      <c r="O67" s="61" t="n">
        <f aca="false">$C$44/$E$16</f>
        <v>-884660</v>
      </c>
      <c r="P67" s="61" t="n">
        <f aca="false">$C$44/$E$16</f>
        <v>-884660</v>
      </c>
      <c r="Q67" s="61" t="n">
        <f aca="false">$C$44/$E$16</f>
        <v>-884660</v>
      </c>
      <c r="R67" s="61" t="n">
        <f aca="false">$C$44/$E$16</f>
        <v>-884660</v>
      </c>
      <c r="S67" s="61" t="n">
        <f aca="false">$C$44/$E$16</f>
        <v>-884660</v>
      </c>
      <c r="T67" s="61" t="n">
        <f aca="false">$C$44/$E$16</f>
        <v>-884660</v>
      </c>
      <c r="U67" s="61" t="n">
        <f aca="false">$C$44/$E$16</f>
        <v>-884660</v>
      </c>
      <c r="V67" s="61" t="n">
        <f aca="false">$C$44/$E$16</f>
        <v>-884660</v>
      </c>
      <c r="W67" s="61" t="n">
        <f aca="false">$C$44/$E$16</f>
        <v>-884660</v>
      </c>
      <c r="X67" s="145"/>
    </row>
    <row r="68" customFormat="false" ht="18.75" hidden="false" customHeight="true" outlineLevel="0" collapsed="false">
      <c r="B68" s="41" t="s">
        <v>30</v>
      </c>
      <c r="C68" s="35" t="s">
        <v>26</v>
      </c>
      <c r="D68" s="149" t="n">
        <f aca="false">D44</f>
        <v>0</v>
      </c>
      <c r="E68" s="149" t="n">
        <f aca="false">E45</f>
        <v>-290201</v>
      </c>
      <c r="F68" s="149" t="n">
        <f aca="false">F45</f>
        <v>-290201</v>
      </c>
      <c r="G68" s="149" t="n">
        <f aca="false">G45</f>
        <v>-290201</v>
      </c>
      <c r="H68" s="149" t="n">
        <f aca="false">H45</f>
        <v>-290201</v>
      </c>
      <c r="I68" s="149" t="n">
        <f aca="false">I45</f>
        <v>-290201</v>
      </c>
      <c r="J68" s="149" t="n">
        <f aca="false">J45</f>
        <v>-290201</v>
      </c>
      <c r="K68" s="149" t="n">
        <f aca="false">K45</f>
        <v>-290201</v>
      </c>
      <c r="L68" s="149" t="n">
        <f aca="false">L45</f>
        <v>-290201</v>
      </c>
      <c r="M68" s="149" t="n">
        <f aca="false">M45</f>
        <v>-290201</v>
      </c>
      <c r="N68" s="149" t="n">
        <f aca="false">N45</f>
        <v>-290201</v>
      </c>
      <c r="O68" s="149" t="n">
        <f aca="false">O45</f>
        <v>-290201</v>
      </c>
      <c r="P68" s="149" t="n">
        <f aca="false">P45</f>
        <v>-290201</v>
      </c>
      <c r="Q68" s="149" t="n">
        <f aca="false">Q45</f>
        <v>-290201</v>
      </c>
      <c r="R68" s="149" t="n">
        <f aca="false">R45</f>
        <v>-290201</v>
      </c>
      <c r="S68" s="149" t="n">
        <f aca="false">S45</f>
        <v>-290201</v>
      </c>
      <c r="T68" s="149" t="n">
        <f aca="false">T45</f>
        <v>-290201</v>
      </c>
      <c r="U68" s="149" t="n">
        <f aca="false">U45</f>
        <v>-290201</v>
      </c>
      <c r="V68" s="149" t="n">
        <f aca="false">V45</f>
        <v>-290201</v>
      </c>
      <c r="W68" s="149" t="n">
        <f aca="false">W45</f>
        <v>-290201</v>
      </c>
      <c r="X68" s="145"/>
    </row>
    <row r="69" customFormat="false" ht="18.75" hidden="false" customHeight="true" outlineLevel="0" collapsed="false">
      <c r="B69" s="41" t="s">
        <v>31</v>
      </c>
      <c r="C69" s="35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5"/>
    </row>
    <row r="70" customFormat="false" ht="18.75" hidden="false" customHeight="true" outlineLevel="0" collapsed="false">
      <c r="B70" s="41" t="s">
        <v>32</v>
      </c>
      <c r="C70" s="35" t="s">
        <v>26</v>
      </c>
      <c r="D70" s="149" t="n">
        <v>0</v>
      </c>
      <c r="E70" s="149" t="n">
        <v>0</v>
      </c>
      <c r="F70" s="149" t="n">
        <v>0</v>
      </c>
      <c r="G70" s="149" t="n">
        <v>0</v>
      </c>
      <c r="H70" s="149" t="n">
        <v>0</v>
      </c>
      <c r="I70" s="149" t="n">
        <v>0</v>
      </c>
      <c r="J70" s="149" t="n">
        <v>0</v>
      </c>
      <c r="K70" s="149" t="n">
        <v>0</v>
      </c>
      <c r="L70" s="149" t="n">
        <v>0</v>
      </c>
      <c r="M70" s="149" t="n">
        <v>0</v>
      </c>
      <c r="N70" s="149" t="n">
        <v>0</v>
      </c>
      <c r="O70" s="149" t="n">
        <v>0</v>
      </c>
      <c r="P70" s="149" t="n">
        <v>0</v>
      </c>
      <c r="Q70" s="149" t="n">
        <v>0</v>
      </c>
      <c r="R70" s="149" t="n">
        <v>0</v>
      </c>
      <c r="S70" s="149" t="n">
        <v>0</v>
      </c>
      <c r="T70" s="149" t="n">
        <v>0</v>
      </c>
      <c r="U70" s="149" t="n">
        <v>0</v>
      </c>
      <c r="V70" s="149" t="n">
        <v>0</v>
      </c>
      <c r="W70" s="149" t="n">
        <v>0</v>
      </c>
      <c r="X70" s="145"/>
    </row>
    <row r="71" customFormat="false" ht="18.75" hidden="false" customHeight="true" outlineLevel="0" collapsed="false">
      <c r="B71" s="41" t="s">
        <v>33</v>
      </c>
      <c r="C71" s="35" t="s">
        <v>26</v>
      </c>
      <c r="D71" s="149" t="n">
        <f aca="false">D48</f>
        <v>-174440</v>
      </c>
      <c r="E71" s="149" t="n">
        <f aca="false">E48</f>
        <v>-174440</v>
      </c>
      <c r="F71" s="149" t="n">
        <f aca="false">F48</f>
        <v>-174440</v>
      </c>
      <c r="G71" s="149" t="n">
        <f aca="false">G48</f>
        <v>-174440</v>
      </c>
      <c r="H71" s="149" t="n">
        <f aca="false">H48</f>
        <v>-174440</v>
      </c>
      <c r="I71" s="149" t="n">
        <f aca="false">I48</f>
        <v>-174440</v>
      </c>
      <c r="J71" s="149" t="n">
        <f aca="false">J48</f>
        <v>-174440</v>
      </c>
      <c r="K71" s="149" t="n">
        <f aca="false">K48</f>
        <v>-174440</v>
      </c>
      <c r="L71" s="149" t="n">
        <f aca="false">L48</f>
        <v>-174440</v>
      </c>
      <c r="M71" s="149" t="n">
        <f aca="false">M48</f>
        <v>-174440</v>
      </c>
      <c r="N71" s="149" t="n">
        <f aca="false">N48</f>
        <v>-174440</v>
      </c>
      <c r="O71" s="149" t="n">
        <f aca="false">O48</f>
        <v>-174440</v>
      </c>
      <c r="P71" s="149" t="n">
        <f aca="false">P48</f>
        <v>-174440</v>
      </c>
      <c r="Q71" s="149" t="n">
        <f aca="false">Q48</f>
        <v>-174440</v>
      </c>
      <c r="R71" s="149" t="n">
        <f aca="false">R48</f>
        <v>-174440</v>
      </c>
      <c r="S71" s="149" t="n">
        <f aca="false">S48</f>
        <v>-174440</v>
      </c>
      <c r="T71" s="149" t="n">
        <f aca="false">T48</f>
        <v>-174440</v>
      </c>
      <c r="U71" s="149" t="n">
        <f aca="false">U48</f>
        <v>-174440</v>
      </c>
      <c r="V71" s="149" t="n">
        <f aca="false">V48</f>
        <v>-174440</v>
      </c>
      <c r="W71" s="149" t="n">
        <f aca="false">W48</f>
        <v>-174440</v>
      </c>
      <c r="X71" s="145"/>
    </row>
    <row r="72" customFormat="false" ht="18.75" hidden="false" customHeight="true" outlineLevel="0" collapsed="false">
      <c r="B72" s="41" t="s">
        <v>34</v>
      </c>
      <c r="C72" s="35" t="s">
        <v>26</v>
      </c>
      <c r="D72" s="149" t="n">
        <f aca="false">D49</f>
        <v>-35324.1</v>
      </c>
      <c r="E72" s="149" t="n">
        <f aca="false">E49</f>
        <v>-35324.1</v>
      </c>
      <c r="F72" s="149" t="n">
        <f aca="false">F49</f>
        <v>-35324.1</v>
      </c>
      <c r="G72" s="149" t="n">
        <f aca="false">G49</f>
        <v>-35324.1</v>
      </c>
      <c r="H72" s="149" t="n">
        <f aca="false">H49</f>
        <v>-35324.1</v>
      </c>
      <c r="I72" s="149" t="n">
        <f aca="false">I49</f>
        <v>-35324.1</v>
      </c>
      <c r="J72" s="149" t="n">
        <f aca="false">J49</f>
        <v>-35324.1</v>
      </c>
      <c r="K72" s="149" t="n">
        <f aca="false">K49</f>
        <v>-35324.1</v>
      </c>
      <c r="L72" s="149" t="n">
        <f aca="false">L49</f>
        <v>-35324.1</v>
      </c>
      <c r="M72" s="149" t="n">
        <f aca="false">M49</f>
        <v>-35324.1</v>
      </c>
      <c r="N72" s="149" t="n">
        <f aca="false">N49</f>
        <v>-35324.1</v>
      </c>
      <c r="O72" s="149" t="n">
        <f aca="false">O49</f>
        <v>-35324.1</v>
      </c>
      <c r="P72" s="149" t="n">
        <f aca="false">P49</f>
        <v>-35324.1</v>
      </c>
      <c r="Q72" s="149" t="n">
        <f aca="false">Q49</f>
        <v>-35324.1</v>
      </c>
      <c r="R72" s="149" t="n">
        <f aca="false">R49</f>
        <v>-35324.1</v>
      </c>
      <c r="S72" s="149" t="n">
        <f aca="false">S49</f>
        <v>-35324.1</v>
      </c>
      <c r="T72" s="149" t="n">
        <f aca="false">T49</f>
        <v>-35324.1</v>
      </c>
      <c r="U72" s="149" t="n">
        <f aca="false">U49</f>
        <v>-35324.1</v>
      </c>
      <c r="V72" s="149" t="n">
        <f aca="false">V49</f>
        <v>-35324.1</v>
      </c>
      <c r="W72" s="149" t="n">
        <f aca="false">W49</f>
        <v>-35324.1</v>
      </c>
      <c r="X72" s="145"/>
    </row>
    <row r="73" customFormat="false" ht="18.75" hidden="false" customHeight="true" outlineLevel="0" collapsed="false">
      <c r="B73" s="41" t="s">
        <v>35</v>
      </c>
      <c r="C73" s="35"/>
      <c r="D73" s="149" t="n">
        <f aca="false">D50</f>
        <v>-43610</v>
      </c>
      <c r="E73" s="149" t="n">
        <f aca="false">E50</f>
        <v>-43610</v>
      </c>
      <c r="F73" s="149" t="n">
        <f aca="false">F50</f>
        <v>-43610</v>
      </c>
      <c r="G73" s="149" t="n">
        <f aca="false">G50</f>
        <v>-43610</v>
      </c>
      <c r="H73" s="149" t="n">
        <f aca="false">H50</f>
        <v>-43610</v>
      </c>
      <c r="I73" s="149" t="n">
        <f aca="false">I50</f>
        <v>-43610</v>
      </c>
      <c r="J73" s="149" t="n">
        <f aca="false">J50</f>
        <v>-43610</v>
      </c>
      <c r="K73" s="149" t="n">
        <f aca="false">K50</f>
        <v>-43610</v>
      </c>
      <c r="L73" s="149" t="n">
        <f aca="false">L50</f>
        <v>-43610</v>
      </c>
      <c r="M73" s="149" t="n">
        <f aca="false">M50</f>
        <v>-43610</v>
      </c>
      <c r="N73" s="149" t="n">
        <f aca="false">N50</f>
        <v>0</v>
      </c>
      <c r="O73" s="149" t="n">
        <f aca="false">O50</f>
        <v>0</v>
      </c>
      <c r="P73" s="149" t="n">
        <f aca="false">P50</f>
        <v>0</v>
      </c>
      <c r="Q73" s="149" t="n">
        <f aca="false">Q50</f>
        <v>0</v>
      </c>
      <c r="R73" s="149" t="n">
        <f aca="false">R50</f>
        <v>0</v>
      </c>
      <c r="S73" s="149" t="n">
        <f aca="false">S50</f>
        <v>0</v>
      </c>
      <c r="T73" s="149" t="n">
        <f aca="false">T50</f>
        <v>0</v>
      </c>
      <c r="U73" s="149" t="n">
        <f aca="false">U50</f>
        <v>0</v>
      </c>
      <c r="V73" s="149" t="n">
        <f aca="false">V50</f>
        <v>0</v>
      </c>
      <c r="W73" s="149" t="n">
        <f aca="false">W50</f>
        <v>0</v>
      </c>
      <c r="X73" s="145"/>
    </row>
    <row r="74" customFormat="false" ht="18.75" hidden="false" customHeight="true" outlineLevel="0" collapsed="false">
      <c r="B74" s="41" t="s">
        <v>36</v>
      </c>
      <c r="C74" s="44"/>
      <c r="D74" s="62"/>
      <c r="E74" s="63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5"/>
    </row>
    <row r="75" customFormat="false" ht="18.75" hidden="false" customHeight="true" outlineLevel="0" collapsed="false">
      <c r="B75" s="41" t="s">
        <v>37</v>
      </c>
      <c r="C75" s="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5"/>
    </row>
    <row r="76" customFormat="false" ht="18.75" hidden="false" customHeight="true" outlineLevel="0" collapsed="false">
      <c r="B76" s="46" t="s">
        <v>46</v>
      </c>
      <c r="C76" s="155"/>
      <c r="D76" s="48" t="n">
        <f aca="false">SUM(D64:D75)</f>
        <v>1028093.82</v>
      </c>
      <c r="E76" s="48" t="n">
        <f aca="false">SUM(E64:E75)</f>
        <v>729140.788</v>
      </c>
      <c r="F76" s="48" t="n">
        <f aca="false">SUM(F64:F75)</f>
        <v>720388.756</v>
      </c>
      <c r="G76" s="48" t="n">
        <f aca="false">SUM(G64:G75)</f>
        <v>711636.724</v>
      </c>
      <c r="H76" s="48" t="n">
        <f aca="false">SUM(H64:H75)</f>
        <v>702884.692</v>
      </c>
      <c r="I76" s="48" t="n">
        <f aca="false">SUM(I64:I75)</f>
        <v>694132.66</v>
      </c>
      <c r="J76" s="48" t="n">
        <f aca="false">SUM(J64:J75)</f>
        <v>685380.628</v>
      </c>
      <c r="K76" s="48" t="n">
        <f aca="false">SUM(K64:K75)</f>
        <v>676628.596</v>
      </c>
      <c r="L76" s="48" t="n">
        <f aca="false">SUM(L64:L75)</f>
        <v>667876.564</v>
      </c>
      <c r="M76" s="48" t="n">
        <f aca="false">SUM(M64:M75)</f>
        <v>659124.532</v>
      </c>
      <c r="N76" s="48" t="n">
        <f aca="false">SUM(N64:N75)</f>
        <v>693982.5</v>
      </c>
      <c r="O76" s="48" t="n">
        <f aca="false">SUM(O64:O75)</f>
        <v>685230.468</v>
      </c>
      <c r="P76" s="48" t="n">
        <f aca="false">SUM(P64:P75)</f>
        <v>676478.436</v>
      </c>
      <c r="Q76" s="48" t="n">
        <f aca="false">SUM(Q64:Q75)</f>
        <v>667726.404</v>
      </c>
      <c r="R76" s="48" t="n">
        <f aca="false">SUM(R64:R75)</f>
        <v>658974.372</v>
      </c>
      <c r="S76" s="48" t="n">
        <f aca="false">SUM(S64:S75)</f>
        <v>650222.34</v>
      </c>
      <c r="T76" s="48" t="n">
        <f aca="false">SUM(T64:T75)</f>
        <v>641470.308</v>
      </c>
      <c r="U76" s="48" t="n">
        <f aca="false">SUM(U64:U75)</f>
        <v>632718.276</v>
      </c>
      <c r="V76" s="48" t="n">
        <f aca="false">SUM(V64:V75)</f>
        <v>623966.244</v>
      </c>
      <c r="W76" s="48" t="n">
        <f aca="false">SUM(W64:W75)</f>
        <v>615214.212</v>
      </c>
      <c r="X76" s="48" t="n">
        <f aca="false">SUM(X64:X75)</f>
        <v>0</v>
      </c>
    </row>
    <row r="77" customFormat="false" ht="18.75" hidden="false" customHeight="true" outlineLevel="0" collapsed="false">
      <c r="B77" s="45" t="s">
        <v>39</v>
      </c>
      <c r="C77" s="44"/>
      <c r="D77" s="149" t="n">
        <f aca="false">-D76*0.2</f>
        <v>-205618.764</v>
      </c>
      <c r="E77" s="149" t="n">
        <f aca="false">-E76*0.2</f>
        <v>-145828.1576</v>
      </c>
      <c r="F77" s="149" t="n">
        <f aca="false">-F76*0.2</f>
        <v>-144077.7512</v>
      </c>
      <c r="G77" s="149" t="n">
        <f aca="false">-G76*0.2</f>
        <v>-142327.3448</v>
      </c>
      <c r="H77" s="149" t="n">
        <f aca="false">-H76*0.2</f>
        <v>-140576.9384</v>
      </c>
      <c r="I77" s="149" t="n">
        <f aca="false">-I76*0.2</f>
        <v>-138826.532</v>
      </c>
      <c r="J77" s="149" t="n">
        <f aca="false">-J76*0.2</f>
        <v>-137076.1256</v>
      </c>
      <c r="K77" s="149" t="n">
        <f aca="false">-K76*0.2</f>
        <v>-135325.7192</v>
      </c>
      <c r="L77" s="149" t="n">
        <f aca="false">-L76*0.2</f>
        <v>-133575.3128</v>
      </c>
      <c r="M77" s="149" t="n">
        <f aca="false">-M76*0.2</f>
        <v>-131824.9064</v>
      </c>
      <c r="N77" s="149" t="n">
        <f aca="false">-N76*0.2</f>
        <v>-138796.5</v>
      </c>
      <c r="O77" s="149" t="n">
        <f aca="false">-O76*0.2</f>
        <v>-137046.0936</v>
      </c>
      <c r="P77" s="149" t="n">
        <f aca="false">-P76*0.2</f>
        <v>-135295.6872</v>
      </c>
      <c r="Q77" s="149" t="n">
        <f aca="false">-Q76*0.2</f>
        <v>-133545.2808</v>
      </c>
      <c r="R77" s="149" t="n">
        <f aca="false">-R76*0.2</f>
        <v>-131794.8744</v>
      </c>
      <c r="S77" s="149" t="n">
        <f aca="false">-S76*0.2</f>
        <v>-130044.468</v>
      </c>
      <c r="T77" s="149" t="n">
        <f aca="false">-T76*0.2</f>
        <v>-128294.0616</v>
      </c>
      <c r="U77" s="149" t="n">
        <f aca="false">-U76*0.2</f>
        <v>-126543.6552</v>
      </c>
      <c r="V77" s="149" t="n">
        <f aca="false">-V76*0.2</f>
        <v>-124793.2488</v>
      </c>
      <c r="W77" s="149" t="n">
        <f aca="false">-W76*0.2</f>
        <v>-123042.8424</v>
      </c>
      <c r="X77" s="149" t="n">
        <f aca="false">-X76*0.2</f>
        <v>-0</v>
      </c>
    </row>
    <row r="78" customFormat="false" ht="15.75" hidden="false" customHeight="true" outlineLevel="0" collapsed="false">
      <c r="B78" s="65" t="s">
        <v>47</v>
      </c>
      <c r="D78" s="149" t="n">
        <f aca="false">SUM(D76:D77)</f>
        <v>822475.056</v>
      </c>
      <c r="E78" s="149" t="n">
        <f aca="false">SUM(E76:E77)</f>
        <v>583312.6304</v>
      </c>
      <c r="F78" s="149" t="n">
        <f aca="false">SUM(F76:F77)</f>
        <v>576311.0048</v>
      </c>
      <c r="G78" s="149" t="n">
        <f aca="false">SUM(G76:G77)</f>
        <v>569309.3792</v>
      </c>
      <c r="H78" s="149" t="n">
        <f aca="false">SUM(H76:H77)</f>
        <v>562307.7536</v>
      </c>
      <c r="I78" s="149" t="n">
        <f aca="false">SUM(I76:I77)</f>
        <v>555306.128</v>
      </c>
      <c r="J78" s="149" t="n">
        <f aca="false">SUM(J76:J77)</f>
        <v>548304.5024</v>
      </c>
      <c r="K78" s="149" t="n">
        <f aca="false">SUM(K76:K77)</f>
        <v>541302.8768</v>
      </c>
      <c r="L78" s="149" t="n">
        <f aca="false">SUM(L76:L77)</f>
        <v>534301.2512</v>
      </c>
      <c r="M78" s="149" t="n">
        <f aca="false">SUM(M76:M77)</f>
        <v>527299.6256</v>
      </c>
      <c r="N78" s="149" t="n">
        <f aca="false">SUM(N76:N77)</f>
        <v>555186</v>
      </c>
      <c r="O78" s="149" t="n">
        <f aca="false">SUM(O76:O77)</f>
        <v>548184.3744</v>
      </c>
      <c r="P78" s="149" t="n">
        <f aca="false">SUM(P76:P77)</f>
        <v>541182.7488</v>
      </c>
      <c r="Q78" s="149" t="n">
        <f aca="false">SUM(Q76:Q77)</f>
        <v>534181.1232</v>
      </c>
      <c r="R78" s="149" t="n">
        <f aca="false">SUM(R76:R77)</f>
        <v>527179.4976</v>
      </c>
      <c r="S78" s="149" t="n">
        <f aca="false">SUM(S76:S77)</f>
        <v>520177.872</v>
      </c>
      <c r="T78" s="149" t="n">
        <f aca="false">SUM(T76:T77)</f>
        <v>513176.2464</v>
      </c>
      <c r="U78" s="149" t="n">
        <f aca="false">SUM(U76:U77)</f>
        <v>506174.6208</v>
      </c>
      <c r="V78" s="149" t="n">
        <f aca="false">SUM(V76:V77)</f>
        <v>499172.9952</v>
      </c>
      <c r="W78" s="149" t="n">
        <f aca="false">SUM(W76:W77)</f>
        <v>492171.3696</v>
      </c>
      <c r="X78" s="149" t="n">
        <f aca="false">SUM(X76:X77)</f>
        <v>0</v>
      </c>
    </row>
    <row r="79" customFormat="false" ht="18.75" hidden="false" customHeight="true" outlineLevel="0" collapsed="false">
      <c r="B79" s="49" t="s">
        <v>41</v>
      </c>
      <c r="C79" s="52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7"/>
    </row>
    <row r="80" customFormat="false" ht="18.75" hidden="false" customHeight="true" outlineLevel="0" collapsed="false">
      <c r="B80" s="68" t="s">
        <v>42</v>
      </c>
      <c r="C80" s="69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9"/>
    </row>
    <row r="81" customFormat="false" ht="18.75" hidden="false" customHeight="true" outlineLevel="0" collapsed="false">
      <c r="B81" s="58"/>
      <c r="C81" s="57"/>
      <c r="D81" s="57"/>
      <c r="E81" s="57"/>
      <c r="F81" s="58"/>
      <c r="G81" s="58"/>
      <c r="H81" s="58"/>
      <c r="I81" s="58"/>
      <c r="J81" s="58"/>
      <c r="K81" s="58"/>
      <c r="L81" s="58"/>
      <c r="M81" s="57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2026-04-16T05:37:58Z</dcterms:created>
  <dc:creator>openpyxl</dc:creator>
  <dc:description/>
  <dc:language>zh-TW</dc:language>
  <cp:lastModifiedBy/>
  <dcterms:modified xsi:type="dcterms:W3CDTF">2026-04-16T05:48:02Z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