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name="工作表1" sheetId="1" state="visible" r:id="rId1"/>
    <sheet name="滾算紀錄單(總紀錄)" sheetId="2" state="visible" r:id="rId2"/>
    <sheet name="滾算紀錄1" sheetId="3" state="visible" r:id="rId3"/>
    <sheet name="滾算紀錄2" sheetId="4" state="visible" r:id="rId4"/>
    <sheet name="滾算紀錄3" sheetId="5" state="visible" r:id="rId5"/>
    <sheet name="滾算紀錄4" sheetId="6" state="visible" r:id="rId6"/>
    <sheet name="滾算紀錄5" sheetId="7" state="visible" r:id="rId7"/>
    <sheet name="滾算紀錄6" sheetId="8" state="visible" r:id="rId8"/>
    <sheet name="滾算紀錄7" sheetId="9" state="visible" r:id="rId9"/>
    <sheet name="滾算紀錄8" sheetId="10" state="visible" r:id="rId10"/>
    <sheet name="滾算紀錄9" sheetId="11" state="visible" r:id="rId11"/>
    <sheet name="滾算紀錄10" sheetId="12" state="visible" r:id="rId12"/>
    <sheet name="滾算紀錄11" sheetId="13" state="visible" r:id="rId13"/>
    <sheet name="滾算紀錄12" sheetId="14" state="visible" r:id="rId14"/>
    <sheet name="滾算紀錄13" sheetId="15" state="visible" r:id="rId15"/>
    <sheet name="滾算紀錄14" sheetId="16" state="visible" r:id="rId16"/>
    <sheet name="滾算紀錄15" sheetId="17" state="visible" r:id="rId17"/>
    <sheet name="滾算紀錄16" sheetId="18" state="visible" r:id="rId18"/>
  </sheets>
  <definedNames/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"/>
    <numFmt numFmtId="165" formatCode="#,##0.00%"/>
    <numFmt numFmtId="166" formatCode="0.00_);[Red]\(0.00\)"/>
    <numFmt numFmtId="167" formatCode="0_);[Red]\(0\)"/>
    <numFmt numFmtId="168" formatCode="&quot;$&quot;#,##0.00_);[Red]\(&quot;$&quot;#,##0.00\)"/>
    <numFmt numFmtId="169" formatCode="&quot;$&quot;#,##0_);[Red]\(&quot;$&quot;#,##0\)"/>
    <numFmt numFmtId="170" formatCode="0.00000%"/>
    <numFmt numFmtId="171" formatCode="_-&quot;$&quot;* #,##0_-;\-&quot;$&quot;* #,##0_-;_-&quot;$&quot;* &quot;-&quot;??_-;_-@_-"/>
    <numFmt numFmtId="172" formatCode="0.0000%"/>
    <numFmt numFmtId="173" formatCode="0.000%"/>
  </numFmts>
  <fonts count="36">
    <font>
      <name val="新細明體"/>
      <family val="2"/>
      <color theme="1"/>
      <sz val="11"/>
      <scheme val="minor"/>
    </font>
    <font>
      <name val="微軟正黑體"/>
      <charset val="136"/>
      <family val="2"/>
      <b val="1"/>
      <color theme="0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  <font>
      <name val="微軟正黑體"/>
      <charset val="136"/>
      <family val="2"/>
      <color theme="1"/>
      <sz val="12"/>
    </font>
    <font>
      <name val="Calibri"/>
      <charset val="136"/>
      <family val="2"/>
      <color theme="1"/>
      <sz val="12"/>
    </font>
    <font>
      <name val="Calibri"/>
      <family val="2"/>
      <color theme="1"/>
      <sz val="12"/>
    </font>
    <font>
      <name val="Calibri"/>
      <family val="2"/>
      <b val="1"/>
      <color theme="0"/>
      <sz val="12"/>
    </font>
    <font>
      <name val="微軟正黑體"/>
      <family val="2"/>
      <color rgb="FF000000"/>
      <sz val="12"/>
    </font>
    <font>
      <name val="新細明體"/>
      <family val="2"/>
      <color theme="1"/>
      <sz val="12"/>
    </font>
    <font>
      <name val="新細明體"/>
      <family val="2"/>
      <color rgb="FFFFFFFF"/>
      <sz val="12"/>
    </font>
    <font>
      <name val="Arial"/>
      <family val="2"/>
      <b val="1"/>
      <color theme="1"/>
      <sz val="14"/>
    </font>
    <font>
      <name val="微軟正黑體"/>
      <family val="2"/>
      <b val="1"/>
      <color theme="1"/>
      <sz val="14"/>
    </font>
    <font>
      <name val="微軟正黑體"/>
      <family val="2"/>
      <color theme="1"/>
      <sz val="12"/>
    </font>
    <font>
      <name val="Arial"/>
      <family val="2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000000"/>
      <sz val="12"/>
    </font>
    <font>
      <name val="細明體"/>
      <family val="2"/>
      <color rgb="FF000000"/>
      <sz val="12"/>
    </font>
    <font>
      <name val="Arial"/>
      <family val="2"/>
      <color rgb="FF000080"/>
      <sz val="12"/>
    </font>
    <font>
      <name val="新細明體"/>
      <family val="2"/>
      <color rgb="FF000000"/>
      <sz val="12"/>
    </font>
    <font>
      <name val="細明體"/>
      <family val="2"/>
      <b val="1"/>
      <color rgb="FF000000"/>
      <sz val="12"/>
    </font>
    <font>
      <name val="Arial"/>
      <family val="2"/>
      <b val="1"/>
      <color theme="1"/>
      <sz val="12"/>
    </font>
    <font>
      <name val="Arial"/>
      <family val="2"/>
      <b val="1"/>
      <color rgb="FF993366"/>
      <sz val="12"/>
    </font>
    <font>
      <name val="Arial"/>
      <family val="2"/>
      <b val="1"/>
      <color rgb="FF000000"/>
      <sz val="12"/>
    </font>
    <font>
      <name val="新細明體"/>
      <family val="2"/>
      <b val="1"/>
      <color theme="1"/>
      <sz val="12"/>
    </font>
    <font>
      <name val="細明體"/>
      <family val="2"/>
      <b val="1"/>
      <color theme="1"/>
      <sz val="12"/>
    </font>
    <font>
      <name val="新細明體"/>
      <family val="2"/>
      <color rgb="FF000000"/>
      <sz val="10"/>
    </font>
    <font>
      <name val="微軟正黑體"/>
      <family val="2"/>
      <b val="1"/>
      <color rgb="FFFFFFFF"/>
      <sz val="12"/>
    </font>
    <font>
      <name val="新細明體"/>
      <family val="2"/>
      <color theme="0" tint="-0.1499984740745262"/>
      <sz val="11"/>
      <scheme val="minor"/>
    </font>
    <font>
      <name val="Calibri"/>
      <family val="2"/>
      <color rgb="FF000000"/>
      <sz val="12"/>
    </font>
    <font>
      <name val="Calibri"/>
      <family val="2"/>
      <b val="1"/>
      <color rgb="FFFFFFFF"/>
      <sz val="12"/>
    </font>
    <font>
      <name val="Calibri"/>
      <family val="2"/>
      <color theme="1"/>
      <sz val="11"/>
    </font>
    <font>
      <name val="Arial"/>
      <family val="2"/>
      <sz val="12"/>
    </font>
    <font>
      <name val="細明體"/>
      <charset val="136"/>
      <family val="3"/>
      <b val="1"/>
      <color rgb="FF000000"/>
      <sz val="12"/>
    </font>
    <font>
      <name val="新細明體"/>
      <charset val="136"/>
      <family val="1"/>
      <b val="1"/>
      <color theme="1"/>
      <sz val="12"/>
    </font>
    <font>
      <name val="新細明體"/>
      <charset val="136"/>
      <family val="1"/>
      <b val="1"/>
      <color theme="1"/>
      <sz val="11"/>
      <scheme val="minor"/>
    </font>
  </fonts>
  <fills count="17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rgb="FF376092"/>
      </patternFill>
    </fill>
    <fill>
      <patternFill patternType="solid">
        <fgColor rgb="FFFFFF00"/>
      </patternFill>
    </fill>
    <fill>
      <patternFill patternType="solid">
        <fgColor rgb="FFFFCC00"/>
      </patternFill>
    </fill>
    <fill>
      <patternFill patternType="solid">
        <fgColor rgb="FF00CCFF"/>
      </patternFill>
    </fill>
    <fill>
      <patternFill patternType="solid">
        <fgColor rgb="FFFF0000"/>
      </patternFill>
    </fill>
    <fill>
      <patternFill patternType="solid">
        <fgColor rgb="FF2F75B5"/>
      </patternFill>
    </fill>
    <fill>
      <patternFill patternType="solid">
        <fgColor rgb="FFFFCCCC"/>
      </patternFill>
    </fill>
    <fill>
      <patternFill patternType="solid">
        <fgColor rgb="FF9BC2E6"/>
      </patternFill>
    </fill>
    <fill>
      <patternFill patternType="solid">
        <fgColor rgb="FF0070C0"/>
      </patternFill>
    </fill>
    <fill>
      <patternFill patternType="solid">
        <fgColor rgb="FFDCE6F2"/>
      </patternFill>
    </fill>
    <fill>
      <patternFill patternType="solid">
        <fgColor rgb="FFD99694"/>
      </patternFill>
    </fill>
  </fills>
  <borders count="5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73">
    <xf numFmtId="0" fontId="0" fillId="0" borderId="0" pivotButton="0" quotePrefix="0" xfId="0"/>
    <xf numFmtId="0" fontId="4" fillId="0" borderId="4" applyAlignment="1" pivotButton="0" quotePrefix="0" xfId="0">
      <alignment vertical="center"/>
    </xf>
    <xf numFmtId="0" fontId="5" fillId="0" borderId="4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4" fillId="0" borderId="5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4" fillId="0" borderId="10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9" fontId="6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10" fontId="6" fillId="0" borderId="5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1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3" fontId="0" fillId="0" borderId="0" pivotButton="0" quotePrefix="0" xfId="0"/>
    <xf numFmtId="4" fontId="0" fillId="0" borderId="0" pivotButton="0" quotePrefix="0" xfId="0"/>
    <xf numFmtId="4" fontId="9" fillId="0" borderId="0" applyAlignment="1" pivotButton="0" quotePrefix="0" xfId="0">
      <alignment horizontal="left"/>
    </xf>
    <xf numFmtId="3" fontId="10" fillId="6" borderId="14" applyAlignment="1" pivotButton="0" quotePrefix="0" xfId="0">
      <alignment horizontal="center"/>
    </xf>
    <xf numFmtId="0" fontId="10" fillId="6" borderId="14" applyAlignment="1" pivotButton="0" quotePrefix="0" xfId="0">
      <alignment horizontal="center"/>
    </xf>
    <xf numFmtId="4" fontId="11" fillId="0" borderId="16" applyAlignment="1" pivotButton="0" quotePrefix="0" xfId="0">
      <alignment horizontal="right"/>
    </xf>
    <xf numFmtId="3" fontId="12" fillId="0" borderId="17" applyAlignment="1" pivotButton="0" quotePrefix="0" xfId="0">
      <alignment horizontal="left"/>
    </xf>
    <xf numFmtId="3" fontId="12" fillId="0" borderId="18" applyAlignment="1" pivotButton="0" quotePrefix="0" xfId="0">
      <alignment horizontal="left"/>
    </xf>
    <xf numFmtId="3" fontId="13" fillId="7" borderId="19" applyAlignment="1" pivotButton="0" quotePrefix="0" xfId="0">
      <alignment horizontal="left"/>
    </xf>
    <xf numFmtId="3" fontId="9" fillId="0" borderId="18" applyAlignment="1" pivotButton="0" quotePrefix="0" xfId="0">
      <alignment horizontal="left"/>
    </xf>
    <xf numFmtId="3" fontId="9" fillId="8" borderId="19" applyAlignment="1" pivotButton="0" quotePrefix="0" xfId="0">
      <alignment horizontal="center"/>
    </xf>
    <xf numFmtId="0" fontId="9" fillId="0" borderId="20" applyAlignment="1" pivotButton="0" quotePrefix="0" xfId="0">
      <alignment horizontal="left"/>
    </xf>
    <xf numFmtId="4" fontId="14" fillId="0" borderId="21" applyAlignment="1" pivotButton="0" quotePrefix="0" xfId="0">
      <alignment horizontal="right"/>
    </xf>
    <xf numFmtId="3" fontId="14" fillId="0" borderId="15" applyAlignment="1" pivotButton="0" quotePrefix="0" xfId="0">
      <alignment horizontal="center"/>
    </xf>
    <xf numFmtId="3" fontId="14" fillId="0" borderId="0" applyAlignment="1" pivotButton="0" quotePrefix="0" xfId="0">
      <alignment horizontal="center"/>
    </xf>
    <xf numFmtId="3" fontId="15" fillId="0" borderId="0" applyAlignment="1" pivotButton="0" quotePrefix="0" xfId="0">
      <alignment horizontal="center"/>
    </xf>
    <xf numFmtId="0" fontId="14" fillId="0" borderId="22" applyAlignment="1" pivotButton="0" quotePrefix="0" xfId="0">
      <alignment horizontal="center"/>
    </xf>
    <xf numFmtId="4" fontId="16" fillId="0" borderId="23" applyAlignment="1" pivotButton="0" quotePrefix="0" xfId="0">
      <alignment horizontal="right"/>
    </xf>
    <xf numFmtId="3" fontId="14" fillId="5" borderId="24" applyAlignment="1" pivotButton="0" quotePrefix="0" xfId="0">
      <alignment horizontal="center"/>
    </xf>
    <xf numFmtId="4" fontId="16" fillId="9" borderId="25" applyAlignment="1" pivotButton="0" quotePrefix="0" xfId="0">
      <alignment horizontal="left"/>
    </xf>
    <xf numFmtId="3" fontId="14" fillId="0" borderId="17" applyAlignment="1" pivotButton="0" quotePrefix="0" xfId="0">
      <alignment horizontal="center"/>
    </xf>
    <xf numFmtId="3" fontId="14" fillId="0" borderId="18" applyAlignment="1" pivotButton="0" quotePrefix="0" xfId="0">
      <alignment horizontal="center"/>
    </xf>
    <xf numFmtId="3" fontId="14" fillId="0" borderId="20" applyAlignment="1" pivotButton="0" quotePrefix="0" xfId="0">
      <alignment horizontal="center"/>
    </xf>
    <xf numFmtId="4" fontId="16" fillId="9" borderId="26" applyAlignment="1" pivotButton="0" quotePrefix="0" xfId="0">
      <alignment horizontal="left"/>
    </xf>
    <xf numFmtId="3" fontId="14" fillId="0" borderId="22" applyAlignment="1" pivotButton="0" quotePrefix="0" xfId="0">
      <alignment horizontal="center"/>
    </xf>
    <xf numFmtId="4" fontId="16" fillId="9" borderId="27" applyAlignment="1" pivotButton="0" quotePrefix="0" xfId="0">
      <alignment horizontal="left"/>
    </xf>
    <xf numFmtId="3" fontId="14" fillId="0" borderId="28" applyAlignment="1" pivotButton="0" quotePrefix="0" xfId="0">
      <alignment horizontal="center"/>
    </xf>
    <xf numFmtId="3" fontId="14" fillId="0" borderId="29" applyAlignment="1" pivotButton="0" quotePrefix="0" xfId="0">
      <alignment horizontal="center"/>
    </xf>
    <xf numFmtId="3" fontId="14" fillId="0" borderId="30" applyAlignment="1" pivotButton="0" quotePrefix="0" xfId="0">
      <alignment horizontal="center"/>
    </xf>
    <xf numFmtId="4" fontId="16" fillId="10" borderId="26" applyAlignment="1" pivotButton="0" quotePrefix="0" xfId="0">
      <alignment horizontal="left"/>
    </xf>
    <xf numFmtId="3" fontId="14" fillId="7" borderId="14" applyAlignment="1" pivotButton="0" quotePrefix="0" xfId="0">
      <alignment horizontal="center"/>
    </xf>
    <xf numFmtId="3" fontId="9" fillId="0" borderId="15" applyAlignment="1" pivotButton="0" quotePrefix="0" xfId="0">
      <alignment horizontal="left"/>
    </xf>
    <xf numFmtId="3" fontId="9" fillId="0" borderId="31" applyAlignment="1" pivotButton="0" quotePrefix="0" xfId="0">
      <alignment horizontal="left"/>
    </xf>
    <xf numFmtId="3" fontId="9" fillId="0" borderId="0" applyAlignment="1" pivotButton="0" quotePrefix="0" xfId="0">
      <alignment horizontal="left"/>
    </xf>
    <xf numFmtId="4" fontId="17" fillId="10" borderId="26" applyAlignment="1" pivotButton="0" quotePrefix="0" xfId="0">
      <alignment horizontal="left"/>
    </xf>
    <xf numFmtId="3" fontId="9" fillId="0" borderId="0" applyAlignment="1" pivotButton="0" quotePrefix="0" xfId="0">
      <alignment horizontal="center"/>
    </xf>
    <xf numFmtId="4" fontId="16" fillId="10" borderId="26" applyAlignment="1" pivotButton="0" quotePrefix="0" xfId="0">
      <alignment horizontal="right"/>
    </xf>
    <xf numFmtId="0" fontId="9" fillId="0" borderId="22" applyAlignment="1" pivotButton="0" quotePrefix="0" xfId="0">
      <alignment horizontal="center"/>
    </xf>
    <xf numFmtId="4" fontId="17" fillId="0" borderId="16" applyAlignment="1" pivotButton="0" quotePrefix="0" xfId="0">
      <alignment horizontal="right"/>
    </xf>
    <xf numFmtId="3" fontId="18" fillId="0" borderId="18" applyAlignment="1" pivotButton="0" quotePrefix="0" xfId="0">
      <alignment horizontal="center"/>
    </xf>
    <xf numFmtId="3" fontId="18" fillId="0" borderId="32" applyAlignment="1" pivotButton="0" quotePrefix="0" xfId="0">
      <alignment horizontal="center"/>
    </xf>
    <xf numFmtId="3" fontId="18" fillId="0" borderId="20" applyAlignment="1" pivotButton="0" quotePrefix="0" xfId="0">
      <alignment horizontal="center"/>
    </xf>
    <xf numFmtId="0" fontId="19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4" fontId="20" fillId="0" borderId="23" applyAlignment="1" pivotButton="0" quotePrefix="0" xfId="0">
      <alignment horizontal="right"/>
    </xf>
    <xf numFmtId="3" fontId="21" fillId="0" borderId="28" applyAlignment="1" pivotButton="0" quotePrefix="0" xfId="0">
      <alignment horizontal="center"/>
    </xf>
    <xf numFmtId="3" fontId="21" fillId="0" borderId="29" applyAlignment="1" pivotButton="0" quotePrefix="0" xfId="0">
      <alignment horizontal="center"/>
    </xf>
    <xf numFmtId="3" fontId="21" fillId="0" borderId="30" applyAlignment="1" pivotButton="0" quotePrefix="0" xfId="0">
      <alignment horizontal="center"/>
    </xf>
    <xf numFmtId="4" fontId="16" fillId="0" borderId="21" applyAlignment="1" pivotButton="0" quotePrefix="0" xfId="0">
      <alignment horizontal="left"/>
    </xf>
    <xf numFmtId="3" fontId="22" fillId="0" borderId="15" applyAlignment="1" pivotButton="0" quotePrefix="0" xfId="0">
      <alignment horizontal="center"/>
    </xf>
    <xf numFmtId="3" fontId="22" fillId="0" borderId="0" applyAlignment="1" pivotButton="0" quotePrefix="0" xfId="0">
      <alignment horizontal="center"/>
    </xf>
    <xf numFmtId="3" fontId="16" fillId="0" borderId="0" applyAlignment="1" pivotButton="0" quotePrefix="0" xfId="0">
      <alignment horizontal="center"/>
    </xf>
    <xf numFmtId="3" fontId="16" fillId="0" borderId="22" applyAlignment="1" pivotButton="0" quotePrefix="0" xfId="0">
      <alignment horizontal="center"/>
    </xf>
    <xf numFmtId="3" fontId="9" fillId="0" borderId="15" applyAlignment="1" pivotButton="0" quotePrefix="0" xfId="0">
      <alignment horizontal="center"/>
    </xf>
    <xf numFmtId="3" fontId="9" fillId="0" borderId="22" applyAlignment="1" pivotButton="0" quotePrefix="0" xfId="0">
      <alignment horizontal="center"/>
    </xf>
    <xf numFmtId="4" fontId="23" fillId="0" borderId="33" applyAlignment="1" pivotButton="0" quotePrefix="0" xfId="0">
      <alignment horizontal="left"/>
    </xf>
    <xf numFmtId="3" fontId="24" fillId="0" borderId="13" applyAlignment="1" pivotButton="0" quotePrefix="0" xfId="0">
      <alignment horizontal="center"/>
    </xf>
    <xf numFmtId="3" fontId="24" fillId="0" borderId="34" applyAlignment="1" pivotButton="0" quotePrefix="0" xfId="0">
      <alignment horizontal="center"/>
    </xf>
    <xf numFmtId="3" fontId="24" fillId="0" borderId="35" applyAlignment="1" pivotButton="0" quotePrefix="0" xfId="0">
      <alignment horizontal="center"/>
    </xf>
    <xf numFmtId="4" fontId="21" fillId="0" borderId="21" applyAlignment="1" pivotButton="0" quotePrefix="0" xfId="0">
      <alignment horizontal="left"/>
    </xf>
    <xf numFmtId="3" fontId="24" fillId="0" borderId="15" applyAlignment="1" pivotButton="0" quotePrefix="0" xfId="0">
      <alignment horizontal="center"/>
    </xf>
    <xf numFmtId="3" fontId="24" fillId="0" borderId="0" applyAlignment="1" pivotButton="0" quotePrefix="0" xfId="0">
      <alignment horizontal="center"/>
    </xf>
    <xf numFmtId="4" fontId="21" fillId="0" borderId="0" applyAlignment="1" pivotButton="0" quotePrefix="0" xfId="0">
      <alignment horizontal="center"/>
    </xf>
    <xf numFmtId="4" fontId="21" fillId="0" borderId="22" applyAlignment="1" pivotButton="0" quotePrefix="0" xfId="0">
      <alignment horizontal="center"/>
    </xf>
    <xf numFmtId="4" fontId="25" fillId="0" borderId="23" applyAlignment="1" pivotButton="0" quotePrefix="0" xfId="0">
      <alignment horizontal="right"/>
    </xf>
    <xf numFmtId="3" fontId="24" fillId="0" borderId="28" applyAlignment="1" pivotButton="0" quotePrefix="0" xfId="0">
      <alignment horizontal="center"/>
    </xf>
    <xf numFmtId="3" fontId="21" fillId="0" borderId="36" applyAlignment="1" pivotButton="0" quotePrefix="0" xfId="0">
      <alignment horizontal="center"/>
    </xf>
    <xf numFmtId="4" fontId="21" fillId="0" borderId="37" applyAlignment="1" pivotButton="0" quotePrefix="0" xfId="0">
      <alignment horizontal="center"/>
    </xf>
    <xf numFmtId="164" fontId="9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/>
    </xf>
    <xf numFmtId="3" fontId="9" fillId="0" borderId="0" applyAlignment="1" pivotButton="0" quotePrefix="0" xfId="0">
      <alignment horizontal="right"/>
    </xf>
    <xf numFmtId="3" fontId="10" fillId="11" borderId="14" applyAlignment="1" pivotButton="0" quotePrefix="0" xfId="0">
      <alignment horizontal="left"/>
    </xf>
    <xf numFmtId="3" fontId="10" fillId="11" borderId="14" applyAlignment="1" pivotButton="0" quotePrefix="0" xfId="0">
      <alignment horizontal="center"/>
    </xf>
    <xf numFmtId="0" fontId="16" fillId="0" borderId="0" applyAlignment="1" pivotButton="0" quotePrefix="0" xfId="0">
      <alignment horizontal="left"/>
    </xf>
    <xf numFmtId="4" fontId="8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" fontId="8" fillId="0" borderId="0" applyAlignment="1" pivotButton="0" quotePrefix="0" xfId="0">
      <alignment horizontal="left"/>
    </xf>
    <xf numFmtId="3" fontId="8" fillId="0" borderId="0" applyAlignment="1" pivotButton="0" quotePrefix="0" xfId="0">
      <alignment horizontal="left"/>
    </xf>
    <xf numFmtId="3" fontId="8" fillId="12" borderId="14" applyAlignment="1" pivotButton="0" quotePrefix="0" xfId="0">
      <alignment horizontal="left"/>
    </xf>
    <xf numFmtId="3" fontId="8" fillId="0" borderId="34" applyAlignment="1" pivotButton="0" quotePrefix="0" xfId="0">
      <alignment horizontal="left"/>
    </xf>
    <xf numFmtId="3" fontId="16" fillId="0" borderId="0" applyAlignment="1" pivotButton="0" quotePrefix="0" xfId="0">
      <alignment horizontal="right"/>
    </xf>
    <xf numFmtId="3" fontId="8" fillId="0" borderId="0" applyAlignment="1" pivotButton="0" quotePrefix="0" xfId="0">
      <alignment horizontal="right"/>
    </xf>
    <xf numFmtId="4" fontId="8" fillId="0" borderId="38" applyAlignment="1" pivotButton="0" quotePrefix="0" xfId="0">
      <alignment horizontal="left"/>
    </xf>
    <xf numFmtId="3" fontId="8" fillId="0" borderId="38" applyAlignment="1" pivotButton="0" quotePrefix="0" xfId="0">
      <alignment horizontal="right"/>
    </xf>
    <xf numFmtId="3" fontId="8" fillId="0" borderId="38" applyAlignment="1" pivotButton="0" quotePrefix="0" xfId="0">
      <alignment horizontal="left"/>
    </xf>
    <xf numFmtId="3" fontId="8" fillId="13" borderId="14" applyAlignment="1" pivotButton="0" quotePrefix="0" xfId="0">
      <alignment horizontal="left"/>
    </xf>
    <xf numFmtId="4" fontId="8" fillId="0" borderId="39" applyAlignment="1" pivotButton="0" quotePrefix="0" xfId="0">
      <alignment horizontal="left"/>
    </xf>
    <xf numFmtId="3" fontId="8" fillId="0" borderId="39" applyAlignment="1" pivotButton="0" quotePrefix="0" xfId="0">
      <alignment horizontal="right"/>
    </xf>
    <xf numFmtId="3" fontId="8" fillId="0" borderId="3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4" fontId="8" fillId="0" borderId="34" applyAlignment="1" pivotButton="0" quotePrefix="0" xfId="0">
      <alignment horizontal="left"/>
    </xf>
    <xf numFmtId="3" fontId="8" fillId="0" borderId="34" applyAlignment="1" pivotButton="0" quotePrefix="0" xfId="0">
      <alignment horizontal="right"/>
    </xf>
    <xf numFmtId="3" fontId="8" fillId="5" borderId="40" applyAlignment="1" pivotButton="0" quotePrefix="0" xfId="0">
      <alignment horizontal="left"/>
    </xf>
    <xf numFmtId="3" fontId="8" fillId="7" borderId="14" applyAlignment="1" pivotButton="0" quotePrefix="0" xfId="0">
      <alignment horizontal="left"/>
    </xf>
    <xf numFmtId="165" fontId="8" fillId="0" borderId="0" applyAlignment="1" pivotButton="0" quotePrefix="0" xfId="0">
      <alignment horizontal="right"/>
    </xf>
    <xf numFmtId="4" fontId="26" fillId="0" borderId="0" applyAlignment="1" pivotButton="0" quotePrefix="0" xfId="0">
      <alignment horizontal="left"/>
    </xf>
    <xf numFmtId="0" fontId="6" fillId="0" borderId="11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1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12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" fillId="2" borderId="4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7" fillId="2" borderId="41" applyAlignment="1" pivotButton="0" quotePrefix="0" xfId="0">
      <alignment horizontal="center" vertical="center"/>
    </xf>
    <xf numFmtId="0" fontId="6" fillId="3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1" pivotButton="0" quotePrefix="0" xfId="0"/>
    <xf numFmtId="0" fontId="6" fillId="4" borderId="41" applyAlignment="1" pivotButton="0" quotePrefix="0" xfId="0">
      <alignment horizontal="center" vertical="center"/>
    </xf>
    <xf numFmtId="0" fontId="0" fillId="0" borderId="4" pivotButton="0" quotePrefix="0" xfId="0"/>
    <xf numFmtId="164" fontId="9" fillId="0" borderId="0" applyAlignment="1" pivotButton="0" quotePrefix="0" xfId="0">
      <alignment horizontal="right"/>
    </xf>
    <xf numFmtId="165" fontId="8" fillId="0" borderId="0" applyAlignment="1" pivotButton="0" quotePrefix="0" xfId="0">
      <alignment horizontal="right"/>
    </xf>
    <xf numFmtId="10" fontId="0" fillId="0" borderId="0" pivotButton="0" quotePrefix="0" xfId="0"/>
    <xf numFmtId="166" fontId="27" fillId="14" borderId="44" applyAlignment="1" pivotButton="0" quotePrefix="0" xfId="0">
      <alignment horizontal="center"/>
    </xf>
    <xf numFmtId="0" fontId="0" fillId="0" borderId="36" pivotButton="0" quotePrefix="0" xfId="0"/>
    <xf numFmtId="0" fontId="0" fillId="0" borderId="45" pivotButton="0" quotePrefix="0" xfId="0"/>
    <xf numFmtId="166" fontId="28" fillId="0" borderId="0" pivotButton="0" quotePrefix="0" xfId="0"/>
    <xf numFmtId="166" fontId="8" fillId="0" borderId="46" applyAlignment="1" pivotButton="0" quotePrefix="0" xfId="0">
      <alignment horizontal="left"/>
    </xf>
    <xf numFmtId="166" fontId="29" fillId="0" borderId="46" applyAlignment="1" pivotButton="0" quotePrefix="0" xfId="0">
      <alignment horizontal="left"/>
    </xf>
    <xf numFmtId="166" fontId="29" fillId="0" borderId="46" applyAlignment="1" pivotButton="0" quotePrefix="0" xfId="0">
      <alignment horizontal="center"/>
    </xf>
    <xf numFmtId="166" fontId="8" fillId="0" borderId="13" applyAlignment="1" pivotButton="0" quotePrefix="0" xfId="0">
      <alignment horizontal="left"/>
    </xf>
    <xf numFmtId="166" fontId="29" fillId="0" borderId="13" applyAlignment="1" pivotButton="0" quotePrefix="0" xfId="0">
      <alignment horizontal="left"/>
    </xf>
    <xf numFmtId="166" fontId="29" fillId="0" borderId="13" applyAlignment="1" pivotButton="0" quotePrefix="0" xfId="0">
      <alignment horizontal="center"/>
    </xf>
    <xf numFmtId="166" fontId="29" fillId="0" borderId="0" applyAlignment="1" pivotButton="0" quotePrefix="0" xfId="0">
      <alignment horizontal="left"/>
    </xf>
    <xf numFmtId="166" fontId="30" fillId="14" borderId="44" applyAlignment="1" pivotButton="0" quotePrefix="0" xfId="0">
      <alignment horizontal="center"/>
    </xf>
    <xf numFmtId="166" fontId="29" fillId="15" borderId="47" applyAlignment="1" pivotButton="0" quotePrefix="0" xfId="0">
      <alignment horizontal="center"/>
    </xf>
    <xf numFmtId="0" fontId="0" fillId="0" borderId="48" pivotButton="0" quotePrefix="0" xfId="0"/>
    <xf numFmtId="0" fontId="0" fillId="0" borderId="49" pivotButton="0" quotePrefix="0" xfId="0"/>
    <xf numFmtId="166" fontId="29" fillId="0" borderId="50" applyAlignment="1" pivotButton="0" quotePrefix="0" xfId="0">
      <alignment horizontal="left"/>
    </xf>
    <xf numFmtId="166" fontId="29" fillId="0" borderId="51" applyAlignment="1" pivotButton="0" quotePrefix="0" xfId="0">
      <alignment horizontal="left"/>
    </xf>
    <xf numFmtId="166" fontId="8" fillId="0" borderId="52" applyAlignment="1" pivotButton="0" quotePrefix="0" xfId="0">
      <alignment horizontal="left"/>
    </xf>
    <xf numFmtId="166" fontId="29" fillId="0" borderId="15" applyAlignment="1" pivotButton="0" quotePrefix="0" xfId="0">
      <alignment horizontal="left" vertical="top"/>
    </xf>
    <xf numFmtId="0" fontId="0" fillId="0" borderId="15" pivotButton="0" quotePrefix="0" xfId="0"/>
    <xf numFmtId="166" fontId="29" fillId="0" borderId="53" applyAlignment="1" pivotButton="0" quotePrefix="0" xfId="0">
      <alignment horizontal="left"/>
    </xf>
    <xf numFmtId="166" fontId="29" fillId="16" borderId="44" applyAlignment="1" pivotButton="0" quotePrefix="0" xfId="0">
      <alignment horizontal="center"/>
    </xf>
    <xf numFmtId="166" fontId="29" fillId="0" borderId="52" applyAlignment="1" pivotButton="0" quotePrefix="0" xfId="0">
      <alignment horizontal="left"/>
    </xf>
    <xf numFmtId="166" fontId="29" fillId="0" borderId="46" applyAlignment="1" pivotButton="0" quotePrefix="0" xfId="0">
      <alignment horizontal="left" vertical="top"/>
    </xf>
    <xf numFmtId="166" fontId="29" fillId="0" borderId="46" applyAlignment="1" pivotButton="0" quotePrefix="0" xfId="0">
      <alignment horizontal="center" vertical="top"/>
    </xf>
    <xf numFmtId="0" fontId="0" fillId="0" borderId="46" pivotButton="0" quotePrefix="0" xfId="0"/>
    <xf numFmtId="166" fontId="29" fillId="0" borderId="13" applyAlignment="1" pivotButton="0" quotePrefix="0" xfId="0">
      <alignment horizontal="left" vertical="top"/>
    </xf>
    <xf numFmtId="166" fontId="8" fillId="0" borderId="13" applyAlignment="1" pivotButton="0" quotePrefix="0" xfId="0">
      <alignment horizontal="left" wrapText="1"/>
    </xf>
    <xf numFmtId="166" fontId="31" fillId="0" borderId="0" applyAlignment="1" pivotButton="0" quotePrefix="0" xfId="0">
      <alignment horizontal="left"/>
    </xf>
    <xf numFmtId="166" fontId="11" fillId="0" borderId="16" applyAlignment="1" pivotButton="0" quotePrefix="0" xfId="0">
      <alignment horizontal="right"/>
    </xf>
    <xf numFmtId="166" fontId="12" fillId="0" borderId="17" applyAlignment="1" pivotButton="0" quotePrefix="0" xfId="0">
      <alignment horizontal="left"/>
    </xf>
    <xf numFmtId="166" fontId="12" fillId="0" borderId="18" applyAlignment="1" pivotButton="0" quotePrefix="0" xfId="0">
      <alignment horizontal="left"/>
    </xf>
    <xf numFmtId="166" fontId="13" fillId="0" borderId="19" applyAlignment="1" pivotButton="0" quotePrefix="0" xfId="0">
      <alignment horizontal="left"/>
    </xf>
    <xf numFmtId="166" fontId="9" fillId="0" borderId="18" applyAlignment="1" pivotButton="0" quotePrefix="0" xfId="0">
      <alignment horizontal="left"/>
    </xf>
    <xf numFmtId="166" fontId="9" fillId="0" borderId="19" applyAlignment="1" pivotButton="0" quotePrefix="0" xfId="0">
      <alignment horizontal="center"/>
    </xf>
    <xf numFmtId="166" fontId="9" fillId="0" borderId="20" applyAlignment="1" pivotButton="0" quotePrefix="0" xfId="0">
      <alignment horizontal="left"/>
    </xf>
    <xf numFmtId="0" fontId="14" fillId="0" borderId="21" applyAlignment="1" pivotButton="0" quotePrefix="0" xfId="0">
      <alignment horizontal="right"/>
    </xf>
    <xf numFmtId="0" fontId="14" fillId="0" borderId="15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32" fillId="0" borderId="0" applyAlignment="1" pivotButton="0" quotePrefix="0" xfId="0">
      <alignment horizontal="center"/>
    </xf>
    <xf numFmtId="166" fontId="16" fillId="0" borderId="23" applyAlignment="1" pivotButton="0" quotePrefix="0" xfId="0">
      <alignment horizontal="right"/>
    </xf>
    <xf numFmtId="166" fontId="14" fillId="0" borderId="15" applyAlignment="1" pivotButton="0" quotePrefix="0" xfId="0">
      <alignment horizontal="center"/>
    </xf>
    <xf numFmtId="167" fontId="14" fillId="0" borderId="0" applyAlignment="1" pivotButton="0" quotePrefix="0" xfId="0">
      <alignment horizontal="center"/>
    </xf>
    <xf numFmtId="166" fontId="14" fillId="5" borderId="24" applyAlignment="1" pivotButton="0" quotePrefix="0" xfId="0">
      <alignment horizontal="center"/>
    </xf>
    <xf numFmtId="168" fontId="16" fillId="9" borderId="25" applyAlignment="1" pivotButton="0" quotePrefix="0" xfId="0">
      <alignment horizontal="left"/>
    </xf>
    <xf numFmtId="168" fontId="14" fillId="0" borderId="17" applyAlignment="1" pivotButton="0" quotePrefix="0" xfId="0">
      <alignment horizontal="center"/>
    </xf>
    <xf numFmtId="169" fontId="14" fillId="0" borderId="18" applyAlignment="1" pivotButton="0" quotePrefix="0" xfId="0">
      <alignment horizontal="center"/>
    </xf>
    <xf numFmtId="168" fontId="14" fillId="0" borderId="20" applyAlignment="1" pivotButton="0" quotePrefix="0" xfId="0">
      <alignment horizontal="center"/>
    </xf>
    <xf numFmtId="168" fontId="16" fillId="9" borderId="26" applyAlignment="1" pivotButton="0" quotePrefix="0" xfId="0">
      <alignment horizontal="left"/>
    </xf>
    <xf numFmtId="168" fontId="14" fillId="0" borderId="15" applyAlignment="1" pivotButton="0" quotePrefix="0" xfId="0">
      <alignment horizontal="center"/>
    </xf>
    <xf numFmtId="168" fontId="14" fillId="0" borderId="0" applyAlignment="1" pivotButton="0" quotePrefix="0" xfId="0">
      <alignment horizontal="center"/>
    </xf>
    <xf numFmtId="168" fontId="14" fillId="0" borderId="22" applyAlignment="1" pivotButton="0" quotePrefix="0" xfId="0">
      <alignment horizontal="center"/>
    </xf>
    <xf numFmtId="168" fontId="16" fillId="9" borderId="27" applyAlignment="1" pivotButton="0" quotePrefix="0" xfId="0">
      <alignment horizontal="left"/>
    </xf>
    <xf numFmtId="168" fontId="14" fillId="0" borderId="28" applyAlignment="1" pivotButton="0" quotePrefix="0" xfId="0">
      <alignment horizontal="center"/>
    </xf>
    <xf numFmtId="168" fontId="14" fillId="0" borderId="29" applyAlignment="1" pivotButton="0" quotePrefix="0" xfId="0">
      <alignment horizontal="center"/>
    </xf>
    <xf numFmtId="168" fontId="14" fillId="0" borderId="30" applyAlignment="1" pivotButton="0" quotePrefix="0" xfId="0">
      <alignment horizontal="center"/>
    </xf>
    <xf numFmtId="168" fontId="16" fillId="10" borderId="26" applyAlignment="1" pivotButton="0" quotePrefix="0" xfId="0">
      <alignment horizontal="left"/>
    </xf>
    <xf numFmtId="169" fontId="14" fillId="0" borderId="15" applyAlignment="1" pivotButton="0" quotePrefix="0" xfId="0">
      <alignment horizontal="center"/>
    </xf>
    <xf numFmtId="169" fontId="14" fillId="0" borderId="0" applyAlignment="1" pivotButton="0" quotePrefix="0" xfId="0">
      <alignment horizontal="center"/>
    </xf>
    <xf numFmtId="168" fontId="9" fillId="0" borderId="15" applyAlignment="1" pivotButton="0" quotePrefix="0" xfId="0">
      <alignment horizontal="left"/>
    </xf>
    <xf numFmtId="168" fontId="17" fillId="10" borderId="26" applyAlignment="1" pivotButton="0" quotePrefix="0" xfId="0">
      <alignment horizontal="left"/>
    </xf>
    <xf numFmtId="168" fontId="33" fillId="0" borderId="16" applyAlignment="1" pivotButton="0" quotePrefix="0" xfId="0">
      <alignment horizontal="right"/>
    </xf>
    <xf numFmtId="169" fontId="21" fillId="0" borderId="28" applyAlignment="1" pivotButton="0" quotePrefix="0" xfId="0">
      <alignment horizontal="center"/>
    </xf>
    <xf numFmtId="169" fontId="18" fillId="0" borderId="32" applyAlignment="1" pivotButton="0" quotePrefix="0" xfId="0">
      <alignment horizontal="center"/>
    </xf>
    <xf numFmtId="168" fontId="18" fillId="0" borderId="32" applyAlignment="1" pivotButton="0" quotePrefix="0" xfId="0">
      <alignment horizontal="center"/>
    </xf>
    <xf numFmtId="168" fontId="19" fillId="0" borderId="0" applyAlignment="1" pivotButton="0" quotePrefix="0" xfId="0">
      <alignment horizontal="left"/>
    </xf>
    <xf numFmtId="168" fontId="19" fillId="0" borderId="0" applyAlignment="1" pivotButton="0" quotePrefix="0" xfId="0">
      <alignment horizontal="right"/>
    </xf>
    <xf numFmtId="168" fontId="20" fillId="0" borderId="23" applyAlignment="1" pivotButton="0" quotePrefix="0" xfId="0">
      <alignment horizontal="right"/>
    </xf>
    <xf numFmtId="169" fontId="21" fillId="0" borderId="29" applyAlignment="1" pivotButton="0" quotePrefix="0" xfId="0">
      <alignment horizontal="center"/>
    </xf>
    <xf numFmtId="168" fontId="25" fillId="0" borderId="23" applyAlignment="1" pivotButton="0" quotePrefix="0" xfId="0">
      <alignment horizontal="right"/>
    </xf>
    <xf numFmtId="168" fontId="24" fillId="0" borderId="28" applyAlignment="1" pivotButton="0" quotePrefix="0" xfId="0">
      <alignment horizontal="center"/>
    </xf>
    <xf numFmtId="169" fontId="21" fillId="0" borderId="36" applyAlignment="1" pivotButton="0" quotePrefix="0" xfId="0">
      <alignment horizontal="center"/>
    </xf>
    <xf numFmtId="168" fontId="21" fillId="0" borderId="36" applyAlignment="1" pivotButton="0" quotePrefix="0" xfId="0">
      <alignment horizontal="center"/>
    </xf>
    <xf numFmtId="166" fontId="34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right"/>
    </xf>
    <xf numFmtId="166" fontId="9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left"/>
    </xf>
    <xf numFmtId="166" fontId="9" fillId="8" borderId="19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169" fontId="14" fillId="7" borderId="14" applyAlignment="1" pivotButton="0" quotePrefix="0" xfId="0">
      <alignment horizontal="center"/>
    </xf>
    <xf numFmtId="168" fontId="9" fillId="0" borderId="31" applyAlignment="1" pivotButton="0" quotePrefix="0" xfId="0">
      <alignment horizontal="left"/>
    </xf>
    <xf numFmtId="168" fontId="9" fillId="0" borderId="0" applyAlignment="1" pivotButton="0" quotePrefix="0" xfId="0">
      <alignment horizontal="left"/>
    </xf>
    <xf numFmtId="168" fontId="18" fillId="0" borderId="18" applyAlignment="1" pivotButton="0" quotePrefix="0" xfId="0">
      <alignment horizontal="center"/>
    </xf>
    <xf numFmtId="168" fontId="35" fillId="0" borderId="0" applyAlignment="1" pivotButton="0" quotePrefix="0" xfId="0">
      <alignment horizontal="right"/>
    </xf>
    <xf numFmtId="168" fontId="21" fillId="0" borderId="28" applyAlignment="1" pivotButton="0" quotePrefix="0" xfId="0">
      <alignment horizontal="center"/>
    </xf>
    <xf numFmtId="168" fontId="21" fillId="0" borderId="29" applyAlignment="1" pivotButton="0" quotePrefix="0" xfId="0">
      <alignment horizontal="center"/>
    </xf>
    <xf numFmtId="168" fontId="21" fillId="0" borderId="30" applyAlignment="1" pivotButton="0" quotePrefix="0" xfId="0">
      <alignment horizontal="center"/>
    </xf>
    <xf numFmtId="166" fontId="25" fillId="0" borderId="23" applyAlignment="1" pivotButton="0" quotePrefix="0" xfId="0">
      <alignment horizontal="right"/>
    </xf>
    <xf numFmtId="166" fontId="24" fillId="0" borderId="28" applyAlignment="1" pivotButton="0" quotePrefix="0" xfId="0">
      <alignment horizontal="center"/>
    </xf>
    <xf numFmtId="166" fontId="21" fillId="0" borderId="36" applyAlignment="1" pivotButton="0" quotePrefix="0" xfId="0">
      <alignment horizontal="center"/>
    </xf>
    <xf numFmtId="166" fontId="21" fillId="0" borderId="37" applyAlignment="1" pivotButton="0" quotePrefix="0" xfId="0">
      <alignment horizontal="center"/>
    </xf>
    <xf numFmtId="0" fontId="10" fillId="11" borderId="14" applyAlignment="1" pivotButton="0" quotePrefix="0" xfId="0">
      <alignment horizontal="left"/>
    </xf>
    <xf numFmtId="0" fontId="10" fillId="11" borderId="14" applyAlignment="1" pivotButton="0" quotePrefix="0" xfId="0">
      <alignment horizontal="center"/>
    </xf>
    <xf numFmtId="166" fontId="1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168" fontId="8" fillId="0" borderId="0" applyAlignment="1" pivotButton="0" quotePrefix="0" xfId="0">
      <alignment horizontal="left"/>
    </xf>
    <xf numFmtId="169" fontId="8" fillId="0" borderId="0" applyAlignment="1" pivotButton="0" quotePrefix="0" xfId="0">
      <alignment horizontal="center"/>
    </xf>
    <xf numFmtId="169" fontId="8" fillId="12" borderId="14" applyAlignment="1" pivotButton="0" quotePrefix="0" xfId="0">
      <alignment horizontal="center"/>
    </xf>
    <xf numFmtId="169" fontId="8" fillId="0" borderId="14" applyAlignment="1" pivotButton="0" quotePrefix="0" xfId="0">
      <alignment horizontal="center"/>
    </xf>
    <xf numFmtId="169" fontId="8" fillId="0" borderId="34" applyAlignment="1" pivotButton="0" quotePrefix="0" xfId="0">
      <alignment horizontal="center"/>
    </xf>
    <xf numFmtId="168" fontId="16" fillId="0" borderId="0" applyAlignment="1" pivotButton="0" quotePrefix="0" xfId="0">
      <alignment horizontal="right"/>
    </xf>
    <xf numFmtId="168" fontId="8" fillId="0" borderId="0" applyAlignment="1" pivotButton="0" quotePrefix="0" xfId="0">
      <alignment horizontal="right"/>
    </xf>
    <xf numFmtId="168" fontId="16" fillId="0" borderId="0" applyAlignment="1" pivotButton="0" quotePrefix="0" xfId="0">
      <alignment horizontal="left"/>
    </xf>
    <xf numFmtId="168" fontId="8" fillId="0" borderId="38" applyAlignment="1" pivotButton="0" quotePrefix="0" xfId="0">
      <alignment horizontal="left"/>
    </xf>
    <xf numFmtId="168" fontId="8" fillId="0" borderId="38" applyAlignment="1" pivotButton="0" quotePrefix="0" xfId="0">
      <alignment horizontal="right"/>
    </xf>
    <xf numFmtId="169" fontId="8" fillId="0" borderId="38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169" fontId="8" fillId="0" borderId="0" applyAlignment="1" pivotButton="0" quotePrefix="0" xfId="0">
      <alignment horizontal="left"/>
    </xf>
    <xf numFmtId="167" fontId="8" fillId="13" borderId="14" applyAlignment="1" pivotButton="0" quotePrefix="0" xfId="0">
      <alignment horizontal="center"/>
    </xf>
    <xf numFmtId="168" fontId="8" fillId="0" borderId="39" applyAlignment="1" pivotButton="0" quotePrefix="0" xfId="0">
      <alignment horizontal="left"/>
    </xf>
    <xf numFmtId="168" fontId="8" fillId="0" borderId="39" applyAlignment="1" pivotButton="0" quotePrefix="0" xfId="0">
      <alignment horizontal="right"/>
    </xf>
    <xf numFmtId="171" fontId="8" fillId="0" borderId="39" applyAlignment="1" pivotButton="0" quotePrefix="0" xfId="0">
      <alignment horizontal="right"/>
    </xf>
    <xf numFmtId="171" fontId="16" fillId="0" borderId="0" applyAlignment="1" pivotButton="0" quotePrefix="0" xfId="0">
      <alignment horizontal="center"/>
    </xf>
    <xf numFmtId="168" fontId="8" fillId="0" borderId="34" applyAlignment="1" pivotButton="0" quotePrefix="0" xfId="0">
      <alignment horizontal="left"/>
    </xf>
    <xf numFmtId="168" fontId="8" fillId="0" borderId="34" applyAlignment="1" pivotButton="0" quotePrefix="0" xfId="0">
      <alignment horizontal="right"/>
    </xf>
    <xf numFmtId="169" fontId="8" fillId="5" borderId="40" applyAlignment="1" pivotButton="0" quotePrefix="0" xfId="0">
      <alignment horizontal="center"/>
    </xf>
    <xf numFmtId="172" fontId="8" fillId="7" borderId="14" applyAlignment="1" pivotButton="0" quotePrefix="0" xfId="0">
      <alignment horizontal="left"/>
    </xf>
    <xf numFmtId="173" fontId="8" fillId="7" borderId="14" applyAlignment="1" pivotButton="0" quotePrefix="0" xfId="0">
      <alignment horizontal="left"/>
    </xf>
    <xf numFmtId="166" fontId="26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7"/>
  <sheetViews>
    <sheetView tabSelected="1" topLeftCell="A7" workbookViewId="0">
      <selection activeCell="C20" sqref="C20"/>
    </sheetView>
  </sheetViews>
  <sheetFormatPr baseColWidth="8" defaultRowHeight="15.75"/>
  <cols>
    <col width="34" bestFit="1" customWidth="1" style="27" min="1" max="1"/>
    <col width="38" bestFit="1" customWidth="1" style="26" min="2" max="2"/>
    <col width="50" bestFit="1" customWidth="1" style="26" min="3" max="22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8" bestFit="1" customWidth="1" min="23" max="23"/>
    <col width="8" bestFit="1" customWidth="1" min="24" max="24"/>
    <col width="8" bestFit="1" customWidth="1" min="25" max="28"/>
    <col width="8" customWidth="1" min="26" max="26"/>
    <col width="8" customWidth="1" min="27" max="27"/>
    <col width="8" customWidth="1" min="28" max="28"/>
    <col width="8" bestFit="1" customWidth="1" min="29" max="29"/>
    <col width="8" bestFit="1" customWidth="1" min="30" max="30"/>
    <col width="8" bestFit="1" customWidth="1" min="31" max="31"/>
    <col width="8" bestFit="1" customWidth="1" min="32" max="32"/>
    <col width="8" bestFit="1" customWidth="1" min="33" max="33"/>
    <col width="8" bestFit="1" customWidth="1" min="34" max="34"/>
    <col width="8" bestFit="1" customWidth="1" min="35" max="35"/>
  </cols>
  <sheetData>
    <row r="1" ht="22.5" customHeight="1" thickBot="1">
      <c r="A1" s="140" t="inlineStr">
        <is>
          <t>電站基本資料</t>
        </is>
      </c>
      <c r="B1" s="141" t="n"/>
      <c r="C1" s="141" t="n"/>
      <c r="D1" s="142" t="n"/>
    </row>
    <row r="2" ht="21.75" customHeight="1">
      <c r="A2" s="1" t="inlineStr">
        <is>
          <t>電站名稱</t>
        </is>
      </c>
      <c r="B2" s="2" t="inlineStr">
        <is>
          <t>淡江大學-財務模擬案場</t>
        </is>
      </c>
      <c r="C2" s="126" t="inlineStr">
        <is>
          <t>-</t>
        </is>
      </c>
      <c r="D2" s="126" t="inlineStr">
        <is>
          <t>-</t>
        </is>
      </c>
    </row>
    <row r="3" ht="21.75" customHeight="1">
      <c r="A3" s="4" t="inlineStr">
        <is>
          <t>電站壽命</t>
        </is>
      </c>
      <c r="B3" s="5" t="n">
        <v>20</v>
      </c>
      <c r="C3" s="6" t="inlineStr">
        <is>
          <t>-</t>
        </is>
      </c>
      <c r="D3" s="6" t="inlineStr">
        <is>
          <t>-</t>
        </is>
      </c>
    </row>
    <row r="4" ht="21.75" customHeight="1">
      <c r="A4" s="4" t="inlineStr">
        <is>
          <t>建置量(kWp)</t>
        </is>
      </c>
      <c r="B4" s="5" t="n">
        <v>436.1</v>
      </c>
      <c r="C4" s="6" t="inlineStr">
        <is>
          <t>-</t>
        </is>
      </c>
      <c r="D4" s="6" t="inlineStr">
        <is>
          <t>-</t>
        </is>
      </c>
    </row>
    <row r="5" ht="22.5" customHeight="1">
      <c r="A5" s="7" t="inlineStr">
        <is>
          <t>起始年度</t>
        </is>
      </c>
      <c r="B5" s="7" t="n">
        <v>2023</v>
      </c>
      <c r="C5" s="7" t="inlineStr">
        <is>
          <t>結束年度</t>
        </is>
      </c>
      <c r="D5" s="7" t="n">
        <v>2042</v>
      </c>
    </row>
    <row r="6" ht="20.25" customHeight="1" thickBot="1">
      <c r="A6" s="8" t="n"/>
      <c r="B6" s="8" t="n"/>
      <c r="C6" s="8" t="n"/>
      <c r="D6" s="8" t="n"/>
    </row>
    <row r="7" ht="22.5" customHeight="1" thickBot="1">
      <c r="A7" s="143" t="inlineStr">
        <is>
          <t>綜合損益表</t>
        </is>
      </c>
      <c r="B7" s="141" t="n"/>
      <c r="C7" s="141" t="n"/>
      <c r="D7" s="142" t="n"/>
    </row>
    <row r="8" ht="22.5" customHeight="1" thickBot="1">
      <c r="A8" s="144" t="inlineStr">
        <is>
          <t>收入</t>
        </is>
      </c>
      <c r="D8" s="145" t="n"/>
    </row>
    <row r="9" ht="22.5" customHeight="1" thickBot="1">
      <c r="A9" s="9" t="inlineStr">
        <is>
          <t>收支項目</t>
        </is>
      </c>
      <c r="B9" s="10" t="inlineStr">
        <is>
          <t>相關參數</t>
        </is>
      </c>
      <c r="C9" s="10" t="inlineStr">
        <is>
          <t>參數數值</t>
        </is>
      </c>
      <c r="D9" s="11" t="inlineStr">
        <is>
          <t>年限</t>
        </is>
      </c>
    </row>
    <row r="10" ht="21.75" customHeight="1">
      <c r="A10" s="123" t="inlineStr">
        <is>
          <t>電費收入</t>
        </is>
      </c>
      <c r="B10" s="124" t="inlineStr">
        <is>
          <t>年度AC併網總發電量</t>
        </is>
      </c>
      <c r="C10" s="124" t="n">
        <v>547002</v>
      </c>
      <c r="D10" s="123" t="n">
        <v>20</v>
      </c>
    </row>
    <row r="11" ht="21.75" customHeight="1">
      <c r="A11" s="146" t="n"/>
      <c r="B11" s="7" t="inlineStr">
        <is>
          <t>首年衰退率</t>
        </is>
      </c>
      <c r="C11" s="13" t="n">
        <v>0.01</v>
      </c>
      <c r="D11" s="146" t="n"/>
    </row>
    <row r="12" ht="21.75" customHeight="1">
      <c r="A12" s="146" t="n"/>
      <c r="B12" s="7" t="inlineStr">
        <is>
          <t>次年衰退率</t>
        </is>
      </c>
      <c r="C12" s="14" t="n">
        <v>0.004</v>
      </c>
      <c r="D12" s="146" t="n"/>
    </row>
    <row r="13" ht="22.5" customHeight="1" thickBot="1">
      <c r="A13" s="146" t="n"/>
      <c r="B13" s="127" t="inlineStr">
        <is>
          <t>躉售費率(FIT)</t>
        </is>
      </c>
      <c r="C13" s="127" t="n">
        <v>3.7152</v>
      </c>
      <c r="D13" s="146" t="n"/>
    </row>
    <row r="14" ht="22.5" customHeight="1" thickBot="1">
      <c r="A14" s="147" t="inlineStr">
        <is>
          <t>支出</t>
        </is>
      </c>
      <c r="B14" s="141" t="n"/>
      <c r="C14" s="141" t="n"/>
      <c r="D14" s="142" t="n"/>
    </row>
    <row r="15" ht="22.5" customHeight="1" thickBot="1">
      <c r="A15" s="9" t="inlineStr">
        <is>
          <t>收支項目</t>
        </is>
      </c>
      <c r="B15" s="10" t="inlineStr">
        <is>
          <t>相關參數</t>
        </is>
      </c>
      <c r="C15" s="10" t="inlineStr">
        <is>
          <t>參數數值</t>
        </is>
      </c>
      <c r="D15" s="16" t="inlineStr">
        <is>
          <t>攤提年限</t>
        </is>
      </c>
    </row>
    <row r="16" ht="21.75" customHeight="1">
      <c r="A16" s="124" t="inlineStr">
        <is>
          <t>設備費用(價金)</t>
        </is>
      </c>
      <c r="B16" s="17" t="inlineStr">
        <is>
          <t>每kWp設備成本</t>
        </is>
      </c>
      <c r="C16" s="124" t="n">
        <v>35000</v>
      </c>
      <c r="D16" s="126" t="n">
        <v>20</v>
      </c>
    </row>
    <row r="17" ht="21.75" customHeight="1">
      <c r="A17" s="146" t="n"/>
      <c r="B17" s="7" t="inlineStr">
        <is>
          <t>信邦利潤率</t>
        </is>
      </c>
      <c r="C17" s="5" t="n">
        <v>0.3</v>
      </c>
      <c r="D17" s="146" t="n"/>
    </row>
    <row r="18" ht="21.75" customHeight="1">
      <c r="A18" s="148" t="n"/>
      <c r="B18" s="7" t="inlineStr">
        <is>
          <t>開發費</t>
        </is>
      </c>
      <c r="C18" s="5" t="n">
        <v>3000</v>
      </c>
      <c r="D18" s="148" t="n"/>
    </row>
    <row r="19" ht="54" customHeight="1">
      <c r="A19" s="7" t="inlineStr">
        <is>
          <t>租金費用</t>
        </is>
      </c>
      <c r="B19" s="18" t="inlineStr">
        <is>
          <t>租金計算方式
(1=固定攤提/2=電費抽成)</t>
        </is>
      </c>
      <c r="C19" s="5" t="n">
        <v>1</v>
      </c>
      <c r="D19" s="126" t="inlineStr">
        <is>
          <t>-</t>
        </is>
      </c>
    </row>
    <row r="20" ht="20.25" customHeight="1">
      <c r="A20" s="146" t="n"/>
      <c r="B20" s="19" t="inlineStr">
        <is>
          <t>【方式1參數】租金總額</t>
        </is>
      </c>
      <c r="C20" s="5" t="n">
        <v>290201</v>
      </c>
      <c r="D20" s="126" t="n">
        <v>20</v>
      </c>
    </row>
    <row r="21" ht="21.75" customHeight="1">
      <c r="A21" s="148" t="n"/>
      <c r="B21" s="20" t="inlineStr">
        <is>
          <t>【方式2參數】抽成比率</t>
        </is>
      </c>
      <c r="C21" s="5" t="n"/>
      <c r="D21" s="6" t="inlineStr">
        <is>
          <t>-</t>
        </is>
      </c>
    </row>
    <row r="22" ht="21.75" customHeight="1">
      <c r="A22" s="7" t="inlineStr">
        <is>
          <t>運維費用</t>
        </is>
      </c>
      <c r="B22" s="20" t="inlineStr">
        <is>
          <t>每kw運維成本</t>
        </is>
      </c>
      <c r="C22" s="5" t="n">
        <v>400</v>
      </c>
      <c r="D22" s="6" t="n">
        <v>20</v>
      </c>
    </row>
    <row r="23" ht="21.75" customHeight="1">
      <c r="A23" s="7" t="inlineStr">
        <is>
          <t>保險費用</t>
        </is>
      </c>
      <c r="B23" s="21" t="inlineStr">
        <is>
          <t>占整體設備費用比例</t>
        </is>
      </c>
      <c r="C23" s="5" t="n">
        <v>0.003</v>
      </c>
      <c r="D23" s="6" t="n">
        <v>20</v>
      </c>
    </row>
    <row r="24" ht="21.75" customHeight="1">
      <c r="A24" s="7" t="inlineStr">
        <is>
          <t>模組回收費用</t>
        </is>
      </c>
      <c r="B24" s="20" t="inlineStr">
        <is>
          <t>每kw模組回收成本</t>
        </is>
      </c>
      <c r="C24" s="5" t="n">
        <v>1000</v>
      </c>
      <c r="D24" s="6" t="n">
        <v>10</v>
      </c>
    </row>
    <row r="25" ht="21.75" customHeight="1">
      <c r="A25" s="7" t="inlineStr">
        <is>
          <t>利息費用</t>
        </is>
      </c>
      <c r="B25" s="7" t="inlineStr">
        <is>
          <t>銀行利率</t>
        </is>
      </c>
      <c r="C25" s="22" t="n">
        <v>0.025595</v>
      </c>
      <c r="D25" s="6" t="inlineStr">
        <is>
          <t>-</t>
        </is>
      </c>
    </row>
    <row r="26" ht="22.5" customHeight="1">
      <c r="A26" s="7" t="inlineStr">
        <is>
          <t>所得稅</t>
        </is>
      </c>
      <c r="B26" s="7" t="inlineStr">
        <is>
          <t>所得稅率</t>
        </is>
      </c>
      <c r="C26" s="5" t="n">
        <v>0.2</v>
      </c>
      <c r="D26" s="6" t="inlineStr">
        <is>
          <t>-</t>
        </is>
      </c>
    </row>
    <row r="27" ht="20.25" customHeight="1">
      <c r="A27" s="8" t="n"/>
      <c r="B27" s="8" t="n"/>
      <c r="C27" s="8" t="n"/>
      <c r="D27" s="8" t="n"/>
    </row>
    <row r="28" ht="20.25" customHeight="1" thickBot="1">
      <c r="A28" s="8" t="n"/>
      <c r="B28" s="8" t="n"/>
      <c r="C28" s="8" t="n"/>
      <c r="D28" s="8" t="n"/>
    </row>
    <row r="29" ht="22.5" customHeight="1" thickBot="1">
      <c r="A29" s="143" t="inlineStr">
        <is>
          <t>現金流量表</t>
        </is>
      </c>
      <c r="B29" s="141" t="n"/>
      <c r="C29" s="142" t="n"/>
      <c r="D29" s="8" t="n"/>
    </row>
    <row r="30" ht="22.5" customHeight="1" thickBot="1">
      <c r="A30" s="9" t="inlineStr">
        <is>
          <t>金流項目</t>
        </is>
      </c>
      <c r="B30" s="23" t="inlineStr">
        <is>
          <t>相關參數</t>
        </is>
      </c>
      <c r="C30" s="24" t="inlineStr">
        <is>
          <t>參數數值</t>
        </is>
      </c>
      <c r="D30" s="8" t="n"/>
    </row>
    <row r="31" ht="18.75" customHeight="1">
      <c r="A31" s="17" t="inlineStr">
        <is>
          <t>貸款成數</t>
        </is>
      </c>
      <c r="B31" s="1" t="inlineStr">
        <is>
          <t>占總設備費用比例</t>
        </is>
      </c>
      <c r="C31" s="25" t="n">
        <v>0.8</v>
      </c>
      <c r="D31" s="8" t="n"/>
    </row>
    <row r="32" ht="18.75" customHeight="1">
      <c r="A32" s="124" t="inlineStr">
        <is>
          <t>貸款還款</t>
        </is>
      </c>
      <c r="B32" s="25" t="inlineStr">
        <is>
          <t>攤還期數</t>
        </is>
      </c>
      <c r="C32" s="25" t="n">
        <v>15</v>
      </c>
      <c r="D32" s="8" t="n"/>
    </row>
    <row r="33" ht="18.75" customHeight="1">
      <c r="A33" s="7" t="inlineStr">
        <is>
          <t>現金股利</t>
        </is>
      </c>
      <c r="B33" s="5" t="inlineStr">
        <is>
          <t>股利比率</t>
        </is>
      </c>
      <c r="C33" s="5" t="n">
        <v>0.9</v>
      </c>
      <c r="D33" s="8" t="n"/>
    </row>
    <row r="34" ht="18.75" customHeight="1">
      <c r="A34" s="7" t="inlineStr">
        <is>
          <t>年底減資</t>
        </is>
      </c>
      <c r="B34" s="5" t="inlineStr">
        <is>
          <t>攤還期數</t>
        </is>
      </c>
      <c r="C34" s="5" t="n">
        <v>4</v>
      </c>
      <c r="D34" s="8" t="n"/>
    </row>
    <row r="35" ht="18.75" customHeight="1"/>
    <row r="36" ht="18.75" customHeight="1"/>
    <row r="37" ht="18.75" customHeight="1" thickBot="1">
      <c r="A37" s="28" t="n"/>
      <c r="B37" s="29" t="inlineStr">
        <is>
          <t>年份</t>
        </is>
      </c>
      <c r="C37" s="29" t="n">
        <v>2020</v>
      </c>
      <c r="D37" s="29" t="n">
        <v>2021</v>
      </c>
      <c r="E37" s="29" t="n">
        <v>2022</v>
      </c>
      <c r="F37" s="29" t="n">
        <v>2023</v>
      </c>
      <c r="G37" s="29" t="n">
        <v>2024</v>
      </c>
      <c r="H37" s="29" t="n">
        <v>2025</v>
      </c>
      <c r="I37" s="29" t="n">
        <v>2026</v>
      </c>
      <c r="J37" s="29" t="n">
        <v>2027</v>
      </c>
      <c r="K37" s="29" t="n">
        <v>2028</v>
      </c>
      <c r="L37" s="29" t="n">
        <v>2029</v>
      </c>
      <c r="M37" s="29" t="n">
        <v>2030</v>
      </c>
      <c r="N37" s="29" t="n">
        <v>2031</v>
      </c>
      <c r="O37" s="29" t="n">
        <v>2032</v>
      </c>
      <c r="P37" s="29" t="n">
        <v>2033</v>
      </c>
      <c r="Q37" s="29" t="n">
        <v>2034</v>
      </c>
      <c r="R37" s="29" t="n">
        <v>2035</v>
      </c>
      <c r="S37" s="29" t="n">
        <v>2036</v>
      </c>
      <c r="T37" s="29" t="n">
        <v>2037</v>
      </c>
      <c r="U37" s="29" t="n">
        <v>2038</v>
      </c>
      <c r="V37" s="29" t="n">
        <v>2039</v>
      </c>
      <c r="W37" s="30" t="n"/>
    </row>
    <row r="38" ht="18.75" customHeight="1">
      <c r="A38" s="31" t="n">
        <v>0</v>
      </c>
      <c r="B38" s="32" t="n"/>
      <c r="C38" s="33" t="n"/>
      <c r="D38" s="33" t="n"/>
      <c r="E38" s="34" t="inlineStr">
        <is>
          <t>手動計算值</t>
        </is>
      </c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35" t="n"/>
      <c r="R38" s="35" t="n"/>
      <c r="S38" s="36" t="inlineStr">
        <is>
          <t>償還年限</t>
        </is>
      </c>
      <c r="T38" s="35" t="n"/>
      <c r="U38" s="35" t="n"/>
      <c r="V38" s="35" t="n"/>
      <c r="W38" s="37" t="n"/>
    </row>
    <row r="39" ht="18.75" customHeight="1">
      <c r="A39" s="38" t="inlineStr">
        <is>
          <t>(Unit : Currency)</t>
        </is>
      </c>
      <c r="B39" s="39" t="n">
        <v>0</v>
      </c>
      <c r="C39" s="40" t="n">
        <v>1</v>
      </c>
      <c r="D39" s="40" t="n">
        <v>2</v>
      </c>
      <c r="E39" s="40" t="n">
        <v>3</v>
      </c>
      <c r="F39" s="40" t="n">
        <v>4</v>
      </c>
      <c r="G39" s="40" t="n">
        <v>5</v>
      </c>
      <c r="H39" s="40" t="n">
        <v>6</v>
      </c>
      <c r="I39" s="40" t="n">
        <v>7</v>
      </c>
      <c r="J39" s="40" t="n">
        <v>8</v>
      </c>
      <c r="K39" s="40" t="n">
        <v>9</v>
      </c>
      <c r="L39" s="40" t="n">
        <v>10</v>
      </c>
      <c r="M39" s="40" t="n">
        <v>11</v>
      </c>
      <c r="N39" s="40" t="n">
        <v>12</v>
      </c>
      <c r="O39" s="40" t="n">
        <v>13</v>
      </c>
      <c r="P39" s="40" t="n">
        <v>14</v>
      </c>
      <c r="Q39" s="40" t="n">
        <v>15</v>
      </c>
      <c r="R39" s="40" t="n">
        <v>16</v>
      </c>
      <c r="S39" s="41" t="n">
        <v>17</v>
      </c>
      <c r="T39" s="40" t="n">
        <v>18</v>
      </c>
      <c r="U39" s="40" t="n">
        <v>19</v>
      </c>
      <c r="V39" s="40" t="n">
        <v>20</v>
      </c>
      <c r="W39" s="42" t="n"/>
    </row>
    <row r="40" ht="18.75" customHeight="1" thickBot="1">
      <c r="A40" s="43" t="inlineStr">
        <is>
          <t>發電度數(KWH)</t>
        </is>
      </c>
      <c r="B40" s="39" t="n">
        <v>0</v>
      </c>
      <c r="C40" s="40">
        <f>#REF!</f>
        <v/>
      </c>
      <c r="D40" s="40">
        <f>#REF!</f>
        <v/>
      </c>
      <c r="E40" s="40">
        <f>#REF!</f>
        <v/>
      </c>
      <c r="F40" s="40">
        <f>#REF!</f>
        <v/>
      </c>
      <c r="G40" s="40">
        <f>#REF!</f>
        <v/>
      </c>
      <c r="H40" s="40">
        <f>#REF!</f>
        <v/>
      </c>
      <c r="I40" s="40">
        <f>#REF!</f>
        <v/>
      </c>
      <c r="J40" s="40">
        <f>#REF!</f>
        <v/>
      </c>
      <c r="K40" s="40">
        <f>#REF!</f>
        <v/>
      </c>
      <c r="L40" s="40">
        <f>#REF!</f>
        <v/>
      </c>
      <c r="M40" s="40">
        <f>#REF!</f>
        <v/>
      </c>
      <c r="N40" s="40">
        <f>#REF!</f>
        <v/>
      </c>
      <c r="O40" s="40">
        <f>#REF!</f>
        <v/>
      </c>
      <c r="P40" s="40">
        <f>#REF!</f>
        <v/>
      </c>
      <c r="Q40" s="40">
        <f>#REF!</f>
        <v/>
      </c>
      <c r="R40" s="40">
        <f>#REF!</f>
        <v/>
      </c>
      <c r="S40" s="40">
        <f>#REF!</f>
        <v/>
      </c>
      <c r="T40" s="40">
        <f>#REF!</f>
        <v/>
      </c>
      <c r="U40" s="40">
        <f>#REF!</f>
        <v/>
      </c>
      <c r="V40" s="40">
        <f>#REF!</f>
        <v/>
      </c>
      <c r="W40" s="44" t="n"/>
    </row>
    <row r="41" ht="18.75" customHeight="1">
      <c r="A41" s="45" t="inlineStr">
        <is>
          <t>Inflow : 電費收入</t>
        </is>
      </c>
      <c r="B41" s="46" t="inlineStr">
        <is>
          <t>-</t>
        </is>
      </c>
      <c r="C41" s="47">
        <f>#REF!</f>
        <v/>
      </c>
      <c r="D41" s="47">
        <f>#REF!</f>
        <v/>
      </c>
      <c r="E41" s="47">
        <f>#REF!</f>
        <v/>
      </c>
      <c r="F41" s="47">
        <f>#REF!</f>
        <v/>
      </c>
      <c r="G41" s="47">
        <f>#REF!</f>
        <v/>
      </c>
      <c r="H41" s="47">
        <f>#REF!</f>
        <v/>
      </c>
      <c r="I41" s="47">
        <f>#REF!</f>
        <v/>
      </c>
      <c r="J41" s="47">
        <f>#REF!</f>
        <v/>
      </c>
      <c r="K41" s="47">
        <f>#REF!</f>
        <v/>
      </c>
      <c r="L41" s="47">
        <f>#REF!</f>
        <v/>
      </c>
      <c r="M41" s="47">
        <f>#REF!</f>
        <v/>
      </c>
      <c r="N41" s="47">
        <f>#REF!</f>
        <v/>
      </c>
      <c r="O41" s="47">
        <f>#REF!</f>
        <v/>
      </c>
      <c r="P41" s="47">
        <f>#REF!</f>
        <v/>
      </c>
      <c r="Q41" s="47">
        <f>#REF!</f>
        <v/>
      </c>
      <c r="R41" s="47">
        <f>#REF!</f>
        <v/>
      </c>
      <c r="S41" s="47">
        <f>#REF!</f>
        <v/>
      </c>
      <c r="T41" s="47">
        <f>#REF!</f>
        <v/>
      </c>
      <c r="U41" s="47">
        <f>#REF!</f>
        <v/>
      </c>
      <c r="V41" s="47">
        <f>#REF!</f>
        <v/>
      </c>
      <c r="W41" s="48" t="n"/>
    </row>
    <row r="42" ht="18.75" customHeight="1">
      <c r="A42" s="49" t="inlineStr">
        <is>
          <t>Inflow : 政府補助</t>
        </is>
      </c>
      <c r="B42" s="39" t="inlineStr">
        <is>
          <t>-</t>
        </is>
      </c>
      <c r="C42" s="40" t="n"/>
      <c r="D42" s="40" t="n"/>
      <c r="E42" s="40" t="n">
        <v>0</v>
      </c>
      <c r="F42" s="40" t="inlineStr">
        <is>
          <t>-</t>
        </is>
      </c>
      <c r="G42" s="40" t="inlineStr">
        <is>
          <t>-</t>
        </is>
      </c>
      <c r="H42" s="40" t="inlineStr">
        <is>
          <t>-</t>
        </is>
      </c>
      <c r="I42" s="40" t="inlineStr">
        <is>
          <t>-</t>
        </is>
      </c>
      <c r="J42" s="40" t="inlineStr">
        <is>
          <t>-</t>
        </is>
      </c>
      <c r="K42" s="40" t="inlineStr">
        <is>
          <t>-</t>
        </is>
      </c>
      <c r="L42" s="40" t="inlineStr">
        <is>
          <t>-</t>
        </is>
      </c>
      <c r="M42" s="40" t="inlineStr">
        <is>
          <t>-</t>
        </is>
      </c>
      <c r="N42" s="40" t="inlineStr">
        <is>
          <t>-</t>
        </is>
      </c>
      <c r="O42" s="40" t="inlineStr">
        <is>
          <t>-</t>
        </is>
      </c>
      <c r="P42" s="40" t="inlineStr">
        <is>
          <t>-</t>
        </is>
      </c>
      <c r="Q42" s="40" t="inlineStr">
        <is>
          <t>-</t>
        </is>
      </c>
      <c r="R42" s="40" t="inlineStr">
        <is>
          <t>-</t>
        </is>
      </c>
      <c r="S42" s="40" t="inlineStr">
        <is>
          <t>-</t>
        </is>
      </c>
      <c r="T42" s="40" t="inlineStr">
        <is>
          <t>-</t>
        </is>
      </c>
      <c r="U42" s="40" t="inlineStr">
        <is>
          <t>-</t>
        </is>
      </c>
      <c r="V42" s="40" t="inlineStr">
        <is>
          <t>-</t>
        </is>
      </c>
      <c r="W42" s="50" t="n"/>
    </row>
    <row r="43" ht="18.75" customHeight="1" thickBot="1">
      <c r="A43" s="51" t="inlineStr">
        <is>
          <t>Inflow : 銀行借款</t>
        </is>
      </c>
      <c r="B43" s="52" t="n"/>
      <c r="C43" s="53" t="n"/>
      <c r="D43" s="53" t="n"/>
      <c r="E43" s="53" t="n"/>
      <c r="F43" s="53" t="n"/>
      <c r="G43" s="53" t="n"/>
      <c r="H43" s="53" t="n"/>
      <c r="I43" s="53" t="n"/>
      <c r="J43" s="53" t="n"/>
      <c r="K43" s="53" t="n"/>
      <c r="L43" s="53" t="n"/>
      <c r="M43" s="53" t="n"/>
      <c r="N43" s="53" t="n"/>
      <c r="O43" s="53" t="n"/>
      <c r="P43" s="53" t="n"/>
      <c r="Q43" s="53" t="n"/>
      <c r="R43" s="53" t="n"/>
      <c r="S43" s="53" t="n"/>
      <c r="T43" s="53" t="n"/>
      <c r="U43" s="53" t="n"/>
      <c r="V43" s="53" t="n"/>
      <c r="W43" s="54" t="n"/>
    </row>
    <row r="44" ht="18.75" customHeight="1">
      <c r="A44" s="55" t="inlineStr">
        <is>
          <t>Outflow : 設備費用</t>
        </is>
      </c>
      <c r="B44" s="39">
        <f>-#REF!</f>
        <v/>
      </c>
      <c r="C44" s="56" t="n"/>
      <c r="D44" s="40" t="n"/>
      <c r="E44" s="40" t="inlineStr">
        <is>
          <t>-</t>
        </is>
      </c>
      <c r="F44" s="40" t="inlineStr">
        <is>
          <t>-</t>
        </is>
      </c>
      <c r="G44" s="40" t="inlineStr">
        <is>
          <t>-</t>
        </is>
      </c>
      <c r="H44" s="40" t="inlineStr">
        <is>
          <t>-</t>
        </is>
      </c>
      <c r="I44" s="40" t="inlineStr">
        <is>
          <t>-</t>
        </is>
      </c>
      <c r="J44" s="40" t="inlineStr">
        <is>
          <t>-</t>
        </is>
      </c>
      <c r="K44" s="40" t="inlineStr">
        <is>
          <t>-</t>
        </is>
      </c>
      <c r="L44" s="40" t="inlineStr">
        <is>
          <t>-</t>
        </is>
      </c>
      <c r="M44" s="40" t="inlineStr">
        <is>
          <t>-</t>
        </is>
      </c>
      <c r="N44" s="40" t="inlineStr">
        <is>
          <t>-</t>
        </is>
      </c>
      <c r="O44" s="40" t="inlineStr">
        <is>
          <t>-</t>
        </is>
      </c>
      <c r="P44" s="40" t="inlineStr">
        <is>
          <t>-</t>
        </is>
      </c>
      <c r="Q44" s="40" t="inlineStr">
        <is>
          <t>-</t>
        </is>
      </c>
      <c r="R44" s="40" t="inlineStr">
        <is>
          <t>-</t>
        </is>
      </c>
      <c r="S44" s="40" t="inlineStr">
        <is>
          <t>-</t>
        </is>
      </c>
      <c r="T44" s="40" t="inlineStr">
        <is>
          <t>-</t>
        </is>
      </c>
      <c r="U44" s="40" t="inlineStr">
        <is>
          <t>-</t>
        </is>
      </c>
      <c r="V44" s="40" t="inlineStr">
        <is>
          <t>-</t>
        </is>
      </c>
      <c r="W44" s="50" t="n"/>
    </row>
    <row r="45" ht="18.75" customHeight="1">
      <c r="A45" s="55" t="inlineStr">
        <is>
          <t>Outflow : 設備放置區域租金</t>
        </is>
      </c>
      <c r="B45" s="39" t="inlineStr">
        <is>
          <t>-</t>
        </is>
      </c>
      <c r="C45" s="40">
        <f>-#REF!</f>
        <v/>
      </c>
      <c r="D45" s="40">
        <f>-#REF!</f>
        <v/>
      </c>
      <c r="E45" s="40">
        <f>-#REF!</f>
        <v/>
      </c>
      <c r="F45" s="40">
        <f>-#REF!</f>
        <v/>
      </c>
      <c r="G45" s="40">
        <f>-#REF!</f>
        <v/>
      </c>
      <c r="H45" s="40">
        <f>-#REF!</f>
        <v/>
      </c>
      <c r="I45" s="40">
        <f>-#REF!</f>
        <v/>
      </c>
      <c r="J45" s="40">
        <f>-#REF!</f>
        <v/>
      </c>
      <c r="K45" s="40">
        <f>-#REF!</f>
        <v/>
      </c>
      <c r="L45" s="40">
        <f>-#REF!</f>
        <v/>
      </c>
      <c r="M45" s="40">
        <f>-#REF!</f>
        <v/>
      </c>
      <c r="N45" s="40">
        <f>-#REF!</f>
        <v/>
      </c>
      <c r="O45" s="40">
        <f>-#REF!</f>
        <v/>
      </c>
      <c r="P45" s="40">
        <f>-#REF!</f>
        <v/>
      </c>
      <c r="Q45" s="40">
        <f>-#REF!</f>
        <v/>
      </c>
      <c r="R45" s="40">
        <f>-#REF!</f>
        <v/>
      </c>
      <c r="S45" s="40">
        <f>-#REF!</f>
        <v/>
      </c>
      <c r="T45" s="40">
        <f>-#REF!</f>
        <v/>
      </c>
      <c r="U45" s="40">
        <f>-#REF!</f>
        <v/>
      </c>
      <c r="V45" s="40">
        <f>-#REF!</f>
        <v/>
      </c>
      <c r="W45" s="50" t="n"/>
    </row>
    <row r="46" ht="18.75" customHeight="1">
      <c r="A46" s="55" t="inlineStr">
        <is>
          <t>Outflow : 返還借款</t>
        </is>
      </c>
      <c r="B46" s="39" t="n">
        <v>0</v>
      </c>
      <c r="C46" s="40" t="n"/>
      <c r="D46" s="40" t="n"/>
      <c r="E46" s="40" t="n"/>
      <c r="F46" s="40" t="n"/>
      <c r="G46" s="40" t="n"/>
      <c r="H46" s="40" t="n"/>
      <c r="I46" s="40" t="n"/>
      <c r="J46" s="40" t="n"/>
      <c r="K46" s="40" t="n"/>
      <c r="L46" s="40" t="n"/>
      <c r="M46" s="40" t="n"/>
      <c r="N46" s="40" t="n"/>
      <c r="O46" s="40" t="n"/>
      <c r="P46" s="40" t="n"/>
      <c r="Q46" s="40" t="n"/>
      <c r="R46" s="40" t="n"/>
      <c r="S46" s="40" t="n"/>
      <c r="T46" s="40" t="n"/>
      <c r="U46" s="40" t="n">
        <v>0</v>
      </c>
      <c r="V46" s="40" t="n">
        <v>0</v>
      </c>
      <c r="W46" s="50" t="n"/>
    </row>
    <row r="47" ht="18.75" customHeight="1">
      <c r="A47" s="55" t="inlineStr">
        <is>
          <t>Outflow : 利息費用</t>
        </is>
      </c>
      <c r="B47" s="39" t="inlineStr">
        <is>
          <t>-</t>
        </is>
      </c>
      <c r="C47" s="40" t="n"/>
      <c r="D47" s="40" t="n"/>
      <c r="E47" s="40" t="n"/>
      <c r="F47" s="40" t="n"/>
      <c r="G47" s="40" t="n"/>
      <c r="H47" s="40" t="n"/>
      <c r="I47" s="40" t="n"/>
      <c r="J47" s="40" t="n"/>
      <c r="K47" s="40" t="n"/>
      <c r="L47" s="40" t="n"/>
      <c r="M47" s="40" t="n"/>
      <c r="N47" s="40" t="n"/>
      <c r="O47" s="40" t="n"/>
      <c r="P47" s="40" t="n"/>
      <c r="Q47" s="40" t="n"/>
      <c r="R47" s="40" t="n"/>
      <c r="S47" s="40" t="n"/>
      <c r="T47" s="40" t="n"/>
      <c r="U47" s="40" t="n"/>
      <c r="V47" s="40" t="n"/>
      <c r="W47" s="50" t="n"/>
    </row>
    <row r="48" ht="18.75" customHeight="1">
      <c r="A48" s="55" t="inlineStr">
        <is>
          <t>Outflow : 維運費</t>
        </is>
      </c>
      <c r="B48" s="39" t="inlineStr">
        <is>
          <t>-</t>
        </is>
      </c>
      <c r="C48" s="40">
        <f>-#REF!</f>
        <v/>
      </c>
      <c r="D48" s="40">
        <f>-#REF!</f>
        <v/>
      </c>
      <c r="E48" s="40">
        <f>-#REF!</f>
        <v/>
      </c>
      <c r="F48" s="40">
        <f>-#REF!</f>
        <v/>
      </c>
      <c r="G48" s="40">
        <f>-#REF!</f>
        <v/>
      </c>
      <c r="H48" s="40">
        <f>-#REF!</f>
        <v/>
      </c>
      <c r="I48" s="40">
        <f>-#REF!</f>
        <v/>
      </c>
      <c r="J48" s="40">
        <f>-#REF!</f>
        <v/>
      </c>
      <c r="K48" s="40">
        <f>-#REF!</f>
        <v/>
      </c>
      <c r="L48" s="40">
        <f>-#REF!</f>
        <v/>
      </c>
      <c r="M48" s="40">
        <f>-#REF!</f>
        <v/>
      </c>
      <c r="N48" s="40">
        <f>-#REF!</f>
        <v/>
      </c>
      <c r="O48" s="40">
        <f>-#REF!</f>
        <v/>
      </c>
      <c r="P48" s="40">
        <f>-#REF!</f>
        <v/>
      </c>
      <c r="Q48" s="40">
        <f>-#REF!</f>
        <v/>
      </c>
      <c r="R48" s="40">
        <f>-#REF!</f>
        <v/>
      </c>
      <c r="S48" s="40">
        <f>-#REF!</f>
        <v/>
      </c>
      <c r="T48" s="40">
        <f>-#REF!</f>
        <v/>
      </c>
      <c r="U48" s="40">
        <f>-#REF!</f>
        <v/>
      </c>
      <c r="V48" s="40">
        <f>-#REF!</f>
        <v/>
      </c>
      <c r="W48" s="50" t="n"/>
    </row>
    <row r="49" ht="18.75" customHeight="1">
      <c r="A49" s="55" t="inlineStr">
        <is>
          <t>Outflow : 保險費</t>
        </is>
      </c>
      <c r="B49" s="39" t="inlineStr">
        <is>
          <t>-</t>
        </is>
      </c>
      <c r="C49" s="40">
        <f>-#REF!</f>
        <v/>
      </c>
      <c r="D49" s="40">
        <f>-#REF!</f>
        <v/>
      </c>
      <c r="E49" s="40">
        <f>-#REF!</f>
        <v/>
      </c>
      <c r="F49" s="40">
        <f>-#REF!</f>
        <v/>
      </c>
      <c r="G49" s="40">
        <f>-#REF!</f>
        <v/>
      </c>
      <c r="H49" s="40">
        <f>-#REF!</f>
        <v/>
      </c>
      <c r="I49" s="40">
        <f>-#REF!</f>
        <v/>
      </c>
      <c r="J49" s="40">
        <f>-#REF!</f>
        <v/>
      </c>
      <c r="K49" s="40">
        <f>-#REF!</f>
        <v/>
      </c>
      <c r="L49" s="40">
        <f>-#REF!</f>
        <v/>
      </c>
      <c r="M49" s="40">
        <f>-#REF!</f>
        <v/>
      </c>
      <c r="N49" s="40">
        <f>-#REF!</f>
        <v/>
      </c>
      <c r="O49" s="40">
        <f>-#REF!</f>
        <v/>
      </c>
      <c r="P49" s="40">
        <f>-#REF!</f>
        <v/>
      </c>
      <c r="Q49" s="40">
        <f>-#REF!</f>
        <v/>
      </c>
      <c r="R49" s="40">
        <f>-#REF!</f>
        <v/>
      </c>
      <c r="S49" s="40">
        <f>-#REF!</f>
        <v/>
      </c>
      <c r="T49" s="40">
        <f>-#REF!</f>
        <v/>
      </c>
      <c r="U49" s="40">
        <f>-#REF!</f>
        <v/>
      </c>
      <c r="V49" s="40">
        <f>-#REF!</f>
        <v/>
      </c>
      <c r="W49" s="50" t="n"/>
    </row>
    <row r="50" ht="18.75" customHeight="1">
      <c r="A50" s="55" t="inlineStr">
        <is>
          <t>Outflow : 模組回收費</t>
        </is>
      </c>
      <c r="B50" s="39" t="n"/>
      <c r="C50" s="40">
        <f>-#REF!</f>
        <v/>
      </c>
      <c r="D50" s="40">
        <f>-#REF!</f>
        <v/>
      </c>
      <c r="E50" s="40">
        <f>-#REF!</f>
        <v/>
      </c>
      <c r="F50" s="40">
        <f>-#REF!</f>
        <v/>
      </c>
      <c r="G50" s="40">
        <f>-#REF!</f>
        <v/>
      </c>
      <c r="H50" s="40">
        <f>-#REF!</f>
        <v/>
      </c>
      <c r="I50" s="40">
        <f>-#REF!</f>
        <v/>
      </c>
      <c r="J50" s="40">
        <f>-#REF!</f>
        <v/>
      </c>
      <c r="K50" s="40">
        <f>-#REF!</f>
        <v/>
      </c>
      <c r="L50" s="40">
        <f>-#REF!</f>
        <v/>
      </c>
      <c r="M50" s="40">
        <f>-#REF!</f>
        <v/>
      </c>
      <c r="N50" s="40">
        <f>-#REF!</f>
        <v/>
      </c>
      <c r="O50" s="40">
        <f>-#REF!</f>
        <v/>
      </c>
      <c r="P50" s="40">
        <f>-#REF!</f>
        <v/>
      </c>
      <c r="Q50" s="40">
        <f>-#REF!</f>
        <v/>
      </c>
      <c r="R50" s="40">
        <f>-#REF!</f>
        <v/>
      </c>
      <c r="S50" s="40">
        <f>-#REF!</f>
        <v/>
      </c>
      <c r="T50" s="40">
        <f>-#REF!</f>
        <v/>
      </c>
      <c r="U50" s="40">
        <f>-#REF!</f>
        <v/>
      </c>
      <c r="V50" s="40">
        <f>-#REF!</f>
        <v/>
      </c>
      <c r="W50" s="50" t="n"/>
    </row>
    <row r="51" ht="18.75" customHeight="1">
      <c r="A51" s="55" t="inlineStr">
        <is>
          <t>Outflow : 其它費用(人事薪資…等)</t>
        </is>
      </c>
      <c r="B51" s="57" t="n"/>
      <c r="C51" s="58" t="n"/>
      <c r="D51" s="59" t="n"/>
      <c r="E51" s="40">
        <f>-(E41*#REF!)</f>
        <v/>
      </c>
      <c r="F51" s="40">
        <f>-(F41*#REF!)</f>
        <v/>
      </c>
      <c r="G51" s="40">
        <f>-(G41*#REF!)</f>
        <v/>
      </c>
      <c r="H51" s="40">
        <f>-(H41*#REF!)</f>
        <v/>
      </c>
      <c r="I51" s="40">
        <f>-(I41*#REF!)</f>
        <v/>
      </c>
      <c r="J51" s="40">
        <f>-(J41*#REF!)</f>
        <v/>
      </c>
      <c r="K51" s="40">
        <f>-(K41*#REF!)</f>
        <v/>
      </c>
      <c r="L51" s="40">
        <f>-(L41*#REF!)</f>
        <v/>
      </c>
      <c r="M51" s="40">
        <f>-(M41*#REF!)</f>
        <v/>
      </c>
      <c r="N51" s="40">
        <f>-(N41*#REF!)</f>
        <v/>
      </c>
      <c r="O51" s="40">
        <f>-(O41*#REF!)</f>
        <v/>
      </c>
      <c r="P51" s="40">
        <f>-(P41*#REF!)</f>
        <v/>
      </c>
      <c r="Q51" s="40">
        <f>-(Q41*#REF!)</f>
        <v/>
      </c>
      <c r="R51" s="40">
        <f>-(R41*#REF!)</f>
        <v/>
      </c>
      <c r="S51" s="40">
        <f>-(S41*#REF!)</f>
        <v/>
      </c>
      <c r="T51" s="40">
        <f>-(T41*#REF!)</f>
        <v/>
      </c>
      <c r="U51" s="40">
        <f>-(U41*#REF!)</f>
        <v/>
      </c>
      <c r="V51" s="40">
        <f>-(V41*#REF!)</f>
        <v/>
      </c>
      <c r="W51" s="50" t="n"/>
    </row>
    <row r="52" ht="18.75" customHeight="1">
      <c r="A52" s="55" t="inlineStr">
        <is>
          <t>1%管理費</t>
        </is>
      </c>
      <c r="B52" s="57" t="n"/>
      <c r="C52" s="40" t="n"/>
      <c r="D52" s="40" t="n"/>
      <c r="E52" s="40" t="n"/>
      <c r="F52" s="40" t="n"/>
      <c r="G52" s="40" t="n"/>
      <c r="H52" s="40" t="n"/>
      <c r="I52" s="40" t="n"/>
      <c r="J52" s="40" t="n"/>
      <c r="K52" s="40" t="n"/>
      <c r="L52" s="40" t="n"/>
      <c r="M52" s="40" t="n"/>
      <c r="N52" s="40" t="n"/>
      <c r="O52" s="40" t="n"/>
      <c r="P52" s="40" t="n"/>
      <c r="Q52" s="40" t="n"/>
      <c r="R52" s="40" t="n"/>
      <c r="S52" s="40" t="n"/>
      <c r="T52" s="40" t="n"/>
      <c r="U52" s="40" t="n"/>
      <c r="V52" s="40" t="n"/>
      <c r="W52" s="50" t="n"/>
    </row>
    <row r="53" ht="18.75" customHeight="1">
      <c r="A53" s="60" t="inlineStr">
        <is>
          <t>績效獎金</t>
        </is>
      </c>
      <c r="B53" s="57" t="n"/>
      <c r="C53" s="61" t="n"/>
      <c r="D53" s="61" t="n"/>
      <c r="E53" s="40" t="n"/>
      <c r="F53" s="40" t="n"/>
      <c r="G53" s="40" t="n"/>
      <c r="H53" s="40" t="n"/>
      <c r="I53" s="40" t="n"/>
      <c r="J53" s="40" t="n"/>
      <c r="K53" s="40" t="n"/>
      <c r="L53" s="40" t="n"/>
      <c r="M53" s="40" t="n"/>
      <c r="N53" s="40" t="n"/>
      <c r="O53" s="40" t="n"/>
      <c r="P53" s="40" t="n"/>
      <c r="Q53" s="40" t="n"/>
      <c r="R53" s="40" t="n"/>
      <c r="S53" s="40" t="n"/>
      <c r="T53" s="40" t="n"/>
      <c r="U53" s="40" t="n"/>
      <c r="V53" s="40" t="n"/>
      <c r="W53" s="50" t="n"/>
    </row>
    <row r="54" ht="18.75" customHeight="1">
      <c r="A54" s="60" t="inlineStr">
        <is>
          <t>所得稅20%</t>
        </is>
      </c>
      <c r="B54" s="57" t="n"/>
      <c r="C54" s="40">
        <f>IF((#REF!+SUM(#REF!+#REF!+#REF!+#REF!+#REF!+#REF!))&gt;0,-(#REF!+SUM(#REF!+#REF!+#REF!+#REF!+#REF!+#REF!))*0.2,0)</f>
        <v/>
      </c>
      <c r="D54" s="40">
        <f>IF((#REF!+SUM(#REF!+#REF!+#REF!+#REF!+#REF!+#REF!))&gt;0,-(#REF!+SUM(#REF!+#REF!+#REF!+#REF!+#REF!+#REF!))*0.2,0)</f>
        <v/>
      </c>
      <c r="E54" s="40">
        <f>IF((#REF!+SUM(#REF!+#REF!+#REF!+#REF!+#REF!+#REF!))&gt;0,-(#REF!+SUM(#REF!+#REF!+#REF!+#REF!+#REF!+#REF!))*0.2,0)</f>
        <v/>
      </c>
      <c r="F54" s="40">
        <f>IF((#REF!+SUM(#REF!+#REF!+#REF!+#REF!+#REF!+#REF!))&gt;0,-(#REF!+SUM(#REF!+#REF!+#REF!+#REF!+#REF!+#REF!))*0.2,0)</f>
        <v/>
      </c>
      <c r="G54" s="40">
        <f>IF((#REF!+SUM(#REF!+#REF!+#REF!+#REF!+#REF!+#REF!))&gt;0,-(#REF!+SUM(#REF!+#REF!+#REF!+#REF!+#REF!+#REF!))*0.2,0)</f>
        <v/>
      </c>
      <c r="H54" s="40">
        <f>IF((#REF!+SUM(#REF!+#REF!+#REF!+#REF!+#REF!+#REF!))&gt;0,-(#REF!+SUM(#REF!+#REF!+#REF!+#REF!+#REF!+#REF!))*0.2,0)</f>
        <v/>
      </c>
      <c r="I54" s="40">
        <f>IF((#REF!+SUM(#REF!+#REF!+#REF!+#REF!+#REF!+#REF!))&gt;0,-(#REF!+SUM(#REF!+#REF!+#REF!+#REF!+#REF!+#REF!))*0.2,0)</f>
        <v/>
      </c>
      <c r="J54" s="40">
        <f>IF((#REF!+SUM(#REF!+#REF!+#REF!+#REF!+#REF!+#REF!))&gt;0,-(#REF!+SUM(#REF!+#REF!+#REF!+#REF!+#REF!+#REF!))*0.2,0)</f>
        <v/>
      </c>
      <c r="K54" s="40">
        <f>IF((#REF!+SUM(#REF!+#REF!+#REF!+#REF!+#REF!+#REF!))&gt;0,-(#REF!+SUM(#REF!+#REF!+#REF!+#REF!+#REF!+#REF!))*0.2,0)</f>
        <v/>
      </c>
      <c r="L54" s="40">
        <f>IF((#REF!+SUM(#REF!+#REF!+#REF!+#REF!+#REF!+#REF!))&gt;0,-(#REF!+SUM(#REF!+#REF!+#REF!+#REF!+#REF!+#REF!))*0.2,0)</f>
        <v/>
      </c>
      <c r="M54" s="40">
        <f>IF((#REF!+SUM(#REF!+#REF!+#REF!+#REF!+#REF!+#REF!))&gt;0,-(#REF!+SUM(#REF!+#REF!+#REF!+#REF!+#REF!+#REF!))*0.2,0)</f>
        <v/>
      </c>
      <c r="N54" s="40">
        <f>IF((#REF!+SUM(#REF!+#REF!+#REF!+#REF!+#REF!+#REF!))&gt;0,-(#REF!+SUM(#REF!+#REF!+#REF!+#REF!+#REF!+#REF!))*0.2,0)</f>
        <v/>
      </c>
      <c r="O54" s="40">
        <f>IF((#REF!+SUM(#REF!+#REF!+#REF!+#REF!+#REF!+#REF!))&gt;0,-(#REF!+SUM(#REF!+#REF!+#REF!+#REF!+#REF!+#REF!))*0.2,0)</f>
        <v/>
      </c>
      <c r="P54" s="40">
        <f>IF((#REF!+SUM(#REF!+#REF!+#REF!+#REF!+#REF!+#REF!))&gt;0,-(#REF!+SUM(#REF!+#REF!+#REF!+#REF!+#REF!+#REF!))*0.2,0)</f>
        <v/>
      </c>
      <c r="Q54" s="40">
        <f>IF((#REF!+SUM(#REF!+#REF!+#REF!+#REF!+#REF!+#REF!))&gt;0,-(#REF!+SUM(#REF!+#REF!+#REF!+#REF!+#REF!+#REF!))*0.2,0)</f>
        <v/>
      </c>
      <c r="R54" s="40">
        <f>IF((#REF!+SUM(#REF!+#REF!+#REF!+#REF!+#REF!+#REF!))&gt;0,-(#REF!+SUM(#REF!+#REF!+#REF!+#REF!+#REF!+#REF!))*0.2,0)</f>
        <v/>
      </c>
      <c r="S54" s="40">
        <f>IF((#REF!+SUM(#REF!+#REF!+#REF!+#REF!+#REF!+#REF!))&gt;0,-(#REF!+SUM(#REF!+#REF!+#REF!+#REF!+#REF!+#REF!))*0.2,0)</f>
        <v/>
      </c>
      <c r="T54" s="40">
        <f>IF((#REF!+SUM(#REF!+#REF!+#REF!+#REF!+#REF!+#REF!))&gt;0,-(#REF!+SUM(#REF!+#REF!+#REF!+#REF!+#REF!+#REF!))*0.2,0)</f>
        <v/>
      </c>
      <c r="U54" s="40">
        <f>IF((#REF!+SUM(#REF!+#REF!+#REF!+#REF!+#REF!+#REF!))&gt;0,-(#REF!+SUM(#REF!+#REF!+#REF!+#REF!+#REF!+#REF!))*0.2,0)</f>
        <v/>
      </c>
      <c r="V54" s="40">
        <f>IF((#REF!+SUM(#REF!+#REF!+#REF!+#REF!+#REF!+#REF!))&gt;0,-(#REF!+SUM(#REF!+#REF!+#REF!+#REF!+#REF!+#REF!))*0.2,0)</f>
        <v/>
      </c>
      <c r="W54" s="50" t="n"/>
    </row>
    <row r="55" ht="18.75" customHeight="1" thickBot="1">
      <c r="A55" s="62" t="n"/>
      <c r="B55" s="57" t="n"/>
      <c r="C55" s="59" t="n"/>
      <c r="D55" s="59" t="n"/>
      <c r="E55" s="61" t="n"/>
      <c r="F55" s="61" t="n"/>
      <c r="G55" s="61" t="n"/>
      <c r="H55" s="61" t="n"/>
      <c r="I55" s="61" t="n"/>
      <c r="J55" s="61" t="n"/>
      <c r="K55" s="61" t="n"/>
      <c r="L55" s="61" t="n"/>
      <c r="M55" s="61" t="n"/>
      <c r="N55" s="61" t="n"/>
      <c r="O55" s="61" t="n"/>
      <c r="P55" s="61" t="n"/>
      <c r="Q55" s="61" t="n"/>
      <c r="R55" s="61" t="n"/>
      <c r="S55" s="61" t="n"/>
      <c r="T55" s="61" t="n"/>
      <c r="U55" s="61" t="n"/>
      <c r="V55" s="61" t="n"/>
      <c r="W55" s="63" t="n"/>
    </row>
    <row r="56" ht="18.75" customHeight="1">
      <c r="A56" s="64" t="inlineStr">
        <is>
          <t>現金流</t>
        </is>
      </c>
      <c r="B56" s="65">
        <f>B44</f>
        <v/>
      </c>
      <c r="C56" s="66">
        <f>SUM(C41:C54)</f>
        <v/>
      </c>
      <c r="D56" s="65">
        <f>SUM(D41:D54)</f>
        <v/>
      </c>
      <c r="E56" s="65">
        <f>SUM(E41:E54)</f>
        <v/>
      </c>
      <c r="F56" s="65">
        <f>SUM(F41:F54)</f>
        <v/>
      </c>
      <c r="G56" s="65">
        <f>SUM(G41:G54)</f>
        <v/>
      </c>
      <c r="H56" s="65">
        <f>SUM(H41:H54)</f>
        <v/>
      </c>
      <c r="I56" s="65">
        <f>SUM(I41:I54)</f>
        <v/>
      </c>
      <c r="J56" s="65">
        <f>SUM(J41:J54)</f>
        <v/>
      </c>
      <c r="K56" s="65">
        <f>SUM(K41:K54)</f>
        <v/>
      </c>
      <c r="L56" s="65">
        <f>SUM(L41:L54)</f>
        <v/>
      </c>
      <c r="M56" s="65">
        <f>SUM(M41:M54)</f>
        <v/>
      </c>
      <c r="N56" s="65">
        <f>SUM(N41:N54)</f>
        <v/>
      </c>
      <c r="O56" s="65">
        <f>SUM(O41:O54)</f>
        <v/>
      </c>
      <c r="P56" s="65">
        <f>SUM(P41:P54)</f>
        <v/>
      </c>
      <c r="Q56" s="65">
        <f>SUM(Q41:Q54)</f>
        <v/>
      </c>
      <c r="R56" s="65">
        <f>SUM(R41:R54)</f>
        <v/>
      </c>
      <c r="S56" s="65">
        <f>SUM(S41:S54)</f>
        <v/>
      </c>
      <c r="T56" s="65">
        <f>SUM(T41:T54)</f>
        <v/>
      </c>
      <c r="U56" s="65">
        <f>SUM(U41:U54)</f>
        <v/>
      </c>
      <c r="V56" s="65">
        <f>SUM(V41:V54)</f>
        <v/>
      </c>
      <c r="W56" s="67" t="n"/>
      <c r="X56" s="68" t="n"/>
      <c r="Y56" s="69" t="n"/>
      <c r="Z56" s="68" t="n"/>
      <c r="AA56" s="68" t="n"/>
      <c r="AB56" s="68" t="n"/>
      <c r="AC56" s="68" t="n"/>
      <c r="AD56" s="68" t="n"/>
      <c r="AE56" s="68" t="n"/>
      <c r="AF56" s="68" t="n"/>
      <c r="AG56" s="68" t="n"/>
      <c r="AH56" s="68" t="n"/>
      <c r="AI56" s="68" t="n"/>
    </row>
    <row r="57" ht="18.75" customHeight="1" thickBot="1">
      <c r="A57" s="70" t="inlineStr">
        <is>
          <t>累計現金流</t>
        </is>
      </c>
      <c r="B57" s="71" t="n"/>
      <c r="C57" s="72">
        <f>C56+B56</f>
        <v/>
      </c>
      <c r="D57" s="72">
        <f>D56+C57</f>
        <v/>
      </c>
      <c r="E57" s="72">
        <f>E56+D57</f>
        <v/>
      </c>
      <c r="F57" s="72">
        <f>F56+E57</f>
        <v/>
      </c>
      <c r="G57" s="72">
        <f>G56+F57</f>
        <v/>
      </c>
      <c r="H57" s="72">
        <f>H56+G57</f>
        <v/>
      </c>
      <c r="I57" s="72">
        <f>I56+H57</f>
        <v/>
      </c>
      <c r="J57" s="72">
        <f>J56+I57</f>
        <v/>
      </c>
      <c r="K57" s="72">
        <f>K56+J57</f>
        <v/>
      </c>
      <c r="L57" s="72">
        <f>L56+K57</f>
        <v/>
      </c>
      <c r="M57" s="72">
        <f>M56+L57</f>
        <v/>
      </c>
      <c r="N57" s="72">
        <f>N56+M57</f>
        <v/>
      </c>
      <c r="O57" s="72">
        <f>O56+N57</f>
        <v/>
      </c>
      <c r="P57" s="72">
        <f>P56+O57</f>
        <v/>
      </c>
      <c r="Q57" s="72">
        <f>Q56+P57</f>
        <v/>
      </c>
      <c r="R57" s="72">
        <f>R56+Q57</f>
        <v/>
      </c>
      <c r="S57" s="72">
        <f>S56+R57</f>
        <v/>
      </c>
      <c r="T57" s="72">
        <f>T56+S57</f>
        <v/>
      </c>
      <c r="U57" s="72">
        <f>U56+T57</f>
        <v/>
      </c>
      <c r="V57" s="72">
        <f>V56+U57</f>
        <v/>
      </c>
      <c r="W57" s="73" t="n"/>
      <c r="X57" s="68" t="n"/>
      <c r="Y57" s="68" t="n"/>
      <c r="Z57" s="68" t="n"/>
      <c r="AA57" s="68" t="n"/>
      <c r="AB57" s="68" t="n"/>
      <c r="AC57" s="68" t="n"/>
      <c r="AD57" s="68" t="n"/>
      <c r="AE57" s="68" t="n"/>
      <c r="AF57" s="68" t="n"/>
      <c r="AG57" s="68" t="n"/>
      <c r="AH57" s="68" t="n"/>
      <c r="AI57" s="68" t="n"/>
    </row>
    <row r="58" hidden="1" ht="18.75" customHeight="1">
      <c r="A58" s="74" t="inlineStr">
        <is>
          <t>Discounted cash flow</t>
        </is>
      </c>
      <c r="B58" s="75" t="n">
        <v>-37721416.4</v>
      </c>
      <c r="C58" s="76" t="n"/>
      <c r="D58" s="76" t="n"/>
      <c r="E58" s="77" t="n">
        <v>4765724.101934625</v>
      </c>
      <c r="F58" s="77" t="n">
        <v>4715578.687122989</v>
      </c>
      <c r="G58" s="77" t="n">
        <v>4665433.272311353</v>
      </c>
      <c r="H58" s="77" t="n">
        <v>4615287.857499719</v>
      </c>
      <c r="I58" s="77" t="n">
        <v>4565142.442688081</v>
      </c>
      <c r="J58" s="77" t="n">
        <v>4517504.29861703</v>
      </c>
      <c r="K58" s="77" t="n">
        <v>4469866.154545976</v>
      </c>
      <c r="L58" s="77" t="n">
        <v>4422228.010474921</v>
      </c>
      <c r="M58" s="77" t="n">
        <v>4374589.866403867</v>
      </c>
      <c r="N58" s="77" t="n">
        <v>4326951.722332815</v>
      </c>
      <c r="O58" s="77" t="n">
        <v>4284954.937428069</v>
      </c>
      <c r="P58" s="77" t="n">
        <v>4242958.152523325</v>
      </c>
      <c r="Q58" s="77" t="n">
        <v>4200961.36761858</v>
      </c>
      <c r="R58" s="77" t="n">
        <v>4158964.582713835</v>
      </c>
      <c r="S58" s="77" t="n">
        <v>4116967.797809093</v>
      </c>
      <c r="T58" s="77" t="n">
        <v>4074971.012904346</v>
      </c>
      <c r="U58" s="77" t="n">
        <v>4032974.227999602</v>
      </c>
      <c r="V58" s="77" t="n">
        <v>3990977.443094858</v>
      </c>
      <c r="W58" s="78" t="n"/>
      <c r="X58" s="68" t="n"/>
      <c r="Y58" s="68" t="n"/>
      <c r="Z58" s="68" t="n"/>
      <c r="AA58" s="68" t="n"/>
      <c r="AB58" s="68" t="n"/>
      <c r="AC58" s="68" t="n"/>
      <c r="AD58" s="68" t="n"/>
      <c r="AE58" s="68" t="n"/>
      <c r="AF58" s="68" t="n"/>
      <c r="AG58" s="68" t="n"/>
      <c r="AH58" s="68" t="n"/>
      <c r="AI58" s="68" t="n"/>
    </row>
    <row r="59" hidden="1" ht="18.75" customHeight="1">
      <c r="A59" s="74" t="inlineStr">
        <is>
          <t>Minus : Depreciation</t>
        </is>
      </c>
      <c r="B59" s="79" t="n"/>
      <c r="C59" s="61" t="n"/>
      <c r="D59" s="61" t="n"/>
      <c r="E59" s="61" t="n">
        <v>1886070.82</v>
      </c>
      <c r="F59" s="61" t="n">
        <v>1886070.82</v>
      </c>
      <c r="G59" s="61" t="n">
        <v>1886070.82</v>
      </c>
      <c r="H59" s="61" t="n">
        <v>1886070.82</v>
      </c>
      <c r="I59" s="61" t="n">
        <v>1886070.82</v>
      </c>
      <c r="J59" s="61" t="n">
        <v>1886070.82</v>
      </c>
      <c r="K59" s="61" t="n">
        <v>1886070.82</v>
      </c>
      <c r="L59" s="61" t="n">
        <v>1886070.82</v>
      </c>
      <c r="M59" s="61" t="n">
        <v>1886070.82</v>
      </c>
      <c r="N59" s="61" t="n">
        <v>1886070.82</v>
      </c>
      <c r="O59" s="61" t="n">
        <v>1886070.82</v>
      </c>
      <c r="P59" s="61" t="n">
        <v>1886070.82</v>
      </c>
      <c r="Q59" s="61" t="n">
        <v>1886070.82</v>
      </c>
      <c r="R59" s="61" t="n">
        <v>1886070.82</v>
      </c>
      <c r="S59" s="61" t="n">
        <v>1886070.82</v>
      </c>
      <c r="T59" s="61" t="n">
        <v>1886070.82</v>
      </c>
      <c r="U59" s="61" t="n">
        <v>1886070.82</v>
      </c>
      <c r="V59" s="61" t="n">
        <v>1886070.82</v>
      </c>
      <c r="W59" s="80" t="n"/>
      <c r="X59" s="68" t="n"/>
      <c r="Y59" s="68" t="n"/>
      <c r="Z59" s="68" t="n"/>
      <c r="AA59" s="68" t="n"/>
      <c r="AB59" s="68" t="n"/>
      <c r="AC59" s="68" t="n"/>
      <c r="AD59" s="68" t="n"/>
      <c r="AE59" s="68" t="n"/>
      <c r="AF59" s="68" t="n"/>
      <c r="AG59" s="68" t="n"/>
      <c r="AH59" s="68" t="n"/>
      <c r="AI59" s="68" t="n"/>
    </row>
    <row r="60" hidden="1" ht="18.75" customHeight="1">
      <c r="A60" s="74" t="inlineStr">
        <is>
          <t>Plus : Principle payment</t>
        </is>
      </c>
      <c r="B60" s="79" t="n"/>
      <c r="C60" s="61" t="n"/>
      <c r="D60" s="61" t="n"/>
      <c r="E60" s="61" t="n">
        <v>0</v>
      </c>
      <c r="F60" s="61" t="n">
        <v>0</v>
      </c>
      <c r="G60" s="61" t="n">
        <v>0</v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80" t="n"/>
      <c r="X60" s="68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</row>
    <row r="61" hidden="1" ht="18.75" customHeight="1">
      <c r="A61" s="81" t="inlineStr">
        <is>
          <t>Profit</t>
        </is>
      </c>
      <c r="B61" s="82" t="n"/>
      <c r="C61" s="83" t="n"/>
      <c r="D61" s="83" t="n"/>
      <c r="E61" s="83" t="n">
        <v>2879653.281934625</v>
      </c>
      <c r="F61" s="83" t="n">
        <v>2829507.867122989</v>
      </c>
      <c r="G61" s="83" t="n">
        <v>2779362.452311353</v>
      </c>
      <c r="H61" s="83" t="n">
        <v>2729217.037499719</v>
      </c>
      <c r="I61" s="83" t="n">
        <v>2679071.622688082</v>
      </c>
      <c r="J61" s="83" t="n">
        <v>2631433.47861703</v>
      </c>
      <c r="K61" s="83" t="n">
        <v>2583795.334545976</v>
      </c>
      <c r="L61" s="83" t="n">
        <v>2536157.190474921</v>
      </c>
      <c r="M61" s="83" t="n">
        <v>2488519.046403868</v>
      </c>
      <c r="N61" s="83" t="n">
        <v>2440880.902332815</v>
      </c>
      <c r="O61" s="83" t="n">
        <v>2398884.117428069</v>
      </c>
      <c r="P61" s="83" t="n">
        <v>2356887.332523325</v>
      </c>
      <c r="Q61" s="83" t="n">
        <v>2314890.547618581</v>
      </c>
      <c r="R61" s="83" t="n">
        <v>2272893.762713836</v>
      </c>
      <c r="S61" s="83" t="n">
        <v>2230896.977809093</v>
      </c>
      <c r="T61" s="83" t="n">
        <v>2188900.192904347</v>
      </c>
      <c r="U61" s="83" t="n">
        <v>2146903.407999602</v>
      </c>
      <c r="V61" s="83" t="n">
        <v>2104906.623094858</v>
      </c>
      <c r="W61" s="84" t="n"/>
      <c r="X61" s="68" t="n"/>
      <c r="Y61" s="68" t="n"/>
      <c r="Z61" s="68" t="n"/>
      <c r="AA61" s="68" t="n"/>
      <c r="AB61" s="68" t="n"/>
      <c r="AC61" s="68" t="n"/>
      <c r="AD61" s="68" t="n"/>
      <c r="AE61" s="68" t="n"/>
      <c r="AF61" s="68" t="n"/>
      <c r="AG61" s="68" t="n"/>
      <c r="AH61" s="68" t="n"/>
      <c r="AI61" s="68" t="n"/>
    </row>
    <row r="62" hidden="1" ht="18.75" customHeight="1">
      <c r="A62" s="85" t="inlineStr">
        <is>
          <t>EPS</t>
        </is>
      </c>
      <c r="B62" s="86" t="n"/>
      <c r="C62" s="87" t="n"/>
      <c r="D62" s="87" t="n"/>
      <c r="E62" s="88" t="n">
        <v>0.7634000938349244</v>
      </c>
      <c r="F62" s="88" t="n">
        <v>0.7501064745604274</v>
      </c>
      <c r="G62" s="88" t="n">
        <v>0.7368128552859308</v>
      </c>
      <c r="H62" s="88" t="n">
        <v>0.7235192360114343</v>
      </c>
      <c r="I62" s="88" t="n">
        <v>0.7102256167369372</v>
      </c>
      <c r="J62" s="88" t="n">
        <v>0.6975966784261659</v>
      </c>
      <c r="K62" s="88" t="n">
        <v>0.6849677401153941</v>
      </c>
      <c r="L62" s="88" t="n">
        <v>0.6723388018046219</v>
      </c>
      <c r="M62" s="88" t="n">
        <v>0.6597098634938501</v>
      </c>
      <c r="N62" s="88" t="n">
        <v>0.6470809251830785</v>
      </c>
      <c r="O62" s="88" t="n">
        <v>0.6359475190406874</v>
      </c>
      <c r="P62" s="88" t="n">
        <v>0.6248141128982965</v>
      </c>
      <c r="Q62" s="88" t="n">
        <v>0.6136807067559056</v>
      </c>
      <c r="R62" s="88" t="n">
        <v>0.6025473006135146</v>
      </c>
      <c r="S62" s="88" t="n">
        <v>0.5914138944711241</v>
      </c>
      <c r="T62" s="88" t="n">
        <v>0.5802804883287328</v>
      </c>
      <c r="U62" s="88" t="n">
        <v>0.5691470821863418</v>
      </c>
      <c r="V62" s="88" t="n">
        <v>0.5580136760439509</v>
      </c>
      <c r="W62" s="89" t="n"/>
      <c r="X62" s="68" t="n"/>
      <c r="Y62" s="68" t="n"/>
      <c r="Z62" s="68" t="n"/>
      <c r="AA62" s="68" t="n"/>
      <c r="AB62" s="68" t="n"/>
      <c r="AC62" s="68" t="n"/>
      <c r="AD62" s="68" t="n"/>
      <c r="AE62" s="68" t="n"/>
      <c r="AF62" s="68" t="n"/>
      <c r="AG62" s="68" t="n"/>
      <c r="AH62" s="68" t="n"/>
      <c r="AI62" s="68" t="n"/>
    </row>
    <row r="63" ht="18.75" customHeight="1" thickBot="1">
      <c r="A63" s="90" t="inlineStr">
        <is>
          <t>回收年限評估</t>
        </is>
      </c>
      <c r="B63" s="91" t="n"/>
      <c r="C63" s="92">
        <f>IF((C57)&gt;0,"回收","未回收")</f>
        <v/>
      </c>
      <c r="D63" s="92">
        <f>IF((D57)&gt;0,"回收","未回收")</f>
        <v/>
      </c>
      <c r="E63" s="92">
        <f>IF((E57)&gt;0,"回收","未回收")</f>
        <v/>
      </c>
      <c r="F63" s="92">
        <f>IF((F57)&gt;0,"回收","未回收")</f>
        <v/>
      </c>
      <c r="G63" s="92">
        <f>IF((G57)&gt;0,"回收","未回收")</f>
        <v/>
      </c>
      <c r="H63" s="92">
        <f>IF((H57)&gt;0,"回收","未回收")</f>
        <v/>
      </c>
      <c r="I63" s="92">
        <f>IF((I57)&gt;0,"回收","未回收")</f>
        <v/>
      </c>
      <c r="J63" s="92">
        <f>IF((J57)&gt;0,"回收","未回收")</f>
        <v/>
      </c>
      <c r="K63" s="92">
        <f>IF((K57)&gt;0,"回收","未回收")</f>
        <v/>
      </c>
      <c r="L63" s="92">
        <f>IF((L57)&gt;0,"回收","未回收")</f>
        <v/>
      </c>
      <c r="M63" s="92">
        <f>IF((M57)&gt;0,"回收","未回收")</f>
        <v/>
      </c>
      <c r="N63" s="92">
        <f>IF((N57)&gt;0,"回收","未回收")</f>
        <v/>
      </c>
      <c r="O63" s="92">
        <f>IF((O57)&gt;0,"回收","未回收")</f>
        <v/>
      </c>
      <c r="P63" s="92">
        <f>IF((P57)&gt;0,"回收","未回收")</f>
        <v/>
      </c>
      <c r="Q63" s="92">
        <f>IF((Q57)&gt;0,"回收","未回收")</f>
        <v/>
      </c>
      <c r="R63" s="92">
        <f>IF((R57)&gt;0,"回收","未回收")</f>
        <v/>
      </c>
      <c r="S63" s="92">
        <f>IF((S57)&gt;0,"回收","未回收")</f>
        <v/>
      </c>
      <c r="T63" s="92">
        <f>IF((T57)&gt;0,"回收","未回收")</f>
        <v/>
      </c>
      <c r="U63" s="92">
        <f>IF((U57)&gt;0,"回收","未回收")</f>
        <v/>
      </c>
      <c r="V63" s="92">
        <f>IF((V57)&gt;0,"回收","未回收")</f>
        <v/>
      </c>
      <c r="W63" s="93" t="n"/>
      <c r="X63" s="68" t="n"/>
      <c r="Y63" s="68" t="n"/>
      <c r="Z63" s="68" t="n"/>
      <c r="AA63" s="68" t="n"/>
      <c r="AB63" s="68" t="n"/>
      <c r="AC63" s="68" t="n"/>
      <c r="AD63" s="68" t="n"/>
      <c r="AE63" s="68" t="n"/>
      <c r="AF63" s="68" t="n"/>
      <c r="AG63" s="68" t="n"/>
      <c r="AH63" s="68" t="n"/>
      <c r="AI63" s="68" t="n"/>
    </row>
    <row r="64" ht="18.75" customHeight="1">
      <c r="A64" s="28" t="n"/>
      <c r="B64" s="149" t="n"/>
      <c r="C64" s="149" t="n"/>
      <c r="D64" s="149" t="n"/>
      <c r="E64" s="59" t="n"/>
      <c r="F64" s="59" t="n"/>
      <c r="G64" s="59" t="n"/>
      <c r="H64" s="59" t="n"/>
      <c r="I64" s="59" t="n"/>
      <c r="J64" s="59" t="n"/>
      <c r="K64" s="59" t="n"/>
      <c r="L64" s="59" t="n"/>
      <c r="M64" s="59" t="n"/>
      <c r="N64" s="59" t="n"/>
      <c r="O64" s="59" t="n"/>
      <c r="P64" s="59" t="n"/>
      <c r="Q64" s="59" t="n"/>
      <c r="R64" s="59" t="n"/>
      <c r="S64" s="59" t="n"/>
      <c r="T64" s="59" t="n"/>
      <c r="U64" s="59" t="n"/>
      <c r="V64" s="59" t="n"/>
      <c r="W64" s="95" t="n"/>
      <c r="X64" s="68" t="n"/>
      <c r="Y64" s="68" t="n"/>
      <c r="Z64" s="68" t="n"/>
      <c r="AA64" s="68" t="n"/>
      <c r="AB64" s="68" t="n"/>
      <c r="AC64" s="68" t="n"/>
      <c r="AD64" s="68" t="n"/>
      <c r="AE64" s="68" t="n"/>
      <c r="AF64" s="68" t="n"/>
      <c r="AG64" s="68" t="n"/>
      <c r="AH64" s="68" t="n"/>
      <c r="AI64" s="68" t="n"/>
    </row>
    <row r="65" ht="18.75" customHeight="1">
      <c r="A65" s="28" t="n"/>
      <c r="B65" s="149" t="n"/>
      <c r="C65" s="149" t="n"/>
      <c r="D65" s="149" t="n"/>
      <c r="E65" s="59" t="n"/>
      <c r="F65" s="59" t="n"/>
      <c r="G65" s="59" t="n"/>
      <c r="H65" s="59" t="n"/>
      <c r="I65" s="59" t="n"/>
      <c r="J65" s="59" t="n"/>
      <c r="K65" s="59" t="inlineStr">
        <is>
          <t>預估可建置量</t>
        </is>
      </c>
      <c r="L65" s="96" t="n">
        <v>0</v>
      </c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95" t="n"/>
      <c r="X65" s="68" t="n"/>
      <c r="Y65" s="68" t="n"/>
      <c r="Z65" s="68" t="n"/>
      <c r="AA65" s="68" t="n"/>
      <c r="AB65" s="68" t="n"/>
      <c r="AC65" s="68" t="n"/>
      <c r="AD65" s="68" t="n"/>
      <c r="AE65" s="68" t="n"/>
      <c r="AF65" s="68" t="n"/>
      <c r="AG65" s="68" t="n"/>
      <c r="AH65" s="68" t="n"/>
      <c r="AI65" s="68" t="n"/>
    </row>
    <row r="66" ht="18.75" customHeight="1">
      <c r="A66" s="28" t="n"/>
      <c r="B66" s="149" t="n"/>
      <c r="C66" s="149" t="n"/>
      <c r="D66" s="149" t="n"/>
      <c r="E66" s="59" t="n"/>
      <c r="F66" s="59" t="n"/>
      <c r="G66" s="59" t="n"/>
      <c r="H66" s="59" t="n"/>
      <c r="I66" s="59" t="n"/>
      <c r="J66" s="59" t="n"/>
      <c r="K66" s="59" t="inlineStr">
        <is>
          <t>預估可建置量</t>
        </is>
      </c>
      <c r="L66" s="96" t="n">
        <v>0</v>
      </c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95" t="n"/>
      <c r="X66" s="68" t="n"/>
      <c r="Y66" s="68" t="n"/>
      <c r="Z66" s="68" t="n"/>
      <c r="AA66" s="68" t="n"/>
      <c r="AB66" s="68" t="n"/>
      <c r="AC66" s="68" t="n"/>
      <c r="AD66" s="68" t="n"/>
      <c r="AE66" s="68" t="n"/>
      <c r="AF66" s="68" t="n"/>
      <c r="AG66" s="68" t="n"/>
      <c r="AH66" s="68" t="n"/>
      <c r="AI66" s="68" t="n"/>
    </row>
    <row r="67" ht="18.75" customHeight="1">
      <c r="B67" s="97" t="inlineStr">
        <is>
          <t>年份</t>
        </is>
      </c>
      <c r="C67" s="98" t="n">
        <v>2020</v>
      </c>
      <c r="D67" s="98" t="n">
        <v>2021</v>
      </c>
      <c r="E67" s="98" t="n">
        <v>2022</v>
      </c>
      <c r="F67" s="98" t="n">
        <v>2023</v>
      </c>
      <c r="G67" s="98" t="n">
        <v>2024</v>
      </c>
      <c r="H67" s="98" t="n">
        <v>2025</v>
      </c>
      <c r="I67" s="98" t="n">
        <v>2026</v>
      </c>
      <c r="J67" s="98" t="n">
        <v>2027</v>
      </c>
      <c r="K67" s="98" t="n">
        <v>2028</v>
      </c>
      <c r="L67" s="98" t="n">
        <v>2029</v>
      </c>
      <c r="M67" s="98" t="n">
        <v>2030</v>
      </c>
      <c r="N67" s="98" t="n">
        <v>2031</v>
      </c>
      <c r="O67" s="98" t="n">
        <v>2032</v>
      </c>
      <c r="P67" s="98" t="n">
        <v>2033</v>
      </c>
      <c r="Q67" s="98" t="n">
        <v>2034</v>
      </c>
      <c r="R67" s="98" t="n">
        <v>2035</v>
      </c>
      <c r="S67" s="98" t="n">
        <v>2036</v>
      </c>
      <c r="T67" s="98" t="n">
        <v>2037</v>
      </c>
      <c r="U67" s="98" t="n">
        <v>2038</v>
      </c>
      <c r="V67" s="98" t="n">
        <v>2039</v>
      </c>
      <c r="W67" s="99" t="n"/>
    </row>
    <row r="68" ht="18.75" customHeight="1">
      <c r="W68" s="99" t="n"/>
    </row>
    <row r="69" ht="18.75" customHeight="1">
      <c r="A69" s="100" t="inlineStr">
        <is>
          <t>(Unit : Currency)</t>
        </is>
      </c>
      <c r="B69" s="101" t="n">
        <v>0</v>
      </c>
      <c r="C69" s="101" t="n">
        <v>1</v>
      </c>
      <c r="D69" s="101" t="n">
        <v>2</v>
      </c>
      <c r="E69" s="101" t="n">
        <v>3</v>
      </c>
      <c r="F69" s="101" t="n">
        <v>4</v>
      </c>
      <c r="G69" s="101" t="n">
        <v>5</v>
      </c>
      <c r="H69" s="101" t="n">
        <v>6</v>
      </c>
      <c r="I69" s="101" t="n">
        <v>7</v>
      </c>
      <c r="J69" s="101" t="n">
        <v>8</v>
      </c>
      <c r="K69" s="101" t="n">
        <v>9</v>
      </c>
      <c r="L69" s="101" t="n">
        <v>10</v>
      </c>
      <c r="M69" s="101" t="n">
        <v>11</v>
      </c>
      <c r="N69" s="101" t="n">
        <v>12</v>
      </c>
      <c r="O69" s="101" t="n">
        <v>13</v>
      </c>
      <c r="P69" s="101" t="n">
        <v>14</v>
      </c>
      <c r="Q69" s="101" t="n">
        <v>15</v>
      </c>
      <c r="R69" s="101" t="n">
        <v>16</v>
      </c>
      <c r="S69" s="101" t="n">
        <v>17</v>
      </c>
      <c r="T69" s="101" t="n">
        <v>18</v>
      </c>
      <c r="U69" s="101" t="n">
        <v>19</v>
      </c>
      <c r="V69" s="101" t="n">
        <v>20</v>
      </c>
      <c r="W69" s="102" t="n"/>
    </row>
    <row r="70" ht="18.75" customHeight="1">
      <c r="A70" s="103" t="inlineStr">
        <is>
          <t>稅後淨利</t>
        </is>
      </c>
      <c r="B70" s="104" t="n"/>
      <c r="C70" s="104">
        <f>#REF!</f>
        <v/>
      </c>
      <c r="D70" s="104">
        <f>#REF!</f>
        <v/>
      </c>
      <c r="E70" s="104">
        <f>#REF!</f>
        <v/>
      </c>
      <c r="F70" s="104">
        <f>#REF!</f>
        <v/>
      </c>
      <c r="G70" s="104">
        <f>#REF!</f>
        <v/>
      </c>
      <c r="H70" s="104">
        <f>#REF!</f>
        <v/>
      </c>
      <c r="I70" s="104">
        <f>#REF!</f>
        <v/>
      </c>
      <c r="J70" s="104">
        <f>#REF!</f>
        <v/>
      </c>
      <c r="K70" s="104">
        <f>#REF!</f>
        <v/>
      </c>
      <c r="L70" s="104">
        <f>#REF!</f>
        <v/>
      </c>
      <c r="M70" s="104">
        <f>#REF!</f>
        <v/>
      </c>
      <c r="N70" s="104">
        <f>#REF!</f>
        <v/>
      </c>
      <c r="O70" s="104">
        <f>#REF!</f>
        <v/>
      </c>
      <c r="P70" s="104">
        <f>#REF!</f>
        <v/>
      </c>
      <c r="Q70" s="104">
        <f>#REF!</f>
        <v/>
      </c>
      <c r="R70" s="104">
        <f>#REF!</f>
        <v/>
      </c>
      <c r="S70" s="104">
        <f>#REF!</f>
        <v/>
      </c>
      <c r="T70" s="104">
        <f>#REF!</f>
        <v/>
      </c>
      <c r="U70" s="104">
        <f>#REF!</f>
        <v/>
      </c>
      <c r="V70" s="104">
        <f>#REF!</f>
        <v/>
      </c>
      <c r="W70" s="77" t="n"/>
    </row>
    <row r="71" ht="18.75" customHeight="1">
      <c r="A71" s="103" t="inlineStr">
        <is>
          <t>設備折舊</t>
        </is>
      </c>
      <c r="B71" s="104" t="n"/>
      <c r="C71" s="105">
        <f>-#REF!</f>
        <v/>
      </c>
      <c r="D71" s="105">
        <f>-#REF!</f>
        <v/>
      </c>
      <c r="E71" s="105">
        <f>-#REF!</f>
        <v/>
      </c>
      <c r="F71" s="105">
        <f>-#REF!</f>
        <v/>
      </c>
      <c r="G71" s="105">
        <f>-#REF!</f>
        <v/>
      </c>
      <c r="H71" s="105">
        <f>-#REF!</f>
        <v/>
      </c>
      <c r="I71" s="105">
        <f>-#REF!</f>
        <v/>
      </c>
      <c r="J71" s="105">
        <f>-#REF!</f>
        <v/>
      </c>
      <c r="K71" s="105">
        <f>-#REF!</f>
        <v/>
      </c>
      <c r="L71" s="105">
        <f>-#REF!</f>
        <v/>
      </c>
      <c r="M71" s="105">
        <f>-#REF!</f>
        <v/>
      </c>
      <c r="N71" s="105">
        <f>-#REF!</f>
        <v/>
      </c>
      <c r="O71" s="105">
        <f>-#REF!</f>
        <v/>
      </c>
      <c r="P71" s="105">
        <f>-#REF!</f>
        <v/>
      </c>
      <c r="Q71" s="105">
        <f>-#REF!</f>
        <v/>
      </c>
      <c r="R71" s="105">
        <f>-#REF!</f>
        <v/>
      </c>
      <c r="S71" s="105">
        <f>-#REF!</f>
        <v/>
      </c>
      <c r="T71" s="105">
        <f>-#REF!</f>
        <v/>
      </c>
      <c r="U71" s="105">
        <f>-#REF!</f>
        <v/>
      </c>
      <c r="V71" s="105">
        <f>-#REF!</f>
        <v/>
      </c>
      <c r="W71" s="77" t="n"/>
    </row>
    <row r="72" ht="18.75" customHeight="1">
      <c r="A72" s="103" t="inlineStr">
        <is>
          <t>營運活動現金流量</t>
        </is>
      </c>
      <c r="B72" s="104" t="n"/>
      <c r="C72" s="106">
        <f>SUM(C70:C71)</f>
        <v/>
      </c>
      <c r="D72" s="106">
        <f>SUM(D70:D71)</f>
        <v/>
      </c>
      <c r="E72" s="106">
        <f>SUM(E70:E71)</f>
        <v/>
      </c>
      <c r="F72" s="106">
        <f>SUM(F70:F71)</f>
        <v/>
      </c>
      <c r="G72" s="106">
        <f>SUM(G70:G71)</f>
        <v/>
      </c>
      <c r="H72" s="106">
        <f>SUM(H70:H71)</f>
        <v/>
      </c>
      <c r="I72" s="106">
        <f>SUM(I70:I71)</f>
        <v/>
      </c>
      <c r="J72" s="106">
        <f>SUM(J70:J71)</f>
        <v/>
      </c>
      <c r="K72" s="106">
        <f>SUM(K70:K71)</f>
        <v/>
      </c>
      <c r="L72" s="106">
        <f>SUM(L70:L71)</f>
        <v/>
      </c>
      <c r="M72" s="106">
        <f>SUM(M70:M71)</f>
        <v/>
      </c>
      <c r="N72" s="106">
        <f>SUM(N70:N71)</f>
        <v/>
      </c>
      <c r="O72" s="106">
        <f>SUM(O70:O71)</f>
        <v/>
      </c>
      <c r="P72" s="106">
        <f>SUM(P70:P71)</f>
        <v/>
      </c>
      <c r="Q72" s="106">
        <f>SUM(Q70:Q71)</f>
        <v/>
      </c>
      <c r="R72" s="106">
        <f>SUM(R70:R71)</f>
        <v/>
      </c>
      <c r="S72" s="106">
        <f>SUM(S70:S71)</f>
        <v/>
      </c>
      <c r="T72" s="106">
        <f>SUM(T70:T71)</f>
        <v/>
      </c>
      <c r="U72" s="106">
        <f>SUM(U70:U71)</f>
        <v/>
      </c>
      <c r="V72" s="106">
        <f>SUM(V70:V71)</f>
        <v/>
      </c>
      <c r="W72" s="107" t="n"/>
    </row>
    <row r="73" ht="18.75" customHeight="1">
      <c r="A73" s="103" t="n"/>
      <c r="B73" s="104" t="n"/>
      <c r="C73" s="104" t="n"/>
      <c r="D73" s="104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99" t="n"/>
    </row>
    <row r="74" ht="18.75" customHeight="1">
      <c r="A74" s="109" t="inlineStr">
        <is>
          <t>投資活動-設備支出</t>
        </is>
      </c>
      <c r="B74" s="110" t="n"/>
      <c r="C74" s="111">
        <f>B44</f>
        <v/>
      </c>
      <c r="D74" s="110" t="n">
        <v>0</v>
      </c>
      <c r="E74" s="110" t="n"/>
      <c r="F74" s="110" t="n">
        <v>0</v>
      </c>
      <c r="G74" s="110" t="n">
        <v>0</v>
      </c>
      <c r="H74" s="110" t="n">
        <v>0</v>
      </c>
      <c r="I74" s="110" t="n">
        <v>0</v>
      </c>
      <c r="J74" s="110" t="n">
        <v>0</v>
      </c>
      <c r="K74" s="110" t="n">
        <v>0</v>
      </c>
      <c r="L74" s="110" t="n">
        <v>0</v>
      </c>
      <c r="M74" s="110" t="n">
        <v>0</v>
      </c>
      <c r="N74" s="110" t="n">
        <v>0</v>
      </c>
      <c r="O74" s="110" t="n">
        <v>0</v>
      </c>
      <c r="P74" s="110" t="n">
        <v>0</v>
      </c>
      <c r="Q74" s="110" t="n">
        <v>0</v>
      </c>
      <c r="R74" s="110" t="n">
        <v>0</v>
      </c>
      <c r="S74" s="110" t="n">
        <v>0</v>
      </c>
      <c r="T74" s="110" t="n">
        <v>0</v>
      </c>
      <c r="U74" s="110" t="n">
        <v>0</v>
      </c>
      <c r="V74" s="110" t="n">
        <v>0</v>
      </c>
      <c r="W74" s="77" t="n"/>
    </row>
    <row r="75" ht="18.75" customHeight="1">
      <c r="A75" s="103" t="n"/>
      <c r="B75" s="104" t="n"/>
      <c r="C75" s="104" t="n"/>
      <c r="D75" s="104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99" t="n"/>
    </row>
    <row r="76" ht="18.75" customHeight="1">
      <c r="A76" s="103" t="n"/>
      <c r="B76" s="104" t="n"/>
      <c r="C76" s="104" t="n"/>
      <c r="D76" s="104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99" t="n"/>
    </row>
    <row r="77" ht="18.75" customHeight="1">
      <c r="A77" s="109" t="inlineStr">
        <is>
          <t>理財活動-借款</t>
        </is>
      </c>
      <c r="B77" s="110" t="n"/>
      <c r="C77" s="111">
        <f>#REF!*0.8</f>
        <v/>
      </c>
      <c r="D77" s="110" t="n"/>
      <c r="E77" s="110" t="n"/>
      <c r="F77" s="110" t="n">
        <v>0</v>
      </c>
      <c r="G77" s="110" t="n">
        <v>0</v>
      </c>
      <c r="H77" s="110" t="n">
        <v>0</v>
      </c>
      <c r="I77" s="110" t="n">
        <v>0</v>
      </c>
      <c r="J77" s="110" t="n">
        <v>0</v>
      </c>
      <c r="K77" s="110" t="n">
        <v>0</v>
      </c>
      <c r="L77" s="110" t="n">
        <v>0</v>
      </c>
      <c r="M77" s="110" t="n">
        <v>0</v>
      </c>
      <c r="N77" s="110" t="n">
        <v>0</v>
      </c>
      <c r="O77" s="110" t="n">
        <v>0</v>
      </c>
      <c r="P77" s="110" t="n">
        <v>0</v>
      </c>
      <c r="Q77" s="110" t="n">
        <v>0</v>
      </c>
      <c r="R77" s="110" t="n">
        <v>0</v>
      </c>
      <c r="S77" s="110" t="n">
        <v>0</v>
      </c>
      <c r="T77" s="110" t="n">
        <v>0</v>
      </c>
      <c r="U77" s="110" t="n">
        <v>0</v>
      </c>
      <c r="V77" s="110" t="n">
        <v>0</v>
      </c>
      <c r="W77" s="99" t="n"/>
    </row>
    <row r="78" ht="18.75" customHeight="1">
      <c r="A78" s="103" t="inlineStr">
        <is>
          <t>理財活動-還款</t>
        </is>
      </c>
      <c r="B78" s="104" t="n"/>
      <c r="C78" s="104" t="n"/>
      <c r="D78" s="104">
        <f>-#REF!</f>
        <v/>
      </c>
      <c r="E78" s="104">
        <f>-#REF!</f>
        <v/>
      </c>
      <c r="F78" s="104">
        <f>-#REF!</f>
        <v/>
      </c>
      <c r="G78" s="104">
        <f>-#REF!</f>
        <v/>
      </c>
      <c r="H78" s="104">
        <f>-#REF!</f>
        <v/>
      </c>
      <c r="I78" s="104">
        <f>-#REF!</f>
        <v/>
      </c>
      <c r="J78" s="104">
        <f>-#REF!</f>
        <v/>
      </c>
      <c r="K78" s="104">
        <f>-#REF!</f>
        <v/>
      </c>
      <c r="L78" s="104">
        <f>-#REF!</f>
        <v/>
      </c>
      <c r="M78" s="104">
        <f>-#REF!</f>
        <v/>
      </c>
      <c r="N78" s="104">
        <f>-#REF!</f>
        <v/>
      </c>
      <c r="O78" s="104">
        <f>-#REF!</f>
        <v/>
      </c>
      <c r="P78" s="104">
        <f>-#REF!</f>
        <v/>
      </c>
      <c r="Q78" s="104">
        <f>-#REF!</f>
        <v/>
      </c>
      <c r="R78" s="104">
        <f>-#REF!</f>
        <v/>
      </c>
      <c r="S78" s="108" t="n"/>
      <c r="T78" s="108" t="n"/>
      <c r="U78" s="108" t="n"/>
      <c r="V78" s="108" t="n"/>
      <c r="W78" s="77" t="n"/>
    </row>
    <row r="79" ht="18.75" customHeight="1">
      <c r="A79" s="103" t="inlineStr">
        <is>
          <t>理財活動-現金增資</t>
        </is>
      </c>
      <c r="B79" s="108" t="n"/>
      <c r="C79" s="104">
        <f>#REF!*0.2</f>
        <v/>
      </c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7" t="n"/>
    </row>
    <row r="80" ht="18.75" customHeight="1">
      <c r="A80" s="103" t="inlineStr">
        <is>
          <t>現金股利</t>
        </is>
      </c>
      <c r="B80" s="108" t="n"/>
      <c r="C80" s="108" t="n"/>
      <c r="D80" s="112">
        <f>-C70*0.9</f>
        <v/>
      </c>
      <c r="E80" s="104">
        <f>-D70*0.9</f>
        <v/>
      </c>
      <c r="F80" s="104">
        <f>-E70*0.9</f>
        <v/>
      </c>
      <c r="G80" s="104">
        <f>-F70*0.9</f>
        <v/>
      </c>
      <c r="H80" s="104">
        <f>-G70*0.9</f>
        <v/>
      </c>
      <c r="I80" s="104">
        <f>-H70*0.9</f>
        <v/>
      </c>
      <c r="J80" s="104">
        <f>-I70*0.9</f>
        <v/>
      </c>
      <c r="K80" s="104">
        <f>-J70*0.9</f>
        <v/>
      </c>
      <c r="L80" s="104">
        <f>-K70*0.9</f>
        <v/>
      </c>
      <c r="M80" s="104">
        <f>-L70*0.9</f>
        <v/>
      </c>
      <c r="N80" s="104">
        <f>-M70*0.9</f>
        <v/>
      </c>
      <c r="O80" s="104">
        <f>-N70*0.9</f>
        <v/>
      </c>
      <c r="P80" s="104">
        <f>-O70*0.9</f>
        <v/>
      </c>
      <c r="Q80" s="104">
        <f>-P70*0.9</f>
        <v/>
      </c>
      <c r="R80" s="104">
        <f>-Q70*0.9</f>
        <v/>
      </c>
      <c r="S80" s="104">
        <f>-R70*0.9</f>
        <v/>
      </c>
      <c r="T80" s="104">
        <f>-S70*0.9</f>
        <v/>
      </c>
      <c r="U80" s="108" t="n"/>
      <c r="V80" s="104">
        <f>-U70*0.9</f>
        <v/>
      </c>
      <c r="W80" s="107" t="n"/>
    </row>
    <row r="81" ht="18.75" customHeight="1">
      <c r="A81" s="113" t="inlineStr">
        <is>
          <t>年底減資</t>
        </is>
      </c>
      <c r="B81" s="114" t="n"/>
      <c r="C81" s="114" t="n"/>
      <c r="D81" s="114" t="n"/>
      <c r="E81" s="114" t="n"/>
      <c r="F81" s="114" t="n"/>
      <c r="G81" s="114" t="n"/>
      <c r="H81" s="114" t="n"/>
      <c r="I81" s="114" t="n"/>
      <c r="J81" s="114" t="n"/>
      <c r="K81" s="114" t="n"/>
      <c r="L81" s="114" t="n"/>
      <c r="M81" s="114" t="n"/>
      <c r="N81" s="114" t="n"/>
      <c r="O81" s="114" t="n"/>
      <c r="P81" s="114" t="n"/>
      <c r="Q81" s="115">
        <f>-$C$79/4</f>
        <v/>
      </c>
      <c r="R81" s="115">
        <f>-$C$79/4</f>
        <v/>
      </c>
      <c r="S81" s="115">
        <f>-$C$79/4</f>
        <v/>
      </c>
      <c r="T81" s="115">
        <f>-$C$79/4</f>
        <v/>
      </c>
      <c r="U81" s="114" t="n"/>
      <c r="V81" s="114" t="n"/>
      <c r="W81" s="107" t="n"/>
    </row>
    <row r="82" ht="18.75" customHeight="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7" t="n"/>
    </row>
    <row r="83" ht="18.75" customHeight="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7" t="n"/>
    </row>
    <row r="84" ht="18.75" customHeight="1">
      <c r="A84" s="103" t="inlineStr">
        <is>
          <t>現金淨流入(出 )</t>
        </is>
      </c>
      <c r="B84" s="108">
        <f>SUM(B74:B83)</f>
        <v/>
      </c>
      <c r="C84" s="106">
        <f>SUM(C72:C83)</f>
        <v/>
      </c>
      <c r="D84" s="106">
        <f>SUM(D72:D83)</f>
        <v/>
      </c>
      <c r="E84" s="106">
        <f>SUM(E72:E83)</f>
        <v/>
      </c>
      <c r="F84" s="106">
        <f>SUM(F72:F83)</f>
        <v/>
      </c>
      <c r="G84" s="106">
        <f>SUM(G72:G83)</f>
        <v/>
      </c>
      <c r="H84" s="106">
        <f>SUM(H72:H83)</f>
        <v/>
      </c>
      <c r="I84" s="106">
        <f>SUM(I72:I83)</f>
        <v/>
      </c>
      <c r="J84" s="106">
        <f>SUM(J72:J83)</f>
        <v/>
      </c>
      <c r="K84" s="106">
        <f>SUM(K72:K83)</f>
        <v/>
      </c>
      <c r="L84" s="106">
        <f>SUM(L72:L83)</f>
        <v/>
      </c>
      <c r="M84" s="106">
        <f>SUM(M72:M83)</f>
        <v/>
      </c>
      <c r="N84" s="106">
        <f>SUM(N72:N83)</f>
        <v/>
      </c>
      <c r="O84" s="106">
        <f>SUM(O72:O83)</f>
        <v/>
      </c>
      <c r="P84" s="106">
        <f>SUM(P72:P83)</f>
        <v/>
      </c>
      <c r="Q84" s="106">
        <f>SUM(Q72:Q83)</f>
        <v/>
      </c>
      <c r="R84" s="106">
        <f>SUM(R72:R83)</f>
        <v/>
      </c>
      <c r="S84" s="106">
        <f>SUM(S72:S83)</f>
        <v/>
      </c>
      <c r="T84" s="106">
        <f>SUM(T72:T83)</f>
        <v/>
      </c>
      <c r="U84" s="106">
        <f>SUM(U72:U83)</f>
        <v/>
      </c>
      <c r="V84" s="106">
        <f>SUM(V72:V83)</f>
        <v/>
      </c>
      <c r="W84" s="107" t="n"/>
    </row>
    <row r="85" ht="18.75" customHeight="1">
      <c r="A85" s="103" t="inlineStr">
        <is>
          <t>期初淨現金</t>
        </is>
      </c>
      <c r="B85" s="108" t="n">
        <v>0</v>
      </c>
      <c r="C85" s="108">
        <f>B86</f>
        <v/>
      </c>
      <c r="D85" s="104">
        <f>C86</f>
        <v/>
      </c>
      <c r="E85" s="104">
        <f>D86</f>
        <v/>
      </c>
      <c r="F85" s="104">
        <f>E86</f>
        <v/>
      </c>
      <c r="G85" s="104">
        <f>F86</f>
        <v/>
      </c>
      <c r="H85" s="104">
        <f>G86</f>
        <v/>
      </c>
      <c r="I85" s="104">
        <f>H86</f>
        <v/>
      </c>
      <c r="J85" s="104">
        <f>I86</f>
        <v/>
      </c>
      <c r="K85" s="104">
        <f>J86</f>
        <v/>
      </c>
      <c r="L85" s="104">
        <f>K86</f>
        <v/>
      </c>
      <c r="M85" s="104">
        <f>L86</f>
        <v/>
      </c>
      <c r="N85" s="104">
        <f>M86</f>
        <v/>
      </c>
      <c r="O85" s="104">
        <f>N86</f>
        <v/>
      </c>
      <c r="P85" s="104">
        <f>O86</f>
        <v/>
      </c>
      <c r="Q85" s="104">
        <f>P86</f>
        <v/>
      </c>
      <c r="R85" s="104">
        <f>Q86</f>
        <v/>
      </c>
      <c r="S85" s="104">
        <f>R86</f>
        <v/>
      </c>
      <c r="T85" s="104">
        <f>S86</f>
        <v/>
      </c>
      <c r="U85" s="108" t="n"/>
      <c r="V85" s="108" t="n"/>
      <c r="W85" s="99" t="n"/>
    </row>
    <row r="86" ht="18.75" customHeight="1">
      <c r="A86" s="103" t="inlineStr">
        <is>
          <t>期未淨現金</t>
        </is>
      </c>
      <c r="B86" s="108">
        <f>B84</f>
        <v/>
      </c>
      <c r="C86" s="104">
        <f>C84+C85</f>
        <v/>
      </c>
      <c r="D86" s="104">
        <f>D84+D85</f>
        <v/>
      </c>
      <c r="E86" s="104">
        <f>E84+E85</f>
        <v/>
      </c>
      <c r="F86" s="104">
        <f>F84+F85</f>
        <v/>
      </c>
      <c r="G86" s="104">
        <f>G84+G85</f>
        <v/>
      </c>
      <c r="H86" s="104">
        <f>H84+H85</f>
        <v/>
      </c>
      <c r="I86" s="104">
        <f>I84+I85</f>
        <v/>
      </c>
      <c r="J86" s="104">
        <f>J84+J85</f>
        <v/>
      </c>
      <c r="K86" s="104">
        <f>K84+K85</f>
        <v/>
      </c>
      <c r="L86" s="104">
        <f>L84+L85</f>
        <v/>
      </c>
      <c r="M86" s="104">
        <f>M84+M85</f>
        <v/>
      </c>
      <c r="N86" s="104">
        <f>N84+N85</f>
        <v/>
      </c>
      <c r="O86" s="104">
        <f>O84+O85</f>
        <v/>
      </c>
      <c r="P86" s="104">
        <f>P84+P85</f>
        <v/>
      </c>
      <c r="Q86" s="104">
        <f>Q84+Q85</f>
        <v/>
      </c>
      <c r="R86" s="104">
        <f>R84+R85</f>
        <v/>
      </c>
      <c r="S86" s="104">
        <f>S84+S85</f>
        <v/>
      </c>
      <c r="T86" s="104">
        <f>T84+T85</f>
        <v/>
      </c>
      <c r="U86" s="108" t="n"/>
      <c r="V86" s="108" t="n"/>
      <c r="W86" s="99" t="n"/>
    </row>
    <row r="87" ht="18.75" customHeight="1">
      <c r="A87" s="103" t="n"/>
      <c r="B87" s="104" t="n"/>
      <c r="C87" s="104" t="n"/>
      <c r="D87" s="104" t="n"/>
      <c r="E87" s="104" t="n"/>
      <c r="F87" s="104" t="n"/>
      <c r="G87" s="104" t="n"/>
      <c r="H87" s="104" t="n"/>
      <c r="I87" s="104" t="n"/>
      <c r="J87" s="104" t="n"/>
      <c r="K87" s="104" t="n"/>
      <c r="L87" s="104" t="n"/>
      <c r="M87" s="104" t="n"/>
      <c r="N87" s="104" t="n"/>
      <c r="O87" s="104" t="n"/>
      <c r="P87" s="104" t="n"/>
      <c r="Q87" s="104" t="n"/>
      <c r="R87" s="104" t="n"/>
      <c r="S87" s="104" t="n"/>
      <c r="T87" s="104" t="n"/>
      <c r="U87" s="104" t="n"/>
      <c r="V87" s="104" t="n"/>
      <c r="W87" s="116" t="n"/>
    </row>
    <row r="88" ht="18.75" customHeight="1">
      <c r="A88" s="103" t="n"/>
      <c r="B88" s="104" t="n"/>
      <c r="C88" s="104" t="n"/>
      <c r="D88" s="104" t="n"/>
      <c r="E88" s="108" t="n"/>
      <c r="F88" s="104" t="n"/>
      <c r="G88" s="104" t="n"/>
      <c r="H88" s="104" t="n"/>
      <c r="I88" s="104" t="n"/>
      <c r="J88" s="104" t="n"/>
      <c r="K88" s="104" t="n"/>
      <c r="L88" s="104" t="n"/>
      <c r="M88" s="104" t="n"/>
      <c r="N88" s="104" t="n"/>
      <c r="O88" s="104" t="n"/>
      <c r="P88" s="104" t="n"/>
      <c r="Q88" s="104" t="n"/>
      <c r="R88" s="104" t="n"/>
      <c r="S88" s="104" t="n"/>
      <c r="T88" s="104" t="n"/>
      <c r="U88" s="104" t="n"/>
      <c r="V88" s="104" t="n"/>
      <c r="W88" s="116" t="n"/>
    </row>
    <row r="89" ht="18.75" customHeight="1">
      <c r="A89" s="117" t="inlineStr">
        <is>
          <t>成本法實際現金流</t>
        </is>
      </c>
      <c r="B89" s="118" t="n"/>
      <c r="C89" s="119">
        <f>-C79</f>
        <v/>
      </c>
      <c r="D89" s="106">
        <f>-D80-D81</f>
        <v/>
      </c>
      <c r="E89" s="106">
        <f>-E80-E81</f>
        <v/>
      </c>
      <c r="F89" s="106">
        <f>-F80-F81</f>
        <v/>
      </c>
      <c r="G89" s="106">
        <f>-G80-G81</f>
        <v/>
      </c>
      <c r="H89" s="106">
        <f>-H80-H81</f>
        <v/>
      </c>
      <c r="I89" s="106">
        <f>-I80-I81</f>
        <v/>
      </c>
      <c r="J89" s="106">
        <f>-J80-J81</f>
        <v/>
      </c>
      <c r="K89" s="106">
        <f>-K80-K81</f>
        <v/>
      </c>
      <c r="L89" s="106">
        <f>-L80-L81</f>
        <v/>
      </c>
      <c r="M89" s="106">
        <f>-M80-M81</f>
        <v/>
      </c>
      <c r="N89" s="106">
        <f>-N80-N81</f>
        <v/>
      </c>
      <c r="O89" s="106">
        <f>-O80-O81</f>
        <v/>
      </c>
      <c r="P89" s="106">
        <f>-P80-P81</f>
        <v/>
      </c>
      <c r="Q89" s="106">
        <f>-Q80-Q81</f>
        <v/>
      </c>
      <c r="R89" s="106">
        <f>-R80-R81</f>
        <v/>
      </c>
      <c r="S89" s="106">
        <f>-S80-S81</f>
        <v/>
      </c>
      <c r="T89" s="106">
        <f>-T80-T81</f>
        <v/>
      </c>
      <c r="U89" s="118">
        <f>-U80-U81</f>
        <v/>
      </c>
      <c r="V89" s="106">
        <f>-V80-V81</f>
        <v/>
      </c>
      <c r="W89" s="107" t="n"/>
    </row>
    <row r="90" ht="18.75" customHeight="1">
      <c r="A90" s="103" t="inlineStr">
        <is>
          <t>成本法IRR</t>
        </is>
      </c>
      <c r="B90" s="120">
        <f>IRR(C89:V89)</f>
        <v/>
      </c>
      <c r="C90" s="150" t="n"/>
      <c r="D90" s="150" t="n"/>
      <c r="E90" s="104" t="n"/>
      <c r="F90" s="104" t="n"/>
      <c r="G90" s="104" t="n"/>
      <c r="H90" s="104" t="n"/>
      <c r="I90" s="104" t="n"/>
      <c r="J90" s="104" t="n"/>
      <c r="K90" s="104" t="n"/>
      <c r="L90" s="104" t="n"/>
      <c r="M90" s="104" t="n"/>
      <c r="N90" s="104" t="n"/>
      <c r="O90" s="104" t="n"/>
      <c r="P90" s="104" t="n"/>
      <c r="Q90" s="104" t="n"/>
      <c r="R90" s="104" t="n"/>
      <c r="S90" s="104" t="n"/>
      <c r="T90" s="104" t="n"/>
      <c r="U90" s="104" t="n"/>
      <c r="V90" s="104" t="n"/>
      <c r="W90" s="116" t="n"/>
    </row>
    <row r="91" ht="18.75" customHeight="1">
      <c r="A91" s="117" t="inlineStr">
        <is>
          <t>權益法實際現金流</t>
        </is>
      </c>
      <c r="B91" s="118" t="n"/>
      <c r="C91" s="119">
        <f>#REF!-C79</f>
        <v/>
      </c>
      <c r="D91" s="106">
        <f>#REF!</f>
        <v/>
      </c>
      <c r="E91" s="106">
        <f>#REF!-E81</f>
        <v/>
      </c>
      <c r="F91" s="106">
        <f>#REF!-F81</f>
        <v/>
      </c>
      <c r="G91" s="106">
        <f>#REF!-G81</f>
        <v/>
      </c>
      <c r="H91" s="106">
        <f>#REF!-H81</f>
        <v/>
      </c>
      <c r="I91" s="106">
        <f>#REF!-I81</f>
        <v/>
      </c>
      <c r="J91" s="106">
        <f>#REF!-J81</f>
        <v/>
      </c>
      <c r="K91" s="106">
        <f>#REF!-K81</f>
        <v/>
      </c>
      <c r="L91" s="106">
        <f>#REF!-L81</f>
        <v/>
      </c>
      <c r="M91" s="106">
        <f>#REF!-M81</f>
        <v/>
      </c>
      <c r="N91" s="106">
        <f>#REF!-N81</f>
        <v/>
      </c>
      <c r="O91" s="106">
        <f>#REF!-O81</f>
        <v/>
      </c>
      <c r="P91" s="106">
        <f>#REF!-P81</f>
        <v/>
      </c>
      <c r="Q91" s="106">
        <f>#REF!-Q81</f>
        <v/>
      </c>
      <c r="R91" s="106">
        <f>#REF!-R81</f>
        <v/>
      </c>
      <c r="S91" s="106">
        <f>#REF!-S81</f>
        <v/>
      </c>
      <c r="T91" s="106">
        <f>#REF!-T81</f>
        <v/>
      </c>
      <c r="U91" s="106">
        <f>#REF!-U81</f>
        <v/>
      </c>
      <c r="V91" s="106">
        <f>#REF!-V81</f>
        <v/>
      </c>
      <c r="W91" s="77" t="n"/>
    </row>
    <row r="92" ht="18.75" customHeight="1">
      <c r="A92" s="117" t="inlineStr">
        <is>
          <t>權益法IRR</t>
        </is>
      </c>
      <c r="B92" s="120">
        <f>IRR(C91:V91)</f>
        <v/>
      </c>
      <c r="C92" s="150" t="n"/>
      <c r="D92" s="150" t="n"/>
      <c r="E92" s="104" t="n"/>
      <c r="F92" s="104" t="n"/>
      <c r="G92" s="104" t="n"/>
      <c r="H92" s="104" t="n"/>
      <c r="I92" s="104" t="n"/>
      <c r="J92" s="104" t="n"/>
      <c r="K92" s="104" t="n"/>
      <c r="L92" s="104" t="n"/>
      <c r="M92" s="104" t="n"/>
      <c r="N92" s="104" t="n"/>
      <c r="O92" s="104" t="n"/>
      <c r="P92" s="104" t="n"/>
      <c r="Q92" s="104" t="n"/>
      <c r="R92" s="104" t="n"/>
      <c r="S92" s="104" t="n"/>
      <c r="T92" s="104" t="n"/>
      <c r="U92" s="104" t="n"/>
      <c r="V92" s="104" t="n"/>
      <c r="W92" s="116" t="n"/>
    </row>
    <row r="93" ht="18.75" customHeight="1">
      <c r="A93" s="103" t="n"/>
      <c r="B93" s="104" t="n"/>
      <c r="C93" s="104" t="n"/>
      <c r="D93" s="104" t="n"/>
      <c r="E93" s="104" t="n"/>
      <c r="F93" s="104" t="n"/>
      <c r="G93" s="104" t="n"/>
      <c r="H93" s="104" t="n"/>
      <c r="I93" s="104" t="n"/>
      <c r="J93" s="104" t="n"/>
      <c r="K93" s="104" t="n"/>
      <c r="L93" s="104" t="n"/>
      <c r="M93" s="104" t="n"/>
      <c r="N93" s="104" t="n"/>
      <c r="O93" s="104" t="n"/>
      <c r="P93" s="104" t="n"/>
      <c r="Q93" s="104" t="n"/>
      <c r="R93" s="104" t="n"/>
      <c r="S93" s="104" t="n"/>
      <c r="T93" s="104" t="n"/>
      <c r="U93" s="104" t="n"/>
      <c r="V93" s="104" t="n"/>
      <c r="W93" s="116" t="n"/>
    </row>
    <row r="94" ht="18.75" customHeight="1">
      <c r="A94" s="103" t="inlineStr">
        <is>
          <t>借款餘額</t>
        </is>
      </c>
      <c r="B94" s="108" t="n">
        <v>0</v>
      </c>
      <c r="C94" s="104">
        <f>C77</f>
        <v/>
      </c>
      <c r="D94" s="104">
        <f>C94+D77+D78</f>
        <v/>
      </c>
      <c r="E94" s="104">
        <f>D94+E77+E78</f>
        <v/>
      </c>
      <c r="F94" s="104">
        <f>E94+F77+F78</f>
        <v/>
      </c>
      <c r="G94" s="104">
        <f>F94+G77+G78</f>
        <v/>
      </c>
      <c r="H94" s="104">
        <f>G94+H77+H78</f>
        <v/>
      </c>
      <c r="I94" s="104">
        <f>H94+I77+I78</f>
        <v/>
      </c>
      <c r="J94" s="104">
        <f>I94+J77+J78</f>
        <v/>
      </c>
      <c r="K94" s="104">
        <f>J94+K77+K78</f>
        <v/>
      </c>
      <c r="L94" s="104">
        <f>K94+L77+L78</f>
        <v/>
      </c>
      <c r="M94" s="104">
        <f>L94+M77+M78</f>
        <v/>
      </c>
      <c r="N94" s="104">
        <f>M94+N77+N78</f>
        <v/>
      </c>
      <c r="O94" s="104">
        <f>N94+O77+O78</f>
        <v/>
      </c>
      <c r="P94" s="104">
        <f>O94+P77+P78</f>
        <v/>
      </c>
      <c r="Q94" s="104">
        <f>P94+Q77+Q78</f>
        <v/>
      </c>
      <c r="R94" s="104">
        <f>Q94+R77+R78</f>
        <v/>
      </c>
      <c r="S94" s="108" t="n"/>
      <c r="T94" s="108" t="n"/>
      <c r="U94" s="108" t="n"/>
      <c r="V94" s="108" t="n"/>
      <c r="W94" s="108" t="n"/>
    </row>
    <row r="95" ht="18.75" customHeight="1"/>
    <row r="96" ht="18.75" customHeight="1">
      <c r="A96" s="122" t="n"/>
    </row>
    <row r="97" ht="18.75" customHeight="1">
      <c r="F97" s="69" t="n"/>
    </row>
  </sheetData>
  <mergeCells count="10">
    <mergeCell ref="A1:D1"/>
    <mergeCell ref="A8:D8"/>
    <mergeCell ref="A16:A18"/>
    <mergeCell ref="A19:A21"/>
    <mergeCell ref="A7:D7"/>
    <mergeCell ref="D16:D18"/>
    <mergeCell ref="A29:C29"/>
    <mergeCell ref="D10:D13"/>
    <mergeCell ref="A10:A13"/>
    <mergeCell ref="A14:D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12" customWidth="1" min="5" max="5"/>
    <col width="20" customWidth="1" min="6" max="6"/>
    <col width="20" customWidth="1" min="7" max="7"/>
    <col width="8" customWidth="1" min="8" max="8"/>
    <col width="50" customWidth="1" min="9" max="9"/>
  </cols>
  <sheetData>
    <row r="1">
      <c r="A1" t="inlineStr">
        <is>
          <t>編號</t>
        </is>
      </c>
      <c r="B1" t="inlineStr">
        <is>
          <t>價金每KW</t>
        </is>
      </c>
      <c r="C1" t="inlineStr">
        <is>
          <t>專案法IRR</t>
        </is>
      </c>
      <c r="D1" t="inlineStr">
        <is>
          <t>權益法IRR</t>
        </is>
      </c>
      <c r="E1" t="inlineStr">
        <is>
          <t>信邦利潤率</t>
        </is>
      </c>
      <c r="F1" t="inlineStr">
        <is>
          <t>信邦利潤</t>
        </is>
      </c>
      <c r="G1" t="inlineStr">
        <is>
          <t>每kw信邦利潤</t>
        </is>
      </c>
      <c r="H1" t="inlineStr">
        <is>
          <t>開發費</t>
        </is>
      </c>
      <c r="I1" t="inlineStr">
        <is>
          <t>備註</t>
        </is>
      </c>
    </row>
    <row r="2">
      <c r="A2" t="n">
        <v>1</v>
      </c>
      <c r="B2" t="n">
        <v>35000</v>
      </c>
      <c r="C2" t="n">
        <v>1.54</v>
      </c>
      <c r="D2" t="n">
        <v>1.27</v>
      </c>
      <c r="E2" s="151" t="n">
        <v>0.3</v>
      </c>
      <c r="F2" t="n">
        <v>5233200</v>
      </c>
      <c r="G2" t="n">
        <v>12000</v>
      </c>
      <c r="H2" t="n">
        <v>3000</v>
      </c>
      <c r="I2" t="inlineStr">
        <is>
          <t>初始價金 - 現金模式，每次減少 1000 元，邊界值 20000 元</t>
        </is>
      </c>
    </row>
    <row r="3">
      <c r="A3" t="n">
        <v>2</v>
      </c>
      <c r="B3" t="n">
        <v>34000</v>
      </c>
      <c r="C3" t="n">
        <v>1.78</v>
      </c>
      <c r="D3" t="n">
        <v>1.99</v>
      </c>
      <c r="E3" s="151" t="n">
        <v>0.3</v>
      </c>
      <c r="F3" t="n">
        <v>5046300.000000001</v>
      </c>
      <c r="G3" t="n">
        <v>11571.42857142857</v>
      </c>
      <c r="H3" t="n">
        <v>3000</v>
      </c>
      <c r="I3" t="inlineStr">
        <is>
          <t>第1次滾算，減少 1000 元 - 現金模式，每次減少 1000 元</t>
        </is>
      </c>
    </row>
    <row r="4">
      <c r="A4" t="n">
        <v>3</v>
      </c>
      <c r="B4" t="n">
        <v>33000</v>
      </c>
      <c r="C4" t="n">
        <v>2.03</v>
      </c>
      <c r="D4" t="n">
        <v>2.75</v>
      </c>
      <c r="E4" s="151" t="n">
        <v>0.3</v>
      </c>
      <c r="F4" t="n">
        <v>4859400.000000001</v>
      </c>
      <c r="G4" t="n">
        <v>11142.85714285714</v>
      </c>
      <c r="H4" t="n">
        <v>3000</v>
      </c>
      <c r="I4" t="inlineStr">
        <is>
          <t>第2次滾算，減少 1000 元 - 現金模式，每次減少 1000 元</t>
        </is>
      </c>
    </row>
    <row r="5">
      <c r="A5" t="n">
        <v>4</v>
      </c>
      <c r="B5" t="n">
        <v>32000</v>
      </c>
      <c r="C5" t="n">
        <v>2.3</v>
      </c>
      <c r="D5" t="n">
        <v>3.56</v>
      </c>
      <c r="E5" s="151" t="n">
        <v>0.3</v>
      </c>
      <c r="F5" t="n">
        <v>4672500.000000002</v>
      </c>
      <c r="G5" t="n">
        <v>10714.28571428572</v>
      </c>
      <c r="H5" t="n">
        <v>3000</v>
      </c>
      <c r="I5" t="inlineStr">
        <is>
          <t>第3次滾算，減少 1000 元 - 現金模式，每次減少 1000 元</t>
        </is>
      </c>
    </row>
    <row r="6">
      <c r="A6" t="n">
        <v>5</v>
      </c>
      <c r="B6" t="n">
        <v>31000</v>
      </c>
      <c r="C6" t="n">
        <v>2.57</v>
      </c>
      <c r="D6" t="n">
        <v>4.43</v>
      </c>
      <c r="E6" s="151" t="n">
        <v>0.3</v>
      </c>
      <c r="F6" t="n">
        <v>4485600.000000002</v>
      </c>
      <c r="G6" t="n">
        <v>10285.71428571429</v>
      </c>
      <c r="H6" t="n">
        <v>3000</v>
      </c>
      <c r="I6" t="inlineStr">
        <is>
          <t>第4次滾算，減少 1000 元 - 現金模式，每次減少 1000 元</t>
        </is>
      </c>
    </row>
    <row r="7">
      <c r="A7" t="n">
        <v>6</v>
      </c>
      <c r="B7" t="n">
        <v>30000</v>
      </c>
      <c r="C7" t="n">
        <v>2.86</v>
      </c>
      <c r="D7" t="n">
        <v>5.37</v>
      </c>
      <c r="E7" s="151" t="n">
        <v>0.3</v>
      </c>
      <c r="F7" t="n">
        <v>4298700.000000003</v>
      </c>
      <c r="G7" t="n">
        <v>9857.142857142862</v>
      </c>
      <c r="H7" t="n">
        <v>3000</v>
      </c>
      <c r="I7" t="inlineStr">
        <is>
          <t>第5次滾算，減少 1000 元 - 現金模式，每次減少 1000 元</t>
        </is>
      </c>
    </row>
    <row r="8">
      <c r="A8" t="n">
        <v>7</v>
      </c>
      <c r="B8" t="n">
        <v>29000</v>
      </c>
      <c r="C8" t="n">
        <v>3.16</v>
      </c>
      <c r="D8" t="n">
        <v>6.37</v>
      </c>
      <c r="E8" s="151" t="n">
        <v>0.3</v>
      </c>
      <c r="F8" t="n">
        <v>4111800.000000003</v>
      </c>
      <c r="G8" t="n">
        <v>9428.571428571435</v>
      </c>
      <c r="H8" t="n">
        <v>3000</v>
      </c>
      <c r="I8" t="inlineStr">
        <is>
          <t>第6次滾算，減少 1000 元 - 現金模式，每次減少 1000 元</t>
        </is>
      </c>
    </row>
    <row r="9">
      <c r="A9" t="n">
        <v>8</v>
      </c>
      <c r="B9" t="n">
        <v>28000</v>
      </c>
      <c r="C9" t="n">
        <v>3.48</v>
      </c>
      <c r="D9" t="n">
        <v>7.46</v>
      </c>
      <c r="E9" s="151" t="n">
        <v>0.3</v>
      </c>
      <c r="F9" t="n">
        <v>3924900</v>
      </c>
      <c r="G9" t="n">
        <v>9000</v>
      </c>
      <c r="H9" t="n">
        <v>3000</v>
      </c>
      <c r="I9" t="inlineStr">
        <is>
          <t>第7次滾算，減少 1000 元 - 現金模式，每次減少 1000 元</t>
        </is>
      </c>
    </row>
    <row r="10">
      <c r="A10" t="n">
        <v>9</v>
      </c>
      <c r="B10" t="n">
        <v>27000</v>
      </c>
      <c r="C10" t="n">
        <v>3.82</v>
      </c>
      <c r="D10" t="n">
        <v>8.65</v>
      </c>
      <c r="E10" s="151" t="n">
        <v>0.3</v>
      </c>
      <c r="F10" t="n">
        <v>3738000</v>
      </c>
      <c r="G10" t="n">
        <v>8571.428571428572</v>
      </c>
      <c r="H10" t="n">
        <v>3000</v>
      </c>
      <c r="I10" t="inlineStr">
        <is>
          <t>第8次滾算，減少 1000 元 - 現金模式，每次減少 1000 元</t>
        </is>
      </c>
    </row>
    <row r="11">
      <c r="A11" t="n">
        <v>10</v>
      </c>
      <c r="B11" t="n">
        <v>26000</v>
      </c>
      <c r="C11" t="n">
        <v>4.17</v>
      </c>
      <c r="D11" t="n">
        <v>9.960000000000001</v>
      </c>
      <c r="E11" s="151" t="n">
        <v>0.3</v>
      </c>
      <c r="F11" t="n">
        <v>3551100.000000001</v>
      </c>
      <c r="G11" t="n">
        <v>8142.857142857145</v>
      </c>
      <c r="H11" t="n">
        <v>3000</v>
      </c>
      <c r="I11" t="inlineStr">
        <is>
          <t>第9次滾算，減少 1000 元 - 現金模式，每次減少 1000 元</t>
        </is>
      </c>
    </row>
    <row r="12">
      <c r="A12" t="n">
        <v>11</v>
      </c>
      <c r="B12" t="n">
        <v>25000</v>
      </c>
      <c r="C12" t="n">
        <v>4.54</v>
      </c>
      <c r="D12" t="n">
        <v>11.4</v>
      </c>
      <c r="E12" s="151" t="n">
        <v>0.3</v>
      </c>
      <c r="F12" t="n">
        <v>3364200.000000001</v>
      </c>
      <c r="G12" t="n">
        <v>7714.285714285717</v>
      </c>
      <c r="H12" t="n">
        <v>3000</v>
      </c>
      <c r="I12" t="inlineStr">
        <is>
          <t>第10次滾算，減少 1000 元 - 現金模式，每次減少 1000 元</t>
        </is>
      </c>
    </row>
    <row r="13">
      <c r="A13" t="n">
        <v>12</v>
      </c>
      <c r="B13" t="n">
        <v>24000</v>
      </c>
      <c r="C13" t="n">
        <v>4.94</v>
      </c>
      <c r="D13" t="n">
        <v>13</v>
      </c>
      <c r="E13" s="151" t="n">
        <v>0.3</v>
      </c>
      <c r="F13" t="n">
        <v>3177300.000000002</v>
      </c>
      <c r="G13" t="n">
        <v>7285.71428571429</v>
      </c>
      <c r="H13" t="n">
        <v>3000</v>
      </c>
      <c r="I13" t="inlineStr">
        <is>
          <t>第11次滾算，減少 1000 元 - 現金模式，每次減少 1000 元</t>
        </is>
      </c>
    </row>
    <row r="14">
      <c r="A14" t="n">
        <v>13</v>
      </c>
      <c r="B14" t="n">
        <v>23000</v>
      </c>
      <c r="C14" t="n">
        <v>5.36</v>
      </c>
      <c r="D14" t="n">
        <v>14.79</v>
      </c>
      <c r="E14" s="151" t="n">
        <v>0.3</v>
      </c>
      <c r="F14" t="n">
        <v>2990400.000000002</v>
      </c>
      <c r="G14" t="n">
        <v>6857.142857142862</v>
      </c>
      <c r="H14" t="n">
        <v>3000</v>
      </c>
      <c r="I14" t="inlineStr">
        <is>
          <t>第12次滾算，減少 1000 元 - 現金模式，每次減少 1000 元</t>
        </is>
      </c>
    </row>
    <row r="15">
      <c r="A15" t="n">
        <v>14</v>
      </c>
      <c r="B15" t="n">
        <v>22000</v>
      </c>
      <c r="C15" t="n">
        <v>5.8</v>
      </c>
      <c r="D15" t="n">
        <v>16.83</v>
      </c>
      <c r="E15" s="151" t="n">
        <v>0.3</v>
      </c>
      <c r="F15" t="n">
        <v>2803500.000000001</v>
      </c>
      <c r="G15" t="n">
        <v>6428.571428571431</v>
      </c>
      <c r="H15" t="n">
        <v>3000</v>
      </c>
      <c r="I15" t="inlineStr">
        <is>
          <t>第13次滾算，減少 1000 元 - 現金模式，每次減少 1000 元</t>
        </is>
      </c>
    </row>
    <row r="16">
      <c r="A16" t="n">
        <v>15</v>
      </c>
      <c r="B16" t="n">
        <v>21000</v>
      </c>
      <c r="C16" t="n">
        <v>6.28</v>
      </c>
      <c r="D16" t="n">
        <v>19.16</v>
      </c>
      <c r="E16" s="151" t="n">
        <v>0.3</v>
      </c>
      <c r="F16" t="n">
        <v>2616600.000000002</v>
      </c>
      <c r="G16" t="n">
        <v>6000.000000000004</v>
      </c>
      <c r="H16" t="n">
        <v>3000</v>
      </c>
      <c r="I16" t="inlineStr">
        <is>
          <t>第14次滾算，減少 1000 元 - 現金模式，每次減少 1000 元</t>
        </is>
      </c>
    </row>
    <row r="17">
      <c r="A17" t="n">
        <v>16</v>
      </c>
      <c r="B17" t="n">
        <v>20000</v>
      </c>
      <c r="C17" t="n">
        <v>6.79</v>
      </c>
      <c r="D17" t="n">
        <v>21.86</v>
      </c>
      <c r="E17" s="151" t="n">
        <v>0.3</v>
      </c>
      <c r="F17" t="n">
        <v>2429700</v>
      </c>
      <c r="G17" t="n">
        <v>5571.428571428572</v>
      </c>
      <c r="H17" t="n">
        <v>3000</v>
      </c>
      <c r="I17" t="inlineStr">
        <is>
          <t>第15次滾算，減少 1000 元 - 現金模式，每次減少 1000 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39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初始價金摘要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35000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1.54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1.27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初始價金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35000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60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$D$10*P1</f>
        <v/>
      </c>
      <c r="E40" s="194">
        <f>$D$10*Q1</f>
        <v/>
      </c>
      <c r="F40" s="194">
        <f>$D$10*R1</f>
        <v/>
      </c>
      <c r="G40" s="194">
        <f>$D$10*S1</f>
        <v/>
      </c>
      <c r="H40" s="194">
        <f>$D$10*T1</f>
        <v/>
      </c>
      <c r="I40" s="194">
        <f>$D$10*U1</f>
        <v/>
      </c>
      <c r="J40" s="194">
        <f>$D$10*V1</f>
        <v/>
      </c>
      <c r="K40" s="194">
        <f>$D$10*W1</f>
        <v/>
      </c>
      <c r="L40" s="194">
        <f>$D$10*X1</f>
        <v/>
      </c>
      <c r="M40" s="194">
        <f>$D$10*Y1</f>
        <v/>
      </c>
      <c r="N40" s="194">
        <f>$D$10*Z1</f>
        <v/>
      </c>
      <c r="O40" s="194">
        <f>$D$10*AA1</f>
        <v/>
      </c>
      <c r="P40" s="194">
        <f>$D$10*AB1</f>
        <v/>
      </c>
      <c r="Q40" s="194">
        <f>$D$10*AC1</f>
        <v/>
      </c>
      <c r="R40" s="194">
        <f>$D$10*AD1</f>
        <v/>
      </c>
      <c r="S40" s="194">
        <f>$D$10*AE1</f>
        <v/>
      </c>
      <c r="T40" s="194">
        <f>$D$10*AF1</f>
        <v/>
      </c>
      <c r="U40" s="194">
        <f>$D$10*AG1</f>
        <v/>
      </c>
      <c r="V40" s="194">
        <f>$D$10*AH1</f>
        <v/>
      </c>
      <c r="W40" s="194">
        <f>$D$10*AI1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-45790.5</v>
      </c>
      <c r="E49" s="210" t="n">
        <v>-45790.5</v>
      </c>
      <c r="F49" s="210" t="n">
        <v>-45790.5</v>
      </c>
      <c r="G49" s="210" t="n">
        <v>-45790.5</v>
      </c>
      <c r="H49" s="210" t="n">
        <v>-45790.5</v>
      </c>
      <c r="I49" s="210" t="n">
        <v>-45790.5</v>
      </c>
      <c r="J49" s="210" t="n">
        <v>-45790.5</v>
      </c>
      <c r="K49" s="210" t="n">
        <v>-45790.5</v>
      </c>
      <c r="L49" s="210" t="n">
        <v>-45790.5</v>
      </c>
      <c r="M49" s="210" t="n">
        <v>-45790.5</v>
      </c>
      <c r="N49" s="210" t="n">
        <v>-45790.5</v>
      </c>
      <c r="O49" s="210" t="n">
        <v>-45790.5</v>
      </c>
      <c r="P49" s="210" t="n">
        <v>-45790.5</v>
      </c>
      <c r="Q49" s="210" t="n">
        <v>-45790.5</v>
      </c>
      <c r="R49" s="210" t="n">
        <v>-45790.5</v>
      </c>
      <c r="S49" s="210" t="n">
        <v>-45790.5</v>
      </c>
      <c r="T49" s="210" t="n">
        <v>-45790.5</v>
      </c>
      <c r="U49" s="210" t="n">
        <v>-45790.5</v>
      </c>
      <c r="V49" s="210" t="n">
        <v>-45790.5</v>
      </c>
      <c r="W49" s="210" t="n">
        <v>-45790.5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D56+E55</f>
        <v/>
      </c>
      <c r="F56" s="220">
        <f>E56+F55</f>
        <v/>
      </c>
      <c r="G56" s="220">
        <f>F56+G55</f>
        <v/>
      </c>
      <c r="H56" s="220">
        <f>G56+H55</f>
        <v/>
      </c>
      <c r="I56" s="220">
        <f>H56+I55</f>
        <v/>
      </c>
      <c r="J56" s="220">
        <f>I56+J55</f>
        <v/>
      </c>
      <c r="K56" s="220">
        <f>J56+K55</f>
        <v/>
      </c>
      <c r="L56" s="220">
        <f>K56+L55</f>
        <v/>
      </c>
      <c r="M56" s="220">
        <f>L56+M55</f>
        <v/>
      </c>
      <c r="N56" s="220">
        <f>M56+N55</f>
        <v/>
      </c>
      <c r="O56" s="220">
        <f>N56+O55</f>
        <v/>
      </c>
      <c r="P56" s="220">
        <f>O56+P55</f>
        <v/>
      </c>
      <c r="Q56" s="220">
        <f>P56+Q55</f>
        <v/>
      </c>
      <c r="R56" s="220">
        <f>Q56+R55</f>
        <v/>
      </c>
      <c r="S56" s="220">
        <f>R56+S55</f>
        <v/>
      </c>
      <c r="T56" s="220">
        <f>S56+T55</f>
        <v/>
      </c>
      <c r="U56" s="220">
        <f>T56+U55</f>
        <v/>
      </c>
      <c r="V56" s="220">
        <f>U56+V55</f>
        <v/>
      </c>
      <c r="W56" s="220">
        <f>V56+W55</f>
        <v/>
      </c>
      <c r="X56" s="220">
        <f>W56+X55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>
        <f>-D109*$D25</f>
        <v/>
      </c>
      <c r="E70" s="210">
        <f>-E109*$D25</f>
        <v/>
      </c>
      <c r="F70" s="210">
        <f>-F109*$D25</f>
        <v/>
      </c>
      <c r="G70" s="210">
        <f>-G109*$D25</f>
        <v/>
      </c>
      <c r="H70" s="210">
        <f>-H109*$D25</f>
        <v/>
      </c>
      <c r="I70" s="210">
        <f>-I109*$D25</f>
        <v/>
      </c>
      <c r="J70" s="210">
        <f>-J109*$D25</f>
        <v/>
      </c>
      <c r="K70" s="210">
        <f>-K109*$D25</f>
        <v/>
      </c>
      <c r="L70" s="210">
        <f>-L109*$D25</f>
        <v/>
      </c>
      <c r="M70" s="210">
        <f>-M109*$D25</f>
        <v/>
      </c>
      <c r="N70" s="210">
        <f>-N109*$D25</f>
        <v/>
      </c>
      <c r="O70" s="210">
        <f>-O109*$D25</f>
        <v/>
      </c>
      <c r="P70" s="210">
        <f>-P109*$D25</f>
        <v/>
      </c>
      <c r="Q70" s="210">
        <f>-Q109*$D25</f>
        <v/>
      </c>
      <c r="R70" s="210">
        <f>-R109*$D25</f>
        <v/>
      </c>
      <c r="S70" s="210">
        <f>-S109*$D25</f>
        <v/>
      </c>
      <c r="T70" s="210">
        <f>-T109*$D25</f>
        <v/>
      </c>
      <c r="U70" s="210">
        <f>-U109*$D25</f>
        <v/>
      </c>
      <c r="V70" s="210">
        <f>-V109*$D25</f>
        <v/>
      </c>
      <c r="W70" s="210">
        <f>-W109*$D25</f>
        <v/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-1232709.333333333</v>
      </c>
      <c r="F93" s="260" t="n">
        <v>-1232709.333333333</v>
      </c>
      <c r="G93" s="260" t="n">
        <v>-1232709.333333333</v>
      </c>
      <c r="H93" s="260" t="n">
        <v>-1232709.333333333</v>
      </c>
      <c r="I93" s="260" t="n">
        <v>-1232709.333333333</v>
      </c>
      <c r="J93" s="260" t="n">
        <v>-1232709.333333333</v>
      </c>
      <c r="K93" s="260" t="n">
        <v>-1232709.333333333</v>
      </c>
      <c r="L93" s="260" t="n">
        <v>-1232709.333333333</v>
      </c>
      <c r="M93" s="260" t="n">
        <v>-1232709.333333333</v>
      </c>
      <c r="N93" s="260" t="n">
        <v>-1232709.333333333</v>
      </c>
      <c r="O93" s="260" t="n">
        <v>-1232709.333333333</v>
      </c>
      <c r="P93" s="260" t="n">
        <v>-1232709.333333333</v>
      </c>
      <c r="Q93" s="260" t="n">
        <v>-1232709.333333333</v>
      </c>
      <c r="R93" s="260" t="n">
        <v>-1232709.333333333</v>
      </c>
      <c r="S93" s="260" t="n">
        <v>-1232709.333333333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-1155665</v>
      </c>
      <c r="U96" s="264" t="n">
        <v>-1155665</v>
      </c>
      <c r="V96" s="264" t="n">
        <v>-1155665</v>
      </c>
      <c r="W96" s="264" t="n">
        <v>-1155665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2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34000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1.78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1.99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34000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60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$D$10*P1</f>
        <v/>
      </c>
      <c r="E40" s="194">
        <f>$D$10*Q1</f>
        <v/>
      </c>
      <c r="F40" s="194">
        <f>$D$10*R1</f>
        <v/>
      </c>
      <c r="G40" s="194">
        <f>$D$10*S1</f>
        <v/>
      </c>
      <c r="H40" s="194">
        <f>$D$10*T1</f>
        <v/>
      </c>
      <c r="I40" s="194">
        <f>$D$10*U1</f>
        <v/>
      </c>
      <c r="J40" s="194">
        <f>$D$10*V1</f>
        <v/>
      </c>
      <c r="K40" s="194">
        <f>$D$10*W1</f>
        <v/>
      </c>
      <c r="L40" s="194">
        <f>$D$10*X1</f>
        <v/>
      </c>
      <c r="M40" s="194">
        <f>$D$10*Y1</f>
        <v/>
      </c>
      <c r="N40" s="194">
        <f>$D$10*Z1</f>
        <v/>
      </c>
      <c r="O40" s="194">
        <f>$D$10*AA1</f>
        <v/>
      </c>
      <c r="P40" s="194">
        <f>$D$10*AB1</f>
        <v/>
      </c>
      <c r="Q40" s="194">
        <f>$D$10*AC1</f>
        <v/>
      </c>
      <c r="R40" s="194">
        <f>$D$10*AD1</f>
        <v/>
      </c>
      <c r="S40" s="194">
        <f>$D$10*AE1</f>
        <v/>
      </c>
      <c r="T40" s="194">
        <f>$D$10*AF1</f>
        <v/>
      </c>
      <c r="U40" s="194">
        <f>$D$10*AG1</f>
        <v/>
      </c>
      <c r="V40" s="194">
        <f>$D$10*AH1</f>
        <v/>
      </c>
      <c r="W40" s="194">
        <f>$D$10*AI1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-44482.2</v>
      </c>
      <c r="E49" s="210" t="n">
        <v>-44482.2</v>
      </c>
      <c r="F49" s="210" t="n">
        <v>-44482.2</v>
      </c>
      <c r="G49" s="210" t="n">
        <v>-44482.2</v>
      </c>
      <c r="H49" s="210" t="n">
        <v>-44482.2</v>
      </c>
      <c r="I49" s="210" t="n">
        <v>-44482.2</v>
      </c>
      <c r="J49" s="210" t="n">
        <v>-44482.2</v>
      </c>
      <c r="K49" s="210" t="n">
        <v>-44482.2</v>
      </c>
      <c r="L49" s="210" t="n">
        <v>-44482.2</v>
      </c>
      <c r="M49" s="210" t="n">
        <v>-44482.2</v>
      </c>
      <c r="N49" s="210" t="n">
        <v>-44482.2</v>
      </c>
      <c r="O49" s="210" t="n">
        <v>-44482.2</v>
      </c>
      <c r="P49" s="210" t="n">
        <v>-44482.2</v>
      </c>
      <c r="Q49" s="210" t="n">
        <v>-44482.2</v>
      </c>
      <c r="R49" s="210" t="n">
        <v>-44482.2</v>
      </c>
      <c r="S49" s="210" t="n">
        <v>-44482.2</v>
      </c>
      <c r="T49" s="210" t="n">
        <v>-44482.2</v>
      </c>
      <c r="U49" s="210" t="n">
        <v>-44482.2</v>
      </c>
      <c r="V49" s="210" t="n">
        <v>-44482.2</v>
      </c>
      <c r="W49" s="210" t="n">
        <v>-44482.2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D56+E55</f>
        <v/>
      </c>
      <c r="F56" s="220">
        <f>E56+F55</f>
        <v/>
      </c>
      <c r="G56" s="220">
        <f>F56+G55</f>
        <v/>
      </c>
      <c r="H56" s="220">
        <f>G56+H55</f>
        <v/>
      </c>
      <c r="I56" s="220">
        <f>H56+I55</f>
        <v/>
      </c>
      <c r="J56" s="220">
        <f>I56+J55</f>
        <v/>
      </c>
      <c r="K56" s="220">
        <f>J56+K55</f>
        <v/>
      </c>
      <c r="L56" s="220">
        <f>K56+L55</f>
        <v/>
      </c>
      <c r="M56" s="220">
        <f>L56+M55</f>
        <v/>
      </c>
      <c r="N56" s="220">
        <f>M56+N55</f>
        <v/>
      </c>
      <c r="O56" s="220">
        <f>N56+O55</f>
        <v/>
      </c>
      <c r="P56" s="220">
        <f>O56+P55</f>
        <v/>
      </c>
      <c r="Q56" s="220">
        <f>P56+Q55</f>
        <v/>
      </c>
      <c r="R56" s="220">
        <f>Q56+R55</f>
        <v/>
      </c>
      <c r="S56" s="220">
        <f>R56+S55</f>
        <v/>
      </c>
      <c r="T56" s="220">
        <f>S56+T55</f>
        <v/>
      </c>
      <c r="U56" s="220">
        <f>T56+U55</f>
        <v/>
      </c>
      <c r="V56" s="220">
        <f>U56+V55</f>
        <v/>
      </c>
      <c r="W56" s="220">
        <f>V56+W55</f>
        <v/>
      </c>
      <c r="X56" s="220">
        <f>W56+X55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>
        <f>-D109*$D25</f>
        <v/>
      </c>
      <c r="E70" s="210">
        <f>-E109*$D25</f>
        <v/>
      </c>
      <c r="F70" s="210">
        <f>-F109*$D25</f>
        <v/>
      </c>
      <c r="G70" s="210">
        <f>-G109*$D25</f>
        <v/>
      </c>
      <c r="H70" s="210">
        <f>-H109*$D25</f>
        <v/>
      </c>
      <c r="I70" s="210">
        <f>-I109*$D25</f>
        <v/>
      </c>
      <c r="J70" s="210">
        <f>-J109*$D25</f>
        <v/>
      </c>
      <c r="K70" s="210">
        <f>-K109*$D25</f>
        <v/>
      </c>
      <c r="L70" s="210">
        <f>-L109*$D25</f>
        <v/>
      </c>
      <c r="M70" s="210">
        <f>-M109*$D25</f>
        <v/>
      </c>
      <c r="N70" s="210">
        <f>-N109*$D25</f>
        <v/>
      </c>
      <c r="O70" s="210">
        <f>-O109*$D25</f>
        <v/>
      </c>
      <c r="P70" s="210">
        <f>-P109*$D25</f>
        <v/>
      </c>
      <c r="Q70" s="210">
        <f>-Q109*$D25</f>
        <v/>
      </c>
      <c r="R70" s="210">
        <f>-R109*$D25</f>
        <v/>
      </c>
      <c r="S70" s="210">
        <f>-S109*$D25</f>
        <v/>
      </c>
      <c r="T70" s="210">
        <f>-T109*$D25</f>
        <v/>
      </c>
      <c r="U70" s="210">
        <f>-U109*$D25</f>
        <v/>
      </c>
      <c r="V70" s="210">
        <f>-V109*$D25</f>
        <v/>
      </c>
      <c r="W70" s="210">
        <f>-W109*$D25</f>
        <v/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-1199482.666666667</v>
      </c>
      <c r="F93" s="260" t="n">
        <v>-1199482.666666667</v>
      </c>
      <c r="G93" s="260" t="n">
        <v>-1199482.666666667</v>
      </c>
      <c r="H93" s="260" t="n">
        <v>-1199482.666666667</v>
      </c>
      <c r="I93" s="260" t="n">
        <v>-1199482.666666667</v>
      </c>
      <c r="J93" s="260" t="n">
        <v>-1199482.666666667</v>
      </c>
      <c r="K93" s="260" t="n">
        <v>-1199482.666666667</v>
      </c>
      <c r="L93" s="260" t="n">
        <v>-1199482.666666667</v>
      </c>
      <c r="M93" s="260" t="n">
        <v>-1199482.666666667</v>
      </c>
      <c r="N93" s="260" t="n">
        <v>-1199482.666666667</v>
      </c>
      <c r="O93" s="260" t="n">
        <v>-1199482.666666667</v>
      </c>
      <c r="P93" s="260" t="n">
        <v>-1199482.666666667</v>
      </c>
      <c r="Q93" s="260" t="n">
        <v>-1199482.666666667</v>
      </c>
      <c r="R93" s="260" t="n">
        <v>-1199482.666666667</v>
      </c>
      <c r="S93" s="260" t="n">
        <v>-1199482.666666667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-1124515</v>
      </c>
      <c r="U96" s="264" t="n">
        <v>-1124515</v>
      </c>
      <c r="V96" s="264" t="n">
        <v>-1124515</v>
      </c>
      <c r="W96" s="264" t="n">
        <v>-1124515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3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第2次滾算摘要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33000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2.03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2.75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第2次滾算，減少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33000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60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$D$10*P1</f>
        <v/>
      </c>
      <c r="E40" s="194">
        <f>$D$10*Q1</f>
        <v/>
      </c>
      <c r="F40" s="194">
        <f>$D$10*R1</f>
        <v/>
      </c>
      <c r="G40" s="194">
        <f>$D$10*S1</f>
        <v/>
      </c>
      <c r="H40" s="194">
        <f>$D$10*T1</f>
        <v/>
      </c>
      <c r="I40" s="194">
        <f>$D$10*U1</f>
        <v/>
      </c>
      <c r="J40" s="194">
        <f>$D$10*V1</f>
        <v/>
      </c>
      <c r="K40" s="194">
        <f>$D$10*W1</f>
        <v/>
      </c>
      <c r="L40" s="194">
        <f>$D$10*X1</f>
        <v/>
      </c>
      <c r="M40" s="194">
        <f>$D$10*Y1</f>
        <v/>
      </c>
      <c r="N40" s="194">
        <f>$D$10*Z1</f>
        <v/>
      </c>
      <c r="O40" s="194">
        <f>$D$10*AA1</f>
        <v/>
      </c>
      <c r="P40" s="194">
        <f>$D$10*AB1</f>
        <v/>
      </c>
      <c r="Q40" s="194">
        <f>$D$10*AC1</f>
        <v/>
      </c>
      <c r="R40" s="194">
        <f>$D$10*AD1</f>
        <v/>
      </c>
      <c r="S40" s="194">
        <f>$D$10*AE1</f>
        <v/>
      </c>
      <c r="T40" s="194">
        <f>$D$10*AF1</f>
        <v/>
      </c>
      <c r="U40" s="194">
        <f>$D$10*AG1</f>
        <v/>
      </c>
      <c r="V40" s="194">
        <f>$D$10*AH1</f>
        <v/>
      </c>
      <c r="W40" s="194">
        <f>$D$10*AI1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-43173.9</v>
      </c>
      <c r="E49" s="210" t="n">
        <v>-43173.9</v>
      </c>
      <c r="F49" s="210" t="n">
        <v>-43173.9</v>
      </c>
      <c r="G49" s="210" t="n">
        <v>-43173.9</v>
      </c>
      <c r="H49" s="210" t="n">
        <v>-43173.9</v>
      </c>
      <c r="I49" s="210" t="n">
        <v>-43173.9</v>
      </c>
      <c r="J49" s="210" t="n">
        <v>-43173.9</v>
      </c>
      <c r="K49" s="210" t="n">
        <v>-43173.9</v>
      </c>
      <c r="L49" s="210" t="n">
        <v>-43173.9</v>
      </c>
      <c r="M49" s="210" t="n">
        <v>-43173.9</v>
      </c>
      <c r="N49" s="210" t="n">
        <v>-43173.9</v>
      </c>
      <c r="O49" s="210" t="n">
        <v>-43173.9</v>
      </c>
      <c r="P49" s="210" t="n">
        <v>-43173.9</v>
      </c>
      <c r="Q49" s="210" t="n">
        <v>-43173.9</v>
      </c>
      <c r="R49" s="210" t="n">
        <v>-43173.9</v>
      </c>
      <c r="S49" s="210" t="n">
        <v>-43173.9</v>
      </c>
      <c r="T49" s="210" t="n">
        <v>-43173.9</v>
      </c>
      <c r="U49" s="210" t="n">
        <v>-43173.9</v>
      </c>
      <c r="V49" s="210" t="n">
        <v>-43173.9</v>
      </c>
      <c r="W49" s="210" t="n">
        <v>-43173.9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D56+E55</f>
        <v/>
      </c>
      <c r="F56" s="220">
        <f>E56+F55</f>
        <v/>
      </c>
      <c r="G56" s="220">
        <f>F56+G55</f>
        <v/>
      </c>
      <c r="H56" s="220">
        <f>G56+H55</f>
        <v/>
      </c>
      <c r="I56" s="220">
        <f>H56+I55</f>
        <v/>
      </c>
      <c r="J56" s="220">
        <f>I56+J55</f>
        <v/>
      </c>
      <c r="K56" s="220">
        <f>J56+K55</f>
        <v/>
      </c>
      <c r="L56" s="220">
        <f>K56+L55</f>
        <v/>
      </c>
      <c r="M56" s="220">
        <f>L56+M55</f>
        <v/>
      </c>
      <c r="N56" s="220">
        <f>M56+N55</f>
        <v/>
      </c>
      <c r="O56" s="220">
        <f>N56+O55</f>
        <v/>
      </c>
      <c r="P56" s="220">
        <f>O56+P55</f>
        <v/>
      </c>
      <c r="Q56" s="220">
        <f>P56+Q55</f>
        <v/>
      </c>
      <c r="R56" s="220">
        <f>Q56+R55</f>
        <v/>
      </c>
      <c r="S56" s="220">
        <f>R56+S55</f>
        <v/>
      </c>
      <c r="T56" s="220">
        <f>S56+T55</f>
        <v/>
      </c>
      <c r="U56" s="220">
        <f>T56+U55</f>
        <v/>
      </c>
      <c r="V56" s="220">
        <f>U56+V55</f>
        <v/>
      </c>
      <c r="W56" s="220">
        <f>V56+W55</f>
        <v/>
      </c>
      <c r="X56" s="220">
        <f>W56+X55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>
        <f>-D109*$D25</f>
        <v/>
      </c>
      <c r="E70" s="210">
        <f>-E109*$D25</f>
        <v/>
      </c>
      <c r="F70" s="210">
        <f>-F109*$D25</f>
        <v/>
      </c>
      <c r="G70" s="210">
        <f>-G109*$D25</f>
        <v/>
      </c>
      <c r="H70" s="210">
        <f>-H109*$D25</f>
        <v/>
      </c>
      <c r="I70" s="210">
        <f>-I109*$D25</f>
        <v/>
      </c>
      <c r="J70" s="210">
        <f>-J109*$D25</f>
        <v/>
      </c>
      <c r="K70" s="210">
        <f>-K109*$D25</f>
        <v/>
      </c>
      <c r="L70" s="210">
        <f>-L109*$D25</f>
        <v/>
      </c>
      <c r="M70" s="210">
        <f>-M109*$D25</f>
        <v/>
      </c>
      <c r="N70" s="210">
        <f>-N109*$D25</f>
        <v/>
      </c>
      <c r="O70" s="210">
        <f>-O109*$D25</f>
        <v/>
      </c>
      <c r="P70" s="210">
        <f>-P109*$D25</f>
        <v/>
      </c>
      <c r="Q70" s="210">
        <f>-Q109*$D25</f>
        <v/>
      </c>
      <c r="R70" s="210">
        <f>-R109*$D25</f>
        <v/>
      </c>
      <c r="S70" s="210">
        <f>-S109*$D25</f>
        <v/>
      </c>
      <c r="T70" s="210">
        <f>-T109*$D25</f>
        <v/>
      </c>
      <c r="U70" s="210">
        <f>-U109*$D25</f>
        <v/>
      </c>
      <c r="V70" s="210">
        <f>-V109*$D25</f>
        <v/>
      </c>
      <c r="W70" s="210">
        <f>-W109*$D25</f>
        <v/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-1166256</v>
      </c>
      <c r="F93" s="260" t="n">
        <v>-1166256</v>
      </c>
      <c r="G93" s="260" t="n">
        <v>-1166256</v>
      </c>
      <c r="H93" s="260" t="n">
        <v>-1166256</v>
      </c>
      <c r="I93" s="260" t="n">
        <v>-1166256</v>
      </c>
      <c r="J93" s="260" t="n">
        <v>-1166256</v>
      </c>
      <c r="K93" s="260" t="n">
        <v>-1166256</v>
      </c>
      <c r="L93" s="260" t="n">
        <v>-1166256</v>
      </c>
      <c r="M93" s="260" t="n">
        <v>-1166256</v>
      </c>
      <c r="N93" s="260" t="n">
        <v>-1166256</v>
      </c>
      <c r="O93" s="260" t="n">
        <v>-1166256</v>
      </c>
      <c r="P93" s="260" t="n">
        <v>-1166256</v>
      </c>
      <c r="Q93" s="260" t="n">
        <v>-1166256</v>
      </c>
      <c r="R93" s="260" t="n">
        <v>-1166256</v>
      </c>
      <c r="S93" s="260" t="n">
        <v>-1166256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-1093365</v>
      </c>
      <c r="U96" s="264" t="n">
        <v>-1093365</v>
      </c>
      <c r="V96" s="264" t="n">
        <v>-1093365</v>
      </c>
      <c r="W96" s="264" t="n">
        <v>-1093365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4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第3次滾算摘要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32000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2.3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3.56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第3次滾算，減少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32000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60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$D$10*P1</f>
        <v/>
      </c>
      <c r="E40" s="194">
        <f>$D$10*Q1</f>
        <v/>
      </c>
      <c r="F40" s="194">
        <f>$D$10*R1</f>
        <v/>
      </c>
      <c r="G40" s="194">
        <f>$D$10*S1</f>
        <v/>
      </c>
      <c r="H40" s="194">
        <f>$D$10*T1</f>
        <v/>
      </c>
      <c r="I40" s="194">
        <f>$D$10*U1</f>
        <v/>
      </c>
      <c r="J40" s="194">
        <f>$D$10*V1</f>
        <v/>
      </c>
      <c r="K40" s="194">
        <f>$D$10*W1</f>
        <v/>
      </c>
      <c r="L40" s="194">
        <f>$D$10*X1</f>
        <v/>
      </c>
      <c r="M40" s="194">
        <f>$D$10*Y1</f>
        <v/>
      </c>
      <c r="N40" s="194">
        <f>$D$10*Z1</f>
        <v/>
      </c>
      <c r="O40" s="194">
        <f>$D$10*AA1</f>
        <v/>
      </c>
      <c r="P40" s="194">
        <f>$D$10*AB1</f>
        <v/>
      </c>
      <c r="Q40" s="194">
        <f>$D$10*AC1</f>
        <v/>
      </c>
      <c r="R40" s="194">
        <f>$D$10*AD1</f>
        <v/>
      </c>
      <c r="S40" s="194">
        <f>$D$10*AE1</f>
        <v/>
      </c>
      <c r="T40" s="194">
        <f>$D$10*AF1</f>
        <v/>
      </c>
      <c r="U40" s="194">
        <f>$D$10*AG1</f>
        <v/>
      </c>
      <c r="V40" s="194">
        <f>$D$10*AH1</f>
        <v/>
      </c>
      <c r="W40" s="194">
        <f>$D$10*AI1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-41865.6</v>
      </c>
      <c r="E49" s="210" t="n">
        <v>-41865.6</v>
      </c>
      <c r="F49" s="210" t="n">
        <v>-41865.6</v>
      </c>
      <c r="G49" s="210" t="n">
        <v>-41865.6</v>
      </c>
      <c r="H49" s="210" t="n">
        <v>-41865.6</v>
      </c>
      <c r="I49" s="210" t="n">
        <v>-41865.6</v>
      </c>
      <c r="J49" s="210" t="n">
        <v>-41865.6</v>
      </c>
      <c r="K49" s="210" t="n">
        <v>-41865.6</v>
      </c>
      <c r="L49" s="210" t="n">
        <v>-41865.6</v>
      </c>
      <c r="M49" s="210" t="n">
        <v>-41865.6</v>
      </c>
      <c r="N49" s="210" t="n">
        <v>-41865.6</v>
      </c>
      <c r="O49" s="210" t="n">
        <v>-41865.6</v>
      </c>
      <c r="P49" s="210" t="n">
        <v>-41865.6</v>
      </c>
      <c r="Q49" s="210" t="n">
        <v>-41865.6</v>
      </c>
      <c r="R49" s="210" t="n">
        <v>-41865.6</v>
      </c>
      <c r="S49" s="210" t="n">
        <v>-41865.6</v>
      </c>
      <c r="T49" s="210" t="n">
        <v>-41865.6</v>
      </c>
      <c r="U49" s="210" t="n">
        <v>-41865.6</v>
      </c>
      <c r="V49" s="210" t="n">
        <v>-41865.6</v>
      </c>
      <c r="W49" s="210" t="n">
        <v>-41865.6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D56+E55</f>
        <v/>
      </c>
      <c r="F56" s="220">
        <f>E56+F55</f>
        <v/>
      </c>
      <c r="G56" s="220">
        <f>F56+G55</f>
        <v/>
      </c>
      <c r="H56" s="220">
        <f>G56+H55</f>
        <v/>
      </c>
      <c r="I56" s="220">
        <f>H56+I55</f>
        <v/>
      </c>
      <c r="J56" s="220">
        <f>I56+J55</f>
        <v/>
      </c>
      <c r="K56" s="220">
        <f>J56+K55</f>
        <v/>
      </c>
      <c r="L56" s="220">
        <f>K56+L55</f>
        <v/>
      </c>
      <c r="M56" s="220">
        <f>L56+M55</f>
        <v/>
      </c>
      <c r="N56" s="220">
        <f>M56+N55</f>
        <v/>
      </c>
      <c r="O56" s="220">
        <f>N56+O55</f>
        <v/>
      </c>
      <c r="P56" s="220">
        <f>O56+P55</f>
        <v/>
      </c>
      <c r="Q56" s="220">
        <f>P56+Q55</f>
        <v/>
      </c>
      <c r="R56" s="220">
        <f>Q56+R55</f>
        <v/>
      </c>
      <c r="S56" s="220">
        <f>R56+S55</f>
        <v/>
      </c>
      <c r="T56" s="220">
        <f>S56+T55</f>
        <v/>
      </c>
      <c r="U56" s="220">
        <f>T56+U55</f>
        <v/>
      </c>
      <c r="V56" s="220">
        <f>U56+V55</f>
        <v/>
      </c>
      <c r="W56" s="220">
        <f>V56+W55</f>
        <v/>
      </c>
      <c r="X56" s="220">
        <f>W56+X55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>
        <f>-D109*$D25</f>
        <v/>
      </c>
      <c r="E70" s="210">
        <f>-E109*$D25</f>
        <v/>
      </c>
      <c r="F70" s="210">
        <f>-F109*$D25</f>
        <v/>
      </c>
      <c r="G70" s="210">
        <f>-G109*$D25</f>
        <v/>
      </c>
      <c r="H70" s="210">
        <f>-H109*$D25</f>
        <v/>
      </c>
      <c r="I70" s="210">
        <f>-I109*$D25</f>
        <v/>
      </c>
      <c r="J70" s="210">
        <f>-J109*$D25</f>
        <v/>
      </c>
      <c r="K70" s="210">
        <f>-K109*$D25</f>
        <v/>
      </c>
      <c r="L70" s="210">
        <f>-L109*$D25</f>
        <v/>
      </c>
      <c r="M70" s="210">
        <f>-M109*$D25</f>
        <v/>
      </c>
      <c r="N70" s="210">
        <f>-N109*$D25</f>
        <v/>
      </c>
      <c r="O70" s="210">
        <f>-O109*$D25</f>
        <v/>
      </c>
      <c r="P70" s="210">
        <f>-P109*$D25</f>
        <v/>
      </c>
      <c r="Q70" s="210">
        <f>-Q109*$D25</f>
        <v/>
      </c>
      <c r="R70" s="210">
        <f>-R109*$D25</f>
        <v/>
      </c>
      <c r="S70" s="210">
        <f>-S109*$D25</f>
        <v/>
      </c>
      <c r="T70" s="210">
        <f>-T109*$D25</f>
        <v/>
      </c>
      <c r="U70" s="210">
        <f>-U109*$D25</f>
        <v/>
      </c>
      <c r="V70" s="210">
        <f>-V109*$D25</f>
        <v/>
      </c>
      <c r="W70" s="210">
        <f>-W109*$D25</f>
        <v/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-1133029.333333333</v>
      </c>
      <c r="F93" s="260" t="n">
        <v>-1133029.333333333</v>
      </c>
      <c r="G93" s="260" t="n">
        <v>-1133029.333333333</v>
      </c>
      <c r="H93" s="260" t="n">
        <v>-1133029.333333333</v>
      </c>
      <c r="I93" s="260" t="n">
        <v>-1133029.333333333</v>
      </c>
      <c r="J93" s="260" t="n">
        <v>-1133029.333333333</v>
      </c>
      <c r="K93" s="260" t="n">
        <v>-1133029.333333333</v>
      </c>
      <c r="L93" s="260" t="n">
        <v>-1133029.333333333</v>
      </c>
      <c r="M93" s="260" t="n">
        <v>-1133029.333333333</v>
      </c>
      <c r="N93" s="260" t="n">
        <v>-1133029.333333333</v>
      </c>
      <c r="O93" s="260" t="n">
        <v>-1133029.333333333</v>
      </c>
      <c r="P93" s="260" t="n">
        <v>-1133029.333333333</v>
      </c>
      <c r="Q93" s="260" t="n">
        <v>-1133029.333333333</v>
      </c>
      <c r="R93" s="260" t="n">
        <v>-1133029.333333333</v>
      </c>
      <c r="S93" s="260" t="n">
        <v>-1133029.333333333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-1062215</v>
      </c>
      <c r="U96" s="264" t="n">
        <v>-1062215</v>
      </c>
      <c r="V96" s="264" t="n">
        <v>-1062215</v>
      </c>
      <c r="W96" s="264" t="n">
        <v>-1062215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5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第4次滾算摘要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31000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2.57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4.43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第4次滾算，減少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31000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60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$D$10*P1</f>
        <v/>
      </c>
      <c r="E40" s="194">
        <f>$D$10*Q1</f>
        <v/>
      </c>
      <c r="F40" s="194">
        <f>$D$10*R1</f>
        <v/>
      </c>
      <c r="G40" s="194">
        <f>$D$10*S1</f>
        <v/>
      </c>
      <c r="H40" s="194">
        <f>$D$10*T1</f>
        <v/>
      </c>
      <c r="I40" s="194">
        <f>$D$10*U1</f>
        <v/>
      </c>
      <c r="J40" s="194">
        <f>$D$10*V1</f>
        <v/>
      </c>
      <c r="K40" s="194">
        <f>$D$10*W1</f>
        <v/>
      </c>
      <c r="L40" s="194">
        <f>$D$10*X1</f>
        <v/>
      </c>
      <c r="M40" s="194">
        <f>$D$10*Y1</f>
        <v/>
      </c>
      <c r="N40" s="194">
        <f>$D$10*Z1</f>
        <v/>
      </c>
      <c r="O40" s="194">
        <f>$D$10*AA1</f>
        <v/>
      </c>
      <c r="P40" s="194">
        <f>$D$10*AB1</f>
        <v/>
      </c>
      <c r="Q40" s="194">
        <f>$D$10*AC1</f>
        <v/>
      </c>
      <c r="R40" s="194">
        <f>$D$10*AD1</f>
        <v/>
      </c>
      <c r="S40" s="194">
        <f>$D$10*AE1</f>
        <v/>
      </c>
      <c r="T40" s="194">
        <f>$D$10*AF1</f>
        <v/>
      </c>
      <c r="U40" s="194">
        <f>$D$10*AG1</f>
        <v/>
      </c>
      <c r="V40" s="194">
        <f>$D$10*AH1</f>
        <v/>
      </c>
      <c r="W40" s="194">
        <f>$D$10*AI1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-40557.3</v>
      </c>
      <c r="E49" s="210" t="n">
        <v>-40557.3</v>
      </c>
      <c r="F49" s="210" t="n">
        <v>-40557.3</v>
      </c>
      <c r="G49" s="210" t="n">
        <v>-40557.3</v>
      </c>
      <c r="H49" s="210" t="n">
        <v>-40557.3</v>
      </c>
      <c r="I49" s="210" t="n">
        <v>-40557.3</v>
      </c>
      <c r="J49" s="210" t="n">
        <v>-40557.3</v>
      </c>
      <c r="K49" s="210" t="n">
        <v>-40557.3</v>
      </c>
      <c r="L49" s="210" t="n">
        <v>-40557.3</v>
      </c>
      <c r="M49" s="210" t="n">
        <v>-40557.3</v>
      </c>
      <c r="N49" s="210" t="n">
        <v>-40557.3</v>
      </c>
      <c r="O49" s="210" t="n">
        <v>-40557.3</v>
      </c>
      <c r="P49" s="210" t="n">
        <v>-40557.3</v>
      </c>
      <c r="Q49" s="210" t="n">
        <v>-40557.3</v>
      </c>
      <c r="R49" s="210" t="n">
        <v>-40557.3</v>
      </c>
      <c r="S49" s="210" t="n">
        <v>-40557.3</v>
      </c>
      <c r="T49" s="210" t="n">
        <v>-40557.3</v>
      </c>
      <c r="U49" s="210" t="n">
        <v>-40557.3</v>
      </c>
      <c r="V49" s="210" t="n">
        <v>-40557.3</v>
      </c>
      <c r="W49" s="210" t="n">
        <v>-40557.3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D56+E55</f>
        <v/>
      </c>
      <c r="F56" s="220">
        <f>E56+F55</f>
        <v/>
      </c>
      <c r="G56" s="220">
        <f>F56+G55</f>
        <v/>
      </c>
      <c r="H56" s="220">
        <f>G56+H55</f>
        <v/>
      </c>
      <c r="I56" s="220">
        <f>H56+I55</f>
        <v/>
      </c>
      <c r="J56" s="220">
        <f>I56+J55</f>
        <v/>
      </c>
      <c r="K56" s="220">
        <f>J56+K55</f>
        <v/>
      </c>
      <c r="L56" s="220">
        <f>K56+L55</f>
        <v/>
      </c>
      <c r="M56" s="220">
        <f>L56+M55</f>
        <v/>
      </c>
      <c r="N56" s="220">
        <f>M56+N55</f>
        <v/>
      </c>
      <c r="O56" s="220">
        <f>N56+O55</f>
        <v/>
      </c>
      <c r="P56" s="220">
        <f>O56+P55</f>
        <v/>
      </c>
      <c r="Q56" s="220">
        <f>P56+Q55</f>
        <v/>
      </c>
      <c r="R56" s="220">
        <f>Q56+R55</f>
        <v/>
      </c>
      <c r="S56" s="220">
        <f>R56+S55</f>
        <v/>
      </c>
      <c r="T56" s="220">
        <f>S56+T55</f>
        <v/>
      </c>
      <c r="U56" s="220">
        <f>T56+U55</f>
        <v/>
      </c>
      <c r="V56" s="220">
        <f>U56+V55</f>
        <v/>
      </c>
      <c r="W56" s="220">
        <f>V56+W55</f>
        <v/>
      </c>
      <c r="X56" s="220">
        <f>W56+X55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>
        <f>-D109*$D25</f>
        <v/>
      </c>
      <c r="E70" s="210">
        <f>-E109*$D25</f>
        <v/>
      </c>
      <c r="F70" s="210">
        <f>-F109*$D25</f>
        <v/>
      </c>
      <c r="G70" s="210">
        <f>-G109*$D25</f>
        <v/>
      </c>
      <c r="H70" s="210">
        <f>-H109*$D25</f>
        <v/>
      </c>
      <c r="I70" s="210">
        <f>-I109*$D25</f>
        <v/>
      </c>
      <c r="J70" s="210">
        <f>-J109*$D25</f>
        <v/>
      </c>
      <c r="K70" s="210">
        <f>-K109*$D25</f>
        <v/>
      </c>
      <c r="L70" s="210">
        <f>-L109*$D25</f>
        <v/>
      </c>
      <c r="M70" s="210">
        <f>-M109*$D25</f>
        <v/>
      </c>
      <c r="N70" s="210">
        <f>-N109*$D25</f>
        <v/>
      </c>
      <c r="O70" s="210">
        <f>-O109*$D25</f>
        <v/>
      </c>
      <c r="P70" s="210">
        <f>-P109*$D25</f>
        <v/>
      </c>
      <c r="Q70" s="210">
        <f>-Q109*$D25</f>
        <v/>
      </c>
      <c r="R70" s="210">
        <f>-R109*$D25</f>
        <v/>
      </c>
      <c r="S70" s="210">
        <f>-S109*$D25</f>
        <v/>
      </c>
      <c r="T70" s="210">
        <f>-T109*$D25</f>
        <v/>
      </c>
      <c r="U70" s="210">
        <f>-U109*$D25</f>
        <v/>
      </c>
      <c r="V70" s="210">
        <f>-V109*$D25</f>
        <v/>
      </c>
      <c r="W70" s="210">
        <f>-W109*$D25</f>
        <v/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-1099802.666666667</v>
      </c>
      <c r="F93" s="260" t="n">
        <v>-1099802.666666667</v>
      </c>
      <c r="G93" s="260" t="n">
        <v>-1099802.666666667</v>
      </c>
      <c r="H93" s="260" t="n">
        <v>-1099802.666666667</v>
      </c>
      <c r="I93" s="260" t="n">
        <v>-1099802.666666667</v>
      </c>
      <c r="J93" s="260" t="n">
        <v>-1099802.666666667</v>
      </c>
      <c r="K93" s="260" t="n">
        <v>-1099802.666666667</v>
      </c>
      <c r="L93" s="260" t="n">
        <v>-1099802.666666667</v>
      </c>
      <c r="M93" s="260" t="n">
        <v>-1099802.666666667</v>
      </c>
      <c r="N93" s="260" t="n">
        <v>-1099802.666666667</v>
      </c>
      <c r="O93" s="260" t="n">
        <v>-1099802.666666667</v>
      </c>
      <c r="P93" s="260" t="n">
        <v>-1099802.666666667</v>
      </c>
      <c r="Q93" s="260" t="n">
        <v>-1099802.666666667</v>
      </c>
      <c r="R93" s="260" t="n">
        <v>-1099802.666666667</v>
      </c>
      <c r="S93" s="260" t="n">
        <v>-1099802.666666667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-1031065</v>
      </c>
      <c r="U96" s="264" t="n">
        <v>-1031065</v>
      </c>
      <c r="V96" s="264" t="n">
        <v>-1031065</v>
      </c>
      <c r="W96" s="264" t="n">
        <v>-1031065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6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第5次滾算摘要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30000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2.86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5.37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第5次滾算，減少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30000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60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$D$10*P1</f>
        <v/>
      </c>
      <c r="E40" s="194">
        <f>$D$10*Q1</f>
        <v/>
      </c>
      <c r="F40" s="194">
        <f>$D$10*R1</f>
        <v/>
      </c>
      <c r="G40" s="194">
        <f>$D$10*S1</f>
        <v/>
      </c>
      <c r="H40" s="194">
        <f>$D$10*T1</f>
        <v/>
      </c>
      <c r="I40" s="194">
        <f>$D$10*U1</f>
        <v/>
      </c>
      <c r="J40" s="194">
        <f>$D$10*V1</f>
        <v/>
      </c>
      <c r="K40" s="194">
        <f>$D$10*W1</f>
        <v/>
      </c>
      <c r="L40" s="194">
        <f>$D$10*X1</f>
        <v/>
      </c>
      <c r="M40" s="194">
        <f>$D$10*Y1</f>
        <v/>
      </c>
      <c r="N40" s="194">
        <f>$D$10*Z1</f>
        <v/>
      </c>
      <c r="O40" s="194">
        <f>$D$10*AA1</f>
        <v/>
      </c>
      <c r="P40" s="194">
        <f>$D$10*AB1</f>
        <v/>
      </c>
      <c r="Q40" s="194">
        <f>$D$10*AC1</f>
        <v/>
      </c>
      <c r="R40" s="194">
        <f>$D$10*AD1</f>
        <v/>
      </c>
      <c r="S40" s="194">
        <f>$D$10*AE1</f>
        <v/>
      </c>
      <c r="T40" s="194">
        <f>$D$10*AF1</f>
        <v/>
      </c>
      <c r="U40" s="194">
        <f>$D$10*AG1</f>
        <v/>
      </c>
      <c r="V40" s="194">
        <f>$D$10*AH1</f>
        <v/>
      </c>
      <c r="W40" s="194">
        <f>$D$10*AI1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-39249</v>
      </c>
      <c r="E49" s="210" t="n">
        <v>-39249</v>
      </c>
      <c r="F49" s="210" t="n">
        <v>-39249</v>
      </c>
      <c r="G49" s="210" t="n">
        <v>-39249</v>
      </c>
      <c r="H49" s="210" t="n">
        <v>-39249</v>
      </c>
      <c r="I49" s="210" t="n">
        <v>-39249</v>
      </c>
      <c r="J49" s="210" t="n">
        <v>-39249</v>
      </c>
      <c r="K49" s="210" t="n">
        <v>-39249</v>
      </c>
      <c r="L49" s="210" t="n">
        <v>-39249</v>
      </c>
      <c r="M49" s="210" t="n">
        <v>-39249</v>
      </c>
      <c r="N49" s="210" t="n">
        <v>-39249</v>
      </c>
      <c r="O49" s="210" t="n">
        <v>-39249</v>
      </c>
      <c r="P49" s="210" t="n">
        <v>-39249</v>
      </c>
      <c r="Q49" s="210" t="n">
        <v>-39249</v>
      </c>
      <c r="R49" s="210" t="n">
        <v>-39249</v>
      </c>
      <c r="S49" s="210" t="n">
        <v>-39249</v>
      </c>
      <c r="T49" s="210" t="n">
        <v>-39249</v>
      </c>
      <c r="U49" s="210" t="n">
        <v>-39249</v>
      </c>
      <c r="V49" s="210" t="n">
        <v>-39249</v>
      </c>
      <c r="W49" s="210" t="n">
        <v>-39249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D56+E55</f>
        <v/>
      </c>
      <c r="F56" s="220">
        <f>E56+F55</f>
        <v/>
      </c>
      <c r="G56" s="220">
        <f>F56+G55</f>
        <v/>
      </c>
      <c r="H56" s="220">
        <f>G56+H55</f>
        <v/>
      </c>
      <c r="I56" s="220">
        <f>H56+I55</f>
        <v/>
      </c>
      <c r="J56" s="220">
        <f>I56+J55</f>
        <v/>
      </c>
      <c r="K56" s="220">
        <f>J56+K55</f>
        <v/>
      </c>
      <c r="L56" s="220">
        <f>K56+L55</f>
        <v/>
      </c>
      <c r="M56" s="220">
        <f>L56+M55</f>
        <v/>
      </c>
      <c r="N56" s="220">
        <f>M56+N55</f>
        <v/>
      </c>
      <c r="O56" s="220">
        <f>N56+O55</f>
        <v/>
      </c>
      <c r="P56" s="220">
        <f>O56+P55</f>
        <v/>
      </c>
      <c r="Q56" s="220">
        <f>P56+Q55</f>
        <v/>
      </c>
      <c r="R56" s="220">
        <f>Q56+R55</f>
        <v/>
      </c>
      <c r="S56" s="220">
        <f>R56+S55</f>
        <v/>
      </c>
      <c r="T56" s="220">
        <f>S56+T55</f>
        <v/>
      </c>
      <c r="U56" s="220">
        <f>T56+U55</f>
        <v/>
      </c>
      <c r="V56" s="220">
        <f>U56+V55</f>
        <v/>
      </c>
      <c r="W56" s="220">
        <f>V56+W55</f>
        <v/>
      </c>
      <c r="X56" s="220">
        <f>W56+X55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>
        <f>-D109*$D25</f>
        <v/>
      </c>
      <c r="E70" s="210">
        <f>-E109*$D25</f>
        <v/>
      </c>
      <c r="F70" s="210">
        <f>-F109*$D25</f>
        <v/>
      </c>
      <c r="G70" s="210">
        <f>-G109*$D25</f>
        <v/>
      </c>
      <c r="H70" s="210">
        <f>-H109*$D25</f>
        <v/>
      </c>
      <c r="I70" s="210">
        <f>-I109*$D25</f>
        <v/>
      </c>
      <c r="J70" s="210">
        <f>-J109*$D25</f>
        <v/>
      </c>
      <c r="K70" s="210">
        <f>-K109*$D25</f>
        <v/>
      </c>
      <c r="L70" s="210">
        <f>-L109*$D25</f>
        <v/>
      </c>
      <c r="M70" s="210">
        <f>-M109*$D25</f>
        <v/>
      </c>
      <c r="N70" s="210">
        <f>-N109*$D25</f>
        <v/>
      </c>
      <c r="O70" s="210">
        <f>-O109*$D25</f>
        <v/>
      </c>
      <c r="P70" s="210">
        <f>-P109*$D25</f>
        <v/>
      </c>
      <c r="Q70" s="210">
        <f>-Q109*$D25</f>
        <v/>
      </c>
      <c r="R70" s="210">
        <f>-R109*$D25</f>
        <v/>
      </c>
      <c r="S70" s="210">
        <f>-S109*$D25</f>
        <v/>
      </c>
      <c r="T70" s="210">
        <f>-T109*$D25</f>
        <v/>
      </c>
      <c r="U70" s="210">
        <f>-U109*$D25</f>
        <v/>
      </c>
      <c r="V70" s="210">
        <f>-V109*$D25</f>
        <v/>
      </c>
      <c r="W70" s="210">
        <f>-W109*$D25</f>
        <v/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-1066576</v>
      </c>
      <c r="F93" s="260" t="n">
        <v>-1066576</v>
      </c>
      <c r="G93" s="260" t="n">
        <v>-1066576</v>
      </c>
      <c r="H93" s="260" t="n">
        <v>-1066576</v>
      </c>
      <c r="I93" s="260" t="n">
        <v>-1066576</v>
      </c>
      <c r="J93" s="260" t="n">
        <v>-1066576</v>
      </c>
      <c r="K93" s="260" t="n">
        <v>-1066576</v>
      </c>
      <c r="L93" s="260" t="n">
        <v>-1066576</v>
      </c>
      <c r="M93" s="260" t="n">
        <v>-1066576</v>
      </c>
      <c r="N93" s="260" t="n">
        <v>-1066576</v>
      </c>
      <c r="O93" s="260" t="n">
        <v>-1066576</v>
      </c>
      <c r="P93" s="260" t="n">
        <v>-1066576</v>
      </c>
      <c r="Q93" s="260" t="n">
        <v>-1066576</v>
      </c>
      <c r="R93" s="260" t="n">
        <v>-1066576</v>
      </c>
      <c r="S93" s="260" t="n">
        <v>-1066576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-999915</v>
      </c>
      <c r="U96" s="264" t="n">
        <v>-999915</v>
      </c>
      <c r="V96" s="264" t="n">
        <v>-999915</v>
      </c>
      <c r="W96" s="264" t="n">
        <v>-999915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7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第6次滾算摘要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29000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3.16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6.37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第6次滾算，減少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29000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60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$D$10*P1</f>
        <v/>
      </c>
      <c r="E40" s="194">
        <f>$D$10*Q1</f>
        <v/>
      </c>
      <c r="F40" s="194">
        <f>$D$10*R1</f>
        <v/>
      </c>
      <c r="G40" s="194">
        <f>$D$10*S1</f>
        <v/>
      </c>
      <c r="H40" s="194">
        <f>$D$10*T1</f>
        <v/>
      </c>
      <c r="I40" s="194">
        <f>$D$10*U1</f>
        <v/>
      </c>
      <c r="J40" s="194">
        <f>$D$10*V1</f>
        <v/>
      </c>
      <c r="K40" s="194">
        <f>$D$10*W1</f>
        <v/>
      </c>
      <c r="L40" s="194">
        <f>$D$10*X1</f>
        <v/>
      </c>
      <c r="M40" s="194">
        <f>$D$10*Y1</f>
        <v/>
      </c>
      <c r="N40" s="194">
        <f>$D$10*Z1</f>
        <v/>
      </c>
      <c r="O40" s="194">
        <f>$D$10*AA1</f>
        <v/>
      </c>
      <c r="P40" s="194">
        <f>$D$10*AB1</f>
        <v/>
      </c>
      <c r="Q40" s="194">
        <f>$D$10*AC1</f>
        <v/>
      </c>
      <c r="R40" s="194">
        <f>$D$10*AD1</f>
        <v/>
      </c>
      <c r="S40" s="194">
        <f>$D$10*AE1</f>
        <v/>
      </c>
      <c r="T40" s="194">
        <f>$D$10*AF1</f>
        <v/>
      </c>
      <c r="U40" s="194">
        <f>$D$10*AG1</f>
        <v/>
      </c>
      <c r="V40" s="194">
        <f>$D$10*AH1</f>
        <v/>
      </c>
      <c r="W40" s="194">
        <f>$D$10*AI1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-37940.7</v>
      </c>
      <c r="E49" s="210" t="n">
        <v>-37940.7</v>
      </c>
      <c r="F49" s="210" t="n">
        <v>-37940.7</v>
      </c>
      <c r="G49" s="210" t="n">
        <v>-37940.7</v>
      </c>
      <c r="H49" s="210" t="n">
        <v>-37940.7</v>
      </c>
      <c r="I49" s="210" t="n">
        <v>-37940.7</v>
      </c>
      <c r="J49" s="210" t="n">
        <v>-37940.7</v>
      </c>
      <c r="K49" s="210" t="n">
        <v>-37940.7</v>
      </c>
      <c r="L49" s="210" t="n">
        <v>-37940.7</v>
      </c>
      <c r="M49" s="210" t="n">
        <v>-37940.7</v>
      </c>
      <c r="N49" s="210" t="n">
        <v>-37940.7</v>
      </c>
      <c r="O49" s="210" t="n">
        <v>-37940.7</v>
      </c>
      <c r="P49" s="210" t="n">
        <v>-37940.7</v>
      </c>
      <c r="Q49" s="210" t="n">
        <v>-37940.7</v>
      </c>
      <c r="R49" s="210" t="n">
        <v>-37940.7</v>
      </c>
      <c r="S49" s="210" t="n">
        <v>-37940.7</v>
      </c>
      <c r="T49" s="210" t="n">
        <v>-37940.7</v>
      </c>
      <c r="U49" s="210" t="n">
        <v>-37940.7</v>
      </c>
      <c r="V49" s="210" t="n">
        <v>-37940.7</v>
      </c>
      <c r="W49" s="210" t="n">
        <v>-37940.7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D56+E55</f>
        <v/>
      </c>
      <c r="F56" s="220">
        <f>E56+F55</f>
        <v/>
      </c>
      <c r="G56" s="220">
        <f>F56+G55</f>
        <v/>
      </c>
      <c r="H56" s="220">
        <f>G56+H55</f>
        <v/>
      </c>
      <c r="I56" s="220">
        <f>H56+I55</f>
        <v/>
      </c>
      <c r="J56" s="220">
        <f>I56+J55</f>
        <v/>
      </c>
      <c r="K56" s="220">
        <f>J56+K55</f>
        <v/>
      </c>
      <c r="L56" s="220">
        <f>K56+L55</f>
        <v/>
      </c>
      <c r="M56" s="220">
        <f>L56+M55</f>
        <v/>
      </c>
      <c r="N56" s="220">
        <f>M56+N55</f>
        <v/>
      </c>
      <c r="O56" s="220">
        <f>N56+O55</f>
        <v/>
      </c>
      <c r="P56" s="220">
        <f>O56+P55</f>
        <v/>
      </c>
      <c r="Q56" s="220">
        <f>P56+Q55</f>
        <v/>
      </c>
      <c r="R56" s="220">
        <f>Q56+R55</f>
        <v/>
      </c>
      <c r="S56" s="220">
        <f>R56+S55</f>
        <v/>
      </c>
      <c r="T56" s="220">
        <f>S56+T55</f>
        <v/>
      </c>
      <c r="U56" s="220">
        <f>T56+U55</f>
        <v/>
      </c>
      <c r="V56" s="220">
        <f>U56+V55</f>
        <v/>
      </c>
      <c r="W56" s="220">
        <f>V56+W55</f>
        <v/>
      </c>
      <c r="X56" s="220">
        <f>W56+X55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>
        <f>-D109*$D25</f>
        <v/>
      </c>
      <c r="E70" s="210">
        <f>-E109*$D25</f>
        <v/>
      </c>
      <c r="F70" s="210">
        <f>-F109*$D25</f>
        <v/>
      </c>
      <c r="G70" s="210">
        <f>-G109*$D25</f>
        <v/>
      </c>
      <c r="H70" s="210">
        <f>-H109*$D25</f>
        <v/>
      </c>
      <c r="I70" s="210">
        <f>-I109*$D25</f>
        <v/>
      </c>
      <c r="J70" s="210">
        <f>-J109*$D25</f>
        <v/>
      </c>
      <c r="K70" s="210">
        <f>-K109*$D25</f>
        <v/>
      </c>
      <c r="L70" s="210">
        <f>-L109*$D25</f>
        <v/>
      </c>
      <c r="M70" s="210">
        <f>-M109*$D25</f>
        <v/>
      </c>
      <c r="N70" s="210">
        <f>-N109*$D25</f>
        <v/>
      </c>
      <c r="O70" s="210">
        <f>-O109*$D25</f>
        <v/>
      </c>
      <c r="P70" s="210">
        <f>-P109*$D25</f>
        <v/>
      </c>
      <c r="Q70" s="210">
        <f>-Q109*$D25</f>
        <v/>
      </c>
      <c r="R70" s="210">
        <f>-R109*$D25</f>
        <v/>
      </c>
      <c r="S70" s="210">
        <f>-S109*$D25</f>
        <v/>
      </c>
      <c r="T70" s="210">
        <f>-T109*$D25</f>
        <v/>
      </c>
      <c r="U70" s="210">
        <f>-U109*$D25</f>
        <v/>
      </c>
      <c r="V70" s="210">
        <f>-V109*$D25</f>
        <v/>
      </c>
      <c r="W70" s="210">
        <f>-W109*$D25</f>
        <v/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-1033349.333333333</v>
      </c>
      <c r="F93" s="260" t="n">
        <v>-1033349.333333333</v>
      </c>
      <c r="G93" s="260" t="n">
        <v>-1033349.333333333</v>
      </c>
      <c r="H93" s="260" t="n">
        <v>-1033349.333333333</v>
      </c>
      <c r="I93" s="260" t="n">
        <v>-1033349.333333333</v>
      </c>
      <c r="J93" s="260" t="n">
        <v>-1033349.333333333</v>
      </c>
      <c r="K93" s="260" t="n">
        <v>-1033349.333333333</v>
      </c>
      <c r="L93" s="260" t="n">
        <v>-1033349.333333333</v>
      </c>
      <c r="M93" s="260" t="n">
        <v>-1033349.333333333</v>
      </c>
      <c r="N93" s="260" t="n">
        <v>-1033349.333333333</v>
      </c>
      <c r="O93" s="260" t="n">
        <v>-1033349.333333333</v>
      </c>
      <c r="P93" s="260" t="n">
        <v>-1033349.333333333</v>
      </c>
      <c r="Q93" s="260" t="n">
        <v>-1033349.333333333</v>
      </c>
      <c r="R93" s="260" t="n">
        <v>-1033349.333333333</v>
      </c>
      <c r="S93" s="260" t="n">
        <v>-1033349.333333333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-968765</v>
      </c>
      <c r="U96" s="264" t="n">
        <v>-968765</v>
      </c>
      <c r="V96" s="264" t="n">
        <v>-968765</v>
      </c>
      <c r="W96" s="264" t="n">
        <v>-968765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8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第7次滾算摘要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28000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3.48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7.46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第7次滾算，減少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28000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60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$D$10*P1</f>
        <v/>
      </c>
      <c r="E40" s="194">
        <f>$D$10*Q1</f>
        <v/>
      </c>
      <c r="F40" s="194">
        <f>$D$10*R1</f>
        <v/>
      </c>
      <c r="G40" s="194">
        <f>$D$10*S1</f>
        <v/>
      </c>
      <c r="H40" s="194">
        <f>$D$10*T1</f>
        <v/>
      </c>
      <c r="I40" s="194">
        <f>$D$10*U1</f>
        <v/>
      </c>
      <c r="J40" s="194">
        <f>$D$10*V1</f>
        <v/>
      </c>
      <c r="K40" s="194">
        <f>$D$10*W1</f>
        <v/>
      </c>
      <c r="L40" s="194">
        <f>$D$10*X1</f>
        <v/>
      </c>
      <c r="M40" s="194">
        <f>$D$10*Y1</f>
        <v/>
      </c>
      <c r="N40" s="194">
        <f>$D$10*Z1</f>
        <v/>
      </c>
      <c r="O40" s="194">
        <f>$D$10*AA1</f>
        <v/>
      </c>
      <c r="P40" s="194">
        <f>$D$10*AB1</f>
        <v/>
      </c>
      <c r="Q40" s="194">
        <f>$D$10*AC1</f>
        <v/>
      </c>
      <c r="R40" s="194">
        <f>$D$10*AD1</f>
        <v/>
      </c>
      <c r="S40" s="194">
        <f>$D$10*AE1</f>
        <v/>
      </c>
      <c r="T40" s="194">
        <f>$D$10*AF1</f>
        <v/>
      </c>
      <c r="U40" s="194">
        <f>$D$10*AG1</f>
        <v/>
      </c>
      <c r="V40" s="194">
        <f>$D$10*AH1</f>
        <v/>
      </c>
      <c r="W40" s="194">
        <f>$D$10*AI1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-36632.4</v>
      </c>
      <c r="E49" s="210" t="n">
        <v>-36632.4</v>
      </c>
      <c r="F49" s="210" t="n">
        <v>-36632.4</v>
      </c>
      <c r="G49" s="210" t="n">
        <v>-36632.4</v>
      </c>
      <c r="H49" s="210" t="n">
        <v>-36632.4</v>
      </c>
      <c r="I49" s="210" t="n">
        <v>-36632.4</v>
      </c>
      <c r="J49" s="210" t="n">
        <v>-36632.4</v>
      </c>
      <c r="K49" s="210" t="n">
        <v>-36632.4</v>
      </c>
      <c r="L49" s="210" t="n">
        <v>-36632.4</v>
      </c>
      <c r="M49" s="210" t="n">
        <v>-36632.4</v>
      </c>
      <c r="N49" s="210" t="n">
        <v>-36632.4</v>
      </c>
      <c r="O49" s="210" t="n">
        <v>-36632.4</v>
      </c>
      <c r="P49" s="210" t="n">
        <v>-36632.4</v>
      </c>
      <c r="Q49" s="210" t="n">
        <v>-36632.4</v>
      </c>
      <c r="R49" s="210" t="n">
        <v>-36632.4</v>
      </c>
      <c r="S49" s="210" t="n">
        <v>-36632.4</v>
      </c>
      <c r="T49" s="210" t="n">
        <v>-36632.4</v>
      </c>
      <c r="U49" s="210" t="n">
        <v>-36632.4</v>
      </c>
      <c r="V49" s="210" t="n">
        <v>-36632.4</v>
      </c>
      <c r="W49" s="210" t="n">
        <v>-36632.4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D56+E55</f>
        <v/>
      </c>
      <c r="F56" s="220">
        <f>E56+F55</f>
        <v/>
      </c>
      <c r="G56" s="220">
        <f>F56+G55</f>
        <v/>
      </c>
      <c r="H56" s="220">
        <f>G56+H55</f>
        <v/>
      </c>
      <c r="I56" s="220">
        <f>H56+I55</f>
        <v/>
      </c>
      <c r="J56" s="220">
        <f>I56+J55</f>
        <v/>
      </c>
      <c r="K56" s="220">
        <f>J56+K55</f>
        <v/>
      </c>
      <c r="L56" s="220">
        <f>K56+L55</f>
        <v/>
      </c>
      <c r="M56" s="220">
        <f>L56+M55</f>
        <v/>
      </c>
      <c r="N56" s="220">
        <f>M56+N55</f>
        <v/>
      </c>
      <c r="O56" s="220">
        <f>N56+O55</f>
        <v/>
      </c>
      <c r="P56" s="220">
        <f>O56+P55</f>
        <v/>
      </c>
      <c r="Q56" s="220">
        <f>P56+Q55</f>
        <v/>
      </c>
      <c r="R56" s="220">
        <f>Q56+R55</f>
        <v/>
      </c>
      <c r="S56" s="220">
        <f>R56+S55</f>
        <v/>
      </c>
      <c r="T56" s="220">
        <f>S56+T55</f>
        <v/>
      </c>
      <c r="U56" s="220">
        <f>T56+U55</f>
        <v/>
      </c>
      <c r="V56" s="220">
        <f>U56+V55</f>
        <v/>
      </c>
      <c r="W56" s="220">
        <f>V56+W55</f>
        <v/>
      </c>
      <c r="X56" s="220">
        <f>W56+X55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>
        <f>-D109*$D25</f>
        <v/>
      </c>
      <c r="E70" s="210">
        <f>-E109*$D25</f>
        <v/>
      </c>
      <c r="F70" s="210">
        <f>-F109*$D25</f>
        <v/>
      </c>
      <c r="G70" s="210">
        <f>-G109*$D25</f>
        <v/>
      </c>
      <c r="H70" s="210">
        <f>-H109*$D25</f>
        <v/>
      </c>
      <c r="I70" s="210">
        <f>-I109*$D25</f>
        <v/>
      </c>
      <c r="J70" s="210">
        <f>-J109*$D25</f>
        <v/>
      </c>
      <c r="K70" s="210">
        <f>-K109*$D25</f>
        <v/>
      </c>
      <c r="L70" s="210">
        <f>-L109*$D25</f>
        <v/>
      </c>
      <c r="M70" s="210">
        <f>-M109*$D25</f>
        <v/>
      </c>
      <c r="N70" s="210">
        <f>-N109*$D25</f>
        <v/>
      </c>
      <c r="O70" s="210">
        <f>-O109*$D25</f>
        <v/>
      </c>
      <c r="P70" s="210">
        <f>-P109*$D25</f>
        <v/>
      </c>
      <c r="Q70" s="210">
        <f>-Q109*$D25</f>
        <v/>
      </c>
      <c r="R70" s="210">
        <f>-R109*$D25</f>
        <v/>
      </c>
      <c r="S70" s="210">
        <f>-S109*$D25</f>
        <v/>
      </c>
      <c r="T70" s="210">
        <f>-T109*$D25</f>
        <v/>
      </c>
      <c r="U70" s="210">
        <f>-U109*$D25</f>
        <v/>
      </c>
      <c r="V70" s="210">
        <f>-V109*$D25</f>
        <v/>
      </c>
      <c r="W70" s="210">
        <f>-W109*$D25</f>
        <v/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-1000122.666666667</v>
      </c>
      <c r="F93" s="260" t="n">
        <v>-1000122.666666667</v>
      </c>
      <c r="G93" s="260" t="n">
        <v>-1000122.666666667</v>
      </c>
      <c r="H93" s="260" t="n">
        <v>-1000122.666666667</v>
      </c>
      <c r="I93" s="260" t="n">
        <v>-1000122.666666667</v>
      </c>
      <c r="J93" s="260" t="n">
        <v>-1000122.666666667</v>
      </c>
      <c r="K93" s="260" t="n">
        <v>-1000122.666666667</v>
      </c>
      <c r="L93" s="260" t="n">
        <v>-1000122.666666667</v>
      </c>
      <c r="M93" s="260" t="n">
        <v>-1000122.666666667</v>
      </c>
      <c r="N93" s="260" t="n">
        <v>-1000122.666666667</v>
      </c>
      <c r="O93" s="260" t="n">
        <v>-1000122.666666667</v>
      </c>
      <c r="P93" s="260" t="n">
        <v>-1000122.666666667</v>
      </c>
      <c r="Q93" s="260" t="n">
        <v>-1000122.666666667</v>
      </c>
      <c r="R93" s="260" t="n">
        <v>-1000122.666666667</v>
      </c>
      <c r="S93" s="260" t="n">
        <v>-1000122.666666667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-937615</v>
      </c>
      <c r="U96" s="264" t="n">
        <v>-937615</v>
      </c>
      <c r="V96" s="264" t="n">
        <v>-937615</v>
      </c>
      <c r="W96" s="264" t="n">
        <v>-937615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9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第8次滾算摘要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27000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3.82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8.65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第8次滾算，減少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27000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60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$D$10*P1</f>
        <v/>
      </c>
      <c r="E40" s="194">
        <f>$D$10*Q1</f>
        <v/>
      </c>
      <c r="F40" s="194">
        <f>$D$10*R1</f>
        <v/>
      </c>
      <c r="G40" s="194">
        <f>$D$10*S1</f>
        <v/>
      </c>
      <c r="H40" s="194">
        <f>$D$10*T1</f>
        <v/>
      </c>
      <c r="I40" s="194">
        <f>$D$10*U1</f>
        <v/>
      </c>
      <c r="J40" s="194">
        <f>$D$10*V1</f>
        <v/>
      </c>
      <c r="K40" s="194">
        <f>$D$10*W1</f>
        <v/>
      </c>
      <c r="L40" s="194">
        <f>$D$10*X1</f>
        <v/>
      </c>
      <c r="M40" s="194">
        <f>$D$10*Y1</f>
        <v/>
      </c>
      <c r="N40" s="194">
        <f>$D$10*Z1</f>
        <v/>
      </c>
      <c r="O40" s="194">
        <f>$D$10*AA1</f>
        <v/>
      </c>
      <c r="P40" s="194">
        <f>$D$10*AB1</f>
        <v/>
      </c>
      <c r="Q40" s="194">
        <f>$D$10*AC1</f>
        <v/>
      </c>
      <c r="R40" s="194">
        <f>$D$10*AD1</f>
        <v/>
      </c>
      <c r="S40" s="194">
        <f>$D$10*AE1</f>
        <v/>
      </c>
      <c r="T40" s="194">
        <f>$D$10*AF1</f>
        <v/>
      </c>
      <c r="U40" s="194">
        <f>$D$10*AG1</f>
        <v/>
      </c>
      <c r="V40" s="194">
        <f>$D$10*AH1</f>
        <v/>
      </c>
      <c r="W40" s="194">
        <f>$D$10*AI1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-35324.1</v>
      </c>
      <c r="E49" s="210" t="n">
        <v>-35324.1</v>
      </c>
      <c r="F49" s="210" t="n">
        <v>-35324.1</v>
      </c>
      <c r="G49" s="210" t="n">
        <v>-35324.1</v>
      </c>
      <c r="H49" s="210" t="n">
        <v>-35324.1</v>
      </c>
      <c r="I49" s="210" t="n">
        <v>-35324.1</v>
      </c>
      <c r="J49" s="210" t="n">
        <v>-35324.1</v>
      </c>
      <c r="K49" s="210" t="n">
        <v>-35324.1</v>
      </c>
      <c r="L49" s="210" t="n">
        <v>-35324.1</v>
      </c>
      <c r="M49" s="210" t="n">
        <v>-35324.1</v>
      </c>
      <c r="N49" s="210" t="n">
        <v>-35324.1</v>
      </c>
      <c r="O49" s="210" t="n">
        <v>-35324.1</v>
      </c>
      <c r="P49" s="210" t="n">
        <v>-35324.1</v>
      </c>
      <c r="Q49" s="210" t="n">
        <v>-35324.1</v>
      </c>
      <c r="R49" s="210" t="n">
        <v>-35324.1</v>
      </c>
      <c r="S49" s="210" t="n">
        <v>-35324.1</v>
      </c>
      <c r="T49" s="210" t="n">
        <v>-35324.1</v>
      </c>
      <c r="U49" s="210" t="n">
        <v>-35324.1</v>
      </c>
      <c r="V49" s="210" t="n">
        <v>-35324.1</v>
      </c>
      <c r="W49" s="210" t="n">
        <v>-35324.1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D56+E55</f>
        <v/>
      </c>
      <c r="F56" s="220">
        <f>E56+F55</f>
        <v/>
      </c>
      <c r="G56" s="220">
        <f>F56+G55</f>
        <v/>
      </c>
      <c r="H56" s="220">
        <f>G56+H55</f>
        <v/>
      </c>
      <c r="I56" s="220">
        <f>H56+I55</f>
        <v/>
      </c>
      <c r="J56" s="220">
        <f>I56+J55</f>
        <v/>
      </c>
      <c r="K56" s="220">
        <f>J56+K55</f>
        <v/>
      </c>
      <c r="L56" s="220">
        <f>K56+L55</f>
        <v/>
      </c>
      <c r="M56" s="220">
        <f>L56+M55</f>
        <v/>
      </c>
      <c r="N56" s="220">
        <f>M56+N55</f>
        <v/>
      </c>
      <c r="O56" s="220">
        <f>N56+O55</f>
        <v/>
      </c>
      <c r="P56" s="220">
        <f>O56+P55</f>
        <v/>
      </c>
      <c r="Q56" s="220">
        <f>P56+Q55</f>
        <v/>
      </c>
      <c r="R56" s="220">
        <f>Q56+R55</f>
        <v/>
      </c>
      <c r="S56" s="220">
        <f>R56+S55</f>
        <v/>
      </c>
      <c r="T56" s="220">
        <f>S56+T55</f>
        <v/>
      </c>
      <c r="U56" s="220">
        <f>T56+U55</f>
        <v/>
      </c>
      <c r="V56" s="220">
        <f>U56+V55</f>
        <v/>
      </c>
      <c r="W56" s="220">
        <f>V56+W55</f>
        <v/>
      </c>
      <c r="X56" s="220">
        <f>W56+X55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>
        <f>-D109*$D25</f>
        <v/>
      </c>
      <c r="E70" s="210">
        <f>-E109*$D25</f>
        <v/>
      </c>
      <c r="F70" s="210">
        <f>-F109*$D25</f>
        <v/>
      </c>
      <c r="G70" s="210">
        <f>-G109*$D25</f>
        <v/>
      </c>
      <c r="H70" s="210">
        <f>-H109*$D25</f>
        <v/>
      </c>
      <c r="I70" s="210">
        <f>-I109*$D25</f>
        <v/>
      </c>
      <c r="J70" s="210">
        <f>-J109*$D25</f>
        <v/>
      </c>
      <c r="K70" s="210">
        <f>-K109*$D25</f>
        <v/>
      </c>
      <c r="L70" s="210">
        <f>-L109*$D25</f>
        <v/>
      </c>
      <c r="M70" s="210">
        <f>-M109*$D25</f>
        <v/>
      </c>
      <c r="N70" s="210">
        <f>-N109*$D25</f>
        <v/>
      </c>
      <c r="O70" s="210">
        <f>-O109*$D25</f>
        <v/>
      </c>
      <c r="P70" s="210">
        <f>-P109*$D25</f>
        <v/>
      </c>
      <c r="Q70" s="210">
        <f>-Q109*$D25</f>
        <v/>
      </c>
      <c r="R70" s="210">
        <f>-R109*$D25</f>
        <v/>
      </c>
      <c r="S70" s="210">
        <f>-S109*$D25</f>
        <v/>
      </c>
      <c r="T70" s="210">
        <f>-T109*$D25</f>
        <v/>
      </c>
      <c r="U70" s="210">
        <f>-U109*$D25</f>
        <v/>
      </c>
      <c r="V70" s="210">
        <f>-V109*$D25</f>
        <v/>
      </c>
      <c r="W70" s="210">
        <f>-W109*$D25</f>
        <v/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-966896</v>
      </c>
      <c r="F93" s="260" t="n">
        <v>-966896</v>
      </c>
      <c r="G93" s="260" t="n">
        <v>-966896</v>
      </c>
      <c r="H93" s="260" t="n">
        <v>-966896</v>
      </c>
      <c r="I93" s="260" t="n">
        <v>-966896</v>
      </c>
      <c r="J93" s="260" t="n">
        <v>-966896</v>
      </c>
      <c r="K93" s="260" t="n">
        <v>-966896</v>
      </c>
      <c r="L93" s="260" t="n">
        <v>-966896</v>
      </c>
      <c r="M93" s="260" t="n">
        <v>-966896</v>
      </c>
      <c r="N93" s="260" t="n">
        <v>-966896</v>
      </c>
      <c r="O93" s="260" t="n">
        <v>-966896</v>
      </c>
      <c r="P93" s="260" t="n">
        <v>-966896</v>
      </c>
      <c r="Q93" s="260" t="n">
        <v>-966896</v>
      </c>
      <c r="R93" s="260" t="n">
        <v>-966896</v>
      </c>
      <c r="S93" s="260" t="n">
        <v>-966896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-906465</v>
      </c>
      <c r="U96" s="264" t="n">
        <v>-906465</v>
      </c>
      <c r="V96" s="264" t="n">
        <v>-906465</v>
      </c>
      <c r="W96" s="264" t="n">
        <v>-906465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10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第9次滾算摘要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26000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4.17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9.96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第9次滾算，減少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26000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60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$D$10*P1</f>
        <v/>
      </c>
      <c r="E40" s="194">
        <f>$D$10*Q1</f>
        <v/>
      </c>
      <c r="F40" s="194">
        <f>$D$10*R1</f>
        <v/>
      </c>
      <c r="G40" s="194">
        <f>$D$10*S1</f>
        <v/>
      </c>
      <c r="H40" s="194">
        <f>$D$10*T1</f>
        <v/>
      </c>
      <c r="I40" s="194">
        <f>$D$10*U1</f>
        <v/>
      </c>
      <c r="J40" s="194">
        <f>$D$10*V1</f>
        <v/>
      </c>
      <c r="K40" s="194">
        <f>$D$10*W1</f>
        <v/>
      </c>
      <c r="L40" s="194">
        <f>$D$10*X1</f>
        <v/>
      </c>
      <c r="M40" s="194">
        <f>$D$10*Y1</f>
        <v/>
      </c>
      <c r="N40" s="194">
        <f>$D$10*Z1</f>
        <v/>
      </c>
      <c r="O40" s="194">
        <f>$D$10*AA1</f>
        <v/>
      </c>
      <c r="P40" s="194">
        <f>$D$10*AB1</f>
        <v/>
      </c>
      <c r="Q40" s="194">
        <f>$D$10*AC1</f>
        <v/>
      </c>
      <c r="R40" s="194">
        <f>$D$10*AD1</f>
        <v/>
      </c>
      <c r="S40" s="194">
        <f>$D$10*AE1</f>
        <v/>
      </c>
      <c r="T40" s="194">
        <f>$D$10*AF1</f>
        <v/>
      </c>
      <c r="U40" s="194">
        <f>$D$10*AG1</f>
        <v/>
      </c>
      <c r="V40" s="194">
        <f>$D$10*AH1</f>
        <v/>
      </c>
      <c r="W40" s="194">
        <f>$D$10*AI1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-34015.8</v>
      </c>
      <c r="E49" s="210" t="n">
        <v>-34015.8</v>
      </c>
      <c r="F49" s="210" t="n">
        <v>-34015.8</v>
      </c>
      <c r="G49" s="210" t="n">
        <v>-34015.8</v>
      </c>
      <c r="H49" s="210" t="n">
        <v>-34015.8</v>
      </c>
      <c r="I49" s="210" t="n">
        <v>-34015.8</v>
      </c>
      <c r="J49" s="210" t="n">
        <v>-34015.8</v>
      </c>
      <c r="K49" s="210" t="n">
        <v>-34015.8</v>
      </c>
      <c r="L49" s="210" t="n">
        <v>-34015.8</v>
      </c>
      <c r="M49" s="210" t="n">
        <v>-34015.8</v>
      </c>
      <c r="N49" s="210" t="n">
        <v>-34015.8</v>
      </c>
      <c r="O49" s="210" t="n">
        <v>-34015.8</v>
      </c>
      <c r="P49" s="210" t="n">
        <v>-34015.8</v>
      </c>
      <c r="Q49" s="210" t="n">
        <v>-34015.8</v>
      </c>
      <c r="R49" s="210" t="n">
        <v>-34015.8</v>
      </c>
      <c r="S49" s="210" t="n">
        <v>-34015.8</v>
      </c>
      <c r="T49" s="210" t="n">
        <v>-34015.8</v>
      </c>
      <c r="U49" s="210" t="n">
        <v>-34015.8</v>
      </c>
      <c r="V49" s="210" t="n">
        <v>-34015.8</v>
      </c>
      <c r="W49" s="210" t="n">
        <v>-34015.8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D56+E55</f>
        <v/>
      </c>
      <c r="F56" s="220">
        <f>E56+F55</f>
        <v/>
      </c>
      <c r="G56" s="220">
        <f>F56+G55</f>
        <v/>
      </c>
      <c r="H56" s="220">
        <f>G56+H55</f>
        <v/>
      </c>
      <c r="I56" s="220">
        <f>H56+I55</f>
        <v/>
      </c>
      <c r="J56" s="220">
        <f>I56+J55</f>
        <v/>
      </c>
      <c r="K56" s="220">
        <f>J56+K55</f>
        <v/>
      </c>
      <c r="L56" s="220">
        <f>K56+L55</f>
        <v/>
      </c>
      <c r="M56" s="220">
        <f>L56+M55</f>
        <v/>
      </c>
      <c r="N56" s="220">
        <f>M56+N55</f>
        <v/>
      </c>
      <c r="O56" s="220">
        <f>N56+O55</f>
        <v/>
      </c>
      <c r="P56" s="220">
        <f>O56+P55</f>
        <v/>
      </c>
      <c r="Q56" s="220">
        <f>P56+Q55</f>
        <v/>
      </c>
      <c r="R56" s="220">
        <f>Q56+R55</f>
        <v/>
      </c>
      <c r="S56" s="220">
        <f>R56+S55</f>
        <v/>
      </c>
      <c r="T56" s="220">
        <f>S56+T55</f>
        <v/>
      </c>
      <c r="U56" s="220">
        <f>T56+U55</f>
        <v/>
      </c>
      <c r="V56" s="220">
        <f>U56+V55</f>
        <v/>
      </c>
      <c r="W56" s="220">
        <f>V56+W55</f>
        <v/>
      </c>
      <c r="X56" s="220">
        <f>W56+X55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>
        <f>-D109*$D25</f>
        <v/>
      </c>
      <c r="E70" s="210">
        <f>-E109*$D25</f>
        <v/>
      </c>
      <c r="F70" s="210">
        <f>-F109*$D25</f>
        <v/>
      </c>
      <c r="G70" s="210">
        <f>-G109*$D25</f>
        <v/>
      </c>
      <c r="H70" s="210">
        <f>-H109*$D25</f>
        <v/>
      </c>
      <c r="I70" s="210">
        <f>-I109*$D25</f>
        <v/>
      </c>
      <c r="J70" s="210">
        <f>-J109*$D25</f>
        <v/>
      </c>
      <c r="K70" s="210">
        <f>-K109*$D25</f>
        <v/>
      </c>
      <c r="L70" s="210">
        <f>-L109*$D25</f>
        <v/>
      </c>
      <c r="M70" s="210">
        <f>-M109*$D25</f>
        <v/>
      </c>
      <c r="N70" s="210">
        <f>-N109*$D25</f>
        <v/>
      </c>
      <c r="O70" s="210">
        <f>-O109*$D25</f>
        <v/>
      </c>
      <c r="P70" s="210">
        <f>-P109*$D25</f>
        <v/>
      </c>
      <c r="Q70" s="210">
        <f>-Q109*$D25</f>
        <v/>
      </c>
      <c r="R70" s="210">
        <f>-R109*$D25</f>
        <v/>
      </c>
      <c r="S70" s="210">
        <f>-S109*$D25</f>
        <v/>
      </c>
      <c r="T70" s="210">
        <f>-T109*$D25</f>
        <v/>
      </c>
      <c r="U70" s="210">
        <f>-U109*$D25</f>
        <v/>
      </c>
      <c r="V70" s="210">
        <f>-V109*$D25</f>
        <v/>
      </c>
      <c r="W70" s="210">
        <f>-W109*$D25</f>
        <v/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-933669.3333333334</v>
      </c>
      <c r="F93" s="260" t="n">
        <v>-933669.3333333334</v>
      </c>
      <c r="G93" s="260" t="n">
        <v>-933669.3333333334</v>
      </c>
      <c r="H93" s="260" t="n">
        <v>-933669.3333333334</v>
      </c>
      <c r="I93" s="260" t="n">
        <v>-933669.3333333334</v>
      </c>
      <c r="J93" s="260" t="n">
        <v>-933669.3333333334</v>
      </c>
      <c r="K93" s="260" t="n">
        <v>-933669.3333333334</v>
      </c>
      <c r="L93" s="260" t="n">
        <v>-933669.3333333334</v>
      </c>
      <c r="M93" s="260" t="n">
        <v>-933669.3333333334</v>
      </c>
      <c r="N93" s="260" t="n">
        <v>-933669.3333333334</v>
      </c>
      <c r="O93" s="260" t="n">
        <v>-933669.3333333334</v>
      </c>
      <c r="P93" s="260" t="n">
        <v>-933669.3333333334</v>
      </c>
      <c r="Q93" s="260" t="n">
        <v>-933669.3333333334</v>
      </c>
      <c r="R93" s="260" t="n">
        <v>-933669.3333333334</v>
      </c>
      <c r="S93" s="260" t="n">
        <v>-933669.3333333334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-875315</v>
      </c>
      <c r="U96" s="264" t="n">
        <v>-875315</v>
      </c>
      <c r="V96" s="264" t="n">
        <v>-875315</v>
      </c>
      <c r="W96" s="264" t="n">
        <v>-875315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11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第10次滾算摘要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25000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4.54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11.4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第10次滾算，減少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25000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60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$D$10*P1</f>
        <v/>
      </c>
      <c r="E40" s="194">
        <f>$D$10*Q1</f>
        <v/>
      </c>
      <c r="F40" s="194">
        <f>$D$10*R1</f>
        <v/>
      </c>
      <c r="G40" s="194">
        <f>$D$10*S1</f>
        <v/>
      </c>
      <c r="H40" s="194">
        <f>$D$10*T1</f>
        <v/>
      </c>
      <c r="I40" s="194">
        <f>$D$10*U1</f>
        <v/>
      </c>
      <c r="J40" s="194">
        <f>$D$10*V1</f>
        <v/>
      </c>
      <c r="K40" s="194">
        <f>$D$10*W1</f>
        <v/>
      </c>
      <c r="L40" s="194">
        <f>$D$10*X1</f>
        <v/>
      </c>
      <c r="M40" s="194">
        <f>$D$10*Y1</f>
        <v/>
      </c>
      <c r="N40" s="194">
        <f>$D$10*Z1</f>
        <v/>
      </c>
      <c r="O40" s="194">
        <f>$D$10*AA1</f>
        <v/>
      </c>
      <c r="P40" s="194">
        <f>$D$10*AB1</f>
        <v/>
      </c>
      <c r="Q40" s="194">
        <f>$D$10*AC1</f>
        <v/>
      </c>
      <c r="R40" s="194">
        <f>$D$10*AD1</f>
        <v/>
      </c>
      <c r="S40" s="194">
        <f>$D$10*AE1</f>
        <v/>
      </c>
      <c r="T40" s="194">
        <f>$D$10*AF1</f>
        <v/>
      </c>
      <c r="U40" s="194">
        <f>$D$10*AG1</f>
        <v/>
      </c>
      <c r="V40" s="194">
        <f>$D$10*AH1</f>
        <v/>
      </c>
      <c r="W40" s="194">
        <f>$D$10*AI1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-32707.5</v>
      </c>
      <c r="E49" s="210" t="n">
        <v>-32707.5</v>
      </c>
      <c r="F49" s="210" t="n">
        <v>-32707.5</v>
      </c>
      <c r="G49" s="210" t="n">
        <v>-32707.5</v>
      </c>
      <c r="H49" s="210" t="n">
        <v>-32707.5</v>
      </c>
      <c r="I49" s="210" t="n">
        <v>-32707.5</v>
      </c>
      <c r="J49" s="210" t="n">
        <v>-32707.5</v>
      </c>
      <c r="K49" s="210" t="n">
        <v>-32707.5</v>
      </c>
      <c r="L49" s="210" t="n">
        <v>-32707.5</v>
      </c>
      <c r="M49" s="210" t="n">
        <v>-32707.5</v>
      </c>
      <c r="N49" s="210" t="n">
        <v>-32707.5</v>
      </c>
      <c r="O49" s="210" t="n">
        <v>-32707.5</v>
      </c>
      <c r="P49" s="210" t="n">
        <v>-32707.5</v>
      </c>
      <c r="Q49" s="210" t="n">
        <v>-32707.5</v>
      </c>
      <c r="R49" s="210" t="n">
        <v>-32707.5</v>
      </c>
      <c r="S49" s="210" t="n">
        <v>-32707.5</v>
      </c>
      <c r="T49" s="210" t="n">
        <v>-32707.5</v>
      </c>
      <c r="U49" s="210" t="n">
        <v>-32707.5</v>
      </c>
      <c r="V49" s="210" t="n">
        <v>-32707.5</v>
      </c>
      <c r="W49" s="210" t="n">
        <v>-32707.5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D56+E55</f>
        <v/>
      </c>
      <c r="F56" s="220">
        <f>E56+F55</f>
        <v/>
      </c>
      <c r="G56" s="220">
        <f>F56+G55</f>
        <v/>
      </c>
      <c r="H56" s="220">
        <f>G56+H55</f>
        <v/>
      </c>
      <c r="I56" s="220">
        <f>H56+I55</f>
        <v/>
      </c>
      <c r="J56" s="220">
        <f>I56+J55</f>
        <v/>
      </c>
      <c r="K56" s="220">
        <f>J56+K55</f>
        <v/>
      </c>
      <c r="L56" s="220">
        <f>K56+L55</f>
        <v/>
      </c>
      <c r="M56" s="220">
        <f>L56+M55</f>
        <v/>
      </c>
      <c r="N56" s="220">
        <f>M56+N55</f>
        <v/>
      </c>
      <c r="O56" s="220">
        <f>N56+O55</f>
        <v/>
      </c>
      <c r="P56" s="220">
        <f>O56+P55</f>
        <v/>
      </c>
      <c r="Q56" s="220">
        <f>P56+Q55</f>
        <v/>
      </c>
      <c r="R56" s="220">
        <f>Q56+R55</f>
        <v/>
      </c>
      <c r="S56" s="220">
        <f>R56+S55</f>
        <v/>
      </c>
      <c r="T56" s="220">
        <f>S56+T55</f>
        <v/>
      </c>
      <c r="U56" s="220">
        <f>T56+U55</f>
        <v/>
      </c>
      <c r="V56" s="220">
        <f>U56+V55</f>
        <v/>
      </c>
      <c r="W56" s="220">
        <f>V56+W55</f>
        <v/>
      </c>
      <c r="X56" s="220">
        <f>W56+X55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>
        <f>-D109*$D25</f>
        <v/>
      </c>
      <c r="E70" s="210">
        <f>-E109*$D25</f>
        <v/>
      </c>
      <c r="F70" s="210">
        <f>-F109*$D25</f>
        <v/>
      </c>
      <c r="G70" s="210">
        <f>-G109*$D25</f>
        <v/>
      </c>
      <c r="H70" s="210">
        <f>-H109*$D25</f>
        <v/>
      </c>
      <c r="I70" s="210">
        <f>-I109*$D25</f>
        <v/>
      </c>
      <c r="J70" s="210">
        <f>-J109*$D25</f>
        <v/>
      </c>
      <c r="K70" s="210">
        <f>-K109*$D25</f>
        <v/>
      </c>
      <c r="L70" s="210">
        <f>-L109*$D25</f>
        <v/>
      </c>
      <c r="M70" s="210">
        <f>-M109*$D25</f>
        <v/>
      </c>
      <c r="N70" s="210">
        <f>-N109*$D25</f>
        <v/>
      </c>
      <c r="O70" s="210">
        <f>-O109*$D25</f>
        <v/>
      </c>
      <c r="P70" s="210">
        <f>-P109*$D25</f>
        <v/>
      </c>
      <c r="Q70" s="210">
        <f>-Q109*$D25</f>
        <v/>
      </c>
      <c r="R70" s="210">
        <f>-R109*$D25</f>
        <v/>
      </c>
      <c r="S70" s="210">
        <f>-S109*$D25</f>
        <v/>
      </c>
      <c r="T70" s="210">
        <f>-T109*$D25</f>
        <v/>
      </c>
      <c r="U70" s="210">
        <f>-U109*$D25</f>
        <v/>
      </c>
      <c r="V70" s="210">
        <f>-V109*$D25</f>
        <v/>
      </c>
      <c r="W70" s="210">
        <f>-W109*$D25</f>
        <v/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-900442.6666666666</v>
      </c>
      <c r="F93" s="260" t="n">
        <v>-900442.6666666666</v>
      </c>
      <c r="G93" s="260" t="n">
        <v>-900442.6666666666</v>
      </c>
      <c r="H93" s="260" t="n">
        <v>-900442.6666666666</v>
      </c>
      <c r="I93" s="260" t="n">
        <v>-900442.6666666666</v>
      </c>
      <c r="J93" s="260" t="n">
        <v>-900442.6666666666</v>
      </c>
      <c r="K93" s="260" t="n">
        <v>-900442.6666666666</v>
      </c>
      <c r="L93" s="260" t="n">
        <v>-900442.6666666666</v>
      </c>
      <c r="M93" s="260" t="n">
        <v>-900442.6666666666</v>
      </c>
      <c r="N93" s="260" t="n">
        <v>-900442.6666666666</v>
      </c>
      <c r="O93" s="260" t="n">
        <v>-900442.6666666666</v>
      </c>
      <c r="P93" s="260" t="n">
        <v>-900442.6666666666</v>
      </c>
      <c r="Q93" s="260" t="n">
        <v>-900442.6666666666</v>
      </c>
      <c r="R93" s="260" t="n">
        <v>-900442.6666666666</v>
      </c>
      <c r="S93" s="260" t="n">
        <v>-900442.6666666666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-844165</v>
      </c>
      <c r="U96" s="264" t="n">
        <v>-844165</v>
      </c>
      <c r="V96" s="264" t="n">
        <v>-844165</v>
      </c>
      <c r="W96" s="264" t="n">
        <v>-844165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12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第11次滾算摘要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24000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4.94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13.0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第11次滾算，減少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24000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60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$D$10*P1</f>
        <v/>
      </c>
      <c r="E40" s="194">
        <f>$D$10*Q1</f>
        <v/>
      </c>
      <c r="F40" s="194">
        <f>$D$10*R1</f>
        <v/>
      </c>
      <c r="G40" s="194">
        <f>$D$10*S1</f>
        <v/>
      </c>
      <c r="H40" s="194">
        <f>$D$10*T1</f>
        <v/>
      </c>
      <c r="I40" s="194">
        <f>$D$10*U1</f>
        <v/>
      </c>
      <c r="J40" s="194">
        <f>$D$10*V1</f>
        <v/>
      </c>
      <c r="K40" s="194">
        <f>$D$10*W1</f>
        <v/>
      </c>
      <c r="L40" s="194">
        <f>$D$10*X1</f>
        <v/>
      </c>
      <c r="M40" s="194">
        <f>$D$10*Y1</f>
        <v/>
      </c>
      <c r="N40" s="194">
        <f>$D$10*Z1</f>
        <v/>
      </c>
      <c r="O40" s="194">
        <f>$D$10*AA1</f>
        <v/>
      </c>
      <c r="P40" s="194">
        <f>$D$10*AB1</f>
        <v/>
      </c>
      <c r="Q40" s="194">
        <f>$D$10*AC1</f>
        <v/>
      </c>
      <c r="R40" s="194">
        <f>$D$10*AD1</f>
        <v/>
      </c>
      <c r="S40" s="194">
        <f>$D$10*AE1</f>
        <v/>
      </c>
      <c r="T40" s="194">
        <f>$D$10*AF1</f>
        <v/>
      </c>
      <c r="U40" s="194">
        <f>$D$10*AG1</f>
        <v/>
      </c>
      <c r="V40" s="194">
        <f>$D$10*AH1</f>
        <v/>
      </c>
      <c r="W40" s="194">
        <f>$D$10*AI1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-31399.2</v>
      </c>
      <c r="E49" s="210" t="n">
        <v>-31399.2</v>
      </c>
      <c r="F49" s="210" t="n">
        <v>-31399.2</v>
      </c>
      <c r="G49" s="210" t="n">
        <v>-31399.2</v>
      </c>
      <c r="H49" s="210" t="n">
        <v>-31399.2</v>
      </c>
      <c r="I49" s="210" t="n">
        <v>-31399.2</v>
      </c>
      <c r="J49" s="210" t="n">
        <v>-31399.2</v>
      </c>
      <c r="K49" s="210" t="n">
        <v>-31399.2</v>
      </c>
      <c r="L49" s="210" t="n">
        <v>-31399.2</v>
      </c>
      <c r="M49" s="210" t="n">
        <v>-31399.2</v>
      </c>
      <c r="N49" s="210" t="n">
        <v>-31399.2</v>
      </c>
      <c r="O49" s="210" t="n">
        <v>-31399.2</v>
      </c>
      <c r="P49" s="210" t="n">
        <v>-31399.2</v>
      </c>
      <c r="Q49" s="210" t="n">
        <v>-31399.2</v>
      </c>
      <c r="R49" s="210" t="n">
        <v>-31399.2</v>
      </c>
      <c r="S49" s="210" t="n">
        <v>-31399.2</v>
      </c>
      <c r="T49" s="210" t="n">
        <v>-31399.2</v>
      </c>
      <c r="U49" s="210" t="n">
        <v>-31399.2</v>
      </c>
      <c r="V49" s="210" t="n">
        <v>-31399.2</v>
      </c>
      <c r="W49" s="210" t="n">
        <v>-31399.2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D56+E55</f>
        <v/>
      </c>
      <c r="F56" s="220">
        <f>E56+F55</f>
        <v/>
      </c>
      <c r="G56" s="220">
        <f>F56+G55</f>
        <v/>
      </c>
      <c r="H56" s="220">
        <f>G56+H55</f>
        <v/>
      </c>
      <c r="I56" s="220">
        <f>H56+I55</f>
        <v/>
      </c>
      <c r="J56" s="220">
        <f>I56+J55</f>
        <v/>
      </c>
      <c r="K56" s="220">
        <f>J56+K55</f>
        <v/>
      </c>
      <c r="L56" s="220">
        <f>K56+L55</f>
        <v/>
      </c>
      <c r="M56" s="220">
        <f>L56+M55</f>
        <v/>
      </c>
      <c r="N56" s="220">
        <f>M56+N55</f>
        <v/>
      </c>
      <c r="O56" s="220">
        <f>N56+O55</f>
        <v/>
      </c>
      <c r="P56" s="220">
        <f>O56+P55</f>
        <v/>
      </c>
      <c r="Q56" s="220">
        <f>P56+Q55</f>
        <v/>
      </c>
      <c r="R56" s="220">
        <f>Q56+R55</f>
        <v/>
      </c>
      <c r="S56" s="220">
        <f>R56+S55</f>
        <v/>
      </c>
      <c r="T56" s="220">
        <f>S56+T55</f>
        <v/>
      </c>
      <c r="U56" s="220">
        <f>T56+U55</f>
        <v/>
      </c>
      <c r="V56" s="220">
        <f>U56+V55</f>
        <v/>
      </c>
      <c r="W56" s="220">
        <f>V56+W55</f>
        <v/>
      </c>
      <c r="X56" s="220">
        <f>W56+X55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>
        <f>-D109*$D25</f>
        <v/>
      </c>
      <c r="E70" s="210">
        <f>-E109*$D25</f>
        <v/>
      </c>
      <c r="F70" s="210">
        <f>-F109*$D25</f>
        <v/>
      </c>
      <c r="G70" s="210">
        <f>-G109*$D25</f>
        <v/>
      </c>
      <c r="H70" s="210">
        <f>-H109*$D25</f>
        <v/>
      </c>
      <c r="I70" s="210">
        <f>-I109*$D25</f>
        <v/>
      </c>
      <c r="J70" s="210">
        <f>-J109*$D25</f>
        <v/>
      </c>
      <c r="K70" s="210">
        <f>-K109*$D25</f>
        <v/>
      </c>
      <c r="L70" s="210">
        <f>-L109*$D25</f>
        <v/>
      </c>
      <c r="M70" s="210">
        <f>-M109*$D25</f>
        <v/>
      </c>
      <c r="N70" s="210">
        <f>-N109*$D25</f>
        <v/>
      </c>
      <c r="O70" s="210">
        <f>-O109*$D25</f>
        <v/>
      </c>
      <c r="P70" s="210">
        <f>-P109*$D25</f>
        <v/>
      </c>
      <c r="Q70" s="210">
        <f>-Q109*$D25</f>
        <v/>
      </c>
      <c r="R70" s="210">
        <f>-R109*$D25</f>
        <v/>
      </c>
      <c r="S70" s="210">
        <f>-S109*$D25</f>
        <v/>
      </c>
      <c r="T70" s="210">
        <f>-T109*$D25</f>
        <v/>
      </c>
      <c r="U70" s="210">
        <f>-U109*$D25</f>
        <v/>
      </c>
      <c r="V70" s="210">
        <f>-V109*$D25</f>
        <v/>
      </c>
      <c r="W70" s="210">
        <f>-W109*$D25</f>
        <v/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-867216</v>
      </c>
      <c r="F93" s="260" t="n">
        <v>-867216</v>
      </c>
      <c r="G93" s="260" t="n">
        <v>-867216</v>
      </c>
      <c r="H93" s="260" t="n">
        <v>-867216</v>
      </c>
      <c r="I93" s="260" t="n">
        <v>-867216</v>
      </c>
      <c r="J93" s="260" t="n">
        <v>-867216</v>
      </c>
      <c r="K93" s="260" t="n">
        <v>-867216</v>
      </c>
      <c r="L93" s="260" t="n">
        <v>-867216</v>
      </c>
      <c r="M93" s="260" t="n">
        <v>-867216</v>
      </c>
      <c r="N93" s="260" t="n">
        <v>-867216</v>
      </c>
      <c r="O93" s="260" t="n">
        <v>-867216</v>
      </c>
      <c r="P93" s="260" t="n">
        <v>-867216</v>
      </c>
      <c r="Q93" s="260" t="n">
        <v>-867216</v>
      </c>
      <c r="R93" s="260" t="n">
        <v>-867216</v>
      </c>
      <c r="S93" s="260" t="n">
        <v>-867216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-813015</v>
      </c>
      <c r="U96" s="264" t="n">
        <v>-813015</v>
      </c>
      <c r="V96" s="264" t="n">
        <v>-813015</v>
      </c>
      <c r="W96" s="264" t="n">
        <v>-813015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13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第12次滾算摘要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23000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5.36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14.79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第12次滾算，減少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23000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60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$D$10*P1</f>
        <v/>
      </c>
      <c r="E40" s="194">
        <f>$D$10*Q1</f>
        <v/>
      </c>
      <c r="F40" s="194">
        <f>$D$10*R1</f>
        <v/>
      </c>
      <c r="G40" s="194">
        <f>$D$10*S1</f>
        <v/>
      </c>
      <c r="H40" s="194">
        <f>$D$10*T1</f>
        <v/>
      </c>
      <c r="I40" s="194">
        <f>$D$10*U1</f>
        <v/>
      </c>
      <c r="J40" s="194">
        <f>$D$10*V1</f>
        <v/>
      </c>
      <c r="K40" s="194">
        <f>$D$10*W1</f>
        <v/>
      </c>
      <c r="L40" s="194">
        <f>$D$10*X1</f>
        <v/>
      </c>
      <c r="M40" s="194">
        <f>$D$10*Y1</f>
        <v/>
      </c>
      <c r="N40" s="194">
        <f>$D$10*Z1</f>
        <v/>
      </c>
      <c r="O40" s="194">
        <f>$D$10*AA1</f>
        <v/>
      </c>
      <c r="P40" s="194">
        <f>$D$10*AB1</f>
        <v/>
      </c>
      <c r="Q40" s="194">
        <f>$D$10*AC1</f>
        <v/>
      </c>
      <c r="R40" s="194">
        <f>$D$10*AD1</f>
        <v/>
      </c>
      <c r="S40" s="194">
        <f>$D$10*AE1</f>
        <v/>
      </c>
      <c r="T40" s="194">
        <f>$D$10*AF1</f>
        <v/>
      </c>
      <c r="U40" s="194">
        <f>$D$10*AG1</f>
        <v/>
      </c>
      <c r="V40" s="194">
        <f>$D$10*AH1</f>
        <v/>
      </c>
      <c r="W40" s="194">
        <f>$D$10*AI1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-30090.9</v>
      </c>
      <c r="E49" s="210" t="n">
        <v>-30090.9</v>
      </c>
      <c r="F49" s="210" t="n">
        <v>-30090.9</v>
      </c>
      <c r="G49" s="210" t="n">
        <v>-30090.9</v>
      </c>
      <c r="H49" s="210" t="n">
        <v>-30090.9</v>
      </c>
      <c r="I49" s="210" t="n">
        <v>-30090.9</v>
      </c>
      <c r="J49" s="210" t="n">
        <v>-30090.9</v>
      </c>
      <c r="K49" s="210" t="n">
        <v>-30090.9</v>
      </c>
      <c r="L49" s="210" t="n">
        <v>-30090.9</v>
      </c>
      <c r="M49" s="210" t="n">
        <v>-30090.9</v>
      </c>
      <c r="N49" s="210" t="n">
        <v>-30090.9</v>
      </c>
      <c r="O49" s="210" t="n">
        <v>-30090.9</v>
      </c>
      <c r="P49" s="210" t="n">
        <v>-30090.9</v>
      </c>
      <c r="Q49" s="210" t="n">
        <v>-30090.9</v>
      </c>
      <c r="R49" s="210" t="n">
        <v>-30090.9</v>
      </c>
      <c r="S49" s="210" t="n">
        <v>-30090.9</v>
      </c>
      <c r="T49" s="210" t="n">
        <v>-30090.9</v>
      </c>
      <c r="U49" s="210" t="n">
        <v>-30090.9</v>
      </c>
      <c r="V49" s="210" t="n">
        <v>-30090.9</v>
      </c>
      <c r="W49" s="210" t="n">
        <v>-30090.9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D56+E55</f>
        <v/>
      </c>
      <c r="F56" s="220">
        <f>E56+F55</f>
        <v/>
      </c>
      <c r="G56" s="220">
        <f>F56+G55</f>
        <v/>
      </c>
      <c r="H56" s="220">
        <f>G56+H55</f>
        <v/>
      </c>
      <c r="I56" s="220">
        <f>H56+I55</f>
        <v/>
      </c>
      <c r="J56" s="220">
        <f>I56+J55</f>
        <v/>
      </c>
      <c r="K56" s="220">
        <f>J56+K55</f>
        <v/>
      </c>
      <c r="L56" s="220">
        <f>K56+L55</f>
        <v/>
      </c>
      <c r="M56" s="220">
        <f>L56+M55</f>
        <v/>
      </c>
      <c r="N56" s="220">
        <f>M56+N55</f>
        <v/>
      </c>
      <c r="O56" s="220">
        <f>N56+O55</f>
        <v/>
      </c>
      <c r="P56" s="220">
        <f>O56+P55</f>
        <v/>
      </c>
      <c r="Q56" s="220">
        <f>P56+Q55</f>
        <v/>
      </c>
      <c r="R56" s="220">
        <f>Q56+R55</f>
        <v/>
      </c>
      <c r="S56" s="220">
        <f>R56+S55</f>
        <v/>
      </c>
      <c r="T56" s="220">
        <f>S56+T55</f>
        <v/>
      </c>
      <c r="U56" s="220">
        <f>T56+U55</f>
        <v/>
      </c>
      <c r="V56" s="220">
        <f>U56+V55</f>
        <v/>
      </c>
      <c r="W56" s="220">
        <f>V56+W55</f>
        <v/>
      </c>
      <c r="X56" s="220">
        <f>W56+X55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>
        <f>-D109*$D25</f>
        <v/>
      </c>
      <c r="E70" s="210">
        <f>-E109*$D25</f>
        <v/>
      </c>
      <c r="F70" s="210">
        <f>-F109*$D25</f>
        <v/>
      </c>
      <c r="G70" s="210">
        <f>-G109*$D25</f>
        <v/>
      </c>
      <c r="H70" s="210">
        <f>-H109*$D25</f>
        <v/>
      </c>
      <c r="I70" s="210">
        <f>-I109*$D25</f>
        <v/>
      </c>
      <c r="J70" s="210">
        <f>-J109*$D25</f>
        <v/>
      </c>
      <c r="K70" s="210">
        <f>-K109*$D25</f>
        <v/>
      </c>
      <c r="L70" s="210">
        <f>-L109*$D25</f>
        <v/>
      </c>
      <c r="M70" s="210">
        <f>-M109*$D25</f>
        <v/>
      </c>
      <c r="N70" s="210">
        <f>-N109*$D25</f>
        <v/>
      </c>
      <c r="O70" s="210">
        <f>-O109*$D25</f>
        <v/>
      </c>
      <c r="P70" s="210">
        <f>-P109*$D25</f>
        <v/>
      </c>
      <c r="Q70" s="210">
        <f>-Q109*$D25</f>
        <v/>
      </c>
      <c r="R70" s="210">
        <f>-R109*$D25</f>
        <v/>
      </c>
      <c r="S70" s="210">
        <f>-S109*$D25</f>
        <v/>
      </c>
      <c r="T70" s="210">
        <f>-T109*$D25</f>
        <v/>
      </c>
      <c r="U70" s="210">
        <f>-U109*$D25</f>
        <v/>
      </c>
      <c r="V70" s="210">
        <f>-V109*$D25</f>
        <v/>
      </c>
      <c r="W70" s="210">
        <f>-W109*$D25</f>
        <v/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-833989.3333333334</v>
      </c>
      <c r="F93" s="260" t="n">
        <v>-833989.3333333334</v>
      </c>
      <c r="G93" s="260" t="n">
        <v>-833989.3333333334</v>
      </c>
      <c r="H93" s="260" t="n">
        <v>-833989.3333333334</v>
      </c>
      <c r="I93" s="260" t="n">
        <v>-833989.3333333334</v>
      </c>
      <c r="J93" s="260" t="n">
        <v>-833989.3333333334</v>
      </c>
      <c r="K93" s="260" t="n">
        <v>-833989.3333333334</v>
      </c>
      <c r="L93" s="260" t="n">
        <v>-833989.3333333334</v>
      </c>
      <c r="M93" s="260" t="n">
        <v>-833989.3333333334</v>
      </c>
      <c r="N93" s="260" t="n">
        <v>-833989.3333333334</v>
      </c>
      <c r="O93" s="260" t="n">
        <v>-833989.3333333334</v>
      </c>
      <c r="P93" s="260" t="n">
        <v>-833989.3333333334</v>
      </c>
      <c r="Q93" s="260" t="n">
        <v>-833989.3333333334</v>
      </c>
      <c r="R93" s="260" t="n">
        <v>-833989.3333333334</v>
      </c>
      <c r="S93" s="260" t="n">
        <v>-833989.3333333334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-781865</v>
      </c>
      <c r="U96" s="264" t="n">
        <v>-781865</v>
      </c>
      <c r="V96" s="264" t="n">
        <v>-781865</v>
      </c>
      <c r="W96" s="264" t="n">
        <v>-781865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14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第13次滾算摘要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22000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5.8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16.83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第13次滾算，減少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22000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60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$D$10*P1</f>
        <v/>
      </c>
      <c r="E40" s="194">
        <f>$D$10*Q1</f>
        <v/>
      </c>
      <c r="F40" s="194">
        <f>$D$10*R1</f>
        <v/>
      </c>
      <c r="G40" s="194">
        <f>$D$10*S1</f>
        <v/>
      </c>
      <c r="H40" s="194">
        <f>$D$10*T1</f>
        <v/>
      </c>
      <c r="I40" s="194">
        <f>$D$10*U1</f>
        <v/>
      </c>
      <c r="J40" s="194">
        <f>$D$10*V1</f>
        <v/>
      </c>
      <c r="K40" s="194">
        <f>$D$10*W1</f>
        <v/>
      </c>
      <c r="L40" s="194">
        <f>$D$10*X1</f>
        <v/>
      </c>
      <c r="M40" s="194">
        <f>$D$10*Y1</f>
        <v/>
      </c>
      <c r="N40" s="194">
        <f>$D$10*Z1</f>
        <v/>
      </c>
      <c r="O40" s="194">
        <f>$D$10*AA1</f>
        <v/>
      </c>
      <c r="P40" s="194">
        <f>$D$10*AB1</f>
        <v/>
      </c>
      <c r="Q40" s="194">
        <f>$D$10*AC1</f>
        <v/>
      </c>
      <c r="R40" s="194">
        <f>$D$10*AD1</f>
        <v/>
      </c>
      <c r="S40" s="194">
        <f>$D$10*AE1</f>
        <v/>
      </c>
      <c r="T40" s="194">
        <f>$D$10*AF1</f>
        <v/>
      </c>
      <c r="U40" s="194">
        <f>$D$10*AG1</f>
        <v/>
      </c>
      <c r="V40" s="194">
        <f>$D$10*AH1</f>
        <v/>
      </c>
      <c r="W40" s="194">
        <f>$D$10*AI1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-28782.6</v>
      </c>
      <c r="E49" s="210" t="n">
        <v>-28782.6</v>
      </c>
      <c r="F49" s="210" t="n">
        <v>-28782.6</v>
      </c>
      <c r="G49" s="210" t="n">
        <v>-28782.6</v>
      </c>
      <c r="H49" s="210" t="n">
        <v>-28782.6</v>
      </c>
      <c r="I49" s="210" t="n">
        <v>-28782.6</v>
      </c>
      <c r="J49" s="210" t="n">
        <v>-28782.6</v>
      </c>
      <c r="K49" s="210" t="n">
        <v>-28782.6</v>
      </c>
      <c r="L49" s="210" t="n">
        <v>-28782.6</v>
      </c>
      <c r="M49" s="210" t="n">
        <v>-28782.6</v>
      </c>
      <c r="N49" s="210" t="n">
        <v>-28782.6</v>
      </c>
      <c r="O49" s="210" t="n">
        <v>-28782.6</v>
      </c>
      <c r="P49" s="210" t="n">
        <v>-28782.6</v>
      </c>
      <c r="Q49" s="210" t="n">
        <v>-28782.6</v>
      </c>
      <c r="R49" s="210" t="n">
        <v>-28782.6</v>
      </c>
      <c r="S49" s="210" t="n">
        <v>-28782.6</v>
      </c>
      <c r="T49" s="210" t="n">
        <v>-28782.6</v>
      </c>
      <c r="U49" s="210" t="n">
        <v>-28782.6</v>
      </c>
      <c r="V49" s="210" t="n">
        <v>-28782.6</v>
      </c>
      <c r="W49" s="210" t="n">
        <v>-28782.6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D56+E55</f>
        <v/>
      </c>
      <c r="F56" s="220">
        <f>E56+F55</f>
        <v/>
      </c>
      <c r="G56" s="220">
        <f>F56+G55</f>
        <v/>
      </c>
      <c r="H56" s="220">
        <f>G56+H55</f>
        <v/>
      </c>
      <c r="I56" s="220">
        <f>H56+I55</f>
        <v/>
      </c>
      <c r="J56" s="220">
        <f>I56+J55</f>
        <v/>
      </c>
      <c r="K56" s="220">
        <f>J56+K55</f>
        <v/>
      </c>
      <c r="L56" s="220">
        <f>K56+L55</f>
        <v/>
      </c>
      <c r="M56" s="220">
        <f>L56+M55</f>
        <v/>
      </c>
      <c r="N56" s="220">
        <f>M56+N55</f>
        <v/>
      </c>
      <c r="O56" s="220">
        <f>N56+O55</f>
        <v/>
      </c>
      <c r="P56" s="220">
        <f>O56+P55</f>
        <v/>
      </c>
      <c r="Q56" s="220">
        <f>P56+Q55</f>
        <v/>
      </c>
      <c r="R56" s="220">
        <f>Q56+R55</f>
        <v/>
      </c>
      <c r="S56" s="220">
        <f>R56+S55</f>
        <v/>
      </c>
      <c r="T56" s="220">
        <f>S56+T55</f>
        <v/>
      </c>
      <c r="U56" s="220">
        <f>T56+U55</f>
        <v/>
      </c>
      <c r="V56" s="220">
        <f>U56+V55</f>
        <v/>
      </c>
      <c r="W56" s="220">
        <f>V56+W55</f>
        <v/>
      </c>
      <c r="X56" s="220">
        <f>W56+X55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>
        <f>-D109*$D25</f>
        <v/>
      </c>
      <c r="E70" s="210">
        <f>-E109*$D25</f>
        <v/>
      </c>
      <c r="F70" s="210">
        <f>-F109*$D25</f>
        <v/>
      </c>
      <c r="G70" s="210">
        <f>-G109*$D25</f>
        <v/>
      </c>
      <c r="H70" s="210">
        <f>-H109*$D25</f>
        <v/>
      </c>
      <c r="I70" s="210">
        <f>-I109*$D25</f>
        <v/>
      </c>
      <c r="J70" s="210">
        <f>-J109*$D25</f>
        <v/>
      </c>
      <c r="K70" s="210">
        <f>-K109*$D25</f>
        <v/>
      </c>
      <c r="L70" s="210">
        <f>-L109*$D25</f>
        <v/>
      </c>
      <c r="M70" s="210">
        <f>-M109*$D25</f>
        <v/>
      </c>
      <c r="N70" s="210">
        <f>-N109*$D25</f>
        <v/>
      </c>
      <c r="O70" s="210">
        <f>-O109*$D25</f>
        <v/>
      </c>
      <c r="P70" s="210">
        <f>-P109*$D25</f>
        <v/>
      </c>
      <c r="Q70" s="210">
        <f>-Q109*$D25</f>
        <v/>
      </c>
      <c r="R70" s="210">
        <f>-R109*$D25</f>
        <v/>
      </c>
      <c r="S70" s="210">
        <f>-S109*$D25</f>
        <v/>
      </c>
      <c r="T70" s="210">
        <f>-T109*$D25</f>
        <v/>
      </c>
      <c r="U70" s="210">
        <f>-U109*$D25</f>
        <v/>
      </c>
      <c r="V70" s="210">
        <f>-V109*$D25</f>
        <v/>
      </c>
      <c r="W70" s="210">
        <f>-W109*$D25</f>
        <v/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-800762.6666666666</v>
      </c>
      <c r="F93" s="260" t="n">
        <v>-800762.6666666666</v>
      </c>
      <c r="G93" s="260" t="n">
        <v>-800762.6666666666</v>
      </c>
      <c r="H93" s="260" t="n">
        <v>-800762.6666666666</v>
      </c>
      <c r="I93" s="260" t="n">
        <v>-800762.6666666666</v>
      </c>
      <c r="J93" s="260" t="n">
        <v>-800762.6666666666</v>
      </c>
      <c r="K93" s="260" t="n">
        <v>-800762.6666666666</v>
      </c>
      <c r="L93" s="260" t="n">
        <v>-800762.6666666666</v>
      </c>
      <c r="M93" s="260" t="n">
        <v>-800762.6666666666</v>
      </c>
      <c r="N93" s="260" t="n">
        <v>-800762.6666666666</v>
      </c>
      <c r="O93" s="260" t="n">
        <v>-800762.6666666666</v>
      </c>
      <c r="P93" s="260" t="n">
        <v>-800762.6666666666</v>
      </c>
      <c r="Q93" s="260" t="n">
        <v>-800762.6666666666</v>
      </c>
      <c r="R93" s="260" t="n">
        <v>-800762.6666666666</v>
      </c>
      <c r="S93" s="260" t="n">
        <v>-800762.6666666666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-750715</v>
      </c>
      <c r="U96" s="264" t="n">
        <v>-750715</v>
      </c>
      <c r="V96" s="264" t="n">
        <v>-750715</v>
      </c>
      <c r="W96" s="264" t="n">
        <v>-750715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15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第14次滾算摘要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21000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6.28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19.16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第14次滾算，減少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21000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60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$D$10*P1</f>
        <v/>
      </c>
      <c r="E40" s="194">
        <f>$D$10*Q1</f>
        <v/>
      </c>
      <c r="F40" s="194">
        <f>$D$10*R1</f>
        <v/>
      </c>
      <c r="G40" s="194">
        <f>$D$10*S1</f>
        <v/>
      </c>
      <c r="H40" s="194">
        <f>$D$10*T1</f>
        <v/>
      </c>
      <c r="I40" s="194">
        <f>$D$10*U1</f>
        <v/>
      </c>
      <c r="J40" s="194">
        <f>$D$10*V1</f>
        <v/>
      </c>
      <c r="K40" s="194">
        <f>$D$10*W1</f>
        <v/>
      </c>
      <c r="L40" s="194">
        <f>$D$10*X1</f>
        <v/>
      </c>
      <c r="M40" s="194">
        <f>$D$10*Y1</f>
        <v/>
      </c>
      <c r="N40" s="194">
        <f>$D$10*Z1</f>
        <v/>
      </c>
      <c r="O40" s="194">
        <f>$D$10*AA1</f>
        <v/>
      </c>
      <c r="P40" s="194">
        <f>$D$10*AB1</f>
        <v/>
      </c>
      <c r="Q40" s="194">
        <f>$D$10*AC1</f>
        <v/>
      </c>
      <c r="R40" s="194">
        <f>$D$10*AD1</f>
        <v/>
      </c>
      <c r="S40" s="194">
        <f>$D$10*AE1</f>
        <v/>
      </c>
      <c r="T40" s="194">
        <f>$D$10*AF1</f>
        <v/>
      </c>
      <c r="U40" s="194">
        <f>$D$10*AG1</f>
        <v/>
      </c>
      <c r="V40" s="194">
        <f>$D$10*AH1</f>
        <v/>
      </c>
      <c r="W40" s="194">
        <f>$D$10*AI1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-27474.3</v>
      </c>
      <c r="E49" s="210" t="n">
        <v>-27474.3</v>
      </c>
      <c r="F49" s="210" t="n">
        <v>-27474.3</v>
      </c>
      <c r="G49" s="210" t="n">
        <v>-27474.3</v>
      </c>
      <c r="H49" s="210" t="n">
        <v>-27474.3</v>
      </c>
      <c r="I49" s="210" t="n">
        <v>-27474.3</v>
      </c>
      <c r="J49" s="210" t="n">
        <v>-27474.3</v>
      </c>
      <c r="K49" s="210" t="n">
        <v>-27474.3</v>
      </c>
      <c r="L49" s="210" t="n">
        <v>-27474.3</v>
      </c>
      <c r="M49" s="210" t="n">
        <v>-27474.3</v>
      </c>
      <c r="N49" s="210" t="n">
        <v>-27474.3</v>
      </c>
      <c r="O49" s="210" t="n">
        <v>-27474.3</v>
      </c>
      <c r="P49" s="210" t="n">
        <v>-27474.3</v>
      </c>
      <c r="Q49" s="210" t="n">
        <v>-27474.3</v>
      </c>
      <c r="R49" s="210" t="n">
        <v>-27474.3</v>
      </c>
      <c r="S49" s="210" t="n">
        <v>-27474.3</v>
      </c>
      <c r="T49" s="210" t="n">
        <v>-27474.3</v>
      </c>
      <c r="U49" s="210" t="n">
        <v>-27474.3</v>
      </c>
      <c r="V49" s="210" t="n">
        <v>-27474.3</v>
      </c>
      <c r="W49" s="210" t="n">
        <v>-27474.3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D56+E55</f>
        <v/>
      </c>
      <c r="F56" s="220">
        <f>E56+F55</f>
        <v/>
      </c>
      <c r="G56" s="220">
        <f>F56+G55</f>
        <v/>
      </c>
      <c r="H56" s="220">
        <f>G56+H55</f>
        <v/>
      </c>
      <c r="I56" s="220">
        <f>H56+I55</f>
        <v/>
      </c>
      <c r="J56" s="220">
        <f>I56+J55</f>
        <v/>
      </c>
      <c r="K56" s="220">
        <f>J56+K55</f>
        <v/>
      </c>
      <c r="L56" s="220">
        <f>K56+L55</f>
        <v/>
      </c>
      <c r="M56" s="220">
        <f>L56+M55</f>
        <v/>
      </c>
      <c r="N56" s="220">
        <f>M56+N55</f>
        <v/>
      </c>
      <c r="O56" s="220">
        <f>N56+O55</f>
        <v/>
      </c>
      <c r="P56" s="220">
        <f>O56+P55</f>
        <v/>
      </c>
      <c r="Q56" s="220">
        <f>P56+Q55</f>
        <v/>
      </c>
      <c r="R56" s="220">
        <f>Q56+R55</f>
        <v/>
      </c>
      <c r="S56" s="220">
        <f>R56+S55</f>
        <v/>
      </c>
      <c r="T56" s="220">
        <f>S56+T55</f>
        <v/>
      </c>
      <c r="U56" s="220">
        <f>T56+U55</f>
        <v/>
      </c>
      <c r="V56" s="220">
        <f>U56+V55</f>
        <v/>
      </c>
      <c r="W56" s="220">
        <f>V56+W55</f>
        <v/>
      </c>
      <c r="X56" s="220">
        <f>W56+X55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>
        <f>-D109*$D25</f>
        <v/>
      </c>
      <c r="E70" s="210">
        <f>-E109*$D25</f>
        <v/>
      </c>
      <c r="F70" s="210">
        <f>-F109*$D25</f>
        <v/>
      </c>
      <c r="G70" s="210">
        <f>-G109*$D25</f>
        <v/>
      </c>
      <c r="H70" s="210">
        <f>-H109*$D25</f>
        <v/>
      </c>
      <c r="I70" s="210">
        <f>-I109*$D25</f>
        <v/>
      </c>
      <c r="J70" s="210">
        <f>-J109*$D25</f>
        <v/>
      </c>
      <c r="K70" s="210">
        <f>-K109*$D25</f>
        <v/>
      </c>
      <c r="L70" s="210">
        <f>-L109*$D25</f>
        <v/>
      </c>
      <c r="M70" s="210">
        <f>-M109*$D25</f>
        <v/>
      </c>
      <c r="N70" s="210">
        <f>-N109*$D25</f>
        <v/>
      </c>
      <c r="O70" s="210">
        <f>-O109*$D25</f>
        <v/>
      </c>
      <c r="P70" s="210">
        <f>-P109*$D25</f>
        <v/>
      </c>
      <c r="Q70" s="210">
        <f>-Q109*$D25</f>
        <v/>
      </c>
      <c r="R70" s="210">
        <f>-R109*$D25</f>
        <v/>
      </c>
      <c r="S70" s="210">
        <f>-S109*$D25</f>
        <v/>
      </c>
      <c r="T70" s="210">
        <f>-T109*$D25</f>
        <v/>
      </c>
      <c r="U70" s="210">
        <f>-U109*$D25</f>
        <v/>
      </c>
      <c r="V70" s="210">
        <f>-V109*$D25</f>
        <v/>
      </c>
      <c r="W70" s="210">
        <f>-W109*$D25</f>
        <v/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-767536</v>
      </c>
      <c r="F93" s="260" t="n">
        <v>-767536</v>
      </c>
      <c r="G93" s="260" t="n">
        <v>-767536</v>
      </c>
      <c r="H93" s="260" t="n">
        <v>-767536</v>
      </c>
      <c r="I93" s="260" t="n">
        <v>-767536</v>
      </c>
      <c r="J93" s="260" t="n">
        <v>-767536</v>
      </c>
      <c r="K93" s="260" t="n">
        <v>-767536</v>
      </c>
      <c r="L93" s="260" t="n">
        <v>-767536</v>
      </c>
      <c r="M93" s="260" t="n">
        <v>-767536</v>
      </c>
      <c r="N93" s="260" t="n">
        <v>-767536</v>
      </c>
      <c r="O93" s="260" t="n">
        <v>-767536</v>
      </c>
      <c r="P93" s="260" t="n">
        <v>-767536</v>
      </c>
      <c r="Q93" s="260" t="n">
        <v>-767536</v>
      </c>
      <c r="R93" s="260" t="n">
        <v>-767536</v>
      </c>
      <c r="S93" s="260" t="n">
        <v>-767536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-719565</v>
      </c>
      <c r="U96" s="264" t="n">
        <v>-719565</v>
      </c>
      <c r="V96" s="264" t="n">
        <v>-719565</v>
      </c>
      <c r="W96" s="264" t="n">
        <v>-719565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112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8" customWidth="1" min="3" max="3"/>
    <col width="37" customWidth="1" min="4" max="4"/>
    <col width="37" customWidth="1" min="5" max="5"/>
    <col width="37" customWidth="1" min="6" max="6"/>
    <col width="37" customWidth="1" min="7" max="7"/>
    <col width="37" customWidth="1" min="8" max="8"/>
    <col width="37" customWidth="1" min="9" max="9"/>
    <col width="37" customWidth="1" min="10" max="10"/>
    <col width="37" customWidth="1" min="11" max="11"/>
    <col width="37" customWidth="1" min="12" max="12"/>
    <col width="50" customWidth="1" min="13" max="13"/>
    <col width="37" customWidth="1" min="14" max="14"/>
    <col width="37" customWidth="1" min="15" max="15"/>
    <col width="37" customWidth="1" min="16" max="16"/>
    <col width="37" customWidth="1" min="17" max="17"/>
    <col width="37" customWidth="1" min="18" max="18"/>
    <col width="37" customWidth="1" min="19" max="19"/>
    <col width="37" customWidth="1" min="20" max="20"/>
    <col width="37" customWidth="1" min="21" max="21"/>
    <col width="37" customWidth="1" min="22" max="22"/>
    <col width="37" customWidth="1" min="23" max="23"/>
    <col width="30" customWidth="1" min="24" max="24"/>
    <col width="10" customWidth="1" min="25" max="25"/>
    <col width="10" customWidth="1" min="26" max="26"/>
    <col width="10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8" customWidth="1" min="36" max="36"/>
    <col width="9.140625" customWidth="1" min="37" max="37"/>
  </cols>
  <sheetData>
    <row r="1" ht="22.5" customHeight="1">
      <c r="B1" s="152" t="inlineStr">
        <is>
          <t>電站基本資料</t>
        </is>
      </c>
      <c r="C1" s="153" t="n"/>
      <c r="D1" s="153" t="n"/>
      <c r="E1" s="154" t="n"/>
      <c r="P1" s="155">
        <f>1-D11</f>
        <v/>
      </c>
      <c r="Q1" s="155">
        <f>P1-$D12</f>
        <v/>
      </c>
      <c r="R1" s="155">
        <f>Q1-$D12</f>
        <v/>
      </c>
      <c r="S1" s="155">
        <f>R1-$D12</f>
        <v/>
      </c>
      <c r="T1" s="155">
        <f>S1-$D12</f>
        <v/>
      </c>
      <c r="U1" s="155">
        <f>T1-$D12</f>
        <v/>
      </c>
      <c r="V1" s="155">
        <f>U1-$D12</f>
        <v/>
      </c>
      <c r="W1" s="155">
        <f>V1-$D12</f>
        <v/>
      </c>
      <c r="X1" s="155">
        <f>W1-$D12</f>
        <v/>
      </c>
      <c r="Y1" s="155">
        <f>X1-$D12</f>
        <v/>
      </c>
      <c r="Z1" s="155">
        <f>Y1-$D12</f>
        <v/>
      </c>
      <c r="AA1" s="155">
        <f>Z1-$D12</f>
        <v/>
      </c>
      <c r="AB1" s="155">
        <f>AA1-$D12</f>
        <v/>
      </c>
      <c r="AC1" s="155">
        <f>AB1-$D12</f>
        <v/>
      </c>
      <c r="AD1" s="155">
        <f>AC1-$D12</f>
        <v/>
      </c>
      <c r="AE1" s="155">
        <f>AD1-$D12</f>
        <v/>
      </c>
      <c r="AF1" s="155">
        <f>AE1-$D12</f>
        <v/>
      </c>
      <c r="AG1" s="155">
        <f>AF1-$D12</f>
        <v/>
      </c>
      <c r="AH1" s="155">
        <f>AG1-$D12</f>
        <v/>
      </c>
      <c r="AI1" s="155">
        <f>AH1-$D12</f>
        <v/>
      </c>
    </row>
    <row r="2" ht="21.75" customHeight="1">
      <c r="B2" s="156" t="inlineStr">
        <is>
          <t>電站名稱</t>
        </is>
      </c>
      <c r="C2" s="157" t="inlineStr">
        <is>
          <t>淡江大學-財務模擬案場</t>
        </is>
      </c>
      <c r="D2" s="158" t="inlineStr">
        <is>
          <t>-</t>
        </is>
      </c>
      <c r="E2" s="158" t="inlineStr">
        <is>
          <t>-</t>
        </is>
      </c>
    </row>
    <row r="3" ht="21.75" customHeight="1">
      <c r="B3" s="159" t="inlineStr">
        <is>
          <t>電站壽命</t>
        </is>
      </c>
      <c r="C3" s="160" t="n">
        <v>20</v>
      </c>
      <c r="D3" s="161" t="inlineStr">
        <is>
          <t>-</t>
        </is>
      </c>
      <c r="E3" s="161" t="inlineStr">
        <is>
          <t>-</t>
        </is>
      </c>
    </row>
    <row r="4" ht="21.75" customHeight="1">
      <c r="B4" s="159" t="inlineStr">
        <is>
          <t>建置量(kWp)</t>
        </is>
      </c>
      <c r="C4" s="160" t="n">
        <v>436.1</v>
      </c>
      <c r="D4" s="161" t="inlineStr">
        <is>
          <t>-</t>
        </is>
      </c>
      <c r="E4" s="161" t="inlineStr">
        <is>
          <t>-</t>
        </is>
      </c>
      <c r="M4" t="inlineStr">
        <is>
          <t>滾算紀錄編號: 16</t>
        </is>
      </c>
    </row>
    <row r="5" ht="22.5" customHeight="1">
      <c r="B5" s="160" t="inlineStr">
        <is>
          <t>起始年度</t>
        </is>
      </c>
      <c r="C5" s="160" t="n">
        <v>2023</v>
      </c>
      <c r="D5" s="160" t="inlineStr">
        <is>
          <t>結束年度</t>
        </is>
      </c>
      <c r="E5" s="160" t="n">
        <v>2042</v>
      </c>
      <c r="M5" t="inlineStr">
        <is>
          <t>第15次滾算摘要</t>
        </is>
      </c>
    </row>
    <row r="6" ht="20.25" customHeight="1">
      <c r="B6" s="162" t="n"/>
      <c r="C6" s="162" t="n"/>
      <c r="D6" s="162" t="n"/>
      <c r="E6" s="162" t="n"/>
      <c r="M6" t="inlineStr">
        <is>
          <t>價金: 20000</t>
        </is>
      </c>
    </row>
    <row r="7" ht="22.5" customHeight="1">
      <c r="B7" s="163" t="inlineStr">
        <is>
          <t>綜合損益表</t>
        </is>
      </c>
      <c r="C7" s="153" t="n"/>
      <c r="D7" s="153" t="n"/>
      <c r="E7" s="154" t="n"/>
      <c r="M7" t="inlineStr">
        <is>
          <t>專案IRR: 6.79</t>
        </is>
      </c>
    </row>
    <row r="8" ht="22.5" customHeight="1">
      <c r="B8" s="164" t="inlineStr">
        <is>
          <t>收入</t>
        </is>
      </c>
      <c r="C8" s="165" t="n"/>
      <c r="D8" s="165" t="n"/>
      <c r="E8" s="166" t="n"/>
      <c r="M8" t="inlineStr">
        <is>
          <t>權益法IRR: 21.86</t>
        </is>
      </c>
    </row>
    <row r="9" ht="22.5" customHeight="1">
      <c r="B9" s="167" t="inlineStr">
        <is>
          <t>收支項目</t>
        </is>
      </c>
      <c r="C9" s="168" t="inlineStr">
        <is>
          <t>相關參數</t>
        </is>
      </c>
      <c r="D9" s="168" t="inlineStr">
        <is>
          <t>參數數值</t>
        </is>
      </c>
      <c r="E9" s="169" t="inlineStr">
        <is>
          <t>年限</t>
        </is>
      </c>
      <c r="M9" t="inlineStr">
        <is>
          <t>利潤率: 30.00%</t>
        </is>
      </c>
    </row>
    <row r="10" ht="21.75" customHeight="1">
      <c r="B10" s="170" t="inlineStr">
        <is>
          <t>電費收入</t>
        </is>
      </c>
      <c r="C10" s="157" t="inlineStr">
        <is>
          <t>年度AC併網總發電量</t>
        </is>
      </c>
      <c r="D10" s="157" t="n">
        <v>547002</v>
      </c>
      <c r="E10" s="170" t="n">
        <v>20</v>
      </c>
      <c r="M10" t="inlineStr">
        <is>
          <t>第15次滾算，減少 1000 元 - 現金模式，每次減少 1000 元</t>
        </is>
      </c>
    </row>
    <row r="11" ht="21.75" customHeight="1">
      <c r="B11" s="171" t="n"/>
      <c r="C11" s="160" t="inlineStr">
        <is>
          <t>首年衰退率</t>
        </is>
      </c>
      <c r="D11" s="160" t="n">
        <v>0.01</v>
      </c>
      <c r="E11" s="171" t="n"/>
    </row>
    <row r="12" ht="21.75" customHeight="1">
      <c r="B12" s="171" t="n"/>
      <c r="C12" s="160" t="inlineStr">
        <is>
          <t>次年衰退率</t>
        </is>
      </c>
      <c r="D12" s="160" t="n">
        <v>0.004</v>
      </c>
      <c r="E12" s="171" t="n"/>
    </row>
    <row r="13" ht="22.5" customHeight="1">
      <c r="B13" s="171" t="n"/>
      <c r="C13" s="172" t="inlineStr">
        <is>
          <t>躉售費率(FIT)</t>
        </is>
      </c>
      <c r="D13" s="172" t="n">
        <v>3.7152</v>
      </c>
      <c r="E13" s="171" t="n"/>
    </row>
    <row r="14" ht="22.5" customHeight="1">
      <c r="B14" s="173" t="inlineStr">
        <is>
          <t>支出</t>
        </is>
      </c>
      <c r="C14" s="153" t="n"/>
      <c r="D14" s="153" t="n"/>
      <c r="E14" s="154" t="n"/>
    </row>
    <row r="15" ht="22.5" customHeight="1">
      <c r="B15" s="167" t="inlineStr">
        <is>
          <t>收支項目</t>
        </is>
      </c>
      <c r="C15" s="168" t="inlineStr">
        <is>
          <t>相關參數</t>
        </is>
      </c>
      <c r="D15" s="168" t="inlineStr">
        <is>
          <t>參數數值</t>
        </is>
      </c>
      <c r="E15" s="174" t="inlineStr">
        <is>
          <t>攤提年限</t>
        </is>
      </c>
    </row>
    <row r="16" ht="21.75" customHeight="1">
      <c r="B16" s="175" t="inlineStr">
        <is>
          <t>設備費用(價金)</t>
        </is>
      </c>
      <c r="C16" s="156" t="inlineStr">
        <is>
          <t>每kWp設備成本</t>
        </is>
      </c>
      <c r="D16" s="157" t="n">
        <v>20000</v>
      </c>
      <c r="E16" s="176" t="n">
        <v>20</v>
      </c>
    </row>
    <row r="17" ht="21.75" customHeight="1">
      <c r="B17" s="171" t="n"/>
      <c r="C17" s="160" t="inlineStr">
        <is>
          <t>信邦利潤率</t>
        </is>
      </c>
      <c r="D17" s="160" t="n">
        <v>0.3</v>
      </c>
      <c r="E17" s="171" t="n"/>
    </row>
    <row r="18" ht="21.75" customHeight="1">
      <c r="B18" s="177" t="n"/>
      <c r="C18" s="160" t="inlineStr">
        <is>
          <t>開發費</t>
        </is>
      </c>
      <c r="D18" s="160" t="n">
        <v>3000</v>
      </c>
      <c r="E18" s="177" t="n"/>
    </row>
    <row r="19" ht="54" customHeight="1">
      <c r="B19" s="178" t="inlineStr">
        <is>
          <t>租金費用</t>
        </is>
      </c>
      <c r="C19" s="179" t="inlineStr">
        <is>
          <t>租金計算方式
(1=固定攤提/2=電費抽成)</t>
        </is>
      </c>
      <c r="D19" s="160" t="n">
        <v>1</v>
      </c>
      <c r="E19" s="158" t="n">
        <v>0</v>
      </c>
    </row>
    <row r="20" ht="20.25" customHeight="1">
      <c r="B20" s="171" t="n"/>
      <c r="C20" s="180" t="inlineStr">
        <is>
          <t>【方式1參數】租金總額</t>
        </is>
      </c>
      <c r="D20" s="160" t="n">
        <v>290201</v>
      </c>
      <c r="E20" s="158" t="n">
        <v>20</v>
      </c>
    </row>
    <row r="21" ht="21.75" customHeight="1">
      <c r="B21" s="177" t="n"/>
      <c r="C21" s="160" t="inlineStr">
        <is>
          <t>【方式2參數】抽成比率</t>
        </is>
      </c>
      <c r="D21" s="160" t="n">
        <v>0</v>
      </c>
      <c r="E21" s="161" t="n">
        <v>0</v>
      </c>
    </row>
    <row r="22" ht="21.75" customHeight="1">
      <c r="B22" s="160" t="inlineStr">
        <is>
          <t>運維費用</t>
        </is>
      </c>
      <c r="C22" s="160" t="inlineStr">
        <is>
          <t>每kw運維成本</t>
        </is>
      </c>
      <c r="D22" s="160" t="n">
        <v>400</v>
      </c>
      <c r="E22" s="161" t="n">
        <v>20</v>
      </c>
    </row>
    <row r="23" ht="21.75" customHeight="1">
      <c r="B23" s="160" t="inlineStr">
        <is>
          <t>保險費用</t>
        </is>
      </c>
      <c r="C23" s="159" t="inlineStr">
        <is>
          <t>占整體設備費用比例</t>
        </is>
      </c>
      <c r="D23" s="160" t="n">
        <v>0.003</v>
      </c>
      <c r="E23" s="161" t="n">
        <v>20</v>
      </c>
    </row>
    <row r="24" ht="21.75" customHeight="1">
      <c r="B24" s="160" t="inlineStr">
        <is>
          <t>模組回收費用</t>
        </is>
      </c>
      <c r="C24" s="160" t="inlineStr">
        <is>
          <t>每kw模組回收成本</t>
        </is>
      </c>
      <c r="D24" s="160" t="n">
        <v>1000</v>
      </c>
      <c r="E24" s="161" t="n">
        <v>10</v>
      </c>
    </row>
    <row r="25" ht="21.75" customHeight="1">
      <c r="B25" s="160" t="inlineStr">
        <is>
          <t>利息費用</t>
        </is>
      </c>
      <c r="C25" s="160" t="inlineStr">
        <is>
          <t>銀行利率</t>
        </is>
      </c>
      <c r="D25" s="160" t="n">
        <v>0.025595</v>
      </c>
      <c r="E25" s="161" t="n">
        <v>0</v>
      </c>
    </row>
    <row r="26" ht="22.5" customHeight="1">
      <c r="B26" s="160" t="inlineStr">
        <is>
          <t>所得稅</t>
        </is>
      </c>
      <c r="C26" s="160" t="inlineStr">
        <is>
          <t>所得稅率</t>
        </is>
      </c>
      <c r="D26" s="160" t="n">
        <v>0.2</v>
      </c>
      <c r="E26" s="161" t="n">
        <v>0</v>
      </c>
    </row>
    <row r="27" ht="20.25" customHeight="1">
      <c r="B27" s="162" t="n"/>
      <c r="C27" s="162" t="n"/>
      <c r="D27" s="162" t="n"/>
      <c r="E27" s="162" t="n"/>
    </row>
    <row r="28" ht="20.25" customHeight="1">
      <c r="B28" s="162" t="n"/>
      <c r="C28" s="162" t="n"/>
      <c r="D28" s="162" t="n"/>
      <c r="E28" s="162" t="n"/>
    </row>
    <row r="29" ht="22.5" customHeight="1">
      <c r="B29" s="163" t="inlineStr">
        <is>
          <t>現金流量表</t>
        </is>
      </c>
      <c r="C29" s="153" t="n"/>
      <c r="D29" s="154" t="n"/>
      <c r="E29" s="162" t="n"/>
    </row>
    <row r="30" ht="22.5" customHeight="1">
      <c r="B30" s="167" t="inlineStr">
        <is>
          <t>金流項目</t>
        </is>
      </c>
      <c r="C30" s="168" t="inlineStr">
        <is>
          <t>相關參數</t>
        </is>
      </c>
      <c r="D30" s="174" t="inlineStr">
        <is>
          <t>參數數值</t>
        </is>
      </c>
      <c r="E30" s="162" t="n"/>
    </row>
    <row r="31" ht="18.75" customHeight="1">
      <c r="B31" s="156" t="inlineStr">
        <is>
          <t>貸款成數</t>
        </is>
      </c>
      <c r="C31" s="156" t="inlineStr">
        <is>
          <t>占總設備費用比例</t>
        </is>
      </c>
      <c r="D31" s="157" t="n">
        <v>0.8</v>
      </c>
      <c r="E31" s="162" t="n"/>
    </row>
    <row r="32" ht="18.75" customHeight="1">
      <c r="B32" s="157" t="inlineStr">
        <is>
          <t>貸款還款</t>
        </is>
      </c>
      <c r="C32" s="157" t="inlineStr">
        <is>
          <t>攤還期數</t>
        </is>
      </c>
      <c r="D32" s="157" t="n">
        <v>15</v>
      </c>
      <c r="E32" s="162" t="n"/>
    </row>
    <row r="33" ht="18.75" customHeight="1">
      <c r="B33" s="160" t="inlineStr">
        <is>
          <t>現金股利</t>
        </is>
      </c>
      <c r="C33" s="160" t="inlineStr">
        <is>
          <t>股利比率</t>
        </is>
      </c>
      <c r="D33" s="160" t="n">
        <v>0.9</v>
      </c>
      <c r="E33" s="162" t="n"/>
    </row>
    <row r="34" ht="18.75" customHeight="1">
      <c r="B34" s="160" t="inlineStr">
        <is>
          <t>年底減資</t>
        </is>
      </c>
      <c r="C34" s="160" t="inlineStr">
        <is>
          <t>攤還期數</t>
        </is>
      </c>
      <c r="D34" s="160" t="n">
        <v>4</v>
      </c>
      <c r="E34" s="162" t="n"/>
    </row>
    <row r="35" ht="18.75" customHeight="1"/>
    <row r="36" ht="18.75" customHeight="1"/>
    <row r="37" ht="18.75" customHeight="1">
      <c r="B37" s="95" t="n"/>
      <c r="C37" s="30" t="inlineStr">
        <is>
          <t>年份</t>
        </is>
      </c>
      <c r="D37" s="30" t="n">
        <v>2023</v>
      </c>
      <c r="E37" s="30" t="n">
        <v>2024</v>
      </c>
      <c r="F37" s="30" t="n">
        <v>2025</v>
      </c>
      <c r="G37" s="30" t="n">
        <v>2026</v>
      </c>
      <c r="H37" s="30" t="n">
        <v>2027</v>
      </c>
      <c r="I37" s="30" t="n">
        <v>2028</v>
      </c>
      <c r="J37" s="30" t="n">
        <v>2029</v>
      </c>
      <c r="K37" s="30" t="n">
        <v>2030</v>
      </c>
      <c r="L37" s="30" t="n">
        <v>2031</v>
      </c>
      <c r="M37" s="30" t="n">
        <v>2032</v>
      </c>
      <c r="N37" s="30" t="n">
        <v>2033</v>
      </c>
      <c r="O37" s="30" t="n">
        <v>2034</v>
      </c>
      <c r="P37" s="30" t="n">
        <v>2035</v>
      </c>
      <c r="Q37" s="30" t="n">
        <v>2036</v>
      </c>
      <c r="R37" s="30" t="n">
        <v>2037</v>
      </c>
      <c r="S37" s="30" t="n">
        <v>2038</v>
      </c>
      <c r="T37" s="30" t="n">
        <v>2039</v>
      </c>
      <c r="U37" s="30" t="n">
        <v>2040</v>
      </c>
      <c r="V37" s="30" t="n">
        <v>2041</v>
      </c>
      <c r="W37" s="30" t="n">
        <v>2042</v>
      </c>
      <c r="X37" s="30" t="n"/>
    </row>
    <row r="38" ht="18.75" customHeight="1">
      <c r="B38" s="181" t="n">
        <v>0</v>
      </c>
      <c r="C38" s="182" t="n"/>
      <c r="D38" s="183" t="n"/>
      <c r="E38" s="183" t="n"/>
      <c r="F38" s="184" t="n"/>
      <c r="G38" s="185" t="n"/>
      <c r="H38" s="185" t="n"/>
      <c r="I38" s="185" t="n"/>
      <c r="J38" s="185" t="n"/>
      <c r="K38" s="185" t="n"/>
      <c r="L38" s="185" t="n"/>
      <c r="M38" s="185" t="n"/>
      <c r="N38" s="185" t="n"/>
      <c r="O38" s="185" t="n"/>
      <c r="P38" s="185" t="n"/>
      <c r="Q38" s="185" t="n"/>
      <c r="R38" s="185" t="n"/>
      <c r="S38" s="185" t="n"/>
      <c r="T38" s="186" t="n"/>
      <c r="U38" s="185" t="n"/>
      <c r="V38" s="185" t="n"/>
      <c r="W38" s="185" t="n"/>
      <c r="X38" s="187" t="n"/>
    </row>
    <row r="39" ht="18.75" customHeight="1">
      <c r="B39" s="188" t="inlineStr">
        <is>
          <t>(Unit : Currency)</t>
        </is>
      </c>
      <c r="C39" s="189" t="n">
        <v>0</v>
      </c>
      <c r="D39" s="190" t="n">
        <v>1</v>
      </c>
      <c r="E39" s="190" t="n">
        <v>2</v>
      </c>
      <c r="F39" s="190" t="n">
        <v>3</v>
      </c>
      <c r="G39" s="190" t="n">
        <v>4</v>
      </c>
      <c r="H39" s="190" t="n">
        <v>5</v>
      </c>
      <c r="I39" s="190" t="n">
        <v>6</v>
      </c>
      <c r="J39" s="190" t="n">
        <v>7</v>
      </c>
      <c r="K39" s="190" t="n">
        <v>8</v>
      </c>
      <c r="L39" s="190" t="n">
        <v>9</v>
      </c>
      <c r="M39" s="190" t="n">
        <v>10</v>
      </c>
      <c r="N39" s="190" t="n">
        <v>11</v>
      </c>
      <c r="O39" s="190" t="n">
        <v>12</v>
      </c>
      <c r="P39" s="190" t="n">
        <v>13</v>
      </c>
      <c r="Q39" s="190" t="n">
        <v>14</v>
      </c>
      <c r="R39" s="190" t="n">
        <v>15</v>
      </c>
      <c r="S39" s="190" t="n">
        <v>16</v>
      </c>
      <c r="T39" s="191" t="n">
        <v>17</v>
      </c>
      <c r="U39" s="190" t="n">
        <v>18</v>
      </c>
      <c r="V39" s="190" t="n">
        <v>19</v>
      </c>
      <c r="W39" s="190" t="n">
        <v>20</v>
      </c>
      <c r="X39" s="42" t="n"/>
    </row>
    <row r="40" ht="18.75" customHeight="1">
      <c r="B40" s="192" t="inlineStr">
        <is>
          <t>發電度數(KWH)</t>
        </is>
      </c>
      <c r="C40" s="193" t="n">
        <v>0</v>
      </c>
      <c r="D40" s="194">
        <f>$D$10*P1</f>
        <v/>
      </c>
      <c r="E40" s="194">
        <f>$D$10*Q1</f>
        <v/>
      </c>
      <c r="F40" s="194">
        <f>$D$10*R1</f>
        <v/>
      </c>
      <c r="G40" s="194">
        <f>$D$10*S1</f>
        <v/>
      </c>
      <c r="H40" s="194">
        <f>$D$10*T1</f>
        <v/>
      </c>
      <c r="I40" s="194">
        <f>$D$10*U1</f>
        <v/>
      </c>
      <c r="J40" s="194">
        <f>$D$10*V1</f>
        <v/>
      </c>
      <c r="K40" s="194">
        <f>$D$10*W1</f>
        <v/>
      </c>
      <c r="L40" s="194">
        <f>$D$10*X1</f>
        <v/>
      </c>
      <c r="M40" s="194">
        <f>$D$10*Y1</f>
        <v/>
      </c>
      <c r="N40" s="194">
        <f>$D$10*Z1</f>
        <v/>
      </c>
      <c r="O40" s="194">
        <f>$D$10*AA1</f>
        <v/>
      </c>
      <c r="P40" s="194">
        <f>$D$10*AB1</f>
        <v/>
      </c>
      <c r="Q40" s="194">
        <f>$D$10*AC1</f>
        <v/>
      </c>
      <c r="R40" s="194">
        <f>$D$10*AD1</f>
        <v/>
      </c>
      <c r="S40" s="194">
        <f>$D$10*AE1</f>
        <v/>
      </c>
      <c r="T40" s="194">
        <f>$D$10*AF1</f>
        <v/>
      </c>
      <c r="U40" s="194">
        <f>$D$10*AG1</f>
        <v/>
      </c>
      <c r="V40" s="194">
        <f>$D$10*AH1</f>
        <v/>
      </c>
      <c r="W40" s="194">
        <f>$D$10*AI1</f>
        <v/>
      </c>
      <c r="X40" s="195" t="n"/>
    </row>
    <row r="41" ht="18.75" customHeight="1">
      <c r="B41" s="196" t="inlineStr">
        <is>
          <t>Inflow : 電費收入</t>
        </is>
      </c>
      <c r="C41" s="197" t="inlineStr">
        <is>
          <t>-</t>
        </is>
      </c>
      <c r="D41" s="198">
        <f>D40*$D$13</f>
        <v/>
      </c>
      <c r="E41" s="198">
        <f>E40*$D$13</f>
        <v/>
      </c>
      <c r="F41" s="198">
        <f>F40*$D$13</f>
        <v/>
      </c>
      <c r="G41" s="198">
        <f>G40*$D$13</f>
        <v/>
      </c>
      <c r="H41" s="198">
        <f>H40*$D$13</f>
        <v/>
      </c>
      <c r="I41" s="198">
        <f>I40*$D$13</f>
        <v/>
      </c>
      <c r="J41" s="198">
        <f>J40*$D$13</f>
        <v/>
      </c>
      <c r="K41" s="198">
        <f>K40*$D$13</f>
        <v/>
      </c>
      <c r="L41" s="198">
        <f>L40*$D$13</f>
        <v/>
      </c>
      <c r="M41" s="198">
        <f>M40*$D$13</f>
        <v/>
      </c>
      <c r="N41" s="198">
        <f>N40*$D$13</f>
        <v/>
      </c>
      <c r="O41" s="198">
        <f>O40*$D$13</f>
        <v/>
      </c>
      <c r="P41" s="198">
        <f>P40*$D$13</f>
        <v/>
      </c>
      <c r="Q41" s="198">
        <f>Q40*$D$13</f>
        <v/>
      </c>
      <c r="R41" s="198">
        <f>R40*$D$13</f>
        <v/>
      </c>
      <c r="S41" s="198">
        <f>S40*$D$13</f>
        <v/>
      </c>
      <c r="T41" s="198">
        <f>T40*$D$13</f>
        <v/>
      </c>
      <c r="U41" s="198">
        <f>U40*$D$13</f>
        <v/>
      </c>
      <c r="V41" s="198">
        <f>V40*$D$13</f>
        <v/>
      </c>
      <c r="W41" s="198">
        <f>W40*$D$13</f>
        <v/>
      </c>
      <c r="X41" s="199" t="n"/>
    </row>
    <row r="42" ht="18.75" customHeight="1">
      <c r="B42" s="200" t="inlineStr">
        <is>
          <t>Inflow : 政府補助</t>
        </is>
      </c>
      <c r="C42" s="201" t="inlineStr">
        <is>
          <t>-</t>
        </is>
      </c>
      <c r="D42" s="202" t="n"/>
      <c r="E42" s="202" t="n"/>
      <c r="F42" s="202" t="n"/>
      <c r="G42" s="202" t="inlineStr">
        <is>
          <t>-</t>
        </is>
      </c>
      <c r="H42" s="202" t="inlineStr">
        <is>
          <t>-</t>
        </is>
      </c>
      <c r="I42" s="202" t="inlineStr">
        <is>
          <t>-</t>
        </is>
      </c>
      <c r="J42" s="202" t="inlineStr">
        <is>
          <t>-</t>
        </is>
      </c>
      <c r="K42" s="202" t="inlineStr">
        <is>
          <t>-</t>
        </is>
      </c>
      <c r="L42" s="202" t="inlineStr">
        <is>
          <t>-</t>
        </is>
      </c>
      <c r="M42" s="202" t="inlineStr">
        <is>
          <t>-</t>
        </is>
      </c>
      <c r="N42" s="202" t="inlineStr">
        <is>
          <t>-</t>
        </is>
      </c>
      <c r="O42" s="202" t="inlineStr">
        <is>
          <t>-</t>
        </is>
      </c>
      <c r="P42" s="202" t="inlineStr">
        <is>
          <t>-</t>
        </is>
      </c>
      <c r="Q42" s="202" t="inlineStr">
        <is>
          <t>-</t>
        </is>
      </c>
      <c r="R42" s="202" t="inlineStr">
        <is>
          <t>-</t>
        </is>
      </c>
      <c r="S42" s="202" t="inlineStr">
        <is>
          <t>-</t>
        </is>
      </c>
      <c r="T42" s="202" t="inlineStr">
        <is>
          <t>-</t>
        </is>
      </c>
      <c r="U42" s="202" t="inlineStr">
        <is>
          <t>-</t>
        </is>
      </c>
      <c r="V42" s="202" t="inlineStr">
        <is>
          <t>-</t>
        </is>
      </c>
      <c r="W42" s="202" t="inlineStr">
        <is>
          <t>-</t>
        </is>
      </c>
      <c r="X42" s="203" t="n"/>
    </row>
    <row r="43" ht="18.75" customHeight="1">
      <c r="B43" s="204" t="inlineStr">
        <is>
          <t>Inflow : 銀行借款</t>
        </is>
      </c>
      <c r="C43" s="205" t="n"/>
      <c r="D43" s="206" t="n"/>
      <c r="E43" s="206" t="n"/>
      <c r="F43" s="206" t="n"/>
      <c r="G43" s="206" t="n"/>
      <c r="H43" s="206" t="n"/>
      <c r="I43" s="206" t="n"/>
      <c r="J43" s="206" t="n"/>
      <c r="K43" s="206" t="n"/>
      <c r="L43" s="206" t="n"/>
      <c r="M43" s="206" t="n"/>
      <c r="N43" s="206" t="n"/>
      <c r="O43" s="206" t="n"/>
      <c r="P43" s="206" t="n"/>
      <c r="Q43" s="206" t="n"/>
      <c r="R43" s="206" t="n"/>
      <c r="S43" s="206" t="n"/>
      <c r="T43" s="206" t="n"/>
      <c r="U43" s="206" t="n"/>
      <c r="V43" s="206" t="n"/>
      <c r="W43" s="206" t="n"/>
      <c r="X43" s="207" t="n"/>
    </row>
    <row r="44" ht="18.75" customHeight="1">
      <c r="B44" s="208" t="inlineStr">
        <is>
          <t>Outflow : 設備費用</t>
        </is>
      </c>
      <c r="C44" s="209">
        <f>-(D16/(1-D17)+D18)*C4</f>
        <v/>
      </c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10" t="n"/>
      <c r="M44" s="210" t="n"/>
      <c r="N44" s="210" t="n"/>
      <c r="O44" s="210" t="n"/>
      <c r="P44" s="210" t="n"/>
      <c r="Q44" s="210" t="n"/>
      <c r="R44" s="210" t="n"/>
      <c r="S44" s="210" t="n"/>
      <c r="T44" s="210" t="n"/>
      <c r="U44" s="210" t="n"/>
      <c r="V44" s="210" t="n"/>
      <c r="W44" s="210" t="n"/>
      <c r="X44" s="210" t="n"/>
    </row>
    <row r="45" ht="18.75" customHeight="1">
      <c r="B45" s="208" t="inlineStr">
        <is>
          <t>Outflow : 設備放置區域租金</t>
        </is>
      </c>
      <c r="C45" s="201" t="inlineStr">
        <is>
          <t>-</t>
        </is>
      </c>
      <c r="D45" s="210" t="n">
        <v>0</v>
      </c>
      <c r="E45" s="210" t="n">
        <v>-290201</v>
      </c>
      <c r="F45" s="210" t="n">
        <v>-290201</v>
      </c>
      <c r="G45" s="210" t="n">
        <v>-290201</v>
      </c>
      <c r="H45" s="210" t="n">
        <v>-290201</v>
      </c>
      <c r="I45" s="210" t="n">
        <v>-290201</v>
      </c>
      <c r="J45" s="210" t="n">
        <v>-290201</v>
      </c>
      <c r="K45" s="210" t="n">
        <v>-290201</v>
      </c>
      <c r="L45" s="210" t="n">
        <v>-290201</v>
      </c>
      <c r="M45" s="210" t="n">
        <v>-290201</v>
      </c>
      <c r="N45" s="210" t="n">
        <v>-290201</v>
      </c>
      <c r="O45" s="210" t="n">
        <v>-290201</v>
      </c>
      <c r="P45" s="210" t="n">
        <v>-290201</v>
      </c>
      <c r="Q45" s="210" t="n">
        <v>-290201</v>
      </c>
      <c r="R45" s="210" t="n">
        <v>-290201</v>
      </c>
      <c r="S45" s="210" t="n">
        <v>-290201</v>
      </c>
      <c r="T45" s="210" t="n">
        <v>-290201</v>
      </c>
      <c r="U45" s="210" t="n">
        <v>-290201</v>
      </c>
      <c r="V45" s="210" t="n">
        <v>-290201</v>
      </c>
      <c r="W45" s="210" t="n">
        <v>-290201</v>
      </c>
      <c r="X45" s="210" t="n"/>
    </row>
    <row r="46" ht="18.75" customHeight="1">
      <c r="B46" s="208" t="inlineStr">
        <is>
          <t>Outflow : 返還借款</t>
        </is>
      </c>
      <c r="C46" s="201" t="n"/>
      <c r="D46" s="210" t="n"/>
      <c r="E46" s="210" t="n"/>
      <c r="F46" s="210" t="n"/>
      <c r="G46" s="210" t="n"/>
      <c r="H46" s="210" t="n"/>
      <c r="I46" s="210" t="n"/>
      <c r="J46" s="210" t="n"/>
      <c r="K46" s="210" t="n"/>
      <c r="L46" s="210" t="n"/>
      <c r="M46" s="210" t="n"/>
      <c r="N46" s="210" t="n"/>
      <c r="O46" s="210" t="n"/>
      <c r="P46" s="210" t="n"/>
      <c r="Q46" s="210" t="n"/>
      <c r="R46" s="210" t="n"/>
      <c r="S46" s="210" t="n"/>
      <c r="T46" s="210" t="n"/>
      <c r="U46" s="210" t="n"/>
      <c r="V46" s="210" t="n"/>
      <c r="W46" s="210" t="n"/>
      <c r="X46" s="210" t="n"/>
    </row>
    <row r="47" ht="18.75" customHeight="1">
      <c r="B47" s="208" t="inlineStr">
        <is>
          <t>Outflow : 利息費用</t>
        </is>
      </c>
      <c r="C47" s="201" t="inlineStr">
        <is>
          <t>-</t>
        </is>
      </c>
      <c r="D47" s="210" t="n"/>
      <c r="E47" s="210" t="n"/>
      <c r="F47" s="210" t="n"/>
      <c r="G47" s="210" t="n"/>
      <c r="H47" s="210" t="n"/>
      <c r="I47" s="210" t="n"/>
      <c r="J47" s="210" t="n"/>
      <c r="K47" s="210" t="n"/>
      <c r="L47" s="210" t="n"/>
      <c r="M47" s="210" t="n"/>
      <c r="N47" s="210" t="n"/>
      <c r="O47" s="210" t="n"/>
      <c r="P47" s="210" t="n"/>
      <c r="Q47" s="210" t="n"/>
      <c r="R47" s="210" t="n"/>
      <c r="S47" s="210" t="n"/>
      <c r="T47" s="210" t="n"/>
      <c r="U47" s="210" t="n"/>
      <c r="V47" s="210" t="n"/>
      <c r="W47" s="210" t="n"/>
      <c r="X47" s="210" t="n"/>
    </row>
    <row r="48" ht="18.75" customHeight="1">
      <c r="B48" s="208" t="inlineStr">
        <is>
          <t>Outflow : 維運費</t>
        </is>
      </c>
      <c r="C48" s="201" t="inlineStr">
        <is>
          <t>-</t>
        </is>
      </c>
      <c r="D48" s="210" t="n">
        <v>-174440</v>
      </c>
      <c r="E48" s="210" t="n">
        <v>-174440</v>
      </c>
      <c r="F48" s="210" t="n">
        <v>-174440</v>
      </c>
      <c r="G48" s="210" t="n">
        <v>-174440</v>
      </c>
      <c r="H48" s="210" t="n">
        <v>-174440</v>
      </c>
      <c r="I48" s="210" t="n">
        <v>-174440</v>
      </c>
      <c r="J48" s="210" t="n">
        <v>-174440</v>
      </c>
      <c r="K48" s="210" t="n">
        <v>-174440</v>
      </c>
      <c r="L48" s="210" t="n">
        <v>-174440</v>
      </c>
      <c r="M48" s="210" t="n">
        <v>-174440</v>
      </c>
      <c r="N48" s="210" t="n">
        <v>-174440</v>
      </c>
      <c r="O48" s="210" t="n">
        <v>-174440</v>
      </c>
      <c r="P48" s="210" t="n">
        <v>-174440</v>
      </c>
      <c r="Q48" s="210" t="n">
        <v>-174440</v>
      </c>
      <c r="R48" s="210" t="n">
        <v>-174440</v>
      </c>
      <c r="S48" s="210" t="n">
        <v>-174440</v>
      </c>
      <c r="T48" s="210" t="n">
        <v>-174440</v>
      </c>
      <c r="U48" s="210" t="n">
        <v>-174440</v>
      </c>
      <c r="V48" s="210" t="n">
        <v>-174440</v>
      </c>
      <c r="W48" s="210" t="n">
        <v>-174440</v>
      </c>
      <c r="X48" s="210" t="n"/>
    </row>
    <row r="49" ht="18.75" customHeight="1">
      <c r="B49" s="208" t="inlineStr">
        <is>
          <t>Outflow : 保險費</t>
        </is>
      </c>
      <c r="C49" s="201" t="inlineStr">
        <is>
          <t>-</t>
        </is>
      </c>
      <c r="D49" s="210" t="n">
        <v>-26166</v>
      </c>
      <c r="E49" s="210" t="n">
        <v>-26166</v>
      </c>
      <c r="F49" s="210" t="n">
        <v>-26166</v>
      </c>
      <c r="G49" s="210" t="n">
        <v>-26166</v>
      </c>
      <c r="H49" s="210" t="n">
        <v>-26166</v>
      </c>
      <c r="I49" s="210" t="n">
        <v>-26166</v>
      </c>
      <c r="J49" s="210" t="n">
        <v>-26166</v>
      </c>
      <c r="K49" s="210" t="n">
        <v>-26166</v>
      </c>
      <c r="L49" s="210" t="n">
        <v>-26166</v>
      </c>
      <c r="M49" s="210" t="n">
        <v>-26166</v>
      </c>
      <c r="N49" s="210" t="n">
        <v>-26166</v>
      </c>
      <c r="O49" s="210" t="n">
        <v>-26166</v>
      </c>
      <c r="P49" s="210" t="n">
        <v>-26166</v>
      </c>
      <c r="Q49" s="210" t="n">
        <v>-26166</v>
      </c>
      <c r="R49" s="210" t="n">
        <v>-26166</v>
      </c>
      <c r="S49" s="210" t="n">
        <v>-26166</v>
      </c>
      <c r="T49" s="210" t="n">
        <v>-26166</v>
      </c>
      <c r="U49" s="210" t="n">
        <v>-26166</v>
      </c>
      <c r="V49" s="210" t="n">
        <v>-26166</v>
      </c>
      <c r="W49" s="210" t="n">
        <v>-26166</v>
      </c>
      <c r="X49" s="210" t="n"/>
    </row>
    <row r="50" ht="18.75" customHeight="1">
      <c r="B50" s="208" t="inlineStr">
        <is>
          <t>Outflow : 模組回收費</t>
        </is>
      </c>
      <c r="C50" s="201" t="n"/>
      <c r="D50" s="210" t="n">
        <v>-43610</v>
      </c>
      <c r="E50" s="210" t="n">
        <v>-43610</v>
      </c>
      <c r="F50" s="210" t="n">
        <v>-43610</v>
      </c>
      <c r="G50" s="210" t="n">
        <v>-43610</v>
      </c>
      <c r="H50" s="210" t="n">
        <v>-43610</v>
      </c>
      <c r="I50" s="210" t="n">
        <v>-43610</v>
      </c>
      <c r="J50" s="210" t="n">
        <v>-43610</v>
      </c>
      <c r="K50" s="210" t="n">
        <v>-43610</v>
      </c>
      <c r="L50" s="210" t="n">
        <v>-43610</v>
      </c>
      <c r="M50" s="210" t="n">
        <v>-43610</v>
      </c>
      <c r="N50" s="210" t="n">
        <v>0</v>
      </c>
      <c r="O50" s="210" t="n">
        <v>0</v>
      </c>
      <c r="P50" s="210" t="n">
        <v>0</v>
      </c>
      <c r="Q50" s="210" t="n">
        <v>0</v>
      </c>
      <c r="R50" s="210" t="n">
        <v>0</v>
      </c>
      <c r="S50" s="210" t="n">
        <v>0</v>
      </c>
      <c r="T50" s="210" t="n">
        <v>0</v>
      </c>
      <c r="U50" s="210" t="n">
        <v>0</v>
      </c>
      <c r="V50" s="210" t="n">
        <v>0</v>
      </c>
      <c r="W50" s="210" t="n">
        <v>0</v>
      </c>
      <c r="X50" s="210" t="n"/>
    </row>
    <row r="51" ht="18.75" customHeight="1">
      <c r="B51" s="208" t="inlineStr">
        <is>
          <t>Outflow : 其它費用(人事薪資…等)</t>
        </is>
      </c>
      <c r="C51" s="211" t="n"/>
      <c r="D51" s="210" t="n"/>
      <c r="E51" s="210" t="n"/>
      <c r="F51" s="210" t="n"/>
      <c r="G51" s="210" t="n"/>
      <c r="H51" s="210" t="n"/>
      <c r="I51" s="210" t="n"/>
      <c r="J51" s="210" t="n"/>
      <c r="K51" s="210" t="n"/>
      <c r="L51" s="210" t="n"/>
      <c r="M51" s="210" t="n"/>
      <c r="N51" s="210" t="n"/>
      <c r="O51" s="210" t="n"/>
      <c r="P51" s="210" t="n"/>
      <c r="Q51" s="210" t="n"/>
      <c r="R51" s="210" t="n"/>
      <c r="S51" s="210" t="n"/>
      <c r="T51" s="210" t="n"/>
      <c r="U51" s="210" t="n"/>
      <c r="V51" s="210" t="n"/>
      <c r="W51" s="210" t="n"/>
      <c r="X51" s="210" t="n"/>
    </row>
    <row r="52" ht="18.75" customHeight="1">
      <c r="B52" s="208" t="inlineStr">
        <is>
          <t>1%管理費</t>
        </is>
      </c>
      <c r="C52" s="211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10" t="n"/>
      <c r="M52" s="210" t="n"/>
      <c r="N52" s="210" t="n"/>
      <c r="O52" s="210" t="n"/>
      <c r="P52" s="210" t="n"/>
      <c r="Q52" s="210" t="n"/>
      <c r="R52" s="210" t="n"/>
      <c r="S52" s="210" t="n"/>
      <c r="T52" s="210" t="n"/>
      <c r="U52" s="210" t="n"/>
      <c r="V52" s="210" t="n"/>
      <c r="W52" s="210" t="n"/>
      <c r="X52" s="210" t="n"/>
    </row>
    <row r="53" ht="18.75" customHeight="1">
      <c r="B53" s="212" t="inlineStr">
        <is>
          <t>績效獎金</t>
        </is>
      </c>
      <c r="C53" s="211" t="n"/>
      <c r="D53" s="210" t="n"/>
      <c r="E53" s="210" t="n"/>
      <c r="F53" s="210" t="n"/>
      <c r="G53" s="210" t="n"/>
      <c r="H53" s="210" t="n"/>
      <c r="I53" s="210" t="n"/>
      <c r="J53" s="210" t="n"/>
      <c r="K53" s="210" t="n"/>
      <c r="L53" s="210" t="n"/>
      <c r="M53" s="210" t="n"/>
      <c r="N53" s="210" t="n"/>
      <c r="O53" s="210" t="n"/>
      <c r="P53" s="210" t="n"/>
      <c r="Q53" s="210" t="n"/>
      <c r="R53" s="210" t="n"/>
      <c r="S53" s="210" t="n"/>
      <c r="T53" s="210" t="n"/>
      <c r="U53" s="210" t="n"/>
      <c r="V53" s="210" t="n"/>
      <c r="W53" s="210" t="n"/>
      <c r="X53" s="210" t="n"/>
    </row>
    <row r="54" ht="18.75" customHeight="1">
      <c r="B54" s="212" t="inlineStr">
        <is>
          <t>所得稅20%</t>
        </is>
      </c>
      <c r="C54" s="211" t="n"/>
      <c r="D54" s="210">
        <f>-(D64+D67+D68+D71+D72+D73+D74)*0.2</f>
        <v/>
      </c>
      <c r="E54" s="210">
        <f>-(E64+E67+E68+E71+E72+E73+E74)*0.2</f>
        <v/>
      </c>
      <c r="F54" s="210">
        <f>-(F64+F67+F68+F71+F72+F73+F74)*0.2</f>
        <v/>
      </c>
      <c r="G54" s="210">
        <f>-(G64+G67+G68+G71+G72+G73+G74)*0.2</f>
        <v/>
      </c>
      <c r="H54" s="210">
        <f>-(H64+H67+H68+H71+H72+H73+H74)*0.2</f>
        <v/>
      </c>
      <c r="I54" s="210">
        <f>-(I64+I67+I68+I71+I72+I73+I74)*0.2</f>
        <v/>
      </c>
      <c r="J54" s="210">
        <f>-(J64+J67+J68+J71+J72+J73+J74)*0.2</f>
        <v/>
      </c>
      <c r="K54" s="210">
        <f>-(K64+K67+K68+K71+K72+K73+K74)*0.2</f>
        <v/>
      </c>
      <c r="L54" s="210">
        <f>-(L64+L67+L68+L71+L72+L73+L74)*0.2</f>
        <v/>
      </c>
      <c r="M54" s="210">
        <f>-(M64+M67+M68+M71+M72+M73+M74)*0.2</f>
        <v/>
      </c>
      <c r="N54" s="210">
        <f>-(N64+N67+N68+N71+N72+N73+N74)*0.2</f>
        <v/>
      </c>
      <c r="O54" s="210">
        <f>-(O64+O67+O68+O71+O72+O73+O74)*0.2</f>
        <v/>
      </c>
      <c r="P54" s="210">
        <f>-(P64+P67+P68+P71+P72+P73+P74)*0.2</f>
        <v/>
      </c>
      <c r="Q54" s="210">
        <f>-(Q64+Q67+Q68+Q71+Q72+Q73+Q74)*0.2</f>
        <v/>
      </c>
      <c r="R54" s="210">
        <f>-(R64+R67+R68+R71+R72+R73+R74)*0.2</f>
        <v/>
      </c>
      <c r="S54" s="210">
        <f>-(S64+S67+S68+S71+S72+S73+S74)*0.2</f>
        <v/>
      </c>
      <c r="T54" s="210">
        <f>-(T64+T67+T68+T71+T72+T73+T74)*0.2</f>
        <v/>
      </c>
      <c r="U54" s="210">
        <f>-(U64+U67+U68+U71+U72+U73+U74)*0.2</f>
        <v/>
      </c>
      <c r="V54" s="210">
        <f>-(V64+V67+V68+V71+V72+V73+V74)*0.2</f>
        <v/>
      </c>
      <c r="W54" s="210">
        <f>-(W64+W67+W68+W71+W72+W73+W74)*0.2</f>
        <v/>
      </c>
      <c r="X54" s="202" t="n"/>
    </row>
    <row r="55" ht="18.75" customHeight="1">
      <c r="B55" s="213" t="inlineStr">
        <is>
          <t>現金流</t>
        </is>
      </c>
      <c r="C55" s="214">
        <f>C44</f>
        <v/>
      </c>
      <c r="D55" s="215">
        <f>SUM(D41:D54)</f>
        <v/>
      </c>
      <c r="E55" s="215">
        <f>SUM(E41:E54)</f>
        <v/>
      </c>
      <c r="F55" s="215">
        <f>SUM(F41:F54)</f>
        <v/>
      </c>
      <c r="G55" s="215">
        <f>SUM(G41:G54)</f>
        <v/>
      </c>
      <c r="H55" s="215">
        <f>SUM(H41:H54)</f>
        <v/>
      </c>
      <c r="I55" s="215">
        <f>SUM(I41:I54)</f>
        <v/>
      </c>
      <c r="J55" s="215">
        <f>SUM(J41:J54)</f>
        <v/>
      </c>
      <c r="K55" s="215">
        <f>SUM(K41:K54)</f>
        <v/>
      </c>
      <c r="L55" s="215">
        <f>SUM(L41:L54)</f>
        <v/>
      </c>
      <c r="M55" s="215">
        <f>SUM(M41:M54)</f>
        <v/>
      </c>
      <c r="N55" s="215">
        <f>SUM(N41:N54)</f>
        <v/>
      </c>
      <c r="O55" s="215">
        <f>SUM(O41:O54)</f>
        <v/>
      </c>
      <c r="P55" s="215">
        <f>SUM(P41:P54)</f>
        <v/>
      </c>
      <c r="Q55" s="215">
        <f>SUM(Q41:Q54)</f>
        <v/>
      </c>
      <c r="R55" s="215">
        <f>SUM(R41:R54)</f>
        <v/>
      </c>
      <c r="S55" s="215">
        <f>SUM(S41:S54)</f>
        <v/>
      </c>
      <c r="T55" s="215">
        <f>SUM(T41:T54)</f>
        <v/>
      </c>
      <c r="U55" s="215">
        <f>SUM(U41:U54)</f>
        <v/>
      </c>
      <c r="V55" s="215">
        <f>SUM(V41:V54)</f>
        <v/>
      </c>
      <c r="W55" s="215">
        <f>SUM(W41:W54)</f>
        <v/>
      </c>
      <c r="X55" s="216" t="n"/>
      <c r="Y55" s="217" t="n"/>
      <c r="Z55" s="218" t="n"/>
      <c r="AA55" s="217" t="n"/>
      <c r="AB55" s="217" t="n"/>
      <c r="AC55" s="217" t="n"/>
      <c r="AD55" s="217" t="n"/>
      <c r="AE55" s="217" t="n"/>
      <c r="AF55" s="217" t="n"/>
      <c r="AG55" s="217" t="n"/>
      <c r="AH55" s="217" t="n"/>
      <c r="AI55" s="217" t="n"/>
      <c r="AJ55" s="217" t="n"/>
    </row>
    <row r="56" ht="18.75" customHeight="1">
      <c r="B56" s="219" t="inlineStr">
        <is>
          <t>累計現金流</t>
        </is>
      </c>
      <c r="D56" s="220">
        <f>C55+D55</f>
        <v/>
      </c>
      <c r="E56" s="220">
        <f>D56+E55</f>
        <v/>
      </c>
      <c r="F56" s="220">
        <f>E56+F55</f>
        <v/>
      </c>
      <c r="G56" s="220">
        <f>F56+G55</f>
        <v/>
      </c>
      <c r="H56" s="220">
        <f>G56+H55</f>
        <v/>
      </c>
      <c r="I56" s="220">
        <f>H56+I55</f>
        <v/>
      </c>
      <c r="J56" s="220">
        <f>I56+J55</f>
        <v/>
      </c>
      <c r="K56" s="220">
        <f>J56+K55</f>
        <v/>
      </c>
      <c r="L56" s="220">
        <f>K56+L55</f>
        <v/>
      </c>
      <c r="M56" s="220">
        <f>L56+M55</f>
        <v/>
      </c>
      <c r="N56" s="220">
        <f>M56+N55</f>
        <v/>
      </c>
      <c r="O56" s="220">
        <f>N56+O55</f>
        <v/>
      </c>
      <c r="P56" s="220">
        <f>O56+P55</f>
        <v/>
      </c>
      <c r="Q56" s="220">
        <f>P56+Q55</f>
        <v/>
      </c>
      <c r="R56" s="220">
        <f>Q56+R55</f>
        <v/>
      </c>
      <c r="S56" s="220">
        <f>R56+S55</f>
        <v/>
      </c>
      <c r="T56" s="220">
        <f>S56+T55</f>
        <v/>
      </c>
      <c r="U56" s="220">
        <f>T56+U55</f>
        <v/>
      </c>
      <c r="V56" s="220">
        <f>U56+V55</f>
        <v/>
      </c>
      <c r="W56" s="220">
        <f>V56+W55</f>
        <v/>
      </c>
      <c r="X56" s="220">
        <f>W56+X55</f>
        <v/>
      </c>
      <c r="Y56" s="217" t="n"/>
      <c r="Z56" s="217" t="n"/>
      <c r="AA56" s="217" t="n"/>
      <c r="AB56" s="217" t="n"/>
      <c r="AC56" s="217" t="n"/>
      <c r="AD56" s="217" t="n"/>
      <c r="AE56" s="217" t="n"/>
      <c r="AF56" s="217" t="n"/>
      <c r="AG56" s="217" t="n"/>
      <c r="AH56" s="217" t="n"/>
      <c r="AI56" s="217" t="n"/>
      <c r="AJ56" s="217" t="n"/>
    </row>
    <row r="57" ht="18.75" customHeight="1">
      <c r="B57" s="221" t="inlineStr">
        <is>
          <t>回收年限評估</t>
        </is>
      </c>
      <c r="C57" s="222" t="n"/>
      <c r="D57" s="223">
        <f>IF((D56)&gt;0,"回收","未回收")</f>
        <v/>
      </c>
      <c r="E57" s="224">
        <f>IF((E56)&gt;0,"回收","未回收")</f>
        <v/>
      </c>
      <c r="F57" s="224">
        <f>IF((F56)&gt;0,"回收","未回收")</f>
        <v/>
      </c>
      <c r="G57" s="224">
        <f>IF((G56)&gt;0,"回收","未回收")</f>
        <v/>
      </c>
      <c r="H57" s="224">
        <f>IF((H56)&gt;0,"回收","未回收")</f>
        <v/>
      </c>
      <c r="I57" s="224">
        <f>IF((I56)&gt;0,"回收","未回收")</f>
        <v/>
      </c>
      <c r="J57" s="224">
        <f>IF((J56)&gt;0,"回收","未回收")</f>
        <v/>
      </c>
      <c r="K57" s="224">
        <f>IF((K56)&gt;0,"回收","未回收")</f>
        <v/>
      </c>
      <c r="L57" s="224">
        <f>IF((L56)&gt;0,"回收","未回收")</f>
        <v/>
      </c>
      <c r="M57" s="224">
        <f>IF((M56)&gt;0,"回收","未回收")</f>
        <v/>
      </c>
      <c r="N57" s="224">
        <f>IF((N56)&gt;0,"回收","未回收")</f>
        <v/>
      </c>
      <c r="O57" s="224">
        <f>IF((O56)&gt;0,"回收","未回收")</f>
        <v/>
      </c>
      <c r="P57" s="224">
        <f>IF((P56)&gt;0,"回收","未回收")</f>
        <v/>
      </c>
      <c r="Q57" s="224">
        <f>IF((Q56)&gt;0,"回收","未回收")</f>
        <v/>
      </c>
      <c r="R57" s="224">
        <f>IF((R56)&gt;0,"回收","未回收")</f>
        <v/>
      </c>
      <c r="S57" s="224">
        <f>IF((S56)&gt;0,"回收","未回收")</f>
        <v/>
      </c>
      <c r="T57" s="224">
        <f>IF((T56)&gt;0,"回收","未回收")</f>
        <v/>
      </c>
      <c r="U57" s="224">
        <f>IF((U56)&gt;0,"回收","未回收")</f>
        <v/>
      </c>
      <c r="V57" s="224">
        <f>IF((V56)&gt;0,"回收","未回收")</f>
        <v/>
      </c>
      <c r="W57" s="224">
        <f>IF((W56)&gt;0,"回收","未回收")</f>
        <v/>
      </c>
      <c r="X57" s="224">
        <f>IF((X56)&gt;0,"回收","未回收")</f>
        <v/>
      </c>
      <c r="Y57" s="217" t="n"/>
      <c r="Z57" s="217" t="n"/>
      <c r="AA57" s="217" t="n"/>
      <c r="AB57" s="217" t="n"/>
      <c r="AC57" s="217" t="n"/>
      <c r="AD57" s="217" t="n"/>
      <c r="AE57" s="217" t="n"/>
      <c r="AF57" s="217" t="n"/>
      <c r="AG57" s="217" t="n"/>
      <c r="AH57" s="217" t="n"/>
      <c r="AI57" s="217" t="n"/>
      <c r="AJ57" s="217" t="n"/>
    </row>
    <row r="58" ht="18.75" customHeight="1">
      <c r="B58" s="225" t="inlineStr">
        <is>
          <t>專案法IRR</t>
        </is>
      </c>
      <c r="C58" s="226">
        <f>IRR(C55:W55)</f>
        <v/>
      </c>
      <c r="D58" s="227" t="n"/>
      <c r="E58" s="227" t="n"/>
      <c r="F58" s="228" t="n"/>
      <c r="G58" s="228" t="n"/>
      <c r="H58" s="228" t="n"/>
      <c r="I58" s="228" t="n"/>
      <c r="J58" s="228" t="n"/>
      <c r="K58" s="228" t="n"/>
      <c r="L58" s="228" t="n"/>
      <c r="M58" s="228" t="n"/>
      <c r="N58" s="228" t="n"/>
      <c r="O58" s="228" t="n"/>
      <c r="P58" s="228" t="n"/>
      <c r="Q58" s="228" t="n"/>
      <c r="R58" s="228" t="n"/>
      <c r="S58" s="228" t="n"/>
      <c r="T58" s="228" t="n"/>
      <c r="U58" s="228" t="n"/>
      <c r="V58" s="228" t="n"/>
      <c r="W58" s="228" t="n"/>
      <c r="X58" s="228" t="n"/>
      <c r="Y58" s="229" t="n"/>
      <c r="Z58" s="229" t="n"/>
      <c r="AA58" s="229" t="n"/>
      <c r="AB58" s="229" t="n"/>
      <c r="AC58" s="229" t="n"/>
      <c r="AD58" s="229" t="n"/>
      <c r="AE58" s="229" t="n"/>
      <c r="AF58" s="229" t="n"/>
      <c r="AG58" s="229" t="n"/>
      <c r="AH58" s="229" t="n"/>
      <c r="AI58" s="229" t="n"/>
      <c r="AJ58" s="229" t="n"/>
    </row>
    <row r="59" ht="18.75" customHeight="1">
      <c r="B59" s="228" t="n"/>
      <c r="C59" s="227" t="n"/>
      <c r="D59" s="227" t="n"/>
      <c r="E59" s="227" t="n"/>
      <c r="F59" s="228" t="n"/>
      <c r="G59" s="228" t="n"/>
      <c r="H59" s="228" t="n"/>
      <c r="I59" s="228" t="n"/>
      <c r="J59" s="228" t="n"/>
      <c r="K59" s="228" t="n"/>
      <c r="L59" s="228" t="n"/>
      <c r="M59" s="227" t="n"/>
      <c r="N59" s="228" t="n"/>
      <c r="O59" s="228" t="n"/>
      <c r="P59" s="228" t="n"/>
      <c r="Q59" s="228" t="n"/>
      <c r="R59" s="228" t="n"/>
      <c r="S59" s="228" t="n"/>
      <c r="T59" s="228" t="n"/>
      <c r="U59" s="228" t="n"/>
      <c r="V59" s="228" t="n"/>
      <c r="W59" s="228" t="n"/>
      <c r="X59" s="228" t="n"/>
      <c r="Y59" s="229" t="n"/>
      <c r="Z59" s="229" t="n"/>
      <c r="AA59" s="229" t="n"/>
      <c r="AB59" s="229" t="n"/>
      <c r="AC59" s="229" t="n"/>
      <c r="AD59" s="229" t="n"/>
      <c r="AE59" s="229" t="n"/>
      <c r="AF59" s="229" t="n"/>
      <c r="AG59" s="229" t="n"/>
      <c r="AH59" s="229" t="n"/>
      <c r="AI59" s="229" t="n"/>
      <c r="AJ59" s="229" t="n"/>
    </row>
    <row r="60" ht="18.75" customHeight="1">
      <c r="B60" s="95" t="n"/>
      <c r="C60" s="30" t="inlineStr">
        <is>
          <t>年份</t>
        </is>
      </c>
      <c r="D60" s="30">
        <f>D37</f>
        <v/>
      </c>
      <c r="E60" s="30">
        <f>E37</f>
        <v/>
      </c>
      <c r="F60" s="30">
        <f>F37</f>
        <v/>
      </c>
      <c r="G60" s="30">
        <f>G37</f>
        <v/>
      </c>
      <c r="H60" s="30">
        <f>H37</f>
        <v/>
      </c>
      <c r="I60" s="30">
        <f>I37</f>
        <v/>
      </c>
      <c r="J60" s="30">
        <f>J37</f>
        <v/>
      </c>
      <c r="K60" s="30">
        <f>K37</f>
        <v/>
      </c>
      <c r="L60" s="30">
        <f>L37</f>
        <v/>
      </c>
      <c r="M60" s="30">
        <f>M37</f>
        <v/>
      </c>
      <c r="N60" s="30">
        <f>N37</f>
        <v/>
      </c>
      <c r="O60" s="30">
        <f>O37</f>
        <v/>
      </c>
      <c r="P60" s="30">
        <f>P37</f>
        <v/>
      </c>
      <c r="Q60" s="30">
        <f>Q37</f>
        <v/>
      </c>
      <c r="R60" s="30">
        <f>R37</f>
        <v/>
      </c>
      <c r="S60" s="30">
        <f>S37</f>
        <v/>
      </c>
      <c r="T60" s="30">
        <f>T37</f>
        <v/>
      </c>
      <c r="U60" s="30">
        <f>U37</f>
        <v/>
      </c>
      <c r="V60" s="30">
        <f>V37</f>
        <v/>
      </c>
      <c r="W60" s="30">
        <f>W37</f>
        <v/>
      </c>
      <c r="X60" s="30" t="n"/>
      <c r="Y60" s="68" t="n"/>
      <c r="Z60" s="68" t="n"/>
      <c r="AA60" s="68" t="n"/>
      <c r="AB60" s="68" t="n"/>
      <c r="AC60" s="68" t="n"/>
      <c r="AD60" s="68" t="n"/>
      <c r="AE60" s="68" t="n"/>
      <c r="AF60" s="68" t="n"/>
      <c r="AG60" s="68" t="n"/>
      <c r="AH60" s="68" t="n"/>
      <c r="AI60" s="68" t="n"/>
      <c r="AJ60" s="68" t="n"/>
    </row>
    <row r="61" ht="18.75" customHeight="1">
      <c r="B61" s="181" t="n">
        <v>0</v>
      </c>
      <c r="C61" s="182" t="n"/>
      <c r="D61" s="183" t="n"/>
      <c r="E61" s="183" t="n"/>
      <c r="F61" s="184" t="n"/>
      <c r="G61" s="185" t="n"/>
      <c r="H61" s="185" t="n"/>
      <c r="I61" s="185" t="n"/>
      <c r="J61" s="185" t="n"/>
      <c r="K61" s="185" t="n"/>
      <c r="L61" s="185" t="n"/>
      <c r="M61" s="185" t="n"/>
      <c r="N61" s="185" t="n"/>
      <c r="O61" s="185" t="n"/>
      <c r="P61" s="185" t="n"/>
      <c r="Q61" s="185" t="n"/>
      <c r="R61" s="185" t="n"/>
      <c r="S61" s="185" t="n"/>
      <c r="T61" s="230" t="inlineStr">
        <is>
          <t>償還年限</t>
        </is>
      </c>
      <c r="U61" s="185" t="n"/>
      <c r="V61" s="185" t="n"/>
      <c r="W61" s="185" t="n"/>
      <c r="X61" s="187" t="n"/>
    </row>
    <row r="62" ht="18.75" customHeight="1">
      <c r="B62" s="188" t="inlineStr">
        <is>
          <t>(Unit : Currency)</t>
        </is>
      </c>
      <c r="C62" s="189" t="n">
        <v>0</v>
      </c>
      <c r="D62" s="190" t="n">
        <v>1</v>
      </c>
      <c r="E62" s="190" t="n">
        <v>2</v>
      </c>
      <c r="F62" s="190" t="n">
        <v>3</v>
      </c>
      <c r="G62" s="190" t="n">
        <v>4</v>
      </c>
      <c r="H62" s="190" t="n">
        <v>5</v>
      </c>
      <c r="I62" s="190" t="n">
        <v>6</v>
      </c>
      <c r="J62" s="190" t="n">
        <v>7</v>
      </c>
      <c r="K62" s="190" t="n">
        <v>8</v>
      </c>
      <c r="L62" s="190" t="n">
        <v>9</v>
      </c>
      <c r="M62" s="190" t="n">
        <v>10</v>
      </c>
      <c r="N62" s="190" t="n">
        <v>11</v>
      </c>
      <c r="O62" s="190" t="n">
        <v>12</v>
      </c>
      <c r="P62" s="190" t="n">
        <v>13</v>
      </c>
      <c r="Q62" s="190" t="n">
        <v>14</v>
      </c>
      <c r="R62" s="190" t="n">
        <v>15</v>
      </c>
      <c r="S62" s="190" t="n">
        <v>16</v>
      </c>
      <c r="T62" s="231" t="n">
        <v>17</v>
      </c>
      <c r="U62" s="190" t="n">
        <v>18</v>
      </c>
      <c r="V62" s="190" t="n">
        <v>19</v>
      </c>
      <c r="W62" s="190" t="n">
        <v>20</v>
      </c>
      <c r="X62" s="42" t="n"/>
    </row>
    <row r="63" ht="18.75" customHeight="1">
      <c r="B63" s="192" t="inlineStr">
        <is>
          <t>發電度數(KWH)</t>
        </is>
      </c>
      <c r="C63" s="193" t="n">
        <v>0</v>
      </c>
      <c r="D63" s="194">
        <f>D40</f>
        <v/>
      </c>
      <c r="E63" s="194">
        <f>E40</f>
        <v/>
      </c>
      <c r="F63" s="194">
        <f>F40</f>
        <v/>
      </c>
      <c r="G63" s="194">
        <f>G40</f>
        <v/>
      </c>
      <c r="H63" s="194">
        <f>H40</f>
        <v/>
      </c>
      <c r="I63" s="194">
        <f>I40</f>
        <v/>
      </c>
      <c r="J63" s="194">
        <f>J40</f>
        <v/>
      </c>
      <c r="K63" s="194">
        <f>K40</f>
        <v/>
      </c>
      <c r="L63" s="194">
        <f>L40</f>
        <v/>
      </c>
      <c r="M63" s="194">
        <f>M40</f>
        <v/>
      </c>
      <c r="N63" s="194">
        <f>N40</f>
        <v/>
      </c>
      <c r="O63" s="194">
        <f>O40</f>
        <v/>
      </c>
      <c r="P63" s="194">
        <f>P40</f>
        <v/>
      </c>
      <c r="Q63" s="194">
        <f>Q40</f>
        <v/>
      </c>
      <c r="R63" s="194">
        <f>R40</f>
        <v/>
      </c>
      <c r="S63" s="194">
        <f>S40</f>
        <v/>
      </c>
      <c r="T63" s="194">
        <f>T40</f>
        <v/>
      </c>
      <c r="U63" s="194">
        <f>U40</f>
        <v/>
      </c>
      <c r="V63" s="194">
        <f>V40</f>
        <v/>
      </c>
      <c r="W63" s="194">
        <f>W40</f>
        <v/>
      </c>
      <c r="X63" s="195" t="n"/>
    </row>
    <row r="64" ht="18.75" customHeight="1">
      <c r="B64" s="196" t="inlineStr">
        <is>
          <t>Inflow : 電費收入</t>
        </is>
      </c>
      <c r="C64" s="197" t="inlineStr">
        <is>
          <t>-</t>
        </is>
      </c>
      <c r="D64" s="198">
        <f>D41</f>
        <v/>
      </c>
      <c r="E64" s="198">
        <f>E41</f>
        <v/>
      </c>
      <c r="F64" s="198">
        <f>F41</f>
        <v/>
      </c>
      <c r="G64" s="198">
        <f>G41</f>
        <v/>
      </c>
      <c r="H64" s="198">
        <f>H41</f>
        <v/>
      </c>
      <c r="I64" s="198">
        <f>I41</f>
        <v/>
      </c>
      <c r="J64" s="198">
        <f>J41</f>
        <v/>
      </c>
      <c r="K64" s="198">
        <f>K41</f>
        <v/>
      </c>
      <c r="L64" s="198">
        <f>L41</f>
        <v/>
      </c>
      <c r="M64" s="198">
        <f>M41</f>
        <v/>
      </c>
      <c r="N64" s="198">
        <f>N41</f>
        <v/>
      </c>
      <c r="O64" s="198">
        <f>O41</f>
        <v/>
      </c>
      <c r="P64" s="198">
        <f>P41</f>
        <v/>
      </c>
      <c r="Q64" s="198">
        <f>Q41</f>
        <v/>
      </c>
      <c r="R64" s="198">
        <f>R41</f>
        <v/>
      </c>
      <c r="S64" s="198">
        <f>S41</f>
        <v/>
      </c>
      <c r="T64" s="198">
        <f>T41</f>
        <v/>
      </c>
      <c r="U64" s="198">
        <f>U41</f>
        <v/>
      </c>
      <c r="V64" s="198">
        <f>V41</f>
        <v/>
      </c>
      <c r="W64" s="198">
        <f>W41</f>
        <v/>
      </c>
      <c r="X64" s="199" t="n"/>
    </row>
    <row r="65" ht="18.75" customHeight="1">
      <c r="B65" s="200" t="inlineStr">
        <is>
          <t>Inflow : 政府補助</t>
        </is>
      </c>
      <c r="C65" s="201" t="inlineStr">
        <is>
          <t>-</t>
        </is>
      </c>
      <c r="D65" s="202" t="n"/>
      <c r="E65" s="202" t="n"/>
      <c r="F65" s="202" t="n"/>
      <c r="G65" s="202" t="inlineStr">
        <is>
          <t>-</t>
        </is>
      </c>
      <c r="H65" s="202" t="inlineStr">
        <is>
          <t>-</t>
        </is>
      </c>
      <c r="I65" s="202" t="inlineStr">
        <is>
          <t>-</t>
        </is>
      </c>
      <c r="J65" s="202" t="inlineStr">
        <is>
          <t>-</t>
        </is>
      </c>
      <c r="K65" s="202" t="inlineStr">
        <is>
          <t>-</t>
        </is>
      </c>
      <c r="L65" s="202" t="inlineStr">
        <is>
          <t>-</t>
        </is>
      </c>
      <c r="M65" s="202" t="inlineStr">
        <is>
          <t>-</t>
        </is>
      </c>
      <c r="N65" s="202" t="inlineStr">
        <is>
          <t>-</t>
        </is>
      </c>
      <c r="O65" s="202" t="inlineStr">
        <is>
          <t>-</t>
        </is>
      </c>
      <c r="P65" s="202" t="inlineStr">
        <is>
          <t>-</t>
        </is>
      </c>
      <c r="Q65" s="202" t="inlineStr">
        <is>
          <t>-</t>
        </is>
      </c>
      <c r="R65" s="202" t="inlineStr">
        <is>
          <t>-</t>
        </is>
      </c>
      <c r="S65" s="202" t="inlineStr">
        <is>
          <t>-</t>
        </is>
      </c>
      <c r="T65" s="202" t="inlineStr">
        <is>
          <t>-</t>
        </is>
      </c>
      <c r="U65" s="202" t="inlineStr">
        <is>
          <t>-</t>
        </is>
      </c>
      <c r="V65" s="202" t="inlineStr">
        <is>
          <t>-</t>
        </is>
      </c>
      <c r="W65" s="202" t="inlineStr">
        <is>
          <t>-</t>
        </is>
      </c>
      <c r="X65" s="203" t="n"/>
    </row>
    <row r="66" ht="18.75" customHeight="1">
      <c r="B66" s="204" t="inlineStr">
        <is>
          <t>Inflow : 銀行借款</t>
        </is>
      </c>
      <c r="C66" s="205" t="n"/>
      <c r="D66" s="206" t="n"/>
      <c r="E66" s="206" t="n"/>
      <c r="F66" s="206" t="n"/>
      <c r="G66" s="206" t="n"/>
      <c r="H66" s="206" t="n"/>
      <c r="I66" s="206" t="n"/>
      <c r="J66" s="206" t="n"/>
      <c r="K66" s="206" t="n"/>
      <c r="L66" s="206" t="n"/>
      <c r="M66" s="206" t="n"/>
      <c r="N66" s="206" t="n"/>
      <c r="O66" s="206" t="n"/>
      <c r="P66" s="206" t="n"/>
      <c r="Q66" s="206" t="n"/>
      <c r="R66" s="206" t="n"/>
      <c r="S66" s="206" t="n"/>
      <c r="T66" s="206" t="n"/>
      <c r="U66" s="206" t="n"/>
      <c r="V66" s="206" t="n"/>
      <c r="W66" s="206" t="n"/>
      <c r="X66" s="207" t="n"/>
    </row>
    <row r="67" ht="18.75" customHeight="1">
      <c r="B67" s="208" t="inlineStr">
        <is>
          <t>Outflow : 設備折舊</t>
        </is>
      </c>
      <c r="C67" s="201" t="n"/>
      <c r="D67" s="232">
        <f>$C$44/$E$16</f>
        <v/>
      </c>
      <c r="E67" s="232">
        <f>$C$44/$E$16</f>
        <v/>
      </c>
      <c r="F67" s="232">
        <f>$C$44/$E$16</f>
        <v/>
      </c>
      <c r="G67" s="232">
        <f>$C$44/$E$16</f>
        <v/>
      </c>
      <c r="H67" s="232">
        <f>$C$44/$E$16</f>
        <v/>
      </c>
      <c r="I67" s="232">
        <f>$C$44/$E$16</f>
        <v/>
      </c>
      <c r="J67" s="232">
        <f>$C$44/$E$16</f>
        <v/>
      </c>
      <c r="K67" s="232">
        <f>$C$44/$E$16</f>
        <v/>
      </c>
      <c r="L67" s="232">
        <f>$C$44/$E$16</f>
        <v/>
      </c>
      <c r="M67" s="232">
        <f>$C$44/$E$16</f>
        <v/>
      </c>
      <c r="N67" s="232">
        <f>$C$44/$E$16</f>
        <v/>
      </c>
      <c r="O67" s="232">
        <f>$C$44/$E$16</f>
        <v/>
      </c>
      <c r="P67" s="232">
        <f>$C$44/$E$16</f>
        <v/>
      </c>
      <c r="Q67" s="232">
        <f>$C$44/$E$16</f>
        <v/>
      </c>
      <c r="R67" s="232">
        <f>$C$44/$E$16</f>
        <v/>
      </c>
      <c r="S67" s="232">
        <f>$C$44/$E$16</f>
        <v/>
      </c>
      <c r="T67" s="232">
        <f>$C$44/$E$16</f>
        <v/>
      </c>
      <c r="U67" s="232">
        <f>$C$44/$E$16</f>
        <v/>
      </c>
      <c r="V67" s="232">
        <f>$C$44/$E$16</f>
        <v/>
      </c>
      <c r="W67" s="232">
        <f>$C$44/$E$16</f>
        <v/>
      </c>
      <c r="X67" s="203" t="n"/>
    </row>
    <row r="68" ht="18.75" customHeight="1">
      <c r="B68" s="208" t="inlineStr">
        <is>
          <t>Outflow : 設備放置區域租金</t>
        </is>
      </c>
      <c r="C68" s="201" t="inlineStr">
        <is>
          <t>-</t>
        </is>
      </c>
      <c r="D68" s="210">
        <f>D44</f>
        <v/>
      </c>
      <c r="E68" s="210">
        <f>E44</f>
        <v/>
      </c>
      <c r="F68" s="210">
        <f>F44</f>
        <v/>
      </c>
      <c r="G68" s="210">
        <f>G44</f>
        <v/>
      </c>
      <c r="H68" s="210">
        <f>H44</f>
        <v/>
      </c>
      <c r="I68" s="210">
        <f>I44</f>
        <v/>
      </c>
      <c r="J68" s="210">
        <f>J44</f>
        <v/>
      </c>
      <c r="K68" s="210">
        <f>K44</f>
        <v/>
      </c>
      <c r="L68" s="210">
        <f>L44</f>
        <v/>
      </c>
      <c r="M68" s="210">
        <f>M44</f>
        <v/>
      </c>
      <c r="N68" s="210">
        <f>N44</f>
        <v/>
      </c>
      <c r="O68" s="210">
        <f>O44</f>
        <v/>
      </c>
      <c r="P68" s="210">
        <f>P44</f>
        <v/>
      </c>
      <c r="Q68" s="210">
        <f>Q44</f>
        <v/>
      </c>
      <c r="R68" s="210">
        <f>R44</f>
        <v/>
      </c>
      <c r="S68" s="210">
        <f>S44</f>
        <v/>
      </c>
      <c r="T68" s="210">
        <f>T44</f>
        <v/>
      </c>
      <c r="U68" s="210">
        <f>U44</f>
        <v/>
      </c>
      <c r="V68" s="210">
        <f>V44</f>
        <v/>
      </c>
      <c r="W68" s="210">
        <f>W44</f>
        <v/>
      </c>
      <c r="X68" s="203" t="n"/>
    </row>
    <row r="69" ht="18.75" customHeight="1">
      <c r="B69" s="208" t="inlineStr">
        <is>
          <t>Outflow : 返還借款</t>
        </is>
      </c>
      <c r="C69" s="201" t="n"/>
      <c r="D69" s="202" t="n"/>
      <c r="E69" s="202" t="n"/>
      <c r="F69" s="202" t="n"/>
      <c r="G69" s="202" t="n"/>
      <c r="H69" s="202" t="n"/>
      <c r="I69" s="202" t="n"/>
      <c r="J69" s="202" t="n"/>
      <c r="K69" s="202" t="n"/>
      <c r="L69" s="202" t="n"/>
      <c r="M69" s="202" t="n"/>
      <c r="N69" s="202" t="n"/>
      <c r="O69" s="202" t="n"/>
      <c r="P69" s="202" t="n"/>
      <c r="Q69" s="202" t="n"/>
      <c r="R69" s="202" t="n"/>
      <c r="S69" s="202" t="n"/>
      <c r="T69" s="202" t="n"/>
      <c r="U69" s="202" t="n"/>
      <c r="V69" s="202" t="n"/>
      <c r="W69" s="202" t="n"/>
      <c r="X69" s="203" t="n"/>
    </row>
    <row r="70" ht="18.75" customHeight="1">
      <c r="B70" s="208" t="inlineStr">
        <is>
          <t>Outflow : 利息費用</t>
        </is>
      </c>
      <c r="C70" s="201" t="inlineStr">
        <is>
          <t>-</t>
        </is>
      </c>
      <c r="D70" s="210">
        <f>-D109*$D25</f>
        <v/>
      </c>
      <c r="E70" s="210">
        <f>-E109*$D25</f>
        <v/>
      </c>
      <c r="F70" s="210">
        <f>-F109*$D25</f>
        <v/>
      </c>
      <c r="G70" s="210">
        <f>-G109*$D25</f>
        <v/>
      </c>
      <c r="H70" s="210">
        <f>-H109*$D25</f>
        <v/>
      </c>
      <c r="I70" s="210">
        <f>-I109*$D25</f>
        <v/>
      </c>
      <c r="J70" s="210">
        <f>-J109*$D25</f>
        <v/>
      </c>
      <c r="K70" s="210">
        <f>-K109*$D25</f>
        <v/>
      </c>
      <c r="L70" s="210">
        <f>-L109*$D25</f>
        <v/>
      </c>
      <c r="M70" s="210">
        <f>-M109*$D25</f>
        <v/>
      </c>
      <c r="N70" s="210">
        <f>-N109*$D25</f>
        <v/>
      </c>
      <c r="O70" s="210">
        <f>-O109*$D25</f>
        <v/>
      </c>
      <c r="P70" s="210">
        <f>-P109*$D25</f>
        <v/>
      </c>
      <c r="Q70" s="210">
        <f>-Q109*$D25</f>
        <v/>
      </c>
      <c r="R70" s="210">
        <f>-R109*$D25</f>
        <v/>
      </c>
      <c r="S70" s="210">
        <f>-S109*$D25</f>
        <v/>
      </c>
      <c r="T70" s="210">
        <f>-T109*$D25</f>
        <v/>
      </c>
      <c r="U70" s="210">
        <f>-U109*$D25</f>
        <v/>
      </c>
      <c r="V70" s="210">
        <f>-V109*$D25</f>
        <v/>
      </c>
      <c r="W70" s="210">
        <f>-W109*$D25</f>
        <v/>
      </c>
      <c r="X70" s="203" t="n"/>
    </row>
    <row r="71" ht="18.75" customHeight="1">
      <c r="B71" s="208" t="inlineStr">
        <is>
          <t>Outflow : 維運費</t>
        </is>
      </c>
      <c r="C71" s="201" t="inlineStr">
        <is>
          <t>-</t>
        </is>
      </c>
      <c r="D71" s="210">
        <f>D48</f>
        <v/>
      </c>
      <c r="E71" s="210">
        <f>E48</f>
        <v/>
      </c>
      <c r="F71" s="210">
        <f>F48</f>
        <v/>
      </c>
      <c r="G71" s="210">
        <f>G48</f>
        <v/>
      </c>
      <c r="H71" s="210">
        <f>H48</f>
        <v/>
      </c>
      <c r="I71" s="210">
        <f>I48</f>
        <v/>
      </c>
      <c r="J71" s="210">
        <f>J48</f>
        <v/>
      </c>
      <c r="K71" s="210">
        <f>K48</f>
        <v/>
      </c>
      <c r="L71" s="210">
        <f>L48</f>
        <v/>
      </c>
      <c r="M71" s="210">
        <f>M48</f>
        <v/>
      </c>
      <c r="N71" s="210">
        <f>N48</f>
        <v/>
      </c>
      <c r="O71" s="210">
        <f>O48</f>
        <v/>
      </c>
      <c r="P71" s="210">
        <f>P48</f>
        <v/>
      </c>
      <c r="Q71" s="210">
        <f>Q48</f>
        <v/>
      </c>
      <c r="R71" s="210">
        <f>R48</f>
        <v/>
      </c>
      <c r="S71" s="210">
        <f>S48</f>
        <v/>
      </c>
      <c r="T71" s="210">
        <f>T48</f>
        <v/>
      </c>
      <c r="U71" s="210">
        <f>U48</f>
        <v/>
      </c>
      <c r="V71" s="210">
        <f>V48</f>
        <v/>
      </c>
      <c r="W71" s="210">
        <f>W48</f>
        <v/>
      </c>
      <c r="X71" s="203" t="n"/>
    </row>
    <row r="72" ht="18.75" customHeight="1">
      <c r="B72" s="208" t="inlineStr">
        <is>
          <t>Outflow : 保險費</t>
        </is>
      </c>
      <c r="C72" s="201" t="inlineStr">
        <is>
          <t>-</t>
        </is>
      </c>
      <c r="D72" s="210">
        <f>D49</f>
        <v/>
      </c>
      <c r="E72" s="210">
        <f>E49</f>
        <v/>
      </c>
      <c r="F72" s="210">
        <f>F49</f>
        <v/>
      </c>
      <c r="G72" s="210">
        <f>G49</f>
        <v/>
      </c>
      <c r="H72" s="210">
        <f>H49</f>
        <v/>
      </c>
      <c r="I72" s="210">
        <f>I49</f>
        <v/>
      </c>
      <c r="J72" s="210">
        <f>J49</f>
        <v/>
      </c>
      <c r="K72" s="210">
        <f>K49</f>
        <v/>
      </c>
      <c r="L72" s="210">
        <f>L49</f>
        <v/>
      </c>
      <c r="M72" s="210">
        <f>M49</f>
        <v/>
      </c>
      <c r="N72" s="210">
        <f>N49</f>
        <v/>
      </c>
      <c r="O72" s="210">
        <f>O49</f>
        <v/>
      </c>
      <c r="P72" s="210">
        <f>P49</f>
        <v/>
      </c>
      <c r="Q72" s="210">
        <f>Q49</f>
        <v/>
      </c>
      <c r="R72" s="210">
        <f>R49</f>
        <v/>
      </c>
      <c r="S72" s="210">
        <f>S49</f>
        <v/>
      </c>
      <c r="T72" s="210">
        <f>T49</f>
        <v/>
      </c>
      <c r="U72" s="210">
        <f>U49</f>
        <v/>
      </c>
      <c r="V72" s="210">
        <f>V49</f>
        <v/>
      </c>
      <c r="W72" s="210">
        <f>W49</f>
        <v/>
      </c>
      <c r="X72" s="203" t="n"/>
    </row>
    <row r="73" ht="18.75" customHeight="1">
      <c r="B73" s="208" t="inlineStr">
        <is>
          <t>Outflow : 模組回收費</t>
        </is>
      </c>
      <c r="C73" s="201" t="n"/>
      <c r="D73" s="210">
        <f>D50</f>
        <v/>
      </c>
      <c r="E73" s="210">
        <f>E50</f>
        <v/>
      </c>
      <c r="F73" s="210">
        <f>F50</f>
        <v/>
      </c>
      <c r="G73" s="210">
        <f>G50</f>
        <v/>
      </c>
      <c r="H73" s="210">
        <f>H50</f>
        <v/>
      </c>
      <c r="I73" s="210">
        <f>I50</f>
        <v/>
      </c>
      <c r="J73" s="210">
        <f>J50</f>
        <v/>
      </c>
      <c r="K73" s="210">
        <f>K50</f>
        <v/>
      </c>
      <c r="L73" s="210">
        <f>L50</f>
        <v/>
      </c>
      <c r="M73" s="210">
        <f>M50</f>
        <v/>
      </c>
      <c r="N73" s="210">
        <f>N50</f>
        <v/>
      </c>
      <c r="O73" s="210">
        <f>O50</f>
        <v/>
      </c>
      <c r="P73" s="210">
        <f>P50</f>
        <v/>
      </c>
      <c r="Q73" s="210">
        <f>Q50</f>
        <v/>
      </c>
      <c r="R73" s="210">
        <f>R50</f>
        <v/>
      </c>
      <c r="S73" s="210">
        <f>S50</f>
        <v/>
      </c>
      <c r="T73" s="210">
        <f>T50</f>
        <v/>
      </c>
      <c r="U73" s="210">
        <f>U50</f>
        <v/>
      </c>
      <c r="V73" s="210">
        <f>V50</f>
        <v/>
      </c>
      <c r="W73" s="210">
        <f>W50</f>
        <v/>
      </c>
      <c r="X73" s="203" t="n"/>
    </row>
    <row r="74" ht="18.75" customHeight="1">
      <c r="B74" s="208" t="inlineStr">
        <is>
          <t>Outflow : 其它費用(人事薪資…等)</t>
        </is>
      </c>
      <c r="C74" s="211" t="n"/>
      <c r="D74" s="233" t="n"/>
      <c r="E74" s="234" t="n"/>
      <c r="F74" s="202" t="n"/>
      <c r="G74" s="202" t="n"/>
      <c r="H74" s="202" t="n"/>
      <c r="I74" s="202" t="n"/>
      <c r="J74" s="202" t="n"/>
      <c r="K74" s="202" t="n"/>
      <c r="L74" s="202" t="n"/>
      <c r="M74" s="202" t="n"/>
      <c r="N74" s="202" t="n"/>
      <c r="O74" s="202" t="n"/>
      <c r="P74" s="202" t="n"/>
      <c r="Q74" s="202" t="n"/>
      <c r="R74" s="202" t="n"/>
      <c r="S74" s="202" t="n"/>
      <c r="T74" s="202" t="n"/>
      <c r="U74" s="202" t="n"/>
      <c r="V74" s="202" t="n"/>
      <c r="W74" s="202" t="n"/>
      <c r="X74" s="203" t="n"/>
    </row>
    <row r="75" ht="18.75" customHeight="1">
      <c r="B75" s="208" t="inlineStr">
        <is>
          <t>1%管理費</t>
        </is>
      </c>
      <c r="C75" s="211" t="n"/>
      <c r="D75" s="202" t="n"/>
      <c r="E75" s="202" t="n"/>
      <c r="F75" s="202" t="n"/>
      <c r="G75" s="202" t="n"/>
      <c r="H75" s="202" t="n"/>
      <c r="I75" s="202" t="n"/>
      <c r="J75" s="202" t="n"/>
      <c r="K75" s="202" t="n"/>
      <c r="L75" s="202" t="n"/>
      <c r="M75" s="202" t="n"/>
      <c r="N75" s="202" t="n"/>
      <c r="O75" s="202" t="n"/>
      <c r="P75" s="202" t="n"/>
      <c r="Q75" s="202" t="n"/>
      <c r="R75" s="202" t="n"/>
      <c r="S75" s="202" t="n"/>
      <c r="T75" s="202" t="n"/>
      <c r="U75" s="202" t="n"/>
      <c r="V75" s="202" t="n"/>
      <c r="W75" s="202" t="n"/>
      <c r="X75" s="203" t="n"/>
    </row>
    <row r="76" ht="18.75" customHeight="1">
      <c r="B76" s="213" t="inlineStr">
        <is>
          <t>稅前淨利</t>
        </is>
      </c>
      <c r="C76" s="235" t="n"/>
      <c r="D76" s="215">
        <f>SUM(D64:D75)</f>
        <v/>
      </c>
      <c r="E76" s="215">
        <f>SUM(E64:E75)</f>
        <v/>
      </c>
      <c r="F76" s="215">
        <f>SUM(F64:F75)</f>
        <v/>
      </c>
      <c r="G76" s="215">
        <f>SUM(G64:G75)</f>
        <v/>
      </c>
      <c r="H76" s="215">
        <f>SUM(H64:H75)</f>
        <v/>
      </c>
      <c r="I76" s="215">
        <f>SUM(I64:I75)</f>
        <v/>
      </c>
      <c r="J76" s="215">
        <f>SUM(J64:J75)</f>
        <v/>
      </c>
      <c r="K76" s="215">
        <f>SUM(K64:K75)</f>
        <v/>
      </c>
      <c r="L76" s="215">
        <f>SUM(L64:L75)</f>
        <v/>
      </c>
      <c r="M76" s="215">
        <f>SUM(M64:M75)</f>
        <v/>
      </c>
      <c r="N76" s="215">
        <f>SUM(N64:N75)</f>
        <v/>
      </c>
      <c r="O76" s="215">
        <f>SUM(O64:O75)</f>
        <v/>
      </c>
      <c r="P76" s="215">
        <f>SUM(P64:P75)</f>
        <v/>
      </c>
      <c r="Q76" s="215">
        <f>SUM(Q64:Q75)</f>
        <v/>
      </c>
      <c r="R76" s="215">
        <f>SUM(R64:R75)</f>
        <v/>
      </c>
      <c r="S76" s="215">
        <f>SUM(S64:S75)</f>
        <v/>
      </c>
      <c r="T76" s="215">
        <f>SUM(T64:T75)</f>
        <v/>
      </c>
      <c r="U76" s="215">
        <f>SUM(U64:U75)</f>
        <v/>
      </c>
      <c r="V76" s="215">
        <f>SUM(V64:V75)</f>
        <v/>
      </c>
      <c r="W76" s="215">
        <f>SUM(W64:W75)</f>
        <v/>
      </c>
      <c r="X76" s="215">
        <f>SUM(X64:X75)</f>
        <v/>
      </c>
    </row>
    <row r="77" ht="18.75" customHeight="1">
      <c r="B77" s="212" t="inlineStr">
        <is>
          <t>所得稅20%</t>
        </is>
      </c>
      <c r="C77" s="211" t="n"/>
      <c r="D77" s="210">
        <f>-D76*0.2</f>
        <v/>
      </c>
      <c r="E77" s="210">
        <f>-E76*0.2</f>
        <v/>
      </c>
      <c r="F77" s="210">
        <f>-F76*0.2</f>
        <v/>
      </c>
      <c r="G77" s="210">
        <f>-G76*0.2</f>
        <v/>
      </c>
      <c r="H77" s="210">
        <f>-H76*0.2</f>
        <v/>
      </c>
      <c r="I77" s="210">
        <f>-I76*0.2</f>
        <v/>
      </c>
      <c r="J77" s="210">
        <f>-J76*0.2</f>
        <v/>
      </c>
      <c r="K77" s="210">
        <f>-K76*0.2</f>
        <v/>
      </c>
      <c r="L77" s="210">
        <f>-L76*0.2</f>
        <v/>
      </c>
      <c r="M77" s="210">
        <f>-M76*0.2</f>
        <v/>
      </c>
      <c r="N77" s="210">
        <f>-N76*0.2</f>
        <v/>
      </c>
      <c r="O77" s="210">
        <f>-O76*0.2</f>
        <v/>
      </c>
      <c r="P77" s="210">
        <f>-P76*0.2</f>
        <v/>
      </c>
      <c r="Q77" s="210">
        <f>-Q76*0.2</f>
        <v/>
      </c>
      <c r="R77" s="210">
        <f>-R76*0.2</f>
        <v/>
      </c>
      <c r="S77" s="210">
        <f>-S76*0.2</f>
        <v/>
      </c>
      <c r="T77" s="210">
        <f>-T76*0.2</f>
        <v/>
      </c>
      <c r="U77" s="210">
        <f>-U76*0.2</f>
        <v/>
      </c>
      <c r="V77" s="210">
        <f>-V76*0.2</f>
        <v/>
      </c>
      <c r="W77" s="210">
        <f>-W76*0.2</f>
        <v/>
      </c>
      <c r="X77" s="210">
        <f>-X76*0.2</f>
        <v/>
      </c>
    </row>
    <row r="78">
      <c r="B78" s="236" t="inlineStr">
        <is>
          <t>稅後淨利</t>
        </is>
      </c>
      <c r="D78" s="210">
        <f>SUM(D76:D77)</f>
        <v/>
      </c>
      <c r="E78" s="210">
        <f>SUM(E76:E77)</f>
        <v/>
      </c>
      <c r="F78" s="210">
        <f>SUM(F76:F77)</f>
        <v/>
      </c>
      <c r="G78" s="210">
        <f>SUM(G76:G77)</f>
        <v/>
      </c>
      <c r="H78" s="210">
        <f>SUM(H76:H77)</f>
        <v/>
      </c>
      <c r="I78" s="210">
        <f>SUM(I76:I77)</f>
        <v/>
      </c>
      <c r="J78" s="210">
        <f>SUM(J76:J77)</f>
        <v/>
      </c>
      <c r="K78" s="210">
        <f>SUM(K76:K77)</f>
        <v/>
      </c>
      <c r="L78" s="210">
        <f>SUM(L76:L77)</f>
        <v/>
      </c>
      <c r="M78" s="210">
        <f>SUM(M76:M77)</f>
        <v/>
      </c>
      <c r="N78" s="210">
        <f>SUM(N76:N77)</f>
        <v/>
      </c>
      <c r="O78" s="210">
        <f>SUM(O76:O77)</f>
        <v/>
      </c>
      <c r="P78" s="210">
        <f>SUM(P76:P77)</f>
        <v/>
      </c>
      <c r="Q78" s="210">
        <f>SUM(Q76:Q77)</f>
        <v/>
      </c>
      <c r="R78" s="210">
        <f>SUM(R76:R77)</f>
        <v/>
      </c>
      <c r="S78" s="210">
        <f>SUM(S76:S77)</f>
        <v/>
      </c>
      <c r="T78" s="210">
        <f>SUM(T76:T77)</f>
        <v/>
      </c>
      <c r="U78" s="210">
        <f>SUM(U76:U77)</f>
        <v/>
      </c>
      <c r="V78" s="210">
        <f>SUM(V76:V77)</f>
        <v/>
      </c>
      <c r="W78" s="210">
        <f>SUM(W76:W77)</f>
        <v/>
      </c>
      <c r="X78" s="210">
        <f>SUM(X76:X77)</f>
        <v/>
      </c>
    </row>
    <row r="79" ht="18.75" customHeight="1">
      <c r="B79" s="219" t="inlineStr">
        <is>
          <t>累計現金流</t>
        </is>
      </c>
      <c r="C79" s="237" t="n"/>
      <c r="D79" s="238" t="n"/>
      <c r="E79" s="238" t="n"/>
      <c r="F79" s="238" t="n"/>
      <c r="G79" s="238" t="n"/>
      <c r="H79" s="238" t="n"/>
      <c r="I79" s="238" t="n"/>
      <c r="J79" s="238" t="n"/>
      <c r="K79" s="238" t="n"/>
      <c r="L79" s="238" t="n"/>
      <c r="M79" s="238" t="n"/>
      <c r="N79" s="238" t="n"/>
      <c r="O79" s="238" t="n"/>
      <c r="P79" s="238" t="n"/>
      <c r="Q79" s="238" t="n"/>
      <c r="R79" s="238" t="n"/>
      <c r="S79" s="238" t="n"/>
      <c r="T79" s="238" t="n"/>
      <c r="U79" s="238" t="n"/>
      <c r="V79" s="238" t="n"/>
      <c r="W79" s="238" t="n"/>
      <c r="X79" s="239" t="n"/>
    </row>
    <row r="80" ht="18.75" customHeight="1">
      <c r="B80" s="240" t="inlineStr">
        <is>
          <t>回收年限評估</t>
        </is>
      </c>
      <c r="C80" s="241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3" t="n"/>
    </row>
    <row r="81" ht="18.75" customHeight="1">
      <c r="B81" s="228" t="n"/>
      <c r="C81" s="227" t="n"/>
      <c r="D81" s="227" t="n"/>
      <c r="E81" s="227" t="n"/>
      <c r="F81" s="228" t="n"/>
      <c r="G81" s="228" t="n"/>
      <c r="H81" s="228" t="n"/>
      <c r="I81" s="228" t="n"/>
      <c r="J81" s="228" t="n"/>
      <c r="K81" s="228" t="n"/>
      <c r="L81" s="228" t="n"/>
      <c r="M81" s="227" t="n"/>
      <c r="N81" s="228" t="n"/>
      <c r="O81" s="228" t="n"/>
      <c r="P81" s="228" t="n"/>
      <c r="Q81" s="228" t="n"/>
      <c r="R81" s="228" t="n"/>
      <c r="S81" s="228" t="n"/>
      <c r="T81" s="228" t="n"/>
      <c r="U81" s="228" t="n"/>
      <c r="V81" s="228" t="n"/>
      <c r="W81" s="228" t="n"/>
      <c r="X81" s="228" t="n"/>
    </row>
    <row r="82" ht="18.75" customHeight="1">
      <c r="C82" s="244" t="inlineStr">
        <is>
          <t>年份</t>
        </is>
      </c>
      <c r="D82" s="245">
        <f>D37</f>
        <v/>
      </c>
      <c r="E82" s="245">
        <f>E37</f>
        <v/>
      </c>
      <c r="F82" s="245">
        <f>F37</f>
        <v/>
      </c>
      <c r="G82" s="245">
        <f>G37</f>
        <v/>
      </c>
      <c r="H82" s="245">
        <f>H37</f>
        <v/>
      </c>
      <c r="I82" s="245">
        <f>I37</f>
        <v/>
      </c>
      <c r="J82" s="245">
        <f>J37</f>
        <v/>
      </c>
      <c r="K82" s="245">
        <f>K37</f>
        <v/>
      </c>
      <c r="L82" s="245">
        <f>L37</f>
        <v/>
      </c>
      <c r="M82" s="245">
        <f>M37</f>
        <v/>
      </c>
      <c r="N82" s="245">
        <f>N37</f>
        <v/>
      </c>
      <c r="O82" s="245">
        <f>O37</f>
        <v/>
      </c>
      <c r="P82" s="245">
        <f>P37</f>
        <v/>
      </c>
      <c r="Q82" s="245">
        <f>Q37</f>
        <v/>
      </c>
      <c r="R82" s="245">
        <f>R37</f>
        <v/>
      </c>
      <c r="S82" s="245">
        <f>S37</f>
        <v/>
      </c>
      <c r="T82" s="245">
        <f>T37</f>
        <v/>
      </c>
      <c r="U82" s="245">
        <f>U37</f>
        <v/>
      </c>
      <c r="V82" s="245">
        <f>V37</f>
        <v/>
      </c>
      <c r="W82" s="245">
        <f>W37</f>
        <v/>
      </c>
      <c r="X82" s="99" t="n"/>
    </row>
    <row r="83" ht="18.75" customHeight="1">
      <c r="X83" s="246" t="n"/>
    </row>
    <row r="84" ht="18.75" customHeight="1">
      <c r="B84" s="247" t="inlineStr">
        <is>
          <t>(Unit : Currency)</t>
        </is>
      </c>
      <c r="C84" s="247" t="n">
        <v>0</v>
      </c>
      <c r="D84" s="247" t="n">
        <v>1</v>
      </c>
      <c r="E84" s="247" t="n">
        <v>2</v>
      </c>
      <c r="F84" s="247" t="n">
        <v>3</v>
      </c>
      <c r="G84" s="247" t="n">
        <v>4</v>
      </c>
      <c r="H84" s="247" t="n">
        <v>5</v>
      </c>
      <c r="I84" s="247" t="n">
        <v>6</v>
      </c>
      <c r="J84" s="247" t="n">
        <v>7</v>
      </c>
      <c r="K84" s="247" t="n">
        <v>8</v>
      </c>
      <c r="L84" s="247" t="n">
        <v>9</v>
      </c>
      <c r="M84" s="247" t="n">
        <v>10</v>
      </c>
      <c r="N84" s="247" t="n">
        <v>11</v>
      </c>
      <c r="O84" s="247" t="n">
        <v>12</v>
      </c>
      <c r="P84" s="247" t="n">
        <v>13</v>
      </c>
      <c r="Q84" s="247" t="n">
        <v>14</v>
      </c>
      <c r="R84" s="247" t="n">
        <v>15</v>
      </c>
      <c r="S84" s="247" t="n">
        <v>16</v>
      </c>
      <c r="T84" s="247" t="n">
        <v>17</v>
      </c>
      <c r="U84" s="247" t="n">
        <v>18</v>
      </c>
      <c r="V84" s="247" t="n">
        <v>19</v>
      </c>
      <c r="W84" s="247" t="n">
        <v>20</v>
      </c>
      <c r="X84" s="102" t="n"/>
    </row>
    <row r="85" ht="18.75" customHeight="1">
      <c r="B85" s="248" t="inlineStr">
        <is>
          <t>稅後淨利</t>
        </is>
      </c>
      <c r="C85" s="248" t="n"/>
      <c r="D85" s="249">
        <f>D78</f>
        <v/>
      </c>
      <c r="E85" s="249">
        <f>E78</f>
        <v/>
      </c>
      <c r="F85" s="249">
        <f>F78</f>
        <v/>
      </c>
      <c r="G85" s="249">
        <f>G78</f>
        <v/>
      </c>
      <c r="H85" s="249">
        <f>H78</f>
        <v/>
      </c>
      <c r="I85" s="249">
        <f>I78</f>
        <v/>
      </c>
      <c r="J85" s="249">
        <f>J78</f>
        <v/>
      </c>
      <c r="K85" s="249">
        <f>K78</f>
        <v/>
      </c>
      <c r="L85" s="249">
        <f>L78</f>
        <v/>
      </c>
      <c r="M85" s="249">
        <f>M78</f>
        <v/>
      </c>
      <c r="N85" s="249">
        <f>N78</f>
        <v/>
      </c>
      <c r="O85" s="249">
        <f>O78</f>
        <v/>
      </c>
      <c r="P85" s="249">
        <f>P78</f>
        <v/>
      </c>
      <c r="Q85" s="249">
        <f>Q78</f>
        <v/>
      </c>
      <c r="R85" s="249">
        <f>R78</f>
        <v/>
      </c>
      <c r="S85" s="249">
        <f>S78</f>
        <v/>
      </c>
      <c r="T85" s="249">
        <f>T78</f>
        <v/>
      </c>
      <c r="U85" s="249">
        <f>U78</f>
        <v/>
      </c>
      <c r="V85" s="249">
        <f>V78</f>
        <v/>
      </c>
      <c r="W85" s="249">
        <f>W78</f>
        <v/>
      </c>
      <c r="X85" s="248" t="n"/>
      <c r="Y85" s="248" t="n"/>
    </row>
    <row r="86">
      <c r="B86" s="248" t="inlineStr">
        <is>
          <t>設備折舊</t>
        </is>
      </c>
      <c r="C86" s="248" t="n"/>
      <c r="D86" s="250">
        <f>-D67</f>
        <v/>
      </c>
      <c r="E86" s="250">
        <f>-E67</f>
        <v/>
      </c>
      <c r="F86" s="250">
        <f>-F67</f>
        <v/>
      </c>
      <c r="G86" s="250">
        <f>-G67</f>
        <v/>
      </c>
      <c r="H86" s="250">
        <f>-H67</f>
        <v/>
      </c>
      <c r="I86" s="250">
        <f>-I67</f>
        <v/>
      </c>
      <c r="J86" s="250">
        <f>-J67</f>
        <v/>
      </c>
      <c r="K86" s="250">
        <f>-K67</f>
        <v/>
      </c>
      <c r="L86" s="250">
        <f>-L67</f>
        <v/>
      </c>
      <c r="M86" s="250">
        <f>-M67</f>
        <v/>
      </c>
      <c r="N86" s="250">
        <f>-N67</f>
        <v/>
      </c>
      <c r="O86" s="250">
        <f>-O67</f>
        <v/>
      </c>
      <c r="P86" s="250">
        <f>-P67</f>
        <v/>
      </c>
      <c r="Q86" s="250">
        <f>-Q67</f>
        <v/>
      </c>
      <c r="R86" s="250">
        <f>-R67</f>
        <v/>
      </c>
      <c r="S86" s="250">
        <f>-S67</f>
        <v/>
      </c>
      <c r="T86" s="250">
        <f>-T67</f>
        <v/>
      </c>
      <c r="U86" s="250">
        <f>-U67</f>
        <v/>
      </c>
      <c r="V86" s="250">
        <f>-V67</f>
        <v/>
      </c>
      <c r="W86" s="250">
        <f>-W67</f>
        <v/>
      </c>
      <c r="X86" s="251" t="n"/>
      <c r="Y86" s="251" t="n"/>
    </row>
    <row r="87">
      <c r="B87" s="248" t="inlineStr">
        <is>
          <t>營運活動現金流量</t>
        </is>
      </c>
      <c r="C87" s="248" t="n"/>
      <c r="D87" s="252">
        <f>SUM(D85:D86)</f>
        <v/>
      </c>
      <c r="E87" s="252">
        <f>SUM(E85:E86)</f>
        <v/>
      </c>
      <c r="F87" s="252">
        <f>SUM(F85:F86)</f>
        <v/>
      </c>
      <c r="G87" s="252">
        <f>SUM(G85:G86)</f>
        <v/>
      </c>
      <c r="H87" s="252">
        <f>SUM(H85:H86)</f>
        <v/>
      </c>
      <c r="I87" s="252">
        <f>SUM(I85:I86)</f>
        <v/>
      </c>
      <c r="J87" s="252">
        <f>SUM(J85:J86)</f>
        <v/>
      </c>
      <c r="K87" s="252">
        <f>SUM(K85:K86)</f>
        <v/>
      </c>
      <c r="L87" s="252">
        <f>SUM(L85:L86)</f>
        <v/>
      </c>
      <c r="M87" s="252">
        <f>SUM(M85:M86)</f>
        <v/>
      </c>
      <c r="N87" s="252">
        <f>SUM(N85:N86)</f>
        <v/>
      </c>
      <c r="O87" s="252">
        <f>SUM(O85:O86)</f>
        <v/>
      </c>
      <c r="P87" s="252">
        <f>SUM(P85:P86)</f>
        <v/>
      </c>
      <c r="Q87" s="252">
        <f>SUM(Q85:Q86)</f>
        <v/>
      </c>
      <c r="R87" s="252">
        <f>SUM(R85:R86)</f>
        <v/>
      </c>
      <c r="S87" s="252">
        <f>SUM(S85:S86)</f>
        <v/>
      </c>
      <c r="T87" s="252">
        <f>SUM(T85:T86)</f>
        <v/>
      </c>
      <c r="U87" s="252">
        <f>SUM(U85:U86)</f>
        <v/>
      </c>
      <c r="V87" s="252">
        <f>SUM(V85:V86)</f>
        <v/>
      </c>
      <c r="W87" s="252">
        <f>SUM(W85:W86)</f>
        <v/>
      </c>
      <c r="X87" s="253" t="n"/>
    </row>
    <row r="88">
      <c r="B88" s="248" t="n"/>
      <c r="C88" s="248" t="n"/>
      <c r="D88" s="248" t="n"/>
      <c r="E88" s="248" t="n"/>
      <c r="F88" s="254" t="n"/>
      <c r="G88" s="254" t="n"/>
      <c r="H88" s="254" t="n"/>
      <c r="I88" s="254" t="n"/>
      <c r="J88" s="254" t="n"/>
      <c r="K88" s="254" t="n"/>
      <c r="L88" s="254" t="n"/>
      <c r="M88" s="254" t="n"/>
      <c r="N88" s="254" t="n"/>
      <c r="O88" s="254" t="n"/>
      <c r="P88" s="254" t="n"/>
      <c r="Q88" s="254" t="n"/>
      <c r="R88" s="254" t="n"/>
      <c r="S88" s="254" t="n"/>
      <c r="T88" s="254" t="n"/>
      <c r="U88" s="254" t="n"/>
      <c r="V88" s="254" t="n"/>
      <c r="W88" s="254" t="n"/>
      <c r="X88" s="255" t="n"/>
    </row>
    <row r="89">
      <c r="B89" s="256" t="inlineStr">
        <is>
          <t>投資活動-設備支出</t>
        </is>
      </c>
      <c r="C89" s="257" t="n"/>
      <c r="D89" s="258">
        <f>C44</f>
        <v/>
      </c>
      <c r="E89" s="257" t="n"/>
      <c r="F89" s="257" t="n"/>
      <c r="G89" s="257" t="n"/>
      <c r="H89" s="257" t="n"/>
      <c r="I89" s="257" t="n"/>
      <c r="J89" s="257" t="n"/>
      <c r="K89" s="257" t="n"/>
      <c r="L89" s="257" t="n"/>
      <c r="M89" s="257" t="n"/>
      <c r="N89" s="257" t="n"/>
      <c r="O89" s="257" t="n"/>
      <c r="P89" s="257" t="n"/>
      <c r="Q89" s="257" t="n"/>
      <c r="R89" s="257" t="n"/>
      <c r="S89" s="257" t="n"/>
      <c r="T89" s="257" t="n"/>
      <c r="U89" s="257" t="n"/>
      <c r="V89" s="257" t="n"/>
      <c r="W89" s="257" t="n"/>
      <c r="X89" s="259" t="n"/>
    </row>
    <row r="90">
      <c r="B90" s="248" t="n"/>
      <c r="C90" s="248" t="n"/>
      <c r="D90" s="248" t="n"/>
      <c r="E90" s="248" t="n"/>
      <c r="F90" s="254" t="n"/>
      <c r="G90" s="254" t="n"/>
      <c r="H90" s="254" t="n"/>
      <c r="I90" s="254" t="n"/>
      <c r="J90" s="254" t="n"/>
      <c r="K90" s="254" t="n"/>
      <c r="L90" s="254" t="n"/>
      <c r="M90" s="254" t="n"/>
      <c r="N90" s="254" t="n"/>
      <c r="O90" s="254" t="n"/>
      <c r="P90" s="254" t="n"/>
      <c r="Q90" s="254" t="n"/>
      <c r="R90" s="254" t="n"/>
      <c r="S90" s="254" t="n"/>
      <c r="T90" s="254" t="n"/>
      <c r="U90" s="254" t="n"/>
      <c r="V90" s="254" t="n"/>
      <c r="W90" s="254" t="n"/>
      <c r="X90" s="255" t="n"/>
    </row>
    <row r="91">
      <c r="B91" s="248" t="n"/>
      <c r="C91" s="248" t="n"/>
      <c r="D91" s="248" t="n"/>
      <c r="E91" s="248" t="n"/>
      <c r="F91" s="254" t="n"/>
      <c r="G91" s="254" t="n"/>
      <c r="H91" s="254" t="n"/>
      <c r="I91" s="254" t="n"/>
      <c r="J91" s="254" t="n"/>
      <c r="K91" s="254" t="n"/>
      <c r="L91" s="254" t="n"/>
      <c r="M91" s="254" t="n"/>
      <c r="N91" s="254" t="n"/>
      <c r="O91" s="254" t="n"/>
      <c r="P91" s="254" t="n"/>
      <c r="Q91" s="254" t="n"/>
      <c r="R91" s="254" t="n"/>
      <c r="S91" s="254" t="n"/>
      <c r="T91" s="254" t="n"/>
      <c r="U91" s="254" t="n"/>
      <c r="V91" s="254" t="n"/>
      <c r="W91" s="254" t="n"/>
      <c r="X91" s="255" t="n"/>
    </row>
    <row r="92">
      <c r="B92" s="256" t="inlineStr">
        <is>
          <t>理財活動-借款</t>
        </is>
      </c>
      <c r="C92" s="257" t="n"/>
      <c r="D92" s="258">
        <f>-D89*D31</f>
        <v/>
      </c>
      <c r="E92" s="257" t="n"/>
      <c r="F92" s="257" t="n"/>
      <c r="G92" s="257" t="n"/>
      <c r="H92" s="257" t="n"/>
      <c r="I92" s="257" t="n"/>
      <c r="J92" s="257" t="n"/>
      <c r="K92" s="257" t="n"/>
      <c r="L92" s="257" t="n"/>
      <c r="M92" s="257" t="n"/>
      <c r="N92" s="257" t="n"/>
      <c r="O92" s="257" t="n"/>
      <c r="P92" s="257" t="n"/>
      <c r="Q92" s="257" t="n"/>
      <c r="R92" s="257" t="n"/>
      <c r="S92" s="257" t="n"/>
      <c r="T92" s="257" t="n"/>
      <c r="U92" s="257" t="n"/>
      <c r="V92" s="257" t="n"/>
      <c r="W92" s="257" t="n"/>
      <c r="X92" s="255" t="n"/>
    </row>
    <row r="93">
      <c r="B93" s="248" t="inlineStr">
        <is>
          <t>理財活動-還款</t>
        </is>
      </c>
      <c r="C93" s="248" t="n"/>
      <c r="D93" s="260" t="n"/>
      <c r="E93" s="260" t="n">
        <v>-734309.3333333334</v>
      </c>
      <c r="F93" s="260" t="n">
        <v>-734309.3333333334</v>
      </c>
      <c r="G93" s="260" t="n">
        <v>-734309.3333333334</v>
      </c>
      <c r="H93" s="260" t="n">
        <v>-734309.3333333334</v>
      </c>
      <c r="I93" s="260" t="n">
        <v>-734309.3333333334</v>
      </c>
      <c r="J93" s="260" t="n">
        <v>-734309.3333333334</v>
      </c>
      <c r="K93" s="260" t="n">
        <v>-734309.3333333334</v>
      </c>
      <c r="L93" s="260" t="n">
        <v>-734309.3333333334</v>
      </c>
      <c r="M93" s="260" t="n">
        <v>-734309.3333333334</v>
      </c>
      <c r="N93" s="260" t="n">
        <v>-734309.3333333334</v>
      </c>
      <c r="O93" s="260" t="n">
        <v>-734309.3333333334</v>
      </c>
      <c r="P93" s="260" t="n">
        <v>-734309.3333333334</v>
      </c>
      <c r="Q93" s="260" t="n">
        <v>-734309.3333333334</v>
      </c>
      <c r="R93" s="260" t="n">
        <v>-734309.3333333334</v>
      </c>
      <c r="S93" s="260" t="n">
        <v>-734309.3333333334</v>
      </c>
      <c r="T93" s="260" t="n">
        <v>0</v>
      </c>
      <c r="U93" s="260" t="n">
        <v>0</v>
      </c>
      <c r="V93" s="260" t="n">
        <v>0</v>
      </c>
      <c r="W93" s="260" t="n">
        <v>0</v>
      </c>
      <c r="X93" s="259" t="n"/>
    </row>
    <row r="94">
      <c r="B94" s="248" t="inlineStr">
        <is>
          <t>理財活動-現金增資</t>
        </is>
      </c>
      <c r="C94" s="254" t="n"/>
      <c r="D94" s="249">
        <f>-D89*(1-D31)</f>
        <v/>
      </c>
      <c r="E94" s="254" t="n"/>
      <c r="F94" s="254" t="n"/>
      <c r="G94" s="254" t="n"/>
      <c r="H94" s="254" t="n"/>
      <c r="I94" s="254" t="n"/>
      <c r="J94" s="254" t="n"/>
      <c r="K94" s="254" t="n"/>
      <c r="L94" s="254" t="n"/>
      <c r="M94" s="254" t="n"/>
      <c r="N94" s="254" t="n"/>
      <c r="O94" s="254" t="n"/>
      <c r="P94" s="254" t="n"/>
      <c r="Q94" s="254" t="n"/>
      <c r="R94" s="254" t="n"/>
      <c r="S94" s="254" t="n"/>
      <c r="T94" s="254" t="n"/>
      <c r="U94" s="254" t="n"/>
      <c r="V94" s="254" t="n"/>
      <c r="W94" s="254" t="n"/>
      <c r="X94" s="253" t="n"/>
    </row>
    <row r="95">
      <c r="B95" s="248" t="inlineStr">
        <is>
          <t>現金股利</t>
        </is>
      </c>
      <c r="C95" s="254" t="n"/>
      <c r="D95" s="254" t="n"/>
      <c r="E95" s="261">
        <f>-D85*$D$33</f>
        <v/>
      </c>
      <c r="F95" s="261">
        <f>-E85*$D$33</f>
        <v/>
      </c>
      <c r="G95" s="261">
        <f>-F85*$D$33</f>
        <v/>
      </c>
      <c r="H95" s="261">
        <f>-G85*$D$33</f>
        <v/>
      </c>
      <c r="I95" s="261">
        <f>-H85*$D$33</f>
        <v/>
      </c>
      <c r="J95" s="261">
        <f>-I85*$D$33</f>
        <v/>
      </c>
      <c r="K95" s="261">
        <f>-J85*$D$33</f>
        <v/>
      </c>
      <c r="L95" s="261">
        <f>-K85*$D$33</f>
        <v/>
      </c>
      <c r="M95" s="261">
        <f>-L85*$D$33</f>
        <v/>
      </c>
      <c r="N95" s="261">
        <f>-M85*$D$33</f>
        <v/>
      </c>
      <c r="O95" s="261">
        <f>-N85*$D$33</f>
        <v/>
      </c>
      <c r="P95" s="261">
        <f>-O85*$D$33</f>
        <v/>
      </c>
      <c r="Q95" s="261">
        <f>-P85*$D$33</f>
        <v/>
      </c>
      <c r="R95" s="261">
        <f>-Q85*$D$33</f>
        <v/>
      </c>
      <c r="S95" s="261">
        <f>-R85*$D$33</f>
        <v/>
      </c>
      <c r="T95" s="261">
        <f>-S85*$D$33</f>
        <v/>
      </c>
      <c r="U95" s="261">
        <f>-T85*$D$33</f>
        <v/>
      </c>
      <c r="V95" s="261">
        <f>-U85*$D$33</f>
        <v/>
      </c>
      <c r="W95" s="261">
        <f>-V85*$D$33</f>
        <v/>
      </c>
      <c r="X95" s="261">
        <f>-W85*$D$33</f>
        <v/>
      </c>
    </row>
    <row r="96">
      <c r="B96" s="262" t="inlineStr">
        <is>
          <t>年底減資</t>
        </is>
      </c>
      <c r="C96" s="263" t="n"/>
      <c r="D96" s="263" t="n">
        <v>0</v>
      </c>
      <c r="E96" s="264" t="n">
        <v>0</v>
      </c>
      <c r="F96" s="264" t="n">
        <v>0</v>
      </c>
      <c r="G96" s="264" t="n">
        <v>0</v>
      </c>
      <c r="H96" s="264" t="n">
        <v>0</v>
      </c>
      <c r="I96" s="264" t="n">
        <v>0</v>
      </c>
      <c r="J96" s="264" t="n">
        <v>0</v>
      </c>
      <c r="K96" s="264" t="n">
        <v>0</v>
      </c>
      <c r="L96" s="264" t="n">
        <v>0</v>
      </c>
      <c r="M96" s="264" t="n">
        <v>0</v>
      </c>
      <c r="N96" s="264" t="n">
        <v>0</v>
      </c>
      <c r="O96" s="264" t="n">
        <v>0</v>
      </c>
      <c r="P96" s="264" t="n">
        <v>0</v>
      </c>
      <c r="Q96" s="264" t="n">
        <v>0</v>
      </c>
      <c r="R96" s="264" t="n">
        <v>0</v>
      </c>
      <c r="S96" s="264" t="n">
        <v>0</v>
      </c>
      <c r="T96" s="264" t="n">
        <v>-688415</v>
      </c>
      <c r="U96" s="264" t="n">
        <v>-688415</v>
      </c>
      <c r="V96" s="264" t="n">
        <v>-688415</v>
      </c>
      <c r="W96" s="264" t="n">
        <v>-688415</v>
      </c>
      <c r="X96" s="265">
        <f>-W101-X95</f>
        <v/>
      </c>
    </row>
    <row r="97">
      <c r="B97" s="254" t="n"/>
      <c r="C97" s="254" t="n"/>
      <c r="D97" s="254" t="n"/>
      <c r="E97" s="254" t="n"/>
      <c r="F97" s="254" t="n"/>
      <c r="G97" s="254" t="n"/>
      <c r="H97" s="254" t="n"/>
      <c r="I97" s="254" t="n"/>
      <c r="J97" s="254" t="n"/>
      <c r="K97" s="254" t="n"/>
      <c r="L97" s="254" t="n"/>
      <c r="M97" s="254" t="n"/>
      <c r="N97" s="254" t="n"/>
      <c r="O97" s="254" t="n"/>
      <c r="P97" s="254" t="n"/>
      <c r="Q97" s="254" t="n"/>
      <c r="R97" s="254" t="n"/>
      <c r="S97" s="254" t="n"/>
      <c r="T97" s="254" t="n"/>
      <c r="U97" s="254" t="n"/>
      <c r="V97" s="254" t="n"/>
      <c r="W97" s="254" t="n"/>
      <c r="X97" s="253" t="n"/>
    </row>
    <row r="98">
      <c r="B98" s="254" t="n"/>
      <c r="C98" s="254" t="n"/>
      <c r="D98" s="254" t="n"/>
      <c r="E98" s="254" t="n"/>
      <c r="F98" s="254" t="n"/>
      <c r="G98" s="254" t="n"/>
      <c r="H98" s="254" t="n"/>
      <c r="I98" s="254" t="n"/>
      <c r="J98" s="254" t="n"/>
      <c r="K98" s="254" t="n"/>
      <c r="L98" s="254" t="n"/>
      <c r="M98" s="254" t="n"/>
      <c r="N98" s="254" t="n"/>
      <c r="O98" s="254" t="n"/>
      <c r="P98" s="254" t="n"/>
      <c r="Q98" s="254" t="n"/>
      <c r="R98" s="254" t="n"/>
      <c r="S98" s="254" t="n"/>
      <c r="T98" s="254" t="n"/>
      <c r="U98" s="254" t="n"/>
      <c r="V98" s="254" t="n"/>
      <c r="W98" s="254" t="n"/>
      <c r="X98" s="253" t="n"/>
    </row>
    <row r="99">
      <c r="B99" s="248" t="inlineStr">
        <is>
          <t>現金淨流入(出 )</t>
        </is>
      </c>
      <c r="C99" s="249" t="n">
        <v>0</v>
      </c>
      <c r="D99" s="249">
        <f>SUM(D87:D96)</f>
        <v/>
      </c>
      <c r="E99" s="249">
        <f>SUM(E87:E96)</f>
        <v/>
      </c>
      <c r="F99" s="249">
        <f>SUM(F87:F96)</f>
        <v/>
      </c>
      <c r="G99" s="249">
        <f>SUM(G87:G96)</f>
        <v/>
      </c>
      <c r="H99" s="249">
        <f>SUM(H87:H96)</f>
        <v/>
      </c>
      <c r="I99" s="249">
        <f>SUM(I87:I96)</f>
        <v/>
      </c>
      <c r="J99" s="249">
        <f>SUM(J87:J96)</f>
        <v/>
      </c>
      <c r="K99" s="249">
        <f>SUM(K87:K96)</f>
        <v/>
      </c>
      <c r="L99" s="249">
        <f>SUM(L87:L96)</f>
        <v/>
      </c>
      <c r="M99" s="249">
        <f>SUM(M87:M96)</f>
        <v/>
      </c>
      <c r="N99" s="249">
        <f>SUM(N87:N96)</f>
        <v/>
      </c>
      <c r="O99" s="249">
        <f>SUM(O87:O96)</f>
        <v/>
      </c>
      <c r="P99" s="249">
        <f>SUM(P87:P96)</f>
        <v/>
      </c>
      <c r="Q99" s="249">
        <f>SUM(Q87:Q96)</f>
        <v/>
      </c>
      <c r="R99" s="249">
        <f>SUM(R87:R96)</f>
        <v/>
      </c>
      <c r="S99" s="249">
        <f>SUM(S87:S96)</f>
        <v/>
      </c>
      <c r="T99" s="249">
        <f>SUM(T87:T96)</f>
        <v/>
      </c>
      <c r="U99" s="249">
        <f>SUM(U87:U96)</f>
        <v/>
      </c>
      <c r="V99" s="249">
        <f>SUM(V87:V96)</f>
        <v/>
      </c>
      <c r="W99" s="249">
        <f>SUM(W87:W96)</f>
        <v/>
      </c>
      <c r="X99" s="253" t="n"/>
    </row>
    <row r="100">
      <c r="B100" s="248" t="inlineStr">
        <is>
          <t>期初淨現金</t>
        </is>
      </c>
      <c r="C100" s="249" t="n">
        <v>0</v>
      </c>
      <c r="D100" s="249">
        <f>C101</f>
        <v/>
      </c>
      <c r="E100" s="249">
        <f>D101</f>
        <v/>
      </c>
      <c r="F100" s="249">
        <f>E101</f>
        <v/>
      </c>
      <c r="G100" s="249">
        <f>F101</f>
        <v/>
      </c>
      <c r="H100" s="249">
        <f>G101</f>
        <v/>
      </c>
      <c r="I100" s="249">
        <f>H101</f>
        <v/>
      </c>
      <c r="J100" s="249">
        <f>I101</f>
        <v/>
      </c>
      <c r="K100" s="249">
        <f>J101</f>
        <v/>
      </c>
      <c r="L100" s="249">
        <f>K101</f>
        <v/>
      </c>
      <c r="M100" s="249">
        <f>L101</f>
        <v/>
      </c>
      <c r="N100" s="249">
        <f>M101</f>
        <v/>
      </c>
      <c r="O100" s="249">
        <f>N101</f>
        <v/>
      </c>
      <c r="P100" s="249">
        <f>O101</f>
        <v/>
      </c>
      <c r="Q100" s="249">
        <f>P101</f>
        <v/>
      </c>
      <c r="R100" s="249">
        <f>Q101</f>
        <v/>
      </c>
      <c r="S100" s="249">
        <f>R101</f>
        <v/>
      </c>
      <c r="T100" s="249">
        <f>S101</f>
        <v/>
      </c>
      <c r="U100" s="249">
        <f>T101</f>
        <v/>
      </c>
      <c r="V100" s="249">
        <f>U101</f>
        <v/>
      </c>
      <c r="W100" s="249">
        <f>V101</f>
        <v/>
      </c>
      <c r="X100" s="255" t="n"/>
    </row>
    <row r="101">
      <c r="B101" s="248" t="inlineStr">
        <is>
          <t>期未淨現金</t>
        </is>
      </c>
      <c r="C101" s="249" t="n">
        <v>0</v>
      </c>
      <c r="D101" s="249">
        <f>D99+D100</f>
        <v/>
      </c>
      <c r="E101" s="249">
        <f>E99+E100</f>
        <v/>
      </c>
      <c r="F101" s="249">
        <f>F99+F100</f>
        <v/>
      </c>
      <c r="G101" s="249">
        <f>G99+G100</f>
        <v/>
      </c>
      <c r="H101" s="249">
        <f>H99+H100</f>
        <v/>
      </c>
      <c r="I101" s="249">
        <f>I99+I100</f>
        <v/>
      </c>
      <c r="J101" s="249">
        <f>J99+J100</f>
        <v/>
      </c>
      <c r="K101" s="249">
        <f>K99+K100</f>
        <v/>
      </c>
      <c r="L101" s="249">
        <f>L99+L100</f>
        <v/>
      </c>
      <c r="M101" s="249">
        <f>M99+M100</f>
        <v/>
      </c>
      <c r="N101" s="249">
        <f>N99+N100</f>
        <v/>
      </c>
      <c r="O101" s="249">
        <f>O99+O100</f>
        <v/>
      </c>
      <c r="P101" s="249">
        <f>P99+P100</f>
        <v/>
      </c>
      <c r="Q101" s="249">
        <f>Q99+Q100</f>
        <v/>
      </c>
      <c r="R101" s="249">
        <f>R99+R100</f>
        <v/>
      </c>
      <c r="S101" s="249">
        <f>S99+S100</f>
        <v/>
      </c>
      <c r="T101" s="249">
        <f>T99+T100</f>
        <v/>
      </c>
      <c r="U101" s="249">
        <f>U99+U100</f>
        <v/>
      </c>
      <c r="V101" s="249">
        <f>V99+V100</f>
        <v/>
      </c>
      <c r="W101" s="249">
        <f>W99+W100</f>
        <v/>
      </c>
      <c r="X101" s="255" t="n"/>
    </row>
    <row r="102">
      <c r="B102" s="248" t="n"/>
      <c r="C102" s="248" t="n"/>
      <c r="D102" s="248" t="n"/>
      <c r="E102" s="248" t="n"/>
      <c r="F102" s="248" t="n"/>
      <c r="G102" s="248" t="n"/>
      <c r="H102" s="248" t="n"/>
      <c r="I102" s="248" t="n"/>
      <c r="J102" s="248" t="n"/>
      <c r="K102" s="248" t="n"/>
      <c r="L102" s="248" t="n"/>
      <c r="M102" s="248" t="n"/>
      <c r="N102" s="248" t="n"/>
      <c r="O102" s="248" t="n"/>
      <c r="P102" s="248" t="n"/>
      <c r="Q102" s="248" t="n"/>
      <c r="R102" s="248" t="n"/>
      <c r="S102" s="248" t="n"/>
      <c r="T102" s="248" t="n"/>
      <c r="U102" s="248" t="n"/>
      <c r="V102" s="248" t="n"/>
      <c r="W102" s="248" t="n"/>
      <c r="X102" s="248" t="n"/>
    </row>
    <row r="103">
      <c r="B103" s="248" t="n"/>
      <c r="C103" s="248" t="n"/>
      <c r="D103" s="248" t="n"/>
      <c r="E103" s="248" t="n"/>
      <c r="F103" s="254" t="n"/>
      <c r="G103" s="248" t="n"/>
      <c r="H103" s="248" t="n"/>
      <c r="I103" s="248" t="n"/>
      <c r="J103" s="248" t="n"/>
      <c r="K103" s="248" t="n"/>
      <c r="L103" s="248" t="n"/>
      <c r="M103" s="248" t="n"/>
      <c r="N103" s="248" t="n"/>
      <c r="O103" s="248" t="n"/>
      <c r="P103" s="248" t="n"/>
      <c r="Q103" s="248" t="n"/>
      <c r="R103" s="248" t="n"/>
      <c r="S103" s="248" t="n"/>
      <c r="T103" s="248" t="n"/>
      <c r="U103" s="248" t="n"/>
      <c r="V103" s="248" t="n"/>
      <c r="W103" s="248" t="n"/>
      <c r="X103" s="248" t="n"/>
    </row>
    <row r="104">
      <c r="B104" s="266" t="inlineStr">
        <is>
          <t>成本法實際現金流</t>
        </is>
      </c>
      <c r="C104" s="267" t="n"/>
      <c r="D104" s="268">
        <f>-D94</f>
        <v/>
      </c>
      <c r="E104" s="252">
        <f>-E95-E96</f>
        <v/>
      </c>
      <c r="F104" s="252">
        <f>-F95-F96</f>
        <v/>
      </c>
      <c r="G104" s="252">
        <f>-G95-G96</f>
        <v/>
      </c>
      <c r="H104" s="252">
        <f>-H95-H96</f>
        <v/>
      </c>
      <c r="I104" s="252">
        <f>-I95-I96</f>
        <v/>
      </c>
      <c r="J104" s="252">
        <f>-J95-J96</f>
        <v/>
      </c>
      <c r="K104" s="252">
        <f>-K95-K96</f>
        <v/>
      </c>
      <c r="L104" s="252">
        <f>-L95-L96</f>
        <v/>
      </c>
      <c r="M104" s="252">
        <f>-M95-M96</f>
        <v/>
      </c>
      <c r="N104" s="252">
        <f>-N95-N96</f>
        <v/>
      </c>
      <c r="O104" s="252">
        <f>-O95-O96</f>
        <v/>
      </c>
      <c r="P104" s="252">
        <f>-P95-P96</f>
        <v/>
      </c>
      <c r="Q104" s="252">
        <f>-Q95-Q96</f>
        <v/>
      </c>
      <c r="R104" s="252">
        <f>-R95-R96</f>
        <v/>
      </c>
      <c r="S104" s="252">
        <f>-S95-S96</f>
        <v/>
      </c>
      <c r="T104" s="252">
        <f>-T95-T96</f>
        <v/>
      </c>
      <c r="U104" s="252">
        <f>-U95-U96</f>
        <v/>
      </c>
      <c r="V104" s="252">
        <f>-V95-V96</f>
        <v/>
      </c>
      <c r="W104" s="252">
        <f>-W95-W96</f>
        <v/>
      </c>
      <c r="X104" s="252">
        <f>-X95-X96</f>
        <v/>
      </c>
    </row>
    <row r="105">
      <c r="B105" s="248" t="inlineStr">
        <is>
          <t>成本法IRR</t>
        </is>
      </c>
      <c r="C105" s="269">
        <f>IRR(D104:X104)</f>
        <v/>
      </c>
      <c r="D105" s="254" t="n"/>
      <c r="E105" s="254" t="n"/>
      <c r="F105" s="248" t="n"/>
      <c r="G105" s="248" t="n"/>
      <c r="H105" s="248" t="n"/>
      <c r="I105" s="248" t="n"/>
      <c r="J105" s="248" t="n"/>
      <c r="K105" s="248" t="n"/>
      <c r="L105" s="248" t="n"/>
      <c r="M105" s="248" t="n"/>
      <c r="N105" s="248" t="n"/>
      <c r="O105" s="248" t="n"/>
      <c r="P105" s="248" t="n"/>
      <c r="Q105" s="248" t="n"/>
      <c r="R105" s="248" t="n"/>
      <c r="S105" s="248" t="n"/>
      <c r="T105" s="248" t="n"/>
      <c r="U105" s="248" t="n"/>
      <c r="V105" s="248" t="n"/>
      <c r="W105" s="248" t="n"/>
      <c r="X105" s="248" t="n"/>
    </row>
    <row r="106">
      <c r="B106" s="266" t="inlineStr">
        <is>
          <t>權益法實際現金流</t>
        </is>
      </c>
      <c r="C106" s="267" t="n"/>
      <c r="D106" s="268">
        <f>D85-D94</f>
        <v/>
      </c>
      <c r="E106" s="252">
        <f>E85</f>
        <v/>
      </c>
      <c r="F106" s="252">
        <f>F85-F96</f>
        <v/>
      </c>
      <c r="G106" s="252">
        <f>G85-G96</f>
        <v/>
      </c>
      <c r="H106" s="252">
        <f>H85-H96</f>
        <v/>
      </c>
      <c r="I106" s="252">
        <f>I85-I96</f>
        <v/>
      </c>
      <c r="J106" s="252">
        <f>J85-J96</f>
        <v/>
      </c>
      <c r="K106" s="252">
        <f>K85-K96</f>
        <v/>
      </c>
      <c r="L106" s="252">
        <f>L85-L96</f>
        <v/>
      </c>
      <c r="M106" s="252">
        <f>M85-M96</f>
        <v/>
      </c>
      <c r="N106" s="252">
        <f>N85-N96</f>
        <v/>
      </c>
      <c r="O106" s="252">
        <f>O85-O96</f>
        <v/>
      </c>
      <c r="P106" s="252">
        <f>P85-P96</f>
        <v/>
      </c>
      <c r="Q106" s="252">
        <f>Q85-Q96</f>
        <v/>
      </c>
      <c r="R106" s="252">
        <f>R85-R96</f>
        <v/>
      </c>
      <c r="S106" s="252">
        <f>S85-S96</f>
        <v/>
      </c>
      <c r="T106" s="252">
        <f>T85-T96</f>
        <v/>
      </c>
      <c r="U106" s="252">
        <f>U85-U96</f>
        <v/>
      </c>
      <c r="V106" s="252">
        <f>V85-V96</f>
        <v/>
      </c>
      <c r="W106" s="252">
        <f>W85-W96</f>
        <v/>
      </c>
      <c r="X106" s="259" t="n"/>
    </row>
    <row r="107">
      <c r="B107" s="266" t="inlineStr">
        <is>
          <t>權益法IRR</t>
        </is>
      </c>
      <c r="C107" s="270">
        <f>IRR(D106:W106)</f>
        <v/>
      </c>
      <c r="D107" s="254" t="n"/>
      <c r="E107" s="254" t="n"/>
      <c r="F107" s="248" t="n"/>
      <c r="G107" s="248" t="n"/>
      <c r="H107" s="248" t="n"/>
      <c r="I107" s="248" t="n"/>
      <c r="J107" s="248" t="n"/>
      <c r="K107" s="248" t="n"/>
      <c r="L107" s="248" t="n"/>
      <c r="M107" s="248" t="n"/>
      <c r="N107" s="248" t="n"/>
      <c r="O107" s="248" t="n"/>
      <c r="P107" s="248" t="n"/>
      <c r="Q107" s="248" t="n"/>
      <c r="R107" s="248" t="n"/>
      <c r="S107" s="248" t="n"/>
      <c r="T107" s="248" t="n"/>
      <c r="U107" s="248" t="n"/>
      <c r="V107" s="248" t="n"/>
      <c r="W107" s="248" t="n"/>
      <c r="X107" s="248" t="n"/>
    </row>
    <row r="108">
      <c r="B108" s="248" t="n"/>
      <c r="C108" s="248" t="n"/>
      <c r="D108" s="248" t="n"/>
      <c r="E108" s="248" t="n"/>
      <c r="F108" s="248" t="n"/>
      <c r="G108" s="248" t="n"/>
      <c r="H108" s="248" t="n"/>
      <c r="I108" s="248" t="n"/>
      <c r="J108" s="248" t="n"/>
      <c r="K108" s="248" t="n"/>
      <c r="L108" s="248" t="n"/>
      <c r="M108" s="248" t="n"/>
      <c r="N108" s="248" t="n"/>
      <c r="O108" s="248" t="n"/>
      <c r="P108" s="248" t="n"/>
      <c r="Q108" s="248" t="n"/>
      <c r="R108" s="248" t="n"/>
      <c r="S108" s="248" t="n"/>
      <c r="T108" s="248" t="n"/>
      <c r="U108" s="248" t="n"/>
      <c r="V108" s="248" t="n"/>
      <c r="W108" s="248" t="n"/>
      <c r="X108" s="248" t="n"/>
    </row>
    <row r="109">
      <c r="B109" s="248" t="inlineStr">
        <is>
          <t>借款餘額</t>
        </is>
      </c>
      <c r="C109" s="249" t="n">
        <v>0</v>
      </c>
      <c r="D109" s="249">
        <f>D92</f>
        <v/>
      </c>
      <c r="E109" s="249">
        <f>D109+E93</f>
        <v/>
      </c>
      <c r="F109" s="249">
        <f>E109+F93</f>
        <v/>
      </c>
      <c r="G109" s="249">
        <f>F109+G93</f>
        <v/>
      </c>
      <c r="H109" s="249">
        <f>G109+H93</f>
        <v/>
      </c>
      <c r="I109" s="249">
        <f>H109+I93</f>
        <v/>
      </c>
      <c r="J109" s="249">
        <f>I109+J93</f>
        <v/>
      </c>
      <c r="K109" s="249">
        <f>J109+K93</f>
        <v/>
      </c>
      <c r="L109" s="249">
        <f>K109+L93</f>
        <v/>
      </c>
      <c r="M109" s="249">
        <f>L109+M93</f>
        <v/>
      </c>
      <c r="N109" s="249">
        <f>M109+N93</f>
        <v/>
      </c>
      <c r="O109" s="249">
        <f>N109+O93</f>
        <v/>
      </c>
      <c r="P109" s="249">
        <f>O109+P93</f>
        <v/>
      </c>
      <c r="Q109" s="249">
        <f>P109+Q93</f>
        <v/>
      </c>
      <c r="R109" s="249">
        <f>Q109+R93</f>
        <v/>
      </c>
      <c r="S109" s="249">
        <f>R109+S93</f>
        <v/>
      </c>
      <c r="T109" s="249">
        <f>S109+T93</f>
        <v/>
      </c>
      <c r="U109" s="249">
        <f>T109+U93</f>
        <v/>
      </c>
      <c r="V109" s="249">
        <f>U109+V93</f>
        <v/>
      </c>
      <c r="W109" s="249">
        <f>V109+W93</f>
        <v/>
      </c>
      <c r="X109" s="254" t="n"/>
    </row>
    <row r="110"/>
    <row r="111">
      <c r="B111" s="271" t="n"/>
    </row>
    <row r="112" ht="16.5" customHeight="1">
      <c r="G112" s="27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王竣生</dc:creator>
  <dcterms:created xsi:type="dcterms:W3CDTF">2015-06-05T18:19:34Z</dcterms:created>
  <dcterms:modified xsi:type="dcterms:W3CDTF">2026-03-06T09:38:19Z</dcterms:modified>
  <cp:lastModifiedBy>王竣生</cp:lastModifiedBy>
</cp:coreProperties>
</file>