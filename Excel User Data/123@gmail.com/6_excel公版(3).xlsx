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空白範例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<sst xmlns="http://schemas.openxmlformats.org/spreadsheetml/2006/main" count="740" uniqueCount="131">
  <si>
    <r>
      <rPr>
        <b val="true"/>
        <sz val="12"/>
        <color theme="0"/>
        <rFont val="新細明體"/>
        <family val="2"/>
        <charset val="1"/>
      </rPr>
      <t xml:space="preserve">電站基本資料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</si>
  <si>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說明</t>
  </si>
  <si>
    <t xml:space="preserve">電站名稱</t>
  </si>
  <si>
    <t xml:space="preserve">淡江大學</t>
  </si>
  <si>
    <t xml:space="preserve">-</t>
  </si>
  <si>
    <t xml:space="preserve">填入本案場名稱</t>
  </si>
  <si>
    <t xml:space="preserve">電站壽命</t>
  </si>
  <si>
    <r>
      <rPr>
        <sz val="10"/>
        <color rgb="FF404040"/>
        <rFont val="新細明體"/>
        <family val="2"/>
        <charset val="1"/>
      </rPr>
      <t xml:space="preserve">預設 </t>
    </r>
    <r>
      <rPr>
        <sz val="10"/>
        <color rgb="FF404040"/>
        <rFont val="Calibri"/>
        <family val="2"/>
        <charset val="1"/>
      </rPr>
      <t xml:space="preserve">20 </t>
    </r>
    <r>
      <rPr>
        <sz val="10"/>
        <color rgb="FF404040"/>
        <rFont val="新細明體"/>
        <family val="2"/>
        <charset val="1"/>
      </rPr>
      <t xml:space="preserve">年，代表財務評估年期。若合約年限不同可依實際情況修改</t>
    </r>
  </si>
  <si>
    <r>
      <rPr>
        <sz val="12"/>
        <color theme="1"/>
        <rFont val="新細明體"/>
        <family val="2"/>
        <charset val="1"/>
      </rPr>
      <t xml:space="preserve">建置量</t>
    </r>
    <r>
      <rPr>
        <sz val="12"/>
        <color theme="1"/>
        <rFont val="Calibri"/>
        <family val="2"/>
        <charset val="1"/>
      </rPr>
      <t xml:space="preserve">(kWp)</t>
    </r>
  </si>
  <si>
    <r>
      <rPr>
        <sz val="10"/>
        <color rgb="FF404040"/>
        <rFont val="新細明體"/>
        <family val="2"/>
        <charset val="1"/>
      </rPr>
      <t xml:space="preserve">填入裝置容量（</t>
    </r>
    <r>
      <rPr>
        <sz val="10"/>
        <color rgb="FF404040"/>
        <rFont val="Calibri"/>
        <family val="2"/>
        <charset val="1"/>
      </rPr>
      <t xml:space="preserve">kWp</t>
    </r>
    <r>
      <rPr>
        <sz val="10"/>
        <color rgb="FF404040"/>
        <rFont val="新細明體"/>
        <family val="2"/>
        <charset val="1"/>
      </rPr>
      <t xml:space="preserve">），通常由設計圖面或報價書取得</t>
    </r>
  </si>
  <si>
    <t xml:space="preserve">起始年度</t>
  </si>
  <si>
    <t xml:space="preserve">結束年度</t>
  </si>
  <si>
    <r>
      <rPr>
        <sz val="10"/>
        <color rgb="FF404040"/>
        <rFont val="新細明體"/>
        <family val="2"/>
        <charset val="1"/>
      </rPr>
      <t xml:space="preserve">填入電站預計掛表的西元年份（例：</t>
    </r>
    <r>
      <rPr>
        <sz val="10"/>
        <color rgb="FF404040"/>
        <rFont val="Calibri"/>
        <family val="2"/>
        <charset val="1"/>
      </rPr>
      <t xml:space="preserve">2025</t>
    </r>
    <r>
      <rPr>
        <sz val="10"/>
        <color rgb="FF404040"/>
        <rFont val="新細明體"/>
        <family val="2"/>
        <charset val="1"/>
      </rPr>
      <t xml:space="preserve">）。結束年度會自動計算</t>
    </r>
  </si>
  <si>
    <r>
      <rPr>
        <b val="true"/>
        <sz val="12"/>
        <color theme="0"/>
        <rFont val="新細明體"/>
        <family val="2"/>
        <charset val="1"/>
      </rPr>
      <t xml:space="preserve">綜合損益表</t>
    </r>
    <r>
      <rPr>
        <b val="true"/>
        <sz val="12"/>
        <color theme="0"/>
        <rFont val="Calibri"/>
        <family val="2"/>
        <charset val="136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36"/>
      </rPr>
      <t xml:space="preserve">)</t>
    </r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</si>
  <si>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</si>
  <si>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</si>
  <si>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</si>
  <si>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</si>
  <si>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</si>
  <si>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</si>
  <si>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</si>
  <si>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r>
      <rPr>
        <sz val="10"/>
        <color rgb="FF404040"/>
        <rFont val="新細明體"/>
        <family val="2"/>
        <charset val="1"/>
      </rPr>
      <t xml:space="preserve">預估年發電量（</t>
    </r>
    <r>
      <rPr>
        <sz val="10"/>
        <color rgb="FF404040"/>
        <rFont val="Calibri"/>
        <family val="2"/>
        <charset val="1"/>
      </rPr>
      <t xml:space="preserve">kWh</t>
    </r>
    <r>
      <rPr>
        <sz val="10"/>
        <color rgb="FF404040"/>
        <rFont val="新細明體"/>
        <family val="2"/>
        <charset val="1"/>
      </rPr>
      <t xml:space="preserve">），通常來自 </t>
    </r>
    <r>
      <rPr>
        <sz val="10"/>
        <color rgb="FF404040"/>
        <rFont val="Calibri"/>
        <family val="2"/>
        <charset val="1"/>
      </rPr>
      <t xml:space="preserve">PVsyst </t>
    </r>
    <r>
      <rPr>
        <sz val="10"/>
        <color rgb="FF404040"/>
        <rFont val="新細明體"/>
        <family val="2"/>
        <charset val="1"/>
      </rPr>
      <t xml:space="preserve">模擬或估算：裝置容量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年日照時數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系統效率</t>
    </r>
  </si>
  <si>
    <t xml:space="preserve">首年衰退率</t>
  </si>
  <si>
    <r>
      <rPr>
        <sz val="10"/>
        <color rgb="FF404040"/>
        <rFont val="新細明體"/>
        <family val="2"/>
        <charset val="1"/>
      </rPr>
      <t xml:space="preserve">第一年發電衰退比率，請填小數（例：</t>
    </r>
    <r>
      <rPr>
        <sz val="10"/>
        <color rgb="FF404040"/>
        <rFont val="Calibri"/>
        <family val="2"/>
        <charset val="1"/>
      </rPr>
      <t xml:space="preserve">1%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0.01</t>
    </r>
    <r>
      <rPr>
        <sz val="10"/>
        <color rgb="FF404040"/>
        <rFont val="新細明體"/>
        <family val="2"/>
        <charset val="1"/>
      </rPr>
      <t xml:space="preserve">）。一般首年衰退約 </t>
    </r>
    <r>
      <rPr>
        <sz val="10"/>
        <color rgb="FF404040"/>
        <rFont val="Calibri"/>
        <family val="2"/>
        <charset val="1"/>
      </rPr>
      <t xml:space="preserve">1~2%(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</si>
  <si>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t xml:space="preserve">次年衰退率</t>
  </si>
  <si>
    <r>
      <rPr>
        <sz val="10"/>
        <color rgb="FF404040"/>
        <rFont val="新細明體"/>
        <family val="2"/>
        <charset val="1"/>
      </rPr>
      <t xml:space="preserve">第二年起每年固定衰退比率，請填小數（例：</t>
    </r>
    <r>
      <rPr>
        <sz val="10"/>
        <color rgb="FF404040"/>
        <rFont val="Calibri"/>
        <family val="2"/>
        <charset val="1"/>
      </rPr>
      <t xml:space="preserve">0.4%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0.004</t>
    </r>
    <r>
      <rPr>
        <sz val="10"/>
        <color rgb="FF404040"/>
        <rFont val="新細明體"/>
        <family val="2"/>
        <charset val="1"/>
      </rPr>
      <t xml:space="preserve">）。一般約 </t>
    </r>
    <r>
      <rPr>
        <sz val="10"/>
        <color rgb="FF404040"/>
        <rFont val="Calibri"/>
        <family val="2"/>
        <charset val="1"/>
      </rPr>
      <t xml:space="preserve">0.4~0.7%(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</si>
  <si>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 / </t>
    </r>
    <r>
      <rPr>
        <sz val="12"/>
        <color theme="1"/>
        <rFont val="新細明體"/>
        <family val="2"/>
        <charset val="1"/>
      </rPr>
      <t xml:space="preserve">綠電費率</t>
    </r>
  </si>
  <si>
    <r>
      <rPr>
        <sz val="10"/>
        <color rgb="FF404040"/>
        <rFont val="新細明體"/>
        <family val="2"/>
        <charset val="1"/>
      </rPr>
      <t xml:space="preserve">與台電簽訂的躉購費率或綠電合約費率，單位：元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度。請參考台電公告或合約內容</t>
    </r>
  </si>
  <si>
    <r>
      <rPr>
        <sz val="12"/>
        <color theme="1"/>
        <rFont val="新細明體"/>
        <family val="2"/>
        <charset val="1"/>
      </rPr>
      <t xml:space="preserve">支出</t>
    </r>
    <r>
      <rPr>
        <sz val="12"/>
        <color theme="1"/>
        <rFont val="Calibri"/>
        <family val="2"/>
        <charset val="136"/>
      </rPr>
      <t xml:space="preserve">(</t>
    </r>
    <r>
      <rPr>
        <sz val="12"/>
        <color theme="1"/>
        <rFont val="新細明體"/>
        <family val="2"/>
        <charset val="1"/>
      </rPr>
      <t xml:space="preserve">請填寫著色處</t>
    </r>
    <r>
      <rPr>
        <sz val="12"/>
        <color theme="1"/>
        <rFont val="Calibri"/>
        <family val="2"/>
        <charset val="136"/>
      </rPr>
      <t xml:space="preserve">)</t>
    </r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</si>
  <si>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</si>
  <si>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</si>
  <si>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kWp</t>
    </r>
    <r>
      <rPr>
        <sz val="12"/>
        <color theme="1"/>
        <rFont val="新細明體"/>
        <family val="2"/>
        <charset val="1"/>
      </rPr>
      <t xml:space="preserve">設備成本</t>
    </r>
  </si>
  <si>
    <r>
      <rPr>
        <sz val="10"/>
        <color rgb="FF404040"/>
        <rFont val="新細明體"/>
        <family val="2"/>
        <charset val="1"/>
      </rPr>
      <t xml:space="preserve">每峰瓩設備成本（元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），包含模組、逆變器、支架等硬體，不含工程施工費</t>
    </r>
  </si>
  <si>
    <r>
      <rPr>
        <sz val="12"/>
        <color theme="1"/>
        <rFont val="新細明體"/>
        <family val="2"/>
        <charset val="1"/>
      </rPr>
      <t xml:space="preserve">信邦利潤率</t>
    </r>
    <r>
      <rPr>
        <sz val="12"/>
        <color theme="1"/>
        <rFont val="Calibri"/>
        <family val="2"/>
        <charset val="1"/>
      </rPr>
      <t xml:space="preserve">(ex:20%</t>
    </r>
    <r>
      <rPr>
        <sz val="12"/>
        <color theme="1"/>
        <rFont val="新細明體"/>
        <family val="2"/>
        <charset val="1"/>
      </rPr>
      <t xml:space="preserve">填</t>
    </r>
    <r>
      <rPr>
        <sz val="12"/>
        <color theme="1"/>
        <rFont val="Calibri"/>
        <family val="2"/>
        <charset val="1"/>
      </rPr>
      <t xml:space="preserve">0.2)</t>
    </r>
  </si>
  <si>
    <r>
      <rPr>
        <sz val="10"/>
        <color rgb="FF404040"/>
        <rFont val="新細明體"/>
        <family val="2"/>
        <charset val="1"/>
      </rPr>
      <t xml:space="preserve">公司在設備費用上加計的利潤比率，請填小數（例：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</si>
  <si>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開發費</t>
  </si>
  <si>
    <r>
      <rPr>
        <sz val="10"/>
        <color rgb="FF404040"/>
        <rFont val="新細明體"/>
        <family val="2"/>
        <charset val="1"/>
      </rPr>
      <t xml:space="preserve">前期開發費用（元），含可行性評估、申請規費、地主溝通等。若無則填 </t>
    </r>
    <r>
      <rPr>
        <sz val="10"/>
        <color rgb="FF404040"/>
        <rFont val="Calibri"/>
        <family val="2"/>
        <charset val="1"/>
      </rPr>
      <t xml:space="preserve">0</t>
    </r>
  </si>
  <si>
    <t xml:space="preserve">租金費用</t>
  </si>
  <si>
    <t xml:space="preserve">租金計算方式</t>
  </si>
  <si>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1 = </t>
    </r>
    <r>
      <rPr>
        <sz val="10"/>
        <color rgb="FF404040"/>
        <rFont val="新細明體"/>
        <family val="2"/>
        <charset val="1"/>
      </rPr>
      <t xml:space="preserve">固定年租金（需填方式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參數）；填 </t>
    </r>
    <r>
      <rPr>
        <sz val="10"/>
        <color rgb="FF404040"/>
        <rFont val="Calibri"/>
        <family val="2"/>
        <charset val="1"/>
      </rPr>
      <t xml:space="preserve">2 = </t>
    </r>
    <r>
      <rPr>
        <sz val="10"/>
        <color rgb="FF404040"/>
        <rFont val="新細明體"/>
        <family val="2"/>
        <charset val="1"/>
      </rPr>
      <t xml:space="preserve">依電費收入抽成（需填方式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參數）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</si>
  <si>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參數】每年相同價格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</si>
  <si>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」時填寫，固定年租金金額（元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年），套用至整個電站壽命期</t>
    </r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</si>
  <si>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</si>
  <si>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」時填寫，請填小數（例：</t>
    </r>
    <r>
      <rPr>
        <sz val="10"/>
        <color rgb="FF404040"/>
        <rFont val="Calibri"/>
        <family val="2"/>
        <charset val="1"/>
      </rPr>
      <t xml:space="preserve">10%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0.1</t>
    </r>
    <r>
      <rPr>
        <sz val="10"/>
        <color rgb="FF404040"/>
        <rFont val="新細明體"/>
        <family val="2"/>
        <charset val="1"/>
      </rPr>
      <t xml:space="preserve">）。租金 </t>
    </r>
    <r>
      <rPr>
        <sz val="10"/>
        <color rgb="FF404040"/>
        <rFont val="Calibri"/>
        <family val="2"/>
        <charset val="1"/>
      </rPr>
      <t xml:space="preserve">= </t>
    </r>
    <r>
      <rPr>
        <sz val="10"/>
        <color rgb="FF404040"/>
        <rFont val="新細明體"/>
        <family val="2"/>
        <charset val="1"/>
      </rPr>
      <t xml:space="preserve">當年電費收入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</si>
  <si>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</si>
  <si>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</si>
  <si>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r>
      <rPr>
        <sz val="10"/>
        <color rgb="FF404040"/>
        <rFont val="新細明體"/>
        <family val="2"/>
        <charset val="1"/>
      </rPr>
      <t xml:space="preserve">每峰瓩每年運維費用（元</t>
    </r>
    <r>
      <rPr>
        <sz val="10"/>
        <color rgb="FF404040"/>
        <rFont val="Calibri"/>
        <family val="2"/>
        <charset val="1"/>
      </rPr>
      <t xml:space="preserve">/kWp/</t>
    </r>
    <r>
      <rPr>
        <sz val="10"/>
        <color rgb="FF404040"/>
        <rFont val="新細明體"/>
        <family val="2"/>
        <charset val="1"/>
      </rPr>
      <t xml:space="preserve">年），含清洗、巡檢、維修等。</t>
    </r>
  </si>
  <si>
    <t xml:space="preserve">保險費用</t>
  </si>
  <si>
    <t xml:space="preserve">占整體設備費用比例</t>
  </si>
  <si>
    <r>
      <rPr>
        <sz val="10"/>
        <color rgb="FF404040"/>
        <rFont val="新細明體"/>
        <family val="2"/>
        <charset val="1"/>
      </rPr>
      <t xml:space="preserve">保險費佔設備總費用比率，填小數（例：</t>
    </r>
    <r>
      <rPr>
        <sz val="10"/>
        <color rgb="FF404040"/>
        <rFont val="Calibri"/>
        <family val="2"/>
        <charset val="1"/>
      </rPr>
      <t xml:space="preserve">0.3%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，可依投保條件調整</t>
    </r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</si>
  <si>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</si>
  <si>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</si>
  <si>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r>
      <rPr>
        <sz val="10"/>
        <color rgb="FF404040"/>
        <rFont val="新細明體"/>
        <family val="2"/>
        <charset val="1"/>
      </rPr>
      <t xml:space="preserve">每峰瓩模組廢棄回收費用（元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），於第 </t>
    </r>
    <r>
      <rPr>
        <sz val="10"/>
        <color rgb="FF404040"/>
        <rFont val="Calibri"/>
        <family val="2"/>
        <charset val="1"/>
      </rPr>
      <t xml:space="preserve">1~10 </t>
    </r>
    <r>
      <rPr>
        <sz val="10"/>
        <color rgb="FF404040"/>
        <rFont val="新細明體"/>
        <family val="2"/>
        <charset val="1"/>
      </rPr>
      <t xml:space="preserve">年計提（攤提 </t>
    </r>
    <r>
      <rPr>
        <sz val="10"/>
        <color rgb="FF404040"/>
        <rFont val="Calibri"/>
        <family val="2"/>
        <charset val="1"/>
      </rPr>
      <t xml:space="preserve">10 </t>
    </r>
    <r>
      <rPr>
        <sz val="10"/>
        <color rgb="FF404040"/>
        <rFont val="新細明體"/>
        <family val="2"/>
        <charset val="1"/>
      </rPr>
      <t xml:space="preserve">年）。</t>
    </r>
  </si>
  <si>
    <t xml:space="preserve">利息費用</t>
  </si>
  <si>
    <t xml:space="preserve">銀行利率</t>
  </si>
  <si>
    <r>
      <rPr>
        <sz val="10"/>
        <color rgb="FF404040"/>
        <rFont val="新細明體"/>
        <family val="2"/>
        <charset val="1"/>
      </rPr>
      <t xml:space="preserve">向銀行貸款的年利率，填小數（例：</t>
    </r>
    <r>
      <rPr>
        <sz val="10"/>
        <color rgb="FF404040"/>
        <rFont val="Calibri"/>
        <family val="2"/>
        <charset val="1"/>
      </rPr>
      <t xml:space="preserve">2.56%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0.0256</t>
    </r>
    <r>
      <rPr>
        <sz val="10"/>
        <color rgb="FF404040"/>
        <rFont val="新細明體"/>
        <family val="2"/>
        <charset val="1"/>
      </rPr>
      <t xml:space="preserve">）。請依銀行核准利率填入</t>
    </r>
  </si>
  <si>
    <t xml:space="preserve">所得稅</t>
  </si>
  <si>
    <t xml:space="preserve">所得稅率</t>
  </si>
  <si>
    <r>
      <rPr>
        <sz val="10"/>
        <color rgb="FF404040"/>
        <rFont val="新細明體"/>
        <family val="2"/>
        <charset val="1"/>
      </rPr>
      <t xml:space="preserve">公司所得稅率，填小數（例：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，通常不需更改</t>
    </r>
  </si>
  <si>
    <r>
      <rPr>
        <b val="true"/>
        <sz val="12"/>
        <color theme="0"/>
        <rFont val="新細明體"/>
        <family val="2"/>
        <charset val="1"/>
      </rPr>
      <t xml:space="preserve">現金流量表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</si>
  <si>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金流項目</t>
  </si>
  <si>
    <t xml:space="preserve">貸款成數</t>
  </si>
  <si>
    <t xml:space="preserve">占總設備費用比例</t>
  </si>
  <si>
    <r>
      <rPr>
        <sz val="10"/>
        <color rgb="FF404040"/>
        <rFont val="新細明體"/>
        <family val="2"/>
        <charset val="1"/>
      </rPr>
      <t xml:space="preserve">貸款佔設備總費用比例，填小數（例：</t>
    </r>
    <r>
      <rPr>
        <sz val="10"/>
        <color rgb="FF404040"/>
        <rFont val="Calibri"/>
        <family val="2"/>
        <charset val="1"/>
      </rPr>
      <t xml:space="preserve">80%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0.8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0.8 </t>
    </r>
    <r>
      <rPr>
        <sz val="10"/>
        <color rgb="FF404040"/>
        <rFont val="新細明體"/>
        <family val="2"/>
        <charset val="1"/>
      </rPr>
      <t xml:space="preserve">代表貸八成、自備二成</t>
    </r>
  </si>
  <si>
    <t xml:space="preserve">貸款還款</t>
  </si>
  <si>
    <t xml:space="preserve">攤還期數</t>
  </si>
  <si>
    <r>
      <rPr>
        <sz val="10"/>
        <color rgb="FF404040"/>
        <rFont val="新細明體"/>
        <family val="2"/>
        <charset val="1"/>
      </rPr>
      <t xml:space="preserve">貸款還款年數（年）。預設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年，代表分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年平均攤還本金</t>
    </r>
  </si>
  <si>
    <t xml:space="preserve">現金股利</t>
  </si>
  <si>
    <t xml:space="preserve">股利比率</t>
  </si>
  <si>
    <r>
      <rPr>
        <sz val="10"/>
        <color rgb="FF404040"/>
        <rFont val="新細明體"/>
        <family val="2"/>
        <charset val="1"/>
      </rPr>
      <t xml:space="preserve">稅後現金流中分配給股東的比例，填小數（例：</t>
    </r>
    <r>
      <rPr>
        <sz val="10"/>
        <color rgb="FF404040"/>
        <rFont val="Calibri"/>
        <family val="2"/>
        <charset val="1"/>
      </rPr>
      <t xml:space="preserve">90%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0.9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</si>
  <si>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年底減資</t>
  </si>
  <si>
    <r>
      <rPr>
        <sz val="10"/>
        <color rgb="FF404040"/>
        <rFont val="新細明體"/>
        <family val="2"/>
        <charset val="1"/>
      </rPr>
      <t xml:space="preserve">年底減資返還股東的年數。預設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年，代表 倒數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年進行減資，加速資金返還</t>
    </r>
  </si>
  <si>
    <t xml:space="preserve">編號</t>
  </si>
  <si>
    <t xml:space="preserve">價金每KW</t>
  </si>
  <si>
    <t xml:space="preserve">專案法IRR</t>
  </si>
  <si>
    <t xml:space="preserve">成本法IRR</t>
  </si>
  <si>
    <t xml:space="preserve">權益法IRR</t>
  </si>
  <si>
    <t xml:space="preserve">信邦利潤率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</si>
  <si>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</si>
  <si>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</si>
  <si>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</si>
  <si>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</si>
  <si>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</si>
  <si>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</si>
  <si>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</si>
  <si>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</si>
  <si>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</si>
  <si>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</si>
  <si>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</si>
  <si>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t xml:space="preserve">情境編號: 1</t>
  </si>
  <si>
    <t xml:space="preserve">初始價金摘要</t>
  </si>
  <si>
    <t xml:space="preserve">價金: 35000</t>
  </si>
  <si>
    <t xml:space="preserve">專案IRR: 2.62</t>
  </si>
  <si>
    <t xml:space="preserve">權益法IRR: 4.45</t>
  </si>
  <si>
    <t xml:space="preserve">利潤率: 30.00%</t>
  </si>
  <si>
    <t xml:space="preserve">初始價金 - 現金模式，每次減少 2000 元</t>
  </si>
  <si>
    <t xml:space="preserve">情境編號: 2</t>
  </si>
  <si>
    <t xml:space="preserve">第1次滾算摘要</t>
  </si>
  <si>
    <t xml:space="preserve">價金: 33000</t>
  </si>
  <si>
    <t xml:space="preserve">專案IRR: 3.16</t>
  </si>
  <si>
    <t xml:space="preserve">權益法IRR: 6.19</t>
  </si>
  <si>
    <t xml:space="preserve">情境編號: 3</t>
  </si>
  <si>
    <t xml:space="preserve">第2次滾算摘要</t>
  </si>
  <si>
    <t xml:space="preserve">價金: 31000</t>
  </si>
  <si>
    <t xml:space="preserve">專案IRR: 3.75</t>
  </si>
  <si>
    <t xml:space="preserve">權益法IRR: 8.21</t>
  </si>
  <si>
    <t xml:space="preserve">情境編號: 4</t>
  </si>
  <si>
    <t xml:space="preserve">第3次滾算摘要</t>
  </si>
  <si>
    <t xml:space="preserve">價金: 29000</t>
  </si>
  <si>
    <t xml:space="preserve">專案IRR: 4.39</t>
  </si>
  <si>
    <t xml:space="preserve">權益法IRR: 10.59</t>
  </si>
  <si>
    <t xml:space="preserve">情境編號: 5</t>
  </si>
  <si>
    <t xml:space="preserve">第4次滾算摘要</t>
  </si>
  <si>
    <t xml:space="preserve">價金: 27000</t>
  </si>
  <si>
    <t xml:space="preserve">專案IRR: 5.11</t>
  </si>
  <si>
    <t xml:space="preserve">權益法IRR: 13.45</t>
  </si>
  <si>
    <t xml:space="preserve">情境編號: 6</t>
  </si>
  <si>
    <t xml:space="preserve">第5次滾算摘要</t>
  </si>
  <si>
    <t xml:space="preserve">價金: 25000</t>
  </si>
  <si>
    <t xml:space="preserve">專案IRR: 5.91</t>
  </si>
  <si>
    <t xml:space="preserve">權益法IRR: 17.0</t>
  </si>
  <si>
    <t xml:space="preserve">情境編號: 7</t>
  </si>
  <si>
    <t xml:space="preserve">第6次滾算摘要</t>
  </si>
  <si>
    <t xml:space="preserve">價金: 23000</t>
  </si>
  <si>
    <t xml:space="preserve">專案IRR: 6.82</t>
  </si>
  <si>
    <t xml:space="preserve">權益法IRR: 21.53</t>
  </si>
  <si>
    <t xml:space="preserve">情境編號: 8</t>
  </si>
  <si>
    <t xml:space="preserve">第7次滾算摘要</t>
  </si>
  <si>
    <t xml:space="preserve">價金: 21000</t>
  </si>
  <si>
    <t xml:space="preserve">專案IRR: 7.85</t>
  </si>
  <si>
    <t xml:space="preserve">權益法IRR: 27.57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</si>
</sst>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_);[RED]\(0.00\)"/>
    <numFmt numFmtId="166" formatCode="#,##0"/>
    <numFmt numFmtId="167" formatCode="#,##0_ "/>
    <numFmt numFmtId="168" formatCode="0%"/>
    <numFmt numFmtId="169" formatCode="0.00%"/>
    <numFmt numFmtId="170" formatCode="_-* #,##0_-;\-* #,##0_-;_-* \-??_-;_-@_-"/>
  </numFmts>
  <fonts count="16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新細明體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  <font>
      <sz val="10"/>
      <color rgb="FF404040"/>
      <name val="Calibri"/>
      <family val="2"/>
      <charset val="1"/>
    </font>
    <font>
      <b val="true"/>
      <sz val="12"/>
      <color theme="0"/>
      <name val="Calibri"/>
      <family val="2"/>
      <charset val="136"/>
    </font>
    <font>
      <sz val="12"/>
      <color theme="1"/>
      <name val="Calibri"/>
      <family val="2"/>
      <charset val="136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4" min="3" style="0" width="10"/>
    <col collapsed="false" customWidth="true" hidden="false" outlineLevel="0" max="5" min="5" style="0" width="50"/>
    <col collapsed="false" customWidth="true" hidden="false" outlineLevel="0" max="15" min="6" style="0" width="8"/>
    <col collapsed="false" customWidth="true" hidden="false" outlineLevel="0" max="27" min="16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6" t="s">
        <v>4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11" t="s">
        <v>4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11" t="s">
        <v>4</v>
      </c>
      <c r="D4" s="12" t="s">
        <v>4</v>
      </c>
      <c r="E4" s="8" t="s">
        <v>9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s">
        <v>11</v>
      </c>
      <c r="D5" s="12" t="n">
        <f aca="false">B5+B3-1</f>
        <v>2039</v>
      </c>
      <c r="E5" s="8" t="s">
        <v>12</v>
      </c>
    </row>
    <row r="6" customFormat="false" ht="20.25" hidden="false" customHeight="true" outlineLevel="0" collapsed="false">
      <c r="A6" s="13"/>
      <c r="B6" s="13"/>
      <c r="C6" s="13"/>
      <c r="D6" s="13"/>
      <c r="E6" s="14"/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f aca="false">B3</f>
        <v>20</v>
      </c>
      <c r="E10" s="8" t="s">
        <v>21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/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/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/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f aca="false">B3</f>
        <v>20</v>
      </c>
      <c r="E16" s="8" t="s">
        <v>32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/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/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s">
        <v>4</v>
      </c>
      <c r="E19" s="8" t="s">
        <v>39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f aca="false">B3</f>
        <v>20</v>
      </c>
      <c r="E20" s="8" t="s">
        <v>41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s">
        <v>4</v>
      </c>
      <c r="E21" s="8" t="s">
        <v>43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f aca="false">B3</f>
        <v>20</v>
      </c>
      <c r="E22" s="8" t="s">
        <v>46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f aca="false">B3</f>
        <v>20</v>
      </c>
      <c r="E23" s="8" t="s">
        <v>49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</v>
      </c>
      <c r="E24" s="8" t="s">
        <v>52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s">
        <v>4</v>
      </c>
      <c r="E25" s="8" t="s">
        <v>55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s">
        <v>4</v>
      </c>
      <c r="E26" s="8" t="s">
        <v>58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/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/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/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/>
      <c r="E34" s="8" t="s">
        <v>71</v>
      </c>
    </row>
    <row r="35" customFormat="false" ht="18.75" hidden="false" customHeight="true" outlineLevel="0" collapsed="false"/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5" min="3" style="0" width="22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72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79</v>
      </c>
      <c r="I1" s="0" t="s">
        <v>35</v>
      </c>
      <c r="J1" s="0" t="s">
        <v>80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34" t="n">
        <v>0.0262</v>
      </c>
      <c r="D2" s="34" t="n">
        <v>0.0418</v>
      </c>
      <c r="E2" s="34" t="n">
        <v>0.0445</v>
      </c>
      <c r="F2" s="34" t="n">
        <v>0.3</v>
      </c>
      <c r="G2" s="0" t="n">
        <v>6541500</v>
      </c>
      <c r="H2" s="0" t="n">
        <v>15000</v>
      </c>
      <c r="I2" s="0" t="n">
        <v>2000</v>
      </c>
      <c r="J2" s="0" t="s">
        <v>81</v>
      </c>
    </row>
    <row r="3" customFormat="false" ht="15" hidden="false" customHeight="false" outlineLevel="0" collapsed="false">
      <c r="A3" s="0" t="n">
        <v>2</v>
      </c>
      <c r="B3" s="0" t="n">
        <v>33000</v>
      </c>
      <c r="C3" s="34" t="n">
        <v>0.0316</v>
      </c>
      <c r="D3" s="34" t="n">
        <v>0.0568</v>
      </c>
      <c r="E3" s="34" t="n">
        <v>0.0619</v>
      </c>
      <c r="F3" s="34" t="n">
        <v>0.3</v>
      </c>
      <c r="G3" s="0" t="n">
        <v>6167762.3</v>
      </c>
      <c r="H3" s="0" t="n">
        <v>14143</v>
      </c>
      <c r="I3" s="0" t="n">
        <v>2000</v>
      </c>
      <c r="J3" s="0" t="s">
        <v>82</v>
      </c>
    </row>
    <row r="4" customFormat="false" ht="15" hidden="false" customHeight="false" outlineLevel="0" collapsed="false">
      <c r="A4" s="0" t="n">
        <v>3</v>
      </c>
      <c r="B4" s="0" t="n">
        <v>31000</v>
      </c>
      <c r="C4" s="34" t="n">
        <v>0.0375</v>
      </c>
      <c r="D4" s="34" t="n">
        <v>0.0733</v>
      </c>
      <c r="E4" s="34" t="n">
        <v>0.0821</v>
      </c>
      <c r="F4" s="34" t="n">
        <v>0.3</v>
      </c>
      <c r="G4" s="0" t="n">
        <v>5794024.6</v>
      </c>
      <c r="H4" s="0" t="n">
        <v>13286</v>
      </c>
      <c r="I4" s="0" t="n">
        <v>2000</v>
      </c>
      <c r="J4" s="0" t="s">
        <v>83</v>
      </c>
    </row>
    <row r="5" customFormat="false" ht="15" hidden="false" customHeight="false" outlineLevel="0" collapsed="false">
      <c r="A5" s="0" t="n">
        <v>4</v>
      </c>
      <c r="B5" s="0" t="n">
        <v>29000</v>
      </c>
      <c r="C5" s="34" t="n">
        <v>0.0439</v>
      </c>
      <c r="D5" s="34" t="n">
        <v>0.0917</v>
      </c>
      <c r="E5" s="34" t="n">
        <v>0.1059</v>
      </c>
      <c r="F5" s="34" t="n">
        <v>0.3</v>
      </c>
      <c r="G5" s="0" t="n">
        <v>5420286.9</v>
      </c>
      <c r="H5" s="0" t="n">
        <v>12429</v>
      </c>
      <c r="I5" s="0" t="n">
        <v>2000</v>
      </c>
      <c r="J5" s="0" t="s">
        <v>84</v>
      </c>
    </row>
    <row r="6" customFormat="false" ht="15" hidden="false" customHeight="false" outlineLevel="0" collapsed="false">
      <c r="A6" s="0" t="n">
        <v>5</v>
      </c>
      <c r="B6" s="0" t="n">
        <v>27000</v>
      </c>
      <c r="C6" s="34" t="n">
        <v>0.0511</v>
      </c>
      <c r="D6" s="34" t="n">
        <v>0.1125</v>
      </c>
      <c r="E6" s="34" t="n">
        <v>0.1345</v>
      </c>
      <c r="F6" s="34" t="n">
        <v>0.3</v>
      </c>
      <c r="G6" s="0" t="n">
        <v>5046113.1</v>
      </c>
      <c r="H6" s="0" t="n">
        <v>11571</v>
      </c>
      <c r="I6" s="0" t="n">
        <v>2000</v>
      </c>
      <c r="J6" s="0" t="s">
        <v>85</v>
      </c>
    </row>
    <row r="7" customFormat="false" ht="15" hidden="false" customHeight="false" outlineLevel="0" collapsed="false">
      <c r="A7" s="0" t="n">
        <v>6</v>
      </c>
      <c r="B7" s="0" t="n">
        <v>25000</v>
      </c>
      <c r="C7" s="34" t="n">
        <v>0.0591</v>
      </c>
      <c r="D7" s="34" t="n">
        <v>0.1366</v>
      </c>
      <c r="E7" s="34" t="n">
        <v>0.17</v>
      </c>
      <c r="F7" s="34" t="n">
        <v>0.3</v>
      </c>
      <c r="G7" s="0" t="n">
        <v>4672375.4</v>
      </c>
      <c r="H7" s="0" t="n">
        <v>10714</v>
      </c>
      <c r="I7" s="0" t="n">
        <v>2000</v>
      </c>
      <c r="J7" s="0" t="s">
        <v>86</v>
      </c>
    </row>
    <row r="8" customFormat="false" ht="15" hidden="false" customHeight="false" outlineLevel="0" collapsed="false">
      <c r="A8" s="0" t="n">
        <v>7</v>
      </c>
      <c r="B8" s="0" t="n">
        <v>23000</v>
      </c>
      <c r="C8" s="34" t="n">
        <v>0.0682</v>
      </c>
      <c r="D8" s="34" t="n">
        <v>0.1648</v>
      </c>
      <c r="E8" s="34" t="n">
        <v>0.2153</v>
      </c>
      <c r="F8" s="34" t="n">
        <v>0.3</v>
      </c>
      <c r="G8" s="0" t="n">
        <v>4298637.7</v>
      </c>
      <c r="H8" s="0" t="n">
        <v>9857</v>
      </c>
      <c r="I8" s="0" t="n">
        <v>2000</v>
      </c>
      <c r="J8" s="0" t="s">
        <v>87</v>
      </c>
    </row>
    <row r="9" customFormat="false" ht="15" hidden="false" customHeight="false" outlineLevel="0" collapsed="false">
      <c r="A9" s="0" t="n">
        <v>8</v>
      </c>
      <c r="B9" s="0" t="n">
        <v>21000</v>
      </c>
      <c r="C9" s="34" t="n">
        <v>0.0785</v>
      </c>
      <c r="D9" s="34" t="n">
        <v>0.1985</v>
      </c>
      <c r="E9" s="34" t="n">
        <v>0.2757</v>
      </c>
      <c r="F9" s="34" t="n">
        <v>0.3</v>
      </c>
      <c r="G9" s="0" t="n">
        <v>3924900</v>
      </c>
      <c r="H9" s="0" t="n">
        <v>9000</v>
      </c>
      <c r="I9" s="0" t="n">
        <v>2000</v>
      </c>
      <c r="J9" s="0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1"/>
    <col collapsed="false" customWidth="true" hidden="false" outlineLevel="0" max="13" min="13" style="0" width="39"/>
    <col collapsed="false" customWidth="true" hidden="false" outlineLevel="0" max="19" min="14" style="0" width="21"/>
    <col collapsed="false" customWidth="true" hidden="false" outlineLevel="0" max="23" min="20" style="0" width="12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89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90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91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92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93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95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35000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-45790.5</v>
      </c>
      <c r="E49" s="0" t="n">
        <v>-45790.5</v>
      </c>
      <c r="F49" s="0" t="n">
        <v>-45790.5</v>
      </c>
      <c r="G49" s="0" t="n">
        <v>-45790.5</v>
      </c>
      <c r="H49" s="0" t="n">
        <v>-45790.5</v>
      </c>
      <c r="I49" s="0" t="n">
        <v>-45790.5</v>
      </c>
      <c r="J49" s="0" t="n">
        <v>-45790.5</v>
      </c>
      <c r="K49" s="0" t="n">
        <v>-45790.5</v>
      </c>
      <c r="L49" s="0" t="n">
        <v>-45790.5</v>
      </c>
      <c r="M49" s="0" t="n">
        <v>-45790.5</v>
      </c>
      <c r="N49" s="0" t="n">
        <v>-45790.5</v>
      </c>
      <c r="O49" s="0" t="n">
        <v>-45790.5</v>
      </c>
      <c r="P49" s="0" t="n">
        <v>-45790.5</v>
      </c>
      <c r="Q49" s="0" t="n">
        <v>-45790.5</v>
      </c>
      <c r="R49" s="0" t="n">
        <v>-45790.5</v>
      </c>
      <c r="S49" s="0" t="n">
        <v>-45790.5</v>
      </c>
      <c r="T49" s="0" t="n">
        <v>-45790.5</v>
      </c>
      <c r="U49" s="0" t="n">
        <v>-45790.5</v>
      </c>
      <c r="V49" s="0" t="n">
        <v>-45790.5</v>
      </c>
      <c r="W49" s="0" t="n">
        <v>-45790.5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-1209450.66666667</v>
      </c>
      <c r="F93" s="0" t="n">
        <v>-1209450.66666667</v>
      </c>
      <c r="G93" s="0" t="n">
        <v>-1209450.66666667</v>
      </c>
      <c r="H93" s="0" t="n">
        <v>-1209450.66666667</v>
      </c>
      <c r="I93" s="0" t="n">
        <v>-1209450.66666667</v>
      </c>
      <c r="J93" s="0" t="n">
        <v>-1209450.66666667</v>
      </c>
      <c r="K93" s="0" t="n">
        <v>-1209450.66666667</v>
      </c>
      <c r="L93" s="0" t="n">
        <v>-1209450.66666667</v>
      </c>
      <c r="M93" s="0" t="n">
        <v>-1209450.66666667</v>
      </c>
      <c r="N93" s="0" t="n">
        <v>-1209450.66666667</v>
      </c>
      <c r="O93" s="0" t="n">
        <v>-1209450.66666667</v>
      </c>
      <c r="P93" s="0" t="n">
        <v>-1209450.66666667</v>
      </c>
      <c r="Q93" s="0" t="n">
        <v>-1209450.66666667</v>
      </c>
      <c r="R93" s="0" t="n">
        <v>-1209450.66666667</v>
      </c>
      <c r="S93" s="0" t="n">
        <v>-1209450.66666667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-1133860</v>
      </c>
      <c r="U96" s="0" t="n">
        <v>-1133860</v>
      </c>
      <c r="V96" s="0" t="n">
        <v>-1133860</v>
      </c>
      <c r="W96" s="0" t="n">
        <v>-1133860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1"/>
    <col collapsed="false" customWidth="true" hidden="false" outlineLevel="0" max="13" min="13" style="0" width="50"/>
    <col collapsed="false" customWidth="true" hidden="false" outlineLevel="0" max="19" min="14" style="0" width="21"/>
    <col collapsed="false" customWidth="true" hidden="false" outlineLevel="0" max="23" min="20" style="0" width="12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96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97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98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99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100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82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33000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-43173.9</v>
      </c>
      <c r="E49" s="0" t="n">
        <v>-43173.9</v>
      </c>
      <c r="F49" s="0" t="n">
        <v>-43173.9</v>
      </c>
      <c r="G49" s="0" t="n">
        <v>-43173.9</v>
      </c>
      <c r="H49" s="0" t="n">
        <v>-43173.9</v>
      </c>
      <c r="I49" s="0" t="n">
        <v>-43173.9</v>
      </c>
      <c r="J49" s="0" t="n">
        <v>-43173.9</v>
      </c>
      <c r="K49" s="0" t="n">
        <v>-43173.9</v>
      </c>
      <c r="L49" s="0" t="n">
        <v>-43173.9</v>
      </c>
      <c r="M49" s="0" t="n">
        <v>-43173.9</v>
      </c>
      <c r="N49" s="0" t="n">
        <v>-43173.9</v>
      </c>
      <c r="O49" s="0" t="n">
        <v>-43173.9</v>
      </c>
      <c r="P49" s="0" t="n">
        <v>-43173.9</v>
      </c>
      <c r="Q49" s="0" t="n">
        <v>-43173.9</v>
      </c>
      <c r="R49" s="0" t="n">
        <v>-43173.9</v>
      </c>
      <c r="S49" s="0" t="n">
        <v>-43173.9</v>
      </c>
      <c r="T49" s="0" t="n">
        <v>-43173.9</v>
      </c>
      <c r="U49" s="0" t="n">
        <v>-43173.9</v>
      </c>
      <c r="V49" s="0" t="n">
        <v>-43173.9</v>
      </c>
      <c r="W49" s="0" t="n">
        <v>-43173.9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-1142997.33333333</v>
      </c>
      <c r="F93" s="0" t="n">
        <v>-1142997.33333333</v>
      </c>
      <c r="G93" s="0" t="n">
        <v>-1142997.33333333</v>
      </c>
      <c r="H93" s="0" t="n">
        <v>-1142997.33333333</v>
      </c>
      <c r="I93" s="0" t="n">
        <v>-1142997.33333333</v>
      </c>
      <c r="J93" s="0" t="n">
        <v>-1142997.33333333</v>
      </c>
      <c r="K93" s="0" t="n">
        <v>-1142997.33333333</v>
      </c>
      <c r="L93" s="0" t="n">
        <v>-1142997.33333333</v>
      </c>
      <c r="M93" s="0" t="n">
        <v>-1142997.33333333</v>
      </c>
      <c r="N93" s="0" t="n">
        <v>-1142997.33333333</v>
      </c>
      <c r="O93" s="0" t="n">
        <v>-1142997.33333333</v>
      </c>
      <c r="P93" s="0" t="n">
        <v>-1142997.33333333</v>
      </c>
      <c r="Q93" s="0" t="n">
        <v>-1142997.33333333</v>
      </c>
      <c r="R93" s="0" t="n">
        <v>-1142997.33333333</v>
      </c>
      <c r="S93" s="0" t="n">
        <v>-1142997.33333333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-1071560</v>
      </c>
      <c r="U96" s="0" t="n">
        <v>-1071560</v>
      </c>
      <c r="V96" s="0" t="n">
        <v>-1071560</v>
      </c>
      <c r="W96" s="0" t="n">
        <v>-1071560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12"/>
    <col collapsed="false" customWidth="true" hidden="false" outlineLevel="0" max="13" min="13" style="0" width="50"/>
    <col collapsed="false" customWidth="true" hidden="false" outlineLevel="0" max="23" min="14" style="0" width="12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101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102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103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104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105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83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31000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-40557.3</v>
      </c>
      <c r="E49" s="0" t="n">
        <v>-40557.3</v>
      </c>
      <c r="F49" s="0" t="n">
        <v>-40557.3</v>
      </c>
      <c r="G49" s="0" t="n">
        <v>-40557.3</v>
      </c>
      <c r="H49" s="0" t="n">
        <v>-40557.3</v>
      </c>
      <c r="I49" s="0" t="n">
        <v>-40557.3</v>
      </c>
      <c r="J49" s="0" t="n">
        <v>-40557.3</v>
      </c>
      <c r="K49" s="0" t="n">
        <v>-40557.3</v>
      </c>
      <c r="L49" s="0" t="n">
        <v>-40557.3</v>
      </c>
      <c r="M49" s="0" t="n">
        <v>-40557.3</v>
      </c>
      <c r="N49" s="0" t="n">
        <v>-40557.3</v>
      </c>
      <c r="O49" s="0" t="n">
        <v>-40557.3</v>
      </c>
      <c r="P49" s="0" t="n">
        <v>-40557.3</v>
      </c>
      <c r="Q49" s="0" t="n">
        <v>-40557.3</v>
      </c>
      <c r="R49" s="0" t="n">
        <v>-40557.3</v>
      </c>
      <c r="S49" s="0" t="n">
        <v>-40557.3</v>
      </c>
      <c r="T49" s="0" t="n">
        <v>-40557.3</v>
      </c>
      <c r="U49" s="0" t="n">
        <v>-40557.3</v>
      </c>
      <c r="V49" s="0" t="n">
        <v>-40557.3</v>
      </c>
      <c r="W49" s="0" t="n">
        <v>-40557.3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-1076544</v>
      </c>
      <c r="F93" s="0" t="n">
        <v>-1076544</v>
      </c>
      <c r="G93" s="0" t="n">
        <v>-1076544</v>
      </c>
      <c r="H93" s="0" t="n">
        <v>-1076544</v>
      </c>
      <c r="I93" s="0" t="n">
        <v>-1076544</v>
      </c>
      <c r="J93" s="0" t="n">
        <v>-1076544</v>
      </c>
      <c r="K93" s="0" t="n">
        <v>-1076544</v>
      </c>
      <c r="L93" s="0" t="n">
        <v>-1076544</v>
      </c>
      <c r="M93" s="0" t="n">
        <v>-1076544</v>
      </c>
      <c r="N93" s="0" t="n">
        <v>-1076544</v>
      </c>
      <c r="O93" s="0" t="n">
        <v>-1076544</v>
      </c>
      <c r="P93" s="0" t="n">
        <v>-1076544</v>
      </c>
      <c r="Q93" s="0" t="n">
        <v>-1076544</v>
      </c>
      <c r="R93" s="0" t="n">
        <v>-1076544</v>
      </c>
      <c r="S93" s="0" t="n">
        <v>-1076544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-1009260</v>
      </c>
      <c r="U96" s="0" t="n">
        <v>-1009260</v>
      </c>
      <c r="V96" s="0" t="n">
        <v>-1009260</v>
      </c>
      <c r="W96" s="0" t="n">
        <v>-1009260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1"/>
    <col collapsed="false" customWidth="true" hidden="false" outlineLevel="0" max="13" min="13" style="0" width="50"/>
    <col collapsed="false" customWidth="true" hidden="false" outlineLevel="0" max="19" min="14" style="0" width="21"/>
    <col collapsed="false" customWidth="true" hidden="false" outlineLevel="0" max="23" min="20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106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107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108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109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110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84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29000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-37940.7</v>
      </c>
      <c r="E49" s="0" t="n">
        <v>-37940.7</v>
      </c>
      <c r="F49" s="0" t="n">
        <v>-37940.7</v>
      </c>
      <c r="G49" s="0" t="n">
        <v>-37940.7</v>
      </c>
      <c r="H49" s="0" t="n">
        <v>-37940.7</v>
      </c>
      <c r="I49" s="0" t="n">
        <v>-37940.7</v>
      </c>
      <c r="J49" s="0" t="n">
        <v>-37940.7</v>
      </c>
      <c r="K49" s="0" t="n">
        <v>-37940.7</v>
      </c>
      <c r="L49" s="0" t="n">
        <v>-37940.7</v>
      </c>
      <c r="M49" s="0" t="n">
        <v>-37940.7</v>
      </c>
      <c r="N49" s="0" t="n">
        <v>-37940.7</v>
      </c>
      <c r="O49" s="0" t="n">
        <v>-37940.7</v>
      </c>
      <c r="P49" s="0" t="n">
        <v>-37940.7</v>
      </c>
      <c r="Q49" s="0" t="n">
        <v>-37940.7</v>
      </c>
      <c r="R49" s="0" t="n">
        <v>-37940.7</v>
      </c>
      <c r="S49" s="0" t="n">
        <v>-37940.7</v>
      </c>
      <c r="T49" s="0" t="n">
        <v>-37940.7</v>
      </c>
      <c r="U49" s="0" t="n">
        <v>-37940.7</v>
      </c>
      <c r="V49" s="0" t="n">
        <v>-37940.7</v>
      </c>
      <c r="W49" s="0" t="n">
        <v>-37940.7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-1010090.66666667</v>
      </c>
      <c r="F93" s="0" t="n">
        <v>-1010090.66666667</v>
      </c>
      <c r="G93" s="0" t="n">
        <v>-1010090.66666667</v>
      </c>
      <c r="H93" s="0" t="n">
        <v>-1010090.66666667</v>
      </c>
      <c r="I93" s="0" t="n">
        <v>-1010090.66666667</v>
      </c>
      <c r="J93" s="0" t="n">
        <v>-1010090.66666667</v>
      </c>
      <c r="K93" s="0" t="n">
        <v>-1010090.66666667</v>
      </c>
      <c r="L93" s="0" t="n">
        <v>-1010090.66666667</v>
      </c>
      <c r="M93" s="0" t="n">
        <v>-1010090.66666667</v>
      </c>
      <c r="N93" s="0" t="n">
        <v>-1010090.66666667</v>
      </c>
      <c r="O93" s="0" t="n">
        <v>-1010090.66666667</v>
      </c>
      <c r="P93" s="0" t="n">
        <v>-1010090.66666667</v>
      </c>
      <c r="Q93" s="0" t="n">
        <v>-1010090.66666667</v>
      </c>
      <c r="R93" s="0" t="n">
        <v>-1010090.66666667</v>
      </c>
      <c r="S93" s="0" t="n">
        <v>-1010090.66666667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-946960</v>
      </c>
      <c r="U96" s="0" t="n">
        <v>-946960</v>
      </c>
      <c r="V96" s="0" t="n">
        <v>-946960</v>
      </c>
      <c r="W96" s="0" t="n">
        <v>-946960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0"/>
    <col collapsed="false" customWidth="true" hidden="false" outlineLevel="0" max="13" min="13" style="0" width="50"/>
    <col collapsed="false" customWidth="true" hidden="false" outlineLevel="0" max="19" min="14" style="0" width="20"/>
    <col collapsed="false" customWidth="true" hidden="false" outlineLevel="0" max="23" min="20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111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112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113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114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115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85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27000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-35324.1</v>
      </c>
      <c r="E49" s="0" t="n">
        <v>-35324.1</v>
      </c>
      <c r="F49" s="0" t="n">
        <v>-35324.1</v>
      </c>
      <c r="G49" s="0" t="n">
        <v>-35324.1</v>
      </c>
      <c r="H49" s="0" t="n">
        <v>-35324.1</v>
      </c>
      <c r="I49" s="0" t="n">
        <v>-35324.1</v>
      </c>
      <c r="J49" s="0" t="n">
        <v>-35324.1</v>
      </c>
      <c r="K49" s="0" t="n">
        <v>-35324.1</v>
      </c>
      <c r="L49" s="0" t="n">
        <v>-35324.1</v>
      </c>
      <c r="M49" s="0" t="n">
        <v>-35324.1</v>
      </c>
      <c r="N49" s="0" t="n">
        <v>-35324.1</v>
      </c>
      <c r="O49" s="0" t="n">
        <v>-35324.1</v>
      </c>
      <c r="P49" s="0" t="n">
        <v>-35324.1</v>
      </c>
      <c r="Q49" s="0" t="n">
        <v>-35324.1</v>
      </c>
      <c r="R49" s="0" t="n">
        <v>-35324.1</v>
      </c>
      <c r="S49" s="0" t="n">
        <v>-35324.1</v>
      </c>
      <c r="T49" s="0" t="n">
        <v>-35324.1</v>
      </c>
      <c r="U49" s="0" t="n">
        <v>-35324.1</v>
      </c>
      <c r="V49" s="0" t="n">
        <v>-35324.1</v>
      </c>
      <c r="W49" s="0" t="n">
        <v>-35324.1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-943637.333333333</v>
      </c>
      <c r="F93" s="0" t="n">
        <v>-943637.333333333</v>
      </c>
      <c r="G93" s="0" t="n">
        <v>-943637.333333333</v>
      </c>
      <c r="H93" s="0" t="n">
        <v>-943637.333333333</v>
      </c>
      <c r="I93" s="0" t="n">
        <v>-943637.333333333</v>
      </c>
      <c r="J93" s="0" t="n">
        <v>-943637.333333333</v>
      </c>
      <c r="K93" s="0" t="n">
        <v>-943637.333333333</v>
      </c>
      <c r="L93" s="0" t="n">
        <v>-943637.333333333</v>
      </c>
      <c r="M93" s="0" t="n">
        <v>-943637.333333333</v>
      </c>
      <c r="N93" s="0" t="n">
        <v>-943637.333333333</v>
      </c>
      <c r="O93" s="0" t="n">
        <v>-943637.333333333</v>
      </c>
      <c r="P93" s="0" t="n">
        <v>-943637.333333333</v>
      </c>
      <c r="Q93" s="0" t="n">
        <v>-943637.333333333</v>
      </c>
      <c r="R93" s="0" t="n">
        <v>-943637.333333333</v>
      </c>
      <c r="S93" s="0" t="n">
        <v>-943637.333333333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-884660</v>
      </c>
      <c r="U96" s="0" t="n">
        <v>-884660</v>
      </c>
      <c r="V96" s="0" t="n">
        <v>-884660</v>
      </c>
      <c r="W96" s="0" t="n">
        <v>-884660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11"/>
    <col collapsed="false" customWidth="true" hidden="false" outlineLevel="0" max="13" min="13" style="0" width="50"/>
    <col collapsed="false" customWidth="true" hidden="false" outlineLevel="0" max="23" min="14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116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117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118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119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120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86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25000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-32707.5</v>
      </c>
      <c r="E49" s="0" t="n">
        <v>-32707.5</v>
      </c>
      <c r="F49" s="0" t="n">
        <v>-32707.5</v>
      </c>
      <c r="G49" s="0" t="n">
        <v>-32707.5</v>
      </c>
      <c r="H49" s="0" t="n">
        <v>-32707.5</v>
      </c>
      <c r="I49" s="0" t="n">
        <v>-32707.5</v>
      </c>
      <c r="J49" s="0" t="n">
        <v>-32707.5</v>
      </c>
      <c r="K49" s="0" t="n">
        <v>-32707.5</v>
      </c>
      <c r="L49" s="0" t="n">
        <v>-32707.5</v>
      </c>
      <c r="M49" s="0" t="n">
        <v>-32707.5</v>
      </c>
      <c r="N49" s="0" t="n">
        <v>-32707.5</v>
      </c>
      <c r="O49" s="0" t="n">
        <v>-32707.5</v>
      </c>
      <c r="P49" s="0" t="n">
        <v>-32707.5</v>
      </c>
      <c r="Q49" s="0" t="n">
        <v>-32707.5</v>
      </c>
      <c r="R49" s="0" t="n">
        <v>-32707.5</v>
      </c>
      <c r="S49" s="0" t="n">
        <v>-32707.5</v>
      </c>
      <c r="T49" s="0" t="n">
        <v>-32707.5</v>
      </c>
      <c r="U49" s="0" t="n">
        <v>-32707.5</v>
      </c>
      <c r="V49" s="0" t="n">
        <v>-32707.5</v>
      </c>
      <c r="W49" s="0" t="n">
        <v>-32707.5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-877184</v>
      </c>
      <c r="F93" s="0" t="n">
        <v>-877184</v>
      </c>
      <c r="G93" s="0" t="n">
        <v>-877184</v>
      </c>
      <c r="H93" s="0" t="n">
        <v>-877184</v>
      </c>
      <c r="I93" s="0" t="n">
        <v>-877184</v>
      </c>
      <c r="J93" s="0" t="n">
        <v>-877184</v>
      </c>
      <c r="K93" s="0" t="n">
        <v>-877184</v>
      </c>
      <c r="L93" s="0" t="n">
        <v>-877184</v>
      </c>
      <c r="M93" s="0" t="n">
        <v>-877184</v>
      </c>
      <c r="N93" s="0" t="n">
        <v>-877184</v>
      </c>
      <c r="O93" s="0" t="n">
        <v>-877184</v>
      </c>
      <c r="P93" s="0" t="n">
        <v>-877184</v>
      </c>
      <c r="Q93" s="0" t="n">
        <v>-877184</v>
      </c>
      <c r="R93" s="0" t="n">
        <v>-877184</v>
      </c>
      <c r="S93" s="0" t="n">
        <v>-877184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-822360</v>
      </c>
      <c r="U96" s="0" t="n">
        <v>-822360</v>
      </c>
      <c r="V96" s="0" t="n">
        <v>-822360</v>
      </c>
      <c r="W96" s="0" t="n">
        <v>-822360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0"/>
    <col collapsed="false" customWidth="true" hidden="false" outlineLevel="0" max="13" min="13" style="0" width="50"/>
    <col collapsed="false" customWidth="true" hidden="false" outlineLevel="0" max="19" min="14" style="0" width="20"/>
    <col collapsed="false" customWidth="true" hidden="false" outlineLevel="0" max="23" min="20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121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122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123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124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125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87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23000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-30090.9</v>
      </c>
      <c r="E49" s="0" t="n">
        <v>-30090.9</v>
      </c>
      <c r="F49" s="0" t="n">
        <v>-30090.9</v>
      </c>
      <c r="G49" s="0" t="n">
        <v>-30090.9</v>
      </c>
      <c r="H49" s="0" t="n">
        <v>-30090.9</v>
      </c>
      <c r="I49" s="0" t="n">
        <v>-30090.9</v>
      </c>
      <c r="J49" s="0" t="n">
        <v>-30090.9</v>
      </c>
      <c r="K49" s="0" t="n">
        <v>-30090.9</v>
      </c>
      <c r="L49" s="0" t="n">
        <v>-30090.9</v>
      </c>
      <c r="M49" s="0" t="n">
        <v>-30090.9</v>
      </c>
      <c r="N49" s="0" t="n">
        <v>-30090.9</v>
      </c>
      <c r="O49" s="0" t="n">
        <v>-30090.9</v>
      </c>
      <c r="P49" s="0" t="n">
        <v>-30090.9</v>
      </c>
      <c r="Q49" s="0" t="n">
        <v>-30090.9</v>
      </c>
      <c r="R49" s="0" t="n">
        <v>-30090.9</v>
      </c>
      <c r="S49" s="0" t="n">
        <v>-30090.9</v>
      </c>
      <c r="T49" s="0" t="n">
        <v>-30090.9</v>
      </c>
      <c r="U49" s="0" t="n">
        <v>-30090.9</v>
      </c>
      <c r="V49" s="0" t="n">
        <v>-30090.9</v>
      </c>
      <c r="W49" s="0" t="n">
        <v>-30090.9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-810730.666666667</v>
      </c>
      <c r="F93" s="0" t="n">
        <v>-810730.666666667</v>
      </c>
      <c r="G93" s="0" t="n">
        <v>-810730.666666667</v>
      </c>
      <c r="H93" s="0" t="n">
        <v>-810730.666666667</v>
      </c>
      <c r="I93" s="0" t="n">
        <v>-810730.666666667</v>
      </c>
      <c r="J93" s="0" t="n">
        <v>-810730.666666667</v>
      </c>
      <c r="K93" s="0" t="n">
        <v>-810730.666666667</v>
      </c>
      <c r="L93" s="0" t="n">
        <v>-810730.666666667</v>
      </c>
      <c r="M93" s="0" t="n">
        <v>-810730.666666667</v>
      </c>
      <c r="N93" s="0" t="n">
        <v>-810730.666666667</v>
      </c>
      <c r="O93" s="0" t="n">
        <v>-810730.666666667</v>
      </c>
      <c r="P93" s="0" t="n">
        <v>-810730.666666667</v>
      </c>
      <c r="Q93" s="0" t="n">
        <v>-810730.666666667</v>
      </c>
      <c r="R93" s="0" t="n">
        <v>-810730.666666667</v>
      </c>
      <c r="S93" s="0" t="n">
        <v>-810730.666666667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-760060</v>
      </c>
      <c r="U96" s="0" t="n">
        <v>-760060</v>
      </c>
      <c r="V96" s="0" t="n">
        <v>-760060</v>
      </c>
      <c r="W96" s="0" t="n">
        <v>-760060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50"/>
    <col collapsed="false" customWidth="true" hidden="false" outlineLevel="0" max="12" min="6" style="0" width="20"/>
    <col collapsed="false" customWidth="true" hidden="false" outlineLevel="0" max="13" min="13" style="0" width="50"/>
    <col collapsed="false" customWidth="true" hidden="false" outlineLevel="0" max="19" min="14" style="0" width="20"/>
    <col collapsed="false" customWidth="true" hidden="false" outlineLevel="0" max="23" min="20" style="0" width="11"/>
    <col collapsed="false" customWidth="true" hidden="false" outlineLevel="0" max="27" min="24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4" t="s">
        <v>3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9" t="n">
        <v>20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9" t="n">
        <v>436.1</v>
      </c>
      <c r="D4" s="12" t="s">
        <v>4</v>
      </c>
      <c r="E4" s="8" t="s">
        <v>9</v>
      </c>
      <c r="M4" s="0" t="s">
        <v>126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n">
        <v>2020</v>
      </c>
      <c r="D5" s="12" t="n">
        <f aca="false">B5+B3-1</f>
        <v>2039</v>
      </c>
      <c r="E5" s="8" t="n">
        <v>2039</v>
      </c>
      <c r="M5" s="0" t="s">
        <v>127</v>
      </c>
    </row>
    <row r="6" customFormat="false" ht="20.25" hidden="false" customHeight="true" outlineLevel="0" collapsed="false">
      <c r="A6" s="13"/>
      <c r="B6" s="13"/>
      <c r="C6" s="13"/>
      <c r="D6" s="13"/>
      <c r="E6" s="14"/>
      <c r="M6" s="0" t="s">
        <v>128</v>
      </c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  <c r="M7" s="0" t="s">
        <v>129</v>
      </c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  <c r="M8" s="0" t="s">
        <v>130</v>
      </c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  <c r="M9" s="0" t="s">
        <v>94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v>547002</v>
      </c>
      <c r="E10" s="8" t="n">
        <v>20</v>
      </c>
      <c r="M10" s="0" t="s">
        <v>88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 t="n">
        <v>0.01</v>
      </c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 t="n">
        <v>0.004</v>
      </c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 t="n">
        <v>4</v>
      </c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v>21000</v>
      </c>
      <c r="E16" s="8" t="n">
        <v>20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 t="n">
        <v>0.3</v>
      </c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 t="n">
        <v>2000</v>
      </c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n">
        <v>1</v>
      </c>
      <c r="E19" s="8" t="n">
        <v>20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v>290201</v>
      </c>
      <c r="E20" s="8" t="n">
        <v>20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n">
        <v>0</v>
      </c>
      <c r="E21" s="8" t="n">
        <v>20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v>400</v>
      </c>
      <c r="E22" s="8" t="n">
        <v>20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v>0.003</v>
      </c>
      <c r="E23" s="8" t="n">
        <v>20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1000</v>
      </c>
      <c r="E24" s="8" t="n">
        <v>10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n">
        <v>0.0256</v>
      </c>
      <c r="E25" s="8" t="n">
        <v>20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n">
        <v>0.2</v>
      </c>
      <c r="E26" s="8" t="n">
        <v>20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 t="n">
        <v>0.8</v>
      </c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 t="n">
        <v>15</v>
      </c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 t="n">
        <v>0.9</v>
      </c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 t="n">
        <v>4</v>
      </c>
      <c r="E34" s="8" t="s">
        <v>71</v>
      </c>
    </row>
    <row r="35" customFormat="false" ht="18.75" hidden="false" customHeight="true" outlineLevel="0" collapsed="false"/>
    <row r="37" customFormat="false" ht="15.75" hidden="false" customHeight="false" outlineLevel="0" collapsed="false">
      <c r="D37" s="0" t="n">
        <v>2020</v>
      </c>
      <c r="E37" s="0" t="n">
        <v>2021</v>
      </c>
      <c r="F37" s="0" t="n">
        <v>2022</v>
      </c>
      <c r="G37" s="0" t="n">
        <v>2023</v>
      </c>
      <c r="H37" s="0" t="n">
        <v>2024</v>
      </c>
      <c r="I37" s="0" t="n">
        <v>2025</v>
      </c>
      <c r="J37" s="0" t="n">
        <v>2026</v>
      </c>
      <c r="K37" s="0" t="n">
        <v>2027</v>
      </c>
      <c r="L37" s="0" t="n">
        <v>2028</v>
      </c>
      <c r="M37" s="0" t="n">
        <v>2029</v>
      </c>
      <c r="N37" s="0" t="n">
        <v>2030</v>
      </c>
      <c r="O37" s="0" t="n">
        <v>2031</v>
      </c>
      <c r="P37" s="0" t="n">
        <v>2032</v>
      </c>
      <c r="Q37" s="0" t="n">
        <v>2033</v>
      </c>
      <c r="R37" s="0" t="n">
        <v>2034</v>
      </c>
      <c r="S37" s="0" t="n">
        <v>2035</v>
      </c>
      <c r="T37" s="0" t="n">
        <v>2036</v>
      </c>
      <c r="U37" s="0" t="n">
        <v>2037</v>
      </c>
      <c r="V37" s="0" t="n">
        <v>2038</v>
      </c>
      <c r="W37" s="0" t="n">
        <v>2039</v>
      </c>
    </row>
    <row r="45" customFormat="false" ht="15.75" hidden="false" customHeight="false" outlineLevel="0" collapsed="false">
      <c r="D45" s="0" t="n">
        <v>-290201</v>
      </c>
      <c r="E45" s="0" t="n">
        <v>-290201</v>
      </c>
      <c r="F45" s="0" t="n">
        <v>-290201</v>
      </c>
      <c r="G45" s="0" t="n">
        <v>-290201</v>
      </c>
      <c r="H45" s="0" t="n">
        <v>-290201</v>
      </c>
      <c r="I45" s="0" t="n">
        <v>-290201</v>
      </c>
      <c r="J45" s="0" t="n">
        <v>-290201</v>
      </c>
      <c r="K45" s="0" t="n">
        <v>-290201</v>
      </c>
      <c r="L45" s="0" t="n">
        <v>-290201</v>
      </c>
      <c r="M45" s="0" t="n">
        <v>-290201</v>
      </c>
      <c r="N45" s="0" t="n">
        <v>-290201</v>
      </c>
      <c r="O45" s="0" t="n">
        <v>-290201</v>
      </c>
      <c r="P45" s="0" t="n">
        <v>-290201</v>
      </c>
      <c r="Q45" s="0" t="n">
        <v>-290201</v>
      </c>
      <c r="R45" s="0" t="n">
        <v>-290201</v>
      </c>
      <c r="S45" s="0" t="n">
        <v>-290201</v>
      </c>
      <c r="T45" s="0" t="n">
        <v>-290201</v>
      </c>
      <c r="U45" s="0" t="n">
        <v>-290201</v>
      </c>
      <c r="V45" s="0" t="n">
        <v>-290201</v>
      </c>
      <c r="W45" s="0" t="n">
        <v>-290201</v>
      </c>
    </row>
    <row r="48" customFormat="false" ht="15.75" hidden="false" customHeight="false" outlineLevel="0" collapsed="false">
      <c r="D48" s="0" t="n">
        <v>-174440</v>
      </c>
      <c r="E48" s="0" t="n">
        <v>-174440</v>
      </c>
      <c r="F48" s="0" t="n">
        <v>-174440</v>
      </c>
      <c r="G48" s="0" t="n">
        <v>-174440</v>
      </c>
      <c r="H48" s="0" t="n">
        <v>-174440</v>
      </c>
      <c r="I48" s="0" t="n">
        <v>-174440</v>
      </c>
      <c r="J48" s="0" t="n">
        <v>-174440</v>
      </c>
      <c r="K48" s="0" t="n">
        <v>-174440</v>
      </c>
      <c r="L48" s="0" t="n">
        <v>-174440</v>
      </c>
      <c r="M48" s="0" t="n">
        <v>-174440</v>
      </c>
      <c r="N48" s="0" t="n">
        <v>-174440</v>
      </c>
      <c r="O48" s="0" t="n">
        <v>-174440</v>
      </c>
      <c r="P48" s="0" t="n">
        <v>-174440</v>
      </c>
      <c r="Q48" s="0" t="n">
        <v>-174440</v>
      </c>
      <c r="R48" s="0" t="n">
        <v>-174440</v>
      </c>
      <c r="S48" s="0" t="n">
        <v>-174440</v>
      </c>
      <c r="T48" s="0" t="n">
        <v>-174440</v>
      </c>
      <c r="U48" s="0" t="n">
        <v>-174440</v>
      </c>
      <c r="V48" s="0" t="n">
        <v>-174440</v>
      </c>
      <c r="W48" s="0" t="n">
        <v>-174440</v>
      </c>
    </row>
    <row r="49" customFormat="false" ht="15.75" hidden="false" customHeight="false" outlineLevel="0" collapsed="false">
      <c r="D49" s="0" t="n">
        <v>-27474.3</v>
      </c>
      <c r="E49" s="0" t="n">
        <v>-27474.3</v>
      </c>
      <c r="F49" s="0" t="n">
        <v>-27474.3</v>
      </c>
      <c r="G49" s="0" t="n">
        <v>-27474.3</v>
      </c>
      <c r="H49" s="0" t="n">
        <v>-27474.3</v>
      </c>
      <c r="I49" s="0" t="n">
        <v>-27474.3</v>
      </c>
      <c r="J49" s="0" t="n">
        <v>-27474.3</v>
      </c>
      <c r="K49" s="0" t="n">
        <v>-27474.3</v>
      </c>
      <c r="L49" s="0" t="n">
        <v>-27474.3</v>
      </c>
      <c r="M49" s="0" t="n">
        <v>-27474.3</v>
      </c>
      <c r="N49" s="0" t="n">
        <v>-27474.3</v>
      </c>
      <c r="O49" s="0" t="n">
        <v>-27474.3</v>
      </c>
      <c r="P49" s="0" t="n">
        <v>-27474.3</v>
      </c>
      <c r="Q49" s="0" t="n">
        <v>-27474.3</v>
      </c>
      <c r="R49" s="0" t="n">
        <v>-27474.3</v>
      </c>
      <c r="S49" s="0" t="n">
        <v>-27474.3</v>
      </c>
      <c r="T49" s="0" t="n">
        <v>-27474.3</v>
      </c>
      <c r="U49" s="0" t="n">
        <v>-27474.3</v>
      </c>
      <c r="V49" s="0" t="n">
        <v>-27474.3</v>
      </c>
      <c r="W49" s="0" t="n">
        <v>-27474.3</v>
      </c>
    </row>
    <row r="50" customFormat="false" ht="15.75" hidden="false" customHeight="false" outlineLevel="0" collapsed="false">
      <c r="D50" s="0" t="n">
        <v>-43610</v>
      </c>
      <c r="E50" s="0" t="n">
        <v>-43610</v>
      </c>
      <c r="F50" s="0" t="n">
        <v>-43610</v>
      </c>
      <c r="G50" s="0" t="n">
        <v>-43610</v>
      </c>
      <c r="H50" s="0" t="n">
        <v>-43610</v>
      </c>
      <c r="I50" s="0" t="n">
        <v>-43610</v>
      </c>
      <c r="J50" s="0" t="n">
        <v>-43610</v>
      </c>
      <c r="K50" s="0" t="n">
        <v>-43610</v>
      </c>
      <c r="L50" s="0" t="n">
        <v>-43610</v>
      </c>
      <c r="M50" s="0" t="n">
        <v>-43610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r="93" customFormat="false" ht="15.75" hidden="false" customHeight="false" outlineLevel="0" collapsed="false">
      <c r="E93" s="0" t="n">
        <v>-744277.333333333</v>
      </c>
      <c r="F93" s="0" t="n">
        <v>-744277.333333333</v>
      </c>
      <c r="G93" s="0" t="n">
        <v>-744277.333333333</v>
      </c>
      <c r="H93" s="0" t="n">
        <v>-744277.333333333</v>
      </c>
      <c r="I93" s="0" t="n">
        <v>-744277.333333333</v>
      </c>
      <c r="J93" s="0" t="n">
        <v>-744277.333333333</v>
      </c>
      <c r="K93" s="0" t="n">
        <v>-744277.333333333</v>
      </c>
      <c r="L93" s="0" t="n">
        <v>-744277.333333333</v>
      </c>
      <c r="M93" s="0" t="n">
        <v>-744277.333333333</v>
      </c>
      <c r="N93" s="0" t="n">
        <v>-744277.333333333</v>
      </c>
      <c r="O93" s="0" t="n">
        <v>-744277.333333333</v>
      </c>
      <c r="P93" s="0" t="n">
        <v>-744277.333333333</v>
      </c>
      <c r="Q93" s="0" t="n">
        <v>-744277.333333333</v>
      </c>
      <c r="R93" s="0" t="n">
        <v>-744277.333333333</v>
      </c>
      <c r="S93" s="0" t="n">
        <v>-744277.333333333</v>
      </c>
      <c r="T93" s="0" t="n">
        <v>0</v>
      </c>
      <c r="U93" s="0" t="n">
        <v>0</v>
      </c>
      <c r="V93" s="0" t="n">
        <v>0</v>
      </c>
      <c r="W93" s="0" t="n">
        <v>0</v>
      </c>
    </row>
    <row r="96" customFormat="false" ht="15.75" hidden="false" customHeight="false" outlineLevel="0" collapsed="false"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-697760</v>
      </c>
      <c r="U96" s="0" t="n">
        <v>-697760</v>
      </c>
      <c r="V96" s="0" t="n">
        <v>-697760</v>
      </c>
      <c r="W96" s="0" t="n">
        <v>-697760</v>
      </c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2026-04-12T05:27:38Z</dcterms:created>
  <dc:creator>openpyxl</dc:creator>
  <dc:description/>
  <dc:language>zh-TW</dc:language>
  <cp:lastModifiedBy>王竣生</cp:lastModifiedBy>
  <dcterms:modified xsi:type="dcterms:W3CDTF">2026-04-14T13:23:36Z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