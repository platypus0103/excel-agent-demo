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多站彙整" sheetId="1" state="visible" r:id="rId3"/>
    <sheet name="淡江大學_p3" sheetId="2" state="visible" r:id="rId4"/>
    <sheet name="淡江大學_p6" sheetId="3" state="visible" r:id="rId5"/>
    <sheet name="淡江大學_p4" sheetId="4" state="visible" r:id="rId6"/>
    <sheet name="淡江大學_p4_1" sheetId="5" state="visible" r:id="rId7"/>
    <sheet name="淡江大學_p4_2" sheetId="6" state="visible" r:id="rId8"/>
    <sheet name="淡江大學_p6_1" sheetId="7" state="visible" r:id="rId9"/>
    <sheet name="淡江大學_p4_3" sheetId="8" state="visible" r:id="rId10"/>
    <sheet name="淡江大學_p3_1" sheetId="9" state="visible" r:id="rId11"/>
    <sheet name="淡江大學_p5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<sst xmlns="http://schemas.openxmlformats.org/spreadsheetml/2006/main" count="1225" uniqueCount="160">
  <si>
    <t xml:space="preserve">年份</t>
  </si>
  <si>
    <t xml:space="preserve">預估發電度數</t>
  </si>
  <si>
    <t xml:space="preserve">淡江大學</t>
  </si>
  <si>
    <r>
      <rPr>
        <sz val="11"/>
        <rFont val="Noto Sans TC"/>
        <family val="2"/>
        <charset val="136"/>
      </rPr>
      <t xml:space="preserve">預估發電度數</t>
    </r>
    <r>
      <rPr>
        <sz val="11"/>
        <rFont val="Cambria"/>
        <family val="0"/>
        <charset val="1"/>
      </rPr>
      <t xml:space="preserve">/</t>
    </r>
    <r>
      <rPr>
        <sz val="11"/>
        <rFont val="Noto Sans TC"/>
        <family val="2"/>
        <charset val="136"/>
      </rPr>
      <t xml:space="preserve">年總計</t>
    </r>
  </si>
  <si>
    <t xml:space="preserve">預估收入</t>
  </si>
  <si>
    <r>
      <rPr>
        <sz val="11"/>
        <rFont val="Noto Sans TC"/>
        <family val="2"/>
        <charset val="136"/>
      </rPr>
      <t xml:space="preserve">預估收入</t>
    </r>
    <r>
      <rPr>
        <sz val="11"/>
        <rFont val="Cambria"/>
        <family val="0"/>
        <charset val="1"/>
      </rPr>
      <t xml:space="preserve">/</t>
    </r>
    <r>
      <rPr>
        <sz val="11"/>
        <rFont val="Noto Sans TC"/>
        <family val="2"/>
        <charset val="136"/>
      </rPr>
      <t xml:space="preserve">年總計</t>
    </r>
  </si>
  <si>
    <t xml:space="preserve">租金</t>
  </si>
  <si>
    <r>
      <rPr>
        <sz val="11"/>
        <rFont val="Noto Sans TC"/>
        <family val="2"/>
        <charset val="136"/>
      </rPr>
      <t xml:space="preserve">租金</t>
    </r>
    <r>
      <rPr>
        <sz val="11"/>
        <rFont val="Cambria"/>
        <family val="0"/>
        <charset val="1"/>
      </rPr>
      <t xml:space="preserve">/</t>
    </r>
    <r>
      <rPr>
        <sz val="11"/>
        <rFont val="Noto Sans TC"/>
        <family val="2"/>
        <charset val="136"/>
      </rPr>
      <t xml:space="preserve">年總計</t>
    </r>
  </si>
  <si>
    <t xml:space="preserve">運維</t>
  </si>
  <si>
    <r>
      <rPr>
        <sz val="11"/>
        <rFont val="Noto Sans TC"/>
        <family val="2"/>
        <charset val="136"/>
      </rPr>
      <t xml:space="preserve">運維</t>
    </r>
    <r>
      <rPr>
        <sz val="11"/>
        <rFont val="Cambria"/>
        <family val="0"/>
        <charset val="1"/>
      </rPr>
      <t xml:space="preserve">/</t>
    </r>
    <r>
      <rPr>
        <sz val="11"/>
        <rFont val="Noto Sans TC"/>
        <family val="2"/>
        <charset val="136"/>
      </rPr>
      <t xml:space="preserve">年總計</t>
    </r>
  </si>
  <si>
    <t xml:space="preserve">保險</t>
  </si>
  <si>
    <r>
      <rPr>
        <sz val="11"/>
        <rFont val="Noto Sans TC"/>
        <family val="2"/>
        <charset val="136"/>
      </rPr>
      <t xml:space="preserve">保險</t>
    </r>
    <r>
      <rPr>
        <sz val="11"/>
        <rFont val="Cambria"/>
        <family val="0"/>
        <charset val="1"/>
      </rPr>
      <t xml:space="preserve">/</t>
    </r>
    <r>
      <rPr>
        <sz val="11"/>
        <rFont val="Noto Sans TC"/>
        <family val="2"/>
        <charset val="136"/>
      </rPr>
      <t xml:space="preserve">年總計</t>
    </r>
  </si>
  <si>
    <t xml:space="preserve">模組回收費</t>
  </si>
  <si>
    <r>
      <rPr>
        <sz val="11"/>
        <rFont val="Noto Sans TC"/>
        <family val="2"/>
        <charset val="136"/>
      </rPr>
      <t xml:space="preserve">模組回收費</t>
    </r>
    <r>
      <rPr>
        <sz val="11"/>
        <rFont val="Cambria"/>
        <family val="0"/>
        <charset val="1"/>
      </rPr>
      <t xml:space="preserve">/</t>
    </r>
    <r>
      <rPr>
        <sz val="11"/>
        <rFont val="Noto Sans TC"/>
        <family val="2"/>
        <charset val="136"/>
      </rPr>
      <t xml:space="preserve">年總計</t>
    </r>
  </si>
  <si>
    <t xml:space="preserve">所得稅</t>
  </si>
  <si>
    <r>
      <rPr>
        <sz val="11"/>
        <rFont val="Noto Sans TC"/>
        <family val="2"/>
        <charset val="136"/>
      </rPr>
      <t xml:space="preserve">所得稅</t>
    </r>
    <r>
      <rPr>
        <sz val="11"/>
        <rFont val="Cambria"/>
        <family val="0"/>
        <charset val="1"/>
      </rPr>
      <t xml:space="preserve">/</t>
    </r>
    <r>
      <rPr>
        <sz val="11"/>
        <rFont val="Noto Sans TC"/>
        <family val="2"/>
        <charset val="136"/>
      </rPr>
      <t xml:space="preserve">年總計</t>
    </r>
  </si>
  <si>
    <t xml:space="preserve">設備折舊</t>
  </si>
  <si>
    <r>
      <rPr>
        <sz val="11"/>
        <rFont val="Noto Sans TC"/>
        <family val="2"/>
        <charset val="136"/>
      </rPr>
      <t xml:space="preserve">設備折舊</t>
    </r>
    <r>
      <rPr>
        <sz val="11"/>
        <rFont val="Cambria"/>
        <family val="0"/>
        <charset val="1"/>
      </rPr>
      <t xml:space="preserve">/</t>
    </r>
    <r>
      <rPr>
        <sz val="11"/>
        <rFont val="Noto Sans TC"/>
        <family val="2"/>
        <charset val="136"/>
      </rPr>
      <t xml:space="preserve">年總計</t>
    </r>
  </si>
  <si>
    <r>
      <rPr>
        <sz val="11"/>
        <rFont val="Noto Sans TC"/>
        <family val="2"/>
        <charset val="136"/>
      </rPr>
      <t xml:space="preserve">貸款成數</t>
    </r>
    <r>
      <rPr>
        <sz val="11"/>
        <rFont val="Cambria"/>
        <family val="0"/>
        <charset val="1"/>
      </rPr>
      <t xml:space="preserve">(%)</t>
    </r>
  </si>
  <si>
    <t xml:space="preserve">還款期數</t>
  </si>
  <si>
    <r>
      <rPr>
        <sz val="11"/>
        <rFont val="Noto Sans TC"/>
        <family val="2"/>
        <charset val="136"/>
      </rPr>
      <t xml:space="preserve">股利比率</t>
    </r>
    <r>
      <rPr>
        <sz val="11"/>
        <rFont val="Cambria"/>
        <family val="0"/>
        <charset val="1"/>
      </rPr>
      <t xml:space="preserve">(%)</t>
    </r>
  </si>
  <si>
    <t xml:space="preserve">年底減資攤還期數</t>
  </si>
  <si>
    <r>
      <rPr>
        <sz val="11"/>
        <rFont val="Noto Sans TC"/>
        <family val="2"/>
        <charset val="136"/>
      </rPr>
      <t xml:space="preserve">銀行利率</t>
    </r>
    <r>
      <rPr>
        <sz val="11"/>
        <rFont val="Cambria"/>
        <family val="0"/>
        <charset val="1"/>
      </rPr>
      <t xml:space="preserve">(%)</t>
    </r>
  </si>
  <si>
    <t xml:space="preserve">(Unit : Currency)</t>
  </si>
  <si>
    <r>
      <rPr>
        <sz val="12"/>
        <color rgb="FF000000"/>
        <rFont val="Noto Sans TC"/>
        <family val="2"/>
        <charset val="136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</si>
  <si>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電費收入</t>
    </r>
  </si>
  <si>
    <t xml:space="preserve">-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</si>
  <si>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</si>
  <si>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</si>
  <si>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</si>
  <si>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</si>
  <si>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</si>
  <si>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</si>
  <si>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</si>
  <si>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</si>
  <si>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</si>
  <si>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Noto Sans TC"/>
        <family val="2"/>
        <charset val="136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</si>
  <si>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Noto Sans TC"/>
        <family val="2"/>
        <charset val="136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</si>
  <si>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</si>
  <si>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</si>
  <si>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</si>
  <si>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</si>
  <si>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</si>
  <si>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專案法IRR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</si>
  <si>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</si>
  <si>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設備折舊</t>
    </r>
  </si>
  <si>
    <t xml:space="preserve">稅前淨利</t>
  </si>
  <si>
    <t xml:space="preserve">稅後淨利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</si>
  <si>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</si>
  <si>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</si>
  <si>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</si>
  <si>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</si>
  <si>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</si>
  <si>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現金股利</t>
  </si>
  <si>
    <t xml:space="preserve">年底減資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</si>
  <si>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</si>
  <si>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</si>
  <si>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</si>
  <si>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</si>
  <si>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</si>
  <si>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</si>
  <si>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</si>
  <si>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</si>
  <si>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電站基本資料(請填寫著色處)</t>
  </si>
  <si>
    <t xml:space="preserve">說明</t>
  </si>
  <si>
    <t xml:space="preserve">電站名稱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</si>
  <si>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</si>
  <si>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</si>
  <si>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</si>
  <si>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</si>
  <si>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</si>
  <si>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情境編號: 3</t>
  </si>
  <si>
    <t xml:space="preserve">起始年度</t>
  </si>
  <si>
    <t xml:space="preserve">第2次滾算摘要</t>
  </si>
  <si>
    <t xml:space="preserve">價金: 31000</t>
  </si>
  <si>
    <t xml:space="preserve">綜合損益表(請填寫著色處)</t>
  </si>
  <si>
    <t xml:space="preserve">專案IRR: 3.75</t>
  </si>
  <si>
    <t xml:space="preserve">收入</t>
  </si>
  <si>
    <t xml:space="preserve">權益法IRR: 8.21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</si>
  <si>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</si>
  <si>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</si>
  <si>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</si>
  <si>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</si>
  <si>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利潤率: 30.00%</t>
  </si>
  <si>
    <t xml:space="preserve">電費收入</t>
  </si>
  <si>
    <t xml:space="preserve">年度AC併網總發電量</t>
  </si>
  <si>
    <t xml:space="preserve">第2次滾算，減少 2000 元 - 現金模式，每次減少 2000 元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</si>
  <si>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</si>
  <si>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</si>
  <si>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</si>
  <si>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</si>
  <si>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</si>
  <si>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</si>
  <si>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支出(請填寫著色處)</t>
  </si>
  <si>
    <t xml:space="preserve">攤提年限</t>
  </si>
  <si>
    <t xml:space="preserve">設備費用(價金)</t>
  </si>
  <si>
    <t xml:space="preserve">每kWp設備成本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</si>
  <si>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</si>
  <si>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</si>
  <si>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</si>
  <si>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</si>
  <si>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</si>
  <si>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</si>
  <si>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【方式1參數】每年相同價格</t>
  </si>
  <si>
    <t xml:space="preserve">【方式2參數】抽成比率</t>
  </si>
  <si>
    <t xml:space="preserve">運維費用</t>
  </si>
  <si>
    <t xml:space="preserve">每kw運維成本</t>
  </si>
  <si>
    <t xml:space="preserve">保險費用</t>
  </si>
  <si>
    <t xml:space="preserve">占整體設備費用比例</t>
  </si>
  <si>
    <t xml:space="preserve">模組回收費用</t>
  </si>
  <si>
    <t xml:space="preserve">每kw模組回收成本</t>
  </si>
  <si>
    <t xml:space="preserve">利息費用</t>
  </si>
  <si>
    <t xml:space="preserve">銀行利率</t>
  </si>
  <si>
    <t xml:space="preserve">所得稅率</t>
  </si>
  <si>
    <t xml:space="preserve">現金流量表(請填寫著色處)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</si>
  <si>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</si>
  <si>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</si>
  <si>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</si>
  <si>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</si>
  <si>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</si>
  <si>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</si>
  <si>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</si>
  <si>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股利比率</t>
  </si>
  <si>
    <t xml:space="preserve">稅後現金流中分配給股東的比例，填小數（例：90% → 填 0.9）</t>
  </si>
  <si>
    <t xml:space="preserve">年底減資返還股東的年數。預設 4 年，代表 倒數 4 年進行減資，加速資金返還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</si>
  <si>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</si>
  <si>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</si>
  <si>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</si>
  <si>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</si>
  <si>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17.0</t>
  </si>
  <si>
    <t xml:space="preserve">第5次滾算，減少 2000 元 - 現金模式，每次減少 2000 元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</si>
  <si>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</si>
  <si>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</si>
  <si>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</si>
  <si>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</si>
  <si>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</si>
  <si>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第3次滾算，減少 2000 元 - 現金模式，每次減少 2000 元</t>
  </si>
  <si>
    <t xml:space="preserve">電站基本資料</t>
  </si>
  <si>
    <t xml:space="preserve">結束年度</t>
  </si>
  <si>
    <t xml:space="preserve">填入電站預計掛表的西元年份（例：2025）。結束年度會自動計算</t>
  </si>
  <si>
    <t xml:space="preserve">綜合損益表</t>
  </si>
  <si>
    <t xml:space="preserve">預估年發電量（kWh），通常來自 PVsyst 模擬或估算：裝置容量 × 年日照時數 × 系統效率</t>
  </si>
  <si>
    <t xml:space="preserve">支出</t>
  </si>
  <si>
    <t xml:space="preserve">每峰瓩設備成本（元/kWp），包含模組、逆變器、支架等硬體，不含工程施工費</t>
  </si>
  <si>
    <t xml:space="preserve">填 1 = 固定年租金（需填方式1參數）；填 2 = 依電費收入抽成（需填方式2參數）</t>
  </si>
  <si>
    <t xml:space="preserve">租金計算方式選「1」時填寫，固定年租金金額（元/年），套用至整個電站壽命期</t>
  </si>
  <si>
    <t xml:space="preserve">租金計算方式選「2」時填寫，請填小數（例：10% → 填 0.1）。租金 = 當年電費收入 × 抽成比率</t>
  </si>
  <si>
    <t xml:space="preserve">每峰瓩每年運維費用（元/kWp/年），含清洗、巡檢、維修等。</t>
  </si>
  <si>
    <t xml:space="preserve">保險費佔設備總費用比率，填小數（例：0.3% → 填 0.003）。預設 0.003，可依投保條件調整</t>
  </si>
  <si>
    <t xml:space="preserve">每峰瓩模組廢棄回收費用（元/kWp），於第 1~10 年計提（攤提 10 年）。</t>
  </si>
  <si>
    <t xml:space="preserve">向銀行貸款的年利率，填小數（例：2.56% → 填 0.0256）。請依銀行核准利率填入</t>
  </si>
  <si>
    <t xml:space="preserve">公司所得稅率，填小數（例：20% → 填 0.2）。預設 0.2，通常不需更改</t>
  </si>
  <si>
    <t xml:space="preserve">現金流量表</t>
  </si>
  <si>
    <t xml:space="preserve">發電度數(KWH)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</si>
  <si>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</si>
  <si>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</si>
  <si>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</si>
  <si>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</si>
  <si>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</si>
  <si>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第4次滾算，減少 2000 元 - 現金模式，每次減少 2000 元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</si>
</sst>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.00_);[RED]\(0.00\)"/>
    <numFmt numFmtId="167" formatCode="\$#,##0.00_);[RED]&quot;($&quot;#,##0.00\)"/>
    <numFmt numFmtId="168" formatCode="\$#,##0_);[RED]&quot;($&quot;#,##0\)"/>
    <numFmt numFmtId="169" formatCode="0.00%"/>
    <numFmt numFmtId="170" formatCode="0_);[RED]\(0\)"/>
    <numFmt numFmtId="171" formatCode="\$#,##0.00_);[RED]&quot;($&quot;#,##0.00\)"/>
    <numFmt numFmtId="172" formatCode="\$#,##0_);[RED]&quot;($&quot;#,##0\)"/>
    <numFmt numFmtId="173" formatCode="_-\$* #,##0_-;&quot;-$&quot;* #,##0_-;_-\$* \-??_-;_-@_-"/>
    <numFmt numFmtId="174" formatCode="_-\$* #,##0_-;&quot;-$&quot;* #,##0_-;_-\$* \-??_-;_-@_-"/>
    <numFmt numFmtId="175" formatCode="#,##0_ "/>
    <numFmt numFmtId="176" formatCode="0%"/>
    <numFmt numFmtId="177" formatCode="_-* #,##0_-;\-* #,##0_-;_-* \-??_-;_-@_-"/>
  </numFmts>
  <fonts count="43">
    <font>
      <sz val="11"/>
      <color theme="1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name val="Noto Sans TC"/>
      <family val="2"/>
      <charset val="136"/>
    </font>
    <font>
      <sz val="11"/>
      <color rgb="FFFFFFFF"/>
      <name val="Noto Sans TC"/>
      <family val="2"/>
      <charset val="136"/>
    </font>
    <font>
      <sz val="11"/>
      <name val="Cambria"/>
      <family val="0"/>
      <charset val="1"/>
    </font>
    <font>
      <sz val="11"/>
      <color rgb="FFFFFFFF"/>
      <name val="Cambria"/>
      <family val="0"/>
      <charset val="1"/>
    </font>
    <font>
      <sz val="12"/>
      <color theme="1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Noto Sans TC"/>
      <family val="2"/>
      <charset val="136"/>
    </font>
    <font>
      <sz val="12"/>
      <color rgb="FF000000"/>
      <name val="Arial"/>
      <family val="2"/>
      <charset val="1"/>
    </font>
    <font>
      <sz val="12"/>
      <color theme="1"/>
      <name val="Noto Sans TC"/>
      <family val="2"/>
      <charset val="136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sz val="12"/>
      <color rgb="FF000080"/>
      <name val="Noto Sans TC"/>
      <family val="2"/>
      <charset val="136"/>
    </font>
    <font>
      <b val="true"/>
      <sz val="11"/>
      <color theme="1"/>
      <name val="新細明體"/>
      <family val="1"/>
      <charset val="136"/>
    </font>
    <font>
      <b val="true"/>
      <sz val="12"/>
      <color theme="1"/>
      <name val="Noto Sans TC"/>
      <family val="2"/>
      <charset val="136"/>
    </font>
    <font>
      <sz val="12"/>
      <color rgb="FF000000"/>
      <name val="微軟正黑體"/>
      <family val="2"/>
      <charset val="1"/>
    </font>
    <font>
      <b val="true"/>
      <sz val="12"/>
      <color theme="0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1"/>
      <color theme="1"/>
      <name val="新細明體"/>
      <family val="2"/>
      <charset val="1"/>
    </font>
    <font>
      <sz val="10"/>
      <color rgb="FF404040"/>
      <name val="微軟正黑體"/>
      <family val="2"/>
      <charset val="136"/>
    </font>
    <font>
      <sz val="12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000000"/>
      <name val="新細明體"/>
      <family val="2"/>
      <charset val="1"/>
    </font>
    <font>
      <sz val="12"/>
      <color rgb="FF000080"/>
      <name val="新細明體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99"/>
        <bgColor rgb="FFFFFFCC"/>
      </patternFill>
    </fill>
    <fill>
      <patternFill patternType="solid">
        <fgColor rgb="FFF2DCDB"/>
        <bgColor rgb="FFE6E0EC"/>
      </patternFill>
    </fill>
    <fill>
      <patternFill patternType="solid">
        <fgColor rgb="FFFCD5B5"/>
        <bgColor rgb="FFFFCCCC"/>
      </patternFill>
    </fill>
    <fill>
      <patternFill patternType="solid">
        <fgColor rgb="FFDCE6F1"/>
        <bgColor rgb="FFDCE6F2"/>
      </patternFill>
    </fill>
    <fill>
      <patternFill patternType="solid">
        <fgColor rgb="FFF2F2F2"/>
        <bgColor rgb="FFFFFFFF"/>
      </patternFill>
    </fill>
    <fill>
      <patternFill patternType="solid">
        <fgColor rgb="FFDAEEF3"/>
        <bgColor rgb="FFDCE6F2"/>
      </patternFill>
    </fill>
    <fill>
      <patternFill patternType="solid">
        <fgColor rgb="FF376092"/>
        <bgColor rgb="FF2F75B5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CC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FCD5B5"/>
      </patternFill>
    </fill>
    <fill>
      <patternFill patternType="solid">
        <fgColor rgb="FF9BC2E6"/>
        <bgColor rgb="FFC6C6C6"/>
      </patternFill>
    </fill>
    <fill>
      <patternFill patternType="solid">
        <fgColor rgb="FFFFFFCC"/>
        <bgColor rgb="FFFFFFFF"/>
      </patternFill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1"/>
      </patternFill>
    </fill>
    <fill>
      <patternFill patternType="solid">
        <fgColor theme="4" tint="0.7998"/>
        <bgColor rgb="FFDCE6F1"/>
      </patternFill>
    </fill>
    <fill>
      <patternFill patternType="solid">
        <fgColor theme="5" tint="0.3998"/>
        <bgColor rgb="FF96969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4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8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6" fillId="1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1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8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3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3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2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9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0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30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3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3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30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30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0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3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3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30" fillId="17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0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1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9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5" fillId="19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5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5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9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1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5" fillId="19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5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1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9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19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5" fillId="1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5" fillId="19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5" fillId="19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9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35" fillId="19" borderId="2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19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35" fillId="19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7" fontId="40" fillId="19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5" fillId="19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17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1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1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1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8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3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3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4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4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F2DCDB"/>
      <rgbColor rgb="FF993366"/>
      <rgbColor rgb="FFFFFFCC"/>
      <rgbColor rgb="FFDAEEF3"/>
      <rgbColor rgb="FF660066"/>
      <rgbColor rgb="FFD99694"/>
      <rgbColor rgb="FF0070C0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CE6F2"/>
      <rgbColor rgb="FFDCE6F1"/>
      <rgbColor rgb="FFFFFF99"/>
      <rgbColor rgb="FF9BC2E6"/>
      <rgbColor rgb="FFFFCCCC"/>
      <rgbColor rgb="FFE6E0EC"/>
      <rgbColor rgb="FFFCD5B5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1" width="33"/>
    <col collapsed="false" customWidth="true" hidden="false" outlineLevel="0" max="23" min="3" style="1" width="18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true" outlineLevel="0" collapsed="false">
      <c r="A4" s="2"/>
      <c r="B4" s="2"/>
      <c r="C4" s="3" t="s">
        <v>0</v>
      </c>
      <c r="D4" s="3" t="n">
        <v>2020</v>
      </c>
      <c r="E4" s="3" t="n">
        <v>2021</v>
      </c>
      <c r="F4" s="3" t="n">
        <v>2022</v>
      </c>
      <c r="G4" s="3" t="n">
        <v>2023</v>
      </c>
      <c r="H4" s="3" t="n">
        <v>2024</v>
      </c>
      <c r="I4" s="3" t="n">
        <v>2025</v>
      </c>
      <c r="J4" s="3" t="n">
        <v>2026</v>
      </c>
      <c r="K4" s="3" t="n">
        <v>2027</v>
      </c>
      <c r="L4" s="3" t="n">
        <v>2028</v>
      </c>
      <c r="M4" s="3" t="n">
        <v>2029</v>
      </c>
      <c r="N4" s="3" t="n">
        <v>2030</v>
      </c>
      <c r="O4" s="3" t="n">
        <v>2031</v>
      </c>
      <c r="P4" s="3" t="n">
        <v>2032</v>
      </c>
      <c r="Q4" s="3" t="n">
        <v>2033</v>
      </c>
      <c r="R4" s="3" t="n">
        <v>2034</v>
      </c>
      <c r="S4" s="3" t="n">
        <v>2035</v>
      </c>
      <c r="T4" s="3" t="n">
        <v>2036</v>
      </c>
      <c r="U4" s="3" t="n">
        <v>2037</v>
      </c>
      <c r="V4" s="3" t="n">
        <v>2038</v>
      </c>
      <c r="W4" s="3" t="n">
        <v>2039</v>
      </c>
      <c r="X4" s="2"/>
    </row>
    <row r="5" customFormat="false" ht="15" hidden="false" customHeight="true" outlineLevel="0" collapsed="false">
      <c r="A5" s="2"/>
      <c r="B5" s="2"/>
      <c r="C5" s="2" t="s">
        <v>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true" outlineLevel="0" collapsed="false">
      <c r="A6" s="2"/>
      <c r="B6" s="2" t="s">
        <v>2</v>
      </c>
      <c r="C6" s="2"/>
      <c r="D6" s="4" t="n">
        <f aca="false">ROUND(ABS(淡江大學_p6_1!D40),0)</f>
        <v>0</v>
      </c>
      <c r="E6" s="4" t="n">
        <f aca="false">ROUND(ABS(淡江大學_p6_1!E40),0)</f>
        <v>0</v>
      </c>
      <c r="F6" s="4" t="n">
        <f aca="false">ROUND(ABS(淡江大學_p6_1!F40),0)</f>
        <v>0</v>
      </c>
      <c r="G6" s="4" t="n">
        <f aca="false">ROUND(ABS(淡江大學_p6_1!G40),0)</f>
        <v>0</v>
      </c>
      <c r="H6" s="4" t="n">
        <f aca="false">ROUND(ABS(淡江大學_p6_1!H40),0)</f>
        <v>0</v>
      </c>
      <c r="I6" s="4" t="n">
        <f aca="false">ROUND(ABS(淡江大學_p6_1!I40),0)</f>
        <v>0</v>
      </c>
      <c r="J6" s="4" t="n">
        <f aca="false">ROUND(ABS(淡江大學_p6_1!J40),0)</f>
        <v>0</v>
      </c>
      <c r="K6" s="4" t="n">
        <f aca="false">ROUND(ABS(淡江大學_p6_1!K40),0)</f>
        <v>0</v>
      </c>
      <c r="L6" s="4" t="n">
        <f aca="false">ROUND(ABS(淡江大學_p6_1!L40),0)</f>
        <v>0</v>
      </c>
      <c r="M6" s="4" t="n">
        <f aca="false">ROUND(ABS(淡江大學_p6_1!M40),0)</f>
        <v>0</v>
      </c>
      <c r="N6" s="4" t="n">
        <f aca="false">ROUND(ABS(淡江大學_p6_1!N40),0)</f>
        <v>0</v>
      </c>
      <c r="O6" s="4" t="n">
        <f aca="false">ROUND(ABS(淡江大學_p6_1!O40),0)</f>
        <v>0</v>
      </c>
      <c r="P6" s="4" t="n">
        <f aca="false">ROUND(ABS(淡江大學_p6_1!P40),0)</f>
        <v>0</v>
      </c>
      <c r="Q6" s="4" t="n">
        <f aca="false">ROUND(ABS(淡江大學_p6_1!Q40),0)</f>
        <v>0</v>
      </c>
      <c r="R6" s="4" t="n">
        <f aca="false">ROUND(ABS(淡江大學_p6_1!R40),0)</f>
        <v>0</v>
      </c>
      <c r="S6" s="4" t="n">
        <f aca="false">ROUND(ABS(淡江大學_p6_1!S40),0)</f>
        <v>0</v>
      </c>
      <c r="T6" s="4" t="n">
        <f aca="false">ROUND(ABS(淡江大學_p6_1!T40),0)</f>
        <v>0</v>
      </c>
      <c r="U6" s="4" t="n">
        <f aca="false">ROUND(ABS(淡江大學_p6_1!U40),0)</f>
        <v>0</v>
      </c>
      <c r="V6" s="4" t="n">
        <f aca="false">ROUND(ABS(淡江大學_p6_1!V40),0)</f>
        <v>0</v>
      </c>
      <c r="W6" s="4" t="n">
        <f aca="false">ROUND(ABS(淡江大學_p6_1!W40),0)</f>
        <v>0</v>
      </c>
      <c r="X6" s="2"/>
    </row>
    <row r="7" customFormat="false" ht="15" hidden="false" customHeight="true" outlineLevel="0" collapsed="false">
      <c r="A7" s="2"/>
      <c r="B7" s="2" t="s">
        <v>2</v>
      </c>
      <c r="C7" s="2"/>
      <c r="D7" s="4" t="n">
        <f aca="false">ROUND(ABS(淡江大學_p4_2!D40),0)</f>
        <v>0</v>
      </c>
      <c r="E7" s="4" t="n">
        <f aca="false">ROUND(ABS(淡江大學_p4_2!E40),0)</f>
        <v>0</v>
      </c>
      <c r="F7" s="4" t="n">
        <f aca="false">ROUND(ABS(淡江大學_p4_2!F40),0)</f>
        <v>0</v>
      </c>
      <c r="G7" s="4" t="n">
        <f aca="false">ROUND(ABS(淡江大學_p4_2!G40),0)</f>
        <v>0</v>
      </c>
      <c r="H7" s="4" t="n">
        <f aca="false">ROUND(ABS(淡江大學_p4_2!H40),0)</f>
        <v>0</v>
      </c>
      <c r="I7" s="4" t="n">
        <f aca="false">ROUND(ABS(淡江大學_p4_2!I40),0)</f>
        <v>0</v>
      </c>
      <c r="J7" s="4" t="n">
        <f aca="false">ROUND(ABS(淡江大學_p4_2!J40),0)</f>
        <v>0</v>
      </c>
      <c r="K7" s="4" t="n">
        <f aca="false">ROUND(ABS(淡江大學_p4_2!K40),0)</f>
        <v>0</v>
      </c>
      <c r="L7" s="4" t="n">
        <f aca="false">ROUND(ABS(淡江大學_p4_2!L40),0)</f>
        <v>0</v>
      </c>
      <c r="M7" s="4" t="n">
        <f aca="false">ROUND(ABS(淡江大學_p4_2!M40),0)</f>
        <v>0</v>
      </c>
      <c r="N7" s="4" t="n">
        <f aca="false">ROUND(ABS(淡江大學_p4_2!N40),0)</f>
        <v>0</v>
      </c>
      <c r="O7" s="4" t="n">
        <f aca="false">ROUND(ABS(淡江大學_p4_2!O40),0)</f>
        <v>0</v>
      </c>
      <c r="P7" s="4" t="n">
        <f aca="false">ROUND(ABS(淡江大學_p4_2!P40),0)</f>
        <v>0</v>
      </c>
      <c r="Q7" s="4" t="n">
        <f aca="false">ROUND(ABS(淡江大學_p4_2!Q40),0)</f>
        <v>0</v>
      </c>
      <c r="R7" s="4" t="n">
        <f aca="false">ROUND(ABS(淡江大學_p4_2!R40),0)</f>
        <v>0</v>
      </c>
      <c r="S7" s="4" t="n">
        <f aca="false">ROUND(ABS(淡江大學_p4_2!S40),0)</f>
        <v>0</v>
      </c>
      <c r="T7" s="4" t="n">
        <f aca="false">ROUND(ABS(淡江大學_p4_2!T40),0)</f>
        <v>0</v>
      </c>
      <c r="U7" s="4" t="n">
        <f aca="false">ROUND(ABS(淡江大學_p4_2!U40),0)</f>
        <v>0</v>
      </c>
      <c r="V7" s="4" t="n">
        <f aca="false">ROUND(ABS(淡江大學_p4_2!V40),0)</f>
        <v>0</v>
      </c>
      <c r="W7" s="4" t="n">
        <f aca="false">ROUND(ABS(淡江大學_p4_2!W40),0)</f>
        <v>0</v>
      </c>
      <c r="X7" s="2"/>
    </row>
    <row r="8" customFormat="false" ht="15" hidden="false" customHeight="true" outlineLevel="0" collapsed="false">
      <c r="A8" s="2"/>
      <c r="B8" s="2" t="s">
        <v>2</v>
      </c>
      <c r="C8" s="2"/>
      <c r="D8" s="4" t="n">
        <f aca="false">ROUND(ABS(淡江大學_p4_1!D40),0)</f>
        <v>0</v>
      </c>
      <c r="E8" s="4" t="n">
        <f aca="false">ROUND(ABS(淡江大學_p4_1!E40),0)</f>
        <v>0</v>
      </c>
      <c r="F8" s="4" t="n">
        <f aca="false">ROUND(ABS(淡江大學_p4_1!F40),0)</f>
        <v>0</v>
      </c>
      <c r="G8" s="4" t="n">
        <f aca="false">ROUND(ABS(淡江大學_p4_1!G40),0)</f>
        <v>0</v>
      </c>
      <c r="H8" s="4" t="n">
        <f aca="false">ROUND(ABS(淡江大學_p4_1!H40),0)</f>
        <v>0</v>
      </c>
      <c r="I8" s="4" t="n">
        <f aca="false">ROUND(ABS(淡江大學_p4_1!I40),0)</f>
        <v>0</v>
      </c>
      <c r="J8" s="4" t="n">
        <f aca="false">ROUND(ABS(淡江大學_p4_1!J40),0)</f>
        <v>0</v>
      </c>
      <c r="K8" s="4" t="n">
        <f aca="false">ROUND(ABS(淡江大學_p4_1!K40),0)</f>
        <v>0</v>
      </c>
      <c r="L8" s="4" t="n">
        <f aca="false">ROUND(ABS(淡江大學_p4_1!L40),0)</f>
        <v>0</v>
      </c>
      <c r="M8" s="4" t="n">
        <f aca="false">ROUND(ABS(淡江大學_p4_1!M40),0)</f>
        <v>0</v>
      </c>
      <c r="N8" s="4" t="n">
        <f aca="false">ROUND(ABS(淡江大學_p4_1!N40),0)</f>
        <v>0</v>
      </c>
      <c r="O8" s="4" t="n">
        <f aca="false">ROUND(ABS(淡江大學_p4_1!O40),0)</f>
        <v>0</v>
      </c>
      <c r="P8" s="4" t="n">
        <f aca="false">ROUND(ABS(淡江大學_p4_1!P40),0)</f>
        <v>0</v>
      </c>
      <c r="Q8" s="4" t="n">
        <f aca="false">ROUND(ABS(淡江大學_p4_1!Q40),0)</f>
        <v>0</v>
      </c>
      <c r="R8" s="4" t="n">
        <f aca="false">ROUND(ABS(淡江大學_p4_1!R40),0)</f>
        <v>0</v>
      </c>
      <c r="S8" s="4" t="n">
        <f aca="false">ROUND(ABS(淡江大學_p4_1!S40),0)</f>
        <v>0</v>
      </c>
      <c r="T8" s="4" t="n">
        <f aca="false">ROUND(ABS(淡江大學_p4_1!T40),0)</f>
        <v>0</v>
      </c>
      <c r="U8" s="4" t="n">
        <f aca="false">ROUND(ABS(淡江大學_p4_1!U40),0)</f>
        <v>0</v>
      </c>
      <c r="V8" s="4" t="n">
        <f aca="false">ROUND(ABS(淡江大學_p4_1!V40),0)</f>
        <v>0</v>
      </c>
      <c r="W8" s="4" t="n">
        <f aca="false">ROUND(ABS(淡江大學_p4_1!W40),0)</f>
        <v>0</v>
      </c>
      <c r="X8" s="2"/>
    </row>
    <row r="9" customFormat="false" ht="15" hidden="false" customHeight="true" outlineLevel="0" collapsed="false">
      <c r="A9" s="2"/>
      <c r="B9" s="2" t="s">
        <v>2</v>
      </c>
      <c r="C9" s="2"/>
      <c r="D9" s="4" t="n">
        <f aca="false">ROUND(ABS(淡江大學_p4!D40),0)</f>
        <v>0</v>
      </c>
      <c r="E9" s="4" t="n">
        <f aca="false">ROUND(ABS(淡江大學_p4!E40),0)</f>
        <v>0</v>
      </c>
      <c r="F9" s="4" t="n">
        <f aca="false">ROUND(ABS(淡江大學_p4!F40),0)</f>
        <v>0</v>
      </c>
      <c r="G9" s="4" t="n">
        <f aca="false">ROUND(ABS(淡江大學_p4!G40),0)</f>
        <v>0</v>
      </c>
      <c r="H9" s="4" t="n">
        <f aca="false">ROUND(ABS(淡江大學_p4!H40),0)</f>
        <v>0</v>
      </c>
      <c r="I9" s="4" t="n">
        <f aca="false">ROUND(ABS(淡江大學_p4!I40),0)</f>
        <v>0</v>
      </c>
      <c r="J9" s="4" t="n">
        <f aca="false">ROUND(ABS(淡江大學_p4!J40),0)</f>
        <v>0</v>
      </c>
      <c r="K9" s="4" t="n">
        <f aca="false">ROUND(ABS(淡江大學_p4!K40),0)</f>
        <v>0</v>
      </c>
      <c r="L9" s="4" t="n">
        <f aca="false">ROUND(ABS(淡江大學_p4!L40),0)</f>
        <v>0</v>
      </c>
      <c r="M9" s="4" t="n">
        <f aca="false">ROUND(ABS(淡江大學_p4!M40),0)</f>
        <v>0</v>
      </c>
      <c r="N9" s="4" t="n">
        <f aca="false">ROUND(ABS(淡江大學_p4!N40),0)</f>
        <v>0</v>
      </c>
      <c r="O9" s="4" t="n">
        <f aca="false">ROUND(ABS(淡江大學_p4!O40),0)</f>
        <v>0</v>
      </c>
      <c r="P9" s="4" t="n">
        <f aca="false">ROUND(ABS(淡江大學_p4!P40),0)</f>
        <v>0</v>
      </c>
      <c r="Q9" s="4" t="n">
        <f aca="false">ROUND(ABS(淡江大學_p4!Q40),0)</f>
        <v>0</v>
      </c>
      <c r="R9" s="4" t="n">
        <f aca="false">ROUND(ABS(淡江大學_p4!R40),0)</f>
        <v>0</v>
      </c>
      <c r="S9" s="4" t="n">
        <f aca="false">ROUND(ABS(淡江大學_p4!S40),0)</f>
        <v>0</v>
      </c>
      <c r="T9" s="4" t="n">
        <f aca="false">ROUND(ABS(淡江大學_p4!T40),0)</f>
        <v>0</v>
      </c>
      <c r="U9" s="4" t="n">
        <f aca="false">ROUND(ABS(淡江大學_p4!U40),0)</f>
        <v>0</v>
      </c>
      <c r="V9" s="4" t="n">
        <f aca="false">ROUND(ABS(淡江大學_p4!V40),0)</f>
        <v>0</v>
      </c>
      <c r="W9" s="4" t="n">
        <f aca="false">ROUND(ABS(淡江大學_p4!W40),0)</f>
        <v>0</v>
      </c>
      <c r="X9" s="2"/>
    </row>
    <row r="10" customFormat="false" ht="15" hidden="false" customHeight="true" outlineLevel="0" collapsed="false">
      <c r="A10" s="2"/>
      <c r="B10" s="2" t="s">
        <v>2</v>
      </c>
      <c r="C10" s="2"/>
      <c r="D10" s="4" t="n">
        <f aca="false">ROUND(ABS(淡江大學_p6!D40),0)</f>
        <v>0</v>
      </c>
      <c r="E10" s="4" t="n">
        <f aca="false">ROUND(ABS(淡江大學_p6!E40),0)</f>
        <v>0</v>
      </c>
      <c r="F10" s="4" t="n">
        <f aca="false">ROUND(ABS(淡江大學_p6!F40),0)</f>
        <v>0</v>
      </c>
      <c r="G10" s="4" t="n">
        <f aca="false">ROUND(ABS(淡江大學_p6!G40),0)</f>
        <v>0</v>
      </c>
      <c r="H10" s="4" t="n">
        <f aca="false">ROUND(ABS(淡江大學_p6!H40),0)</f>
        <v>0</v>
      </c>
      <c r="I10" s="4" t="n">
        <f aca="false">ROUND(ABS(淡江大學_p6!I40),0)</f>
        <v>0</v>
      </c>
      <c r="J10" s="4" t="n">
        <f aca="false">ROUND(ABS(淡江大學_p6!J40),0)</f>
        <v>0</v>
      </c>
      <c r="K10" s="4" t="n">
        <f aca="false">ROUND(ABS(淡江大學_p6!K40),0)</f>
        <v>0</v>
      </c>
      <c r="L10" s="4" t="n">
        <f aca="false">ROUND(ABS(淡江大學_p6!L40),0)</f>
        <v>0</v>
      </c>
      <c r="M10" s="4" t="n">
        <f aca="false">ROUND(ABS(淡江大學_p6!M40),0)</f>
        <v>0</v>
      </c>
      <c r="N10" s="4" t="n">
        <f aca="false">ROUND(ABS(淡江大學_p6!N40),0)</f>
        <v>0</v>
      </c>
      <c r="O10" s="4" t="n">
        <f aca="false">ROUND(ABS(淡江大學_p6!O40),0)</f>
        <v>0</v>
      </c>
      <c r="P10" s="4" t="n">
        <f aca="false">ROUND(ABS(淡江大學_p6!P40),0)</f>
        <v>0</v>
      </c>
      <c r="Q10" s="4" t="n">
        <f aca="false">ROUND(ABS(淡江大學_p6!Q40),0)</f>
        <v>0</v>
      </c>
      <c r="R10" s="4" t="n">
        <f aca="false">ROUND(ABS(淡江大學_p6!R40),0)</f>
        <v>0</v>
      </c>
      <c r="S10" s="4" t="n">
        <f aca="false">ROUND(ABS(淡江大學_p6!S40),0)</f>
        <v>0</v>
      </c>
      <c r="T10" s="4" t="n">
        <f aca="false">ROUND(ABS(淡江大學_p6!T40),0)</f>
        <v>0</v>
      </c>
      <c r="U10" s="4" t="n">
        <f aca="false">ROUND(ABS(淡江大學_p6!U40),0)</f>
        <v>0</v>
      </c>
      <c r="V10" s="4" t="n">
        <f aca="false">ROUND(ABS(淡江大學_p6!V40),0)</f>
        <v>0</v>
      </c>
      <c r="W10" s="4" t="n">
        <f aca="false">ROUND(ABS(淡江大學_p6!W40),0)</f>
        <v>0</v>
      </c>
      <c r="X10" s="2"/>
    </row>
    <row r="11" customFormat="false" ht="15" hidden="false" customHeight="true" outlineLevel="0" collapsed="false">
      <c r="A11" s="2"/>
      <c r="B11" s="2" t="s">
        <v>2</v>
      </c>
      <c r="C11" s="2"/>
      <c r="D11" s="4" t="n">
        <f aca="false">ROUND(ABS(淡江大學_p3!D40),0)</f>
        <v>0</v>
      </c>
      <c r="E11" s="4" t="n">
        <f aca="false">ROUND(ABS(淡江大學_p3!E40),0)</f>
        <v>0</v>
      </c>
      <c r="F11" s="4" t="n">
        <f aca="false">ROUND(ABS(淡江大學_p3!F40),0)</f>
        <v>0</v>
      </c>
      <c r="G11" s="4" t="n">
        <f aca="false">ROUND(ABS(淡江大學_p3!G40),0)</f>
        <v>0</v>
      </c>
      <c r="H11" s="4" t="n">
        <f aca="false">ROUND(ABS(淡江大學_p3!H40),0)</f>
        <v>0</v>
      </c>
      <c r="I11" s="4" t="n">
        <f aca="false">ROUND(ABS(淡江大學_p3!I40),0)</f>
        <v>0</v>
      </c>
      <c r="J11" s="4" t="n">
        <f aca="false">ROUND(ABS(淡江大學_p3!J40),0)</f>
        <v>0</v>
      </c>
      <c r="K11" s="4" t="n">
        <f aca="false">ROUND(ABS(淡江大學_p3!K40),0)</f>
        <v>0</v>
      </c>
      <c r="L11" s="4" t="n">
        <f aca="false">ROUND(ABS(淡江大學_p3!L40),0)</f>
        <v>0</v>
      </c>
      <c r="M11" s="4" t="n">
        <f aca="false">ROUND(ABS(淡江大學_p3!M40),0)</f>
        <v>0</v>
      </c>
      <c r="N11" s="4" t="n">
        <f aca="false">ROUND(ABS(淡江大學_p3!N40),0)</f>
        <v>0</v>
      </c>
      <c r="O11" s="4" t="n">
        <f aca="false">ROUND(ABS(淡江大學_p3!O40),0)</f>
        <v>0</v>
      </c>
      <c r="P11" s="4" t="n">
        <f aca="false">ROUND(ABS(淡江大學_p3!P40),0)</f>
        <v>0</v>
      </c>
      <c r="Q11" s="4" t="n">
        <f aca="false">ROUND(ABS(淡江大學_p3!Q40),0)</f>
        <v>0</v>
      </c>
      <c r="R11" s="4" t="n">
        <f aca="false">ROUND(ABS(淡江大學_p3!R40),0)</f>
        <v>0</v>
      </c>
      <c r="S11" s="4" t="n">
        <f aca="false">ROUND(ABS(淡江大學_p3!S40),0)</f>
        <v>0</v>
      </c>
      <c r="T11" s="4" t="n">
        <f aca="false">ROUND(ABS(淡江大學_p3!T40),0)</f>
        <v>0</v>
      </c>
      <c r="U11" s="4" t="n">
        <f aca="false">ROUND(ABS(淡江大學_p3!U40),0)</f>
        <v>0</v>
      </c>
      <c r="V11" s="4" t="n">
        <f aca="false">ROUND(ABS(淡江大學_p3!V40),0)</f>
        <v>0</v>
      </c>
      <c r="W11" s="4" t="n">
        <f aca="false">ROUND(ABS(淡江大學_p3!W40),0)</f>
        <v>0</v>
      </c>
      <c r="X11" s="2"/>
    </row>
    <row r="12" customFormat="false" ht="15" hidden="false" customHeight="true" outlineLevel="0" collapsed="false">
      <c r="A12" s="2"/>
      <c r="B12" s="2" t="s">
        <v>2</v>
      </c>
      <c r="C12" s="2"/>
      <c r="D12" s="4" t="n">
        <f aca="false">ROUND(ABS(淡江大學_p4_3!D40),0)</f>
        <v>541532</v>
      </c>
      <c r="E12" s="4" t="n">
        <f aca="false">ROUND(ABS(淡江大學_p4_3!E40),0)</f>
        <v>539344</v>
      </c>
      <c r="F12" s="4" t="n">
        <f aca="false">ROUND(ABS(淡江大學_p4_3!F40),0)</f>
        <v>537156</v>
      </c>
      <c r="G12" s="4" t="n">
        <f aca="false">ROUND(ABS(淡江大學_p4_3!G40),0)</f>
        <v>534968</v>
      </c>
      <c r="H12" s="4" t="n">
        <f aca="false">ROUND(ABS(淡江大學_p4_3!H40),0)</f>
        <v>532780</v>
      </c>
      <c r="I12" s="4" t="n">
        <f aca="false">ROUND(ABS(淡江大學_p4_3!I40),0)</f>
        <v>530592</v>
      </c>
      <c r="J12" s="4" t="n">
        <f aca="false">ROUND(ABS(淡江大學_p4_3!J40),0)</f>
        <v>528404</v>
      </c>
      <c r="K12" s="4" t="n">
        <f aca="false">ROUND(ABS(淡江大學_p4_3!K40),0)</f>
        <v>526216</v>
      </c>
      <c r="L12" s="4" t="n">
        <f aca="false">ROUND(ABS(淡江大學_p4_3!L40),0)</f>
        <v>524028</v>
      </c>
      <c r="M12" s="4" t="n">
        <f aca="false">ROUND(ABS(淡江大學_p4_3!M40),0)</f>
        <v>521840</v>
      </c>
      <c r="N12" s="4" t="n">
        <f aca="false">ROUND(ABS(淡江大學_p4_3!N40),0)</f>
        <v>519652</v>
      </c>
      <c r="O12" s="4" t="n">
        <f aca="false">ROUND(ABS(淡江大學_p4_3!O40),0)</f>
        <v>517464</v>
      </c>
      <c r="P12" s="4" t="n">
        <f aca="false">ROUND(ABS(淡江大學_p4_3!P40),0)</f>
        <v>515276</v>
      </c>
      <c r="Q12" s="4" t="n">
        <f aca="false">ROUND(ABS(淡江大學_p4_3!Q40),0)</f>
        <v>513088</v>
      </c>
      <c r="R12" s="4" t="n">
        <f aca="false">ROUND(ABS(淡江大學_p4_3!R40),0)</f>
        <v>510900</v>
      </c>
      <c r="S12" s="4" t="n">
        <f aca="false">ROUND(ABS(淡江大學_p4_3!S40),0)</f>
        <v>508712</v>
      </c>
      <c r="T12" s="4" t="n">
        <f aca="false">ROUND(ABS(淡江大學_p4_3!T40),0)</f>
        <v>506524</v>
      </c>
      <c r="U12" s="4" t="n">
        <f aca="false">ROUND(ABS(淡江大學_p4_3!U40),0)</f>
        <v>504336</v>
      </c>
      <c r="V12" s="4" t="n">
        <f aca="false">ROUND(ABS(淡江大學_p4_3!V40),0)</f>
        <v>502148</v>
      </c>
      <c r="W12" s="4" t="n">
        <f aca="false">ROUND(ABS(淡江大學_p4_3!W40),0)</f>
        <v>499960</v>
      </c>
      <c r="X12" s="2"/>
    </row>
    <row r="13" customFormat="false" ht="15" hidden="false" customHeight="true" outlineLevel="0" collapsed="false">
      <c r="A13" s="2"/>
      <c r="B13" s="2" t="s">
        <v>2</v>
      </c>
      <c r="C13" s="2"/>
      <c r="D13" s="4" t="n">
        <f aca="false">ROUND(ABS(淡江大學_p3_1!D40),0)</f>
        <v>541532</v>
      </c>
      <c r="E13" s="4" t="n">
        <f aca="false">ROUND(ABS(淡江大學_p3_1!E40),0)</f>
        <v>539344</v>
      </c>
      <c r="F13" s="4" t="n">
        <f aca="false">ROUND(ABS(淡江大學_p3_1!F40),0)</f>
        <v>537156</v>
      </c>
      <c r="G13" s="4" t="n">
        <f aca="false">ROUND(ABS(淡江大學_p3_1!G40),0)</f>
        <v>534968</v>
      </c>
      <c r="H13" s="4" t="n">
        <f aca="false">ROUND(ABS(淡江大學_p3_1!H40),0)</f>
        <v>532780</v>
      </c>
      <c r="I13" s="4" t="n">
        <f aca="false">ROUND(ABS(淡江大學_p3_1!I40),0)</f>
        <v>530592</v>
      </c>
      <c r="J13" s="4" t="n">
        <f aca="false">ROUND(ABS(淡江大學_p3_1!J40),0)</f>
        <v>528404</v>
      </c>
      <c r="K13" s="4" t="n">
        <f aca="false">ROUND(ABS(淡江大學_p3_1!K40),0)</f>
        <v>526216</v>
      </c>
      <c r="L13" s="4" t="n">
        <f aca="false">ROUND(ABS(淡江大學_p3_1!L40),0)</f>
        <v>524028</v>
      </c>
      <c r="M13" s="4" t="n">
        <f aca="false">ROUND(ABS(淡江大學_p3_1!M40),0)</f>
        <v>521840</v>
      </c>
      <c r="N13" s="4" t="n">
        <f aca="false">ROUND(ABS(淡江大學_p3_1!N40),0)</f>
        <v>519652</v>
      </c>
      <c r="O13" s="4" t="n">
        <f aca="false">ROUND(ABS(淡江大學_p3_1!O40),0)</f>
        <v>517464</v>
      </c>
      <c r="P13" s="4" t="n">
        <f aca="false">ROUND(ABS(淡江大學_p3_1!P40),0)</f>
        <v>515276</v>
      </c>
      <c r="Q13" s="4" t="n">
        <f aca="false">ROUND(ABS(淡江大學_p3_1!Q40),0)</f>
        <v>513088</v>
      </c>
      <c r="R13" s="4" t="n">
        <f aca="false">ROUND(ABS(淡江大學_p3_1!R40),0)</f>
        <v>510900</v>
      </c>
      <c r="S13" s="4" t="n">
        <f aca="false">ROUND(ABS(淡江大學_p3_1!S40),0)</f>
        <v>508712</v>
      </c>
      <c r="T13" s="4" t="n">
        <f aca="false">ROUND(ABS(淡江大學_p3_1!T40),0)</f>
        <v>506524</v>
      </c>
      <c r="U13" s="4" t="n">
        <f aca="false">ROUND(ABS(淡江大學_p3_1!U40),0)</f>
        <v>504336</v>
      </c>
      <c r="V13" s="4" t="n">
        <f aca="false">ROUND(ABS(淡江大學_p3_1!V40),0)</f>
        <v>502148</v>
      </c>
      <c r="W13" s="4" t="n">
        <f aca="false">ROUND(ABS(淡江大學_p3_1!W40),0)</f>
        <v>499960</v>
      </c>
      <c r="X13" s="2"/>
    </row>
    <row r="14" customFormat="false" ht="15" hidden="false" customHeight="true" outlineLevel="0" collapsed="false">
      <c r="A14" s="2"/>
      <c r="B14" s="2" t="s">
        <v>2</v>
      </c>
      <c r="C14" s="2"/>
      <c r="D14" s="4" t="n">
        <f aca="false">ROUND(ABS(淡江大學_p5!D40),0)</f>
        <v>541532</v>
      </c>
      <c r="E14" s="4" t="n">
        <f aca="false">ROUND(ABS(淡江大學_p5!E40),0)</f>
        <v>539344</v>
      </c>
      <c r="F14" s="4" t="n">
        <f aca="false">ROUND(ABS(淡江大學_p5!F40),0)</f>
        <v>537156</v>
      </c>
      <c r="G14" s="4" t="n">
        <f aca="false">ROUND(ABS(淡江大學_p5!G40),0)</f>
        <v>534968</v>
      </c>
      <c r="H14" s="4" t="n">
        <f aca="false">ROUND(ABS(淡江大學_p5!H40),0)</f>
        <v>532780</v>
      </c>
      <c r="I14" s="4" t="n">
        <f aca="false">ROUND(ABS(淡江大學_p5!I40),0)</f>
        <v>530592</v>
      </c>
      <c r="J14" s="4" t="n">
        <f aca="false">ROUND(ABS(淡江大學_p5!J40),0)</f>
        <v>528404</v>
      </c>
      <c r="K14" s="4" t="n">
        <f aca="false">ROUND(ABS(淡江大學_p5!K40),0)</f>
        <v>526216</v>
      </c>
      <c r="L14" s="4" t="n">
        <f aca="false">ROUND(ABS(淡江大學_p5!L40),0)</f>
        <v>524028</v>
      </c>
      <c r="M14" s="4" t="n">
        <f aca="false">ROUND(ABS(淡江大學_p5!M40),0)</f>
        <v>521840</v>
      </c>
      <c r="N14" s="4" t="n">
        <f aca="false">ROUND(ABS(淡江大學_p5!N40),0)</f>
        <v>519652</v>
      </c>
      <c r="O14" s="4" t="n">
        <f aca="false">ROUND(ABS(淡江大學_p5!O40),0)</f>
        <v>517464</v>
      </c>
      <c r="P14" s="4" t="n">
        <f aca="false">ROUND(ABS(淡江大學_p5!P40),0)</f>
        <v>515276</v>
      </c>
      <c r="Q14" s="4" t="n">
        <f aca="false">ROUND(ABS(淡江大學_p5!Q40),0)</f>
        <v>513088</v>
      </c>
      <c r="R14" s="4" t="n">
        <f aca="false">ROUND(ABS(淡江大學_p5!R40),0)</f>
        <v>510900</v>
      </c>
      <c r="S14" s="4" t="n">
        <f aca="false">ROUND(ABS(淡江大學_p5!S40),0)</f>
        <v>508712</v>
      </c>
      <c r="T14" s="4" t="n">
        <f aca="false">ROUND(ABS(淡江大學_p5!T40),0)</f>
        <v>506524</v>
      </c>
      <c r="U14" s="4" t="n">
        <f aca="false">ROUND(ABS(淡江大學_p5!U40),0)</f>
        <v>504336</v>
      </c>
      <c r="V14" s="4" t="n">
        <f aca="false">ROUND(ABS(淡江大學_p5!V40),0)</f>
        <v>502148</v>
      </c>
      <c r="W14" s="4" t="n">
        <f aca="false">ROUND(ABS(淡江大學_p5!W40),0)</f>
        <v>499960</v>
      </c>
      <c r="X14" s="2"/>
    </row>
    <row r="15" customFormat="false" ht="15" hidden="false" customHeight="true" outlineLevel="0" collapsed="false">
      <c r="A15" s="2"/>
      <c r="B15" s="2"/>
      <c r="C15" s="5" t="s">
        <v>3</v>
      </c>
      <c r="D15" s="6" t="n">
        <f aca="false">SUM(D6:D14)</f>
        <v>1624596</v>
      </c>
      <c r="E15" s="6" t="n">
        <f aca="false">SUM(E6:E14)</f>
        <v>1618032</v>
      </c>
      <c r="F15" s="6" t="n">
        <f aca="false">SUM(F6:F14)</f>
        <v>1611468</v>
      </c>
      <c r="G15" s="6" t="n">
        <f aca="false">SUM(G6:G14)</f>
        <v>1604904</v>
      </c>
      <c r="H15" s="6" t="n">
        <f aca="false">SUM(H6:H14)</f>
        <v>1598340</v>
      </c>
      <c r="I15" s="6" t="n">
        <f aca="false">SUM(I6:I14)</f>
        <v>1591776</v>
      </c>
      <c r="J15" s="6" t="n">
        <f aca="false">SUM(J6:J14)</f>
        <v>1585212</v>
      </c>
      <c r="K15" s="6" t="n">
        <f aca="false">SUM(K6:K14)</f>
        <v>1578648</v>
      </c>
      <c r="L15" s="6" t="n">
        <f aca="false">SUM(L6:L14)</f>
        <v>1572084</v>
      </c>
      <c r="M15" s="6" t="n">
        <f aca="false">SUM(M6:M14)</f>
        <v>1565520</v>
      </c>
      <c r="N15" s="6" t="n">
        <f aca="false">SUM(N6:N14)</f>
        <v>1558956</v>
      </c>
      <c r="O15" s="6" t="n">
        <f aca="false">SUM(O6:O14)</f>
        <v>1552392</v>
      </c>
      <c r="P15" s="6" t="n">
        <f aca="false">SUM(P6:P14)</f>
        <v>1545828</v>
      </c>
      <c r="Q15" s="6" t="n">
        <f aca="false">SUM(Q6:Q14)</f>
        <v>1539264</v>
      </c>
      <c r="R15" s="6" t="n">
        <f aca="false">SUM(R6:R14)</f>
        <v>1532700</v>
      </c>
      <c r="S15" s="6" t="n">
        <f aca="false">SUM(S6:S14)</f>
        <v>1526136</v>
      </c>
      <c r="T15" s="6" t="n">
        <f aca="false">SUM(T6:T14)</f>
        <v>1519572</v>
      </c>
      <c r="U15" s="6" t="n">
        <f aca="false">SUM(U6:U14)</f>
        <v>1513008</v>
      </c>
      <c r="V15" s="6" t="n">
        <f aca="false">SUM(V6:V14)</f>
        <v>1506444</v>
      </c>
      <c r="W15" s="6" t="n">
        <f aca="false">SUM(W6:W14)</f>
        <v>1499880</v>
      </c>
      <c r="X15" s="2"/>
    </row>
    <row r="16" customFormat="false" ht="15" hidden="false" customHeight="true" outlineLevel="0" collapsed="false">
      <c r="A16" s="2"/>
      <c r="B16" s="2"/>
      <c r="C16" s="3" t="s">
        <v>0</v>
      </c>
      <c r="D16" s="7" t="n">
        <v>2020</v>
      </c>
      <c r="E16" s="7" t="n">
        <v>2021</v>
      </c>
      <c r="F16" s="7" t="n">
        <v>2022</v>
      </c>
      <c r="G16" s="7" t="n">
        <v>2023</v>
      </c>
      <c r="H16" s="7" t="n">
        <v>2024</v>
      </c>
      <c r="I16" s="7" t="n">
        <v>2025</v>
      </c>
      <c r="J16" s="7" t="n">
        <v>2026</v>
      </c>
      <c r="K16" s="7" t="n">
        <v>2027</v>
      </c>
      <c r="L16" s="7" t="n">
        <v>2028</v>
      </c>
      <c r="M16" s="7" t="n">
        <v>2029</v>
      </c>
      <c r="N16" s="7" t="n">
        <v>2030</v>
      </c>
      <c r="O16" s="7" t="n">
        <v>2031</v>
      </c>
      <c r="P16" s="7" t="n">
        <v>2032</v>
      </c>
      <c r="Q16" s="7" t="n">
        <v>2033</v>
      </c>
      <c r="R16" s="7" t="n">
        <v>2034</v>
      </c>
      <c r="S16" s="7" t="n">
        <v>2035</v>
      </c>
      <c r="T16" s="7" t="n">
        <v>2036</v>
      </c>
      <c r="U16" s="7" t="n">
        <v>2037</v>
      </c>
      <c r="V16" s="7" t="n">
        <v>2038</v>
      </c>
      <c r="W16" s="7" t="n">
        <v>2039</v>
      </c>
      <c r="X16" s="2"/>
    </row>
    <row r="17" customFormat="false" ht="15" hidden="false" customHeight="true" outlineLevel="0" collapsed="false">
      <c r="A17" s="2"/>
      <c r="B17" s="2"/>
      <c r="C17" s="2" t="s">
        <v>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2"/>
    </row>
    <row r="18" customFormat="false" ht="15" hidden="false" customHeight="true" outlineLevel="0" collapsed="false">
      <c r="A18" s="2"/>
      <c r="B18" s="2" t="s">
        <v>2</v>
      </c>
      <c r="C18" s="2"/>
      <c r="D18" s="4" t="n">
        <f aca="false">ROUND(ABS(淡江大學_p6_1!D41),0)</f>
        <v>0</v>
      </c>
      <c r="E18" s="4" t="n">
        <f aca="false">ROUND(ABS(淡江大學_p6_1!E41),0)</f>
        <v>0</v>
      </c>
      <c r="F18" s="4" t="n">
        <f aca="false">ROUND(ABS(淡江大學_p6_1!F41),0)</f>
        <v>0</v>
      </c>
      <c r="G18" s="4" t="n">
        <f aca="false">ROUND(ABS(淡江大學_p6_1!G41),0)</f>
        <v>0</v>
      </c>
      <c r="H18" s="4" t="n">
        <f aca="false">ROUND(ABS(淡江大學_p6_1!H41),0)</f>
        <v>0</v>
      </c>
      <c r="I18" s="4" t="n">
        <f aca="false">ROUND(ABS(淡江大學_p6_1!I41),0)</f>
        <v>0</v>
      </c>
      <c r="J18" s="4" t="n">
        <f aca="false">ROUND(ABS(淡江大學_p6_1!J41),0)</f>
        <v>0</v>
      </c>
      <c r="K18" s="4" t="n">
        <f aca="false">ROUND(ABS(淡江大學_p6_1!K41),0)</f>
        <v>0</v>
      </c>
      <c r="L18" s="4" t="n">
        <f aca="false">ROUND(ABS(淡江大學_p6_1!L41),0)</f>
        <v>0</v>
      </c>
      <c r="M18" s="4" t="n">
        <f aca="false">ROUND(ABS(淡江大學_p6_1!M41),0)</f>
        <v>0</v>
      </c>
      <c r="N18" s="4" t="n">
        <f aca="false">ROUND(ABS(淡江大學_p6_1!N41),0)</f>
        <v>0</v>
      </c>
      <c r="O18" s="4" t="n">
        <f aca="false">ROUND(ABS(淡江大學_p6_1!O41),0)</f>
        <v>0</v>
      </c>
      <c r="P18" s="4" t="n">
        <f aca="false">ROUND(ABS(淡江大學_p6_1!P41),0)</f>
        <v>0</v>
      </c>
      <c r="Q18" s="4" t="n">
        <f aca="false">ROUND(ABS(淡江大學_p6_1!Q41),0)</f>
        <v>0</v>
      </c>
      <c r="R18" s="4" t="n">
        <f aca="false">ROUND(ABS(淡江大學_p6_1!R41),0)</f>
        <v>0</v>
      </c>
      <c r="S18" s="4" t="n">
        <f aca="false">ROUND(ABS(淡江大學_p6_1!S41),0)</f>
        <v>0</v>
      </c>
      <c r="T18" s="4" t="n">
        <f aca="false">ROUND(ABS(淡江大學_p6_1!T41),0)</f>
        <v>0</v>
      </c>
      <c r="U18" s="4" t="n">
        <f aca="false">ROUND(ABS(淡江大學_p6_1!U41),0)</f>
        <v>0</v>
      </c>
      <c r="V18" s="4" t="n">
        <f aca="false">ROUND(ABS(淡江大學_p6_1!V41),0)</f>
        <v>0</v>
      </c>
      <c r="W18" s="4" t="n">
        <f aca="false">ROUND(ABS(淡江大學_p6_1!W41),0)</f>
        <v>0</v>
      </c>
      <c r="X18" s="2"/>
    </row>
    <row r="19" customFormat="false" ht="15" hidden="false" customHeight="true" outlineLevel="0" collapsed="false">
      <c r="A19" s="2"/>
      <c r="B19" s="2" t="s">
        <v>2</v>
      </c>
      <c r="C19" s="2"/>
      <c r="D19" s="4" t="n">
        <f aca="false">ROUND(ABS(淡江大學_p4_2!D41),0)</f>
        <v>0</v>
      </c>
      <c r="E19" s="4" t="n">
        <f aca="false">ROUND(ABS(淡江大學_p4_2!E41),0)</f>
        <v>0</v>
      </c>
      <c r="F19" s="4" t="n">
        <f aca="false">ROUND(ABS(淡江大學_p4_2!F41),0)</f>
        <v>0</v>
      </c>
      <c r="G19" s="4" t="n">
        <f aca="false">ROUND(ABS(淡江大學_p4_2!G41),0)</f>
        <v>0</v>
      </c>
      <c r="H19" s="4" t="n">
        <f aca="false">ROUND(ABS(淡江大學_p4_2!H41),0)</f>
        <v>0</v>
      </c>
      <c r="I19" s="4" t="n">
        <f aca="false">ROUND(ABS(淡江大學_p4_2!I41),0)</f>
        <v>0</v>
      </c>
      <c r="J19" s="4" t="n">
        <f aca="false">ROUND(ABS(淡江大學_p4_2!J41),0)</f>
        <v>0</v>
      </c>
      <c r="K19" s="4" t="n">
        <f aca="false">ROUND(ABS(淡江大學_p4_2!K41),0)</f>
        <v>0</v>
      </c>
      <c r="L19" s="4" t="n">
        <f aca="false">ROUND(ABS(淡江大學_p4_2!L41),0)</f>
        <v>0</v>
      </c>
      <c r="M19" s="4" t="n">
        <f aca="false">ROUND(ABS(淡江大學_p4_2!M41),0)</f>
        <v>0</v>
      </c>
      <c r="N19" s="4" t="n">
        <f aca="false">ROUND(ABS(淡江大學_p4_2!N41),0)</f>
        <v>0</v>
      </c>
      <c r="O19" s="4" t="n">
        <f aca="false">ROUND(ABS(淡江大學_p4_2!O41),0)</f>
        <v>0</v>
      </c>
      <c r="P19" s="4" t="n">
        <f aca="false">ROUND(ABS(淡江大學_p4_2!P41),0)</f>
        <v>0</v>
      </c>
      <c r="Q19" s="4" t="n">
        <f aca="false">ROUND(ABS(淡江大學_p4_2!Q41),0)</f>
        <v>0</v>
      </c>
      <c r="R19" s="4" t="n">
        <f aca="false">ROUND(ABS(淡江大學_p4_2!R41),0)</f>
        <v>0</v>
      </c>
      <c r="S19" s="4" t="n">
        <f aca="false">ROUND(ABS(淡江大學_p4_2!S41),0)</f>
        <v>0</v>
      </c>
      <c r="T19" s="4" t="n">
        <f aca="false">ROUND(ABS(淡江大學_p4_2!T41),0)</f>
        <v>0</v>
      </c>
      <c r="U19" s="4" t="n">
        <f aca="false">ROUND(ABS(淡江大學_p4_2!U41),0)</f>
        <v>0</v>
      </c>
      <c r="V19" s="4" t="n">
        <f aca="false">ROUND(ABS(淡江大學_p4_2!V41),0)</f>
        <v>0</v>
      </c>
      <c r="W19" s="4" t="n">
        <f aca="false">ROUND(ABS(淡江大學_p4_2!W41),0)</f>
        <v>0</v>
      </c>
      <c r="X19" s="2"/>
    </row>
    <row r="20" customFormat="false" ht="15" hidden="false" customHeight="true" outlineLevel="0" collapsed="false">
      <c r="A20" s="2"/>
      <c r="B20" s="2" t="s">
        <v>2</v>
      </c>
      <c r="C20" s="2"/>
      <c r="D20" s="4" t="n">
        <f aca="false">ROUND(ABS(淡江大學_p4_1!D41),0)</f>
        <v>0</v>
      </c>
      <c r="E20" s="4" t="n">
        <f aca="false">ROUND(ABS(淡江大學_p4_1!E41),0)</f>
        <v>0</v>
      </c>
      <c r="F20" s="4" t="n">
        <f aca="false">ROUND(ABS(淡江大學_p4_1!F41),0)</f>
        <v>0</v>
      </c>
      <c r="G20" s="4" t="n">
        <f aca="false">ROUND(ABS(淡江大學_p4_1!G41),0)</f>
        <v>0</v>
      </c>
      <c r="H20" s="4" t="n">
        <f aca="false">ROUND(ABS(淡江大學_p4_1!H41),0)</f>
        <v>0</v>
      </c>
      <c r="I20" s="4" t="n">
        <f aca="false">ROUND(ABS(淡江大學_p4_1!I41),0)</f>
        <v>0</v>
      </c>
      <c r="J20" s="4" t="n">
        <f aca="false">ROUND(ABS(淡江大學_p4_1!J41),0)</f>
        <v>0</v>
      </c>
      <c r="K20" s="4" t="n">
        <f aca="false">ROUND(ABS(淡江大學_p4_1!K41),0)</f>
        <v>0</v>
      </c>
      <c r="L20" s="4" t="n">
        <f aca="false">ROUND(ABS(淡江大學_p4_1!L41),0)</f>
        <v>0</v>
      </c>
      <c r="M20" s="4" t="n">
        <f aca="false">ROUND(ABS(淡江大學_p4_1!M41),0)</f>
        <v>0</v>
      </c>
      <c r="N20" s="4" t="n">
        <f aca="false">ROUND(ABS(淡江大學_p4_1!N41),0)</f>
        <v>0</v>
      </c>
      <c r="O20" s="4" t="n">
        <f aca="false">ROUND(ABS(淡江大學_p4_1!O41),0)</f>
        <v>0</v>
      </c>
      <c r="P20" s="4" t="n">
        <f aca="false">ROUND(ABS(淡江大學_p4_1!P41),0)</f>
        <v>0</v>
      </c>
      <c r="Q20" s="4" t="n">
        <f aca="false">ROUND(ABS(淡江大學_p4_1!Q41),0)</f>
        <v>0</v>
      </c>
      <c r="R20" s="4" t="n">
        <f aca="false">ROUND(ABS(淡江大學_p4_1!R41),0)</f>
        <v>0</v>
      </c>
      <c r="S20" s="4" t="n">
        <f aca="false">ROUND(ABS(淡江大學_p4_1!S41),0)</f>
        <v>0</v>
      </c>
      <c r="T20" s="4" t="n">
        <f aca="false">ROUND(ABS(淡江大學_p4_1!T41),0)</f>
        <v>0</v>
      </c>
      <c r="U20" s="4" t="n">
        <f aca="false">ROUND(ABS(淡江大學_p4_1!U41),0)</f>
        <v>0</v>
      </c>
      <c r="V20" s="4" t="n">
        <f aca="false">ROUND(ABS(淡江大學_p4_1!V41),0)</f>
        <v>0</v>
      </c>
      <c r="W20" s="4" t="n">
        <f aca="false">ROUND(ABS(淡江大學_p4_1!W41),0)</f>
        <v>0</v>
      </c>
      <c r="X20" s="2"/>
    </row>
    <row r="21" customFormat="false" ht="15" hidden="false" customHeight="true" outlineLevel="0" collapsed="false">
      <c r="A21" s="2"/>
      <c r="B21" s="2" t="s">
        <v>2</v>
      </c>
      <c r="C21" s="2"/>
      <c r="D21" s="4" t="n">
        <f aca="false">ROUND(ABS(淡江大學_p4!D41),0)</f>
        <v>0</v>
      </c>
      <c r="E21" s="4" t="n">
        <f aca="false">ROUND(ABS(淡江大學_p4!E41),0)</f>
        <v>0</v>
      </c>
      <c r="F21" s="4" t="n">
        <f aca="false">ROUND(ABS(淡江大學_p4!F41),0)</f>
        <v>0</v>
      </c>
      <c r="G21" s="4" t="n">
        <f aca="false">ROUND(ABS(淡江大學_p4!G41),0)</f>
        <v>0</v>
      </c>
      <c r="H21" s="4" t="n">
        <f aca="false">ROUND(ABS(淡江大學_p4!H41),0)</f>
        <v>0</v>
      </c>
      <c r="I21" s="4" t="n">
        <f aca="false">ROUND(ABS(淡江大學_p4!I41),0)</f>
        <v>0</v>
      </c>
      <c r="J21" s="4" t="n">
        <f aca="false">ROUND(ABS(淡江大學_p4!J41),0)</f>
        <v>0</v>
      </c>
      <c r="K21" s="4" t="n">
        <f aca="false">ROUND(ABS(淡江大學_p4!K41),0)</f>
        <v>0</v>
      </c>
      <c r="L21" s="4" t="n">
        <f aca="false">ROUND(ABS(淡江大學_p4!L41),0)</f>
        <v>0</v>
      </c>
      <c r="M21" s="4" t="n">
        <f aca="false">ROUND(ABS(淡江大學_p4!M41),0)</f>
        <v>0</v>
      </c>
      <c r="N21" s="4" t="n">
        <f aca="false">ROUND(ABS(淡江大學_p4!N41),0)</f>
        <v>0</v>
      </c>
      <c r="O21" s="4" t="n">
        <f aca="false">ROUND(ABS(淡江大學_p4!O41),0)</f>
        <v>0</v>
      </c>
      <c r="P21" s="4" t="n">
        <f aca="false">ROUND(ABS(淡江大學_p4!P41),0)</f>
        <v>0</v>
      </c>
      <c r="Q21" s="4" t="n">
        <f aca="false">ROUND(ABS(淡江大學_p4!Q41),0)</f>
        <v>0</v>
      </c>
      <c r="R21" s="4" t="n">
        <f aca="false">ROUND(ABS(淡江大學_p4!R41),0)</f>
        <v>0</v>
      </c>
      <c r="S21" s="4" t="n">
        <f aca="false">ROUND(ABS(淡江大學_p4!S41),0)</f>
        <v>0</v>
      </c>
      <c r="T21" s="4" t="n">
        <f aca="false">ROUND(ABS(淡江大學_p4!T41),0)</f>
        <v>0</v>
      </c>
      <c r="U21" s="4" t="n">
        <f aca="false">ROUND(ABS(淡江大學_p4!U41),0)</f>
        <v>0</v>
      </c>
      <c r="V21" s="4" t="n">
        <f aca="false">ROUND(ABS(淡江大學_p4!V41),0)</f>
        <v>0</v>
      </c>
      <c r="W21" s="4" t="n">
        <f aca="false">ROUND(ABS(淡江大學_p4!W41),0)</f>
        <v>0</v>
      </c>
      <c r="X21" s="2"/>
    </row>
    <row r="22" customFormat="false" ht="15" hidden="false" customHeight="true" outlineLevel="0" collapsed="false">
      <c r="A22" s="2"/>
      <c r="B22" s="2" t="s">
        <v>2</v>
      </c>
      <c r="C22" s="2"/>
      <c r="D22" s="4" t="n">
        <f aca="false">ROUND(ABS(淡江大學_p6!D41),0)</f>
        <v>0</v>
      </c>
      <c r="E22" s="4" t="n">
        <f aca="false">ROUND(ABS(淡江大學_p6!E41),0)</f>
        <v>0</v>
      </c>
      <c r="F22" s="4" t="n">
        <f aca="false">ROUND(ABS(淡江大學_p6!F41),0)</f>
        <v>0</v>
      </c>
      <c r="G22" s="4" t="n">
        <f aca="false">ROUND(ABS(淡江大學_p6!G41),0)</f>
        <v>0</v>
      </c>
      <c r="H22" s="4" t="n">
        <f aca="false">ROUND(ABS(淡江大學_p6!H41),0)</f>
        <v>0</v>
      </c>
      <c r="I22" s="4" t="n">
        <f aca="false">ROUND(ABS(淡江大學_p6!I41),0)</f>
        <v>0</v>
      </c>
      <c r="J22" s="4" t="n">
        <f aca="false">ROUND(ABS(淡江大學_p6!J41),0)</f>
        <v>0</v>
      </c>
      <c r="K22" s="4" t="n">
        <f aca="false">ROUND(ABS(淡江大學_p6!K41),0)</f>
        <v>0</v>
      </c>
      <c r="L22" s="4" t="n">
        <f aca="false">ROUND(ABS(淡江大學_p6!L41),0)</f>
        <v>0</v>
      </c>
      <c r="M22" s="4" t="n">
        <f aca="false">ROUND(ABS(淡江大學_p6!M41),0)</f>
        <v>0</v>
      </c>
      <c r="N22" s="4" t="n">
        <f aca="false">ROUND(ABS(淡江大學_p6!N41),0)</f>
        <v>0</v>
      </c>
      <c r="O22" s="4" t="n">
        <f aca="false">ROUND(ABS(淡江大學_p6!O41),0)</f>
        <v>0</v>
      </c>
      <c r="P22" s="4" t="n">
        <f aca="false">ROUND(ABS(淡江大學_p6!P41),0)</f>
        <v>0</v>
      </c>
      <c r="Q22" s="4" t="n">
        <f aca="false">ROUND(ABS(淡江大學_p6!Q41),0)</f>
        <v>0</v>
      </c>
      <c r="R22" s="4" t="n">
        <f aca="false">ROUND(ABS(淡江大學_p6!R41),0)</f>
        <v>0</v>
      </c>
      <c r="S22" s="4" t="n">
        <f aca="false">ROUND(ABS(淡江大學_p6!S41),0)</f>
        <v>0</v>
      </c>
      <c r="T22" s="4" t="n">
        <f aca="false">ROUND(ABS(淡江大學_p6!T41),0)</f>
        <v>0</v>
      </c>
      <c r="U22" s="4" t="n">
        <f aca="false">ROUND(ABS(淡江大學_p6!U41),0)</f>
        <v>0</v>
      </c>
      <c r="V22" s="4" t="n">
        <f aca="false">ROUND(ABS(淡江大學_p6!V41),0)</f>
        <v>0</v>
      </c>
      <c r="W22" s="4" t="n">
        <f aca="false">ROUND(ABS(淡江大學_p6!W41),0)</f>
        <v>0</v>
      </c>
      <c r="X22" s="2"/>
    </row>
    <row r="23" customFormat="false" ht="15" hidden="false" customHeight="true" outlineLevel="0" collapsed="false">
      <c r="A23" s="2"/>
      <c r="B23" s="2" t="s">
        <v>2</v>
      </c>
      <c r="C23" s="2"/>
      <c r="D23" s="4" t="n">
        <f aca="false">ROUND(ABS(淡江大學_p3!D41),0)</f>
        <v>0</v>
      </c>
      <c r="E23" s="4" t="n">
        <f aca="false">ROUND(ABS(淡江大學_p3!E41),0)</f>
        <v>0</v>
      </c>
      <c r="F23" s="4" t="n">
        <f aca="false">ROUND(ABS(淡江大學_p3!F41),0)</f>
        <v>0</v>
      </c>
      <c r="G23" s="4" t="n">
        <f aca="false">ROUND(ABS(淡江大學_p3!G41),0)</f>
        <v>0</v>
      </c>
      <c r="H23" s="4" t="n">
        <f aca="false">ROUND(ABS(淡江大學_p3!H41),0)</f>
        <v>0</v>
      </c>
      <c r="I23" s="4" t="n">
        <f aca="false">ROUND(ABS(淡江大學_p3!I41),0)</f>
        <v>0</v>
      </c>
      <c r="J23" s="4" t="n">
        <f aca="false">ROUND(ABS(淡江大學_p3!J41),0)</f>
        <v>0</v>
      </c>
      <c r="K23" s="4" t="n">
        <f aca="false">ROUND(ABS(淡江大學_p3!K41),0)</f>
        <v>0</v>
      </c>
      <c r="L23" s="4" t="n">
        <f aca="false">ROUND(ABS(淡江大學_p3!L41),0)</f>
        <v>0</v>
      </c>
      <c r="M23" s="4" t="n">
        <f aca="false">ROUND(ABS(淡江大學_p3!M41),0)</f>
        <v>0</v>
      </c>
      <c r="N23" s="4" t="n">
        <f aca="false">ROUND(ABS(淡江大學_p3!N41),0)</f>
        <v>0</v>
      </c>
      <c r="O23" s="4" t="n">
        <f aca="false">ROUND(ABS(淡江大學_p3!O41),0)</f>
        <v>0</v>
      </c>
      <c r="P23" s="4" t="n">
        <f aca="false">ROUND(ABS(淡江大學_p3!P41),0)</f>
        <v>0</v>
      </c>
      <c r="Q23" s="4" t="n">
        <f aca="false">ROUND(ABS(淡江大學_p3!Q41),0)</f>
        <v>0</v>
      </c>
      <c r="R23" s="4" t="n">
        <f aca="false">ROUND(ABS(淡江大學_p3!R41),0)</f>
        <v>0</v>
      </c>
      <c r="S23" s="4" t="n">
        <f aca="false">ROUND(ABS(淡江大學_p3!S41),0)</f>
        <v>0</v>
      </c>
      <c r="T23" s="4" t="n">
        <f aca="false">ROUND(ABS(淡江大學_p3!T41),0)</f>
        <v>0</v>
      </c>
      <c r="U23" s="4" t="n">
        <f aca="false">ROUND(ABS(淡江大學_p3!U41),0)</f>
        <v>0</v>
      </c>
      <c r="V23" s="4" t="n">
        <f aca="false">ROUND(ABS(淡江大學_p3!V41),0)</f>
        <v>0</v>
      </c>
      <c r="W23" s="4" t="n">
        <f aca="false">ROUND(ABS(淡江大學_p3!W41),0)</f>
        <v>0</v>
      </c>
      <c r="X23" s="2"/>
    </row>
    <row r="24" customFormat="false" ht="15" hidden="false" customHeight="true" outlineLevel="0" collapsed="false">
      <c r="A24" s="2"/>
      <c r="B24" s="2" t="s">
        <v>2</v>
      </c>
      <c r="C24" s="2"/>
      <c r="D24" s="4" t="n">
        <f aca="false">ROUND(ABS(淡江大學_p4_3!D41),0)</f>
        <v>2166128</v>
      </c>
      <c r="E24" s="4" t="n">
        <f aca="false">ROUND(ABS(淡江大學_p4_3!E41),0)</f>
        <v>2157376</v>
      </c>
      <c r="F24" s="4" t="n">
        <f aca="false">ROUND(ABS(淡江大學_p4_3!F41),0)</f>
        <v>2148624</v>
      </c>
      <c r="G24" s="4" t="n">
        <f aca="false">ROUND(ABS(淡江大學_p4_3!G41),0)</f>
        <v>2139872</v>
      </c>
      <c r="H24" s="4" t="n">
        <f aca="false">ROUND(ABS(淡江大學_p4_3!H41),0)</f>
        <v>2131120</v>
      </c>
      <c r="I24" s="4" t="n">
        <f aca="false">ROUND(ABS(淡江大學_p4_3!I41),0)</f>
        <v>2122368</v>
      </c>
      <c r="J24" s="4" t="n">
        <f aca="false">ROUND(ABS(淡江大學_p4_3!J41),0)</f>
        <v>2113616</v>
      </c>
      <c r="K24" s="4" t="n">
        <f aca="false">ROUND(ABS(淡江大學_p4_3!K41),0)</f>
        <v>2104864</v>
      </c>
      <c r="L24" s="4" t="n">
        <f aca="false">ROUND(ABS(淡江大學_p4_3!L41),0)</f>
        <v>2096112</v>
      </c>
      <c r="M24" s="4" t="n">
        <f aca="false">ROUND(ABS(淡江大學_p4_3!M41),0)</f>
        <v>2087360</v>
      </c>
      <c r="N24" s="4" t="n">
        <f aca="false">ROUND(ABS(淡江大學_p4_3!N41),0)</f>
        <v>2078608</v>
      </c>
      <c r="O24" s="4" t="n">
        <f aca="false">ROUND(ABS(淡江大學_p4_3!O41),0)</f>
        <v>2069856</v>
      </c>
      <c r="P24" s="4" t="n">
        <f aca="false">ROUND(ABS(淡江大學_p4_3!P41),0)</f>
        <v>2061104</v>
      </c>
      <c r="Q24" s="4" t="n">
        <f aca="false">ROUND(ABS(淡江大學_p4_3!Q41),0)</f>
        <v>2052352</v>
      </c>
      <c r="R24" s="4" t="n">
        <f aca="false">ROUND(ABS(淡江大學_p4_3!R41),0)</f>
        <v>2043599</v>
      </c>
      <c r="S24" s="4" t="n">
        <f aca="false">ROUND(ABS(淡江大學_p4_3!S41),0)</f>
        <v>2034847</v>
      </c>
      <c r="T24" s="4" t="n">
        <f aca="false">ROUND(ABS(淡江大學_p4_3!T41),0)</f>
        <v>2026095</v>
      </c>
      <c r="U24" s="4" t="n">
        <f aca="false">ROUND(ABS(淡江大學_p4_3!U41),0)</f>
        <v>2017343</v>
      </c>
      <c r="V24" s="4" t="n">
        <f aca="false">ROUND(ABS(淡江大學_p4_3!V41),0)</f>
        <v>2008591</v>
      </c>
      <c r="W24" s="4" t="n">
        <f aca="false">ROUND(ABS(淡江大學_p4_3!W41),0)</f>
        <v>1999839</v>
      </c>
      <c r="X24" s="2"/>
    </row>
    <row r="25" customFormat="false" ht="15" hidden="false" customHeight="true" outlineLevel="0" collapsed="false">
      <c r="A25" s="2"/>
      <c r="B25" s="2" t="s">
        <v>2</v>
      </c>
      <c r="C25" s="2"/>
      <c r="D25" s="4" t="n">
        <f aca="false">ROUND(ABS(淡江大學_p3_1!D41),0)</f>
        <v>2166128</v>
      </c>
      <c r="E25" s="4" t="n">
        <f aca="false">ROUND(ABS(淡江大學_p3_1!E41),0)</f>
        <v>2157376</v>
      </c>
      <c r="F25" s="4" t="n">
        <f aca="false">ROUND(ABS(淡江大學_p3_1!F41),0)</f>
        <v>2148624</v>
      </c>
      <c r="G25" s="4" t="n">
        <f aca="false">ROUND(ABS(淡江大學_p3_1!G41),0)</f>
        <v>2139872</v>
      </c>
      <c r="H25" s="4" t="n">
        <f aca="false">ROUND(ABS(淡江大學_p3_1!H41),0)</f>
        <v>2131120</v>
      </c>
      <c r="I25" s="4" t="n">
        <f aca="false">ROUND(ABS(淡江大學_p3_1!I41),0)</f>
        <v>2122368</v>
      </c>
      <c r="J25" s="4" t="n">
        <f aca="false">ROUND(ABS(淡江大學_p3_1!J41),0)</f>
        <v>2113616</v>
      </c>
      <c r="K25" s="4" t="n">
        <f aca="false">ROUND(ABS(淡江大學_p3_1!K41),0)</f>
        <v>2104864</v>
      </c>
      <c r="L25" s="4" t="n">
        <f aca="false">ROUND(ABS(淡江大學_p3_1!L41),0)</f>
        <v>2096112</v>
      </c>
      <c r="M25" s="4" t="n">
        <f aca="false">ROUND(ABS(淡江大學_p3_1!M41),0)</f>
        <v>2087360</v>
      </c>
      <c r="N25" s="4" t="n">
        <f aca="false">ROUND(ABS(淡江大學_p3_1!N41),0)</f>
        <v>2078608</v>
      </c>
      <c r="O25" s="4" t="n">
        <f aca="false">ROUND(ABS(淡江大學_p3_1!O41),0)</f>
        <v>2069856</v>
      </c>
      <c r="P25" s="4" t="n">
        <f aca="false">ROUND(ABS(淡江大學_p3_1!P41),0)</f>
        <v>2061104</v>
      </c>
      <c r="Q25" s="4" t="n">
        <f aca="false">ROUND(ABS(淡江大學_p3_1!Q41),0)</f>
        <v>2052352</v>
      </c>
      <c r="R25" s="4" t="n">
        <f aca="false">ROUND(ABS(淡江大學_p3_1!R41),0)</f>
        <v>2043599</v>
      </c>
      <c r="S25" s="4" t="n">
        <f aca="false">ROUND(ABS(淡江大學_p3_1!S41),0)</f>
        <v>2034847</v>
      </c>
      <c r="T25" s="4" t="n">
        <f aca="false">ROUND(ABS(淡江大學_p3_1!T41),0)</f>
        <v>2026095</v>
      </c>
      <c r="U25" s="4" t="n">
        <f aca="false">ROUND(ABS(淡江大學_p3_1!U41),0)</f>
        <v>2017343</v>
      </c>
      <c r="V25" s="4" t="n">
        <f aca="false">ROUND(ABS(淡江大學_p3_1!V41),0)</f>
        <v>2008591</v>
      </c>
      <c r="W25" s="4" t="n">
        <f aca="false">ROUND(ABS(淡江大學_p3_1!W41),0)</f>
        <v>1999839</v>
      </c>
      <c r="X25" s="2"/>
    </row>
    <row r="26" customFormat="false" ht="15" hidden="false" customHeight="true" outlineLevel="0" collapsed="false">
      <c r="A26" s="2"/>
      <c r="B26" s="2" t="s">
        <v>2</v>
      </c>
      <c r="C26" s="2"/>
      <c r="D26" s="4" t="n">
        <f aca="false">ROUND(ABS(淡江大學_p5!D41),0)</f>
        <v>2166128</v>
      </c>
      <c r="E26" s="4" t="n">
        <f aca="false">ROUND(ABS(淡江大學_p5!E41),0)</f>
        <v>2157376</v>
      </c>
      <c r="F26" s="4" t="n">
        <f aca="false">ROUND(ABS(淡江大學_p5!F41),0)</f>
        <v>2148624</v>
      </c>
      <c r="G26" s="4" t="n">
        <f aca="false">ROUND(ABS(淡江大學_p5!G41),0)</f>
        <v>2139872</v>
      </c>
      <c r="H26" s="4" t="n">
        <f aca="false">ROUND(ABS(淡江大學_p5!H41),0)</f>
        <v>2131120</v>
      </c>
      <c r="I26" s="4" t="n">
        <f aca="false">ROUND(ABS(淡江大學_p5!I41),0)</f>
        <v>2122368</v>
      </c>
      <c r="J26" s="4" t="n">
        <f aca="false">ROUND(ABS(淡江大學_p5!J41),0)</f>
        <v>2113616</v>
      </c>
      <c r="K26" s="4" t="n">
        <f aca="false">ROUND(ABS(淡江大學_p5!K41),0)</f>
        <v>2104864</v>
      </c>
      <c r="L26" s="4" t="n">
        <f aca="false">ROUND(ABS(淡江大學_p5!L41),0)</f>
        <v>2096112</v>
      </c>
      <c r="M26" s="4" t="n">
        <f aca="false">ROUND(ABS(淡江大學_p5!M41),0)</f>
        <v>2087360</v>
      </c>
      <c r="N26" s="4" t="n">
        <f aca="false">ROUND(ABS(淡江大學_p5!N41),0)</f>
        <v>2078608</v>
      </c>
      <c r="O26" s="4" t="n">
        <f aca="false">ROUND(ABS(淡江大學_p5!O41),0)</f>
        <v>2069856</v>
      </c>
      <c r="P26" s="4" t="n">
        <f aca="false">ROUND(ABS(淡江大學_p5!P41),0)</f>
        <v>2061104</v>
      </c>
      <c r="Q26" s="4" t="n">
        <f aca="false">ROUND(ABS(淡江大學_p5!Q41),0)</f>
        <v>2052352</v>
      </c>
      <c r="R26" s="4" t="n">
        <f aca="false">ROUND(ABS(淡江大學_p5!R41),0)</f>
        <v>2043599</v>
      </c>
      <c r="S26" s="4" t="n">
        <f aca="false">ROUND(ABS(淡江大學_p5!S41),0)</f>
        <v>2034847</v>
      </c>
      <c r="T26" s="4" t="n">
        <f aca="false">ROUND(ABS(淡江大學_p5!T41),0)</f>
        <v>2026095</v>
      </c>
      <c r="U26" s="4" t="n">
        <f aca="false">ROUND(ABS(淡江大學_p5!U41),0)</f>
        <v>2017343</v>
      </c>
      <c r="V26" s="4" t="n">
        <f aca="false">ROUND(ABS(淡江大學_p5!V41),0)</f>
        <v>2008591</v>
      </c>
      <c r="W26" s="4" t="n">
        <f aca="false">ROUND(ABS(淡江大學_p5!W41),0)</f>
        <v>1999839</v>
      </c>
      <c r="X26" s="2"/>
    </row>
    <row r="27" customFormat="false" ht="15" hidden="false" customHeight="true" outlineLevel="0" collapsed="false">
      <c r="A27" s="2"/>
      <c r="B27" s="2"/>
      <c r="C27" s="8" t="s">
        <v>5</v>
      </c>
      <c r="D27" s="9" t="n">
        <f aca="false">SUM(D18:D26)</f>
        <v>6498384</v>
      </c>
      <c r="E27" s="9" t="n">
        <f aca="false">SUM(E18:E26)</f>
        <v>6472128</v>
      </c>
      <c r="F27" s="9" t="n">
        <f aca="false">SUM(F18:F26)</f>
        <v>6445872</v>
      </c>
      <c r="G27" s="9" t="n">
        <f aca="false">SUM(G18:G26)</f>
        <v>6419616</v>
      </c>
      <c r="H27" s="9" t="n">
        <f aca="false">SUM(H18:H26)</f>
        <v>6393360</v>
      </c>
      <c r="I27" s="9" t="n">
        <f aca="false">SUM(I18:I26)</f>
        <v>6367104</v>
      </c>
      <c r="J27" s="9" t="n">
        <f aca="false">SUM(J18:J26)</f>
        <v>6340848</v>
      </c>
      <c r="K27" s="9" t="n">
        <f aca="false">SUM(K18:K26)</f>
        <v>6314592</v>
      </c>
      <c r="L27" s="9" t="n">
        <f aca="false">SUM(L18:L26)</f>
        <v>6288336</v>
      </c>
      <c r="M27" s="9" t="n">
        <f aca="false">SUM(M18:M26)</f>
        <v>6262080</v>
      </c>
      <c r="N27" s="9" t="n">
        <f aca="false">SUM(N18:N26)</f>
        <v>6235824</v>
      </c>
      <c r="O27" s="9" t="n">
        <f aca="false">SUM(O18:O26)</f>
        <v>6209568</v>
      </c>
      <c r="P27" s="9" t="n">
        <f aca="false">SUM(P18:P26)</f>
        <v>6183312</v>
      </c>
      <c r="Q27" s="9" t="n">
        <f aca="false">SUM(Q18:Q26)</f>
        <v>6157056</v>
      </c>
      <c r="R27" s="9" t="n">
        <f aca="false">SUM(R18:R26)</f>
        <v>6130797</v>
      </c>
      <c r="S27" s="9" t="n">
        <f aca="false">SUM(S18:S26)</f>
        <v>6104541</v>
      </c>
      <c r="T27" s="9" t="n">
        <f aca="false">SUM(T18:T26)</f>
        <v>6078285</v>
      </c>
      <c r="U27" s="9" t="n">
        <f aca="false">SUM(U18:U26)</f>
        <v>6052029</v>
      </c>
      <c r="V27" s="9" t="n">
        <f aca="false">SUM(V18:V26)</f>
        <v>6025773</v>
      </c>
      <c r="W27" s="9" t="n">
        <f aca="false">SUM(W18:W26)</f>
        <v>5999517</v>
      </c>
      <c r="X27" s="2"/>
    </row>
    <row r="28" customFormat="false" ht="15" hidden="false" customHeight="true" outlineLevel="0" collapsed="false">
      <c r="A28" s="2"/>
      <c r="B28" s="2"/>
      <c r="C28" s="3" t="s">
        <v>0</v>
      </c>
      <c r="D28" s="7" t="n">
        <v>2020</v>
      </c>
      <c r="E28" s="7" t="n">
        <v>2021</v>
      </c>
      <c r="F28" s="7" t="n">
        <v>2022</v>
      </c>
      <c r="G28" s="7" t="n">
        <v>2023</v>
      </c>
      <c r="H28" s="7" t="n">
        <v>2024</v>
      </c>
      <c r="I28" s="7" t="n">
        <v>2025</v>
      </c>
      <c r="J28" s="7" t="n">
        <v>2026</v>
      </c>
      <c r="K28" s="7" t="n">
        <v>2027</v>
      </c>
      <c r="L28" s="7" t="n">
        <v>2028</v>
      </c>
      <c r="M28" s="7" t="n">
        <v>2029</v>
      </c>
      <c r="N28" s="7" t="n">
        <v>2030</v>
      </c>
      <c r="O28" s="7" t="n">
        <v>2031</v>
      </c>
      <c r="P28" s="7" t="n">
        <v>2032</v>
      </c>
      <c r="Q28" s="7" t="n">
        <v>2033</v>
      </c>
      <c r="R28" s="7" t="n">
        <v>2034</v>
      </c>
      <c r="S28" s="7" t="n">
        <v>2035</v>
      </c>
      <c r="T28" s="7" t="n">
        <v>2036</v>
      </c>
      <c r="U28" s="7" t="n">
        <v>2037</v>
      </c>
      <c r="V28" s="7" t="n">
        <v>2038</v>
      </c>
      <c r="W28" s="7" t="n">
        <v>2039</v>
      </c>
      <c r="X28" s="2"/>
    </row>
    <row r="29" customFormat="false" ht="15" hidden="false" customHeight="true" outlineLevel="0" collapsed="false">
      <c r="A29" s="2"/>
      <c r="B29" s="2"/>
      <c r="C29" s="2" t="s">
        <v>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2"/>
    </row>
    <row r="30" customFormat="false" ht="15" hidden="false" customHeight="true" outlineLevel="0" collapsed="false">
      <c r="A30" s="2"/>
      <c r="B30" s="2" t="s">
        <v>2</v>
      </c>
      <c r="C30" s="2"/>
      <c r="D30" s="4" t="n">
        <f aca="false">ROUND(ABS(淡江大學_p6_1!D45),0)</f>
        <v>290201</v>
      </c>
      <c r="E30" s="4" t="n">
        <f aca="false">ROUND(ABS(淡江大學_p6_1!E45),0)</f>
        <v>290201</v>
      </c>
      <c r="F30" s="4" t="n">
        <f aca="false">ROUND(ABS(淡江大學_p6_1!F45),0)</f>
        <v>290201</v>
      </c>
      <c r="G30" s="4" t="n">
        <f aca="false">ROUND(ABS(淡江大學_p6_1!G45),0)</f>
        <v>290201</v>
      </c>
      <c r="H30" s="4" t="n">
        <f aca="false">ROUND(ABS(淡江大學_p6_1!H45),0)</f>
        <v>290201</v>
      </c>
      <c r="I30" s="4" t="n">
        <f aca="false">ROUND(ABS(淡江大學_p6_1!I45),0)</f>
        <v>290201</v>
      </c>
      <c r="J30" s="4" t="n">
        <f aca="false">ROUND(ABS(淡江大學_p6_1!J45),0)</f>
        <v>290201</v>
      </c>
      <c r="K30" s="4" t="n">
        <f aca="false">ROUND(ABS(淡江大學_p6_1!K45),0)</f>
        <v>290201</v>
      </c>
      <c r="L30" s="4" t="n">
        <f aca="false">ROUND(ABS(淡江大學_p6_1!L45),0)</f>
        <v>290201</v>
      </c>
      <c r="M30" s="4" t="n">
        <f aca="false">ROUND(ABS(淡江大學_p6_1!M45),0)</f>
        <v>290201</v>
      </c>
      <c r="N30" s="4" t="n">
        <f aca="false">ROUND(ABS(淡江大學_p6_1!N45),0)</f>
        <v>290201</v>
      </c>
      <c r="O30" s="4" t="n">
        <f aca="false">ROUND(ABS(淡江大學_p6_1!O45),0)</f>
        <v>290201</v>
      </c>
      <c r="P30" s="4" t="n">
        <f aca="false">ROUND(ABS(淡江大學_p6_1!P45),0)</f>
        <v>290201</v>
      </c>
      <c r="Q30" s="4" t="n">
        <f aca="false">ROUND(ABS(淡江大學_p6_1!Q45),0)</f>
        <v>290201</v>
      </c>
      <c r="R30" s="4" t="n">
        <f aca="false">ROUND(ABS(淡江大學_p6_1!R45),0)</f>
        <v>290201</v>
      </c>
      <c r="S30" s="4" t="n">
        <f aca="false">ROUND(ABS(淡江大學_p6_1!S45),0)</f>
        <v>290201</v>
      </c>
      <c r="T30" s="4" t="n">
        <f aca="false">ROUND(ABS(淡江大學_p6_1!T45),0)</f>
        <v>290201</v>
      </c>
      <c r="U30" s="4" t="n">
        <f aca="false">ROUND(ABS(淡江大學_p6_1!U45),0)</f>
        <v>290201</v>
      </c>
      <c r="V30" s="4" t="n">
        <f aca="false">ROUND(ABS(淡江大學_p6_1!V45),0)</f>
        <v>290201</v>
      </c>
      <c r="W30" s="4" t="n">
        <f aca="false">ROUND(ABS(淡江大學_p6_1!W45),0)</f>
        <v>290201</v>
      </c>
      <c r="X30" s="2"/>
    </row>
    <row r="31" customFormat="false" ht="15" hidden="false" customHeight="true" outlineLevel="0" collapsed="false">
      <c r="A31" s="2"/>
      <c r="B31" s="2" t="s">
        <v>2</v>
      </c>
      <c r="C31" s="2"/>
      <c r="D31" s="4" t="n">
        <f aca="false">ROUND(ABS(淡江大學_p4_2!D45),0)</f>
        <v>290201</v>
      </c>
      <c r="E31" s="4" t="n">
        <f aca="false">ROUND(ABS(淡江大學_p4_2!E45),0)</f>
        <v>290201</v>
      </c>
      <c r="F31" s="4" t="n">
        <f aca="false">ROUND(ABS(淡江大學_p4_2!F45),0)</f>
        <v>290201</v>
      </c>
      <c r="G31" s="4" t="n">
        <f aca="false">ROUND(ABS(淡江大學_p4_2!G45),0)</f>
        <v>290201</v>
      </c>
      <c r="H31" s="4" t="n">
        <f aca="false">ROUND(ABS(淡江大學_p4_2!H45),0)</f>
        <v>290201</v>
      </c>
      <c r="I31" s="4" t="n">
        <f aca="false">ROUND(ABS(淡江大學_p4_2!I45),0)</f>
        <v>290201</v>
      </c>
      <c r="J31" s="4" t="n">
        <f aca="false">ROUND(ABS(淡江大學_p4_2!J45),0)</f>
        <v>290201</v>
      </c>
      <c r="K31" s="4" t="n">
        <f aca="false">ROUND(ABS(淡江大學_p4_2!K45),0)</f>
        <v>290201</v>
      </c>
      <c r="L31" s="4" t="n">
        <f aca="false">ROUND(ABS(淡江大學_p4_2!L45),0)</f>
        <v>290201</v>
      </c>
      <c r="M31" s="4" t="n">
        <f aca="false">ROUND(ABS(淡江大學_p4_2!M45),0)</f>
        <v>290201</v>
      </c>
      <c r="N31" s="4" t="n">
        <f aca="false">ROUND(ABS(淡江大學_p4_2!N45),0)</f>
        <v>290201</v>
      </c>
      <c r="O31" s="4" t="n">
        <f aca="false">ROUND(ABS(淡江大學_p4_2!O45),0)</f>
        <v>290201</v>
      </c>
      <c r="P31" s="4" t="n">
        <f aca="false">ROUND(ABS(淡江大學_p4_2!P45),0)</f>
        <v>290201</v>
      </c>
      <c r="Q31" s="4" t="n">
        <f aca="false">ROUND(ABS(淡江大學_p4_2!Q45),0)</f>
        <v>290201</v>
      </c>
      <c r="R31" s="4" t="n">
        <f aca="false">ROUND(ABS(淡江大學_p4_2!R45),0)</f>
        <v>290201</v>
      </c>
      <c r="S31" s="4" t="n">
        <f aca="false">ROUND(ABS(淡江大學_p4_2!S45),0)</f>
        <v>290201</v>
      </c>
      <c r="T31" s="4" t="n">
        <f aca="false">ROUND(ABS(淡江大學_p4_2!T45),0)</f>
        <v>290201</v>
      </c>
      <c r="U31" s="4" t="n">
        <f aca="false">ROUND(ABS(淡江大學_p4_2!U45),0)</f>
        <v>290201</v>
      </c>
      <c r="V31" s="4" t="n">
        <f aca="false">ROUND(ABS(淡江大學_p4_2!V45),0)</f>
        <v>290201</v>
      </c>
      <c r="W31" s="4" t="n">
        <f aca="false">ROUND(ABS(淡江大學_p4_2!W45),0)</f>
        <v>290201</v>
      </c>
      <c r="X31" s="2"/>
    </row>
    <row r="32" customFormat="false" ht="15" hidden="false" customHeight="true" outlineLevel="0" collapsed="false">
      <c r="A32" s="2"/>
      <c r="B32" s="2" t="s">
        <v>2</v>
      </c>
      <c r="C32" s="2"/>
      <c r="D32" s="4" t="n">
        <f aca="false">ROUND(ABS(淡江大學_p4_1!D45),0)</f>
        <v>290201</v>
      </c>
      <c r="E32" s="4" t="n">
        <f aca="false">ROUND(ABS(淡江大學_p4_1!E45),0)</f>
        <v>290201</v>
      </c>
      <c r="F32" s="4" t="n">
        <f aca="false">ROUND(ABS(淡江大學_p4_1!F45),0)</f>
        <v>290201</v>
      </c>
      <c r="G32" s="4" t="n">
        <f aca="false">ROUND(ABS(淡江大學_p4_1!G45),0)</f>
        <v>290201</v>
      </c>
      <c r="H32" s="4" t="n">
        <f aca="false">ROUND(ABS(淡江大學_p4_1!H45),0)</f>
        <v>290201</v>
      </c>
      <c r="I32" s="4" t="n">
        <f aca="false">ROUND(ABS(淡江大學_p4_1!I45),0)</f>
        <v>290201</v>
      </c>
      <c r="J32" s="4" t="n">
        <f aca="false">ROUND(ABS(淡江大學_p4_1!J45),0)</f>
        <v>290201</v>
      </c>
      <c r="K32" s="4" t="n">
        <f aca="false">ROUND(ABS(淡江大學_p4_1!K45),0)</f>
        <v>290201</v>
      </c>
      <c r="L32" s="4" t="n">
        <f aca="false">ROUND(ABS(淡江大學_p4_1!L45),0)</f>
        <v>290201</v>
      </c>
      <c r="M32" s="4" t="n">
        <f aca="false">ROUND(ABS(淡江大學_p4_1!M45),0)</f>
        <v>290201</v>
      </c>
      <c r="N32" s="4" t="n">
        <f aca="false">ROUND(ABS(淡江大學_p4_1!N45),0)</f>
        <v>290201</v>
      </c>
      <c r="O32" s="4" t="n">
        <f aca="false">ROUND(ABS(淡江大學_p4_1!O45),0)</f>
        <v>290201</v>
      </c>
      <c r="P32" s="4" t="n">
        <f aca="false">ROUND(ABS(淡江大學_p4_1!P45),0)</f>
        <v>290201</v>
      </c>
      <c r="Q32" s="4" t="n">
        <f aca="false">ROUND(ABS(淡江大學_p4_1!Q45),0)</f>
        <v>290201</v>
      </c>
      <c r="R32" s="4" t="n">
        <f aca="false">ROUND(ABS(淡江大學_p4_1!R45),0)</f>
        <v>290201</v>
      </c>
      <c r="S32" s="4" t="n">
        <f aca="false">ROUND(ABS(淡江大學_p4_1!S45),0)</f>
        <v>290201</v>
      </c>
      <c r="T32" s="4" t="n">
        <f aca="false">ROUND(ABS(淡江大學_p4_1!T45),0)</f>
        <v>290201</v>
      </c>
      <c r="U32" s="4" t="n">
        <f aca="false">ROUND(ABS(淡江大學_p4_1!U45),0)</f>
        <v>290201</v>
      </c>
      <c r="V32" s="4" t="n">
        <f aca="false">ROUND(ABS(淡江大學_p4_1!V45),0)</f>
        <v>290201</v>
      </c>
      <c r="W32" s="4" t="n">
        <f aca="false">ROUND(ABS(淡江大學_p4_1!W45),0)</f>
        <v>290201</v>
      </c>
      <c r="X32" s="2"/>
    </row>
    <row r="33" customFormat="false" ht="15" hidden="false" customHeight="true" outlineLevel="0" collapsed="false">
      <c r="A33" s="2"/>
      <c r="B33" s="2" t="s">
        <v>2</v>
      </c>
      <c r="C33" s="2"/>
      <c r="D33" s="4" t="n">
        <f aca="false">ROUND(ABS(淡江大學_p4!D45),0)</f>
        <v>290201</v>
      </c>
      <c r="E33" s="4" t="n">
        <f aca="false">ROUND(ABS(淡江大學_p4!E45),0)</f>
        <v>290201</v>
      </c>
      <c r="F33" s="4" t="n">
        <f aca="false">ROUND(ABS(淡江大學_p4!F45),0)</f>
        <v>290201</v>
      </c>
      <c r="G33" s="4" t="n">
        <f aca="false">ROUND(ABS(淡江大學_p4!G45),0)</f>
        <v>290201</v>
      </c>
      <c r="H33" s="4" t="n">
        <f aca="false">ROUND(ABS(淡江大學_p4!H45),0)</f>
        <v>290201</v>
      </c>
      <c r="I33" s="4" t="n">
        <f aca="false">ROUND(ABS(淡江大學_p4!I45),0)</f>
        <v>290201</v>
      </c>
      <c r="J33" s="4" t="n">
        <f aca="false">ROUND(ABS(淡江大學_p4!J45),0)</f>
        <v>290201</v>
      </c>
      <c r="K33" s="4" t="n">
        <f aca="false">ROUND(ABS(淡江大學_p4!K45),0)</f>
        <v>290201</v>
      </c>
      <c r="L33" s="4" t="n">
        <f aca="false">ROUND(ABS(淡江大學_p4!L45),0)</f>
        <v>290201</v>
      </c>
      <c r="M33" s="4" t="n">
        <f aca="false">ROUND(ABS(淡江大學_p4!M45),0)</f>
        <v>290201</v>
      </c>
      <c r="N33" s="4" t="n">
        <f aca="false">ROUND(ABS(淡江大學_p4!N45),0)</f>
        <v>290201</v>
      </c>
      <c r="O33" s="4" t="n">
        <f aca="false">ROUND(ABS(淡江大學_p4!O45),0)</f>
        <v>290201</v>
      </c>
      <c r="P33" s="4" t="n">
        <f aca="false">ROUND(ABS(淡江大學_p4!P45),0)</f>
        <v>290201</v>
      </c>
      <c r="Q33" s="4" t="n">
        <f aca="false">ROUND(ABS(淡江大學_p4!Q45),0)</f>
        <v>290201</v>
      </c>
      <c r="R33" s="4" t="n">
        <f aca="false">ROUND(ABS(淡江大學_p4!R45),0)</f>
        <v>290201</v>
      </c>
      <c r="S33" s="4" t="n">
        <f aca="false">ROUND(ABS(淡江大學_p4!S45),0)</f>
        <v>290201</v>
      </c>
      <c r="T33" s="4" t="n">
        <f aca="false">ROUND(ABS(淡江大學_p4!T45),0)</f>
        <v>290201</v>
      </c>
      <c r="U33" s="4" t="n">
        <f aca="false">ROUND(ABS(淡江大學_p4!U45),0)</f>
        <v>290201</v>
      </c>
      <c r="V33" s="4" t="n">
        <f aca="false">ROUND(ABS(淡江大學_p4!V45),0)</f>
        <v>290201</v>
      </c>
      <c r="W33" s="4" t="n">
        <f aca="false">ROUND(ABS(淡江大學_p4!W45),0)</f>
        <v>290201</v>
      </c>
      <c r="X33" s="2"/>
    </row>
    <row r="34" customFormat="false" ht="15" hidden="false" customHeight="true" outlineLevel="0" collapsed="false">
      <c r="A34" s="2"/>
      <c r="B34" s="2" t="s">
        <v>2</v>
      </c>
      <c r="C34" s="2"/>
      <c r="D34" s="4" t="n">
        <f aca="false">ROUND(ABS(淡江大學_p6!D45),0)</f>
        <v>290201</v>
      </c>
      <c r="E34" s="4" t="n">
        <f aca="false">ROUND(ABS(淡江大學_p6!E45),0)</f>
        <v>290201</v>
      </c>
      <c r="F34" s="4" t="n">
        <f aca="false">ROUND(ABS(淡江大學_p6!F45),0)</f>
        <v>290201</v>
      </c>
      <c r="G34" s="4" t="n">
        <f aca="false">ROUND(ABS(淡江大學_p6!G45),0)</f>
        <v>290201</v>
      </c>
      <c r="H34" s="4" t="n">
        <f aca="false">ROUND(ABS(淡江大學_p6!H45),0)</f>
        <v>290201</v>
      </c>
      <c r="I34" s="4" t="n">
        <f aca="false">ROUND(ABS(淡江大學_p6!I45),0)</f>
        <v>290201</v>
      </c>
      <c r="J34" s="4" t="n">
        <f aca="false">ROUND(ABS(淡江大學_p6!J45),0)</f>
        <v>290201</v>
      </c>
      <c r="K34" s="4" t="n">
        <f aca="false">ROUND(ABS(淡江大學_p6!K45),0)</f>
        <v>290201</v>
      </c>
      <c r="L34" s="4" t="n">
        <f aca="false">ROUND(ABS(淡江大學_p6!L45),0)</f>
        <v>290201</v>
      </c>
      <c r="M34" s="4" t="n">
        <f aca="false">ROUND(ABS(淡江大學_p6!M45),0)</f>
        <v>290201</v>
      </c>
      <c r="N34" s="4" t="n">
        <f aca="false">ROUND(ABS(淡江大學_p6!N45),0)</f>
        <v>290201</v>
      </c>
      <c r="O34" s="4" t="n">
        <f aca="false">ROUND(ABS(淡江大學_p6!O45),0)</f>
        <v>290201</v>
      </c>
      <c r="P34" s="4" t="n">
        <f aca="false">ROUND(ABS(淡江大學_p6!P45),0)</f>
        <v>290201</v>
      </c>
      <c r="Q34" s="4" t="n">
        <f aca="false">ROUND(ABS(淡江大學_p6!Q45),0)</f>
        <v>290201</v>
      </c>
      <c r="R34" s="4" t="n">
        <f aca="false">ROUND(ABS(淡江大學_p6!R45),0)</f>
        <v>290201</v>
      </c>
      <c r="S34" s="4" t="n">
        <f aca="false">ROUND(ABS(淡江大學_p6!S45),0)</f>
        <v>290201</v>
      </c>
      <c r="T34" s="4" t="n">
        <f aca="false">ROUND(ABS(淡江大學_p6!T45),0)</f>
        <v>290201</v>
      </c>
      <c r="U34" s="4" t="n">
        <f aca="false">ROUND(ABS(淡江大學_p6!U45),0)</f>
        <v>290201</v>
      </c>
      <c r="V34" s="4" t="n">
        <f aca="false">ROUND(ABS(淡江大學_p6!V45),0)</f>
        <v>290201</v>
      </c>
      <c r="W34" s="4" t="n">
        <f aca="false">ROUND(ABS(淡江大學_p6!W45),0)</f>
        <v>290201</v>
      </c>
      <c r="X34" s="2"/>
    </row>
    <row r="35" customFormat="false" ht="15" hidden="false" customHeight="true" outlineLevel="0" collapsed="false">
      <c r="A35" s="2"/>
      <c r="B35" s="2" t="s">
        <v>2</v>
      </c>
      <c r="C35" s="2"/>
      <c r="D35" s="4" t="n">
        <f aca="false">ROUND(ABS(淡江大學_p3!D45),0)</f>
        <v>290201</v>
      </c>
      <c r="E35" s="4" t="n">
        <f aca="false">ROUND(ABS(淡江大學_p3!E45),0)</f>
        <v>290201</v>
      </c>
      <c r="F35" s="4" t="n">
        <f aca="false">ROUND(ABS(淡江大學_p3!F45),0)</f>
        <v>290201</v>
      </c>
      <c r="G35" s="4" t="n">
        <f aca="false">ROUND(ABS(淡江大學_p3!G45),0)</f>
        <v>290201</v>
      </c>
      <c r="H35" s="4" t="n">
        <f aca="false">ROUND(ABS(淡江大學_p3!H45),0)</f>
        <v>290201</v>
      </c>
      <c r="I35" s="4" t="n">
        <f aca="false">ROUND(ABS(淡江大學_p3!I45),0)</f>
        <v>290201</v>
      </c>
      <c r="J35" s="4" t="n">
        <f aca="false">ROUND(ABS(淡江大學_p3!J45),0)</f>
        <v>290201</v>
      </c>
      <c r="K35" s="4" t="n">
        <f aca="false">ROUND(ABS(淡江大學_p3!K45),0)</f>
        <v>290201</v>
      </c>
      <c r="L35" s="4" t="n">
        <f aca="false">ROUND(ABS(淡江大學_p3!L45),0)</f>
        <v>290201</v>
      </c>
      <c r="M35" s="4" t="n">
        <f aca="false">ROUND(ABS(淡江大學_p3!M45),0)</f>
        <v>290201</v>
      </c>
      <c r="N35" s="4" t="n">
        <f aca="false">ROUND(ABS(淡江大學_p3!N45),0)</f>
        <v>290201</v>
      </c>
      <c r="O35" s="4" t="n">
        <f aca="false">ROUND(ABS(淡江大學_p3!O45),0)</f>
        <v>290201</v>
      </c>
      <c r="P35" s="4" t="n">
        <f aca="false">ROUND(ABS(淡江大學_p3!P45),0)</f>
        <v>290201</v>
      </c>
      <c r="Q35" s="4" t="n">
        <f aca="false">ROUND(ABS(淡江大學_p3!Q45),0)</f>
        <v>290201</v>
      </c>
      <c r="R35" s="4" t="n">
        <f aca="false">ROUND(ABS(淡江大學_p3!R45),0)</f>
        <v>290201</v>
      </c>
      <c r="S35" s="4" t="n">
        <f aca="false">ROUND(ABS(淡江大學_p3!S45),0)</f>
        <v>290201</v>
      </c>
      <c r="T35" s="4" t="n">
        <f aca="false">ROUND(ABS(淡江大學_p3!T45),0)</f>
        <v>290201</v>
      </c>
      <c r="U35" s="4" t="n">
        <f aca="false">ROUND(ABS(淡江大學_p3!U45),0)</f>
        <v>290201</v>
      </c>
      <c r="V35" s="4" t="n">
        <f aca="false">ROUND(ABS(淡江大學_p3!V45),0)</f>
        <v>290201</v>
      </c>
      <c r="W35" s="4" t="n">
        <f aca="false">ROUND(ABS(淡江大學_p3!W45),0)</f>
        <v>290201</v>
      </c>
      <c r="X35" s="2"/>
    </row>
    <row r="36" customFormat="false" ht="15" hidden="false" customHeight="true" outlineLevel="0" collapsed="false">
      <c r="A36" s="2"/>
      <c r="B36" s="2" t="s">
        <v>2</v>
      </c>
      <c r="C36" s="2"/>
      <c r="D36" s="4" t="n">
        <f aca="false">ROUND(ABS(淡江大學_p4_3!D45),0)</f>
        <v>290201</v>
      </c>
      <c r="E36" s="4" t="n">
        <f aca="false">ROUND(ABS(淡江大學_p4_3!E45),0)</f>
        <v>290201</v>
      </c>
      <c r="F36" s="4" t="n">
        <f aca="false">ROUND(ABS(淡江大學_p4_3!F45),0)</f>
        <v>290201</v>
      </c>
      <c r="G36" s="4" t="n">
        <f aca="false">ROUND(ABS(淡江大學_p4_3!G45),0)</f>
        <v>290201</v>
      </c>
      <c r="H36" s="4" t="n">
        <f aca="false">ROUND(ABS(淡江大學_p4_3!H45),0)</f>
        <v>290201</v>
      </c>
      <c r="I36" s="4" t="n">
        <f aca="false">ROUND(ABS(淡江大學_p4_3!I45),0)</f>
        <v>290201</v>
      </c>
      <c r="J36" s="4" t="n">
        <f aca="false">ROUND(ABS(淡江大學_p4_3!J45),0)</f>
        <v>290201</v>
      </c>
      <c r="K36" s="4" t="n">
        <f aca="false">ROUND(ABS(淡江大學_p4_3!K45),0)</f>
        <v>290201</v>
      </c>
      <c r="L36" s="4" t="n">
        <f aca="false">ROUND(ABS(淡江大學_p4_3!L45),0)</f>
        <v>290201</v>
      </c>
      <c r="M36" s="4" t="n">
        <f aca="false">ROUND(ABS(淡江大學_p4_3!M45),0)</f>
        <v>290201</v>
      </c>
      <c r="N36" s="4" t="n">
        <f aca="false">ROUND(ABS(淡江大學_p4_3!N45),0)</f>
        <v>290201</v>
      </c>
      <c r="O36" s="4" t="n">
        <f aca="false">ROUND(ABS(淡江大學_p4_3!O45),0)</f>
        <v>290201</v>
      </c>
      <c r="P36" s="4" t="n">
        <f aca="false">ROUND(ABS(淡江大學_p4_3!P45),0)</f>
        <v>290201</v>
      </c>
      <c r="Q36" s="4" t="n">
        <f aca="false">ROUND(ABS(淡江大學_p4_3!Q45),0)</f>
        <v>290201</v>
      </c>
      <c r="R36" s="4" t="n">
        <f aca="false">ROUND(ABS(淡江大學_p4_3!R45),0)</f>
        <v>290201</v>
      </c>
      <c r="S36" s="4" t="n">
        <f aca="false">ROUND(ABS(淡江大學_p4_3!S45),0)</f>
        <v>290201</v>
      </c>
      <c r="T36" s="4" t="n">
        <f aca="false">ROUND(ABS(淡江大學_p4_3!T45),0)</f>
        <v>290201</v>
      </c>
      <c r="U36" s="4" t="n">
        <f aca="false">ROUND(ABS(淡江大學_p4_3!U45),0)</f>
        <v>290201</v>
      </c>
      <c r="V36" s="4" t="n">
        <f aca="false">ROUND(ABS(淡江大學_p4_3!V45),0)</f>
        <v>290201</v>
      </c>
      <c r="W36" s="4" t="n">
        <f aca="false">ROUND(ABS(淡江大學_p4_3!W45),0)</f>
        <v>290201</v>
      </c>
      <c r="X36" s="2"/>
    </row>
    <row r="37" customFormat="false" ht="15" hidden="false" customHeight="true" outlineLevel="0" collapsed="false">
      <c r="A37" s="2"/>
      <c r="B37" s="2" t="s">
        <v>2</v>
      </c>
      <c r="C37" s="2"/>
      <c r="D37" s="4" t="n">
        <f aca="false">ROUND(ABS(淡江大學_p3_1!D45),0)</f>
        <v>290201</v>
      </c>
      <c r="E37" s="4" t="n">
        <f aca="false">ROUND(ABS(淡江大學_p3_1!E45),0)</f>
        <v>290201</v>
      </c>
      <c r="F37" s="4" t="n">
        <f aca="false">ROUND(ABS(淡江大學_p3_1!F45),0)</f>
        <v>290201</v>
      </c>
      <c r="G37" s="4" t="n">
        <f aca="false">ROUND(ABS(淡江大學_p3_1!G45),0)</f>
        <v>290201</v>
      </c>
      <c r="H37" s="4" t="n">
        <f aca="false">ROUND(ABS(淡江大學_p3_1!H45),0)</f>
        <v>290201</v>
      </c>
      <c r="I37" s="4" t="n">
        <f aca="false">ROUND(ABS(淡江大學_p3_1!I45),0)</f>
        <v>290201</v>
      </c>
      <c r="J37" s="4" t="n">
        <f aca="false">ROUND(ABS(淡江大學_p3_1!J45),0)</f>
        <v>290201</v>
      </c>
      <c r="K37" s="4" t="n">
        <f aca="false">ROUND(ABS(淡江大學_p3_1!K45),0)</f>
        <v>290201</v>
      </c>
      <c r="L37" s="4" t="n">
        <f aca="false">ROUND(ABS(淡江大學_p3_1!L45),0)</f>
        <v>290201</v>
      </c>
      <c r="M37" s="4" t="n">
        <f aca="false">ROUND(ABS(淡江大學_p3_1!M45),0)</f>
        <v>290201</v>
      </c>
      <c r="N37" s="4" t="n">
        <f aca="false">ROUND(ABS(淡江大學_p3_1!N45),0)</f>
        <v>290201</v>
      </c>
      <c r="O37" s="4" t="n">
        <f aca="false">ROUND(ABS(淡江大學_p3_1!O45),0)</f>
        <v>290201</v>
      </c>
      <c r="P37" s="4" t="n">
        <f aca="false">ROUND(ABS(淡江大學_p3_1!P45),0)</f>
        <v>290201</v>
      </c>
      <c r="Q37" s="4" t="n">
        <f aca="false">ROUND(ABS(淡江大學_p3_1!Q45),0)</f>
        <v>290201</v>
      </c>
      <c r="R37" s="4" t="n">
        <f aca="false">ROUND(ABS(淡江大學_p3_1!R45),0)</f>
        <v>290201</v>
      </c>
      <c r="S37" s="4" t="n">
        <f aca="false">ROUND(ABS(淡江大學_p3_1!S45),0)</f>
        <v>290201</v>
      </c>
      <c r="T37" s="4" t="n">
        <f aca="false">ROUND(ABS(淡江大學_p3_1!T45),0)</f>
        <v>290201</v>
      </c>
      <c r="U37" s="4" t="n">
        <f aca="false">ROUND(ABS(淡江大學_p3_1!U45),0)</f>
        <v>290201</v>
      </c>
      <c r="V37" s="4" t="n">
        <f aca="false">ROUND(ABS(淡江大學_p3_1!V45),0)</f>
        <v>290201</v>
      </c>
      <c r="W37" s="4" t="n">
        <f aca="false">ROUND(ABS(淡江大學_p3_1!W45),0)</f>
        <v>290201</v>
      </c>
      <c r="X37" s="2"/>
    </row>
    <row r="38" customFormat="false" ht="15" hidden="false" customHeight="true" outlineLevel="0" collapsed="false">
      <c r="A38" s="2"/>
      <c r="B38" s="2" t="s">
        <v>2</v>
      </c>
      <c r="C38" s="2"/>
      <c r="D38" s="4" t="n">
        <f aca="false">ROUND(ABS(淡江大學_p5!D45),0)</f>
        <v>290201</v>
      </c>
      <c r="E38" s="4" t="n">
        <f aca="false">ROUND(ABS(淡江大學_p5!E45),0)</f>
        <v>290201</v>
      </c>
      <c r="F38" s="4" t="n">
        <f aca="false">ROUND(ABS(淡江大學_p5!F45),0)</f>
        <v>290201</v>
      </c>
      <c r="G38" s="4" t="n">
        <f aca="false">ROUND(ABS(淡江大學_p5!G45),0)</f>
        <v>290201</v>
      </c>
      <c r="H38" s="4" t="n">
        <f aca="false">ROUND(ABS(淡江大學_p5!H45),0)</f>
        <v>290201</v>
      </c>
      <c r="I38" s="4" t="n">
        <f aca="false">ROUND(ABS(淡江大學_p5!I45),0)</f>
        <v>290201</v>
      </c>
      <c r="J38" s="4" t="n">
        <f aca="false">ROUND(ABS(淡江大學_p5!J45),0)</f>
        <v>290201</v>
      </c>
      <c r="K38" s="4" t="n">
        <f aca="false">ROUND(ABS(淡江大學_p5!K45),0)</f>
        <v>290201</v>
      </c>
      <c r="L38" s="4" t="n">
        <f aca="false">ROUND(ABS(淡江大學_p5!L45),0)</f>
        <v>290201</v>
      </c>
      <c r="M38" s="4" t="n">
        <f aca="false">ROUND(ABS(淡江大學_p5!M45),0)</f>
        <v>290201</v>
      </c>
      <c r="N38" s="4" t="n">
        <f aca="false">ROUND(ABS(淡江大學_p5!N45),0)</f>
        <v>290201</v>
      </c>
      <c r="O38" s="4" t="n">
        <f aca="false">ROUND(ABS(淡江大學_p5!O45),0)</f>
        <v>290201</v>
      </c>
      <c r="P38" s="4" t="n">
        <f aca="false">ROUND(ABS(淡江大學_p5!P45),0)</f>
        <v>290201</v>
      </c>
      <c r="Q38" s="4" t="n">
        <f aca="false">ROUND(ABS(淡江大學_p5!Q45),0)</f>
        <v>290201</v>
      </c>
      <c r="R38" s="4" t="n">
        <f aca="false">ROUND(ABS(淡江大學_p5!R45),0)</f>
        <v>290201</v>
      </c>
      <c r="S38" s="4" t="n">
        <f aca="false">ROUND(ABS(淡江大學_p5!S45),0)</f>
        <v>290201</v>
      </c>
      <c r="T38" s="4" t="n">
        <f aca="false">ROUND(ABS(淡江大學_p5!T45),0)</f>
        <v>290201</v>
      </c>
      <c r="U38" s="4" t="n">
        <f aca="false">ROUND(ABS(淡江大學_p5!U45),0)</f>
        <v>290201</v>
      </c>
      <c r="V38" s="4" t="n">
        <f aca="false">ROUND(ABS(淡江大學_p5!V45),0)</f>
        <v>290201</v>
      </c>
      <c r="W38" s="4" t="n">
        <f aca="false">ROUND(ABS(淡江大學_p5!W45),0)</f>
        <v>290201</v>
      </c>
      <c r="X38" s="2"/>
    </row>
    <row r="39" customFormat="false" ht="15" hidden="false" customHeight="true" outlineLevel="0" collapsed="false">
      <c r="A39" s="2"/>
      <c r="B39" s="2"/>
      <c r="C39" s="10" t="s">
        <v>7</v>
      </c>
      <c r="D39" s="11" t="n">
        <f aca="false">SUM(D30:D38)</f>
        <v>2611809</v>
      </c>
      <c r="E39" s="11" t="n">
        <f aca="false">SUM(E30:E38)</f>
        <v>2611809</v>
      </c>
      <c r="F39" s="11" t="n">
        <f aca="false">SUM(F30:F38)</f>
        <v>2611809</v>
      </c>
      <c r="G39" s="11" t="n">
        <f aca="false">SUM(G30:G38)</f>
        <v>2611809</v>
      </c>
      <c r="H39" s="11" t="n">
        <f aca="false">SUM(H30:H38)</f>
        <v>2611809</v>
      </c>
      <c r="I39" s="11" t="n">
        <f aca="false">SUM(I30:I38)</f>
        <v>2611809</v>
      </c>
      <c r="J39" s="11" t="n">
        <f aca="false">SUM(J30:J38)</f>
        <v>2611809</v>
      </c>
      <c r="K39" s="11" t="n">
        <f aca="false">SUM(K30:K38)</f>
        <v>2611809</v>
      </c>
      <c r="L39" s="11" t="n">
        <f aca="false">SUM(L30:L38)</f>
        <v>2611809</v>
      </c>
      <c r="M39" s="11" t="n">
        <f aca="false">SUM(M30:M38)</f>
        <v>2611809</v>
      </c>
      <c r="N39" s="11" t="n">
        <f aca="false">SUM(N30:N38)</f>
        <v>2611809</v>
      </c>
      <c r="O39" s="11" t="n">
        <f aca="false">SUM(O30:O38)</f>
        <v>2611809</v>
      </c>
      <c r="P39" s="11" t="n">
        <f aca="false">SUM(P30:P38)</f>
        <v>2611809</v>
      </c>
      <c r="Q39" s="11" t="n">
        <f aca="false">SUM(Q30:Q38)</f>
        <v>2611809</v>
      </c>
      <c r="R39" s="11" t="n">
        <f aca="false">SUM(R30:R38)</f>
        <v>2611809</v>
      </c>
      <c r="S39" s="11" t="n">
        <f aca="false">SUM(S30:S38)</f>
        <v>2611809</v>
      </c>
      <c r="T39" s="11" t="n">
        <f aca="false">SUM(T30:T38)</f>
        <v>2611809</v>
      </c>
      <c r="U39" s="11" t="n">
        <f aca="false">SUM(U30:U38)</f>
        <v>2611809</v>
      </c>
      <c r="V39" s="11" t="n">
        <f aca="false">SUM(V30:V38)</f>
        <v>2611809</v>
      </c>
      <c r="W39" s="11" t="n">
        <f aca="false">SUM(W30:W38)</f>
        <v>2611809</v>
      </c>
      <c r="X39" s="2"/>
    </row>
    <row r="40" customFormat="false" ht="15" hidden="false" customHeight="true" outlineLevel="0" collapsed="false">
      <c r="A40" s="2"/>
      <c r="B40" s="2"/>
      <c r="C40" s="3" t="s">
        <v>0</v>
      </c>
      <c r="D40" s="3" t="n">
        <v>2020</v>
      </c>
      <c r="E40" s="3" t="n">
        <v>2021</v>
      </c>
      <c r="F40" s="3" t="n">
        <v>2022</v>
      </c>
      <c r="G40" s="3" t="n">
        <v>2023</v>
      </c>
      <c r="H40" s="3" t="n">
        <v>2024</v>
      </c>
      <c r="I40" s="3" t="n">
        <v>2025</v>
      </c>
      <c r="J40" s="3" t="n">
        <v>2026</v>
      </c>
      <c r="K40" s="3" t="n">
        <v>2027</v>
      </c>
      <c r="L40" s="3" t="n">
        <v>2028</v>
      </c>
      <c r="M40" s="3" t="n">
        <v>2029</v>
      </c>
      <c r="N40" s="3" t="n">
        <v>2030</v>
      </c>
      <c r="O40" s="3" t="n">
        <v>2031</v>
      </c>
      <c r="P40" s="3" t="n">
        <v>2032</v>
      </c>
      <c r="Q40" s="3" t="n">
        <v>2033</v>
      </c>
      <c r="R40" s="3" t="n">
        <v>2034</v>
      </c>
      <c r="S40" s="3" t="n">
        <v>2035</v>
      </c>
      <c r="T40" s="3" t="n">
        <v>2036</v>
      </c>
      <c r="U40" s="3" t="n">
        <v>2037</v>
      </c>
      <c r="V40" s="3" t="n">
        <v>2038</v>
      </c>
      <c r="W40" s="3" t="n">
        <v>2039</v>
      </c>
      <c r="X40" s="2"/>
    </row>
    <row r="41" customFormat="false" ht="15" hidden="false" customHeight="true" outlineLevel="0" collapsed="false">
      <c r="A41" s="2"/>
      <c r="B41" s="2"/>
      <c r="C41" s="2" t="s">
        <v>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" hidden="false" customHeight="true" outlineLevel="0" collapsed="false">
      <c r="A42" s="2"/>
      <c r="B42" s="2" t="s">
        <v>2</v>
      </c>
      <c r="C42" s="2"/>
      <c r="D42" s="4" t="n">
        <f aca="false">ROUND(ABS(淡江大學_p6_1!D48),0)</f>
        <v>174440</v>
      </c>
      <c r="E42" s="4" t="n">
        <f aca="false">ROUND(ABS(淡江大學_p6_1!E48),0)</f>
        <v>174440</v>
      </c>
      <c r="F42" s="4" t="n">
        <f aca="false">ROUND(ABS(淡江大學_p6_1!F48),0)</f>
        <v>174440</v>
      </c>
      <c r="G42" s="4" t="n">
        <f aca="false">ROUND(ABS(淡江大學_p6_1!G48),0)</f>
        <v>174440</v>
      </c>
      <c r="H42" s="4" t="n">
        <f aca="false">ROUND(ABS(淡江大學_p6_1!H48),0)</f>
        <v>174440</v>
      </c>
      <c r="I42" s="4" t="n">
        <f aca="false">ROUND(ABS(淡江大學_p6_1!I48),0)</f>
        <v>174440</v>
      </c>
      <c r="J42" s="4" t="n">
        <f aca="false">ROUND(ABS(淡江大學_p6_1!J48),0)</f>
        <v>174440</v>
      </c>
      <c r="K42" s="4" t="n">
        <f aca="false">ROUND(ABS(淡江大學_p6_1!K48),0)</f>
        <v>174440</v>
      </c>
      <c r="L42" s="4" t="n">
        <f aca="false">ROUND(ABS(淡江大學_p6_1!L48),0)</f>
        <v>174440</v>
      </c>
      <c r="M42" s="4" t="n">
        <f aca="false">ROUND(ABS(淡江大學_p6_1!M48),0)</f>
        <v>174440</v>
      </c>
      <c r="N42" s="4" t="n">
        <f aca="false">ROUND(ABS(淡江大學_p6_1!N48),0)</f>
        <v>174440</v>
      </c>
      <c r="O42" s="4" t="n">
        <f aca="false">ROUND(ABS(淡江大學_p6_1!O48),0)</f>
        <v>174440</v>
      </c>
      <c r="P42" s="4" t="n">
        <f aca="false">ROUND(ABS(淡江大學_p6_1!P48),0)</f>
        <v>174440</v>
      </c>
      <c r="Q42" s="4" t="n">
        <f aca="false">ROUND(ABS(淡江大學_p6_1!Q48),0)</f>
        <v>174440</v>
      </c>
      <c r="R42" s="4" t="n">
        <f aca="false">ROUND(ABS(淡江大學_p6_1!R48),0)</f>
        <v>174440</v>
      </c>
      <c r="S42" s="4" t="n">
        <f aca="false">ROUND(ABS(淡江大學_p6_1!S48),0)</f>
        <v>174440</v>
      </c>
      <c r="T42" s="4" t="n">
        <f aca="false">ROUND(ABS(淡江大學_p6_1!T48),0)</f>
        <v>174440</v>
      </c>
      <c r="U42" s="4" t="n">
        <f aca="false">ROUND(ABS(淡江大學_p6_1!U48),0)</f>
        <v>174440</v>
      </c>
      <c r="V42" s="4" t="n">
        <f aca="false">ROUND(ABS(淡江大學_p6_1!V48),0)</f>
        <v>174440</v>
      </c>
      <c r="W42" s="4" t="n">
        <f aca="false">ROUND(ABS(淡江大學_p6_1!W48),0)</f>
        <v>174440</v>
      </c>
      <c r="X42" s="2"/>
    </row>
    <row r="43" customFormat="false" ht="15" hidden="false" customHeight="true" outlineLevel="0" collapsed="false">
      <c r="A43" s="2"/>
      <c r="B43" s="2" t="s">
        <v>2</v>
      </c>
      <c r="C43" s="2"/>
      <c r="D43" s="4" t="n">
        <f aca="false">ROUND(ABS(淡江大學_p4_2!D48),0)</f>
        <v>174440</v>
      </c>
      <c r="E43" s="4" t="n">
        <f aca="false">ROUND(ABS(淡江大學_p4_2!E48),0)</f>
        <v>174440</v>
      </c>
      <c r="F43" s="4" t="n">
        <f aca="false">ROUND(ABS(淡江大學_p4_2!F48),0)</f>
        <v>174440</v>
      </c>
      <c r="G43" s="4" t="n">
        <f aca="false">ROUND(ABS(淡江大學_p4_2!G48),0)</f>
        <v>174440</v>
      </c>
      <c r="H43" s="4" t="n">
        <f aca="false">ROUND(ABS(淡江大學_p4_2!H48),0)</f>
        <v>174440</v>
      </c>
      <c r="I43" s="4" t="n">
        <f aca="false">ROUND(ABS(淡江大學_p4_2!I48),0)</f>
        <v>174440</v>
      </c>
      <c r="J43" s="4" t="n">
        <f aca="false">ROUND(ABS(淡江大學_p4_2!J48),0)</f>
        <v>174440</v>
      </c>
      <c r="K43" s="4" t="n">
        <f aca="false">ROUND(ABS(淡江大學_p4_2!K48),0)</f>
        <v>174440</v>
      </c>
      <c r="L43" s="4" t="n">
        <f aca="false">ROUND(ABS(淡江大學_p4_2!L48),0)</f>
        <v>174440</v>
      </c>
      <c r="M43" s="4" t="n">
        <f aca="false">ROUND(ABS(淡江大學_p4_2!M48),0)</f>
        <v>174440</v>
      </c>
      <c r="N43" s="4" t="n">
        <f aca="false">ROUND(ABS(淡江大學_p4_2!N48),0)</f>
        <v>174440</v>
      </c>
      <c r="O43" s="4" t="n">
        <f aca="false">ROUND(ABS(淡江大學_p4_2!O48),0)</f>
        <v>174440</v>
      </c>
      <c r="P43" s="4" t="n">
        <f aca="false">ROUND(ABS(淡江大學_p4_2!P48),0)</f>
        <v>174440</v>
      </c>
      <c r="Q43" s="4" t="n">
        <f aca="false">ROUND(ABS(淡江大學_p4_2!Q48),0)</f>
        <v>174440</v>
      </c>
      <c r="R43" s="4" t="n">
        <f aca="false">ROUND(ABS(淡江大學_p4_2!R48),0)</f>
        <v>174440</v>
      </c>
      <c r="S43" s="4" t="n">
        <f aca="false">ROUND(ABS(淡江大學_p4_2!S48),0)</f>
        <v>174440</v>
      </c>
      <c r="T43" s="4" t="n">
        <f aca="false">ROUND(ABS(淡江大學_p4_2!T48),0)</f>
        <v>174440</v>
      </c>
      <c r="U43" s="4" t="n">
        <f aca="false">ROUND(ABS(淡江大學_p4_2!U48),0)</f>
        <v>174440</v>
      </c>
      <c r="V43" s="4" t="n">
        <f aca="false">ROUND(ABS(淡江大學_p4_2!V48),0)</f>
        <v>174440</v>
      </c>
      <c r="W43" s="4" t="n">
        <f aca="false">ROUND(ABS(淡江大學_p4_2!W48),0)</f>
        <v>174440</v>
      </c>
      <c r="X43" s="2"/>
    </row>
    <row r="44" customFormat="false" ht="15" hidden="false" customHeight="true" outlineLevel="0" collapsed="false">
      <c r="A44" s="2"/>
      <c r="B44" s="2" t="s">
        <v>2</v>
      </c>
      <c r="C44" s="2"/>
      <c r="D44" s="4" t="n">
        <f aca="false">ROUND(ABS(淡江大學_p4_1!D48),0)</f>
        <v>174440</v>
      </c>
      <c r="E44" s="4" t="n">
        <f aca="false">ROUND(ABS(淡江大學_p4_1!E48),0)</f>
        <v>174440</v>
      </c>
      <c r="F44" s="4" t="n">
        <f aca="false">ROUND(ABS(淡江大學_p4_1!F48),0)</f>
        <v>174440</v>
      </c>
      <c r="G44" s="4" t="n">
        <f aca="false">ROUND(ABS(淡江大學_p4_1!G48),0)</f>
        <v>174440</v>
      </c>
      <c r="H44" s="4" t="n">
        <f aca="false">ROUND(ABS(淡江大學_p4_1!H48),0)</f>
        <v>174440</v>
      </c>
      <c r="I44" s="4" t="n">
        <f aca="false">ROUND(ABS(淡江大學_p4_1!I48),0)</f>
        <v>174440</v>
      </c>
      <c r="J44" s="4" t="n">
        <f aca="false">ROUND(ABS(淡江大學_p4_1!J48),0)</f>
        <v>174440</v>
      </c>
      <c r="K44" s="4" t="n">
        <f aca="false">ROUND(ABS(淡江大學_p4_1!K48),0)</f>
        <v>174440</v>
      </c>
      <c r="L44" s="4" t="n">
        <f aca="false">ROUND(ABS(淡江大學_p4_1!L48),0)</f>
        <v>174440</v>
      </c>
      <c r="M44" s="4" t="n">
        <f aca="false">ROUND(ABS(淡江大學_p4_1!M48),0)</f>
        <v>174440</v>
      </c>
      <c r="N44" s="4" t="n">
        <f aca="false">ROUND(ABS(淡江大學_p4_1!N48),0)</f>
        <v>174440</v>
      </c>
      <c r="O44" s="4" t="n">
        <f aca="false">ROUND(ABS(淡江大學_p4_1!O48),0)</f>
        <v>174440</v>
      </c>
      <c r="P44" s="4" t="n">
        <f aca="false">ROUND(ABS(淡江大學_p4_1!P48),0)</f>
        <v>174440</v>
      </c>
      <c r="Q44" s="4" t="n">
        <f aca="false">ROUND(ABS(淡江大學_p4_1!Q48),0)</f>
        <v>174440</v>
      </c>
      <c r="R44" s="4" t="n">
        <f aca="false">ROUND(ABS(淡江大學_p4_1!R48),0)</f>
        <v>174440</v>
      </c>
      <c r="S44" s="4" t="n">
        <f aca="false">ROUND(ABS(淡江大學_p4_1!S48),0)</f>
        <v>174440</v>
      </c>
      <c r="T44" s="4" t="n">
        <f aca="false">ROUND(ABS(淡江大學_p4_1!T48),0)</f>
        <v>174440</v>
      </c>
      <c r="U44" s="4" t="n">
        <f aca="false">ROUND(ABS(淡江大學_p4_1!U48),0)</f>
        <v>174440</v>
      </c>
      <c r="V44" s="4" t="n">
        <f aca="false">ROUND(ABS(淡江大學_p4_1!V48),0)</f>
        <v>174440</v>
      </c>
      <c r="W44" s="4" t="n">
        <f aca="false">ROUND(ABS(淡江大學_p4_1!W48),0)</f>
        <v>174440</v>
      </c>
      <c r="X44" s="2"/>
    </row>
    <row r="45" customFormat="false" ht="15" hidden="false" customHeight="true" outlineLevel="0" collapsed="false">
      <c r="A45" s="2"/>
      <c r="B45" s="2" t="s">
        <v>2</v>
      </c>
      <c r="C45" s="2"/>
      <c r="D45" s="4" t="n">
        <f aca="false">ROUND(ABS(淡江大學_p4!D48),0)</f>
        <v>174440</v>
      </c>
      <c r="E45" s="4" t="n">
        <f aca="false">ROUND(ABS(淡江大學_p4!E48),0)</f>
        <v>174440</v>
      </c>
      <c r="F45" s="4" t="n">
        <f aca="false">ROUND(ABS(淡江大學_p4!F48),0)</f>
        <v>174440</v>
      </c>
      <c r="G45" s="4" t="n">
        <f aca="false">ROUND(ABS(淡江大學_p4!G48),0)</f>
        <v>174440</v>
      </c>
      <c r="H45" s="4" t="n">
        <f aca="false">ROUND(ABS(淡江大學_p4!H48),0)</f>
        <v>174440</v>
      </c>
      <c r="I45" s="4" t="n">
        <f aca="false">ROUND(ABS(淡江大學_p4!I48),0)</f>
        <v>174440</v>
      </c>
      <c r="J45" s="4" t="n">
        <f aca="false">ROUND(ABS(淡江大學_p4!J48),0)</f>
        <v>174440</v>
      </c>
      <c r="K45" s="4" t="n">
        <f aca="false">ROUND(ABS(淡江大學_p4!K48),0)</f>
        <v>174440</v>
      </c>
      <c r="L45" s="4" t="n">
        <f aca="false">ROUND(ABS(淡江大學_p4!L48),0)</f>
        <v>174440</v>
      </c>
      <c r="M45" s="4" t="n">
        <f aca="false">ROUND(ABS(淡江大學_p4!M48),0)</f>
        <v>174440</v>
      </c>
      <c r="N45" s="4" t="n">
        <f aca="false">ROUND(ABS(淡江大學_p4!N48),0)</f>
        <v>174440</v>
      </c>
      <c r="O45" s="4" t="n">
        <f aca="false">ROUND(ABS(淡江大學_p4!O48),0)</f>
        <v>174440</v>
      </c>
      <c r="P45" s="4" t="n">
        <f aca="false">ROUND(ABS(淡江大學_p4!P48),0)</f>
        <v>174440</v>
      </c>
      <c r="Q45" s="4" t="n">
        <f aca="false">ROUND(ABS(淡江大學_p4!Q48),0)</f>
        <v>174440</v>
      </c>
      <c r="R45" s="4" t="n">
        <f aca="false">ROUND(ABS(淡江大學_p4!R48),0)</f>
        <v>174440</v>
      </c>
      <c r="S45" s="4" t="n">
        <f aca="false">ROUND(ABS(淡江大學_p4!S48),0)</f>
        <v>174440</v>
      </c>
      <c r="T45" s="4" t="n">
        <f aca="false">ROUND(ABS(淡江大學_p4!T48),0)</f>
        <v>174440</v>
      </c>
      <c r="U45" s="4" t="n">
        <f aca="false">ROUND(ABS(淡江大學_p4!U48),0)</f>
        <v>174440</v>
      </c>
      <c r="V45" s="4" t="n">
        <f aca="false">ROUND(ABS(淡江大學_p4!V48),0)</f>
        <v>174440</v>
      </c>
      <c r="W45" s="4" t="n">
        <f aca="false">ROUND(ABS(淡江大學_p4!W48),0)</f>
        <v>174440</v>
      </c>
      <c r="X45" s="2"/>
    </row>
    <row r="46" customFormat="false" ht="15" hidden="false" customHeight="true" outlineLevel="0" collapsed="false">
      <c r="A46" s="2"/>
      <c r="B46" s="2" t="s">
        <v>2</v>
      </c>
      <c r="C46" s="2"/>
      <c r="D46" s="4" t="n">
        <f aca="false">ROUND(ABS(淡江大學_p6!D48),0)</f>
        <v>174440</v>
      </c>
      <c r="E46" s="4" t="n">
        <f aca="false">ROUND(ABS(淡江大學_p6!E48),0)</f>
        <v>174440</v>
      </c>
      <c r="F46" s="4" t="n">
        <f aca="false">ROUND(ABS(淡江大學_p6!F48),0)</f>
        <v>174440</v>
      </c>
      <c r="G46" s="4" t="n">
        <f aca="false">ROUND(ABS(淡江大學_p6!G48),0)</f>
        <v>174440</v>
      </c>
      <c r="H46" s="4" t="n">
        <f aca="false">ROUND(ABS(淡江大學_p6!H48),0)</f>
        <v>174440</v>
      </c>
      <c r="I46" s="4" t="n">
        <f aca="false">ROUND(ABS(淡江大學_p6!I48),0)</f>
        <v>174440</v>
      </c>
      <c r="J46" s="4" t="n">
        <f aca="false">ROUND(ABS(淡江大學_p6!J48),0)</f>
        <v>174440</v>
      </c>
      <c r="K46" s="4" t="n">
        <f aca="false">ROUND(ABS(淡江大學_p6!K48),0)</f>
        <v>174440</v>
      </c>
      <c r="L46" s="4" t="n">
        <f aca="false">ROUND(ABS(淡江大學_p6!L48),0)</f>
        <v>174440</v>
      </c>
      <c r="M46" s="4" t="n">
        <f aca="false">ROUND(ABS(淡江大學_p6!M48),0)</f>
        <v>174440</v>
      </c>
      <c r="N46" s="4" t="n">
        <f aca="false">ROUND(ABS(淡江大學_p6!N48),0)</f>
        <v>174440</v>
      </c>
      <c r="O46" s="4" t="n">
        <f aca="false">ROUND(ABS(淡江大學_p6!O48),0)</f>
        <v>174440</v>
      </c>
      <c r="P46" s="4" t="n">
        <f aca="false">ROUND(ABS(淡江大學_p6!P48),0)</f>
        <v>174440</v>
      </c>
      <c r="Q46" s="4" t="n">
        <f aca="false">ROUND(ABS(淡江大學_p6!Q48),0)</f>
        <v>174440</v>
      </c>
      <c r="R46" s="4" t="n">
        <f aca="false">ROUND(ABS(淡江大學_p6!R48),0)</f>
        <v>174440</v>
      </c>
      <c r="S46" s="4" t="n">
        <f aca="false">ROUND(ABS(淡江大學_p6!S48),0)</f>
        <v>174440</v>
      </c>
      <c r="T46" s="4" t="n">
        <f aca="false">ROUND(ABS(淡江大學_p6!T48),0)</f>
        <v>174440</v>
      </c>
      <c r="U46" s="4" t="n">
        <f aca="false">ROUND(ABS(淡江大學_p6!U48),0)</f>
        <v>174440</v>
      </c>
      <c r="V46" s="4" t="n">
        <f aca="false">ROUND(ABS(淡江大學_p6!V48),0)</f>
        <v>174440</v>
      </c>
      <c r="W46" s="4" t="n">
        <f aca="false">ROUND(ABS(淡江大學_p6!W48),0)</f>
        <v>174440</v>
      </c>
      <c r="X46" s="2"/>
    </row>
    <row r="47" customFormat="false" ht="15" hidden="false" customHeight="true" outlineLevel="0" collapsed="false">
      <c r="A47" s="2"/>
      <c r="B47" s="2" t="s">
        <v>2</v>
      </c>
      <c r="C47" s="2"/>
      <c r="D47" s="4" t="n">
        <f aca="false">ROUND(ABS(淡江大學_p3!D48),0)</f>
        <v>174440</v>
      </c>
      <c r="E47" s="4" t="n">
        <f aca="false">ROUND(ABS(淡江大學_p3!E48),0)</f>
        <v>174440</v>
      </c>
      <c r="F47" s="4" t="n">
        <f aca="false">ROUND(ABS(淡江大學_p3!F48),0)</f>
        <v>174440</v>
      </c>
      <c r="G47" s="4" t="n">
        <f aca="false">ROUND(ABS(淡江大學_p3!G48),0)</f>
        <v>174440</v>
      </c>
      <c r="H47" s="4" t="n">
        <f aca="false">ROUND(ABS(淡江大學_p3!H48),0)</f>
        <v>174440</v>
      </c>
      <c r="I47" s="4" t="n">
        <f aca="false">ROUND(ABS(淡江大學_p3!I48),0)</f>
        <v>174440</v>
      </c>
      <c r="J47" s="4" t="n">
        <f aca="false">ROUND(ABS(淡江大學_p3!J48),0)</f>
        <v>174440</v>
      </c>
      <c r="K47" s="4" t="n">
        <f aca="false">ROUND(ABS(淡江大學_p3!K48),0)</f>
        <v>174440</v>
      </c>
      <c r="L47" s="4" t="n">
        <f aca="false">ROUND(ABS(淡江大學_p3!L48),0)</f>
        <v>174440</v>
      </c>
      <c r="M47" s="4" t="n">
        <f aca="false">ROUND(ABS(淡江大學_p3!M48),0)</f>
        <v>174440</v>
      </c>
      <c r="N47" s="4" t="n">
        <f aca="false">ROUND(ABS(淡江大學_p3!N48),0)</f>
        <v>174440</v>
      </c>
      <c r="O47" s="4" t="n">
        <f aca="false">ROUND(ABS(淡江大學_p3!O48),0)</f>
        <v>174440</v>
      </c>
      <c r="P47" s="4" t="n">
        <f aca="false">ROUND(ABS(淡江大學_p3!P48),0)</f>
        <v>174440</v>
      </c>
      <c r="Q47" s="4" t="n">
        <f aca="false">ROUND(ABS(淡江大學_p3!Q48),0)</f>
        <v>174440</v>
      </c>
      <c r="R47" s="4" t="n">
        <f aca="false">ROUND(ABS(淡江大學_p3!R48),0)</f>
        <v>174440</v>
      </c>
      <c r="S47" s="4" t="n">
        <f aca="false">ROUND(ABS(淡江大學_p3!S48),0)</f>
        <v>174440</v>
      </c>
      <c r="T47" s="4" t="n">
        <f aca="false">ROUND(ABS(淡江大學_p3!T48),0)</f>
        <v>174440</v>
      </c>
      <c r="U47" s="4" t="n">
        <f aca="false">ROUND(ABS(淡江大學_p3!U48),0)</f>
        <v>174440</v>
      </c>
      <c r="V47" s="4" t="n">
        <f aca="false">ROUND(ABS(淡江大學_p3!V48),0)</f>
        <v>174440</v>
      </c>
      <c r="W47" s="4" t="n">
        <f aca="false">ROUND(ABS(淡江大學_p3!W48),0)</f>
        <v>174440</v>
      </c>
      <c r="X47" s="2"/>
    </row>
    <row r="48" customFormat="false" ht="15" hidden="false" customHeight="true" outlineLevel="0" collapsed="false">
      <c r="A48" s="2"/>
      <c r="B48" s="2" t="s">
        <v>2</v>
      </c>
      <c r="C48" s="2"/>
      <c r="D48" s="4" t="n">
        <f aca="false">ROUND(ABS(淡江大學_p4_3!D48),0)</f>
        <v>174440</v>
      </c>
      <c r="E48" s="4" t="n">
        <f aca="false">ROUND(ABS(淡江大學_p4_3!E48),0)</f>
        <v>174440</v>
      </c>
      <c r="F48" s="4" t="n">
        <f aca="false">ROUND(ABS(淡江大學_p4_3!F48),0)</f>
        <v>174440</v>
      </c>
      <c r="G48" s="4" t="n">
        <f aca="false">ROUND(ABS(淡江大學_p4_3!G48),0)</f>
        <v>174440</v>
      </c>
      <c r="H48" s="4" t="n">
        <f aca="false">ROUND(ABS(淡江大學_p4_3!H48),0)</f>
        <v>174440</v>
      </c>
      <c r="I48" s="4" t="n">
        <f aca="false">ROUND(ABS(淡江大學_p4_3!I48),0)</f>
        <v>174440</v>
      </c>
      <c r="J48" s="4" t="n">
        <f aca="false">ROUND(ABS(淡江大學_p4_3!J48),0)</f>
        <v>174440</v>
      </c>
      <c r="K48" s="4" t="n">
        <f aca="false">ROUND(ABS(淡江大學_p4_3!K48),0)</f>
        <v>174440</v>
      </c>
      <c r="L48" s="4" t="n">
        <f aca="false">ROUND(ABS(淡江大學_p4_3!L48),0)</f>
        <v>174440</v>
      </c>
      <c r="M48" s="4" t="n">
        <f aca="false">ROUND(ABS(淡江大學_p4_3!M48),0)</f>
        <v>174440</v>
      </c>
      <c r="N48" s="4" t="n">
        <f aca="false">ROUND(ABS(淡江大學_p4_3!N48),0)</f>
        <v>174440</v>
      </c>
      <c r="O48" s="4" t="n">
        <f aca="false">ROUND(ABS(淡江大學_p4_3!O48),0)</f>
        <v>174440</v>
      </c>
      <c r="P48" s="4" t="n">
        <f aca="false">ROUND(ABS(淡江大學_p4_3!P48),0)</f>
        <v>174440</v>
      </c>
      <c r="Q48" s="4" t="n">
        <f aca="false">ROUND(ABS(淡江大學_p4_3!Q48),0)</f>
        <v>174440</v>
      </c>
      <c r="R48" s="4" t="n">
        <f aca="false">ROUND(ABS(淡江大學_p4_3!R48),0)</f>
        <v>174440</v>
      </c>
      <c r="S48" s="4" t="n">
        <f aca="false">ROUND(ABS(淡江大學_p4_3!S48),0)</f>
        <v>174440</v>
      </c>
      <c r="T48" s="4" t="n">
        <f aca="false">ROUND(ABS(淡江大學_p4_3!T48),0)</f>
        <v>174440</v>
      </c>
      <c r="U48" s="4" t="n">
        <f aca="false">ROUND(ABS(淡江大學_p4_3!U48),0)</f>
        <v>174440</v>
      </c>
      <c r="V48" s="4" t="n">
        <f aca="false">ROUND(ABS(淡江大學_p4_3!V48),0)</f>
        <v>174440</v>
      </c>
      <c r="W48" s="4" t="n">
        <f aca="false">ROUND(ABS(淡江大學_p4_3!W48),0)</f>
        <v>174440</v>
      </c>
      <c r="X48" s="2"/>
    </row>
    <row r="49" customFormat="false" ht="15" hidden="false" customHeight="true" outlineLevel="0" collapsed="false">
      <c r="A49" s="2"/>
      <c r="B49" s="2" t="s">
        <v>2</v>
      </c>
      <c r="C49" s="2"/>
      <c r="D49" s="4" t="n">
        <f aca="false">ROUND(ABS(淡江大學_p3_1!D48),0)</f>
        <v>174440</v>
      </c>
      <c r="E49" s="4" t="n">
        <f aca="false">ROUND(ABS(淡江大學_p3_1!E48),0)</f>
        <v>174440</v>
      </c>
      <c r="F49" s="4" t="n">
        <f aca="false">ROUND(ABS(淡江大學_p3_1!F48),0)</f>
        <v>174440</v>
      </c>
      <c r="G49" s="4" t="n">
        <f aca="false">ROUND(ABS(淡江大學_p3_1!G48),0)</f>
        <v>174440</v>
      </c>
      <c r="H49" s="4" t="n">
        <f aca="false">ROUND(ABS(淡江大學_p3_1!H48),0)</f>
        <v>174440</v>
      </c>
      <c r="I49" s="4" t="n">
        <f aca="false">ROUND(ABS(淡江大學_p3_1!I48),0)</f>
        <v>174440</v>
      </c>
      <c r="J49" s="4" t="n">
        <f aca="false">ROUND(ABS(淡江大學_p3_1!J48),0)</f>
        <v>174440</v>
      </c>
      <c r="K49" s="4" t="n">
        <f aca="false">ROUND(ABS(淡江大學_p3_1!K48),0)</f>
        <v>174440</v>
      </c>
      <c r="L49" s="4" t="n">
        <f aca="false">ROUND(ABS(淡江大學_p3_1!L48),0)</f>
        <v>174440</v>
      </c>
      <c r="M49" s="4" t="n">
        <f aca="false">ROUND(ABS(淡江大學_p3_1!M48),0)</f>
        <v>174440</v>
      </c>
      <c r="N49" s="4" t="n">
        <f aca="false">ROUND(ABS(淡江大學_p3_1!N48),0)</f>
        <v>174440</v>
      </c>
      <c r="O49" s="4" t="n">
        <f aca="false">ROUND(ABS(淡江大學_p3_1!O48),0)</f>
        <v>174440</v>
      </c>
      <c r="P49" s="4" t="n">
        <f aca="false">ROUND(ABS(淡江大學_p3_1!P48),0)</f>
        <v>174440</v>
      </c>
      <c r="Q49" s="4" t="n">
        <f aca="false">ROUND(ABS(淡江大學_p3_1!Q48),0)</f>
        <v>174440</v>
      </c>
      <c r="R49" s="4" t="n">
        <f aca="false">ROUND(ABS(淡江大學_p3_1!R48),0)</f>
        <v>174440</v>
      </c>
      <c r="S49" s="4" t="n">
        <f aca="false">ROUND(ABS(淡江大學_p3_1!S48),0)</f>
        <v>174440</v>
      </c>
      <c r="T49" s="4" t="n">
        <f aca="false">ROUND(ABS(淡江大學_p3_1!T48),0)</f>
        <v>174440</v>
      </c>
      <c r="U49" s="4" t="n">
        <f aca="false">ROUND(ABS(淡江大學_p3_1!U48),0)</f>
        <v>174440</v>
      </c>
      <c r="V49" s="4" t="n">
        <f aca="false">ROUND(ABS(淡江大學_p3_1!V48),0)</f>
        <v>174440</v>
      </c>
      <c r="W49" s="4" t="n">
        <f aca="false">ROUND(ABS(淡江大學_p3_1!W48),0)</f>
        <v>174440</v>
      </c>
      <c r="X49" s="2"/>
    </row>
    <row r="50" customFormat="false" ht="15" hidden="false" customHeight="true" outlineLevel="0" collapsed="false">
      <c r="A50" s="2"/>
      <c r="B50" s="2" t="s">
        <v>2</v>
      </c>
      <c r="C50" s="2"/>
      <c r="D50" s="4" t="n">
        <f aca="false">ROUND(ABS(淡江大學_p5!D48),0)</f>
        <v>174440</v>
      </c>
      <c r="E50" s="4" t="n">
        <f aca="false">ROUND(ABS(淡江大學_p5!E48),0)</f>
        <v>174440</v>
      </c>
      <c r="F50" s="4" t="n">
        <f aca="false">ROUND(ABS(淡江大學_p5!F48),0)</f>
        <v>174440</v>
      </c>
      <c r="G50" s="4" t="n">
        <f aca="false">ROUND(ABS(淡江大學_p5!G48),0)</f>
        <v>174440</v>
      </c>
      <c r="H50" s="4" t="n">
        <f aca="false">ROUND(ABS(淡江大學_p5!H48),0)</f>
        <v>174440</v>
      </c>
      <c r="I50" s="4" t="n">
        <f aca="false">ROUND(ABS(淡江大學_p5!I48),0)</f>
        <v>174440</v>
      </c>
      <c r="J50" s="4" t="n">
        <f aca="false">ROUND(ABS(淡江大學_p5!J48),0)</f>
        <v>174440</v>
      </c>
      <c r="K50" s="4" t="n">
        <f aca="false">ROUND(ABS(淡江大學_p5!K48),0)</f>
        <v>174440</v>
      </c>
      <c r="L50" s="4" t="n">
        <f aca="false">ROUND(ABS(淡江大學_p5!L48),0)</f>
        <v>174440</v>
      </c>
      <c r="M50" s="4" t="n">
        <f aca="false">ROUND(ABS(淡江大學_p5!M48),0)</f>
        <v>174440</v>
      </c>
      <c r="N50" s="4" t="n">
        <f aca="false">ROUND(ABS(淡江大學_p5!N48),0)</f>
        <v>174440</v>
      </c>
      <c r="O50" s="4" t="n">
        <f aca="false">ROUND(ABS(淡江大學_p5!O48),0)</f>
        <v>174440</v>
      </c>
      <c r="P50" s="4" t="n">
        <f aca="false">ROUND(ABS(淡江大學_p5!P48),0)</f>
        <v>174440</v>
      </c>
      <c r="Q50" s="4" t="n">
        <f aca="false">ROUND(ABS(淡江大學_p5!Q48),0)</f>
        <v>174440</v>
      </c>
      <c r="R50" s="4" t="n">
        <f aca="false">ROUND(ABS(淡江大學_p5!R48),0)</f>
        <v>174440</v>
      </c>
      <c r="S50" s="4" t="n">
        <f aca="false">ROUND(ABS(淡江大學_p5!S48),0)</f>
        <v>174440</v>
      </c>
      <c r="T50" s="4" t="n">
        <f aca="false">ROUND(ABS(淡江大學_p5!T48),0)</f>
        <v>174440</v>
      </c>
      <c r="U50" s="4" t="n">
        <f aca="false">ROUND(ABS(淡江大學_p5!U48),0)</f>
        <v>174440</v>
      </c>
      <c r="V50" s="4" t="n">
        <f aca="false">ROUND(ABS(淡江大學_p5!V48),0)</f>
        <v>174440</v>
      </c>
      <c r="W50" s="4" t="n">
        <f aca="false">ROUND(ABS(淡江大學_p5!W48),0)</f>
        <v>174440</v>
      </c>
      <c r="X50" s="2"/>
    </row>
    <row r="51" customFormat="false" ht="15" hidden="false" customHeight="true" outlineLevel="0" collapsed="false">
      <c r="A51" s="2"/>
      <c r="B51" s="2"/>
      <c r="C51" s="12" t="s">
        <v>9</v>
      </c>
      <c r="D51" s="13" t="n">
        <f aca="false">SUM(D42:D50)</f>
        <v>1569960</v>
      </c>
      <c r="E51" s="13" t="n">
        <f aca="false">SUM(E42:E50)</f>
        <v>1569960</v>
      </c>
      <c r="F51" s="13" t="n">
        <f aca="false">SUM(F42:F50)</f>
        <v>1569960</v>
      </c>
      <c r="G51" s="13" t="n">
        <f aca="false">SUM(G42:G50)</f>
        <v>1569960</v>
      </c>
      <c r="H51" s="13" t="n">
        <f aca="false">SUM(H42:H50)</f>
        <v>1569960</v>
      </c>
      <c r="I51" s="13" t="n">
        <f aca="false">SUM(I42:I50)</f>
        <v>1569960</v>
      </c>
      <c r="J51" s="13" t="n">
        <f aca="false">SUM(J42:J50)</f>
        <v>1569960</v>
      </c>
      <c r="K51" s="13" t="n">
        <f aca="false">SUM(K42:K50)</f>
        <v>1569960</v>
      </c>
      <c r="L51" s="13" t="n">
        <f aca="false">SUM(L42:L50)</f>
        <v>1569960</v>
      </c>
      <c r="M51" s="13" t="n">
        <f aca="false">SUM(M42:M50)</f>
        <v>1569960</v>
      </c>
      <c r="N51" s="13" t="n">
        <f aca="false">SUM(N42:N50)</f>
        <v>1569960</v>
      </c>
      <c r="O51" s="13" t="n">
        <f aca="false">SUM(O42:O50)</f>
        <v>1569960</v>
      </c>
      <c r="P51" s="13" t="n">
        <f aca="false">SUM(P42:P50)</f>
        <v>1569960</v>
      </c>
      <c r="Q51" s="13" t="n">
        <f aca="false">SUM(Q42:Q50)</f>
        <v>1569960</v>
      </c>
      <c r="R51" s="13" t="n">
        <f aca="false">SUM(R42:R50)</f>
        <v>1569960</v>
      </c>
      <c r="S51" s="13" t="n">
        <f aca="false">SUM(S42:S50)</f>
        <v>1569960</v>
      </c>
      <c r="T51" s="13" t="n">
        <f aca="false">SUM(T42:T50)</f>
        <v>1569960</v>
      </c>
      <c r="U51" s="13" t="n">
        <f aca="false">SUM(U42:U50)</f>
        <v>1569960</v>
      </c>
      <c r="V51" s="13" t="n">
        <f aca="false">SUM(V42:V50)</f>
        <v>1569960</v>
      </c>
      <c r="W51" s="13" t="n">
        <f aca="false">SUM(W42:W50)</f>
        <v>1569960</v>
      </c>
      <c r="X51" s="2"/>
    </row>
    <row r="52" customFormat="false" ht="15" hidden="false" customHeight="true" outlineLevel="0" collapsed="false">
      <c r="A52" s="2"/>
      <c r="B52" s="2"/>
      <c r="C52" s="3" t="s">
        <v>0</v>
      </c>
      <c r="D52" s="7" t="n">
        <v>2020</v>
      </c>
      <c r="E52" s="7" t="n">
        <v>2021</v>
      </c>
      <c r="F52" s="7" t="n">
        <v>2022</v>
      </c>
      <c r="G52" s="7" t="n">
        <v>2023</v>
      </c>
      <c r="H52" s="7" t="n">
        <v>2024</v>
      </c>
      <c r="I52" s="7" t="n">
        <v>2025</v>
      </c>
      <c r="J52" s="7" t="n">
        <v>2026</v>
      </c>
      <c r="K52" s="7" t="n">
        <v>2027</v>
      </c>
      <c r="L52" s="7" t="n">
        <v>2028</v>
      </c>
      <c r="M52" s="7" t="n">
        <v>2029</v>
      </c>
      <c r="N52" s="7" t="n">
        <v>2030</v>
      </c>
      <c r="O52" s="7" t="n">
        <v>2031</v>
      </c>
      <c r="P52" s="7" t="n">
        <v>2032</v>
      </c>
      <c r="Q52" s="7" t="n">
        <v>2033</v>
      </c>
      <c r="R52" s="7" t="n">
        <v>2034</v>
      </c>
      <c r="S52" s="7" t="n">
        <v>2035</v>
      </c>
      <c r="T52" s="7" t="n">
        <v>2036</v>
      </c>
      <c r="U52" s="7" t="n">
        <v>2037</v>
      </c>
      <c r="V52" s="7" t="n">
        <v>2038</v>
      </c>
      <c r="W52" s="7" t="n">
        <v>2039</v>
      </c>
      <c r="X52" s="2"/>
    </row>
    <row r="53" customFormat="false" ht="15" hidden="false" customHeight="true" outlineLevel="0" collapsed="false">
      <c r="A53" s="2"/>
      <c r="B53" s="2"/>
      <c r="C53" s="2" t="s">
        <v>10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2"/>
    </row>
    <row r="54" customFormat="false" ht="15" hidden="false" customHeight="true" outlineLevel="0" collapsed="false">
      <c r="A54" s="2"/>
      <c r="B54" s="2" t="s">
        <v>2</v>
      </c>
      <c r="C54" s="2"/>
      <c r="D54" s="4" t="n">
        <f aca="false">ROUND(ABS(淡江大學_p6_1!D49),0)</f>
        <v>32708</v>
      </c>
      <c r="E54" s="4" t="n">
        <f aca="false">ROUND(ABS(淡江大學_p6_1!E49),0)</f>
        <v>32708</v>
      </c>
      <c r="F54" s="4" t="n">
        <f aca="false">ROUND(ABS(淡江大學_p6_1!F49),0)</f>
        <v>32708</v>
      </c>
      <c r="G54" s="4" t="n">
        <f aca="false">ROUND(ABS(淡江大學_p6_1!G49),0)</f>
        <v>32708</v>
      </c>
      <c r="H54" s="4" t="n">
        <f aca="false">ROUND(ABS(淡江大學_p6_1!H49),0)</f>
        <v>32708</v>
      </c>
      <c r="I54" s="4" t="n">
        <f aca="false">ROUND(ABS(淡江大學_p6_1!I49),0)</f>
        <v>32708</v>
      </c>
      <c r="J54" s="4" t="n">
        <f aca="false">ROUND(ABS(淡江大學_p6_1!J49),0)</f>
        <v>32708</v>
      </c>
      <c r="K54" s="4" t="n">
        <f aca="false">ROUND(ABS(淡江大學_p6_1!K49),0)</f>
        <v>32708</v>
      </c>
      <c r="L54" s="4" t="n">
        <f aca="false">ROUND(ABS(淡江大學_p6_1!L49),0)</f>
        <v>32708</v>
      </c>
      <c r="M54" s="4" t="n">
        <f aca="false">ROUND(ABS(淡江大學_p6_1!M49),0)</f>
        <v>32708</v>
      </c>
      <c r="N54" s="4" t="n">
        <f aca="false">ROUND(ABS(淡江大學_p6_1!N49),0)</f>
        <v>32708</v>
      </c>
      <c r="O54" s="4" t="n">
        <f aca="false">ROUND(ABS(淡江大學_p6_1!O49),0)</f>
        <v>32708</v>
      </c>
      <c r="P54" s="4" t="n">
        <f aca="false">ROUND(ABS(淡江大學_p6_1!P49),0)</f>
        <v>32708</v>
      </c>
      <c r="Q54" s="4" t="n">
        <f aca="false">ROUND(ABS(淡江大學_p6_1!Q49),0)</f>
        <v>32708</v>
      </c>
      <c r="R54" s="4" t="n">
        <f aca="false">ROUND(ABS(淡江大學_p6_1!R49),0)</f>
        <v>32708</v>
      </c>
      <c r="S54" s="4" t="n">
        <f aca="false">ROUND(ABS(淡江大學_p6_1!S49),0)</f>
        <v>32708</v>
      </c>
      <c r="T54" s="4" t="n">
        <f aca="false">ROUND(ABS(淡江大學_p6_1!T49),0)</f>
        <v>32708</v>
      </c>
      <c r="U54" s="4" t="n">
        <f aca="false">ROUND(ABS(淡江大學_p6_1!U49),0)</f>
        <v>32708</v>
      </c>
      <c r="V54" s="4" t="n">
        <f aca="false">ROUND(ABS(淡江大學_p6_1!V49),0)</f>
        <v>32708</v>
      </c>
      <c r="W54" s="4" t="n">
        <f aca="false">ROUND(ABS(淡江大學_p6_1!W49),0)</f>
        <v>32708</v>
      </c>
      <c r="X54" s="2"/>
    </row>
    <row r="55" customFormat="false" ht="15" hidden="false" customHeight="true" outlineLevel="0" collapsed="false">
      <c r="A55" s="2"/>
      <c r="B55" s="2" t="s">
        <v>2</v>
      </c>
      <c r="C55" s="2"/>
      <c r="D55" s="4" t="n">
        <f aca="false">ROUND(ABS(淡江大學_p4_2!D49),0)</f>
        <v>37941</v>
      </c>
      <c r="E55" s="4" t="n">
        <f aca="false">ROUND(ABS(淡江大學_p4_2!E49),0)</f>
        <v>37941</v>
      </c>
      <c r="F55" s="4" t="n">
        <f aca="false">ROUND(ABS(淡江大學_p4_2!F49),0)</f>
        <v>37941</v>
      </c>
      <c r="G55" s="4" t="n">
        <f aca="false">ROUND(ABS(淡江大學_p4_2!G49),0)</f>
        <v>37941</v>
      </c>
      <c r="H55" s="4" t="n">
        <f aca="false">ROUND(ABS(淡江大學_p4_2!H49),0)</f>
        <v>37941</v>
      </c>
      <c r="I55" s="4" t="n">
        <f aca="false">ROUND(ABS(淡江大學_p4_2!I49),0)</f>
        <v>37941</v>
      </c>
      <c r="J55" s="4" t="n">
        <f aca="false">ROUND(ABS(淡江大學_p4_2!J49),0)</f>
        <v>37941</v>
      </c>
      <c r="K55" s="4" t="n">
        <f aca="false">ROUND(ABS(淡江大學_p4_2!K49),0)</f>
        <v>37941</v>
      </c>
      <c r="L55" s="4" t="n">
        <f aca="false">ROUND(ABS(淡江大學_p4_2!L49),0)</f>
        <v>37941</v>
      </c>
      <c r="M55" s="4" t="n">
        <f aca="false">ROUND(ABS(淡江大學_p4_2!M49),0)</f>
        <v>37941</v>
      </c>
      <c r="N55" s="4" t="n">
        <f aca="false">ROUND(ABS(淡江大學_p4_2!N49),0)</f>
        <v>37941</v>
      </c>
      <c r="O55" s="4" t="n">
        <f aca="false">ROUND(ABS(淡江大學_p4_2!O49),0)</f>
        <v>37941</v>
      </c>
      <c r="P55" s="4" t="n">
        <f aca="false">ROUND(ABS(淡江大學_p4_2!P49),0)</f>
        <v>37941</v>
      </c>
      <c r="Q55" s="4" t="n">
        <f aca="false">ROUND(ABS(淡江大學_p4_2!Q49),0)</f>
        <v>37941</v>
      </c>
      <c r="R55" s="4" t="n">
        <f aca="false">ROUND(ABS(淡江大學_p4_2!R49),0)</f>
        <v>37941</v>
      </c>
      <c r="S55" s="4" t="n">
        <f aca="false">ROUND(ABS(淡江大學_p4_2!S49),0)</f>
        <v>37941</v>
      </c>
      <c r="T55" s="4" t="n">
        <f aca="false">ROUND(ABS(淡江大學_p4_2!T49),0)</f>
        <v>37941</v>
      </c>
      <c r="U55" s="4" t="n">
        <f aca="false">ROUND(ABS(淡江大學_p4_2!U49),0)</f>
        <v>37941</v>
      </c>
      <c r="V55" s="4" t="n">
        <f aca="false">ROUND(ABS(淡江大學_p4_2!V49),0)</f>
        <v>37941</v>
      </c>
      <c r="W55" s="4" t="n">
        <f aca="false">ROUND(ABS(淡江大學_p4_2!W49),0)</f>
        <v>37941</v>
      </c>
      <c r="X55" s="2"/>
    </row>
    <row r="56" customFormat="false" ht="15" hidden="false" customHeight="true" outlineLevel="0" collapsed="false">
      <c r="A56" s="2"/>
      <c r="B56" s="2" t="s">
        <v>2</v>
      </c>
      <c r="C56" s="2"/>
      <c r="D56" s="4" t="n">
        <f aca="false">ROUND(ABS(淡江大學_p4_1!D49),0)</f>
        <v>37941</v>
      </c>
      <c r="E56" s="4" t="n">
        <f aca="false">ROUND(ABS(淡江大學_p4_1!E49),0)</f>
        <v>37941</v>
      </c>
      <c r="F56" s="4" t="n">
        <f aca="false">ROUND(ABS(淡江大學_p4_1!F49),0)</f>
        <v>37941</v>
      </c>
      <c r="G56" s="4" t="n">
        <f aca="false">ROUND(ABS(淡江大學_p4_1!G49),0)</f>
        <v>37941</v>
      </c>
      <c r="H56" s="4" t="n">
        <f aca="false">ROUND(ABS(淡江大學_p4_1!H49),0)</f>
        <v>37941</v>
      </c>
      <c r="I56" s="4" t="n">
        <f aca="false">ROUND(ABS(淡江大學_p4_1!I49),0)</f>
        <v>37941</v>
      </c>
      <c r="J56" s="4" t="n">
        <f aca="false">ROUND(ABS(淡江大學_p4_1!J49),0)</f>
        <v>37941</v>
      </c>
      <c r="K56" s="4" t="n">
        <f aca="false">ROUND(ABS(淡江大學_p4_1!K49),0)</f>
        <v>37941</v>
      </c>
      <c r="L56" s="4" t="n">
        <f aca="false">ROUND(ABS(淡江大學_p4_1!L49),0)</f>
        <v>37941</v>
      </c>
      <c r="M56" s="4" t="n">
        <f aca="false">ROUND(ABS(淡江大學_p4_1!M49),0)</f>
        <v>37941</v>
      </c>
      <c r="N56" s="4" t="n">
        <f aca="false">ROUND(ABS(淡江大學_p4_1!N49),0)</f>
        <v>37941</v>
      </c>
      <c r="O56" s="4" t="n">
        <f aca="false">ROUND(ABS(淡江大學_p4_1!O49),0)</f>
        <v>37941</v>
      </c>
      <c r="P56" s="4" t="n">
        <f aca="false">ROUND(ABS(淡江大學_p4_1!P49),0)</f>
        <v>37941</v>
      </c>
      <c r="Q56" s="4" t="n">
        <f aca="false">ROUND(ABS(淡江大學_p4_1!Q49),0)</f>
        <v>37941</v>
      </c>
      <c r="R56" s="4" t="n">
        <f aca="false">ROUND(ABS(淡江大學_p4_1!R49),0)</f>
        <v>37941</v>
      </c>
      <c r="S56" s="4" t="n">
        <f aca="false">ROUND(ABS(淡江大學_p4_1!S49),0)</f>
        <v>37941</v>
      </c>
      <c r="T56" s="4" t="n">
        <f aca="false">ROUND(ABS(淡江大學_p4_1!T49),0)</f>
        <v>37941</v>
      </c>
      <c r="U56" s="4" t="n">
        <f aca="false">ROUND(ABS(淡江大學_p4_1!U49),0)</f>
        <v>37941</v>
      </c>
      <c r="V56" s="4" t="n">
        <f aca="false">ROUND(ABS(淡江大學_p4_1!V49),0)</f>
        <v>37941</v>
      </c>
      <c r="W56" s="4" t="n">
        <f aca="false">ROUND(ABS(淡江大學_p4_1!W49),0)</f>
        <v>37941</v>
      </c>
      <c r="X56" s="2"/>
    </row>
    <row r="57" customFormat="false" ht="15" hidden="false" customHeight="true" outlineLevel="0" collapsed="false">
      <c r="A57" s="2"/>
      <c r="B57" s="2" t="s">
        <v>2</v>
      </c>
      <c r="C57" s="2"/>
      <c r="D57" s="4" t="n">
        <f aca="false">ROUND(ABS(淡江大學_p4!D49),0)</f>
        <v>37941</v>
      </c>
      <c r="E57" s="4" t="n">
        <f aca="false">ROUND(ABS(淡江大學_p4!E49),0)</f>
        <v>37941</v>
      </c>
      <c r="F57" s="4" t="n">
        <f aca="false">ROUND(ABS(淡江大學_p4!F49),0)</f>
        <v>37941</v>
      </c>
      <c r="G57" s="4" t="n">
        <f aca="false">ROUND(ABS(淡江大學_p4!G49),0)</f>
        <v>37941</v>
      </c>
      <c r="H57" s="4" t="n">
        <f aca="false">ROUND(ABS(淡江大學_p4!H49),0)</f>
        <v>37941</v>
      </c>
      <c r="I57" s="4" t="n">
        <f aca="false">ROUND(ABS(淡江大學_p4!I49),0)</f>
        <v>37941</v>
      </c>
      <c r="J57" s="4" t="n">
        <f aca="false">ROUND(ABS(淡江大學_p4!J49),0)</f>
        <v>37941</v>
      </c>
      <c r="K57" s="4" t="n">
        <f aca="false">ROUND(ABS(淡江大學_p4!K49),0)</f>
        <v>37941</v>
      </c>
      <c r="L57" s="4" t="n">
        <f aca="false">ROUND(ABS(淡江大學_p4!L49),0)</f>
        <v>37941</v>
      </c>
      <c r="M57" s="4" t="n">
        <f aca="false">ROUND(ABS(淡江大學_p4!M49),0)</f>
        <v>37941</v>
      </c>
      <c r="N57" s="4" t="n">
        <f aca="false">ROUND(ABS(淡江大學_p4!N49),0)</f>
        <v>37941</v>
      </c>
      <c r="O57" s="4" t="n">
        <f aca="false">ROUND(ABS(淡江大學_p4!O49),0)</f>
        <v>37941</v>
      </c>
      <c r="P57" s="4" t="n">
        <f aca="false">ROUND(ABS(淡江大學_p4!P49),0)</f>
        <v>37941</v>
      </c>
      <c r="Q57" s="4" t="n">
        <f aca="false">ROUND(ABS(淡江大學_p4!Q49),0)</f>
        <v>37941</v>
      </c>
      <c r="R57" s="4" t="n">
        <f aca="false">ROUND(ABS(淡江大學_p4!R49),0)</f>
        <v>37941</v>
      </c>
      <c r="S57" s="4" t="n">
        <f aca="false">ROUND(ABS(淡江大學_p4!S49),0)</f>
        <v>37941</v>
      </c>
      <c r="T57" s="4" t="n">
        <f aca="false">ROUND(ABS(淡江大學_p4!T49),0)</f>
        <v>37941</v>
      </c>
      <c r="U57" s="4" t="n">
        <f aca="false">ROUND(ABS(淡江大學_p4!U49),0)</f>
        <v>37941</v>
      </c>
      <c r="V57" s="4" t="n">
        <f aca="false">ROUND(ABS(淡江大學_p4!V49),0)</f>
        <v>37941</v>
      </c>
      <c r="W57" s="4" t="n">
        <f aca="false">ROUND(ABS(淡江大學_p4!W49),0)</f>
        <v>37941</v>
      </c>
      <c r="X57" s="2"/>
    </row>
    <row r="58" customFormat="false" ht="18.75" hidden="false" customHeight="true" outlineLevel="0" collapsed="false">
      <c r="A58" s="2"/>
      <c r="B58" s="14" t="s">
        <v>2</v>
      </c>
      <c r="C58" s="15"/>
      <c r="D58" s="16" t="n">
        <f aca="false">ROUND(ABS(淡江大學_p6!D49),0)</f>
        <v>32708</v>
      </c>
      <c r="E58" s="16" t="n">
        <f aca="false">ROUND(ABS(淡江大學_p6!E49),0)</f>
        <v>32708</v>
      </c>
      <c r="F58" s="16" t="n">
        <f aca="false">ROUND(ABS(淡江大學_p6!F49),0)</f>
        <v>32708</v>
      </c>
      <c r="G58" s="16" t="n">
        <f aca="false">ROUND(ABS(淡江大學_p6!G49),0)</f>
        <v>32708</v>
      </c>
      <c r="H58" s="16" t="n">
        <f aca="false">ROUND(ABS(淡江大學_p6!H49),0)</f>
        <v>32708</v>
      </c>
      <c r="I58" s="16" t="n">
        <f aca="false">ROUND(ABS(淡江大學_p6!I49),0)</f>
        <v>32708</v>
      </c>
      <c r="J58" s="16" t="n">
        <f aca="false">ROUND(ABS(淡江大學_p6!J49),0)</f>
        <v>32708</v>
      </c>
      <c r="K58" s="16" t="n">
        <f aca="false">ROUND(ABS(淡江大學_p6!K49),0)</f>
        <v>32708</v>
      </c>
      <c r="L58" s="16" t="n">
        <f aca="false">ROUND(ABS(淡江大學_p6!L49),0)</f>
        <v>32708</v>
      </c>
      <c r="M58" s="16" t="n">
        <f aca="false">ROUND(ABS(淡江大學_p6!M49),0)</f>
        <v>32708</v>
      </c>
      <c r="N58" s="16" t="n">
        <f aca="false">ROUND(ABS(淡江大學_p6!N49),0)</f>
        <v>32708</v>
      </c>
      <c r="O58" s="16" t="n">
        <f aca="false">ROUND(ABS(淡江大學_p6!O49),0)</f>
        <v>32708</v>
      </c>
      <c r="P58" s="16" t="n">
        <f aca="false">ROUND(ABS(淡江大學_p6!P49),0)</f>
        <v>32708</v>
      </c>
      <c r="Q58" s="16" t="n">
        <f aca="false">ROUND(ABS(淡江大學_p6!Q49),0)</f>
        <v>32708</v>
      </c>
      <c r="R58" s="16" t="n">
        <f aca="false">ROUND(ABS(淡江大學_p6!R49),0)</f>
        <v>32708</v>
      </c>
      <c r="S58" s="16" t="n">
        <f aca="false">ROUND(ABS(淡江大學_p6!S49),0)</f>
        <v>32708</v>
      </c>
      <c r="T58" s="16" t="n">
        <f aca="false">ROUND(ABS(淡江大學_p6!T49),0)</f>
        <v>32708</v>
      </c>
      <c r="U58" s="16" t="n">
        <f aca="false">ROUND(ABS(淡江大學_p6!U49),0)</f>
        <v>32708</v>
      </c>
      <c r="V58" s="16" t="n">
        <f aca="false">ROUND(ABS(淡江大學_p6!V49),0)</f>
        <v>32708</v>
      </c>
      <c r="W58" s="16" t="n">
        <f aca="false">ROUND(ABS(淡江大學_p6!W49),0)</f>
        <v>32708</v>
      </c>
      <c r="X58" s="2"/>
    </row>
    <row r="59" customFormat="false" ht="18.75" hidden="false" customHeight="true" outlineLevel="0" collapsed="false">
      <c r="A59" s="2"/>
      <c r="B59" s="17" t="s">
        <v>2</v>
      </c>
      <c r="C59" s="18"/>
      <c r="D59" s="19" t="n">
        <f aca="false">ROUND(ABS(淡江大學_p3!D49),0)</f>
        <v>40557</v>
      </c>
      <c r="E59" s="19" t="n">
        <f aca="false">ROUND(ABS(淡江大學_p3!E49),0)</f>
        <v>40557</v>
      </c>
      <c r="F59" s="20" t="n">
        <f aca="false">ROUND(ABS(淡江大學_p3!F49),0)</f>
        <v>40557</v>
      </c>
      <c r="G59" s="19" t="n">
        <f aca="false">ROUND(ABS(淡江大學_p3!G49),0)</f>
        <v>40557</v>
      </c>
      <c r="H59" s="19" t="n">
        <f aca="false">ROUND(ABS(淡江大學_p3!H49),0)</f>
        <v>40557</v>
      </c>
      <c r="I59" s="19" t="n">
        <f aca="false">ROUND(ABS(淡江大學_p3!I49),0)</f>
        <v>40557</v>
      </c>
      <c r="J59" s="19" t="n">
        <f aca="false">ROUND(ABS(淡江大學_p3!J49),0)</f>
        <v>40557</v>
      </c>
      <c r="K59" s="19" t="n">
        <f aca="false">ROUND(ABS(淡江大學_p3!K49),0)</f>
        <v>40557</v>
      </c>
      <c r="L59" s="19" t="n">
        <f aca="false">ROUND(ABS(淡江大學_p3!L49),0)</f>
        <v>40557</v>
      </c>
      <c r="M59" s="19" t="n">
        <f aca="false">ROUND(ABS(淡江大學_p3!M49),0)</f>
        <v>40557</v>
      </c>
      <c r="N59" s="19" t="n">
        <f aca="false">ROUND(ABS(淡江大學_p3!N49),0)</f>
        <v>40557</v>
      </c>
      <c r="O59" s="19" t="n">
        <f aca="false">ROUND(ABS(淡江大學_p3!O49),0)</f>
        <v>40557</v>
      </c>
      <c r="P59" s="19" t="n">
        <f aca="false">ROUND(ABS(淡江大學_p3!P49),0)</f>
        <v>40557</v>
      </c>
      <c r="Q59" s="19" t="n">
        <f aca="false">ROUND(ABS(淡江大學_p3!Q49),0)</f>
        <v>40557</v>
      </c>
      <c r="R59" s="19" t="n">
        <f aca="false">ROUND(ABS(淡江大學_p3!R49),0)</f>
        <v>40557</v>
      </c>
      <c r="S59" s="19" t="n">
        <f aca="false">ROUND(ABS(淡江大學_p3!S49),0)</f>
        <v>40557</v>
      </c>
      <c r="T59" s="21" t="n">
        <f aca="false">ROUND(ABS(淡江大學_p3!T49),0)</f>
        <v>40557</v>
      </c>
      <c r="U59" s="19" t="n">
        <f aca="false">ROUND(ABS(淡江大學_p3!U49),0)</f>
        <v>40557</v>
      </c>
      <c r="V59" s="19" t="n">
        <f aca="false">ROUND(ABS(淡江大學_p3!V49),0)</f>
        <v>40557</v>
      </c>
      <c r="W59" s="19" t="n">
        <f aca="false">ROUND(ABS(淡江大學_p3!W49),0)</f>
        <v>40557</v>
      </c>
      <c r="X59" s="2"/>
    </row>
    <row r="60" customFormat="false" ht="18.75" hidden="false" customHeight="true" outlineLevel="0" collapsed="false">
      <c r="A60" s="2"/>
      <c r="B60" s="22" t="s">
        <v>2</v>
      </c>
      <c r="C60" s="23"/>
      <c r="D60" s="24" t="n">
        <f aca="false">ROUND(ABS(淡江大學_p4_3!D49),0)</f>
        <v>37941</v>
      </c>
      <c r="E60" s="24" t="n">
        <f aca="false">ROUND(ABS(淡江大學_p4_3!E49),0)</f>
        <v>37941</v>
      </c>
      <c r="F60" s="24" t="n">
        <f aca="false">ROUND(ABS(淡江大學_p4_3!F49),0)</f>
        <v>37941</v>
      </c>
      <c r="G60" s="24" t="n">
        <f aca="false">ROUND(ABS(淡江大學_p4_3!G49),0)</f>
        <v>37941</v>
      </c>
      <c r="H60" s="24" t="n">
        <f aca="false">ROUND(ABS(淡江大學_p4_3!H49),0)</f>
        <v>37941</v>
      </c>
      <c r="I60" s="24" t="n">
        <f aca="false">ROUND(ABS(淡江大學_p4_3!I49),0)</f>
        <v>37941</v>
      </c>
      <c r="J60" s="24" t="n">
        <f aca="false">ROUND(ABS(淡江大學_p4_3!J49),0)</f>
        <v>37941</v>
      </c>
      <c r="K60" s="24" t="n">
        <f aca="false">ROUND(ABS(淡江大學_p4_3!K49),0)</f>
        <v>37941</v>
      </c>
      <c r="L60" s="24" t="n">
        <f aca="false">ROUND(ABS(淡江大學_p4_3!L49),0)</f>
        <v>37941</v>
      </c>
      <c r="M60" s="24" t="n">
        <f aca="false">ROUND(ABS(淡江大學_p4_3!M49),0)</f>
        <v>37941</v>
      </c>
      <c r="N60" s="24" t="n">
        <f aca="false">ROUND(ABS(淡江大學_p4_3!N49),0)</f>
        <v>37941</v>
      </c>
      <c r="O60" s="24" t="n">
        <f aca="false">ROUND(ABS(淡江大學_p4_3!O49),0)</f>
        <v>37941</v>
      </c>
      <c r="P60" s="24" t="n">
        <f aca="false">ROUND(ABS(淡江大學_p4_3!P49),0)</f>
        <v>37941</v>
      </c>
      <c r="Q60" s="24" t="n">
        <f aca="false">ROUND(ABS(淡江大學_p4_3!Q49),0)</f>
        <v>37941</v>
      </c>
      <c r="R60" s="24" t="n">
        <f aca="false">ROUND(ABS(淡江大學_p4_3!R49),0)</f>
        <v>37941</v>
      </c>
      <c r="S60" s="24" t="n">
        <f aca="false">ROUND(ABS(淡江大學_p4_3!S49),0)</f>
        <v>37941</v>
      </c>
      <c r="T60" s="24" t="n">
        <f aca="false">ROUND(ABS(淡江大學_p4_3!T49),0)</f>
        <v>37941</v>
      </c>
      <c r="U60" s="24" t="n">
        <f aca="false">ROUND(ABS(淡江大學_p4_3!U49),0)</f>
        <v>37941</v>
      </c>
      <c r="V60" s="24" t="n">
        <f aca="false">ROUND(ABS(淡江大學_p4_3!V49),0)</f>
        <v>37941</v>
      </c>
      <c r="W60" s="24" t="n">
        <f aca="false">ROUND(ABS(淡江大學_p4_3!W49),0)</f>
        <v>37941</v>
      </c>
      <c r="X60" s="2"/>
    </row>
    <row r="61" customFormat="false" ht="18.75" hidden="false" customHeight="true" outlineLevel="0" collapsed="false">
      <c r="A61" s="2"/>
      <c r="B61" s="25" t="s">
        <v>2</v>
      </c>
      <c r="C61" s="26"/>
      <c r="D61" s="24" t="n">
        <f aca="false">ROUND(ABS(淡江大學_p3_1!D49),0)</f>
        <v>40557</v>
      </c>
      <c r="E61" s="24" t="n">
        <f aca="false">ROUND(ABS(淡江大學_p3_1!E49),0)</f>
        <v>40557</v>
      </c>
      <c r="F61" s="24" t="n">
        <f aca="false">ROUND(ABS(淡江大學_p3_1!F49),0)</f>
        <v>40557</v>
      </c>
      <c r="G61" s="24" t="n">
        <f aca="false">ROUND(ABS(淡江大學_p3_1!G49),0)</f>
        <v>40557</v>
      </c>
      <c r="H61" s="24" t="n">
        <f aca="false">ROUND(ABS(淡江大學_p3_1!H49),0)</f>
        <v>40557</v>
      </c>
      <c r="I61" s="24" t="n">
        <f aca="false">ROUND(ABS(淡江大學_p3_1!I49),0)</f>
        <v>40557</v>
      </c>
      <c r="J61" s="24" t="n">
        <f aca="false">ROUND(ABS(淡江大學_p3_1!J49),0)</f>
        <v>40557</v>
      </c>
      <c r="K61" s="24" t="n">
        <f aca="false">ROUND(ABS(淡江大學_p3_1!K49),0)</f>
        <v>40557</v>
      </c>
      <c r="L61" s="24" t="n">
        <f aca="false">ROUND(ABS(淡江大學_p3_1!L49),0)</f>
        <v>40557</v>
      </c>
      <c r="M61" s="24" t="n">
        <f aca="false">ROUND(ABS(淡江大學_p3_1!M49),0)</f>
        <v>40557</v>
      </c>
      <c r="N61" s="24" t="n">
        <f aca="false">ROUND(ABS(淡江大學_p3_1!N49),0)</f>
        <v>40557</v>
      </c>
      <c r="O61" s="24" t="n">
        <f aca="false">ROUND(ABS(淡江大學_p3_1!O49),0)</f>
        <v>40557</v>
      </c>
      <c r="P61" s="24" t="n">
        <f aca="false">ROUND(ABS(淡江大學_p3_1!P49),0)</f>
        <v>40557</v>
      </c>
      <c r="Q61" s="24" t="n">
        <f aca="false">ROUND(ABS(淡江大學_p3_1!Q49),0)</f>
        <v>40557</v>
      </c>
      <c r="R61" s="24" t="n">
        <f aca="false">ROUND(ABS(淡江大學_p3_1!R49),0)</f>
        <v>40557</v>
      </c>
      <c r="S61" s="24" t="n">
        <f aca="false">ROUND(ABS(淡江大學_p3_1!S49),0)</f>
        <v>40557</v>
      </c>
      <c r="T61" s="24" t="n">
        <f aca="false">ROUND(ABS(淡江大學_p3_1!T49),0)</f>
        <v>40557</v>
      </c>
      <c r="U61" s="24" t="n">
        <f aca="false">ROUND(ABS(淡江大學_p3_1!U49),0)</f>
        <v>40557</v>
      </c>
      <c r="V61" s="24" t="n">
        <f aca="false">ROUND(ABS(淡江大學_p3_1!V49),0)</f>
        <v>40557</v>
      </c>
      <c r="W61" s="24" t="n">
        <f aca="false">ROUND(ABS(淡江大學_p3_1!W49),0)</f>
        <v>40557</v>
      </c>
      <c r="X61" s="2"/>
    </row>
    <row r="62" customFormat="false" ht="18.75" hidden="false" customHeight="true" outlineLevel="0" collapsed="false">
      <c r="A62" s="2"/>
      <c r="B62" s="27" t="s">
        <v>2</v>
      </c>
      <c r="C62" s="28"/>
      <c r="D62" s="29" t="n">
        <f aca="false">ROUND(ABS(淡江大學_p5!D49),0)</f>
        <v>35324</v>
      </c>
      <c r="E62" s="29" t="n">
        <f aca="false">ROUND(ABS(淡江大學_p5!E49),0)</f>
        <v>35324</v>
      </c>
      <c r="F62" s="29" t="n">
        <f aca="false">ROUND(ABS(淡江大學_p5!F49),0)</f>
        <v>35324</v>
      </c>
      <c r="G62" s="29" t="n">
        <f aca="false">ROUND(ABS(淡江大學_p5!G49),0)</f>
        <v>35324</v>
      </c>
      <c r="H62" s="29" t="n">
        <f aca="false">ROUND(ABS(淡江大學_p5!H49),0)</f>
        <v>35324</v>
      </c>
      <c r="I62" s="29" t="n">
        <f aca="false">ROUND(ABS(淡江大學_p5!I49),0)</f>
        <v>35324</v>
      </c>
      <c r="J62" s="29" t="n">
        <f aca="false">ROUND(ABS(淡江大學_p5!J49),0)</f>
        <v>35324</v>
      </c>
      <c r="K62" s="29" t="n">
        <f aca="false">ROUND(ABS(淡江大學_p5!K49),0)</f>
        <v>35324</v>
      </c>
      <c r="L62" s="29" t="n">
        <f aca="false">ROUND(ABS(淡江大學_p5!L49),0)</f>
        <v>35324</v>
      </c>
      <c r="M62" s="29" t="n">
        <f aca="false">ROUND(ABS(淡江大學_p5!M49),0)</f>
        <v>35324</v>
      </c>
      <c r="N62" s="29" t="n">
        <f aca="false">ROUND(ABS(淡江大學_p5!N49),0)</f>
        <v>35324</v>
      </c>
      <c r="O62" s="29" t="n">
        <f aca="false">ROUND(ABS(淡江大學_p5!O49),0)</f>
        <v>35324</v>
      </c>
      <c r="P62" s="29" t="n">
        <f aca="false">ROUND(ABS(淡江大學_p5!P49),0)</f>
        <v>35324</v>
      </c>
      <c r="Q62" s="29" t="n">
        <f aca="false">ROUND(ABS(淡江大學_p5!Q49),0)</f>
        <v>35324</v>
      </c>
      <c r="R62" s="29" t="n">
        <f aca="false">ROUND(ABS(淡江大學_p5!R49),0)</f>
        <v>35324</v>
      </c>
      <c r="S62" s="29" t="n">
        <f aca="false">ROUND(ABS(淡江大學_p5!S49),0)</f>
        <v>35324</v>
      </c>
      <c r="T62" s="29" t="n">
        <f aca="false">ROUND(ABS(淡江大學_p5!T49),0)</f>
        <v>35324</v>
      </c>
      <c r="U62" s="29" t="n">
        <f aca="false">ROUND(ABS(淡江大學_p5!U49),0)</f>
        <v>35324</v>
      </c>
      <c r="V62" s="29" t="n">
        <f aca="false">ROUND(ABS(淡江大學_p5!V49),0)</f>
        <v>35324</v>
      </c>
      <c r="W62" s="29" t="n">
        <f aca="false">ROUND(ABS(淡江大學_p5!W49),0)</f>
        <v>35324</v>
      </c>
      <c r="X62" s="2"/>
    </row>
    <row r="63" customFormat="false" ht="18.75" hidden="false" customHeight="true" outlineLevel="0" collapsed="false">
      <c r="A63" s="2"/>
      <c r="B63" s="30"/>
      <c r="C63" s="31" t="s">
        <v>11</v>
      </c>
      <c r="D63" s="32" t="n">
        <f aca="false">SUM(D54:D62)</f>
        <v>333618</v>
      </c>
      <c r="E63" s="32" t="n">
        <f aca="false">SUM(E54:E62)</f>
        <v>333618</v>
      </c>
      <c r="F63" s="32" t="n">
        <f aca="false">SUM(F54:F62)</f>
        <v>333618</v>
      </c>
      <c r="G63" s="32" t="n">
        <f aca="false">SUM(G54:G62)</f>
        <v>333618</v>
      </c>
      <c r="H63" s="32" t="n">
        <f aca="false">SUM(H54:H62)</f>
        <v>333618</v>
      </c>
      <c r="I63" s="32" t="n">
        <f aca="false">SUM(I54:I62)</f>
        <v>333618</v>
      </c>
      <c r="J63" s="32" t="n">
        <f aca="false">SUM(J54:J62)</f>
        <v>333618</v>
      </c>
      <c r="K63" s="32" t="n">
        <f aca="false">SUM(K54:K62)</f>
        <v>333618</v>
      </c>
      <c r="L63" s="32" t="n">
        <f aca="false">SUM(L54:L62)</f>
        <v>333618</v>
      </c>
      <c r="M63" s="32" t="n">
        <f aca="false">SUM(M54:M62)</f>
        <v>333618</v>
      </c>
      <c r="N63" s="32" t="n">
        <f aca="false">SUM(N54:N62)</f>
        <v>333618</v>
      </c>
      <c r="O63" s="32" t="n">
        <f aca="false">SUM(O54:O62)</f>
        <v>333618</v>
      </c>
      <c r="P63" s="32" t="n">
        <f aca="false">SUM(P54:P62)</f>
        <v>333618</v>
      </c>
      <c r="Q63" s="32" t="n">
        <f aca="false">SUM(Q54:Q62)</f>
        <v>333618</v>
      </c>
      <c r="R63" s="32" t="n">
        <f aca="false">SUM(R54:R62)</f>
        <v>333618</v>
      </c>
      <c r="S63" s="32" t="n">
        <f aca="false">SUM(S54:S62)</f>
        <v>333618</v>
      </c>
      <c r="T63" s="32" t="n">
        <f aca="false">SUM(T54:T62)</f>
        <v>333618</v>
      </c>
      <c r="U63" s="32" t="n">
        <f aca="false">SUM(U54:U62)</f>
        <v>333618</v>
      </c>
      <c r="V63" s="32" t="n">
        <f aca="false">SUM(V54:V62)</f>
        <v>333618</v>
      </c>
      <c r="W63" s="32" t="n">
        <f aca="false">SUM(W54:W62)</f>
        <v>333618</v>
      </c>
      <c r="X63" s="2"/>
    </row>
    <row r="64" customFormat="false" ht="18.75" hidden="false" customHeight="true" outlineLevel="0" collapsed="false">
      <c r="A64" s="2"/>
      <c r="B64" s="33"/>
      <c r="C64" s="34" t="s">
        <v>0</v>
      </c>
      <c r="D64" s="35" t="n">
        <v>2020</v>
      </c>
      <c r="E64" s="35" t="n">
        <v>2021</v>
      </c>
      <c r="F64" s="35" t="n">
        <v>2022</v>
      </c>
      <c r="G64" s="35" t="n">
        <v>2023</v>
      </c>
      <c r="H64" s="35" t="n">
        <v>2024</v>
      </c>
      <c r="I64" s="35" t="n">
        <v>2025</v>
      </c>
      <c r="J64" s="35" t="n">
        <v>2026</v>
      </c>
      <c r="K64" s="35" t="n">
        <v>2027</v>
      </c>
      <c r="L64" s="35" t="n">
        <v>2028</v>
      </c>
      <c r="M64" s="35" t="n">
        <v>2029</v>
      </c>
      <c r="N64" s="35" t="n">
        <v>2030</v>
      </c>
      <c r="O64" s="35" t="n">
        <v>2031</v>
      </c>
      <c r="P64" s="35" t="n">
        <v>2032</v>
      </c>
      <c r="Q64" s="35" t="n">
        <v>2033</v>
      </c>
      <c r="R64" s="35" t="n">
        <v>2034</v>
      </c>
      <c r="S64" s="35" t="n">
        <v>2035</v>
      </c>
      <c r="T64" s="35" t="n">
        <v>2036</v>
      </c>
      <c r="U64" s="35" t="n">
        <v>2037</v>
      </c>
      <c r="V64" s="35" t="n">
        <v>2038</v>
      </c>
      <c r="W64" s="35" t="n">
        <v>2039</v>
      </c>
      <c r="X64" s="2"/>
    </row>
    <row r="65" customFormat="false" ht="18.75" hidden="false" customHeight="true" outlineLevel="0" collapsed="false">
      <c r="A65" s="2"/>
      <c r="B65" s="30"/>
      <c r="C65" s="36" t="s">
        <v>12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"/>
    </row>
    <row r="66" customFormat="false" ht="18.75" hidden="false" customHeight="true" outlineLevel="0" collapsed="false">
      <c r="A66" s="2"/>
      <c r="B66" s="30" t="s">
        <v>2</v>
      </c>
      <c r="C66" s="37"/>
      <c r="D66" s="24" t="n">
        <f aca="false">ROUND(ABS(淡江大學_p6_1!D50),0)</f>
        <v>43610</v>
      </c>
      <c r="E66" s="24" t="n">
        <f aca="false">ROUND(ABS(淡江大學_p6_1!E50),0)</f>
        <v>43610</v>
      </c>
      <c r="F66" s="24" t="n">
        <f aca="false">ROUND(ABS(淡江大學_p6_1!F50),0)</f>
        <v>43610</v>
      </c>
      <c r="G66" s="24" t="n">
        <f aca="false">ROUND(ABS(淡江大學_p6_1!G50),0)</f>
        <v>43610</v>
      </c>
      <c r="H66" s="24" t="n">
        <f aca="false">ROUND(ABS(淡江大學_p6_1!H50),0)</f>
        <v>43610</v>
      </c>
      <c r="I66" s="24" t="n">
        <f aca="false">ROUND(ABS(淡江大學_p6_1!I50),0)</f>
        <v>43610</v>
      </c>
      <c r="J66" s="24" t="n">
        <f aca="false">ROUND(ABS(淡江大學_p6_1!J50),0)</f>
        <v>43610</v>
      </c>
      <c r="K66" s="24" t="n">
        <f aca="false">ROUND(ABS(淡江大學_p6_1!K50),0)</f>
        <v>43610</v>
      </c>
      <c r="L66" s="24" t="n">
        <f aca="false">ROUND(ABS(淡江大學_p6_1!L50),0)</f>
        <v>43610</v>
      </c>
      <c r="M66" s="24" t="n">
        <f aca="false">ROUND(ABS(淡江大學_p6_1!M50),0)</f>
        <v>43610</v>
      </c>
      <c r="N66" s="24" t="n">
        <f aca="false">ROUND(ABS(淡江大學_p6_1!N50),0)</f>
        <v>0</v>
      </c>
      <c r="O66" s="24" t="n">
        <f aca="false">ROUND(ABS(淡江大學_p6_1!O50),0)</f>
        <v>0</v>
      </c>
      <c r="P66" s="24" t="n">
        <f aca="false">ROUND(ABS(淡江大學_p6_1!P50),0)</f>
        <v>0</v>
      </c>
      <c r="Q66" s="24" t="n">
        <f aca="false">ROUND(ABS(淡江大學_p6_1!Q50),0)</f>
        <v>0</v>
      </c>
      <c r="R66" s="24" t="n">
        <f aca="false">ROUND(ABS(淡江大學_p6_1!R50),0)</f>
        <v>0</v>
      </c>
      <c r="S66" s="24" t="n">
        <f aca="false">ROUND(ABS(淡江大學_p6_1!S50),0)</f>
        <v>0</v>
      </c>
      <c r="T66" s="24" t="n">
        <f aca="false">ROUND(ABS(淡江大學_p6_1!T50),0)</f>
        <v>0</v>
      </c>
      <c r="U66" s="24" t="n">
        <f aca="false">ROUND(ABS(淡江大學_p6_1!U50),0)</f>
        <v>0</v>
      </c>
      <c r="V66" s="24" t="n">
        <f aca="false">ROUND(ABS(淡江大學_p6_1!V50),0)</f>
        <v>0</v>
      </c>
      <c r="W66" s="24" t="n">
        <f aca="false">ROUND(ABS(淡江大學_p6_1!W50),0)</f>
        <v>0</v>
      </c>
      <c r="X66" s="2"/>
    </row>
    <row r="67" customFormat="false" ht="18.75" hidden="false" customHeight="true" outlineLevel="0" collapsed="false">
      <c r="A67" s="2"/>
      <c r="B67" s="30" t="s">
        <v>2</v>
      </c>
      <c r="C67" s="37"/>
      <c r="D67" s="24" t="n">
        <f aca="false">ROUND(ABS(淡江大學_p4_2!D50),0)</f>
        <v>43610</v>
      </c>
      <c r="E67" s="24" t="n">
        <f aca="false">ROUND(ABS(淡江大學_p4_2!E50),0)</f>
        <v>43610</v>
      </c>
      <c r="F67" s="24" t="n">
        <f aca="false">ROUND(ABS(淡江大學_p4_2!F50),0)</f>
        <v>43610</v>
      </c>
      <c r="G67" s="24" t="n">
        <f aca="false">ROUND(ABS(淡江大學_p4_2!G50),0)</f>
        <v>43610</v>
      </c>
      <c r="H67" s="24" t="n">
        <f aca="false">ROUND(ABS(淡江大學_p4_2!H50),0)</f>
        <v>43610</v>
      </c>
      <c r="I67" s="24" t="n">
        <f aca="false">ROUND(ABS(淡江大學_p4_2!I50),0)</f>
        <v>43610</v>
      </c>
      <c r="J67" s="24" t="n">
        <f aca="false">ROUND(ABS(淡江大學_p4_2!J50),0)</f>
        <v>43610</v>
      </c>
      <c r="K67" s="24" t="n">
        <f aca="false">ROUND(ABS(淡江大學_p4_2!K50),0)</f>
        <v>43610</v>
      </c>
      <c r="L67" s="24" t="n">
        <f aca="false">ROUND(ABS(淡江大學_p4_2!L50),0)</f>
        <v>43610</v>
      </c>
      <c r="M67" s="24" t="n">
        <f aca="false">ROUND(ABS(淡江大學_p4_2!M50),0)</f>
        <v>43610</v>
      </c>
      <c r="N67" s="24" t="n">
        <f aca="false">ROUND(ABS(淡江大學_p4_2!N50),0)</f>
        <v>0</v>
      </c>
      <c r="O67" s="24" t="n">
        <f aca="false">ROUND(ABS(淡江大學_p4_2!O50),0)</f>
        <v>0</v>
      </c>
      <c r="P67" s="24" t="n">
        <f aca="false">ROUND(ABS(淡江大學_p4_2!P50),0)</f>
        <v>0</v>
      </c>
      <c r="Q67" s="24" t="n">
        <f aca="false">ROUND(ABS(淡江大學_p4_2!Q50),0)</f>
        <v>0</v>
      </c>
      <c r="R67" s="24" t="n">
        <f aca="false">ROUND(ABS(淡江大學_p4_2!R50),0)</f>
        <v>0</v>
      </c>
      <c r="S67" s="24" t="n">
        <f aca="false">ROUND(ABS(淡江大學_p4_2!S50),0)</f>
        <v>0</v>
      </c>
      <c r="T67" s="24" t="n">
        <f aca="false">ROUND(ABS(淡江大學_p4_2!T50),0)</f>
        <v>0</v>
      </c>
      <c r="U67" s="24" t="n">
        <f aca="false">ROUND(ABS(淡江大學_p4_2!U50),0)</f>
        <v>0</v>
      </c>
      <c r="V67" s="24" t="n">
        <f aca="false">ROUND(ABS(淡江大學_p4_2!V50),0)</f>
        <v>0</v>
      </c>
      <c r="W67" s="24" t="n">
        <f aca="false">ROUND(ABS(淡江大學_p4_2!W50),0)</f>
        <v>0</v>
      </c>
      <c r="X67" s="2"/>
    </row>
    <row r="68" customFormat="false" ht="18.75" hidden="false" customHeight="true" outlineLevel="0" collapsed="false">
      <c r="A68" s="2"/>
      <c r="B68" s="30" t="s">
        <v>2</v>
      </c>
      <c r="C68" s="37"/>
      <c r="D68" s="24" t="n">
        <f aca="false">ROUND(ABS(淡江大學_p4_1!D50),0)</f>
        <v>43610</v>
      </c>
      <c r="E68" s="24" t="n">
        <f aca="false">ROUND(ABS(淡江大學_p4_1!E50),0)</f>
        <v>43610</v>
      </c>
      <c r="F68" s="24" t="n">
        <f aca="false">ROUND(ABS(淡江大學_p4_1!F50),0)</f>
        <v>43610</v>
      </c>
      <c r="G68" s="24" t="n">
        <f aca="false">ROUND(ABS(淡江大學_p4_1!G50),0)</f>
        <v>43610</v>
      </c>
      <c r="H68" s="24" t="n">
        <f aca="false">ROUND(ABS(淡江大學_p4_1!H50),0)</f>
        <v>43610</v>
      </c>
      <c r="I68" s="24" t="n">
        <f aca="false">ROUND(ABS(淡江大學_p4_1!I50),0)</f>
        <v>43610</v>
      </c>
      <c r="J68" s="24" t="n">
        <f aca="false">ROUND(ABS(淡江大學_p4_1!J50),0)</f>
        <v>43610</v>
      </c>
      <c r="K68" s="24" t="n">
        <f aca="false">ROUND(ABS(淡江大學_p4_1!K50),0)</f>
        <v>43610</v>
      </c>
      <c r="L68" s="24" t="n">
        <f aca="false">ROUND(ABS(淡江大學_p4_1!L50),0)</f>
        <v>43610</v>
      </c>
      <c r="M68" s="24" t="n">
        <f aca="false">ROUND(ABS(淡江大學_p4_1!M50),0)</f>
        <v>43610</v>
      </c>
      <c r="N68" s="24" t="n">
        <f aca="false">ROUND(ABS(淡江大學_p4_1!N50),0)</f>
        <v>0</v>
      </c>
      <c r="O68" s="24" t="n">
        <f aca="false">ROUND(ABS(淡江大學_p4_1!O50),0)</f>
        <v>0</v>
      </c>
      <c r="P68" s="24" t="n">
        <f aca="false">ROUND(ABS(淡江大學_p4_1!P50),0)</f>
        <v>0</v>
      </c>
      <c r="Q68" s="24" t="n">
        <f aca="false">ROUND(ABS(淡江大學_p4_1!Q50),0)</f>
        <v>0</v>
      </c>
      <c r="R68" s="24" t="n">
        <f aca="false">ROUND(ABS(淡江大學_p4_1!R50),0)</f>
        <v>0</v>
      </c>
      <c r="S68" s="24" t="n">
        <f aca="false">ROUND(ABS(淡江大學_p4_1!S50),0)</f>
        <v>0</v>
      </c>
      <c r="T68" s="24" t="n">
        <f aca="false">ROUND(ABS(淡江大學_p4_1!T50),0)</f>
        <v>0</v>
      </c>
      <c r="U68" s="24" t="n">
        <f aca="false">ROUND(ABS(淡江大學_p4_1!U50),0)</f>
        <v>0</v>
      </c>
      <c r="V68" s="24" t="n">
        <f aca="false">ROUND(ABS(淡江大學_p4_1!V50),0)</f>
        <v>0</v>
      </c>
      <c r="W68" s="24" t="n">
        <f aca="false">ROUND(ABS(淡江大學_p4_1!W50),0)</f>
        <v>0</v>
      </c>
      <c r="X68" s="2"/>
    </row>
    <row r="69" customFormat="false" ht="18.75" hidden="false" customHeight="true" outlineLevel="0" collapsed="false">
      <c r="A69" s="2"/>
      <c r="B69" s="30" t="s">
        <v>2</v>
      </c>
      <c r="C69" s="37"/>
      <c r="D69" s="24" t="n">
        <f aca="false">ROUND(ABS(淡江大學_p4!D50),0)</f>
        <v>43610</v>
      </c>
      <c r="E69" s="24" t="n">
        <f aca="false">ROUND(ABS(淡江大學_p4!E50),0)</f>
        <v>43610</v>
      </c>
      <c r="F69" s="24" t="n">
        <f aca="false">ROUND(ABS(淡江大學_p4!F50),0)</f>
        <v>43610</v>
      </c>
      <c r="G69" s="24" t="n">
        <f aca="false">ROUND(ABS(淡江大學_p4!G50),0)</f>
        <v>43610</v>
      </c>
      <c r="H69" s="24" t="n">
        <f aca="false">ROUND(ABS(淡江大學_p4!H50),0)</f>
        <v>43610</v>
      </c>
      <c r="I69" s="24" t="n">
        <f aca="false">ROUND(ABS(淡江大學_p4!I50),0)</f>
        <v>43610</v>
      </c>
      <c r="J69" s="24" t="n">
        <f aca="false">ROUND(ABS(淡江大學_p4!J50),0)</f>
        <v>43610</v>
      </c>
      <c r="K69" s="24" t="n">
        <f aca="false">ROUND(ABS(淡江大學_p4!K50),0)</f>
        <v>43610</v>
      </c>
      <c r="L69" s="24" t="n">
        <f aca="false">ROUND(ABS(淡江大學_p4!L50),0)</f>
        <v>43610</v>
      </c>
      <c r="M69" s="24" t="n">
        <f aca="false">ROUND(ABS(淡江大學_p4!M50),0)</f>
        <v>43610</v>
      </c>
      <c r="N69" s="24" t="n">
        <f aca="false">ROUND(ABS(淡江大學_p4!N50),0)</f>
        <v>0</v>
      </c>
      <c r="O69" s="24" t="n">
        <f aca="false">ROUND(ABS(淡江大學_p4!O50),0)</f>
        <v>0</v>
      </c>
      <c r="P69" s="24" t="n">
        <f aca="false">ROUND(ABS(淡江大學_p4!P50),0)</f>
        <v>0</v>
      </c>
      <c r="Q69" s="24" t="n">
        <f aca="false">ROUND(ABS(淡江大學_p4!Q50),0)</f>
        <v>0</v>
      </c>
      <c r="R69" s="24" t="n">
        <f aca="false">ROUND(ABS(淡江大學_p4!R50),0)</f>
        <v>0</v>
      </c>
      <c r="S69" s="24" t="n">
        <f aca="false">ROUND(ABS(淡江大學_p4!S50),0)</f>
        <v>0</v>
      </c>
      <c r="T69" s="24" t="n">
        <f aca="false">ROUND(ABS(淡江大學_p4!T50),0)</f>
        <v>0</v>
      </c>
      <c r="U69" s="24" t="n">
        <f aca="false">ROUND(ABS(淡江大學_p4!U50),0)</f>
        <v>0</v>
      </c>
      <c r="V69" s="24" t="n">
        <f aca="false">ROUND(ABS(淡江大學_p4!V50),0)</f>
        <v>0</v>
      </c>
      <c r="W69" s="24" t="n">
        <f aca="false">ROUND(ABS(淡江大學_p4!W50),0)</f>
        <v>0</v>
      </c>
      <c r="X69" s="2"/>
    </row>
    <row r="70" customFormat="false" ht="18.75" hidden="false" customHeight="true" outlineLevel="0" collapsed="false">
      <c r="A70" s="2"/>
      <c r="B70" s="30" t="s">
        <v>2</v>
      </c>
      <c r="C70" s="37"/>
      <c r="D70" s="24" t="n">
        <f aca="false">ROUND(ABS(淡江大學_p6!D50),0)</f>
        <v>43610</v>
      </c>
      <c r="E70" s="24" t="n">
        <f aca="false">ROUND(ABS(淡江大學_p6!E50),0)</f>
        <v>43610</v>
      </c>
      <c r="F70" s="24" t="n">
        <f aca="false">ROUND(ABS(淡江大學_p6!F50),0)</f>
        <v>43610</v>
      </c>
      <c r="G70" s="24" t="n">
        <f aca="false">ROUND(ABS(淡江大學_p6!G50),0)</f>
        <v>43610</v>
      </c>
      <c r="H70" s="24" t="n">
        <f aca="false">ROUND(ABS(淡江大學_p6!H50),0)</f>
        <v>43610</v>
      </c>
      <c r="I70" s="24" t="n">
        <f aca="false">ROUND(ABS(淡江大學_p6!I50),0)</f>
        <v>43610</v>
      </c>
      <c r="J70" s="24" t="n">
        <f aca="false">ROUND(ABS(淡江大學_p6!J50),0)</f>
        <v>43610</v>
      </c>
      <c r="K70" s="24" t="n">
        <f aca="false">ROUND(ABS(淡江大學_p6!K50),0)</f>
        <v>43610</v>
      </c>
      <c r="L70" s="24" t="n">
        <f aca="false">ROUND(ABS(淡江大學_p6!L50),0)</f>
        <v>43610</v>
      </c>
      <c r="M70" s="24" t="n">
        <f aca="false">ROUND(ABS(淡江大學_p6!M50),0)</f>
        <v>43610</v>
      </c>
      <c r="N70" s="24" t="n">
        <f aca="false">ROUND(ABS(淡江大學_p6!N50),0)</f>
        <v>0</v>
      </c>
      <c r="O70" s="24" t="n">
        <f aca="false">ROUND(ABS(淡江大學_p6!O50),0)</f>
        <v>0</v>
      </c>
      <c r="P70" s="24" t="n">
        <f aca="false">ROUND(ABS(淡江大學_p6!P50),0)</f>
        <v>0</v>
      </c>
      <c r="Q70" s="24" t="n">
        <f aca="false">ROUND(ABS(淡江大學_p6!Q50),0)</f>
        <v>0</v>
      </c>
      <c r="R70" s="24" t="n">
        <f aca="false">ROUND(ABS(淡江大學_p6!R50),0)</f>
        <v>0</v>
      </c>
      <c r="S70" s="24" t="n">
        <f aca="false">ROUND(ABS(淡江大學_p6!S50),0)</f>
        <v>0</v>
      </c>
      <c r="T70" s="24" t="n">
        <f aca="false">ROUND(ABS(淡江大學_p6!T50),0)</f>
        <v>0</v>
      </c>
      <c r="U70" s="24" t="n">
        <f aca="false">ROUND(ABS(淡江大學_p6!U50),0)</f>
        <v>0</v>
      </c>
      <c r="V70" s="24" t="n">
        <f aca="false">ROUND(ABS(淡江大學_p6!V50),0)</f>
        <v>0</v>
      </c>
      <c r="W70" s="24" t="n">
        <f aca="false">ROUND(ABS(淡江大學_p6!W50),0)</f>
        <v>0</v>
      </c>
      <c r="X70" s="2"/>
    </row>
    <row r="71" customFormat="false" ht="18.75" hidden="false" customHeight="true" outlineLevel="0" collapsed="false">
      <c r="A71" s="2"/>
      <c r="B71" s="30" t="s">
        <v>2</v>
      </c>
      <c r="C71" s="37"/>
      <c r="D71" s="24" t="n">
        <f aca="false">ROUND(ABS(淡江大學_p3!D50),0)</f>
        <v>43610</v>
      </c>
      <c r="E71" s="24" t="n">
        <f aca="false">ROUND(ABS(淡江大學_p3!E50),0)</f>
        <v>43610</v>
      </c>
      <c r="F71" s="24" t="n">
        <f aca="false">ROUND(ABS(淡江大學_p3!F50),0)</f>
        <v>43610</v>
      </c>
      <c r="G71" s="24" t="n">
        <f aca="false">ROUND(ABS(淡江大學_p3!G50),0)</f>
        <v>43610</v>
      </c>
      <c r="H71" s="24" t="n">
        <f aca="false">ROUND(ABS(淡江大學_p3!H50),0)</f>
        <v>43610</v>
      </c>
      <c r="I71" s="24" t="n">
        <f aca="false">ROUND(ABS(淡江大學_p3!I50),0)</f>
        <v>43610</v>
      </c>
      <c r="J71" s="24" t="n">
        <f aca="false">ROUND(ABS(淡江大學_p3!J50),0)</f>
        <v>43610</v>
      </c>
      <c r="K71" s="24" t="n">
        <f aca="false">ROUND(ABS(淡江大學_p3!K50),0)</f>
        <v>43610</v>
      </c>
      <c r="L71" s="24" t="n">
        <f aca="false">ROUND(ABS(淡江大學_p3!L50),0)</f>
        <v>43610</v>
      </c>
      <c r="M71" s="24" t="n">
        <f aca="false">ROUND(ABS(淡江大學_p3!M50),0)</f>
        <v>43610</v>
      </c>
      <c r="N71" s="24" t="n">
        <f aca="false">ROUND(ABS(淡江大學_p3!N50),0)</f>
        <v>0</v>
      </c>
      <c r="O71" s="24" t="n">
        <f aca="false">ROUND(ABS(淡江大學_p3!O50),0)</f>
        <v>0</v>
      </c>
      <c r="P71" s="24" t="n">
        <f aca="false">ROUND(ABS(淡江大學_p3!P50),0)</f>
        <v>0</v>
      </c>
      <c r="Q71" s="24" t="n">
        <f aca="false">ROUND(ABS(淡江大學_p3!Q50),0)</f>
        <v>0</v>
      </c>
      <c r="R71" s="24" t="n">
        <f aca="false">ROUND(ABS(淡江大學_p3!R50),0)</f>
        <v>0</v>
      </c>
      <c r="S71" s="24" t="n">
        <f aca="false">ROUND(ABS(淡江大學_p3!S50),0)</f>
        <v>0</v>
      </c>
      <c r="T71" s="24" t="n">
        <f aca="false">ROUND(ABS(淡江大學_p3!T50),0)</f>
        <v>0</v>
      </c>
      <c r="U71" s="24" t="n">
        <f aca="false">ROUND(ABS(淡江大學_p3!U50),0)</f>
        <v>0</v>
      </c>
      <c r="V71" s="24" t="n">
        <f aca="false">ROUND(ABS(淡江大學_p3!V50),0)</f>
        <v>0</v>
      </c>
      <c r="W71" s="24" t="n">
        <f aca="false">ROUND(ABS(淡江大學_p3!W50),0)</f>
        <v>0</v>
      </c>
      <c r="X71" s="2"/>
    </row>
    <row r="72" customFormat="false" ht="18.75" hidden="false" customHeight="true" outlineLevel="0" collapsed="false">
      <c r="A72" s="2"/>
      <c r="B72" s="30" t="s">
        <v>2</v>
      </c>
      <c r="C72" s="38"/>
      <c r="D72" s="24" t="n">
        <f aca="false">ROUND(ABS(淡江大學_p4_3!D50),0)</f>
        <v>43610</v>
      </c>
      <c r="E72" s="24" t="n">
        <f aca="false">ROUND(ABS(淡江大學_p4_3!E50),0)</f>
        <v>43610</v>
      </c>
      <c r="F72" s="24" t="n">
        <f aca="false">ROUND(ABS(淡江大學_p4_3!F50),0)</f>
        <v>43610</v>
      </c>
      <c r="G72" s="24" t="n">
        <f aca="false">ROUND(ABS(淡江大學_p4_3!G50),0)</f>
        <v>43610</v>
      </c>
      <c r="H72" s="24" t="n">
        <f aca="false">ROUND(ABS(淡江大學_p4_3!H50),0)</f>
        <v>43610</v>
      </c>
      <c r="I72" s="24" t="n">
        <f aca="false">ROUND(ABS(淡江大學_p4_3!I50),0)</f>
        <v>43610</v>
      </c>
      <c r="J72" s="24" t="n">
        <f aca="false">ROUND(ABS(淡江大學_p4_3!J50),0)</f>
        <v>43610</v>
      </c>
      <c r="K72" s="24" t="n">
        <f aca="false">ROUND(ABS(淡江大學_p4_3!K50),0)</f>
        <v>43610</v>
      </c>
      <c r="L72" s="24" t="n">
        <f aca="false">ROUND(ABS(淡江大學_p4_3!L50),0)</f>
        <v>43610</v>
      </c>
      <c r="M72" s="24" t="n">
        <f aca="false">ROUND(ABS(淡江大學_p4_3!M50),0)</f>
        <v>43610</v>
      </c>
      <c r="N72" s="24" t="n">
        <f aca="false">ROUND(ABS(淡江大學_p4_3!N50),0)</f>
        <v>0</v>
      </c>
      <c r="O72" s="24" t="n">
        <f aca="false">ROUND(ABS(淡江大學_p4_3!O50),0)</f>
        <v>0</v>
      </c>
      <c r="P72" s="24" t="n">
        <f aca="false">ROUND(ABS(淡江大學_p4_3!P50),0)</f>
        <v>0</v>
      </c>
      <c r="Q72" s="24" t="n">
        <f aca="false">ROUND(ABS(淡江大學_p4_3!Q50),0)</f>
        <v>0</v>
      </c>
      <c r="R72" s="24" t="n">
        <f aca="false">ROUND(ABS(淡江大學_p4_3!R50),0)</f>
        <v>0</v>
      </c>
      <c r="S72" s="24" t="n">
        <f aca="false">ROUND(ABS(淡江大學_p4_3!S50),0)</f>
        <v>0</v>
      </c>
      <c r="T72" s="24" t="n">
        <f aca="false">ROUND(ABS(淡江大學_p4_3!T50),0)</f>
        <v>0</v>
      </c>
      <c r="U72" s="24" t="n">
        <f aca="false">ROUND(ABS(淡江大學_p4_3!U50),0)</f>
        <v>0</v>
      </c>
      <c r="V72" s="24" t="n">
        <f aca="false">ROUND(ABS(淡江大學_p4_3!V50),0)</f>
        <v>0</v>
      </c>
      <c r="W72" s="24" t="n">
        <f aca="false">ROUND(ABS(淡江大學_p4_3!W50),0)</f>
        <v>0</v>
      </c>
      <c r="X72" s="2"/>
    </row>
    <row r="73" customFormat="false" ht="18.75" hidden="false" customHeight="true" outlineLevel="0" collapsed="false">
      <c r="A73" s="2"/>
      <c r="B73" s="30" t="s">
        <v>2</v>
      </c>
      <c r="C73" s="38"/>
      <c r="D73" s="24" t="n">
        <f aca="false">ROUND(ABS(淡江大學_p3_1!D50),0)</f>
        <v>43610</v>
      </c>
      <c r="E73" s="24" t="n">
        <f aca="false">ROUND(ABS(淡江大學_p3_1!E50),0)</f>
        <v>43610</v>
      </c>
      <c r="F73" s="24" t="n">
        <f aca="false">ROUND(ABS(淡江大學_p3_1!F50),0)</f>
        <v>43610</v>
      </c>
      <c r="G73" s="24" t="n">
        <f aca="false">ROUND(ABS(淡江大學_p3_1!G50),0)</f>
        <v>43610</v>
      </c>
      <c r="H73" s="24" t="n">
        <f aca="false">ROUND(ABS(淡江大學_p3_1!H50),0)</f>
        <v>43610</v>
      </c>
      <c r="I73" s="24" t="n">
        <f aca="false">ROUND(ABS(淡江大學_p3_1!I50),0)</f>
        <v>43610</v>
      </c>
      <c r="J73" s="24" t="n">
        <f aca="false">ROUND(ABS(淡江大學_p3_1!J50),0)</f>
        <v>43610</v>
      </c>
      <c r="K73" s="24" t="n">
        <f aca="false">ROUND(ABS(淡江大學_p3_1!K50),0)</f>
        <v>43610</v>
      </c>
      <c r="L73" s="24" t="n">
        <f aca="false">ROUND(ABS(淡江大學_p3_1!L50),0)</f>
        <v>43610</v>
      </c>
      <c r="M73" s="24" t="n">
        <f aca="false">ROUND(ABS(淡江大學_p3_1!M50),0)</f>
        <v>43610</v>
      </c>
      <c r="N73" s="24" t="n">
        <f aca="false">ROUND(ABS(淡江大學_p3_1!N50),0)</f>
        <v>0</v>
      </c>
      <c r="O73" s="24" t="n">
        <f aca="false">ROUND(ABS(淡江大學_p3_1!O50),0)</f>
        <v>0</v>
      </c>
      <c r="P73" s="24" t="n">
        <f aca="false">ROUND(ABS(淡江大學_p3_1!P50),0)</f>
        <v>0</v>
      </c>
      <c r="Q73" s="24" t="n">
        <f aca="false">ROUND(ABS(淡江大學_p3_1!Q50),0)</f>
        <v>0</v>
      </c>
      <c r="R73" s="24" t="n">
        <f aca="false">ROUND(ABS(淡江大學_p3_1!R50),0)</f>
        <v>0</v>
      </c>
      <c r="S73" s="24" t="n">
        <f aca="false">ROUND(ABS(淡江大學_p3_1!S50),0)</f>
        <v>0</v>
      </c>
      <c r="T73" s="24" t="n">
        <f aca="false">ROUND(ABS(淡江大學_p3_1!T50),0)</f>
        <v>0</v>
      </c>
      <c r="U73" s="24" t="n">
        <f aca="false">ROUND(ABS(淡江大學_p3_1!U50),0)</f>
        <v>0</v>
      </c>
      <c r="V73" s="24" t="n">
        <f aca="false">ROUND(ABS(淡江大學_p3_1!V50),0)</f>
        <v>0</v>
      </c>
      <c r="W73" s="24" t="n">
        <f aca="false">ROUND(ABS(淡江大學_p3_1!W50),0)</f>
        <v>0</v>
      </c>
      <c r="X73" s="2"/>
    </row>
    <row r="74" customFormat="false" ht="18.75" hidden="false" customHeight="true" outlineLevel="0" collapsed="false">
      <c r="A74" s="2"/>
      <c r="B74" s="30" t="s">
        <v>2</v>
      </c>
      <c r="C74" s="38"/>
      <c r="D74" s="24" t="n">
        <f aca="false">ROUND(ABS(淡江大學_p5!D50),0)</f>
        <v>43610</v>
      </c>
      <c r="E74" s="24" t="n">
        <f aca="false">ROUND(ABS(淡江大學_p5!E50),0)</f>
        <v>43610</v>
      </c>
      <c r="F74" s="24" t="n">
        <f aca="false">ROUND(ABS(淡江大學_p5!F50),0)</f>
        <v>43610</v>
      </c>
      <c r="G74" s="24" t="n">
        <f aca="false">ROUND(ABS(淡江大學_p5!G50),0)</f>
        <v>43610</v>
      </c>
      <c r="H74" s="24" t="n">
        <f aca="false">ROUND(ABS(淡江大學_p5!H50),0)</f>
        <v>43610</v>
      </c>
      <c r="I74" s="24" t="n">
        <f aca="false">ROUND(ABS(淡江大學_p5!I50),0)</f>
        <v>43610</v>
      </c>
      <c r="J74" s="24" t="n">
        <f aca="false">ROUND(ABS(淡江大學_p5!J50),0)</f>
        <v>43610</v>
      </c>
      <c r="K74" s="24" t="n">
        <f aca="false">ROUND(ABS(淡江大學_p5!K50),0)</f>
        <v>43610</v>
      </c>
      <c r="L74" s="24" t="n">
        <f aca="false">ROUND(ABS(淡江大學_p5!L50),0)</f>
        <v>43610</v>
      </c>
      <c r="M74" s="24" t="n">
        <f aca="false">ROUND(ABS(淡江大學_p5!M50),0)</f>
        <v>43610</v>
      </c>
      <c r="N74" s="24" t="n">
        <f aca="false">ROUND(ABS(淡江大學_p5!N50),0)</f>
        <v>0</v>
      </c>
      <c r="O74" s="24" t="n">
        <f aca="false">ROUND(ABS(淡江大學_p5!O50),0)</f>
        <v>0</v>
      </c>
      <c r="P74" s="24" t="n">
        <f aca="false">ROUND(ABS(淡江大學_p5!P50),0)</f>
        <v>0</v>
      </c>
      <c r="Q74" s="24" t="n">
        <f aca="false">ROUND(ABS(淡江大學_p5!Q50),0)</f>
        <v>0</v>
      </c>
      <c r="R74" s="24" t="n">
        <f aca="false">ROUND(ABS(淡江大學_p5!R50),0)</f>
        <v>0</v>
      </c>
      <c r="S74" s="24" t="n">
        <f aca="false">ROUND(ABS(淡江大學_p5!S50),0)</f>
        <v>0</v>
      </c>
      <c r="T74" s="24" t="n">
        <f aca="false">ROUND(ABS(淡江大學_p5!T50),0)</f>
        <v>0</v>
      </c>
      <c r="U74" s="24" t="n">
        <f aca="false">ROUND(ABS(淡江大學_p5!U50),0)</f>
        <v>0</v>
      </c>
      <c r="V74" s="24" t="n">
        <f aca="false">ROUND(ABS(淡江大學_p5!V50),0)</f>
        <v>0</v>
      </c>
      <c r="W74" s="24" t="n">
        <f aca="false">ROUND(ABS(淡江大學_p5!W50),0)</f>
        <v>0</v>
      </c>
      <c r="X74" s="2"/>
    </row>
    <row r="75" customFormat="false" ht="18.75" hidden="false" customHeight="true" outlineLevel="0" collapsed="false">
      <c r="A75" s="2"/>
      <c r="B75" s="30"/>
      <c r="C75" s="39" t="s">
        <v>13</v>
      </c>
      <c r="D75" s="40" t="n">
        <f aca="false">SUM(D66:D74)</f>
        <v>392490</v>
      </c>
      <c r="E75" s="40" t="n">
        <f aca="false">SUM(E66:E74)</f>
        <v>392490</v>
      </c>
      <c r="F75" s="40" t="n">
        <f aca="false">SUM(F66:F74)</f>
        <v>392490</v>
      </c>
      <c r="G75" s="40" t="n">
        <f aca="false">SUM(G66:G74)</f>
        <v>392490</v>
      </c>
      <c r="H75" s="40" t="n">
        <f aca="false">SUM(H66:H74)</f>
        <v>392490</v>
      </c>
      <c r="I75" s="40" t="n">
        <f aca="false">SUM(I66:I74)</f>
        <v>392490</v>
      </c>
      <c r="J75" s="40" t="n">
        <f aca="false">SUM(J66:J74)</f>
        <v>392490</v>
      </c>
      <c r="K75" s="40" t="n">
        <f aca="false">SUM(K66:K74)</f>
        <v>392490</v>
      </c>
      <c r="L75" s="40" t="n">
        <f aca="false">SUM(L66:L74)</f>
        <v>392490</v>
      </c>
      <c r="M75" s="40" t="n">
        <f aca="false">SUM(M66:M74)</f>
        <v>392490</v>
      </c>
      <c r="N75" s="40" t="n">
        <f aca="false">SUM(N66:N74)</f>
        <v>0</v>
      </c>
      <c r="O75" s="40" t="n">
        <f aca="false">SUM(O66:O74)</f>
        <v>0</v>
      </c>
      <c r="P75" s="40" t="n">
        <f aca="false">SUM(P66:P74)</f>
        <v>0</v>
      </c>
      <c r="Q75" s="40" t="n">
        <f aca="false">SUM(Q66:Q74)</f>
        <v>0</v>
      </c>
      <c r="R75" s="40" t="n">
        <f aca="false">SUM(R66:R74)</f>
        <v>0</v>
      </c>
      <c r="S75" s="40" t="n">
        <f aca="false">SUM(S66:S74)</f>
        <v>0</v>
      </c>
      <c r="T75" s="40" t="n">
        <f aca="false">SUM(T66:T74)</f>
        <v>0</v>
      </c>
      <c r="U75" s="40" t="n">
        <f aca="false">SUM(U66:U74)</f>
        <v>0</v>
      </c>
      <c r="V75" s="40" t="n">
        <f aca="false">SUM(V66:V74)</f>
        <v>0</v>
      </c>
      <c r="W75" s="40" t="n">
        <f aca="false">SUM(W66:W74)</f>
        <v>0</v>
      </c>
      <c r="X75" s="2"/>
    </row>
    <row r="76" customFormat="false" ht="18.75" hidden="false" customHeight="true" outlineLevel="0" collapsed="false">
      <c r="A76" s="2"/>
      <c r="B76" s="41"/>
      <c r="C76" s="42" t="s">
        <v>0</v>
      </c>
      <c r="D76" s="43" t="n">
        <v>2020</v>
      </c>
      <c r="E76" s="43" t="n">
        <v>2021</v>
      </c>
      <c r="F76" s="43" t="n">
        <v>2022</v>
      </c>
      <c r="G76" s="43" t="n">
        <v>2023</v>
      </c>
      <c r="H76" s="43" t="n">
        <v>2024</v>
      </c>
      <c r="I76" s="43" t="n">
        <v>2025</v>
      </c>
      <c r="J76" s="43" t="n">
        <v>2026</v>
      </c>
      <c r="K76" s="43" t="n">
        <v>2027</v>
      </c>
      <c r="L76" s="43" t="n">
        <v>2028</v>
      </c>
      <c r="M76" s="43" t="n">
        <v>2029</v>
      </c>
      <c r="N76" s="43" t="n">
        <v>2030</v>
      </c>
      <c r="O76" s="43" t="n">
        <v>2031</v>
      </c>
      <c r="P76" s="43" t="n">
        <v>2032</v>
      </c>
      <c r="Q76" s="43" t="n">
        <v>2033</v>
      </c>
      <c r="R76" s="43" t="n">
        <v>2034</v>
      </c>
      <c r="S76" s="43" t="n">
        <v>2035</v>
      </c>
      <c r="T76" s="43" t="n">
        <v>2036</v>
      </c>
      <c r="U76" s="43" t="n">
        <v>2037</v>
      </c>
      <c r="V76" s="43" t="n">
        <v>2038</v>
      </c>
      <c r="W76" s="43" t="n">
        <v>2039</v>
      </c>
      <c r="X76" s="2"/>
    </row>
    <row r="77" customFormat="false" ht="18.75" hidden="false" customHeight="true" outlineLevel="0" collapsed="false">
      <c r="A77" s="2"/>
      <c r="B77" s="44"/>
      <c r="C77" s="2" t="s">
        <v>14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2"/>
    </row>
    <row r="78" customFormat="false" ht="18.75" hidden="false" customHeight="true" outlineLevel="0" collapsed="false">
      <c r="A78" s="2"/>
      <c r="B78" s="44" t="s">
        <v>2</v>
      </c>
      <c r="C78" s="46"/>
      <c r="D78" s="47" t="n">
        <f aca="false">ROUND(ABS(淡江大學_p6_1!D54),0)</f>
        <v>0</v>
      </c>
      <c r="E78" s="47" t="n">
        <f aca="false">ROUND(ABS(淡江大學_p6_1!E54),0)</f>
        <v>0</v>
      </c>
      <c r="F78" s="47" t="n">
        <f aca="false">ROUND(ABS(淡江大學_p6_1!F54),0)</f>
        <v>0</v>
      </c>
      <c r="G78" s="47" t="n">
        <f aca="false">ROUND(ABS(淡江大學_p6_1!G54),0)</f>
        <v>0</v>
      </c>
      <c r="H78" s="47" t="n">
        <f aca="false">ROUND(ABS(淡江大學_p6_1!H54),0)</f>
        <v>0</v>
      </c>
      <c r="I78" s="47" t="n">
        <f aca="false">ROUND(ABS(淡江大學_p6_1!I54),0)</f>
        <v>0</v>
      </c>
      <c r="J78" s="47" t="n">
        <f aca="false">ROUND(ABS(淡江大學_p6_1!J54),0)</f>
        <v>0</v>
      </c>
      <c r="K78" s="47" t="n">
        <f aca="false">ROUND(ABS(淡江大學_p6_1!K54),0)</f>
        <v>0</v>
      </c>
      <c r="L78" s="47" t="n">
        <f aca="false">ROUND(ABS(淡江大學_p6_1!L54),0)</f>
        <v>0</v>
      </c>
      <c r="M78" s="47" t="n">
        <f aca="false">ROUND(ABS(淡江大學_p6_1!M54),0)</f>
        <v>0</v>
      </c>
      <c r="N78" s="47" t="n">
        <f aca="false">ROUND(ABS(淡江大學_p6_1!N54),0)</f>
        <v>0</v>
      </c>
      <c r="O78" s="47" t="n">
        <f aca="false">ROUND(ABS(淡江大學_p6_1!O54),0)</f>
        <v>0</v>
      </c>
      <c r="P78" s="47" t="n">
        <f aca="false">ROUND(ABS(淡江大學_p6_1!P54),0)</f>
        <v>0</v>
      </c>
      <c r="Q78" s="47" t="n">
        <f aca="false">ROUND(ABS(淡江大學_p6_1!Q54),0)</f>
        <v>0</v>
      </c>
      <c r="R78" s="47" t="n">
        <f aca="false">ROUND(ABS(淡江大學_p6_1!R54),0)</f>
        <v>0</v>
      </c>
      <c r="S78" s="47" t="n">
        <f aca="false">ROUND(ABS(淡江大學_p6_1!S54),0)</f>
        <v>0</v>
      </c>
      <c r="T78" s="47" t="n">
        <f aca="false">ROUND(ABS(淡江大學_p6_1!T54),0)</f>
        <v>0</v>
      </c>
      <c r="U78" s="47" t="n">
        <f aca="false">ROUND(ABS(淡江大學_p6_1!U54),0)</f>
        <v>0</v>
      </c>
      <c r="V78" s="47" t="n">
        <f aca="false">ROUND(ABS(淡江大學_p6_1!V54),0)</f>
        <v>0</v>
      </c>
      <c r="W78" s="47" t="n">
        <f aca="false">ROUND(ABS(淡江大學_p6_1!W54),0)</f>
        <v>0</v>
      </c>
      <c r="X78" s="2"/>
    </row>
    <row r="79" customFormat="false" ht="18.75" hidden="false" customHeight="true" outlineLevel="0" collapsed="false">
      <c r="A79" s="2"/>
      <c r="B79" s="48" t="s">
        <v>2</v>
      </c>
      <c r="C79" s="49"/>
      <c r="D79" s="50" t="n">
        <f aca="false">ROUND(ABS(淡江大學_p4_2!D54),0)</f>
        <v>0</v>
      </c>
      <c r="E79" s="50" t="n">
        <f aca="false">ROUND(ABS(淡江大學_p4_2!E54),0)</f>
        <v>0</v>
      </c>
      <c r="F79" s="51" t="n">
        <f aca="false">ROUND(ABS(淡江大學_p4_2!F54),0)</f>
        <v>0</v>
      </c>
      <c r="G79" s="51" t="n">
        <f aca="false">ROUND(ABS(淡江大學_p4_2!G54),0)</f>
        <v>0</v>
      </c>
      <c r="H79" s="51" t="n">
        <f aca="false">ROUND(ABS(淡江大學_p4_2!H54),0)</f>
        <v>0</v>
      </c>
      <c r="I79" s="51" t="n">
        <f aca="false">ROUND(ABS(淡江大學_p4_2!I54),0)</f>
        <v>0</v>
      </c>
      <c r="J79" s="51" t="n">
        <f aca="false">ROUND(ABS(淡江大學_p4_2!J54),0)</f>
        <v>0</v>
      </c>
      <c r="K79" s="51" t="n">
        <f aca="false">ROUND(ABS(淡江大學_p4_2!K54),0)</f>
        <v>0</v>
      </c>
      <c r="L79" s="51" t="n">
        <f aca="false">ROUND(ABS(淡江大學_p4_2!L54),0)</f>
        <v>0</v>
      </c>
      <c r="M79" s="51" t="n">
        <f aca="false">ROUND(ABS(淡江大學_p4_2!M54),0)</f>
        <v>0</v>
      </c>
      <c r="N79" s="51" t="n">
        <f aca="false">ROUND(ABS(淡江大學_p4_2!N54),0)</f>
        <v>0</v>
      </c>
      <c r="O79" s="51" t="n">
        <f aca="false">ROUND(ABS(淡江大學_p4_2!O54),0)</f>
        <v>0</v>
      </c>
      <c r="P79" s="51" t="n">
        <f aca="false">ROUND(ABS(淡江大學_p4_2!P54),0)</f>
        <v>0</v>
      </c>
      <c r="Q79" s="51" t="n">
        <f aca="false">ROUND(ABS(淡江大學_p4_2!Q54),0)</f>
        <v>0</v>
      </c>
      <c r="R79" s="51" t="n">
        <f aca="false">ROUND(ABS(淡江大學_p4_2!R54),0)</f>
        <v>0</v>
      </c>
      <c r="S79" s="51" t="n">
        <f aca="false">ROUND(ABS(淡江大學_p4_2!S54),0)</f>
        <v>0</v>
      </c>
      <c r="T79" s="51" t="n">
        <f aca="false">ROUND(ABS(淡江大學_p4_2!T54),0)</f>
        <v>0</v>
      </c>
      <c r="U79" s="51" t="n">
        <f aca="false">ROUND(ABS(淡江大學_p4_2!U54),0)</f>
        <v>0</v>
      </c>
      <c r="V79" s="51" t="n">
        <f aca="false">ROUND(ABS(淡江大學_p4_2!V54),0)</f>
        <v>0</v>
      </c>
      <c r="W79" s="51" t="n">
        <f aca="false">ROUND(ABS(淡江大學_p4_2!W54),0)</f>
        <v>0</v>
      </c>
      <c r="X79" s="2"/>
    </row>
    <row r="80" customFormat="false" ht="18.75" hidden="false" customHeight="true" outlineLevel="0" collapsed="false">
      <c r="A80" s="2"/>
      <c r="B80" s="52" t="s">
        <v>2</v>
      </c>
      <c r="C80" s="48"/>
      <c r="D80" s="50" t="n">
        <f aca="false">ROUND(ABS(淡江大學_p4_1!D54),0)</f>
        <v>0</v>
      </c>
      <c r="E80" s="50" t="n">
        <f aca="false">ROUND(ABS(淡江大學_p4_1!E54),0)</f>
        <v>0</v>
      </c>
      <c r="F80" s="51" t="n">
        <f aca="false">ROUND(ABS(淡江大學_p4_1!F54),0)</f>
        <v>0</v>
      </c>
      <c r="G80" s="51" t="n">
        <f aca="false">ROUND(ABS(淡江大學_p4_1!G54),0)</f>
        <v>0</v>
      </c>
      <c r="H80" s="51" t="n">
        <f aca="false">ROUND(ABS(淡江大學_p4_1!H54),0)</f>
        <v>0</v>
      </c>
      <c r="I80" s="51" t="n">
        <f aca="false">ROUND(ABS(淡江大學_p4_1!I54),0)</f>
        <v>0</v>
      </c>
      <c r="J80" s="51" t="n">
        <f aca="false">ROUND(ABS(淡江大學_p4_1!J54),0)</f>
        <v>0</v>
      </c>
      <c r="K80" s="51" t="n">
        <f aca="false">ROUND(ABS(淡江大學_p4_1!K54),0)</f>
        <v>0</v>
      </c>
      <c r="L80" s="51" t="n">
        <f aca="false">ROUND(ABS(淡江大學_p4_1!L54),0)</f>
        <v>0</v>
      </c>
      <c r="M80" s="50" t="n">
        <f aca="false">ROUND(ABS(淡江大學_p4_1!M54),0)</f>
        <v>0</v>
      </c>
      <c r="N80" s="51" t="n">
        <f aca="false">ROUND(ABS(淡江大學_p4_1!N54),0)</f>
        <v>0</v>
      </c>
      <c r="O80" s="51" t="n">
        <f aca="false">ROUND(ABS(淡江大學_p4_1!O54),0)</f>
        <v>0</v>
      </c>
      <c r="P80" s="51" t="n">
        <f aca="false">ROUND(ABS(淡江大學_p4_1!P54),0)</f>
        <v>0</v>
      </c>
      <c r="Q80" s="51" t="n">
        <f aca="false">ROUND(ABS(淡江大學_p4_1!Q54),0)</f>
        <v>0</v>
      </c>
      <c r="R80" s="51" t="n">
        <f aca="false">ROUND(ABS(淡江大學_p4_1!R54),0)</f>
        <v>0</v>
      </c>
      <c r="S80" s="51" t="n">
        <f aca="false">ROUND(ABS(淡江大學_p4_1!S54),0)</f>
        <v>0</v>
      </c>
      <c r="T80" s="51" t="n">
        <f aca="false">ROUND(ABS(淡江大學_p4_1!T54),0)</f>
        <v>0</v>
      </c>
      <c r="U80" s="51" t="n">
        <f aca="false">ROUND(ABS(淡江大學_p4_1!U54),0)</f>
        <v>0</v>
      </c>
      <c r="V80" s="51" t="n">
        <f aca="false">ROUND(ABS(淡江大學_p4_1!V54),0)</f>
        <v>0</v>
      </c>
      <c r="W80" s="51" t="n">
        <f aca="false">ROUND(ABS(淡江大學_p4_1!W54),0)</f>
        <v>0</v>
      </c>
      <c r="X80" s="2"/>
    </row>
    <row r="81" customFormat="false" ht="18.75" hidden="false" customHeight="true" outlineLevel="0" collapsed="false">
      <c r="A81" s="2"/>
      <c r="B81" s="14" t="s">
        <v>2</v>
      </c>
      <c r="C81" s="15"/>
      <c r="D81" s="16" t="n">
        <f aca="false">ROUND(ABS(淡江大學_p4!D54),0)</f>
        <v>0</v>
      </c>
      <c r="E81" s="16" t="n">
        <f aca="false">ROUND(ABS(淡江大學_p4!E54),0)</f>
        <v>0</v>
      </c>
      <c r="F81" s="16" t="n">
        <f aca="false">ROUND(ABS(淡江大學_p4!F54),0)</f>
        <v>0</v>
      </c>
      <c r="G81" s="16" t="n">
        <f aca="false">ROUND(ABS(淡江大學_p4!G54),0)</f>
        <v>0</v>
      </c>
      <c r="H81" s="16" t="n">
        <f aca="false">ROUND(ABS(淡江大學_p4!H54),0)</f>
        <v>0</v>
      </c>
      <c r="I81" s="16" t="n">
        <f aca="false">ROUND(ABS(淡江大學_p4!I54),0)</f>
        <v>0</v>
      </c>
      <c r="J81" s="16" t="n">
        <f aca="false">ROUND(ABS(淡江大學_p4!J54),0)</f>
        <v>0</v>
      </c>
      <c r="K81" s="16" t="n">
        <f aca="false">ROUND(ABS(淡江大學_p4!K54),0)</f>
        <v>0</v>
      </c>
      <c r="L81" s="16" t="n">
        <f aca="false">ROUND(ABS(淡江大學_p4!L54),0)</f>
        <v>0</v>
      </c>
      <c r="M81" s="16" t="n">
        <f aca="false">ROUND(ABS(淡江大學_p4!M54),0)</f>
        <v>0</v>
      </c>
      <c r="N81" s="16" t="n">
        <f aca="false">ROUND(ABS(淡江大學_p4!N54),0)</f>
        <v>0</v>
      </c>
      <c r="O81" s="16" t="n">
        <f aca="false">ROUND(ABS(淡江大學_p4!O54),0)</f>
        <v>0</v>
      </c>
      <c r="P81" s="16" t="n">
        <f aca="false">ROUND(ABS(淡江大學_p4!P54),0)</f>
        <v>0</v>
      </c>
      <c r="Q81" s="16" t="n">
        <f aca="false">ROUND(ABS(淡江大學_p4!Q54),0)</f>
        <v>0</v>
      </c>
      <c r="R81" s="16" t="n">
        <f aca="false">ROUND(ABS(淡江大學_p4!R54),0)</f>
        <v>0</v>
      </c>
      <c r="S81" s="16" t="n">
        <f aca="false">ROUND(ABS(淡江大學_p4!S54),0)</f>
        <v>0</v>
      </c>
      <c r="T81" s="16" t="n">
        <f aca="false">ROUND(ABS(淡江大學_p4!T54),0)</f>
        <v>0</v>
      </c>
      <c r="U81" s="16" t="n">
        <f aca="false">ROUND(ABS(淡江大學_p4!U54),0)</f>
        <v>0</v>
      </c>
      <c r="V81" s="16" t="n">
        <f aca="false">ROUND(ABS(淡江大學_p4!V54),0)</f>
        <v>0</v>
      </c>
      <c r="W81" s="16" t="n">
        <f aca="false">ROUND(ABS(淡江大學_p4!W54),0)</f>
        <v>0</v>
      </c>
      <c r="X81" s="2"/>
    </row>
    <row r="82" customFormat="false" ht="18.75" hidden="false" customHeight="true" outlineLevel="0" collapsed="false">
      <c r="A82" s="2"/>
      <c r="B82" s="14" t="s">
        <v>2</v>
      </c>
      <c r="C82" s="15"/>
      <c r="D82" s="16" t="n">
        <f aca="false">ROUND(ABS(淡江大學_p6!D54),0)</f>
        <v>0</v>
      </c>
      <c r="E82" s="16" t="n">
        <f aca="false">ROUND(ABS(淡江大學_p6!E54),0)</f>
        <v>0</v>
      </c>
      <c r="F82" s="16" t="n">
        <f aca="false">ROUND(ABS(淡江大學_p6!F54),0)</f>
        <v>0</v>
      </c>
      <c r="G82" s="16" t="n">
        <f aca="false">ROUND(ABS(淡江大學_p6!G54),0)</f>
        <v>0</v>
      </c>
      <c r="H82" s="16" t="n">
        <f aca="false">ROUND(ABS(淡江大學_p6!H54),0)</f>
        <v>0</v>
      </c>
      <c r="I82" s="16" t="n">
        <f aca="false">ROUND(ABS(淡江大學_p6!I54),0)</f>
        <v>0</v>
      </c>
      <c r="J82" s="16" t="n">
        <f aca="false">ROUND(ABS(淡江大學_p6!J54),0)</f>
        <v>0</v>
      </c>
      <c r="K82" s="16" t="n">
        <f aca="false">ROUND(ABS(淡江大學_p6!K54),0)</f>
        <v>0</v>
      </c>
      <c r="L82" s="16" t="n">
        <f aca="false">ROUND(ABS(淡江大學_p6!L54),0)</f>
        <v>0</v>
      </c>
      <c r="M82" s="16" t="n">
        <f aca="false">ROUND(ABS(淡江大學_p6!M54),0)</f>
        <v>0</v>
      </c>
      <c r="N82" s="16" t="n">
        <f aca="false">ROUND(ABS(淡江大學_p6!N54),0)</f>
        <v>0</v>
      </c>
      <c r="O82" s="16" t="n">
        <f aca="false">ROUND(ABS(淡江大學_p6!O54),0)</f>
        <v>0</v>
      </c>
      <c r="P82" s="16" t="n">
        <f aca="false">ROUND(ABS(淡江大學_p6!P54),0)</f>
        <v>0</v>
      </c>
      <c r="Q82" s="16" t="n">
        <f aca="false">ROUND(ABS(淡江大學_p6!Q54),0)</f>
        <v>0</v>
      </c>
      <c r="R82" s="16" t="n">
        <f aca="false">ROUND(ABS(淡江大學_p6!R54),0)</f>
        <v>0</v>
      </c>
      <c r="S82" s="16" t="n">
        <f aca="false">ROUND(ABS(淡江大學_p6!S54),0)</f>
        <v>0</v>
      </c>
      <c r="T82" s="16" t="n">
        <f aca="false">ROUND(ABS(淡江大學_p6!T54),0)</f>
        <v>0</v>
      </c>
      <c r="U82" s="16" t="n">
        <f aca="false">ROUND(ABS(淡江大學_p6!U54),0)</f>
        <v>0</v>
      </c>
      <c r="V82" s="16" t="n">
        <f aca="false">ROUND(ABS(淡江大學_p6!V54),0)</f>
        <v>0</v>
      </c>
      <c r="W82" s="16" t="n">
        <f aca="false">ROUND(ABS(淡江大學_p6!W54),0)</f>
        <v>0</v>
      </c>
      <c r="X82" s="2"/>
    </row>
    <row r="83" customFormat="false" ht="18.75" hidden="false" customHeight="true" outlineLevel="0" collapsed="false">
      <c r="A83" s="2"/>
      <c r="B83" s="17" t="s">
        <v>2</v>
      </c>
      <c r="C83" s="18"/>
      <c r="D83" s="19" t="n">
        <f aca="false">ROUND(ABS(淡江大學_p3!D54),0)</f>
        <v>0</v>
      </c>
      <c r="E83" s="19" t="n">
        <f aca="false">ROUND(ABS(淡江大學_p3!E54),0)</f>
        <v>0</v>
      </c>
      <c r="F83" s="20" t="n">
        <f aca="false">ROUND(ABS(淡江大學_p3!F54),0)</f>
        <v>0</v>
      </c>
      <c r="G83" s="19" t="n">
        <f aca="false">ROUND(ABS(淡江大學_p3!G54),0)</f>
        <v>0</v>
      </c>
      <c r="H83" s="19" t="n">
        <f aca="false">ROUND(ABS(淡江大學_p3!H54),0)</f>
        <v>0</v>
      </c>
      <c r="I83" s="19" t="n">
        <f aca="false">ROUND(ABS(淡江大學_p3!I54),0)</f>
        <v>0</v>
      </c>
      <c r="J83" s="19" t="n">
        <f aca="false">ROUND(ABS(淡江大學_p3!J54),0)</f>
        <v>0</v>
      </c>
      <c r="K83" s="19" t="n">
        <f aca="false">ROUND(ABS(淡江大學_p3!K54),0)</f>
        <v>0</v>
      </c>
      <c r="L83" s="19" t="n">
        <f aca="false">ROUND(ABS(淡江大學_p3!L54),0)</f>
        <v>0</v>
      </c>
      <c r="M83" s="19" t="n">
        <f aca="false">ROUND(ABS(淡江大學_p3!M54),0)</f>
        <v>0</v>
      </c>
      <c r="N83" s="19" t="n">
        <f aca="false">ROUND(ABS(淡江大學_p3!N54),0)</f>
        <v>0</v>
      </c>
      <c r="O83" s="19" t="n">
        <f aca="false">ROUND(ABS(淡江大學_p3!O54),0)</f>
        <v>0</v>
      </c>
      <c r="P83" s="19" t="n">
        <f aca="false">ROUND(ABS(淡江大學_p3!P54),0)</f>
        <v>0</v>
      </c>
      <c r="Q83" s="19" t="n">
        <f aca="false">ROUND(ABS(淡江大學_p3!Q54),0)</f>
        <v>0</v>
      </c>
      <c r="R83" s="19" t="n">
        <f aca="false">ROUND(ABS(淡江大學_p3!R54),0)</f>
        <v>0</v>
      </c>
      <c r="S83" s="19" t="n">
        <f aca="false">ROUND(ABS(淡江大學_p3!S54),0)</f>
        <v>0</v>
      </c>
      <c r="T83" s="21" t="n">
        <f aca="false">ROUND(ABS(淡江大學_p3!T54),0)</f>
        <v>0</v>
      </c>
      <c r="U83" s="19" t="n">
        <f aca="false">ROUND(ABS(淡江大學_p3!U54),0)</f>
        <v>0</v>
      </c>
      <c r="V83" s="19" t="n">
        <f aca="false">ROUND(ABS(淡江大學_p3!V54),0)</f>
        <v>0</v>
      </c>
      <c r="W83" s="19" t="n">
        <f aca="false">ROUND(ABS(淡江大學_p3!W54),0)</f>
        <v>0</v>
      </c>
      <c r="X83" s="2"/>
    </row>
    <row r="84" customFormat="false" ht="18.75" hidden="false" customHeight="true" outlineLevel="0" collapsed="false">
      <c r="A84" s="2"/>
      <c r="B84" s="22" t="s">
        <v>2</v>
      </c>
      <c r="C84" s="23"/>
      <c r="D84" s="24" t="n">
        <f aca="false">ROUND(ABS(淡江大學_p4_3!D54),0)</f>
        <v>192635</v>
      </c>
      <c r="E84" s="24" t="n">
        <f aca="false">ROUND(ABS(淡江大學_p4_3!E54),0)</f>
        <v>132845</v>
      </c>
      <c r="F84" s="24" t="n">
        <f aca="false">ROUND(ABS(淡江大學_p4_3!F54),0)</f>
        <v>131094</v>
      </c>
      <c r="G84" s="24" t="n">
        <f aca="false">ROUND(ABS(淡江大學_p4_3!G54),0)</f>
        <v>129344</v>
      </c>
      <c r="H84" s="24" t="n">
        <f aca="false">ROUND(ABS(淡江大學_p4_3!H54),0)</f>
        <v>127594</v>
      </c>
      <c r="I84" s="24" t="n">
        <f aca="false">ROUND(ABS(淡江大學_p4_3!I54),0)</f>
        <v>125843</v>
      </c>
      <c r="J84" s="24" t="n">
        <f aca="false">ROUND(ABS(淡江大學_p4_3!J54),0)</f>
        <v>124093</v>
      </c>
      <c r="K84" s="24" t="n">
        <f aca="false">ROUND(ABS(淡江大學_p4_3!K54),0)</f>
        <v>122342</v>
      </c>
      <c r="L84" s="24" t="n">
        <f aca="false">ROUND(ABS(淡江大學_p4_3!L54),0)</f>
        <v>120592</v>
      </c>
      <c r="M84" s="24" t="n">
        <f aca="false">ROUND(ABS(淡江大學_p4_3!M54),0)</f>
        <v>118842</v>
      </c>
      <c r="N84" s="24" t="n">
        <f aca="false">ROUND(ABS(淡江大學_p4_3!N54),0)</f>
        <v>125813</v>
      </c>
      <c r="O84" s="24" t="n">
        <f aca="false">ROUND(ABS(淡江大學_p4_3!O54),0)</f>
        <v>124063</v>
      </c>
      <c r="P84" s="24" t="n">
        <f aca="false">ROUND(ABS(淡江大學_p4_3!P54),0)</f>
        <v>122312</v>
      </c>
      <c r="Q84" s="24" t="n">
        <f aca="false">ROUND(ABS(淡江大學_p4_3!Q54),0)</f>
        <v>120562</v>
      </c>
      <c r="R84" s="24" t="n">
        <f aca="false">ROUND(ABS(淡江大學_p4_3!R54),0)</f>
        <v>118812</v>
      </c>
      <c r="S84" s="24" t="n">
        <f aca="false">ROUND(ABS(淡江大學_p4_3!S54),0)</f>
        <v>117061</v>
      </c>
      <c r="T84" s="24" t="n">
        <f aca="false">ROUND(ABS(淡江大學_p4_3!T54),0)</f>
        <v>115311</v>
      </c>
      <c r="U84" s="24" t="n">
        <f aca="false">ROUND(ABS(淡江大學_p4_3!U54),0)</f>
        <v>113560</v>
      </c>
      <c r="V84" s="24" t="n">
        <f aca="false">ROUND(ABS(淡江大學_p4_3!V54),0)</f>
        <v>111810</v>
      </c>
      <c r="W84" s="24" t="n">
        <f aca="false">ROUND(ABS(淡江大學_p4_3!W54),0)</f>
        <v>110060</v>
      </c>
      <c r="X84" s="2"/>
    </row>
    <row r="85" customFormat="false" ht="18.75" hidden="false" customHeight="true" outlineLevel="0" collapsed="false">
      <c r="A85" s="2"/>
      <c r="B85" s="25" t="s">
        <v>2</v>
      </c>
      <c r="C85" s="26"/>
      <c r="D85" s="24" t="n">
        <f aca="false">ROUND(ABS(淡江大學_p3_1!D54),0)</f>
        <v>179652</v>
      </c>
      <c r="E85" s="24" t="n">
        <f aca="false">ROUND(ABS(淡江大學_p3_1!E54),0)</f>
        <v>119862</v>
      </c>
      <c r="F85" s="24" t="n">
        <f aca="false">ROUND(ABS(淡江大學_p3_1!F54),0)</f>
        <v>118111</v>
      </c>
      <c r="G85" s="24" t="n">
        <f aca="false">ROUND(ABS(淡江大學_p3_1!G54),0)</f>
        <v>116361</v>
      </c>
      <c r="H85" s="24" t="n">
        <f aca="false">ROUND(ABS(淡江大學_p3_1!H54),0)</f>
        <v>114610</v>
      </c>
      <c r="I85" s="24" t="n">
        <f aca="false">ROUND(ABS(淡江大學_p3_1!I54),0)</f>
        <v>112860</v>
      </c>
      <c r="J85" s="24" t="n">
        <f aca="false">ROUND(ABS(淡江大學_p3_1!J54),0)</f>
        <v>111109</v>
      </c>
      <c r="K85" s="24" t="n">
        <f aca="false">ROUND(ABS(淡江大學_p3_1!K54),0)</f>
        <v>109359</v>
      </c>
      <c r="L85" s="24" t="n">
        <f aca="false">ROUND(ABS(淡江大學_p3_1!L54),0)</f>
        <v>107609</v>
      </c>
      <c r="M85" s="24" t="n">
        <f aca="false">ROUND(ABS(淡江大學_p3_1!M54),0)</f>
        <v>105858</v>
      </c>
      <c r="N85" s="24" t="n">
        <f aca="false">ROUND(ABS(淡江大學_p3_1!N54),0)</f>
        <v>112830</v>
      </c>
      <c r="O85" s="24" t="n">
        <f aca="false">ROUND(ABS(淡江大學_p3_1!O54),0)</f>
        <v>111079</v>
      </c>
      <c r="P85" s="24" t="n">
        <f aca="false">ROUND(ABS(淡江大學_p3_1!P54),0)</f>
        <v>109329</v>
      </c>
      <c r="Q85" s="24" t="n">
        <f aca="false">ROUND(ABS(淡江大學_p3_1!Q54),0)</f>
        <v>107579</v>
      </c>
      <c r="R85" s="24" t="n">
        <f aca="false">ROUND(ABS(淡江大學_p3_1!R54),0)</f>
        <v>105828</v>
      </c>
      <c r="S85" s="24" t="n">
        <f aca="false">ROUND(ABS(淡江大學_p3_1!S54),0)</f>
        <v>104078</v>
      </c>
      <c r="T85" s="24" t="n">
        <f aca="false">ROUND(ABS(淡江大學_p3_1!T54),0)</f>
        <v>102327</v>
      </c>
      <c r="U85" s="24" t="n">
        <f aca="false">ROUND(ABS(淡江大學_p3_1!U54),0)</f>
        <v>100577</v>
      </c>
      <c r="V85" s="24" t="n">
        <f aca="false">ROUND(ABS(淡江大學_p3_1!V54),0)</f>
        <v>98827</v>
      </c>
      <c r="W85" s="24" t="n">
        <f aca="false">ROUND(ABS(淡江大學_p3_1!W54),0)</f>
        <v>97076</v>
      </c>
      <c r="X85" s="2"/>
    </row>
    <row r="86" customFormat="false" ht="18.75" hidden="false" customHeight="true" outlineLevel="0" collapsed="false">
      <c r="A86" s="2"/>
      <c r="B86" s="27" t="s">
        <v>2</v>
      </c>
      <c r="C86" s="28"/>
      <c r="D86" s="29" t="n">
        <f aca="false">ROUND(ABS(淡江大學_p5!D54),0)</f>
        <v>205619</v>
      </c>
      <c r="E86" s="29" t="n">
        <f aca="false">ROUND(ABS(淡江大學_p5!E54),0)</f>
        <v>145828</v>
      </c>
      <c r="F86" s="29" t="n">
        <f aca="false">ROUND(ABS(淡江大學_p5!F54),0)</f>
        <v>144078</v>
      </c>
      <c r="G86" s="29" t="n">
        <f aca="false">ROUND(ABS(淡江大學_p5!G54),0)</f>
        <v>142327</v>
      </c>
      <c r="H86" s="29" t="n">
        <f aca="false">ROUND(ABS(淡江大學_p5!H54),0)</f>
        <v>140577</v>
      </c>
      <c r="I86" s="29" t="n">
        <f aca="false">ROUND(ABS(淡江大學_p5!I54),0)</f>
        <v>138827</v>
      </c>
      <c r="J86" s="29" t="n">
        <f aca="false">ROUND(ABS(淡江大學_p5!J54),0)</f>
        <v>137076</v>
      </c>
      <c r="K86" s="29" t="n">
        <f aca="false">ROUND(ABS(淡江大學_p5!K54),0)</f>
        <v>135326</v>
      </c>
      <c r="L86" s="29" t="n">
        <f aca="false">ROUND(ABS(淡江大學_p5!L54),0)</f>
        <v>133575</v>
      </c>
      <c r="M86" s="29" t="n">
        <f aca="false">ROUND(ABS(淡江大學_p5!M54),0)</f>
        <v>131825</v>
      </c>
      <c r="N86" s="29" t="n">
        <f aca="false">ROUND(ABS(淡江大學_p5!N54),0)</f>
        <v>138797</v>
      </c>
      <c r="O86" s="29" t="n">
        <f aca="false">ROUND(ABS(淡江大學_p5!O54),0)</f>
        <v>137046</v>
      </c>
      <c r="P86" s="29" t="n">
        <f aca="false">ROUND(ABS(淡江大學_p5!P54),0)</f>
        <v>135296</v>
      </c>
      <c r="Q86" s="29" t="n">
        <f aca="false">ROUND(ABS(淡江大學_p5!Q54),0)</f>
        <v>133545</v>
      </c>
      <c r="R86" s="29" t="n">
        <f aca="false">ROUND(ABS(淡江大學_p5!R54),0)</f>
        <v>131795</v>
      </c>
      <c r="S86" s="29" t="n">
        <f aca="false">ROUND(ABS(淡江大學_p5!S54),0)</f>
        <v>130044</v>
      </c>
      <c r="T86" s="29" t="n">
        <f aca="false">ROUND(ABS(淡江大學_p5!T54),0)</f>
        <v>128294</v>
      </c>
      <c r="U86" s="29" t="n">
        <f aca="false">ROUND(ABS(淡江大學_p5!U54),0)</f>
        <v>126544</v>
      </c>
      <c r="V86" s="29" t="n">
        <f aca="false">ROUND(ABS(淡江大學_p5!V54),0)</f>
        <v>124793</v>
      </c>
      <c r="W86" s="29" t="n">
        <f aca="false">ROUND(ABS(淡江大學_p5!W54),0)</f>
        <v>123043</v>
      </c>
      <c r="X86" s="2"/>
    </row>
    <row r="87" customFormat="false" ht="18.75" hidden="false" customHeight="true" outlineLevel="0" collapsed="false">
      <c r="A87" s="2"/>
      <c r="B87" s="30"/>
      <c r="C87" s="53" t="s">
        <v>15</v>
      </c>
      <c r="D87" s="54" t="n">
        <f aca="false">SUM(D78:D86)</f>
        <v>577906</v>
      </c>
      <c r="E87" s="54" t="n">
        <f aca="false">SUM(E78:E86)</f>
        <v>398535</v>
      </c>
      <c r="F87" s="54" t="n">
        <f aca="false">SUM(F78:F86)</f>
        <v>393283</v>
      </c>
      <c r="G87" s="54" t="n">
        <f aca="false">SUM(G78:G86)</f>
        <v>388032</v>
      </c>
      <c r="H87" s="54" t="n">
        <f aca="false">SUM(H78:H86)</f>
        <v>382781</v>
      </c>
      <c r="I87" s="54" t="n">
        <f aca="false">SUM(I78:I86)</f>
        <v>377530</v>
      </c>
      <c r="J87" s="54" t="n">
        <f aca="false">SUM(J78:J86)</f>
        <v>372278</v>
      </c>
      <c r="K87" s="54" t="n">
        <f aca="false">SUM(K78:K86)</f>
        <v>367027</v>
      </c>
      <c r="L87" s="54" t="n">
        <f aca="false">SUM(L78:L86)</f>
        <v>361776</v>
      </c>
      <c r="M87" s="54" t="n">
        <f aca="false">SUM(M78:M86)</f>
        <v>356525</v>
      </c>
      <c r="N87" s="54" t="n">
        <f aca="false">SUM(N78:N86)</f>
        <v>377440</v>
      </c>
      <c r="O87" s="54" t="n">
        <f aca="false">SUM(O78:O86)</f>
        <v>372188</v>
      </c>
      <c r="P87" s="54" t="n">
        <f aca="false">SUM(P78:P86)</f>
        <v>366937</v>
      </c>
      <c r="Q87" s="54" t="n">
        <f aca="false">SUM(Q78:Q86)</f>
        <v>361686</v>
      </c>
      <c r="R87" s="54" t="n">
        <f aca="false">SUM(R78:R86)</f>
        <v>356435</v>
      </c>
      <c r="S87" s="54" t="n">
        <f aca="false">SUM(S78:S86)</f>
        <v>351183</v>
      </c>
      <c r="T87" s="54" t="n">
        <f aca="false">SUM(T78:T86)</f>
        <v>345932</v>
      </c>
      <c r="U87" s="54" t="n">
        <f aca="false">SUM(U78:U86)</f>
        <v>340681</v>
      </c>
      <c r="V87" s="54" t="n">
        <f aca="false">SUM(V78:V86)</f>
        <v>335430</v>
      </c>
      <c r="W87" s="54" t="n">
        <f aca="false">SUM(W78:W86)</f>
        <v>330179</v>
      </c>
      <c r="X87" s="2"/>
    </row>
    <row r="88" customFormat="false" ht="18.75" hidden="false" customHeight="true" outlineLevel="0" collapsed="false">
      <c r="A88" s="2"/>
      <c r="B88" s="33"/>
      <c r="C88" s="34" t="s">
        <v>0</v>
      </c>
      <c r="D88" s="55" t="n">
        <v>2020</v>
      </c>
      <c r="E88" s="55" t="n">
        <v>2021</v>
      </c>
      <c r="F88" s="55" t="n">
        <v>2022</v>
      </c>
      <c r="G88" s="55" t="n">
        <v>2023</v>
      </c>
      <c r="H88" s="55" t="n">
        <v>2024</v>
      </c>
      <c r="I88" s="55" t="n">
        <v>2025</v>
      </c>
      <c r="J88" s="55" t="n">
        <v>2026</v>
      </c>
      <c r="K88" s="55" t="n">
        <v>2027</v>
      </c>
      <c r="L88" s="55" t="n">
        <v>2028</v>
      </c>
      <c r="M88" s="55" t="n">
        <v>2029</v>
      </c>
      <c r="N88" s="55" t="n">
        <v>2030</v>
      </c>
      <c r="O88" s="55" t="n">
        <v>2031</v>
      </c>
      <c r="P88" s="55" t="n">
        <v>2032</v>
      </c>
      <c r="Q88" s="55" t="n">
        <v>2033</v>
      </c>
      <c r="R88" s="55" t="n">
        <v>2034</v>
      </c>
      <c r="S88" s="55" t="n">
        <v>2035</v>
      </c>
      <c r="T88" s="55" t="n">
        <v>2036</v>
      </c>
      <c r="U88" s="55" t="n">
        <v>2037</v>
      </c>
      <c r="V88" s="55" t="n">
        <v>2038</v>
      </c>
      <c r="W88" s="55" t="n">
        <v>2039</v>
      </c>
      <c r="X88" s="2"/>
    </row>
    <row r="89" customFormat="false" ht="18.75" hidden="false" customHeight="true" outlineLevel="0" collapsed="false">
      <c r="A89" s="2"/>
      <c r="B89" s="30"/>
      <c r="C89" s="36" t="s">
        <v>16</v>
      </c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2"/>
    </row>
    <row r="90" customFormat="false" ht="18.75" hidden="false" customHeight="true" outlineLevel="0" collapsed="false">
      <c r="A90" s="2"/>
      <c r="B90" s="30" t="s">
        <v>2</v>
      </c>
      <c r="C90" s="37"/>
      <c r="D90" s="24" t="n">
        <f aca="false">ROUND(ABS(淡江大學_p6_1!D67),0)</f>
        <v>0</v>
      </c>
      <c r="E90" s="24" t="n">
        <f aca="false">ROUND(ABS(淡江大學_p6_1!E67),0)</f>
        <v>0</v>
      </c>
      <c r="F90" s="24" t="n">
        <f aca="false">ROUND(ABS(淡江大學_p6_1!F67),0)</f>
        <v>0</v>
      </c>
      <c r="G90" s="24" t="n">
        <f aca="false">ROUND(ABS(淡江大學_p6_1!G67),0)</f>
        <v>0</v>
      </c>
      <c r="H90" s="24" t="n">
        <f aca="false">ROUND(ABS(淡江大學_p6_1!H67),0)</f>
        <v>0</v>
      </c>
      <c r="I90" s="24" t="n">
        <f aca="false">ROUND(ABS(淡江大學_p6_1!I67),0)</f>
        <v>0</v>
      </c>
      <c r="J90" s="24" t="n">
        <f aca="false">ROUND(ABS(淡江大學_p6_1!J67),0)</f>
        <v>0</v>
      </c>
      <c r="K90" s="24" t="n">
        <f aca="false">ROUND(ABS(淡江大學_p6_1!K67),0)</f>
        <v>0</v>
      </c>
      <c r="L90" s="24" t="n">
        <f aca="false">ROUND(ABS(淡江大學_p6_1!L67),0)</f>
        <v>0</v>
      </c>
      <c r="M90" s="24" t="n">
        <f aca="false">ROUND(ABS(淡江大學_p6_1!M67),0)</f>
        <v>0</v>
      </c>
      <c r="N90" s="24" t="n">
        <f aca="false">ROUND(ABS(淡江大學_p6_1!N67),0)</f>
        <v>0</v>
      </c>
      <c r="O90" s="24" t="n">
        <f aca="false">ROUND(ABS(淡江大學_p6_1!O67),0)</f>
        <v>0</v>
      </c>
      <c r="P90" s="24" t="n">
        <f aca="false">ROUND(ABS(淡江大學_p6_1!P67),0)</f>
        <v>0</v>
      </c>
      <c r="Q90" s="24" t="n">
        <f aca="false">ROUND(ABS(淡江大學_p6_1!Q67),0)</f>
        <v>0</v>
      </c>
      <c r="R90" s="24" t="n">
        <f aca="false">ROUND(ABS(淡江大學_p6_1!R67),0)</f>
        <v>0</v>
      </c>
      <c r="S90" s="24" t="n">
        <f aca="false">ROUND(ABS(淡江大學_p6_1!S67),0)</f>
        <v>0</v>
      </c>
      <c r="T90" s="24" t="n">
        <f aca="false">ROUND(ABS(淡江大學_p6_1!T67),0)</f>
        <v>0</v>
      </c>
      <c r="U90" s="24" t="n">
        <f aca="false">ROUND(ABS(淡江大學_p6_1!U67),0)</f>
        <v>0</v>
      </c>
      <c r="V90" s="24" t="n">
        <f aca="false">ROUND(ABS(淡江大學_p6_1!V67),0)</f>
        <v>0</v>
      </c>
      <c r="W90" s="24" t="n">
        <f aca="false">ROUND(ABS(淡江大學_p6_1!W67),0)</f>
        <v>0</v>
      </c>
      <c r="X90" s="2"/>
    </row>
    <row r="91" customFormat="false" ht="18.75" hidden="false" customHeight="true" outlineLevel="0" collapsed="false">
      <c r="A91" s="2"/>
      <c r="B91" s="30" t="s">
        <v>2</v>
      </c>
      <c r="C91" s="37"/>
      <c r="D91" s="24" t="n">
        <f aca="false">ROUND(ABS(淡江大學_p4_2!D67),0)</f>
        <v>0</v>
      </c>
      <c r="E91" s="24" t="n">
        <f aca="false">ROUND(ABS(淡江大學_p4_2!E67),0)</f>
        <v>0</v>
      </c>
      <c r="F91" s="24" t="n">
        <f aca="false">ROUND(ABS(淡江大學_p4_2!F67),0)</f>
        <v>0</v>
      </c>
      <c r="G91" s="24" t="n">
        <f aca="false">ROUND(ABS(淡江大學_p4_2!G67),0)</f>
        <v>0</v>
      </c>
      <c r="H91" s="24" t="n">
        <f aca="false">ROUND(ABS(淡江大學_p4_2!H67),0)</f>
        <v>0</v>
      </c>
      <c r="I91" s="24" t="n">
        <f aca="false">ROUND(ABS(淡江大學_p4_2!I67),0)</f>
        <v>0</v>
      </c>
      <c r="J91" s="24" t="n">
        <f aca="false">ROUND(ABS(淡江大學_p4_2!J67),0)</f>
        <v>0</v>
      </c>
      <c r="K91" s="24" t="n">
        <f aca="false">ROUND(ABS(淡江大學_p4_2!K67),0)</f>
        <v>0</v>
      </c>
      <c r="L91" s="24" t="n">
        <f aca="false">ROUND(ABS(淡江大學_p4_2!L67),0)</f>
        <v>0</v>
      </c>
      <c r="M91" s="24" t="n">
        <f aca="false">ROUND(ABS(淡江大學_p4_2!M67),0)</f>
        <v>0</v>
      </c>
      <c r="N91" s="24" t="n">
        <f aca="false">ROUND(ABS(淡江大學_p4_2!N67),0)</f>
        <v>0</v>
      </c>
      <c r="O91" s="24" t="n">
        <f aca="false">ROUND(ABS(淡江大學_p4_2!O67),0)</f>
        <v>0</v>
      </c>
      <c r="P91" s="24" t="n">
        <f aca="false">ROUND(ABS(淡江大學_p4_2!P67),0)</f>
        <v>0</v>
      </c>
      <c r="Q91" s="24" t="n">
        <f aca="false">ROUND(ABS(淡江大學_p4_2!Q67),0)</f>
        <v>0</v>
      </c>
      <c r="R91" s="24" t="n">
        <f aca="false">ROUND(ABS(淡江大學_p4_2!R67),0)</f>
        <v>0</v>
      </c>
      <c r="S91" s="24" t="n">
        <f aca="false">ROUND(ABS(淡江大學_p4_2!S67),0)</f>
        <v>0</v>
      </c>
      <c r="T91" s="24" t="n">
        <f aca="false">ROUND(ABS(淡江大學_p4_2!T67),0)</f>
        <v>0</v>
      </c>
      <c r="U91" s="24" t="n">
        <f aca="false">ROUND(ABS(淡江大學_p4_2!U67),0)</f>
        <v>0</v>
      </c>
      <c r="V91" s="24" t="n">
        <f aca="false">ROUND(ABS(淡江大學_p4_2!V67),0)</f>
        <v>0</v>
      </c>
      <c r="W91" s="24" t="n">
        <f aca="false">ROUND(ABS(淡江大學_p4_2!W67),0)</f>
        <v>0</v>
      </c>
      <c r="X91" s="2"/>
    </row>
    <row r="92" customFormat="false" ht="18.75" hidden="false" customHeight="true" outlineLevel="0" collapsed="false">
      <c r="A92" s="2"/>
      <c r="B92" s="30" t="s">
        <v>2</v>
      </c>
      <c r="C92" s="37"/>
      <c r="D92" s="24" t="n">
        <f aca="false">ROUND(ABS(淡江大學_p4_1!D67),0)</f>
        <v>0</v>
      </c>
      <c r="E92" s="24" t="n">
        <f aca="false">ROUND(ABS(淡江大學_p4_1!E67),0)</f>
        <v>0</v>
      </c>
      <c r="F92" s="24" t="n">
        <f aca="false">ROUND(ABS(淡江大學_p4_1!F67),0)</f>
        <v>0</v>
      </c>
      <c r="G92" s="24" t="n">
        <f aca="false">ROUND(ABS(淡江大學_p4_1!G67),0)</f>
        <v>0</v>
      </c>
      <c r="H92" s="24" t="n">
        <f aca="false">ROUND(ABS(淡江大學_p4_1!H67),0)</f>
        <v>0</v>
      </c>
      <c r="I92" s="24" t="n">
        <f aca="false">ROUND(ABS(淡江大學_p4_1!I67),0)</f>
        <v>0</v>
      </c>
      <c r="J92" s="24" t="n">
        <f aca="false">ROUND(ABS(淡江大學_p4_1!J67),0)</f>
        <v>0</v>
      </c>
      <c r="K92" s="24" t="n">
        <f aca="false">ROUND(ABS(淡江大學_p4_1!K67),0)</f>
        <v>0</v>
      </c>
      <c r="L92" s="24" t="n">
        <f aca="false">ROUND(ABS(淡江大學_p4_1!L67),0)</f>
        <v>0</v>
      </c>
      <c r="M92" s="24" t="n">
        <f aca="false">ROUND(ABS(淡江大學_p4_1!M67),0)</f>
        <v>0</v>
      </c>
      <c r="N92" s="24" t="n">
        <f aca="false">ROUND(ABS(淡江大學_p4_1!N67),0)</f>
        <v>0</v>
      </c>
      <c r="O92" s="24" t="n">
        <f aca="false">ROUND(ABS(淡江大學_p4_1!O67),0)</f>
        <v>0</v>
      </c>
      <c r="P92" s="24" t="n">
        <f aca="false">ROUND(ABS(淡江大學_p4_1!P67),0)</f>
        <v>0</v>
      </c>
      <c r="Q92" s="24" t="n">
        <f aca="false">ROUND(ABS(淡江大學_p4_1!Q67),0)</f>
        <v>0</v>
      </c>
      <c r="R92" s="24" t="n">
        <f aca="false">ROUND(ABS(淡江大學_p4_1!R67),0)</f>
        <v>0</v>
      </c>
      <c r="S92" s="24" t="n">
        <f aca="false">ROUND(ABS(淡江大學_p4_1!S67),0)</f>
        <v>0</v>
      </c>
      <c r="T92" s="24" t="n">
        <f aca="false">ROUND(ABS(淡江大學_p4_1!T67),0)</f>
        <v>0</v>
      </c>
      <c r="U92" s="24" t="n">
        <f aca="false">ROUND(ABS(淡江大學_p4_1!U67),0)</f>
        <v>0</v>
      </c>
      <c r="V92" s="24" t="n">
        <f aca="false">ROUND(ABS(淡江大學_p4_1!V67),0)</f>
        <v>0</v>
      </c>
      <c r="W92" s="24" t="n">
        <f aca="false">ROUND(ABS(淡江大學_p4_1!W67),0)</f>
        <v>0</v>
      </c>
      <c r="X92" s="2"/>
    </row>
    <row r="93" customFormat="false" ht="18.75" hidden="false" customHeight="true" outlineLevel="0" collapsed="false">
      <c r="A93" s="2"/>
      <c r="B93" s="30" t="s">
        <v>2</v>
      </c>
      <c r="C93" s="37"/>
      <c r="D93" s="24" t="n">
        <f aca="false">ROUND(ABS(淡江大學_p4!D67),0)</f>
        <v>0</v>
      </c>
      <c r="E93" s="24" t="n">
        <f aca="false">ROUND(ABS(淡江大學_p4!E67),0)</f>
        <v>0</v>
      </c>
      <c r="F93" s="24" t="n">
        <f aca="false">ROUND(ABS(淡江大學_p4!F67),0)</f>
        <v>0</v>
      </c>
      <c r="G93" s="24" t="n">
        <f aca="false">ROUND(ABS(淡江大學_p4!G67),0)</f>
        <v>0</v>
      </c>
      <c r="H93" s="24" t="n">
        <f aca="false">ROUND(ABS(淡江大學_p4!H67),0)</f>
        <v>0</v>
      </c>
      <c r="I93" s="24" t="n">
        <f aca="false">ROUND(ABS(淡江大學_p4!I67),0)</f>
        <v>0</v>
      </c>
      <c r="J93" s="24" t="n">
        <f aca="false">ROUND(ABS(淡江大學_p4!J67),0)</f>
        <v>0</v>
      </c>
      <c r="K93" s="24" t="n">
        <f aca="false">ROUND(ABS(淡江大學_p4!K67),0)</f>
        <v>0</v>
      </c>
      <c r="L93" s="24" t="n">
        <f aca="false">ROUND(ABS(淡江大學_p4!L67),0)</f>
        <v>0</v>
      </c>
      <c r="M93" s="24" t="n">
        <f aca="false">ROUND(ABS(淡江大學_p4!M67),0)</f>
        <v>0</v>
      </c>
      <c r="N93" s="24" t="n">
        <f aca="false">ROUND(ABS(淡江大學_p4!N67),0)</f>
        <v>0</v>
      </c>
      <c r="O93" s="24" t="n">
        <f aca="false">ROUND(ABS(淡江大學_p4!O67),0)</f>
        <v>0</v>
      </c>
      <c r="P93" s="24" t="n">
        <f aca="false">ROUND(ABS(淡江大學_p4!P67),0)</f>
        <v>0</v>
      </c>
      <c r="Q93" s="24" t="n">
        <f aca="false">ROUND(ABS(淡江大學_p4!Q67),0)</f>
        <v>0</v>
      </c>
      <c r="R93" s="24" t="n">
        <f aca="false">ROUND(ABS(淡江大學_p4!R67),0)</f>
        <v>0</v>
      </c>
      <c r="S93" s="24" t="n">
        <f aca="false">ROUND(ABS(淡江大學_p4!S67),0)</f>
        <v>0</v>
      </c>
      <c r="T93" s="24" t="n">
        <f aca="false">ROUND(ABS(淡江大學_p4!T67),0)</f>
        <v>0</v>
      </c>
      <c r="U93" s="24" t="n">
        <f aca="false">ROUND(ABS(淡江大學_p4!U67),0)</f>
        <v>0</v>
      </c>
      <c r="V93" s="24" t="n">
        <f aca="false">ROUND(ABS(淡江大學_p4!V67),0)</f>
        <v>0</v>
      </c>
      <c r="W93" s="24" t="n">
        <f aca="false">ROUND(ABS(淡江大學_p4!W67),0)</f>
        <v>0</v>
      </c>
      <c r="X93" s="2"/>
    </row>
    <row r="94" customFormat="false" ht="18.75" hidden="false" customHeight="true" outlineLevel="0" collapsed="false">
      <c r="A94" s="2"/>
      <c r="B94" s="30" t="s">
        <v>2</v>
      </c>
      <c r="C94" s="37"/>
      <c r="D94" s="24" t="n">
        <f aca="false">ROUND(ABS(淡江大學_p6!D67),0)</f>
        <v>0</v>
      </c>
      <c r="E94" s="24" t="n">
        <f aca="false">ROUND(ABS(淡江大學_p6!E67),0)</f>
        <v>0</v>
      </c>
      <c r="F94" s="24" t="n">
        <f aca="false">ROUND(ABS(淡江大學_p6!F67),0)</f>
        <v>0</v>
      </c>
      <c r="G94" s="24" t="n">
        <f aca="false">ROUND(ABS(淡江大學_p6!G67),0)</f>
        <v>0</v>
      </c>
      <c r="H94" s="24" t="n">
        <f aca="false">ROUND(ABS(淡江大學_p6!H67),0)</f>
        <v>0</v>
      </c>
      <c r="I94" s="24" t="n">
        <f aca="false">ROUND(ABS(淡江大學_p6!I67),0)</f>
        <v>0</v>
      </c>
      <c r="J94" s="24" t="n">
        <f aca="false">ROUND(ABS(淡江大學_p6!J67),0)</f>
        <v>0</v>
      </c>
      <c r="K94" s="24" t="n">
        <f aca="false">ROUND(ABS(淡江大學_p6!K67),0)</f>
        <v>0</v>
      </c>
      <c r="L94" s="24" t="n">
        <f aca="false">ROUND(ABS(淡江大學_p6!L67),0)</f>
        <v>0</v>
      </c>
      <c r="M94" s="24" t="n">
        <f aca="false">ROUND(ABS(淡江大學_p6!M67),0)</f>
        <v>0</v>
      </c>
      <c r="N94" s="24" t="n">
        <f aca="false">ROUND(ABS(淡江大學_p6!N67),0)</f>
        <v>0</v>
      </c>
      <c r="O94" s="24" t="n">
        <f aca="false">ROUND(ABS(淡江大學_p6!O67),0)</f>
        <v>0</v>
      </c>
      <c r="P94" s="24" t="n">
        <f aca="false">ROUND(ABS(淡江大學_p6!P67),0)</f>
        <v>0</v>
      </c>
      <c r="Q94" s="24" t="n">
        <f aca="false">ROUND(ABS(淡江大學_p6!Q67),0)</f>
        <v>0</v>
      </c>
      <c r="R94" s="24" t="n">
        <f aca="false">ROUND(ABS(淡江大學_p6!R67),0)</f>
        <v>0</v>
      </c>
      <c r="S94" s="24" t="n">
        <f aca="false">ROUND(ABS(淡江大學_p6!S67),0)</f>
        <v>0</v>
      </c>
      <c r="T94" s="24" t="n">
        <f aca="false">ROUND(ABS(淡江大學_p6!T67),0)</f>
        <v>0</v>
      </c>
      <c r="U94" s="24" t="n">
        <f aca="false">ROUND(ABS(淡江大學_p6!U67),0)</f>
        <v>0</v>
      </c>
      <c r="V94" s="24" t="n">
        <f aca="false">ROUND(ABS(淡江大學_p6!V67),0)</f>
        <v>0</v>
      </c>
      <c r="W94" s="24" t="n">
        <f aca="false">ROUND(ABS(淡江大學_p6!W67),0)</f>
        <v>0</v>
      </c>
      <c r="X94" s="2"/>
    </row>
    <row r="95" customFormat="false" ht="18.75" hidden="false" customHeight="true" outlineLevel="0" collapsed="false">
      <c r="A95" s="2"/>
      <c r="B95" s="30" t="s">
        <v>2</v>
      </c>
      <c r="C95" s="37"/>
      <c r="D95" s="24" t="n">
        <f aca="false">ROUND(ABS(淡江大學_p3!D67),0)</f>
        <v>0</v>
      </c>
      <c r="E95" s="24" t="n">
        <f aca="false">ROUND(ABS(淡江大學_p3!E67),0)</f>
        <v>0</v>
      </c>
      <c r="F95" s="24" t="n">
        <f aca="false">ROUND(ABS(淡江大學_p3!F67),0)</f>
        <v>0</v>
      </c>
      <c r="G95" s="24" t="n">
        <f aca="false">ROUND(ABS(淡江大學_p3!G67),0)</f>
        <v>0</v>
      </c>
      <c r="H95" s="24" t="n">
        <f aca="false">ROUND(ABS(淡江大學_p3!H67),0)</f>
        <v>0</v>
      </c>
      <c r="I95" s="24" t="n">
        <f aca="false">ROUND(ABS(淡江大學_p3!I67),0)</f>
        <v>0</v>
      </c>
      <c r="J95" s="24" t="n">
        <f aca="false">ROUND(ABS(淡江大學_p3!J67),0)</f>
        <v>0</v>
      </c>
      <c r="K95" s="24" t="n">
        <f aca="false">ROUND(ABS(淡江大學_p3!K67),0)</f>
        <v>0</v>
      </c>
      <c r="L95" s="24" t="n">
        <f aca="false">ROUND(ABS(淡江大學_p3!L67),0)</f>
        <v>0</v>
      </c>
      <c r="M95" s="24" t="n">
        <f aca="false">ROUND(ABS(淡江大學_p3!M67),0)</f>
        <v>0</v>
      </c>
      <c r="N95" s="24" t="n">
        <f aca="false">ROUND(ABS(淡江大學_p3!N67),0)</f>
        <v>0</v>
      </c>
      <c r="O95" s="24" t="n">
        <f aca="false">ROUND(ABS(淡江大學_p3!O67),0)</f>
        <v>0</v>
      </c>
      <c r="P95" s="24" t="n">
        <f aca="false">ROUND(ABS(淡江大學_p3!P67),0)</f>
        <v>0</v>
      </c>
      <c r="Q95" s="24" t="n">
        <f aca="false">ROUND(ABS(淡江大學_p3!Q67),0)</f>
        <v>0</v>
      </c>
      <c r="R95" s="24" t="n">
        <f aca="false">ROUND(ABS(淡江大學_p3!R67),0)</f>
        <v>0</v>
      </c>
      <c r="S95" s="24" t="n">
        <f aca="false">ROUND(ABS(淡江大學_p3!S67),0)</f>
        <v>0</v>
      </c>
      <c r="T95" s="24" t="n">
        <f aca="false">ROUND(ABS(淡江大學_p3!T67),0)</f>
        <v>0</v>
      </c>
      <c r="U95" s="24" t="n">
        <f aca="false">ROUND(ABS(淡江大學_p3!U67),0)</f>
        <v>0</v>
      </c>
      <c r="V95" s="24" t="n">
        <f aca="false">ROUND(ABS(淡江大學_p3!V67),0)</f>
        <v>0</v>
      </c>
      <c r="W95" s="24" t="n">
        <f aca="false">ROUND(ABS(淡江大學_p3!W67),0)</f>
        <v>0</v>
      </c>
      <c r="X95" s="2"/>
    </row>
    <row r="96" customFormat="false" ht="18.75" hidden="false" customHeight="true" outlineLevel="0" collapsed="false">
      <c r="A96" s="2"/>
      <c r="B96" s="30" t="s">
        <v>2</v>
      </c>
      <c r="C96" s="38"/>
      <c r="D96" s="24" t="n">
        <f aca="false">ROUND(ABS(淡江大學_p4_3!D67),0)</f>
        <v>946960</v>
      </c>
      <c r="E96" s="24" t="n">
        <f aca="false">ROUND(ABS(淡江大學_p4_3!E67),0)</f>
        <v>946960</v>
      </c>
      <c r="F96" s="24" t="n">
        <f aca="false">ROUND(ABS(淡江大學_p4_3!F67),0)</f>
        <v>946960</v>
      </c>
      <c r="G96" s="24" t="n">
        <f aca="false">ROUND(ABS(淡江大學_p4_3!G67),0)</f>
        <v>946960</v>
      </c>
      <c r="H96" s="24" t="n">
        <f aca="false">ROUND(ABS(淡江大學_p4_3!H67),0)</f>
        <v>946960</v>
      </c>
      <c r="I96" s="24" t="n">
        <f aca="false">ROUND(ABS(淡江大學_p4_3!I67),0)</f>
        <v>946960</v>
      </c>
      <c r="J96" s="24" t="n">
        <f aca="false">ROUND(ABS(淡江大學_p4_3!J67),0)</f>
        <v>946960</v>
      </c>
      <c r="K96" s="24" t="n">
        <f aca="false">ROUND(ABS(淡江大學_p4_3!K67),0)</f>
        <v>946960</v>
      </c>
      <c r="L96" s="24" t="n">
        <f aca="false">ROUND(ABS(淡江大學_p4_3!L67),0)</f>
        <v>946960</v>
      </c>
      <c r="M96" s="24" t="n">
        <f aca="false">ROUND(ABS(淡江大學_p4_3!M67),0)</f>
        <v>946960</v>
      </c>
      <c r="N96" s="24" t="n">
        <f aca="false">ROUND(ABS(淡江大學_p4_3!N67),0)</f>
        <v>946960</v>
      </c>
      <c r="O96" s="24" t="n">
        <f aca="false">ROUND(ABS(淡江大學_p4_3!O67),0)</f>
        <v>946960</v>
      </c>
      <c r="P96" s="24" t="n">
        <f aca="false">ROUND(ABS(淡江大學_p4_3!P67),0)</f>
        <v>946960</v>
      </c>
      <c r="Q96" s="24" t="n">
        <f aca="false">ROUND(ABS(淡江大學_p4_3!Q67),0)</f>
        <v>946960</v>
      </c>
      <c r="R96" s="24" t="n">
        <f aca="false">ROUND(ABS(淡江大學_p4_3!R67),0)</f>
        <v>946960</v>
      </c>
      <c r="S96" s="24" t="n">
        <f aca="false">ROUND(ABS(淡江大學_p4_3!S67),0)</f>
        <v>946960</v>
      </c>
      <c r="T96" s="24" t="n">
        <f aca="false">ROUND(ABS(淡江大學_p4_3!T67),0)</f>
        <v>946960</v>
      </c>
      <c r="U96" s="24" t="n">
        <f aca="false">ROUND(ABS(淡江大學_p4_3!U67),0)</f>
        <v>946960</v>
      </c>
      <c r="V96" s="24" t="n">
        <f aca="false">ROUND(ABS(淡江大學_p4_3!V67),0)</f>
        <v>946960</v>
      </c>
      <c r="W96" s="24" t="n">
        <f aca="false">ROUND(ABS(淡江大學_p4_3!W67),0)</f>
        <v>946960</v>
      </c>
      <c r="X96" s="2"/>
    </row>
    <row r="97" customFormat="false" ht="18.75" hidden="false" customHeight="true" outlineLevel="0" collapsed="false">
      <c r="A97" s="2"/>
      <c r="B97" s="30" t="s">
        <v>2</v>
      </c>
      <c r="C97" s="38"/>
      <c r="D97" s="24" t="n">
        <f aca="false">ROUND(ABS(淡江大學_p3_1!D67),0)</f>
        <v>1009260</v>
      </c>
      <c r="E97" s="24" t="n">
        <f aca="false">ROUND(ABS(淡江大學_p3_1!E67),0)</f>
        <v>1009260</v>
      </c>
      <c r="F97" s="24" t="n">
        <f aca="false">ROUND(ABS(淡江大學_p3_1!F67),0)</f>
        <v>1009260</v>
      </c>
      <c r="G97" s="24" t="n">
        <f aca="false">ROUND(ABS(淡江大學_p3_1!G67),0)</f>
        <v>1009260</v>
      </c>
      <c r="H97" s="24" t="n">
        <f aca="false">ROUND(ABS(淡江大學_p3_1!H67),0)</f>
        <v>1009260</v>
      </c>
      <c r="I97" s="24" t="n">
        <f aca="false">ROUND(ABS(淡江大學_p3_1!I67),0)</f>
        <v>1009260</v>
      </c>
      <c r="J97" s="24" t="n">
        <f aca="false">ROUND(ABS(淡江大學_p3_1!J67),0)</f>
        <v>1009260</v>
      </c>
      <c r="K97" s="24" t="n">
        <f aca="false">ROUND(ABS(淡江大學_p3_1!K67),0)</f>
        <v>1009260</v>
      </c>
      <c r="L97" s="24" t="n">
        <f aca="false">ROUND(ABS(淡江大學_p3_1!L67),0)</f>
        <v>1009260</v>
      </c>
      <c r="M97" s="24" t="n">
        <f aca="false">ROUND(ABS(淡江大學_p3_1!M67),0)</f>
        <v>1009260</v>
      </c>
      <c r="N97" s="24" t="n">
        <f aca="false">ROUND(ABS(淡江大學_p3_1!N67),0)</f>
        <v>1009260</v>
      </c>
      <c r="O97" s="24" t="n">
        <f aca="false">ROUND(ABS(淡江大學_p3_1!O67),0)</f>
        <v>1009260</v>
      </c>
      <c r="P97" s="24" t="n">
        <f aca="false">ROUND(ABS(淡江大學_p3_1!P67),0)</f>
        <v>1009260</v>
      </c>
      <c r="Q97" s="24" t="n">
        <f aca="false">ROUND(ABS(淡江大學_p3_1!Q67),0)</f>
        <v>1009260</v>
      </c>
      <c r="R97" s="24" t="n">
        <f aca="false">ROUND(ABS(淡江大學_p3_1!R67),0)</f>
        <v>1009260</v>
      </c>
      <c r="S97" s="24" t="n">
        <f aca="false">ROUND(ABS(淡江大學_p3_1!S67),0)</f>
        <v>1009260</v>
      </c>
      <c r="T97" s="24" t="n">
        <f aca="false">ROUND(ABS(淡江大學_p3_1!T67),0)</f>
        <v>1009260</v>
      </c>
      <c r="U97" s="24" t="n">
        <f aca="false">ROUND(ABS(淡江大學_p3_1!U67),0)</f>
        <v>1009260</v>
      </c>
      <c r="V97" s="24" t="n">
        <f aca="false">ROUND(ABS(淡江大學_p3_1!V67),0)</f>
        <v>1009260</v>
      </c>
      <c r="W97" s="24" t="n">
        <f aca="false">ROUND(ABS(淡江大學_p3_1!W67),0)</f>
        <v>1009260</v>
      </c>
      <c r="X97" s="2"/>
    </row>
    <row r="98" customFormat="false" ht="18.75" hidden="false" customHeight="true" outlineLevel="0" collapsed="false">
      <c r="A98" s="2"/>
      <c r="B98" s="30" t="s">
        <v>2</v>
      </c>
      <c r="C98" s="38"/>
      <c r="D98" s="24" t="n">
        <f aca="false">ROUND(ABS(淡江大學_p5!D67),0)</f>
        <v>884660</v>
      </c>
      <c r="E98" s="24" t="n">
        <f aca="false">ROUND(ABS(淡江大學_p5!E67),0)</f>
        <v>884660</v>
      </c>
      <c r="F98" s="24" t="n">
        <f aca="false">ROUND(ABS(淡江大學_p5!F67),0)</f>
        <v>884660</v>
      </c>
      <c r="G98" s="24" t="n">
        <f aca="false">ROUND(ABS(淡江大學_p5!G67),0)</f>
        <v>884660</v>
      </c>
      <c r="H98" s="24" t="n">
        <f aca="false">ROUND(ABS(淡江大學_p5!H67),0)</f>
        <v>884660</v>
      </c>
      <c r="I98" s="24" t="n">
        <f aca="false">ROUND(ABS(淡江大學_p5!I67),0)</f>
        <v>884660</v>
      </c>
      <c r="J98" s="24" t="n">
        <f aca="false">ROUND(ABS(淡江大學_p5!J67),0)</f>
        <v>884660</v>
      </c>
      <c r="K98" s="24" t="n">
        <f aca="false">ROUND(ABS(淡江大學_p5!K67),0)</f>
        <v>884660</v>
      </c>
      <c r="L98" s="24" t="n">
        <f aca="false">ROUND(ABS(淡江大學_p5!L67),0)</f>
        <v>884660</v>
      </c>
      <c r="M98" s="24" t="n">
        <f aca="false">ROUND(ABS(淡江大學_p5!M67),0)</f>
        <v>884660</v>
      </c>
      <c r="N98" s="24" t="n">
        <f aca="false">ROUND(ABS(淡江大學_p5!N67),0)</f>
        <v>884660</v>
      </c>
      <c r="O98" s="24" t="n">
        <f aca="false">ROUND(ABS(淡江大學_p5!O67),0)</f>
        <v>884660</v>
      </c>
      <c r="P98" s="24" t="n">
        <f aca="false">ROUND(ABS(淡江大學_p5!P67),0)</f>
        <v>884660</v>
      </c>
      <c r="Q98" s="24" t="n">
        <f aca="false">ROUND(ABS(淡江大學_p5!Q67),0)</f>
        <v>884660</v>
      </c>
      <c r="R98" s="24" t="n">
        <f aca="false">ROUND(ABS(淡江大學_p5!R67),0)</f>
        <v>884660</v>
      </c>
      <c r="S98" s="24" t="n">
        <f aca="false">ROUND(ABS(淡江大學_p5!S67),0)</f>
        <v>884660</v>
      </c>
      <c r="T98" s="24" t="n">
        <f aca="false">ROUND(ABS(淡江大學_p5!T67),0)</f>
        <v>884660</v>
      </c>
      <c r="U98" s="24" t="n">
        <f aca="false">ROUND(ABS(淡江大學_p5!U67),0)</f>
        <v>884660</v>
      </c>
      <c r="V98" s="24" t="n">
        <f aca="false">ROUND(ABS(淡江大學_p5!V67),0)</f>
        <v>884660</v>
      </c>
      <c r="W98" s="24" t="n">
        <f aca="false">ROUND(ABS(淡江大學_p5!W67),0)</f>
        <v>884660</v>
      </c>
      <c r="X98" s="2"/>
    </row>
    <row r="99" customFormat="false" ht="18.75" hidden="false" customHeight="true" outlineLevel="0" collapsed="false">
      <c r="A99" s="2"/>
      <c r="B99" s="30"/>
      <c r="C99" s="57" t="s">
        <v>17</v>
      </c>
      <c r="D99" s="58" t="n">
        <f aca="false">SUM(D90:D98)</f>
        <v>2840880</v>
      </c>
      <c r="E99" s="58" t="n">
        <f aca="false">SUM(E90:E98)</f>
        <v>2840880</v>
      </c>
      <c r="F99" s="58" t="n">
        <f aca="false">SUM(F90:F98)</f>
        <v>2840880</v>
      </c>
      <c r="G99" s="58" t="n">
        <f aca="false">SUM(G90:G98)</f>
        <v>2840880</v>
      </c>
      <c r="H99" s="58" t="n">
        <f aca="false">SUM(H90:H98)</f>
        <v>2840880</v>
      </c>
      <c r="I99" s="58" t="n">
        <f aca="false">SUM(I90:I98)</f>
        <v>2840880</v>
      </c>
      <c r="J99" s="58" t="n">
        <f aca="false">SUM(J90:J98)</f>
        <v>2840880</v>
      </c>
      <c r="K99" s="58" t="n">
        <f aca="false">SUM(K90:K98)</f>
        <v>2840880</v>
      </c>
      <c r="L99" s="58" t="n">
        <f aca="false">SUM(L90:L98)</f>
        <v>2840880</v>
      </c>
      <c r="M99" s="58" t="n">
        <f aca="false">SUM(M90:M98)</f>
        <v>2840880</v>
      </c>
      <c r="N99" s="58" t="n">
        <f aca="false">SUM(N90:N98)</f>
        <v>2840880</v>
      </c>
      <c r="O99" s="58" t="n">
        <f aca="false">SUM(O90:O98)</f>
        <v>2840880</v>
      </c>
      <c r="P99" s="58" t="n">
        <f aca="false">SUM(P90:P98)</f>
        <v>2840880</v>
      </c>
      <c r="Q99" s="58" t="n">
        <f aca="false">SUM(Q90:Q98)</f>
        <v>2840880</v>
      </c>
      <c r="R99" s="58" t="n">
        <f aca="false">SUM(R90:R98)</f>
        <v>2840880</v>
      </c>
      <c r="S99" s="58" t="n">
        <f aca="false">SUM(S90:S98)</f>
        <v>2840880</v>
      </c>
      <c r="T99" s="58" t="n">
        <f aca="false">SUM(T90:T98)</f>
        <v>2840880</v>
      </c>
      <c r="U99" s="58" t="n">
        <f aca="false">SUM(U90:U98)</f>
        <v>2840880</v>
      </c>
      <c r="V99" s="58" t="n">
        <f aca="false">SUM(V90:V98)</f>
        <v>2840880</v>
      </c>
      <c r="W99" s="58" t="n">
        <f aca="false">SUM(W90:W98)</f>
        <v>2840880</v>
      </c>
      <c r="X99" s="2"/>
    </row>
    <row r="100" customFormat="false" ht="18.75" hidden="false" customHeight="true" outlineLevel="0" collapsed="false">
      <c r="A100" s="2"/>
      <c r="B100" s="41"/>
      <c r="C100" s="59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2"/>
    </row>
    <row r="101" customFormat="false" ht="18.75" hidden="false" customHeight="true" outlineLevel="0" collapsed="false">
      <c r="A101" s="2"/>
      <c r="B101" s="44" t="s">
        <v>18</v>
      </c>
      <c r="C101" s="61" t="n">
        <v>0.8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2"/>
    </row>
    <row r="102" customFormat="false" ht="18.75" hidden="false" customHeight="true" outlineLevel="0" collapsed="false">
      <c r="A102" s="2"/>
      <c r="B102" s="44" t="s">
        <v>19</v>
      </c>
      <c r="C102" s="46" t="n">
        <v>15</v>
      </c>
      <c r="D102" s="62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15"/>
    </row>
    <row r="103" customFormat="false" ht="18.75" hidden="false" customHeight="true" outlineLevel="0" collapsed="false">
      <c r="A103" s="2"/>
      <c r="B103" s="48" t="s">
        <v>20</v>
      </c>
      <c r="C103" s="49" t="n">
        <v>0.9</v>
      </c>
      <c r="D103" s="48"/>
      <c r="E103" s="48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2"/>
    </row>
    <row r="104" customFormat="false" ht="18.75" hidden="false" customHeight="true" outlineLevel="0" collapsed="false">
      <c r="A104" s="2"/>
      <c r="B104" s="52" t="s">
        <v>21</v>
      </c>
      <c r="C104" s="48" t="n">
        <v>4</v>
      </c>
      <c r="D104" s="48"/>
      <c r="E104" s="48"/>
      <c r="F104" s="52"/>
      <c r="G104" s="52"/>
      <c r="H104" s="52"/>
      <c r="I104" s="52"/>
      <c r="J104" s="52"/>
      <c r="K104" s="52"/>
      <c r="L104" s="52"/>
      <c r="M104" s="48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64"/>
    </row>
    <row r="105" customFormat="false" ht="18.75" hidden="false" customHeight="true" outlineLevel="0" collapsed="false">
      <c r="A105" s="2"/>
      <c r="B105" s="14" t="s">
        <v>22</v>
      </c>
      <c r="C105" s="15" t="n">
        <v>0.03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56"/>
    </row>
    <row r="106" customFormat="false" ht="18.75" hidden="false" customHeight="true" outlineLevel="0" collapsed="false">
      <c r="A106" s="2"/>
      <c r="B106" s="65"/>
      <c r="C106" s="66" t="s">
        <v>0</v>
      </c>
      <c r="D106" s="66" t="n">
        <v>2020</v>
      </c>
      <c r="E106" s="66" t="n">
        <v>2021</v>
      </c>
      <c r="F106" s="66" t="n">
        <v>2022</v>
      </c>
      <c r="G106" s="66" t="n">
        <v>2023</v>
      </c>
      <c r="H106" s="66" t="n">
        <v>2024</v>
      </c>
      <c r="I106" s="66" t="n">
        <v>2025</v>
      </c>
      <c r="J106" s="66" t="n">
        <v>2026</v>
      </c>
      <c r="K106" s="66" t="n">
        <v>2027</v>
      </c>
      <c r="L106" s="66" t="n">
        <v>2028</v>
      </c>
      <c r="M106" s="66" t="n">
        <v>2029</v>
      </c>
      <c r="N106" s="66" t="n">
        <v>2030</v>
      </c>
      <c r="O106" s="66" t="n">
        <v>2031</v>
      </c>
      <c r="P106" s="66" t="n">
        <v>2032</v>
      </c>
      <c r="Q106" s="66" t="n">
        <v>2033</v>
      </c>
      <c r="R106" s="66" t="n">
        <v>2034</v>
      </c>
      <c r="S106" s="66" t="n">
        <v>2035</v>
      </c>
      <c r="T106" s="66" t="n">
        <v>2036</v>
      </c>
      <c r="U106" s="66" t="n">
        <v>2037</v>
      </c>
      <c r="V106" s="66" t="n">
        <v>2038</v>
      </c>
      <c r="W106" s="66" t="n">
        <v>2039</v>
      </c>
      <c r="X106" s="67"/>
    </row>
    <row r="107" customFormat="false" ht="18.75" hidden="false" customHeight="true" outlineLevel="0" collapsed="false">
      <c r="A107" s="2"/>
      <c r="B107" s="68" t="n">
        <v>0</v>
      </c>
      <c r="C107" s="69"/>
      <c r="D107" s="70"/>
      <c r="E107" s="70"/>
      <c r="F107" s="71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3"/>
      <c r="U107" s="72"/>
      <c r="V107" s="72"/>
      <c r="W107" s="72"/>
      <c r="X107" s="74"/>
    </row>
    <row r="108" customFormat="false" ht="18.75" hidden="false" customHeight="true" outlineLevel="0" collapsed="false">
      <c r="A108" s="2"/>
      <c r="B108" s="75" t="s">
        <v>23</v>
      </c>
      <c r="C108" s="76" t="n">
        <v>0</v>
      </c>
      <c r="D108" s="77" t="n">
        <v>1</v>
      </c>
      <c r="E108" s="77" t="n">
        <v>2</v>
      </c>
      <c r="F108" s="77" t="n">
        <v>3</v>
      </c>
      <c r="G108" s="77" t="n">
        <v>4</v>
      </c>
      <c r="H108" s="77" t="n">
        <v>5</v>
      </c>
      <c r="I108" s="77" t="n">
        <v>6</v>
      </c>
      <c r="J108" s="77" t="n">
        <v>7</v>
      </c>
      <c r="K108" s="77" t="n">
        <v>8</v>
      </c>
      <c r="L108" s="77" t="n">
        <v>9</v>
      </c>
      <c r="M108" s="77" t="n">
        <v>10</v>
      </c>
      <c r="N108" s="77" t="n">
        <v>11</v>
      </c>
      <c r="O108" s="77" t="n">
        <v>12</v>
      </c>
      <c r="P108" s="77" t="n">
        <v>13</v>
      </c>
      <c r="Q108" s="77" t="n">
        <v>14</v>
      </c>
      <c r="R108" s="77" t="n">
        <v>15</v>
      </c>
      <c r="S108" s="77" t="n">
        <v>16</v>
      </c>
      <c r="T108" s="78" t="n">
        <v>17</v>
      </c>
      <c r="U108" s="77" t="n">
        <v>18</v>
      </c>
      <c r="V108" s="77" t="n">
        <v>19</v>
      </c>
      <c r="W108" s="77" t="n">
        <v>20</v>
      </c>
      <c r="X108" s="79"/>
    </row>
    <row r="109" customFormat="false" ht="18.75" hidden="false" customHeight="true" outlineLevel="0" collapsed="false">
      <c r="A109" s="2"/>
      <c r="B109" s="80" t="s">
        <v>24</v>
      </c>
      <c r="C109" s="81" t="n">
        <v>0</v>
      </c>
      <c r="D109" s="82" t="n">
        <f aca="false">D15</f>
        <v>1624596</v>
      </c>
      <c r="E109" s="82" t="n">
        <f aca="false">E15</f>
        <v>1618032</v>
      </c>
      <c r="F109" s="82" t="n">
        <f aca="false">F15</f>
        <v>1611468</v>
      </c>
      <c r="G109" s="82" t="n">
        <f aca="false">G15</f>
        <v>1604904</v>
      </c>
      <c r="H109" s="82" t="n">
        <f aca="false">H15</f>
        <v>1598340</v>
      </c>
      <c r="I109" s="82" t="n">
        <f aca="false">I15</f>
        <v>1591776</v>
      </c>
      <c r="J109" s="82" t="n">
        <f aca="false">J15</f>
        <v>1585212</v>
      </c>
      <c r="K109" s="82" t="n">
        <f aca="false">K15</f>
        <v>1578648</v>
      </c>
      <c r="L109" s="82" t="n">
        <f aca="false">L15</f>
        <v>1572084</v>
      </c>
      <c r="M109" s="82" t="n">
        <f aca="false">M15</f>
        <v>1565520</v>
      </c>
      <c r="N109" s="82" t="n">
        <f aca="false">N15</f>
        <v>1558956</v>
      </c>
      <c r="O109" s="82" t="n">
        <f aca="false">O15</f>
        <v>1552392</v>
      </c>
      <c r="P109" s="82" t="n">
        <f aca="false">P15</f>
        <v>1545828</v>
      </c>
      <c r="Q109" s="82" t="n">
        <f aca="false">Q15</f>
        <v>1539264</v>
      </c>
      <c r="R109" s="82" t="n">
        <f aca="false">R15</f>
        <v>1532700</v>
      </c>
      <c r="S109" s="82" t="n">
        <f aca="false">S15</f>
        <v>1526136</v>
      </c>
      <c r="T109" s="82" t="n">
        <f aca="false">T15</f>
        <v>1519572</v>
      </c>
      <c r="U109" s="82" t="n">
        <f aca="false">U15</f>
        <v>1513008</v>
      </c>
      <c r="V109" s="82" t="n">
        <f aca="false">V15</f>
        <v>1506444</v>
      </c>
      <c r="W109" s="82" t="n">
        <f aca="false">W15</f>
        <v>1499880</v>
      </c>
      <c r="X109" s="83"/>
    </row>
    <row r="110" customFormat="false" ht="18.75" hidden="false" customHeight="true" outlineLevel="0" collapsed="false">
      <c r="A110" s="2"/>
      <c r="B110" s="84" t="s">
        <v>25</v>
      </c>
      <c r="C110" s="85" t="s">
        <v>26</v>
      </c>
      <c r="D110" s="86" t="n">
        <f aca="false">D27</f>
        <v>6498384</v>
      </c>
      <c r="E110" s="86" t="n">
        <f aca="false">E27</f>
        <v>6472128</v>
      </c>
      <c r="F110" s="86" t="n">
        <f aca="false">F27</f>
        <v>6445872</v>
      </c>
      <c r="G110" s="86" t="n">
        <f aca="false">G27</f>
        <v>6419616</v>
      </c>
      <c r="H110" s="86" t="n">
        <f aca="false">H27</f>
        <v>6393360</v>
      </c>
      <c r="I110" s="86" t="n">
        <f aca="false">I27</f>
        <v>6367104</v>
      </c>
      <c r="J110" s="86" t="n">
        <f aca="false">J27</f>
        <v>6340848</v>
      </c>
      <c r="K110" s="86" t="n">
        <f aca="false">K27</f>
        <v>6314592</v>
      </c>
      <c r="L110" s="86" t="n">
        <f aca="false">L27</f>
        <v>6288336</v>
      </c>
      <c r="M110" s="86" t="n">
        <f aca="false">M27</f>
        <v>6262080</v>
      </c>
      <c r="N110" s="86" t="n">
        <f aca="false">N27</f>
        <v>6235824</v>
      </c>
      <c r="O110" s="86" t="n">
        <f aca="false">O27</f>
        <v>6209568</v>
      </c>
      <c r="P110" s="86" t="n">
        <f aca="false">P27</f>
        <v>6183312</v>
      </c>
      <c r="Q110" s="86" t="n">
        <f aca="false">Q27</f>
        <v>6157056</v>
      </c>
      <c r="R110" s="86" t="n">
        <f aca="false">R27</f>
        <v>6130797</v>
      </c>
      <c r="S110" s="86" t="n">
        <f aca="false">S27</f>
        <v>6104541</v>
      </c>
      <c r="T110" s="86" t="n">
        <f aca="false">T27</f>
        <v>6078285</v>
      </c>
      <c r="U110" s="86" t="n">
        <f aca="false">U27</f>
        <v>6052029</v>
      </c>
      <c r="V110" s="86" t="n">
        <f aca="false">V27</f>
        <v>6025773</v>
      </c>
      <c r="W110" s="86" t="n">
        <f aca="false">W27</f>
        <v>5999517</v>
      </c>
      <c r="X110" s="79"/>
    </row>
    <row r="111" customFormat="false" ht="18.75" hidden="false" customHeight="true" outlineLevel="0" collapsed="false">
      <c r="A111" s="2"/>
      <c r="B111" s="87" t="s">
        <v>27</v>
      </c>
      <c r="C111" s="88" t="s">
        <v>26</v>
      </c>
      <c r="D111" s="89"/>
      <c r="E111" s="89"/>
      <c r="F111" s="89"/>
      <c r="G111" s="90" t="s">
        <v>26</v>
      </c>
      <c r="H111" s="90" t="s">
        <v>26</v>
      </c>
      <c r="I111" s="90" t="s">
        <v>26</v>
      </c>
      <c r="J111" s="90" t="s">
        <v>26</v>
      </c>
      <c r="K111" s="90" t="s">
        <v>26</v>
      </c>
      <c r="L111" s="90" t="s">
        <v>26</v>
      </c>
      <c r="M111" s="90" t="s">
        <v>26</v>
      </c>
      <c r="N111" s="90" t="s">
        <v>26</v>
      </c>
      <c r="O111" s="90" t="s">
        <v>26</v>
      </c>
      <c r="P111" s="90" t="s">
        <v>26</v>
      </c>
      <c r="Q111" s="90" t="s">
        <v>26</v>
      </c>
      <c r="R111" s="90" t="s">
        <v>26</v>
      </c>
      <c r="S111" s="90" t="s">
        <v>26</v>
      </c>
      <c r="T111" s="90" t="s">
        <v>26</v>
      </c>
      <c r="U111" s="90" t="s">
        <v>26</v>
      </c>
      <c r="V111" s="90" t="s">
        <v>26</v>
      </c>
      <c r="W111" s="90" t="s">
        <v>26</v>
      </c>
      <c r="X111" s="79"/>
    </row>
    <row r="112" customFormat="false" ht="18.75" hidden="false" customHeight="true" outlineLevel="0" collapsed="false">
      <c r="A112" s="2"/>
      <c r="B112" s="91" t="s">
        <v>28</v>
      </c>
      <c r="C112" s="92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83"/>
    </row>
    <row r="113" customFormat="false" ht="18.75" hidden="false" customHeight="true" outlineLevel="0" collapsed="false">
      <c r="A113" s="2"/>
      <c r="B113" s="94" t="s">
        <v>29</v>
      </c>
      <c r="C113" s="95" t="n">
        <f aca="false">-SUM(D99:W99)</f>
        <v>-56817600</v>
      </c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7"/>
    </row>
    <row r="114" customFormat="false" ht="18.75" hidden="false" customHeight="true" outlineLevel="0" collapsed="false">
      <c r="A114" s="2"/>
      <c r="B114" s="94" t="s">
        <v>30</v>
      </c>
      <c r="C114" s="88" t="s">
        <v>26</v>
      </c>
      <c r="D114" s="98" t="n">
        <f aca="false">-D39</f>
        <v>-2611809</v>
      </c>
      <c r="E114" s="96" t="n">
        <f aca="false">-E39</f>
        <v>-2611809</v>
      </c>
      <c r="F114" s="96" t="n">
        <f aca="false">-F39</f>
        <v>-2611809</v>
      </c>
      <c r="G114" s="96" t="n">
        <f aca="false">-G39</f>
        <v>-2611809</v>
      </c>
      <c r="H114" s="96" t="n">
        <f aca="false">-H39</f>
        <v>-2611809</v>
      </c>
      <c r="I114" s="96" t="n">
        <f aca="false">-I39</f>
        <v>-2611809</v>
      </c>
      <c r="J114" s="96" t="n">
        <f aca="false">-J39</f>
        <v>-2611809</v>
      </c>
      <c r="K114" s="96" t="n">
        <f aca="false">-K39</f>
        <v>-2611809</v>
      </c>
      <c r="L114" s="96" t="n">
        <f aca="false">-L39</f>
        <v>-2611809</v>
      </c>
      <c r="M114" s="96" t="n">
        <f aca="false">-M39</f>
        <v>-2611809</v>
      </c>
      <c r="N114" s="96" t="n">
        <f aca="false">-N39</f>
        <v>-2611809</v>
      </c>
      <c r="O114" s="96" t="n">
        <f aca="false">-O39</f>
        <v>-2611809</v>
      </c>
      <c r="P114" s="96" t="n">
        <f aca="false">-P39</f>
        <v>-2611809</v>
      </c>
      <c r="Q114" s="96" t="n">
        <f aca="false">-Q39</f>
        <v>-2611809</v>
      </c>
      <c r="R114" s="96" t="n">
        <f aca="false">-R39</f>
        <v>-2611809</v>
      </c>
      <c r="S114" s="96" t="n">
        <f aca="false">-S39</f>
        <v>-2611809</v>
      </c>
      <c r="T114" s="96" t="n">
        <f aca="false">-T39</f>
        <v>-2611809</v>
      </c>
      <c r="U114" s="96" t="n">
        <f aca="false">-U39</f>
        <v>-2611809</v>
      </c>
      <c r="V114" s="96" t="n">
        <f aca="false">-V39</f>
        <v>-2611809</v>
      </c>
      <c r="W114" s="96" t="n">
        <f aca="false">-W39</f>
        <v>-2611809</v>
      </c>
      <c r="X114" s="99"/>
    </row>
    <row r="115" customFormat="false" ht="18.75" hidden="false" customHeight="true" outlineLevel="0" collapsed="false">
      <c r="A115" s="2"/>
      <c r="B115" s="94" t="s">
        <v>31</v>
      </c>
      <c r="C115" s="88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100"/>
    </row>
    <row r="116" customFormat="false" ht="18.75" hidden="false" customHeight="true" outlineLevel="0" collapsed="false">
      <c r="A116" s="2"/>
      <c r="B116" s="94" t="s">
        <v>32</v>
      </c>
      <c r="C116" s="88" t="s">
        <v>26</v>
      </c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101"/>
    </row>
    <row r="117" customFormat="false" ht="18.75" hidden="false" customHeight="true" outlineLevel="0" collapsed="false">
      <c r="A117" s="2"/>
      <c r="B117" s="94" t="s">
        <v>33</v>
      </c>
      <c r="C117" s="88" t="s">
        <v>26</v>
      </c>
      <c r="D117" s="96" t="n">
        <f aca="false">-D51</f>
        <v>-1569960</v>
      </c>
      <c r="E117" s="96" t="n">
        <f aca="false">-E51</f>
        <v>-1569960</v>
      </c>
      <c r="F117" s="96" t="n">
        <f aca="false">-F51</f>
        <v>-1569960</v>
      </c>
      <c r="G117" s="96" t="n">
        <f aca="false">-G51</f>
        <v>-1569960</v>
      </c>
      <c r="H117" s="96" t="n">
        <f aca="false">-H51</f>
        <v>-1569960</v>
      </c>
      <c r="I117" s="96" t="n">
        <f aca="false">-I51</f>
        <v>-1569960</v>
      </c>
      <c r="J117" s="96" t="n">
        <f aca="false">-J51</f>
        <v>-1569960</v>
      </c>
      <c r="K117" s="96" t="n">
        <f aca="false">-K51</f>
        <v>-1569960</v>
      </c>
      <c r="L117" s="96" t="n">
        <f aca="false">-L51</f>
        <v>-1569960</v>
      </c>
      <c r="M117" s="96" t="n">
        <f aca="false">-M51</f>
        <v>-1569960</v>
      </c>
      <c r="N117" s="96" t="n">
        <f aca="false">-N51</f>
        <v>-1569960</v>
      </c>
      <c r="O117" s="96" t="n">
        <f aca="false">-O51</f>
        <v>-1569960</v>
      </c>
      <c r="P117" s="96" t="n">
        <f aca="false">-P51</f>
        <v>-1569960</v>
      </c>
      <c r="Q117" s="96" t="n">
        <f aca="false">-Q51</f>
        <v>-1569960</v>
      </c>
      <c r="R117" s="96" t="n">
        <f aca="false">-R51</f>
        <v>-1569960</v>
      </c>
      <c r="S117" s="96" t="n">
        <f aca="false">-S51</f>
        <v>-1569960</v>
      </c>
      <c r="T117" s="96" t="n">
        <f aca="false">-T51</f>
        <v>-1569960</v>
      </c>
      <c r="U117" s="96" t="n">
        <f aca="false">-U51</f>
        <v>-1569960</v>
      </c>
      <c r="V117" s="96" t="n">
        <f aca="false">-V51</f>
        <v>-1569960</v>
      </c>
      <c r="W117" s="96" t="n">
        <f aca="false">-W51</f>
        <v>-1569960</v>
      </c>
      <c r="X117" s="99"/>
    </row>
    <row r="118" customFormat="false" ht="18.75" hidden="false" customHeight="true" outlineLevel="0" collapsed="false">
      <c r="A118" s="2"/>
      <c r="B118" s="94" t="s">
        <v>34</v>
      </c>
      <c r="C118" s="88" t="s">
        <v>26</v>
      </c>
      <c r="D118" s="96" t="n">
        <f aca="false">-D63</f>
        <v>-333618</v>
      </c>
      <c r="E118" s="96" t="n">
        <f aca="false">-E63</f>
        <v>-333618</v>
      </c>
      <c r="F118" s="96" t="n">
        <f aca="false">-F63</f>
        <v>-333618</v>
      </c>
      <c r="G118" s="96" t="n">
        <f aca="false">-G63</f>
        <v>-333618</v>
      </c>
      <c r="H118" s="96" t="n">
        <f aca="false">-H63</f>
        <v>-333618</v>
      </c>
      <c r="I118" s="96" t="n">
        <f aca="false">-I63</f>
        <v>-333618</v>
      </c>
      <c r="J118" s="96" t="n">
        <f aca="false">-J63</f>
        <v>-333618</v>
      </c>
      <c r="K118" s="96" t="n">
        <f aca="false">-K63</f>
        <v>-333618</v>
      </c>
      <c r="L118" s="96" t="n">
        <f aca="false">-L63</f>
        <v>-333618</v>
      </c>
      <c r="M118" s="96" t="n">
        <f aca="false">-M63</f>
        <v>-333618</v>
      </c>
      <c r="N118" s="96" t="n">
        <f aca="false">-N63</f>
        <v>-333618</v>
      </c>
      <c r="O118" s="96" t="n">
        <f aca="false">-O63</f>
        <v>-333618</v>
      </c>
      <c r="P118" s="96" t="n">
        <f aca="false">-P63</f>
        <v>-333618</v>
      </c>
      <c r="Q118" s="96" t="n">
        <f aca="false">-Q63</f>
        <v>-333618</v>
      </c>
      <c r="R118" s="96" t="n">
        <f aca="false">-R63</f>
        <v>-333618</v>
      </c>
      <c r="S118" s="96" t="n">
        <f aca="false">-S63</f>
        <v>-333618</v>
      </c>
      <c r="T118" s="96" t="n">
        <f aca="false">-T63</f>
        <v>-333618</v>
      </c>
      <c r="U118" s="96" t="n">
        <f aca="false">-U63</f>
        <v>-333618</v>
      </c>
      <c r="V118" s="96" t="n">
        <f aca="false">-V63</f>
        <v>-333618</v>
      </c>
      <c r="W118" s="96" t="n">
        <f aca="false">-W63</f>
        <v>-333618</v>
      </c>
      <c r="X118" s="99"/>
    </row>
    <row r="119" customFormat="false" ht="18.75" hidden="false" customHeight="true" outlineLevel="0" collapsed="false">
      <c r="A119" s="2"/>
      <c r="B119" s="94" t="s">
        <v>35</v>
      </c>
      <c r="C119" s="88"/>
      <c r="D119" s="96" t="n">
        <f aca="false">-D75</f>
        <v>-392490</v>
      </c>
      <c r="E119" s="96" t="n">
        <f aca="false">-E75</f>
        <v>-392490</v>
      </c>
      <c r="F119" s="96" t="n">
        <f aca="false">-F75</f>
        <v>-392490</v>
      </c>
      <c r="G119" s="96" t="n">
        <f aca="false">-G75</f>
        <v>-392490</v>
      </c>
      <c r="H119" s="96" t="n">
        <f aca="false">-H75</f>
        <v>-392490</v>
      </c>
      <c r="I119" s="96" t="n">
        <f aca="false">-I75</f>
        <v>-392490</v>
      </c>
      <c r="J119" s="96" t="n">
        <f aca="false">-J75</f>
        <v>-392490</v>
      </c>
      <c r="K119" s="96" t="n">
        <f aca="false">-K75</f>
        <v>-392490</v>
      </c>
      <c r="L119" s="96" t="n">
        <f aca="false">-L75</f>
        <v>-392490</v>
      </c>
      <c r="M119" s="96" t="n">
        <f aca="false">-M75</f>
        <v>-392490</v>
      </c>
      <c r="N119" s="96" t="n">
        <f aca="false">-N75</f>
        <v>-0</v>
      </c>
      <c r="O119" s="96" t="n">
        <f aca="false">-O75</f>
        <v>-0</v>
      </c>
      <c r="P119" s="96" t="n">
        <f aca="false">-P75</f>
        <v>-0</v>
      </c>
      <c r="Q119" s="96" t="n">
        <f aca="false">-Q75</f>
        <v>-0</v>
      </c>
      <c r="R119" s="96" t="n">
        <f aca="false">-R75</f>
        <v>-0</v>
      </c>
      <c r="S119" s="96" t="n">
        <f aca="false">-S75</f>
        <v>-0</v>
      </c>
      <c r="T119" s="96" t="n">
        <f aca="false">-T75</f>
        <v>-0</v>
      </c>
      <c r="U119" s="96" t="n">
        <f aca="false">-U75</f>
        <v>-0</v>
      </c>
      <c r="V119" s="96" t="n">
        <f aca="false">-V75</f>
        <v>-0</v>
      </c>
      <c r="W119" s="96" t="n">
        <f aca="false">-W75</f>
        <v>-0</v>
      </c>
      <c r="X119" s="56"/>
    </row>
    <row r="120" customFormat="false" ht="18.75" hidden="false" customHeight="true" outlineLevel="0" collapsed="false">
      <c r="A120" s="2"/>
      <c r="B120" s="94" t="s">
        <v>36</v>
      </c>
      <c r="C120" s="102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56"/>
    </row>
    <row r="121" customFormat="false" ht="18.75" hidden="false" customHeight="true" outlineLevel="0" collapsed="false">
      <c r="A121" s="2"/>
      <c r="B121" s="94" t="s">
        <v>37</v>
      </c>
      <c r="C121" s="102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56"/>
    </row>
    <row r="122" customFormat="false" ht="18.75" hidden="false" customHeight="true" outlineLevel="0" collapsed="false">
      <c r="A122" s="2"/>
      <c r="B122" s="103" t="s">
        <v>38</v>
      </c>
      <c r="C122" s="102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79"/>
    </row>
    <row r="123" customFormat="false" ht="18.75" hidden="false" customHeight="true" outlineLevel="0" collapsed="false">
      <c r="A123" s="2"/>
      <c r="B123" s="103" t="s">
        <v>39</v>
      </c>
      <c r="C123" s="102"/>
      <c r="D123" s="96" t="n">
        <f aca="false">-D146</f>
        <v>522799.08</v>
      </c>
      <c r="E123" s="96" t="n">
        <f aca="false">-E146</f>
        <v>509868.648</v>
      </c>
      <c r="F123" s="96" t="n">
        <f aca="false">-F146</f>
        <v>496938.216</v>
      </c>
      <c r="G123" s="96" t="n">
        <f aca="false">-G146</f>
        <v>484007.784</v>
      </c>
      <c r="H123" s="96" t="n">
        <f aca="false">-H146</f>
        <v>471077.352</v>
      </c>
      <c r="I123" s="96" t="n">
        <f aca="false">-I146</f>
        <v>458146.92</v>
      </c>
      <c r="J123" s="96" t="n">
        <f aca="false">-J146</f>
        <v>445216.488</v>
      </c>
      <c r="K123" s="96" t="n">
        <f aca="false">-K146</f>
        <v>432286.056</v>
      </c>
      <c r="L123" s="96" t="n">
        <f aca="false">-L146</f>
        <v>419355.624</v>
      </c>
      <c r="M123" s="96" t="n">
        <f aca="false">-M146</f>
        <v>406425.192</v>
      </c>
      <c r="N123" s="96" t="n">
        <f aca="false">-N146</f>
        <v>314996.76</v>
      </c>
      <c r="O123" s="96" t="n">
        <f aca="false">-O146</f>
        <v>302066.328</v>
      </c>
      <c r="P123" s="96" t="n">
        <f aca="false">-P146</f>
        <v>289135.896</v>
      </c>
      <c r="Q123" s="96" t="n">
        <f aca="false">-Q146</f>
        <v>276205.464</v>
      </c>
      <c r="R123" s="96" t="n">
        <f aca="false">-R146</f>
        <v>263275.632</v>
      </c>
      <c r="S123" s="96" t="n">
        <f aca="false">-S146</f>
        <v>250345.2</v>
      </c>
      <c r="T123" s="96" t="n">
        <f aca="false">-T146</f>
        <v>255596.4</v>
      </c>
      <c r="U123" s="96" t="n">
        <f aca="false">-U146</f>
        <v>260847.6</v>
      </c>
      <c r="V123" s="96" t="n">
        <f aca="false">-V146</f>
        <v>266098.8</v>
      </c>
      <c r="W123" s="96" t="n">
        <f aca="false">-W146</f>
        <v>271350</v>
      </c>
      <c r="X123" s="79"/>
    </row>
    <row r="124" customFormat="false" ht="18.75" hidden="false" customHeight="true" outlineLevel="0" collapsed="false">
      <c r="A124" s="2"/>
      <c r="B124" s="104" t="s">
        <v>40</v>
      </c>
      <c r="C124" s="105" t="n">
        <f aca="false">C113</f>
        <v>-56817600</v>
      </c>
      <c r="D124" s="106" t="n">
        <f aca="false">SUM(D110:D123)</f>
        <v>2113306.08</v>
      </c>
      <c r="E124" s="106" t="n">
        <f aca="false">SUM(E110:E123)</f>
        <v>2074119.648</v>
      </c>
      <c r="F124" s="106" t="n">
        <f aca="false">SUM(F110:F123)</f>
        <v>2034933.216</v>
      </c>
      <c r="G124" s="106" t="n">
        <f aca="false">SUM(G110:G123)</f>
        <v>1995746.784</v>
      </c>
      <c r="H124" s="106" t="n">
        <f aca="false">SUM(H110:H123)</f>
        <v>1956560.352</v>
      </c>
      <c r="I124" s="106" t="n">
        <f aca="false">SUM(I110:I123)</f>
        <v>1917373.92</v>
      </c>
      <c r="J124" s="106" t="n">
        <f aca="false">SUM(J110:J123)</f>
        <v>1878187.488</v>
      </c>
      <c r="K124" s="106" t="n">
        <f aca="false">SUM(K110:K123)</f>
        <v>1839001.056</v>
      </c>
      <c r="L124" s="106" t="n">
        <f aca="false">SUM(L110:L123)</f>
        <v>1799814.624</v>
      </c>
      <c r="M124" s="106" t="n">
        <f aca="false">SUM(M110:M123)</f>
        <v>1760628.192</v>
      </c>
      <c r="N124" s="106" t="n">
        <f aca="false">SUM(N110:N123)</f>
        <v>2035433.76</v>
      </c>
      <c r="O124" s="106" t="n">
        <f aca="false">SUM(O110:O123)</f>
        <v>1996247.328</v>
      </c>
      <c r="P124" s="106" t="n">
        <f aca="false">SUM(P110:P123)</f>
        <v>1957060.896</v>
      </c>
      <c r="Q124" s="106" t="n">
        <f aca="false">SUM(Q110:Q123)</f>
        <v>1917874.464</v>
      </c>
      <c r="R124" s="106" t="n">
        <f aca="false">SUM(R110:R123)</f>
        <v>1878685.632</v>
      </c>
      <c r="S124" s="106" t="n">
        <f aca="false">SUM(S110:S123)</f>
        <v>1839499.2</v>
      </c>
      <c r="T124" s="106" t="n">
        <f aca="false">SUM(T110:T123)</f>
        <v>1818494.4</v>
      </c>
      <c r="U124" s="106" t="n">
        <f aca="false">SUM(U110:U123)</f>
        <v>1797489.6</v>
      </c>
      <c r="V124" s="106" t="n">
        <f aca="false">SUM(V110:V123)</f>
        <v>1776484.8</v>
      </c>
      <c r="W124" s="106" t="n">
        <f aca="false">SUM(W110:W123)</f>
        <v>1755480</v>
      </c>
      <c r="X124" s="74"/>
    </row>
    <row r="125" customFormat="false" ht="18.75" hidden="false" customHeight="true" outlineLevel="0" collapsed="false">
      <c r="A125" s="2"/>
      <c r="B125" s="107" t="s">
        <v>41</v>
      </c>
      <c r="C125" s="61"/>
      <c r="D125" s="108" t="n">
        <f aca="false">C55+D55</f>
        <v>37941</v>
      </c>
      <c r="E125" s="108" t="n">
        <f aca="false">D56+E55</f>
        <v>75882</v>
      </c>
      <c r="F125" s="108" t="n">
        <f aca="false">E56+F55</f>
        <v>75882</v>
      </c>
      <c r="G125" s="108" t="n">
        <f aca="false">F56+G55</f>
        <v>75882</v>
      </c>
      <c r="H125" s="108" t="n">
        <f aca="false">G56+H55</f>
        <v>75882</v>
      </c>
      <c r="I125" s="108" t="n">
        <f aca="false">H56+I55</f>
        <v>75882</v>
      </c>
      <c r="J125" s="108" t="n">
        <f aca="false">I56+J55</f>
        <v>75882</v>
      </c>
      <c r="K125" s="108" t="n">
        <f aca="false">J56+K55</f>
        <v>75882</v>
      </c>
      <c r="L125" s="108" t="n">
        <f aca="false">K56+L55</f>
        <v>75882</v>
      </c>
      <c r="M125" s="108" t="n">
        <f aca="false">L56+M55</f>
        <v>75882</v>
      </c>
      <c r="N125" s="108" t="n">
        <f aca="false">M56+N55</f>
        <v>75882</v>
      </c>
      <c r="O125" s="108" t="n">
        <f aca="false">N56+O55</f>
        <v>75882</v>
      </c>
      <c r="P125" s="108" t="n">
        <f aca="false">O56+P55</f>
        <v>75882</v>
      </c>
      <c r="Q125" s="108" t="n">
        <f aca="false">P56+Q55</f>
        <v>75882</v>
      </c>
      <c r="R125" s="108" t="n">
        <f aca="false">Q56+R55</f>
        <v>75882</v>
      </c>
      <c r="S125" s="108" t="n">
        <f aca="false">R56+S55</f>
        <v>75882</v>
      </c>
      <c r="T125" s="108" t="n">
        <f aca="false">S56+T55</f>
        <v>75882</v>
      </c>
      <c r="U125" s="108" t="n">
        <f aca="false">T56+U55</f>
        <v>75882</v>
      </c>
      <c r="V125" s="108" t="n">
        <f aca="false">U56+V55</f>
        <v>75882</v>
      </c>
      <c r="W125" s="108" t="n">
        <f aca="false">V56+W55</f>
        <v>75882</v>
      </c>
      <c r="X125" s="99"/>
    </row>
    <row r="126" customFormat="false" ht="18.75" hidden="false" customHeight="true" outlineLevel="0" collapsed="false">
      <c r="A126" s="2"/>
      <c r="B126" s="109" t="s">
        <v>42</v>
      </c>
      <c r="C126" s="110"/>
      <c r="D126" s="111" t="str">
        <f aca="false">IF((D56)&gt;0,"回收","未回收")</f>
        <v>回收</v>
      </c>
      <c r="E126" s="112" t="str">
        <f aca="false">IF((E56)&gt;0,"回收","未回收")</f>
        <v>回收</v>
      </c>
      <c r="F126" s="112" t="str">
        <f aca="false">IF((F56)&gt;0,"回收","未回收")</f>
        <v>回收</v>
      </c>
      <c r="G126" s="112" t="str">
        <f aca="false">IF((G56)&gt;0,"回收","未回收")</f>
        <v>回收</v>
      </c>
      <c r="H126" s="112" t="str">
        <f aca="false">IF((H56)&gt;0,"回收","未回收")</f>
        <v>回收</v>
      </c>
      <c r="I126" s="112" t="str">
        <f aca="false">IF((I56)&gt;0,"回收","未回收")</f>
        <v>回收</v>
      </c>
      <c r="J126" s="112" t="str">
        <f aca="false">IF((J56)&gt;0,"回收","未回收")</f>
        <v>回收</v>
      </c>
      <c r="K126" s="112" t="str">
        <f aca="false">IF((K56)&gt;0,"回收","未回收")</f>
        <v>回收</v>
      </c>
      <c r="L126" s="112" t="str">
        <f aca="false">IF((L56)&gt;0,"回收","未回收")</f>
        <v>回收</v>
      </c>
      <c r="M126" s="112" t="str">
        <f aca="false">IF((M56)&gt;0,"回收","未回收")</f>
        <v>回收</v>
      </c>
      <c r="N126" s="112" t="str">
        <f aca="false">IF((N56)&gt;0,"回收","未回收")</f>
        <v>回收</v>
      </c>
      <c r="O126" s="112" t="str">
        <f aca="false">IF((O56)&gt;0,"回收","未回收")</f>
        <v>回收</v>
      </c>
      <c r="P126" s="112" t="str">
        <f aca="false">IF((P56)&gt;0,"回收","未回收")</f>
        <v>回收</v>
      </c>
      <c r="Q126" s="112" t="str">
        <f aca="false">IF((Q56)&gt;0,"回收","未回收")</f>
        <v>回收</v>
      </c>
      <c r="R126" s="112" t="str">
        <f aca="false">IF((R56)&gt;0,"回收","未回收")</f>
        <v>回收</v>
      </c>
      <c r="S126" s="112" t="str">
        <f aca="false">IF((S56)&gt;0,"回收","未回收")</f>
        <v>回收</v>
      </c>
      <c r="T126" s="112" t="str">
        <f aca="false">IF((T56)&gt;0,"回收","未回收")</f>
        <v>回收</v>
      </c>
      <c r="U126" s="112" t="str">
        <f aca="false">IF((U56)&gt;0,"回收","未回收")</f>
        <v>回收</v>
      </c>
      <c r="V126" s="112" t="str">
        <f aca="false">IF((V56)&gt;0,"回收","未回收")</f>
        <v>回收</v>
      </c>
      <c r="W126" s="112" t="str">
        <f aca="false">IF((W56)&gt;0,"回收","未回收")</f>
        <v>回收</v>
      </c>
      <c r="X126" s="15"/>
    </row>
    <row r="127" customFormat="false" ht="18.75" hidden="false" customHeight="true" outlineLevel="0" collapsed="false">
      <c r="A127" s="2"/>
      <c r="B127" s="113" t="s">
        <v>43</v>
      </c>
      <c r="C127" s="114" t="n">
        <f aca="false">IRR(C124:W124)</f>
        <v>-0.0359690905178306</v>
      </c>
      <c r="D127" s="115"/>
      <c r="E127" s="115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99"/>
    </row>
    <row r="128" customFormat="false" ht="18.75" hidden="false" customHeight="true" outlineLevel="0" collapsed="false">
      <c r="A128" s="2"/>
      <c r="B128" s="116"/>
      <c r="C128" s="115"/>
      <c r="D128" s="115"/>
      <c r="E128" s="115"/>
      <c r="F128" s="116"/>
      <c r="G128" s="116"/>
      <c r="H128" s="116"/>
      <c r="I128" s="116"/>
      <c r="J128" s="116"/>
      <c r="K128" s="116"/>
      <c r="L128" s="116"/>
      <c r="M128" s="115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64"/>
    </row>
    <row r="129" customFormat="false" ht="18.75" hidden="false" customHeight="true" outlineLevel="0" collapsed="false">
      <c r="A129" s="2"/>
      <c r="B129" s="65"/>
      <c r="C129" s="66" t="s">
        <v>0</v>
      </c>
      <c r="D129" s="66" t="n">
        <v>2020</v>
      </c>
      <c r="E129" s="66" t="n">
        <v>2021</v>
      </c>
      <c r="F129" s="66" t="n">
        <v>2022</v>
      </c>
      <c r="G129" s="66" t="n">
        <v>2023</v>
      </c>
      <c r="H129" s="66" t="n">
        <v>2024</v>
      </c>
      <c r="I129" s="66" t="n">
        <v>2025</v>
      </c>
      <c r="J129" s="66" t="n">
        <v>2026</v>
      </c>
      <c r="K129" s="66" t="n">
        <v>2027</v>
      </c>
      <c r="L129" s="66" t="n">
        <v>2028</v>
      </c>
      <c r="M129" s="66" t="n">
        <v>2029</v>
      </c>
      <c r="N129" s="66" t="n">
        <v>2030</v>
      </c>
      <c r="O129" s="66" t="n">
        <v>2031</v>
      </c>
      <c r="P129" s="66" t="n">
        <v>2032</v>
      </c>
      <c r="Q129" s="66" t="n">
        <v>2033</v>
      </c>
      <c r="R129" s="66" t="n">
        <v>2034</v>
      </c>
      <c r="S129" s="66" t="n">
        <v>2035</v>
      </c>
      <c r="T129" s="66" t="n">
        <v>2036</v>
      </c>
      <c r="U129" s="66" t="n">
        <v>2037</v>
      </c>
      <c r="V129" s="66" t="n">
        <v>2038</v>
      </c>
      <c r="W129" s="66" t="n">
        <v>2039</v>
      </c>
      <c r="X129" s="56"/>
    </row>
    <row r="130" customFormat="false" ht="18.75" hidden="false" customHeight="true" outlineLevel="0" collapsed="false">
      <c r="A130" s="117"/>
      <c r="B130" s="68" t="n">
        <v>0</v>
      </c>
      <c r="C130" s="69"/>
      <c r="D130" s="70"/>
      <c r="E130" s="70"/>
      <c r="F130" s="71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118" t="s">
        <v>44</v>
      </c>
      <c r="U130" s="72"/>
      <c r="V130" s="72"/>
      <c r="W130" s="72"/>
      <c r="X130" s="67"/>
    </row>
    <row r="131" customFormat="false" ht="18.75" hidden="false" customHeight="true" outlineLevel="0" collapsed="false">
      <c r="A131" s="117"/>
      <c r="B131" s="75" t="s">
        <v>23</v>
      </c>
      <c r="C131" s="76" t="n">
        <v>0</v>
      </c>
      <c r="D131" s="77" t="n">
        <v>1</v>
      </c>
      <c r="E131" s="77" t="n">
        <v>2</v>
      </c>
      <c r="F131" s="77" t="n">
        <v>3</v>
      </c>
      <c r="G131" s="77" t="n">
        <v>4</v>
      </c>
      <c r="H131" s="77" t="n">
        <v>5</v>
      </c>
      <c r="I131" s="77" t="n">
        <v>6</v>
      </c>
      <c r="J131" s="77" t="n">
        <v>7</v>
      </c>
      <c r="K131" s="77" t="n">
        <v>8</v>
      </c>
      <c r="L131" s="77" t="n">
        <v>9</v>
      </c>
      <c r="M131" s="77" t="n">
        <v>10</v>
      </c>
      <c r="N131" s="77" t="n">
        <v>11</v>
      </c>
      <c r="O131" s="77" t="n">
        <v>12</v>
      </c>
      <c r="P131" s="77" t="n">
        <v>13</v>
      </c>
      <c r="Q131" s="77" t="n">
        <v>14</v>
      </c>
      <c r="R131" s="77" t="n">
        <v>15</v>
      </c>
      <c r="S131" s="77" t="n">
        <v>16</v>
      </c>
      <c r="T131" s="119" t="n">
        <v>17</v>
      </c>
      <c r="U131" s="77" t="n">
        <v>18</v>
      </c>
      <c r="V131" s="77" t="n">
        <v>19</v>
      </c>
      <c r="W131" s="77" t="n">
        <v>20</v>
      </c>
      <c r="X131" s="74"/>
    </row>
    <row r="132" customFormat="false" ht="18.75" hidden="false" customHeight="true" outlineLevel="0" collapsed="false">
      <c r="A132" s="117"/>
      <c r="B132" s="80" t="s">
        <v>24</v>
      </c>
      <c r="C132" s="81" t="n">
        <v>0</v>
      </c>
      <c r="D132" s="82" t="n">
        <f aca="false">D15</f>
        <v>1624596</v>
      </c>
      <c r="E132" s="82" t="n">
        <f aca="false">E15</f>
        <v>1618032</v>
      </c>
      <c r="F132" s="82" t="n">
        <f aca="false">F15</f>
        <v>1611468</v>
      </c>
      <c r="G132" s="82" t="n">
        <f aca="false">G15</f>
        <v>1604904</v>
      </c>
      <c r="H132" s="82" t="n">
        <f aca="false">H15</f>
        <v>1598340</v>
      </c>
      <c r="I132" s="82" t="n">
        <f aca="false">I15</f>
        <v>1591776</v>
      </c>
      <c r="J132" s="82" t="n">
        <f aca="false">J15</f>
        <v>1585212</v>
      </c>
      <c r="K132" s="82" t="n">
        <f aca="false">K15</f>
        <v>1578648</v>
      </c>
      <c r="L132" s="82" t="n">
        <f aca="false">L15</f>
        <v>1572084</v>
      </c>
      <c r="M132" s="82" t="n">
        <f aca="false">M15</f>
        <v>1565520</v>
      </c>
      <c r="N132" s="82" t="n">
        <f aca="false">N15</f>
        <v>1558956</v>
      </c>
      <c r="O132" s="82" t="n">
        <f aca="false">O15</f>
        <v>1552392</v>
      </c>
      <c r="P132" s="82" t="n">
        <f aca="false">P15</f>
        <v>1545828</v>
      </c>
      <c r="Q132" s="82" t="n">
        <f aca="false">Q15</f>
        <v>1539264</v>
      </c>
      <c r="R132" s="82" t="n">
        <f aca="false">R15</f>
        <v>1532700</v>
      </c>
      <c r="S132" s="82" t="n">
        <f aca="false">S15</f>
        <v>1526136</v>
      </c>
      <c r="T132" s="82" t="n">
        <f aca="false">T15</f>
        <v>1519572</v>
      </c>
      <c r="U132" s="82" t="n">
        <f aca="false">U15</f>
        <v>1513008</v>
      </c>
      <c r="V132" s="82" t="n">
        <f aca="false">V15</f>
        <v>1506444</v>
      </c>
      <c r="W132" s="82" t="n">
        <f aca="false">W15</f>
        <v>1499880</v>
      </c>
      <c r="X132" s="79"/>
    </row>
    <row r="133" customFormat="false" ht="18.75" hidden="false" customHeight="true" outlineLevel="0" collapsed="false">
      <c r="A133" s="117"/>
      <c r="B133" s="84" t="s">
        <v>25</v>
      </c>
      <c r="C133" s="85" t="s">
        <v>26</v>
      </c>
      <c r="D133" s="86" t="n">
        <f aca="false">D27</f>
        <v>6498384</v>
      </c>
      <c r="E133" s="86" t="n">
        <f aca="false">E27</f>
        <v>6472128</v>
      </c>
      <c r="F133" s="86" t="n">
        <f aca="false">F27</f>
        <v>6445872</v>
      </c>
      <c r="G133" s="86" t="n">
        <f aca="false">G27</f>
        <v>6419616</v>
      </c>
      <c r="H133" s="86" t="n">
        <f aca="false">H27</f>
        <v>6393360</v>
      </c>
      <c r="I133" s="86" t="n">
        <f aca="false">I27</f>
        <v>6367104</v>
      </c>
      <c r="J133" s="86" t="n">
        <f aca="false">J27</f>
        <v>6340848</v>
      </c>
      <c r="K133" s="86" t="n">
        <f aca="false">K27</f>
        <v>6314592</v>
      </c>
      <c r="L133" s="86" t="n">
        <f aca="false">L27</f>
        <v>6288336</v>
      </c>
      <c r="M133" s="86" t="n">
        <f aca="false">M27</f>
        <v>6262080</v>
      </c>
      <c r="N133" s="86" t="n">
        <f aca="false">N27</f>
        <v>6235824</v>
      </c>
      <c r="O133" s="86" t="n">
        <f aca="false">O27</f>
        <v>6209568</v>
      </c>
      <c r="P133" s="86" t="n">
        <f aca="false">P27</f>
        <v>6183312</v>
      </c>
      <c r="Q133" s="86" t="n">
        <f aca="false">Q27</f>
        <v>6157056</v>
      </c>
      <c r="R133" s="86" t="n">
        <f aca="false">R27</f>
        <v>6130797</v>
      </c>
      <c r="S133" s="86" t="n">
        <f aca="false">S27</f>
        <v>6104541</v>
      </c>
      <c r="T133" s="86" t="n">
        <f aca="false">T27</f>
        <v>6078285</v>
      </c>
      <c r="U133" s="86" t="n">
        <f aca="false">U27</f>
        <v>6052029</v>
      </c>
      <c r="V133" s="86" t="n">
        <f aca="false">V27</f>
        <v>6025773</v>
      </c>
      <c r="W133" s="86" t="n">
        <f aca="false">W27</f>
        <v>5999517</v>
      </c>
      <c r="X133" s="83"/>
    </row>
    <row r="134" customFormat="false" ht="18.75" hidden="false" customHeight="true" outlineLevel="0" collapsed="false">
      <c r="A134" s="117"/>
      <c r="B134" s="87" t="s">
        <v>27</v>
      </c>
      <c r="C134" s="88" t="s">
        <v>26</v>
      </c>
      <c r="D134" s="90"/>
      <c r="E134" s="90"/>
      <c r="F134" s="90"/>
      <c r="G134" s="90" t="s">
        <v>26</v>
      </c>
      <c r="H134" s="90" t="s">
        <v>26</v>
      </c>
      <c r="I134" s="90" t="s">
        <v>26</v>
      </c>
      <c r="J134" s="90" t="s">
        <v>26</v>
      </c>
      <c r="K134" s="90" t="s">
        <v>26</v>
      </c>
      <c r="L134" s="90" t="s">
        <v>26</v>
      </c>
      <c r="M134" s="90" t="s">
        <v>26</v>
      </c>
      <c r="N134" s="90" t="s">
        <v>26</v>
      </c>
      <c r="O134" s="90" t="s">
        <v>26</v>
      </c>
      <c r="P134" s="90" t="s">
        <v>26</v>
      </c>
      <c r="Q134" s="90" t="s">
        <v>26</v>
      </c>
      <c r="R134" s="90" t="s">
        <v>26</v>
      </c>
      <c r="S134" s="90" t="s">
        <v>26</v>
      </c>
      <c r="T134" s="90" t="s">
        <v>26</v>
      </c>
      <c r="U134" s="90" t="s">
        <v>26</v>
      </c>
      <c r="V134" s="90" t="s">
        <v>26</v>
      </c>
      <c r="W134" s="90" t="s">
        <v>26</v>
      </c>
      <c r="X134" s="79"/>
    </row>
    <row r="135" customFormat="false" ht="18.75" hidden="false" customHeight="true" outlineLevel="0" collapsed="false">
      <c r="A135" s="117"/>
      <c r="B135" s="91" t="s">
        <v>28</v>
      </c>
      <c r="C135" s="92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79"/>
    </row>
    <row r="136" customFormat="false" ht="18.75" hidden="false" customHeight="true" outlineLevel="0" collapsed="false">
      <c r="A136" s="117"/>
      <c r="B136" s="94" t="s">
        <v>45</v>
      </c>
      <c r="C136" s="88"/>
      <c r="D136" s="120" t="n">
        <f aca="false">-D99</f>
        <v>-2840880</v>
      </c>
      <c r="E136" s="120" t="n">
        <f aca="false">-E99</f>
        <v>-2840880</v>
      </c>
      <c r="F136" s="120" t="n">
        <f aca="false">-F99</f>
        <v>-2840880</v>
      </c>
      <c r="G136" s="120" t="n">
        <f aca="false">-G99</f>
        <v>-2840880</v>
      </c>
      <c r="H136" s="120" t="n">
        <f aca="false">-H99</f>
        <v>-2840880</v>
      </c>
      <c r="I136" s="120" t="n">
        <f aca="false">-I99</f>
        <v>-2840880</v>
      </c>
      <c r="J136" s="120" t="n">
        <f aca="false">-J99</f>
        <v>-2840880</v>
      </c>
      <c r="K136" s="120" t="n">
        <f aca="false">-K99</f>
        <v>-2840880</v>
      </c>
      <c r="L136" s="120" t="n">
        <f aca="false">-L99</f>
        <v>-2840880</v>
      </c>
      <c r="M136" s="120" t="n">
        <f aca="false">-M99</f>
        <v>-2840880</v>
      </c>
      <c r="N136" s="120" t="n">
        <f aca="false">-N99</f>
        <v>-2840880</v>
      </c>
      <c r="O136" s="120" t="n">
        <f aca="false">-O99</f>
        <v>-2840880</v>
      </c>
      <c r="P136" s="120" t="n">
        <f aca="false">-P99</f>
        <v>-2840880</v>
      </c>
      <c r="Q136" s="120" t="n">
        <f aca="false">-Q99</f>
        <v>-2840880</v>
      </c>
      <c r="R136" s="120" t="n">
        <f aca="false">-R99</f>
        <v>-2840880</v>
      </c>
      <c r="S136" s="120" t="n">
        <f aca="false">-S99</f>
        <v>-2840880</v>
      </c>
      <c r="T136" s="120" t="n">
        <f aca="false">-T99</f>
        <v>-2840880</v>
      </c>
      <c r="U136" s="120" t="n">
        <f aca="false">-U99</f>
        <v>-2840880</v>
      </c>
      <c r="V136" s="120" t="n">
        <f aca="false">-V99</f>
        <v>-2840880</v>
      </c>
      <c r="W136" s="120" t="n">
        <f aca="false">-W99</f>
        <v>-2840880</v>
      </c>
      <c r="X136" s="83"/>
    </row>
    <row r="137" customFormat="false" ht="18.75" hidden="false" customHeight="true" outlineLevel="0" collapsed="false">
      <c r="A137" s="117"/>
      <c r="B137" s="94" t="s">
        <v>30</v>
      </c>
      <c r="C137" s="88" t="s">
        <v>26</v>
      </c>
      <c r="D137" s="96" t="n">
        <f aca="false">-D39</f>
        <v>-2611809</v>
      </c>
      <c r="E137" s="96" t="n">
        <f aca="false">-E39</f>
        <v>-2611809</v>
      </c>
      <c r="F137" s="96" t="n">
        <f aca="false">-F39</f>
        <v>-2611809</v>
      </c>
      <c r="G137" s="96" t="n">
        <f aca="false">-G39</f>
        <v>-2611809</v>
      </c>
      <c r="H137" s="96" t="n">
        <f aca="false">-H39</f>
        <v>-2611809</v>
      </c>
      <c r="I137" s="96" t="n">
        <f aca="false">-I39</f>
        <v>-2611809</v>
      </c>
      <c r="J137" s="96" t="n">
        <f aca="false">-J39</f>
        <v>-2611809</v>
      </c>
      <c r="K137" s="96" t="n">
        <f aca="false">-K39</f>
        <v>-2611809</v>
      </c>
      <c r="L137" s="96" t="n">
        <f aca="false">-L39</f>
        <v>-2611809</v>
      </c>
      <c r="M137" s="96" t="n">
        <f aca="false">-M39</f>
        <v>-2611809</v>
      </c>
      <c r="N137" s="96" t="n">
        <f aca="false">-N39</f>
        <v>-2611809</v>
      </c>
      <c r="O137" s="96" t="n">
        <f aca="false">-O39</f>
        <v>-2611809</v>
      </c>
      <c r="P137" s="96" t="n">
        <f aca="false">-P39</f>
        <v>-2611809</v>
      </c>
      <c r="Q137" s="96" t="n">
        <f aca="false">-Q39</f>
        <v>-2611809</v>
      </c>
      <c r="R137" s="96" t="n">
        <f aca="false">-R39</f>
        <v>-2611809</v>
      </c>
      <c r="S137" s="96" t="n">
        <f aca="false">-S39</f>
        <v>-2611809</v>
      </c>
      <c r="T137" s="96" t="n">
        <f aca="false">-T39</f>
        <v>-2611809</v>
      </c>
      <c r="U137" s="96" t="n">
        <f aca="false">-U39</f>
        <v>-2611809</v>
      </c>
      <c r="V137" s="96" t="n">
        <f aca="false">-V39</f>
        <v>-2611809</v>
      </c>
      <c r="W137" s="96" t="n">
        <f aca="false">-W39</f>
        <v>-2611809</v>
      </c>
      <c r="X137" s="97"/>
    </row>
    <row r="138" customFormat="false" ht="18.75" hidden="false" customHeight="true" outlineLevel="0" collapsed="false">
      <c r="A138" s="117"/>
      <c r="B138" s="94" t="s">
        <v>31</v>
      </c>
      <c r="C138" s="88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9"/>
    </row>
    <row r="139" customFormat="false" ht="18.75" hidden="false" customHeight="true" outlineLevel="0" collapsed="false">
      <c r="A139" s="117"/>
      <c r="B139" s="94" t="s">
        <v>32</v>
      </c>
      <c r="C139" s="88" t="s">
        <v>26</v>
      </c>
      <c r="D139" s="96" t="n">
        <f aca="false">-D177*C105</f>
        <v>-1363622.4</v>
      </c>
      <c r="E139" s="96" t="n">
        <f aca="false">-E177*C105</f>
        <v>-1272714.24</v>
      </c>
      <c r="F139" s="96" t="n">
        <f aca="false">-F177*C105</f>
        <v>-1181806.08</v>
      </c>
      <c r="G139" s="96" t="n">
        <f aca="false">-G177*C105</f>
        <v>-1090897.92</v>
      </c>
      <c r="H139" s="96" t="n">
        <f aca="false">-H177*C105</f>
        <v>-999989.76</v>
      </c>
      <c r="I139" s="96" t="n">
        <f aca="false">-I177*C105</f>
        <v>-909081.6</v>
      </c>
      <c r="J139" s="96" t="n">
        <f aca="false">-J177*C105</f>
        <v>-818173.44</v>
      </c>
      <c r="K139" s="96" t="n">
        <f aca="false">-K177*C105</f>
        <v>-727265.28</v>
      </c>
      <c r="L139" s="96" t="n">
        <f aca="false">-L177*C105</f>
        <v>-636357.12</v>
      </c>
      <c r="M139" s="96" t="n">
        <f aca="false">-M177*C105</f>
        <v>-545448.96</v>
      </c>
      <c r="N139" s="96" t="n">
        <f aca="false">-N177*C105</f>
        <v>-454540.8</v>
      </c>
      <c r="O139" s="96" t="n">
        <f aca="false">-O177*C105</f>
        <v>-363632.64</v>
      </c>
      <c r="P139" s="96" t="n">
        <f aca="false">-P177*C105</f>
        <v>-272724.48</v>
      </c>
      <c r="Q139" s="96" t="n">
        <f aca="false">-Q177*C105</f>
        <v>-181816.32</v>
      </c>
      <c r="R139" s="96" t="n">
        <f aca="false">-R177*C105</f>
        <v>-90908.16</v>
      </c>
      <c r="S139" s="96" t="n">
        <f aca="false">-S177*C105</f>
        <v>-0</v>
      </c>
      <c r="T139" s="96" t="n">
        <f aca="false">-T177*C105</f>
        <v>-0</v>
      </c>
      <c r="U139" s="96" t="n">
        <f aca="false">-U177*C105</f>
        <v>-0</v>
      </c>
      <c r="V139" s="96" t="n">
        <f aca="false">-V177*C105</f>
        <v>-0</v>
      </c>
      <c r="W139" s="96" t="n">
        <f aca="false">-W177*C105</f>
        <v>-0</v>
      </c>
      <c r="X139" s="100"/>
    </row>
    <row r="140" customFormat="false" ht="18.75" hidden="false" customHeight="true" outlineLevel="0" collapsed="false">
      <c r="A140" s="117"/>
      <c r="B140" s="94" t="s">
        <v>33</v>
      </c>
      <c r="C140" s="88" t="s">
        <v>26</v>
      </c>
      <c r="D140" s="96" t="n">
        <f aca="false">-D51</f>
        <v>-1569960</v>
      </c>
      <c r="E140" s="96" t="n">
        <f aca="false">-E51</f>
        <v>-1569960</v>
      </c>
      <c r="F140" s="96" t="n">
        <f aca="false">-F51</f>
        <v>-1569960</v>
      </c>
      <c r="G140" s="96" t="n">
        <f aca="false">-G51</f>
        <v>-1569960</v>
      </c>
      <c r="H140" s="96" t="n">
        <f aca="false">-H51</f>
        <v>-1569960</v>
      </c>
      <c r="I140" s="96" t="n">
        <f aca="false">-I51</f>
        <v>-1569960</v>
      </c>
      <c r="J140" s="96" t="n">
        <f aca="false">-J51</f>
        <v>-1569960</v>
      </c>
      <c r="K140" s="96" t="n">
        <f aca="false">-K51</f>
        <v>-1569960</v>
      </c>
      <c r="L140" s="96" t="n">
        <f aca="false">-L51</f>
        <v>-1569960</v>
      </c>
      <c r="M140" s="96" t="n">
        <f aca="false">-M51</f>
        <v>-1569960</v>
      </c>
      <c r="N140" s="96" t="n">
        <f aca="false">-N51</f>
        <v>-1569960</v>
      </c>
      <c r="O140" s="96" t="n">
        <f aca="false">-O51</f>
        <v>-1569960</v>
      </c>
      <c r="P140" s="96" t="n">
        <f aca="false">-P51</f>
        <v>-1569960</v>
      </c>
      <c r="Q140" s="96" t="n">
        <f aca="false">-Q51</f>
        <v>-1569960</v>
      </c>
      <c r="R140" s="96" t="n">
        <f aca="false">-R51</f>
        <v>-1569960</v>
      </c>
      <c r="S140" s="96" t="n">
        <f aca="false">-S51</f>
        <v>-1569960</v>
      </c>
      <c r="T140" s="96" t="n">
        <f aca="false">-T51</f>
        <v>-1569960</v>
      </c>
      <c r="U140" s="96" t="n">
        <f aca="false">-U51</f>
        <v>-1569960</v>
      </c>
      <c r="V140" s="96" t="n">
        <f aca="false">-V51</f>
        <v>-1569960</v>
      </c>
      <c r="W140" s="96" t="n">
        <f aca="false">-W51</f>
        <v>-1569960</v>
      </c>
      <c r="X140" s="101"/>
    </row>
    <row r="141" customFormat="false" ht="18.75" hidden="false" customHeight="true" outlineLevel="0" collapsed="false">
      <c r="A141" s="117"/>
      <c r="B141" s="94" t="s">
        <v>34</v>
      </c>
      <c r="C141" s="88" t="s">
        <v>26</v>
      </c>
      <c r="D141" s="96" t="n">
        <f aca="false">-D63</f>
        <v>-333618</v>
      </c>
      <c r="E141" s="96" t="n">
        <f aca="false">-E63</f>
        <v>-333618</v>
      </c>
      <c r="F141" s="96" t="n">
        <f aca="false">-F63</f>
        <v>-333618</v>
      </c>
      <c r="G141" s="96" t="n">
        <f aca="false">-G63</f>
        <v>-333618</v>
      </c>
      <c r="H141" s="96" t="n">
        <f aca="false">-H63</f>
        <v>-333618</v>
      </c>
      <c r="I141" s="96" t="n">
        <f aca="false">-I63</f>
        <v>-333618</v>
      </c>
      <c r="J141" s="96" t="n">
        <f aca="false">-J63</f>
        <v>-333618</v>
      </c>
      <c r="K141" s="96" t="n">
        <f aca="false">-K63</f>
        <v>-333618</v>
      </c>
      <c r="L141" s="96" t="n">
        <f aca="false">-L63</f>
        <v>-333618</v>
      </c>
      <c r="M141" s="96" t="n">
        <f aca="false">-M63</f>
        <v>-333618</v>
      </c>
      <c r="N141" s="96" t="n">
        <f aca="false">-N63</f>
        <v>-333618</v>
      </c>
      <c r="O141" s="96" t="n">
        <f aca="false">-O63</f>
        <v>-333618</v>
      </c>
      <c r="P141" s="96" t="n">
        <f aca="false">-P63</f>
        <v>-333618</v>
      </c>
      <c r="Q141" s="96" t="n">
        <f aca="false">-Q63</f>
        <v>-333618</v>
      </c>
      <c r="R141" s="96" t="n">
        <f aca="false">-R63</f>
        <v>-333618</v>
      </c>
      <c r="S141" s="96" t="n">
        <f aca="false">-S63</f>
        <v>-333618</v>
      </c>
      <c r="T141" s="96" t="n">
        <f aca="false">-T63</f>
        <v>-333618</v>
      </c>
      <c r="U141" s="96" t="n">
        <f aca="false">-U63</f>
        <v>-333618</v>
      </c>
      <c r="V141" s="96" t="n">
        <f aca="false">-V63</f>
        <v>-333618</v>
      </c>
      <c r="W141" s="96" t="n">
        <f aca="false">-W63</f>
        <v>-333618</v>
      </c>
      <c r="X141" s="99"/>
    </row>
    <row r="142" customFormat="false" ht="18.75" hidden="false" customHeight="true" outlineLevel="0" collapsed="false">
      <c r="A142" s="117"/>
      <c r="B142" s="94" t="s">
        <v>35</v>
      </c>
      <c r="C142" s="88"/>
      <c r="D142" s="96" t="n">
        <f aca="false">-D75</f>
        <v>-392490</v>
      </c>
      <c r="E142" s="96" t="n">
        <f aca="false">-E75</f>
        <v>-392490</v>
      </c>
      <c r="F142" s="96" t="n">
        <f aca="false">-F75</f>
        <v>-392490</v>
      </c>
      <c r="G142" s="96" t="n">
        <f aca="false">-G75</f>
        <v>-392490</v>
      </c>
      <c r="H142" s="96" t="n">
        <f aca="false">-H75</f>
        <v>-392490</v>
      </c>
      <c r="I142" s="96" t="n">
        <f aca="false">-I75</f>
        <v>-392490</v>
      </c>
      <c r="J142" s="96" t="n">
        <f aca="false">-J75</f>
        <v>-392490</v>
      </c>
      <c r="K142" s="96" t="n">
        <f aca="false">-K75</f>
        <v>-392490</v>
      </c>
      <c r="L142" s="96" t="n">
        <f aca="false">-L75</f>
        <v>-392490</v>
      </c>
      <c r="M142" s="96" t="n">
        <f aca="false">-M75</f>
        <v>-392490</v>
      </c>
      <c r="N142" s="96" t="n">
        <f aca="false">-N75</f>
        <v>-0</v>
      </c>
      <c r="O142" s="96" t="n">
        <f aca="false">-O75</f>
        <v>-0</v>
      </c>
      <c r="P142" s="96" t="n">
        <f aca="false">-P75</f>
        <v>-0</v>
      </c>
      <c r="Q142" s="96" t="n">
        <f aca="false">-Q75</f>
        <v>-0</v>
      </c>
      <c r="R142" s="96" t="n">
        <f aca="false">-R75</f>
        <v>-0</v>
      </c>
      <c r="S142" s="96" t="n">
        <f aca="false">-S75</f>
        <v>-0</v>
      </c>
      <c r="T142" s="96" t="n">
        <f aca="false">-T75</f>
        <v>-0</v>
      </c>
      <c r="U142" s="96" t="n">
        <f aca="false">-U75</f>
        <v>-0</v>
      </c>
      <c r="V142" s="96" t="n">
        <f aca="false">-V75</f>
        <v>-0</v>
      </c>
      <c r="W142" s="96" t="n">
        <f aca="false">-W75</f>
        <v>-0</v>
      </c>
      <c r="X142" s="99"/>
    </row>
    <row r="143" customFormat="false" ht="18.75" hidden="false" customHeight="true" outlineLevel="0" collapsed="false">
      <c r="A143" s="117"/>
      <c r="B143" s="94" t="s">
        <v>36</v>
      </c>
      <c r="C143" s="102"/>
      <c r="D143" s="121"/>
      <c r="E143" s="122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56"/>
    </row>
    <row r="144" customFormat="false" ht="18.75" hidden="false" customHeight="true" outlineLevel="0" collapsed="false">
      <c r="A144" s="117"/>
      <c r="B144" s="94" t="s">
        <v>37</v>
      </c>
      <c r="C144" s="102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56"/>
    </row>
    <row r="145" customFormat="false" ht="18.75" hidden="false" customHeight="true" outlineLevel="0" collapsed="false">
      <c r="A145" s="117"/>
      <c r="B145" s="104" t="s">
        <v>46</v>
      </c>
      <c r="C145" s="123"/>
      <c r="D145" s="106" t="n">
        <f aca="false">SUM(D133:D144)</f>
        <v>-2613995.4</v>
      </c>
      <c r="E145" s="106" t="n">
        <f aca="false">SUM(E133:E144)</f>
        <v>-2549343.24</v>
      </c>
      <c r="F145" s="106" t="n">
        <f aca="false">SUM(F133:F144)</f>
        <v>-2484691.08</v>
      </c>
      <c r="G145" s="106" t="n">
        <f aca="false">SUM(G133:G144)</f>
        <v>-2420038.92</v>
      </c>
      <c r="H145" s="106" t="n">
        <f aca="false">SUM(H133:H144)</f>
        <v>-2355386.76</v>
      </c>
      <c r="I145" s="106" t="n">
        <f aca="false">SUM(I133:I144)</f>
        <v>-2290734.6</v>
      </c>
      <c r="J145" s="106" t="n">
        <f aca="false">SUM(J133:J144)</f>
        <v>-2226082.44</v>
      </c>
      <c r="K145" s="106" t="n">
        <f aca="false">SUM(K133:K144)</f>
        <v>-2161430.28</v>
      </c>
      <c r="L145" s="106" t="n">
        <f aca="false">SUM(L133:L144)</f>
        <v>-2096778.12</v>
      </c>
      <c r="M145" s="106" t="n">
        <f aca="false">SUM(M133:M144)</f>
        <v>-2032125.96</v>
      </c>
      <c r="N145" s="106" t="n">
        <f aca="false">SUM(N133:N144)</f>
        <v>-1574983.8</v>
      </c>
      <c r="O145" s="106" t="n">
        <f aca="false">SUM(O133:O144)</f>
        <v>-1510331.64</v>
      </c>
      <c r="P145" s="106" t="n">
        <f aca="false">SUM(P133:P144)</f>
        <v>-1445679.48</v>
      </c>
      <c r="Q145" s="106" t="n">
        <f aca="false">SUM(Q133:Q144)</f>
        <v>-1381027.32</v>
      </c>
      <c r="R145" s="106" t="n">
        <f aca="false">SUM(R133:R144)</f>
        <v>-1316378.16</v>
      </c>
      <c r="S145" s="106" t="n">
        <f aca="false">SUM(S133:S144)</f>
        <v>-1251726</v>
      </c>
      <c r="T145" s="106" t="n">
        <f aca="false">SUM(T133:T144)</f>
        <v>-1277982</v>
      </c>
      <c r="U145" s="106" t="n">
        <f aca="false">SUM(U133:U144)</f>
        <v>-1304238</v>
      </c>
      <c r="V145" s="106" t="n">
        <f aca="false">SUM(V133:V144)</f>
        <v>-1330494</v>
      </c>
      <c r="W145" s="106" t="n">
        <f aca="false">SUM(W133:W144)</f>
        <v>-1356750</v>
      </c>
      <c r="X145" s="56"/>
    </row>
    <row r="146" customFormat="false" ht="18.75" hidden="false" customHeight="true" outlineLevel="0" collapsed="false">
      <c r="A146" s="117"/>
      <c r="B146" s="103" t="s">
        <v>39</v>
      </c>
      <c r="C146" s="102"/>
      <c r="D146" s="96" t="n">
        <f aca="false">D145*0.2</f>
        <v>-522799.08</v>
      </c>
      <c r="E146" s="96" t="n">
        <f aca="false">E145*0.2</f>
        <v>-509868.648</v>
      </c>
      <c r="F146" s="96" t="n">
        <f aca="false">F145*0.2</f>
        <v>-496938.216</v>
      </c>
      <c r="G146" s="96" t="n">
        <f aca="false">G145*0.2</f>
        <v>-484007.784</v>
      </c>
      <c r="H146" s="96" t="n">
        <f aca="false">H145*0.2</f>
        <v>-471077.352</v>
      </c>
      <c r="I146" s="96" t="n">
        <f aca="false">I145*0.2</f>
        <v>-458146.92</v>
      </c>
      <c r="J146" s="96" t="n">
        <f aca="false">J145*0.2</f>
        <v>-445216.488</v>
      </c>
      <c r="K146" s="96" t="n">
        <f aca="false">K145*0.2</f>
        <v>-432286.056</v>
      </c>
      <c r="L146" s="96" t="n">
        <f aca="false">L145*0.2</f>
        <v>-419355.624</v>
      </c>
      <c r="M146" s="96" t="n">
        <f aca="false">M145*0.2</f>
        <v>-406425.192</v>
      </c>
      <c r="N146" s="96" t="n">
        <f aca="false">N145*0.2</f>
        <v>-314996.76</v>
      </c>
      <c r="O146" s="96" t="n">
        <f aca="false">O145*0.2</f>
        <v>-302066.328</v>
      </c>
      <c r="P146" s="96" t="n">
        <f aca="false">P145*0.2</f>
        <v>-289135.896</v>
      </c>
      <c r="Q146" s="96" t="n">
        <f aca="false">Q145*0.2</f>
        <v>-276205.464</v>
      </c>
      <c r="R146" s="96" t="n">
        <f aca="false">R145*0.2</f>
        <v>-263275.632</v>
      </c>
      <c r="S146" s="96" t="n">
        <f aca="false">S145*0.2</f>
        <v>-250345.2</v>
      </c>
      <c r="T146" s="96" t="n">
        <f aca="false">T145*0.2</f>
        <v>-255596.4</v>
      </c>
      <c r="U146" s="96" t="n">
        <f aca="false">U145*0.2</f>
        <v>-260847.6</v>
      </c>
      <c r="V146" s="96" t="n">
        <f aca="false">V145*0.2</f>
        <v>-266098.8</v>
      </c>
      <c r="W146" s="96" t="n">
        <f aca="false">W145*0.2</f>
        <v>-271350</v>
      </c>
      <c r="X146" s="79"/>
    </row>
    <row r="147" customFormat="false" ht="15.75" hidden="false" customHeight="true" outlineLevel="0" collapsed="false">
      <c r="A147" s="117"/>
      <c r="B147" s="124" t="s">
        <v>47</v>
      </c>
      <c r="C147" s="79"/>
      <c r="D147" s="96" t="n">
        <f aca="false">D145-D146</f>
        <v>-2091196.32</v>
      </c>
      <c r="E147" s="96" t="n">
        <f aca="false">E145-E146</f>
        <v>-2039474.592</v>
      </c>
      <c r="F147" s="96" t="n">
        <f aca="false">F145-F146</f>
        <v>-1987752.864</v>
      </c>
      <c r="G147" s="96" t="n">
        <f aca="false">G145-G146</f>
        <v>-1936031.136</v>
      </c>
      <c r="H147" s="96" t="n">
        <f aca="false">H145-H146</f>
        <v>-1884309.408</v>
      </c>
      <c r="I147" s="96" t="n">
        <f aca="false">I145-I146</f>
        <v>-1832587.68</v>
      </c>
      <c r="J147" s="96" t="n">
        <f aca="false">J145-J146</f>
        <v>-1780865.952</v>
      </c>
      <c r="K147" s="96" t="n">
        <f aca="false">K145-K146</f>
        <v>-1729144.224</v>
      </c>
      <c r="L147" s="96" t="n">
        <f aca="false">L145-L146</f>
        <v>-1677422.496</v>
      </c>
      <c r="M147" s="96" t="n">
        <f aca="false">M145-M146</f>
        <v>-1625700.768</v>
      </c>
      <c r="N147" s="96" t="n">
        <f aca="false">N145-N146</f>
        <v>-1259987.04</v>
      </c>
      <c r="O147" s="96" t="n">
        <f aca="false">O145-O146</f>
        <v>-1208265.312</v>
      </c>
      <c r="P147" s="96" t="n">
        <f aca="false">P145-P146</f>
        <v>-1156543.584</v>
      </c>
      <c r="Q147" s="96" t="n">
        <f aca="false">Q145-Q146</f>
        <v>-1104821.856</v>
      </c>
      <c r="R147" s="96" t="n">
        <f aca="false">R145-R146</f>
        <v>-1053102.528</v>
      </c>
      <c r="S147" s="96" t="n">
        <f aca="false">S145-S146</f>
        <v>-1001380.8</v>
      </c>
      <c r="T147" s="96" t="n">
        <f aca="false">T145-T146</f>
        <v>-1022385.6</v>
      </c>
      <c r="U147" s="96" t="n">
        <f aca="false">U145-U146</f>
        <v>-1043390.4</v>
      </c>
      <c r="V147" s="96" t="n">
        <f aca="false">V145-V146</f>
        <v>-1064395.2</v>
      </c>
      <c r="W147" s="96" t="n">
        <f aca="false">W145-W146</f>
        <v>-1085400</v>
      </c>
      <c r="X147" s="79"/>
    </row>
    <row r="148" customFormat="false" ht="18.75" hidden="false" customHeight="true" outlineLevel="0" collapsed="false">
      <c r="A148" s="117"/>
      <c r="B148" s="107" t="s">
        <v>41</v>
      </c>
      <c r="C148" s="125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74"/>
    </row>
    <row r="149" customFormat="false" ht="18.75" hidden="false" customHeight="true" outlineLevel="0" collapsed="false">
      <c r="A149" s="117"/>
      <c r="B149" s="127" t="s">
        <v>42</v>
      </c>
      <c r="C149" s="128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99"/>
    </row>
    <row r="150" customFormat="false" ht="18.75" hidden="false" customHeight="true" outlineLevel="0" collapsed="false">
      <c r="A150" s="117"/>
      <c r="B150" s="130"/>
      <c r="C150" s="131" t="s">
        <v>0</v>
      </c>
      <c r="D150" s="132" t="n">
        <v>2020</v>
      </c>
      <c r="E150" s="132" t="n">
        <v>2021</v>
      </c>
      <c r="F150" s="132" t="n">
        <v>2022</v>
      </c>
      <c r="G150" s="132" t="n">
        <v>2023</v>
      </c>
      <c r="H150" s="132" t="n">
        <v>2024</v>
      </c>
      <c r="I150" s="132" t="n">
        <v>2025</v>
      </c>
      <c r="J150" s="132" t="n">
        <v>2026</v>
      </c>
      <c r="K150" s="132" t="n">
        <v>2027</v>
      </c>
      <c r="L150" s="132" t="n">
        <v>2028</v>
      </c>
      <c r="M150" s="132" t="n">
        <v>2029</v>
      </c>
      <c r="N150" s="132" t="n">
        <v>2030</v>
      </c>
      <c r="O150" s="132" t="n">
        <v>2031</v>
      </c>
      <c r="P150" s="132" t="n">
        <v>2032</v>
      </c>
      <c r="Q150" s="132" t="n">
        <v>2033</v>
      </c>
      <c r="R150" s="132" t="n">
        <v>2034</v>
      </c>
      <c r="S150" s="132" t="n">
        <v>2035</v>
      </c>
      <c r="T150" s="132" t="n">
        <v>2036</v>
      </c>
      <c r="U150" s="132" t="n">
        <v>2037</v>
      </c>
      <c r="V150" s="132" t="n">
        <v>2038</v>
      </c>
      <c r="W150" s="132" t="n">
        <v>2039</v>
      </c>
      <c r="X150" s="132"/>
    </row>
    <row r="151" customFormat="false" ht="18.75" hidden="false" customHeight="true" outlineLevel="0" collapsed="false">
      <c r="A151" s="117"/>
      <c r="B151" s="130"/>
      <c r="C151" s="133"/>
      <c r="D151" s="99"/>
      <c r="E151" s="9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99"/>
    </row>
    <row r="152" customFormat="false" ht="18.75" hidden="false" customHeight="true" outlineLevel="0" collapsed="false">
      <c r="A152" s="117"/>
      <c r="B152" s="134" t="s">
        <v>23</v>
      </c>
      <c r="C152" s="134" t="n">
        <v>0</v>
      </c>
      <c r="D152" s="134" t="n">
        <v>1</v>
      </c>
      <c r="E152" s="134" t="n">
        <v>2</v>
      </c>
      <c r="F152" s="134" t="n">
        <v>3</v>
      </c>
      <c r="G152" s="134" t="n">
        <v>4</v>
      </c>
      <c r="H152" s="134" t="n">
        <v>5</v>
      </c>
      <c r="I152" s="134" t="n">
        <v>6</v>
      </c>
      <c r="J152" s="134" t="n">
        <v>7</v>
      </c>
      <c r="K152" s="134" t="n">
        <v>8</v>
      </c>
      <c r="L152" s="134" t="n">
        <v>9</v>
      </c>
      <c r="M152" s="134" t="n">
        <v>10</v>
      </c>
      <c r="N152" s="134" t="n">
        <v>11</v>
      </c>
      <c r="O152" s="134" t="n">
        <v>12</v>
      </c>
      <c r="P152" s="134" t="n">
        <v>13</v>
      </c>
      <c r="Q152" s="134" t="n">
        <v>14</v>
      </c>
      <c r="R152" s="134" t="n">
        <v>15</v>
      </c>
      <c r="S152" s="134" t="n">
        <v>16</v>
      </c>
      <c r="T152" s="134" t="n">
        <v>17</v>
      </c>
      <c r="U152" s="134" t="n">
        <v>18</v>
      </c>
      <c r="V152" s="134" t="n">
        <v>19</v>
      </c>
      <c r="W152" s="134" t="n">
        <v>20</v>
      </c>
      <c r="X152" s="134"/>
    </row>
    <row r="153" customFormat="false" ht="18.75" hidden="false" customHeight="true" outlineLevel="0" collapsed="false">
      <c r="A153" s="117"/>
      <c r="B153" s="135" t="s">
        <v>47</v>
      </c>
      <c r="C153" s="135"/>
      <c r="D153" s="136" t="n">
        <f aca="false">D147</f>
        <v>-2091196.32</v>
      </c>
      <c r="E153" s="136" t="n">
        <f aca="false">E147</f>
        <v>-2039474.592</v>
      </c>
      <c r="F153" s="136" t="n">
        <f aca="false">F147</f>
        <v>-1987752.864</v>
      </c>
      <c r="G153" s="136" t="n">
        <f aca="false">G147</f>
        <v>-1936031.136</v>
      </c>
      <c r="H153" s="136" t="n">
        <f aca="false">H147</f>
        <v>-1884309.408</v>
      </c>
      <c r="I153" s="136" t="n">
        <f aca="false">I147</f>
        <v>-1832587.68</v>
      </c>
      <c r="J153" s="136" t="n">
        <f aca="false">J147</f>
        <v>-1780865.952</v>
      </c>
      <c r="K153" s="136" t="n">
        <f aca="false">K147</f>
        <v>-1729144.224</v>
      </c>
      <c r="L153" s="136" t="n">
        <f aca="false">L147</f>
        <v>-1677422.496</v>
      </c>
      <c r="M153" s="136" t="n">
        <f aca="false">M147</f>
        <v>-1625700.768</v>
      </c>
      <c r="N153" s="136" t="n">
        <f aca="false">N147</f>
        <v>-1259987.04</v>
      </c>
      <c r="O153" s="136" t="n">
        <f aca="false">O147</f>
        <v>-1208265.312</v>
      </c>
      <c r="P153" s="136" t="n">
        <f aca="false">P147</f>
        <v>-1156543.584</v>
      </c>
      <c r="Q153" s="136" t="n">
        <f aca="false">Q147</f>
        <v>-1104821.856</v>
      </c>
      <c r="R153" s="136" t="n">
        <f aca="false">R147</f>
        <v>-1053102.528</v>
      </c>
      <c r="S153" s="136" t="n">
        <f aca="false">S147</f>
        <v>-1001380.8</v>
      </c>
      <c r="T153" s="136" t="n">
        <f aca="false">T147</f>
        <v>-1022385.6</v>
      </c>
      <c r="U153" s="136" t="n">
        <f aca="false">U147</f>
        <v>-1043390.4</v>
      </c>
      <c r="V153" s="136" t="n">
        <f aca="false">V147</f>
        <v>-1064395.2</v>
      </c>
      <c r="W153" s="136" t="n">
        <f aca="false">W147</f>
        <v>-1085400</v>
      </c>
      <c r="X153" s="136"/>
    </row>
    <row r="154" customFormat="false" ht="15.75" hidden="false" customHeight="true" outlineLevel="0" collapsed="false">
      <c r="B154" s="135" t="s">
        <v>16</v>
      </c>
      <c r="C154" s="135"/>
      <c r="D154" s="137" t="n">
        <f aca="false">D99</f>
        <v>2840880</v>
      </c>
      <c r="E154" s="137" t="n">
        <f aca="false">E99</f>
        <v>2840880</v>
      </c>
      <c r="F154" s="137" t="n">
        <f aca="false">F99</f>
        <v>2840880</v>
      </c>
      <c r="G154" s="137" t="n">
        <f aca="false">G99</f>
        <v>2840880</v>
      </c>
      <c r="H154" s="137" t="n">
        <f aca="false">H99</f>
        <v>2840880</v>
      </c>
      <c r="I154" s="137" t="n">
        <f aca="false">I99</f>
        <v>2840880</v>
      </c>
      <c r="J154" s="137" t="n">
        <f aca="false">J99</f>
        <v>2840880</v>
      </c>
      <c r="K154" s="137" t="n">
        <f aca="false">K99</f>
        <v>2840880</v>
      </c>
      <c r="L154" s="137" t="n">
        <f aca="false">L99</f>
        <v>2840880</v>
      </c>
      <c r="M154" s="137" t="n">
        <f aca="false">M99</f>
        <v>2840880</v>
      </c>
      <c r="N154" s="137" t="n">
        <f aca="false">N99</f>
        <v>2840880</v>
      </c>
      <c r="O154" s="137" t="n">
        <f aca="false">O99</f>
        <v>2840880</v>
      </c>
      <c r="P154" s="137" t="n">
        <f aca="false">P99</f>
        <v>2840880</v>
      </c>
      <c r="Q154" s="137" t="n">
        <f aca="false">Q99</f>
        <v>2840880</v>
      </c>
      <c r="R154" s="137" t="n">
        <f aca="false">R99</f>
        <v>2840880</v>
      </c>
      <c r="S154" s="137" t="n">
        <f aca="false">S99</f>
        <v>2840880</v>
      </c>
      <c r="T154" s="137" t="n">
        <f aca="false">T99</f>
        <v>2840880</v>
      </c>
      <c r="U154" s="137" t="n">
        <f aca="false">U99</f>
        <v>2840880</v>
      </c>
      <c r="V154" s="137" t="n">
        <f aca="false">V99</f>
        <v>2840880</v>
      </c>
      <c r="W154" s="137" t="n">
        <f aca="false">W99</f>
        <v>2840880</v>
      </c>
      <c r="X154" s="137"/>
    </row>
    <row r="155" customFormat="false" ht="15.75" hidden="false" customHeight="true" outlineLevel="0" collapsed="false">
      <c r="B155" s="135" t="s">
        <v>48</v>
      </c>
      <c r="C155" s="135"/>
      <c r="D155" s="138" t="n">
        <f aca="false">D153+D154</f>
        <v>749683.68</v>
      </c>
      <c r="E155" s="138" t="n">
        <f aca="false">E153+E154</f>
        <v>801405.408</v>
      </c>
      <c r="F155" s="138" t="n">
        <f aca="false">F153+F154</f>
        <v>853127.136</v>
      </c>
      <c r="G155" s="138" t="n">
        <f aca="false">G153+G154</f>
        <v>904848.864</v>
      </c>
      <c r="H155" s="138" t="n">
        <f aca="false">H153+H154</f>
        <v>956570.592</v>
      </c>
      <c r="I155" s="138" t="n">
        <f aca="false">I153+I154</f>
        <v>1008292.32</v>
      </c>
      <c r="J155" s="138" t="n">
        <f aca="false">J153+J154</f>
        <v>1060014.048</v>
      </c>
      <c r="K155" s="138" t="n">
        <f aca="false">K153+K154</f>
        <v>1111735.776</v>
      </c>
      <c r="L155" s="138" t="n">
        <f aca="false">L153+L154</f>
        <v>1163457.504</v>
      </c>
      <c r="M155" s="138" t="n">
        <f aca="false">M153+M154</f>
        <v>1215179.232</v>
      </c>
      <c r="N155" s="138" t="n">
        <f aca="false">N153+N154</f>
        <v>1580892.96</v>
      </c>
      <c r="O155" s="138" t="n">
        <f aca="false">O153+O154</f>
        <v>1632614.688</v>
      </c>
      <c r="P155" s="138" t="n">
        <f aca="false">P153+P154</f>
        <v>1684336.416</v>
      </c>
      <c r="Q155" s="138" t="n">
        <f aca="false">Q153+Q154</f>
        <v>1736058.144</v>
      </c>
      <c r="R155" s="138" t="n">
        <f aca="false">R153+R154</f>
        <v>1787777.472</v>
      </c>
      <c r="S155" s="138" t="n">
        <f aca="false">S153+S154</f>
        <v>1839499.2</v>
      </c>
      <c r="T155" s="138" t="n">
        <f aca="false">T153+T154</f>
        <v>1818494.4</v>
      </c>
      <c r="U155" s="138" t="n">
        <f aca="false">U153+U154</f>
        <v>1797489.6</v>
      </c>
      <c r="V155" s="138" t="n">
        <f aca="false">V153+V154</f>
        <v>1776484.8</v>
      </c>
      <c r="W155" s="138" t="n">
        <f aca="false">W153+W154</f>
        <v>1755480</v>
      </c>
      <c r="X155" s="138"/>
    </row>
    <row r="156" customFormat="false" ht="15.75" hidden="false" customHeight="true" outlineLevel="0" collapsed="false">
      <c r="B156" s="135"/>
      <c r="C156" s="135"/>
      <c r="D156" s="135"/>
      <c r="E156" s="135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5"/>
    </row>
    <row r="157" customFormat="false" ht="15.75" hidden="false" customHeight="true" outlineLevel="0" collapsed="false">
      <c r="B157" s="140" t="s">
        <v>49</v>
      </c>
      <c r="C157" s="141"/>
      <c r="D157" s="142" t="n">
        <f aca="false">C113</f>
        <v>-56817600</v>
      </c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</row>
    <row r="158" customFormat="false" ht="15.75" hidden="false" customHeight="true" outlineLevel="0" collapsed="false">
      <c r="B158" s="135"/>
      <c r="C158" s="135"/>
      <c r="D158" s="135"/>
      <c r="E158" s="135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5"/>
    </row>
    <row r="159" customFormat="false" ht="15.75" hidden="false" customHeight="true" outlineLevel="0" collapsed="false">
      <c r="B159" s="135"/>
      <c r="C159" s="135"/>
      <c r="D159" s="135"/>
      <c r="E159" s="135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5"/>
    </row>
    <row r="160" customFormat="false" ht="15.75" hidden="false" customHeight="true" outlineLevel="0" collapsed="false">
      <c r="B160" s="140" t="s">
        <v>50</v>
      </c>
      <c r="C160" s="141"/>
      <c r="D160" s="142" t="n">
        <f aca="false">-D157*C101</f>
        <v>45454080</v>
      </c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</row>
    <row r="161" customFormat="false" ht="15.75" hidden="false" customHeight="true" outlineLevel="0" collapsed="false">
      <c r="B161" s="135" t="s">
        <v>51</v>
      </c>
      <c r="C161" s="135"/>
      <c r="D161" s="143"/>
      <c r="E161" s="143" t="n">
        <f aca="false">-D160/C102</f>
        <v>-3030272</v>
      </c>
      <c r="F161" s="143" t="n">
        <f aca="false">-D160/C102</f>
        <v>-3030272</v>
      </c>
      <c r="G161" s="143" t="n">
        <f aca="false">-D160/C102</f>
        <v>-3030272</v>
      </c>
      <c r="H161" s="143" t="n">
        <f aca="false">-D160/C102</f>
        <v>-3030272</v>
      </c>
      <c r="I161" s="143" t="n">
        <f aca="false">-D160/C102</f>
        <v>-3030272</v>
      </c>
      <c r="J161" s="143" t="n">
        <f aca="false">-D160/C102</f>
        <v>-3030272</v>
      </c>
      <c r="K161" s="143" t="n">
        <f aca="false">-D160/C102</f>
        <v>-3030272</v>
      </c>
      <c r="L161" s="143" t="n">
        <f aca="false">-D160/C102</f>
        <v>-3030272</v>
      </c>
      <c r="M161" s="143" t="n">
        <f aca="false">-D160/C102</f>
        <v>-3030272</v>
      </c>
      <c r="N161" s="143" t="n">
        <f aca="false">-D160/C102</f>
        <v>-3030272</v>
      </c>
      <c r="O161" s="143" t="n">
        <f aca="false">-D160/C102</f>
        <v>-3030272</v>
      </c>
      <c r="P161" s="143" t="n">
        <f aca="false">-D160/C102</f>
        <v>-3030272</v>
      </c>
      <c r="Q161" s="143" t="n">
        <f aca="false">-D160/C102</f>
        <v>-3030272</v>
      </c>
      <c r="R161" s="143" t="n">
        <f aca="false">-D160/C102</f>
        <v>-3030272</v>
      </c>
      <c r="S161" s="143" t="n">
        <f aca="false">-D160/C102</f>
        <v>-3030272</v>
      </c>
      <c r="T161" s="143"/>
      <c r="U161" s="143"/>
      <c r="V161" s="143"/>
      <c r="W161" s="143"/>
      <c r="X161" s="143"/>
    </row>
    <row r="162" customFormat="false" ht="15.75" hidden="false" customHeight="true" outlineLevel="0" collapsed="false">
      <c r="B162" s="135" t="s">
        <v>52</v>
      </c>
      <c r="C162" s="139"/>
      <c r="D162" s="136" t="n">
        <f aca="false">-D157*(1-C101)</f>
        <v>11363520</v>
      </c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</row>
    <row r="163" customFormat="false" ht="15.75" hidden="false" customHeight="true" outlineLevel="0" collapsed="false">
      <c r="B163" s="135" t="s">
        <v>53</v>
      </c>
      <c r="C163" s="139"/>
      <c r="D163" s="139"/>
      <c r="E163" s="144" t="n">
        <f aca="false">-D153*C103</f>
        <v>1882076.688</v>
      </c>
      <c r="F163" s="144" t="n">
        <f aca="false">-E153*C103</f>
        <v>1835527.1328</v>
      </c>
      <c r="G163" s="144" t="n">
        <f aca="false">-F153*C103</f>
        <v>1788977.5776</v>
      </c>
      <c r="H163" s="144" t="n">
        <f aca="false">-G153*C103</f>
        <v>1742428.0224</v>
      </c>
      <c r="I163" s="144" t="n">
        <f aca="false">-H153*C103</f>
        <v>1695878.4672</v>
      </c>
      <c r="J163" s="144" t="n">
        <f aca="false">-I153*C103</f>
        <v>1649328.912</v>
      </c>
      <c r="K163" s="144" t="n">
        <f aca="false">-J153*C103</f>
        <v>1602779.3568</v>
      </c>
      <c r="L163" s="144" t="n">
        <f aca="false">-K153*C103</f>
        <v>1556229.8016</v>
      </c>
      <c r="M163" s="144" t="n">
        <f aca="false">-L153*C103</f>
        <v>1509680.2464</v>
      </c>
      <c r="N163" s="144" t="n">
        <f aca="false">-M153*C103</f>
        <v>1463130.6912</v>
      </c>
      <c r="O163" s="144" t="n">
        <f aca="false">-N153*C103</f>
        <v>1133988.336</v>
      </c>
      <c r="P163" s="144" t="n">
        <f aca="false">-O153*C103</f>
        <v>1087438.7808</v>
      </c>
      <c r="Q163" s="144" t="n">
        <f aca="false">-P153*C103</f>
        <v>1040889.2256</v>
      </c>
      <c r="R163" s="144" t="n">
        <f aca="false">-Q153*C103</f>
        <v>994339.6704</v>
      </c>
      <c r="S163" s="144" t="n">
        <f aca="false">-R153*C103</f>
        <v>947792.2752</v>
      </c>
      <c r="T163" s="144" t="n">
        <f aca="false">-S153*C103</f>
        <v>901242.72</v>
      </c>
      <c r="U163" s="144" t="n">
        <f aca="false">-T153*C103</f>
        <v>920147.04</v>
      </c>
      <c r="V163" s="144" t="n">
        <f aca="false">-U153*C103</f>
        <v>939051.36</v>
      </c>
      <c r="W163" s="144" t="n">
        <f aca="false">-V153*C103</f>
        <v>957955.68</v>
      </c>
      <c r="X163" s="144"/>
    </row>
    <row r="164" customFormat="false" ht="15.75" hidden="false" customHeight="true" outlineLevel="0" collapsed="false">
      <c r="B164" s="145" t="s">
        <v>54</v>
      </c>
      <c r="C164" s="146"/>
      <c r="D164" s="146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 t="n">
        <f aca="false">-D162/C104</f>
        <v>-2840880</v>
      </c>
      <c r="U164" s="147" t="n">
        <f aca="false">-D162/C104</f>
        <v>-2840880</v>
      </c>
      <c r="V164" s="147" t="n">
        <f aca="false">-D162/C104</f>
        <v>-2840880</v>
      </c>
      <c r="W164" s="147" t="n">
        <f aca="false">-D162/C104</f>
        <v>-2840880</v>
      </c>
      <c r="X164" s="147"/>
    </row>
    <row r="165" customFormat="false" ht="15.75" hidden="false" customHeight="true" outlineLevel="0" collapsed="false"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</row>
    <row r="166" customFormat="false" ht="15.75" hidden="false" customHeight="true" outlineLevel="0" collapsed="false"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</row>
    <row r="167" customFormat="false" ht="15.75" hidden="false" customHeight="true" outlineLevel="0" collapsed="false">
      <c r="B167" s="135" t="s">
        <v>55</v>
      </c>
      <c r="C167" s="136" t="n">
        <v>0</v>
      </c>
      <c r="D167" s="136" t="n">
        <f aca="false">SUM(D155:D164)</f>
        <v>749683.679999998</v>
      </c>
      <c r="E167" s="136" t="n">
        <f aca="false">SUM(E155:E164)</f>
        <v>-346789.904</v>
      </c>
      <c r="F167" s="136" t="n">
        <f aca="false">SUM(F155:F164)</f>
        <v>-341617.7312</v>
      </c>
      <c r="G167" s="136" t="n">
        <f aca="false">SUM(G155:G164)</f>
        <v>-336445.5584</v>
      </c>
      <c r="H167" s="136" t="n">
        <f aca="false">SUM(H155:H164)</f>
        <v>-331273.3856</v>
      </c>
      <c r="I167" s="136" t="n">
        <f aca="false">SUM(I155:I164)</f>
        <v>-326101.2128</v>
      </c>
      <c r="J167" s="136" t="n">
        <f aca="false">SUM(J155:J164)</f>
        <v>-320929.04</v>
      </c>
      <c r="K167" s="136" t="n">
        <f aca="false">SUM(K155:K164)</f>
        <v>-315756.8672</v>
      </c>
      <c r="L167" s="136" t="n">
        <f aca="false">SUM(L155:L164)</f>
        <v>-310584.6944</v>
      </c>
      <c r="M167" s="136" t="n">
        <f aca="false">SUM(M155:M164)</f>
        <v>-305412.5216</v>
      </c>
      <c r="N167" s="136" t="n">
        <f aca="false">SUM(N155:N164)</f>
        <v>13751.6512</v>
      </c>
      <c r="O167" s="136" t="n">
        <f aca="false">SUM(O155:O164)</f>
        <v>-263668.976</v>
      </c>
      <c r="P167" s="136" t="n">
        <f aca="false">SUM(P155:P164)</f>
        <v>-258496.8032</v>
      </c>
      <c r="Q167" s="136" t="n">
        <f aca="false">SUM(Q155:Q164)</f>
        <v>-253324.6304</v>
      </c>
      <c r="R167" s="136" t="n">
        <f aca="false">SUM(R155:R164)</f>
        <v>-248154.8576</v>
      </c>
      <c r="S167" s="136" t="n">
        <f aca="false">SUM(S155:S164)</f>
        <v>-242980.5248</v>
      </c>
      <c r="T167" s="136" t="n">
        <f aca="false">SUM(T155:T164)</f>
        <v>-121142.879999999</v>
      </c>
      <c r="U167" s="136" t="n">
        <f aca="false">SUM(U155:U164)</f>
        <v>-123243.359999999</v>
      </c>
      <c r="V167" s="136" t="n">
        <f aca="false">SUM(V155:V164)</f>
        <v>-125343.839999999</v>
      </c>
      <c r="W167" s="136" t="n">
        <f aca="false">SUM(W155:W164)</f>
        <v>-127444.32</v>
      </c>
      <c r="X167" s="136"/>
    </row>
    <row r="168" customFormat="false" ht="15.75" hidden="false" customHeight="true" outlineLevel="0" collapsed="false">
      <c r="B168" s="135" t="s">
        <v>56</v>
      </c>
      <c r="C168" s="136" t="n">
        <v>0</v>
      </c>
      <c r="D168" s="136" t="n">
        <v>0</v>
      </c>
      <c r="E168" s="136" t="n">
        <f aca="false">D169</f>
        <v>749683.679999998</v>
      </c>
      <c r="F168" s="136" t="n">
        <f aca="false">E169</f>
        <v>402893.775999998</v>
      </c>
      <c r="G168" s="136" t="n">
        <f aca="false">F169</f>
        <v>61276.0447999977</v>
      </c>
      <c r="H168" s="136" t="n">
        <f aca="false">G169</f>
        <v>-275169.513600002</v>
      </c>
      <c r="I168" s="136" t="n">
        <f aca="false">H169</f>
        <v>-606442.899200002</v>
      </c>
      <c r="J168" s="136" t="n">
        <f aca="false">I169</f>
        <v>-932544.112000002</v>
      </c>
      <c r="K168" s="136" t="n">
        <f aca="false">J169</f>
        <v>-1253473.152</v>
      </c>
      <c r="L168" s="136" t="n">
        <f aca="false">K169</f>
        <v>-1569230.0192</v>
      </c>
      <c r="M168" s="136" t="n">
        <f aca="false">L169</f>
        <v>-1879814.7136</v>
      </c>
      <c r="N168" s="136" t="n">
        <f aca="false">M169</f>
        <v>-2185227.2352</v>
      </c>
      <c r="O168" s="136" t="n">
        <f aca="false">N169</f>
        <v>-2171475.584</v>
      </c>
      <c r="P168" s="136" t="n">
        <f aca="false">O169</f>
        <v>-2435144.56</v>
      </c>
      <c r="Q168" s="136" t="n">
        <f aca="false">P169</f>
        <v>-2693641.3632</v>
      </c>
      <c r="R168" s="136" t="n">
        <f aca="false">Q169</f>
        <v>-2946965.9936</v>
      </c>
      <c r="S168" s="136" t="n">
        <f aca="false">R169</f>
        <v>-3195120.8512</v>
      </c>
      <c r="T168" s="136" t="n">
        <f aca="false">S169</f>
        <v>-3438101.376</v>
      </c>
      <c r="U168" s="136" t="n">
        <f aca="false">T169</f>
        <v>-3559244.256</v>
      </c>
      <c r="V168" s="136" t="n">
        <f aca="false">U169</f>
        <v>-3682487.616</v>
      </c>
      <c r="W168" s="136" t="n">
        <f aca="false">V169</f>
        <v>-3807831.456</v>
      </c>
      <c r="X168" s="136"/>
    </row>
    <row r="169" customFormat="false" ht="15.75" hidden="false" customHeight="true" outlineLevel="0" collapsed="false">
      <c r="B169" s="135" t="s">
        <v>57</v>
      </c>
      <c r="C169" s="136" t="n">
        <v>0</v>
      </c>
      <c r="D169" s="136" t="n">
        <f aca="false">D167+D168</f>
        <v>749683.679999998</v>
      </c>
      <c r="E169" s="136" t="n">
        <f aca="false">E167+E168</f>
        <v>402893.775999998</v>
      </c>
      <c r="F169" s="136" t="n">
        <f aca="false">F167+F168</f>
        <v>61276.0447999977</v>
      </c>
      <c r="G169" s="136" t="n">
        <f aca="false">G167+G168</f>
        <v>-275169.513600002</v>
      </c>
      <c r="H169" s="136" t="n">
        <f aca="false">H167+H168</f>
        <v>-606442.899200002</v>
      </c>
      <c r="I169" s="136" t="n">
        <f aca="false">I167+I168</f>
        <v>-932544.112000002</v>
      </c>
      <c r="J169" s="136" t="n">
        <f aca="false">J167+J168</f>
        <v>-1253473.152</v>
      </c>
      <c r="K169" s="136" t="n">
        <f aca="false">K167+K168</f>
        <v>-1569230.0192</v>
      </c>
      <c r="L169" s="136" t="n">
        <f aca="false">L167+L168</f>
        <v>-1879814.7136</v>
      </c>
      <c r="M169" s="136" t="n">
        <f aca="false">M167+M168</f>
        <v>-2185227.2352</v>
      </c>
      <c r="N169" s="136" t="n">
        <f aca="false">N167+N168</f>
        <v>-2171475.584</v>
      </c>
      <c r="O169" s="136" t="n">
        <f aca="false">O167+O168</f>
        <v>-2435144.56</v>
      </c>
      <c r="P169" s="136" t="n">
        <f aca="false">P167+P168</f>
        <v>-2693641.3632</v>
      </c>
      <c r="Q169" s="136" t="n">
        <f aca="false">Q167+Q168</f>
        <v>-2946965.9936</v>
      </c>
      <c r="R169" s="136" t="n">
        <f aca="false">R167+R168</f>
        <v>-3195120.8512</v>
      </c>
      <c r="S169" s="136" t="n">
        <f aca="false">S167+S168</f>
        <v>-3438101.376</v>
      </c>
      <c r="T169" s="136" t="n">
        <f aca="false">T167+T168</f>
        <v>-3559244.256</v>
      </c>
      <c r="U169" s="136" t="n">
        <f aca="false">U167+U168</f>
        <v>-3682487.616</v>
      </c>
      <c r="V169" s="136" t="n">
        <f aca="false">V167+V168</f>
        <v>-3807831.456</v>
      </c>
      <c r="W169" s="136" t="n">
        <f aca="false">W167+W168</f>
        <v>-3935275.776</v>
      </c>
      <c r="X169" s="136"/>
    </row>
    <row r="170" customFormat="false" ht="15.75" hidden="false" customHeight="true" outlineLevel="0" collapsed="false"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</row>
    <row r="171" customFormat="false" ht="15.75" hidden="false" customHeight="true" outlineLevel="0" collapsed="false">
      <c r="B171" s="135"/>
      <c r="C171" s="135"/>
      <c r="D171" s="135"/>
      <c r="E171" s="135"/>
      <c r="F171" s="139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</row>
    <row r="172" customFormat="false" ht="15.75" hidden="false" customHeight="true" outlineLevel="0" collapsed="false">
      <c r="B172" s="148" t="s">
        <v>58</v>
      </c>
      <c r="C172" s="149"/>
      <c r="D172" s="150" t="n">
        <f aca="false">-D162</f>
        <v>-11363520</v>
      </c>
      <c r="E172" s="138" t="n">
        <f aca="false">-E163-E164</f>
        <v>-1882076.688</v>
      </c>
      <c r="F172" s="138" t="n">
        <f aca="false">-F163-F164</f>
        <v>-1835527.1328</v>
      </c>
      <c r="G172" s="138" t="n">
        <f aca="false">-G163-G164</f>
        <v>-1788977.5776</v>
      </c>
      <c r="H172" s="138" t="n">
        <f aca="false">-H163-H164</f>
        <v>-1742428.0224</v>
      </c>
      <c r="I172" s="138" t="n">
        <f aca="false">-I163-I164</f>
        <v>-1695878.4672</v>
      </c>
      <c r="J172" s="138" t="n">
        <f aca="false">-J163-J164</f>
        <v>-1649328.912</v>
      </c>
      <c r="K172" s="138" t="n">
        <f aca="false">-K163-K164</f>
        <v>-1602779.3568</v>
      </c>
      <c r="L172" s="138" t="n">
        <f aca="false">-L163-L164</f>
        <v>-1556229.8016</v>
      </c>
      <c r="M172" s="138" t="n">
        <f aca="false">-M163-M164</f>
        <v>-1509680.2464</v>
      </c>
      <c r="N172" s="138" t="n">
        <f aca="false">-N163-N164</f>
        <v>-1463130.6912</v>
      </c>
      <c r="O172" s="138" t="n">
        <f aca="false">-O163-O164</f>
        <v>-1133988.336</v>
      </c>
      <c r="P172" s="138" t="n">
        <f aca="false">-P163-P164</f>
        <v>-1087438.7808</v>
      </c>
      <c r="Q172" s="138" t="n">
        <f aca="false">-Q163-Q164</f>
        <v>-1040889.2256</v>
      </c>
      <c r="R172" s="138" t="n">
        <f aca="false">-R163-R164</f>
        <v>-994339.6704</v>
      </c>
      <c r="S172" s="138" t="n">
        <f aca="false">-S163-S164</f>
        <v>-947792.2752</v>
      </c>
      <c r="T172" s="138" t="n">
        <f aca="false">-T163-T164</f>
        <v>1939637.28</v>
      </c>
      <c r="U172" s="138" t="n">
        <f aca="false">-U163-U164</f>
        <v>1920732.96</v>
      </c>
      <c r="V172" s="138" t="n">
        <f aca="false">-V163-V164</f>
        <v>1901828.64</v>
      </c>
      <c r="W172" s="138" t="n">
        <f aca="false">-W163-W164</f>
        <v>1882924.32</v>
      </c>
      <c r="X172" s="138"/>
    </row>
    <row r="173" customFormat="false" ht="15.75" hidden="false" customHeight="true" outlineLevel="0" collapsed="false">
      <c r="B173" s="135" t="s">
        <v>59</v>
      </c>
      <c r="C173" s="151" t="e">
        <f aca="false">IRR(D172:W172)</f>
        <v>#N/A</v>
      </c>
      <c r="D173" s="139"/>
      <c r="E173" s="139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9"/>
    </row>
    <row r="174" customFormat="false" ht="15.75" hidden="false" customHeight="true" outlineLevel="0" collapsed="false">
      <c r="B174" s="148" t="s">
        <v>60</v>
      </c>
      <c r="C174" s="149"/>
      <c r="D174" s="150" t="n">
        <f aca="false">D153-D162</f>
        <v>-13454716.32</v>
      </c>
      <c r="E174" s="138" t="n">
        <f aca="false">E153-E164</f>
        <v>-2039474.592</v>
      </c>
      <c r="F174" s="138" t="n">
        <f aca="false">F153-F164</f>
        <v>-1987752.864</v>
      </c>
      <c r="G174" s="138" t="n">
        <f aca="false">G153-G164</f>
        <v>-1936031.136</v>
      </c>
      <c r="H174" s="138" t="n">
        <f aca="false">H153-H164</f>
        <v>-1884309.408</v>
      </c>
      <c r="I174" s="138" t="n">
        <f aca="false">I153-I164</f>
        <v>-1832587.68</v>
      </c>
      <c r="J174" s="138" t="n">
        <f aca="false">J153-J164</f>
        <v>-1780865.952</v>
      </c>
      <c r="K174" s="138" t="n">
        <f aca="false">K153-K164</f>
        <v>-1729144.224</v>
      </c>
      <c r="L174" s="138" t="n">
        <f aca="false">L153-L164</f>
        <v>-1677422.496</v>
      </c>
      <c r="M174" s="138" t="n">
        <f aca="false">M153-M164</f>
        <v>-1625700.768</v>
      </c>
      <c r="N174" s="138" t="n">
        <f aca="false">N153-N164</f>
        <v>-1259987.04</v>
      </c>
      <c r="O174" s="138" t="n">
        <f aca="false">O153-O164</f>
        <v>-1208265.312</v>
      </c>
      <c r="P174" s="138" t="n">
        <f aca="false">P153-P164</f>
        <v>-1156543.584</v>
      </c>
      <c r="Q174" s="138" t="n">
        <f aca="false">Q153-Q164</f>
        <v>-1104821.856</v>
      </c>
      <c r="R174" s="138" t="n">
        <f aca="false">R153-R164</f>
        <v>-1053102.528</v>
      </c>
      <c r="S174" s="138" t="n">
        <f aca="false">S153-S164</f>
        <v>-1001380.8</v>
      </c>
      <c r="T174" s="138" t="n">
        <f aca="false">T153-T164</f>
        <v>1818494.4</v>
      </c>
      <c r="U174" s="138" t="n">
        <f aca="false">U153-U164</f>
        <v>1797489.6</v>
      </c>
      <c r="V174" s="138" t="n">
        <f aca="false">V153-V164</f>
        <v>1776484.8</v>
      </c>
      <c r="W174" s="138" t="n">
        <f aca="false">W153-W164</f>
        <v>1755480</v>
      </c>
      <c r="X174" s="138"/>
    </row>
    <row r="175" customFormat="false" ht="15.75" hidden="false" customHeight="true" outlineLevel="0" collapsed="false">
      <c r="B175" s="148" t="s">
        <v>61</v>
      </c>
      <c r="C175" s="151" t="e">
        <f aca="false">IRR(D174:W174)</f>
        <v>#N/A</v>
      </c>
      <c r="D175" s="139"/>
      <c r="E175" s="139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9"/>
    </row>
    <row r="176" customFormat="false" ht="15.75" hidden="false" customHeight="true" outlineLevel="0" collapsed="false"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</row>
    <row r="177" customFormat="false" ht="15.75" hidden="false" customHeight="true" outlineLevel="0" collapsed="false">
      <c r="B177" s="135" t="s">
        <v>62</v>
      </c>
      <c r="C177" s="136" t="n">
        <v>0</v>
      </c>
      <c r="D177" s="136" t="n">
        <f aca="false">D160</f>
        <v>45454080</v>
      </c>
      <c r="E177" s="136" t="n">
        <f aca="false">D177+E161</f>
        <v>42423808</v>
      </c>
      <c r="F177" s="136" t="n">
        <f aca="false">E177+F161</f>
        <v>39393536</v>
      </c>
      <c r="G177" s="136" t="n">
        <f aca="false">F177+G161</f>
        <v>36363264</v>
      </c>
      <c r="H177" s="136" t="n">
        <f aca="false">G177+H161</f>
        <v>33332992</v>
      </c>
      <c r="I177" s="136" t="n">
        <f aca="false">H177+I161</f>
        <v>30302720</v>
      </c>
      <c r="J177" s="136" t="n">
        <f aca="false">I177+J161</f>
        <v>27272448</v>
      </c>
      <c r="K177" s="136" t="n">
        <f aca="false">J177+K161</f>
        <v>24242176</v>
      </c>
      <c r="L177" s="136" t="n">
        <f aca="false">K177+L161</f>
        <v>21211904</v>
      </c>
      <c r="M177" s="136" t="n">
        <f aca="false">L177+M161</f>
        <v>18181632</v>
      </c>
      <c r="N177" s="136" t="n">
        <f aca="false">M177+N161</f>
        <v>15151360</v>
      </c>
      <c r="O177" s="136" t="n">
        <f aca="false">N177+O161</f>
        <v>12121088</v>
      </c>
      <c r="P177" s="136" t="n">
        <f aca="false">O177+P161</f>
        <v>9090816</v>
      </c>
      <c r="Q177" s="136" t="n">
        <f aca="false">P177+Q161</f>
        <v>6060544</v>
      </c>
      <c r="R177" s="136" t="n">
        <f aca="false">Q177+R161</f>
        <v>3030272</v>
      </c>
      <c r="S177" s="136" t="n">
        <f aca="false">R177+S161</f>
        <v>0</v>
      </c>
      <c r="T177" s="136" t="n">
        <f aca="false">S177+T161</f>
        <v>0</v>
      </c>
      <c r="U177" s="136" t="n">
        <f aca="false">T177+U161</f>
        <v>0</v>
      </c>
      <c r="V177" s="136" t="n">
        <f aca="false">U177+V161</f>
        <v>0</v>
      </c>
      <c r="W177" s="136" t="n">
        <f aca="false">V177+W161</f>
        <v>0</v>
      </c>
      <c r="X177" s="1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25.47"/>
    <col collapsed="false" customWidth="true" hidden="false" outlineLevel="0" max="2" min="2" style="1" width="24.56"/>
    <col collapsed="false" customWidth="true" hidden="false" outlineLevel="0" max="3" min="3" style="1" width="9.1"/>
    <col collapsed="false" customWidth="true" hidden="false" outlineLevel="0" max="4" min="4" style="1" width="10.01"/>
    <col collapsed="false" customWidth="true" hidden="false" outlineLevel="0" max="5" min="5" style="1" width="45.49"/>
    <col collapsed="false" customWidth="true" hidden="false" outlineLevel="0" max="6" min="6" style="1" width="10.92"/>
    <col collapsed="false" customWidth="true" hidden="false" outlineLevel="0" max="13" min="13" style="1" width="45.49"/>
    <col collapsed="false" customWidth="true" hidden="false" outlineLevel="0" max="14" min="14" style="1" width="10.92"/>
    <col collapsed="false" customWidth="true" hidden="false" outlineLevel="0" max="24" min="24" style="1" width="9.1"/>
    <col collapsed="false" customWidth="true" hidden="false" outlineLevel="0" max="28" min="28" style="1" width="10.01"/>
    <col collapsed="false" customWidth="true" hidden="false" outlineLevel="0" max="35" min="35" style="1" width="29.63"/>
    <col collapsed="false" customWidth="true" hidden="false" outlineLevel="0" max="36" min="36" style="1" width="8.32"/>
  </cols>
  <sheetData>
    <row r="1" customFormat="false" ht="22.5" hidden="false" customHeight="true" outlineLevel="0" collapsed="false">
      <c r="A1" s="152" t="s">
        <v>63</v>
      </c>
      <c r="B1" s="152"/>
      <c r="C1" s="152"/>
      <c r="D1" s="152"/>
      <c r="E1" s="153" t="s">
        <v>64</v>
      </c>
      <c r="O1" s="154" t="n">
        <f aca="false">1-C11</f>
        <v>0.99</v>
      </c>
      <c r="P1" s="154" t="n">
        <f aca="false">O1-$C12</f>
        <v>0.986</v>
      </c>
      <c r="Q1" s="154" t="n">
        <f aca="false">P1-$C12</f>
        <v>0.982</v>
      </c>
      <c r="R1" s="154" t="n">
        <f aca="false">Q1-$C12</f>
        <v>0.978</v>
      </c>
      <c r="S1" s="154" t="n">
        <f aca="false">R1-$C12</f>
        <v>0.974</v>
      </c>
      <c r="T1" s="154" t="n">
        <f aca="false">S1-$C12</f>
        <v>0.97</v>
      </c>
      <c r="U1" s="154" t="n">
        <f aca="false">T1-$C12</f>
        <v>0.966</v>
      </c>
      <c r="V1" s="154" t="n">
        <f aca="false">U1-$C12</f>
        <v>0.962</v>
      </c>
      <c r="W1" s="154" t="n">
        <f aca="false">V1-$C12</f>
        <v>0.958</v>
      </c>
      <c r="X1" s="154" t="n">
        <f aca="false">W1-$C12</f>
        <v>0.954</v>
      </c>
      <c r="Y1" s="154" t="n">
        <f aca="false">X1-$C12</f>
        <v>0.95</v>
      </c>
      <c r="Z1" s="154" t="n">
        <f aca="false">Y1-$C12</f>
        <v>0.946</v>
      </c>
      <c r="AA1" s="154" t="n">
        <f aca="false">Z1-$C12</f>
        <v>0.942</v>
      </c>
      <c r="AB1" s="154" t="n">
        <f aca="false">AA1-$C12</f>
        <v>0.938</v>
      </c>
      <c r="AC1" s="154" t="n">
        <f aca="false">AB1-$C12</f>
        <v>0.934</v>
      </c>
      <c r="AD1" s="154" t="n">
        <f aca="false">AC1-$C12</f>
        <v>0.93</v>
      </c>
      <c r="AE1" s="154" t="n">
        <f aca="false">AD1-$C12</f>
        <v>0.926</v>
      </c>
      <c r="AF1" s="154" t="n">
        <f aca="false">AE1-$C12</f>
        <v>0.922</v>
      </c>
      <c r="AG1" s="154" t="n">
        <f aca="false">AF1-$C12</f>
        <v>0.918</v>
      </c>
      <c r="AH1" s="154" t="n">
        <f aca="false">AG1-$C12</f>
        <v>0.914</v>
      </c>
    </row>
    <row r="2" customFormat="false" ht="21.75" hidden="false" customHeight="true" outlineLevel="0" collapsed="false">
      <c r="A2" s="155" t="s">
        <v>65</v>
      </c>
      <c r="B2" s="156" t="s">
        <v>2</v>
      </c>
      <c r="C2" s="155" t="s">
        <v>2</v>
      </c>
      <c r="D2" s="157" t="s">
        <v>26</v>
      </c>
      <c r="E2" s="158" t="s">
        <v>66</v>
      </c>
    </row>
    <row r="3" customFormat="false" ht="21.75" hidden="false" customHeight="true" outlineLevel="0" collapsed="false">
      <c r="A3" s="159" t="s">
        <v>67</v>
      </c>
      <c r="B3" s="160" t="n">
        <v>20</v>
      </c>
      <c r="C3" s="159" t="n">
        <v>20</v>
      </c>
      <c r="D3" s="161" t="s">
        <v>26</v>
      </c>
      <c r="E3" s="158" t="s">
        <v>68</v>
      </c>
    </row>
    <row r="4" customFormat="false" ht="21.75" hidden="false" customHeight="true" outlineLevel="0" collapsed="false">
      <c r="A4" s="159" t="s">
        <v>69</v>
      </c>
      <c r="B4" s="160" t="n">
        <v>436.1</v>
      </c>
      <c r="C4" s="159" t="n">
        <v>436.1</v>
      </c>
      <c r="D4" s="161" t="s">
        <v>26</v>
      </c>
      <c r="E4" s="158" t="s">
        <v>70</v>
      </c>
      <c r="M4" s="162" t="s">
        <v>71</v>
      </c>
    </row>
    <row r="5" customFormat="false" ht="22.5" hidden="false" customHeight="true" outlineLevel="0" collapsed="false">
      <c r="A5" s="159" t="s">
        <v>72</v>
      </c>
      <c r="B5" s="160" t="n">
        <v>2020</v>
      </c>
      <c r="C5" s="159" t="n">
        <v>2020</v>
      </c>
      <c r="D5" s="161" t="n">
        <f aca="false">B5+B3-1</f>
        <v>2039</v>
      </c>
      <c r="E5" s="158" t="n">
        <v>2039</v>
      </c>
      <c r="M5" s="162" t="s">
        <v>73</v>
      </c>
    </row>
    <row r="6" customFormat="false" ht="20.25" hidden="false" customHeight="true" outlineLevel="0" collapsed="false">
      <c r="A6" s="163"/>
      <c r="B6" s="163"/>
      <c r="C6" s="163"/>
      <c r="D6" s="163"/>
      <c r="E6" s="164"/>
      <c r="M6" s="162" t="s">
        <v>74</v>
      </c>
    </row>
    <row r="7" customFormat="false" ht="22.5" hidden="false" customHeight="true" outlineLevel="0" collapsed="false">
      <c r="A7" s="152" t="s">
        <v>75</v>
      </c>
      <c r="B7" s="152"/>
      <c r="C7" s="152"/>
      <c r="D7" s="152"/>
      <c r="E7" s="164"/>
      <c r="M7" s="162" t="s">
        <v>76</v>
      </c>
    </row>
    <row r="8" customFormat="false" ht="22.5" hidden="false" customHeight="true" outlineLevel="0" collapsed="false">
      <c r="A8" s="165" t="s">
        <v>77</v>
      </c>
      <c r="B8" s="165"/>
      <c r="C8" s="165"/>
      <c r="D8" s="165"/>
      <c r="E8" s="164"/>
      <c r="M8" s="162" t="s">
        <v>78</v>
      </c>
    </row>
    <row r="9" customFormat="false" ht="22.5" hidden="false" customHeight="true" outlineLevel="0" collapsed="false">
      <c r="A9" s="166" t="s">
        <v>79</v>
      </c>
      <c r="B9" s="167" t="s">
        <v>80</v>
      </c>
      <c r="C9" s="167" t="s">
        <v>81</v>
      </c>
      <c r="D9" s="168" t="s">
        <v>82</v>
      </c>
      <c r="E9" s="153" t="s">
        <v>64</v>
      </c>
      <c r="M9" s="162" t="s">
        <v>83</v>
      </c>
    </row>
    <row r="10" customFormat="false" ht="30" hidden="false" customHeight="true" outlineLevel="0" collapsed="false">
      <c r="A10" s="169" t="s">
        <v>84</v>
      </c>
      <c r="B10" s="155" t="s">
        <v>85</v>
      </c>
      <c r="C10" s="170" t="n">
        <v>547002</v>
      </c>
      <c r="D10" s="171" t="n">
        <v>547002</v>
      </c>
      <c r="E10" s="158" t="n">
        <v>20</v>
      </c>
      <c r="M10" s="162" t="s">
        <v>86</v>
      </c>
    </row>
    <row r="11" customFormat="false" ht="30" hidden="false" customHeight="true" outlineLevel="0" collapsed="false">
      <c r="A11" s="169"/>
      <c r="B11" s="159" t="s">
        <v>87</v>
      </c>
      <c r="C11" s="172" t="n">
        <v>0.01</v>
      </c>
      <c r="D11" s="171"/>
      <c r="E11" s="158" t="s">
        <v>88</v>
      </c>
    </row>
    <row r="12" customFormat="false" ht="30" hidden="false" customHeight="true" outlineLevel="0" collapsed="false">
      <c r="A12" s="169"/>
      <c r="B12" s="159" t="s">
        <v>89</v>
      </c>
      <c r="C12" s="173" t="n">
        <v>0.004</v>
      </c>
      <c r="D12" s="171"/>
      <c r="E12" s="158" t="s">
        <v>90</v>
      </c>
    </row>
    <row r="13" customFormat="false" ht="22.5" hidden="false" customHeight="true" outlineLevel="0" collapsed="false">
      <c r="A13" s="169"/>
      <c r="B13" s="174" t="s">
        <v>91</v>
      </c>
      <c r="C13" s="175" t="n">
        <v>4</v>
      </c>
      <c r="D13" s="171"/>
      <c r="E13" s="158" t="s">
        <v>92</v>
      </c>
    </row>
    <row r="14" customFormat="false" ht="22.5" hidden="false" customHeight="true" outlineLevel="0" collapsed="false">
      <c r="A14" s="176" t="s">
        <v>93</v>
      </c>
      <c r="B14" s="176"/>
      <c r="C14" s="176"/>
      <c r="D14" s="176"/>
      <c r="E14" s="164"/>
    </row>
    <row r="15" customFormat="false" ht="22.5" hidden="false" customHeight="true" outlineLevel="0" collapsed="false">
      <c r="A15" s="166" t="s">
        <v>79</v>
      </c>
      <c r="B15" s="167" t="s">
        <v>80</v>
      </c>
      <c r="C15" s="167" t="s">
        <v>81</v>
      </c>
      <c r="D15" s="168" t="s">
        <v>94</v>
      </c>
      <c r="E15" s="153" t="s">
        <v>64</v>
      </c>
    </row>
    <row r="16" customFormat="false" ht="21.75" hidden="false" customHeight="true" outlineLevel="0" collapsed="false">
      <c r="A16" s="155" t="s">
        <v>95</v>
      </c>
      <c r="B16" s="155" t="s">
        <v>96</v>
      </c>
      <c r="C16" s="177" t="n">
        <v>35000</v>
      </c>
      <c r="D16" s="157" t="n">
        <v>31000</v>
      </c>
      <c r="E16" s="158" t="n">
        <v>20</v>
      </c>
    </row>
    <row r="17" customFormat="false" ht="21.75" hidden="false" customHeight="true" outlineLevel="0" collapsed="false">
      <c r="A17" s="155"/>
      <c r="B17" s="159" t="s">
        <v>97</v>
      </c>
      <c r="C17" s="160" t="n">
        <v>0.3</v>
      </c>
      <c r="D17" s="157"/>
      <c r="E17" s="158" t="s">
        <v>98</v>
      </c>
    </row>
    <row r="18" customFormat="false" ht="21.75" hidden="false" customHeight="true" outlineLevel="0" collapsed="false">
      <c r="A18" s="155"/>
      <c r="B18" s="159" t="s">
        <v>99</v>
      </c>
      <c r="C18" s="178" t="n">
        <v>2000</v>
      </c>
      <c r="D18" s="157"/>
      <c r="E18" s="158" t="s">
        <v>100</v>
      </c>
    </row>
    <row r="19" customFormat="false" ht="54" hidden="false" customHeight="true" outlineLevel="0" collapsed="false">
      <c r="A19" s="159" t="s">
        <v>101</v>
      </c>
      <c r="B19" s="179" t="s">
        <v>102</v>
      </c>
      <c r="C19" s="160" t="n">
        <v>1</v>
      </c>
      <c r="D19" s="157" t="n">
        <v>1</v>
      </c>
      <c r="E19" s="158" t="n">
        <v>0</v>
      </c>
    </row>
    <row r="20" customFormat="false" ht="20.25" hidden="false" customHeight="true" outlineLevel="0" collapsed="false">
      <c r="A20" s="159"/>
      <c r="B20" s="180" t="s">
        <v>103</v>
      </c>
      <c r="C20" s="178" t="n">
        <v>290201</v>
      </c>
      <c r="D20" s="157" t="n">
        <v>290201</v>
      </c>
      <c r="E20" s="158" t="n">
        <v>20</v>
      </c>
    </row>
    <row r="21" customFormat="false" ht="30" hidden="false" customHeight="true" outlineLevel="0" collapsed="false">
      <c r="A21" s="159"/>
      <c r="B21" s="159" t="s">
        <v>104</v>
      </c>
      <c r="C21" s="160"/>
      <c r="D21" s="161" t="n">
        <v>0</v>
      </c>
      <c r="E21" s="158" t="n">
        <v>0</v>
      </c>
    </row>
    <row r="22" customFormat="false" ht="30" hidden="false" customHeight="true" outlineLevel="0" collapsed="false">
      <c r="A22" s="159" t="s">
        <v>105</v>
      </c>
      <c r="B22" s="159" t="s">
        <v>106</v>
      </c>
      <c r="C22" s="178" t="n">
        <v>400</v>
      </c>
      <c r="D22" s="161" t="n">
        <v>400</v>
      </c>
      <c r="E22" s="158" t="n">
        <v>20</v>
      </c>
    </row>
    <row r="23" customFormat="false" ht="30" hidden="false" customHeight="true" outlineLevel="0" collapsed="false">
      <c r="A23" s="159" t="s">
        <v>107</v>
      </c>
      <c r="B23" s="159" t="s">
        <v>108</v>
      </c>
      <c r="C23" s="160" t="n">
        <v>0.003</v>
      </c>
      <c r="D23" s="161" t="n">
        <v>0.003</v>
      </c>
      <c r="E23" s="158" t="n">
        <v>20</v>
      </c>
    </row>
    <row r="24" customFormat="false" ht="30" hidden="false" customHeight="true" outlineLevel="0" collapsed="false">
      <c r="A24" s="159" t="s">
        <v>109</v>
      </c>
      <c r="B24" s="159" t="s">
        <v>110</v>
      </c>
      <c r="C24" s="178" t="n">
        <v>1000</v>
      </c>
      <c r="D24" s="181" t="n">
        <v>1000</v>
      </c>
      <c r="E24" s="158" t="n">
        <v>10</v>
      </c>
    </row>
    <row r="25" customFormat="false" ht="30" hidden="false" customHeight="true" outlineLevel="0" collapsed="false">
      <c r="A25" s="159" t="s">
        <v>111</v>
      </c>
      <c r="B25" s="159" t="s">
        <v>112</v>
      </c>
      <c r="C25" s="173" t="n">
        <v>0.0256</v>
      </c>
      <c r="D25" s="161" t="n">
        <v>0.0256</v>
      </c>
      <c r="E25" s="158" t="n">
        <v>0</v>
      </c>
    </row>
    <row r="26" customFormat="false" ht="30" hidden="false" customHeight="true" outlineLevel="0" collapsed="false">
      <c r="A26" s="159" t="s">
        <v>14</v>
      </c>
      <c r="B26" s="159" t="s">
        <v>113</v>
      </c>
      <c r="C26" s="160" t="n">
        <v>0.2</v>
      </c>
      <c r="D26" s="161" t="n">
        <v>0.2</v>
      </c>
      <c r="E26" s="158" t="n">
        <v>0</v>
      </c>
    </row>
    <row r="27" customFormat="false" ht="20.25" hidden="false" customHeight="true" outlineLevel="0" collapsed="false">
      <c r="A27" s="163"/>
      <c r="B27" s="163"/>
      <c r="C27" s="163"/>
      <c r="D27" s="163"/>
      <c r="E27" s="164"/>
    </row>
    <row r="28" customFormat="false" ht="20.25" hidden="false" customHeight="true" outlineLevel="0" collapsed="false">
      <c r="A28" s="163"/>
      <c r="B28" s="163"/>
      <c r="C28" s="163"/>
      <c r="D28" s="163"/>
      <c r="E28" s="164"/>
    </row>
    <row r="29" customFormat="false" ht="22.5" hidden="false" customHeight="true" outlineLevel="0" collapsed="false">
      <c r="A29" s="152" t="s">
        <v>114</v>
      </c>
      <c r="B29" s="152"/>
      <c r="C29" s="152"/>
      <c r="D29" s="163"/>
      <c r="E29" s="164"/>
    </row>
    <row r="30" customFormat="false" ht="22.5" hidden="false" customHeight="true" outlineLevel="0" collapsed="false">
      <c r="A30" s="166" t="s">
        <v>115</v>
      </c>
      <c r="B30" s="167" t="s">
        <v>80</v>
      </c>
      <c r="C30" s="182" t="s">
        <v>81</v>
      </c>
      <c r="D30" s="163"/>
      <c r="E30" s="153" t="s">
        <v>64</v>
      </c>
    </row>
    <row r="31" customFormat="false" ht="30" hidden="false" customHeight="true" outlineLevel="0" collapsed="false">
      <c r="A31" s="155" t="s">
        <v>116</v>
      </c>
      <c r="B31" s="155" t="s">
        <v>117</v>
      </c>
      <c r="C31" s="183" t="n">
        <v>0.8</v>
      </c>
      <c r="D31" s="163" t="n">
        <v>0.8</v>
      </c>
      <c r="E31" s="158" t="s">
        <v>118</v>
      </c>
    </row>
    <row r="32" customFormat="false" ht="18.75" hidden="false" customHeight="true" outlineLevel="0" collapsed="false">
      <c r="A32" s="155" t="s">
        <v>119</v>
      </c>
      <c r="B32" s="155" t="s">
        <v>120</v>
      </c>
      <c r="C32" s="183" t="n">
        <v>15</v>
      </c>
      <c r="D32" s="163" t="n">
        <v>15</v>
      </c>
      <c r="E32" s="158" t="s">
        <v>121</v>
      </c>
    </row>
    <row r="33" customFormat="false" ht="18.75" hidden="false" customHeight="true" outlineLevel="0" collapsed="false">
      <c r="A33" s="159" t="s">
        <v>53</v>
      </c>
      <c r="B33" s="159" t="s">
        <v>122</v>
      </c>
      <c r="C33" s="160" t="n">
        <v>0.9</v>
      </c>
      <c r="D33" s="163" t="n">
        <v>0.9</v>
      </c>
      <c r="E33" s="158" t="s">
        <v>123</v>
      </c>
    </row>
    <row r="34" customFormat="false" ht="30" hidden="false" customHeight="true" outlineLevel="0" collapsed="false">
      <c r="A34" s="159" t="s">
        <v>54</v>
      </c>
      <c r="B34" s="159" t="s">
        <v>120</v>
      </c>
      <c r="C34" s="160" t="n">
        <v>4</v>
      </c>
      <c r="D34" s="163" t="n">
        <v>4</v>
      </c>
      <c r="E34" s="158" t="s">
        <v>124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62" t="n">
        <v>2020</v>
      </c>
      <c r="E37" s="162" t="n">
        <v>2021</v>
      </c>
      <c r="F37" s="162" t="n">
        <v>2022</v>
      </c>
      <c r="G37" s="162" t="n">
        <v>2023</v>
      </c>
      <c r="H37" s="162" t="n">
        <v>2024</v>
      </c>
      <c r="I37" s="162" t="n">
        <v>2025</v>
      </c>
      <c r="J37" s="162" t="n">
        <v>2026</v>
      </c>
      <c r="K37" s="162" t="n">
        <v>2027</v>
      </c>
      <c r="L37" s="162" t="n">
        <v>2028</v>
      </c>
      <c r="M37" s="162" t="n">
        <v>2029</v>
      </c>
      <c r="N37" s="162" t="n">
        <v>2030</v>
      </c>
      <c r="O37" s="162" t="n">
        <v>2031</v>
      </c>
      <c r="P37" s="162" t="n">
        <v>2032</v>
      </c>
      <c r="Q37" s="162" t="n">
        <v>2033</v>
      </c>
      <c r="R37" s="162" t="n">
        <v>2034</v>
      </c>
      <c r="S37" s="162" t="n">
        <v>2035</v>
      </c>
      <c r="T37" s="162" t="n">
        <v>2036</v>
      </c>
      <c r="U37" s="162" t="n">
        <v>2037</v>
      </c>
      <c r="V37" s="162" t="n">
        <v>2038</v>
      </c>
      <c r="W37" s="162" t="n">
        <v>2039</v>
      </c>
    </row>
    <row r="45" customFormat="false" ht="15.75" hidden="false" customHeight="true" outlineLevel="0" collapsed="false">
      <c r="D45" s="162" t="n">
        <v>-290201</v>
      </c>
      <c r="E45" s="162" t="n">
        <v>-290201</v>
      </c>
      <c r="F45" s="162" t="n">
        <v>-290201</v>
      </c>
      <c r="G45" s="162" t="n">
        <v>-290201</v>
      </c>
      <c r="H45" s="162" t="n">
        <v>-290201</v>
      </c>
      <c r="I45" s="162" t="n">
        <v>-290201</v>
      </c>
      <c r="J45" s="162" t="n">
        <v>-290201</v>
      </c>
      <c r="K45" s="162" t="n">
        <v>-290201</v>
      </c>
      <c r="L45" s="162" t="n">
        <v>-290201</v>
      </c>
      <c r="M45" s="162" t="n">
        <v>-290201</v>
      </c>
      <c r="N45" s="162" t="n">
        <v>-290201</v>
      </c>
      <c r="O45" s="162" t="n">
        <v>-290201</v>
      </c>
      <c r="P45" s="162" t="n">
        <v>-290201</v>
      </c>
      <c r="Q45" s="162" t="n">
        <v>-290201</v>
      </c>
      <c r="R45" s="162" t="n">
        <v>-290201</v>
      </c>
      <c r="S45" s="162" t="n">
        <v>-290201</v>
      </c>
      <c r="T45" s="162" t="n">
        <v>-290201</v>
      </c>
      <c r="U45" s="162" t="n">
        <v>-290201</v>
      </c>
      <c r="V45" s="162" t="n">
        <v>-290201</v>
      </c>
      <c r="W45" s="162" t="n">
        <v>-290201</v>
      </c>
    </row>
    <row r="48" customFormat="false" ht="15.75" hidden="false" customHeight="true" outlineLevel="0" collapsed="false">
      <c r="D48" s="162" t="n">
        <v>-174440</v>
      </c>
      <c r="E48" s="162" t="n">
        <v>-174440</v>
      </c>
      <c r="F48" s="162" t="n">
        <v>-174440</v>
      </c>
      <c r="G48" s="162" t="n">
        <v>-174440</v>
      </c>
      <c r="H48" s="162" t="n">
        <v>-174440</v>
      </c>
      <c r="I48" s="162" t="n">
        <v>-174440</v>
      </c>
      <c r="J48" s="162" t="n">
        <v>-174440</v>
      </c>
      <c r="K48" s="162" t="n">
        <v>-174440</v>
      </c>
      <c r="L48" s="162" t="n">
        <v>-174440</v>
      </c>
      <c r="M48" s="162" t="n">
        <v>-174440</v>
      </c>
      <c r="N48" s="162" t="n">
        <v>-174440</v>
      </c>
      <c r="O48" s="162" t="n">
        <v>-174440</v>
      </c>
      <c r="P48" s="162" t="n">
        <v>-174440</v>
      </c>
      <c r="Q48" s="162" t="n">
        <v>-174440</v>
      </c>
      <c r="R48" s="162" t="n">
        <v>-174440</v>
      </c>
      <c r="S48" s="162" t="n">
        <v>-174440</v>
      </c>
      <c r="T48" s="162" t="n">
        <v>-174440</v>
      </c>
      <c r="U48" s="162" t="n">
        <v>-174440</v>
      </c>
      <c r="V48" s="162" t="n">
        <v>-174440</v>
      </c>
      <c r="W48" s="162" t="n">
        <v>-174440</v>
      </c>
    </row>
    <row r="49" customFormat="false" ht="15.75" hidden="false" customHeight="true" outlineLevel="0" collapsed="false">
      <c r="D49" s="162" t="n">
        <v>-40557.3</v>
      </c>
      <c r="E49" s="162" t="n">
        <v>-40557.3</v>
      </c>
      <c r="F49" s="162" t="n">
        <v>-40557.3</v>
      </c>
      <c r="G49" s="162" t="n">
        <v>-40557.3</v>
      </c>
      <c r="H49" s="162" t="n">
        <v>-40557.3</v>
      </c>
      <c r="I49" s="162" t="n">
        <v>-40557.3</v>
      </c>
      <c r="J49" s="162" t="n">
        <v>-40557.3</v>
      </c>
      <c r="K49" s="162" t="n">
        <v>-40557.3</v>
      </c>
      <c r="L49" s="162" t="n">
        <v>-40557.3</v>
      </c>
      <c r="M49" s="162" t="n">
        <v>-40557.3</v>
      </c>
      <c r="N49" s="162" t="n">
        <v>-40557.3</v>
      </c>
      <c r="O49" s="162" t="n">
        <v>-40557.3</v>
      </c>
      <c r="P49" s="162" t="n">
        <v>-40557.3</v>
      </c>
      <c r="Q49" s="162" t="n">
        <v>-40557.3</v>
      </c>
      <c r="R49" s="162" t="n">
        <v>-40557.3</v>
      </c>
      <c r="S49" s="162" t="n">
        <v>-40557.3</v>
      </c>
      <c r="T49" s="162" t="n">
        <v>-40557.3</v>
      </c>
      <c r="U49" s="162" t="n">
        <v>-40557.3</v>
      </c>
      <c r="V49" s="162" t="n">
        <v>-40557.3</v>
      </c>
      <c r="W49" s="162" t="n">
        <v>-40557.3</v>
      </c>
    </row>
    <row r="50" customFormat="false" ht="15.75" hidden="false" customHeight="true" outlineLevel="0" collapsed="false">
      <c r="D50" s="162" t="n">
        <v>-43610</v>
      </c>
      <c r="E50" s="162" t="n">
        <v>-43610</v>
      </c>
      <c r="F50" s="162" t="n">
        <v>-43610</v>
      </c>
      <c r="G50" s="162" t="n">
        <v>-43610</v>
      </c>
      <c r="H50" s="162" t="n">
        <v>-43610</v>
      </c>
      <c r="I50" s="162" t="n">
        <v>-43610</v>
      </c>
      <c r="J50" s="162" t="n">
        <v>-43610</v>
      </c>
      <c r="K50" s="162" t="n">
        <v>-43610</v>
      </c>
      <c r="L50" s="162" t="n">
        <v>-43610</v>
      </c>
      <c r="M50" s="162" t="n">
        <v>-43610</v>
      </c>
      <c r="N50" s="162" t="n">
        <v>0</v>
      </c>
      <c r="O50" s="162" t="n">
        <v>0</v>
      </c>
      <c r="P50" s="162" t="n">
        <v>0</v>
      </c>
      <c r="Q50" s="162" t="n">
        <v>0</v>
      </c>
      <c r="R50" s="162" t="n">
        <v>0</v>
      </c>
      <c r="S50" s="162" t="n">
        <v>0</v>
      </c>
      <c r="T50" s="162" t="n">
        <v>0</v>
      </c>
      <c r="U50" s="162" t="n">
        <v>0</v>
      </c>
      <c r="V50" s="162" t="n">
        <v>0</v>
      </c>
      <c r="W50" s="162" t="n">
        <v>0</v>
      </c>
    </row>
    <row r="54" customFormat="false" ht="15" hidden="false" customHeight="true" outlineLevel="0" collapsed="false">
      <c r="D54" s="1" t="n">
        <f aca="false">D77</f>
        <v>0</v>
      </c>
      <c r="E54" s="1" t="n">
        <f aca="false">E77</f>
        <v>0</v>
      </c>
      <c r="F54" s="1" t="n">
        <f aca="false">F77</f>
        <v>0</v>
      </c>
      <c r="G54" s="1" t="n">
        <f aca="false">G77</f>
        <v>0</v>
      </c>
      <c r="H54" s="1" t="n">
        <f aca="false">H77</f>
        <v>0</v>
      </c>
      <c r="I54" s="1" t="n">
        <f aca="false">I77</f>
        <v>0</v>
      </c>
      <c r="J54" s="1" t="n">
        <f aca="false">J77</f>
        <v>0</v>
      </c>
      <c r="K54" s="1" t="n">
        <f aca="false">K77</f>
        <v>0</v>
      </c>
      <c r="L54" s="1" t="n">
        <f aca="false">L77</f>
        <v>0</v>
      </c>
      <c r="M54" s="1" t="n">
        <f aca="false">M77</f>
        <v>0</v>
      </c>
      <c r="N54" s="1" t="n">
        <f aca="false">N77</f>
        <v>0</v>
      </c>
      <c r="O54" s="1" t="n">
        <f aca="false">O77</f>
        <v>0</v>
      </c>
      <c r="P54" s="1" t="n">
        <f aca="false">P77</f>
        <v>0</v>
      </c>
      <c r="Q54" s="1" t="n">
        <f aca="false">Q77</f>
        <v>0</v>
      </c>
      <c r="R54" s="1" t="n">
        <f aca="false">R77</f>
        <v>0</v>
      </c>
      <c r="S54" s="1" t="n">
        <f aca="false">S77</f>
        <v>0</v>
      </c>
      <c r="T54" s="1" t="n">
        <f aca="false">T77</f>
        <v>0</v>
      </c>
      <c r="U54" s="1" t="n">
        <f aca="false">U77</f>
        <v>0</v>
      </c>
      <c r="V54" s="1" t="n">
        <f aca="false">V77</f>
        <v>0</v>
      </c>
      <c r="W54" s="1" t="n">
        <f aca="false">W77</f>
        <v>0</v>
      </c>
    </row>
    <row r="70" customFormat="false" ht="15" hidden="false" customHeight="true" outlineLevel="0" collapsed="false"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25.47"/>
    <col collapsed="false" customWidth="true" hidden="false" outlineLevel="0" max="2" min="2" style="1" width="24.56"/>
    <col collapsed="false" customWidth="true" hidden="false" outlineLevel="0" max="3" min="3" style="1" width="9.1"/>
    <col collapsed="false" customWidth="true" hidden="false" outlineLevel="0" max="4" min="4" style="1" width="10.01"/>
    <col collapsed="false" customWidth="true" hidden="false" outlineLevel="0" max="5" min="5" style="1" width="45.49"/>
    <col collapsed="false" customWidth="true" hidden="false" outlineLevel="0" max="6" min="6" style="1" width="10.01"/>
    <col collapsed="false" customWidth="true" hidden="false" outlineLevel="0" max="13" min="13" style="1" width="45.49"/>
    <col collapsed="false" customWidth="true" hidden="false" outlineLevel="0" max="14" min="14" style="1" width="10.01"/>
    <col collapsed="false" customWidth="true" hidden="false" outlineLevel="0" max="24" min="24" style="1" width="9.1"/>
    <col collapsed="false" customWidth="true" hidden="false" outlineLevel="0" max="28" min="28" style="1" width="10.01"/>
    <col collapsed="false" customWidth="true" hidden="false" outlineLevel="0" max="35" min="35" style="1" width="29.63"/>
    <col collapsed="false" customWidth="true" hidden="false" outlineLevel="0" max="36" min="36" style="1" width="8.32"/>
  </cols>
  <sheetData>
    <row r="1" customFormat="false" ht="22.5" hidden="false" customHeight="true" outlineLevel="0" collapsed="false">
      <c r="A1" s="152" t="s">
        <v>63</v>
      </c>
      <c r="B1" s="152"/>
      <c r="C1" s="152"/>
      <c r="D1" s="152"/>
      <c r="E1" s="153" t="s">
        <v>64</v>
      </c>
      <c r="O1" s="154" t="n">
        <f aca="false">1-C11</f>
        <v>0.99</v>
      </c>
      <c r="P1" s="154" t="n">
        <f aca="false">O1-$C12</f>
        <v>0.986</v>
      </c>
      <c r="Q1" s="154" t="n">
        <f aca="false">P1-$C12</f>
        <v>0.982</v>
      </c>
      <c r="R1" s="154" t="n">
        <f aca="false">Q1-$C12</f>
        <v>0.978</v>
      </c>
      <c r="S1" s="154" t="n">
        <f aca="false">R1-$C12</f>
        <v>0.974</v>
      </c>
      <c r="T1" s="154" t="n">
        <f aca="false">S1-$C12</f>
        <v>0.97</v>
      </c>
      <c r="U1" s="154" t="n">
        <f aca="false">T1-$C12</f>
        <v>0.966</v>
      </c>
      <c r="V1" s="154" t="n">
        <f aca="false">U1-$C12</f>
        <v>0.962</v>
      </c>
      <c r="W1" s="154" t="n">
        <f aca="false">V1-$C12</f>
        <v>0.958</v>
      </c>
      <c r="X1" s="154" t="n">
        <f aca="false">W1-$C12</f>
        <v>0.954</v>
      </c>
      <c r="Y1" s="154" t="n">
        <f aca="false">X1-$C12</f>
        <v>0.95</v>
      </c>
      <c r="Z1" s="154" t="n">
        <f aca="false">Y1-$C12</f>
        <v>0.946</v>
      </c>
      <c r="AA1" s="154" t="n">
        <f aca="false">Z1-$C12</f>
        <v>0.942</v>
      </c>
      <c r="AB1" s="154" t="n">
        <f aca="false">AA1-$C12</f>
        <v>0.938</v>
      </c>
      <c r="AC1" s="154" t="n">
        <f aca="false">AB1-$C12</f>
        <v>0.934</v>
      </c>
      <c r="AD1" s="154" t="n">
        <f aca="false">AC1-$C12</f>
        <v>0.93</v>
      </c>
      <c r="AE1" s="154" t="n">
        <f aca="false">AD1-$C12</f>
        <v>0.926</v>
      </c>
      <c r="AF1" s="154" t="n">
        <f aca="false">AE1-$C12</f>
        <v>0.922</v>
      </c>
      <c r="AG1" s="154" t="n">
        <f aca="false">AF1-$C12</f>
        <v>0.918</v>
      </c>
      <c r="AH1" s="154" t="n">
        <f aca="false">AG1-$C12</f>
        <v>0.914</v>
      </c>
    </row>
    <row r="2" customFormat="false" ht="21.75" hidden="false" customHeight="true" outlineLevel="0" collapsed="false">
      <c r="A2" s="155" t="s">
        <v>65</v>
      </c>
      <c r="B2" s="156" t="s">
        <v>2</v>
      </c>
      <c r="C2" s="155" t="s">
        <v>2</v>
      </c>
      <c r="D2" s="157" t="s">
        <v>26</v>
      </c>
      <c r="E2" s="158" t="s">
        <v>66</v>
      </c>
    </row>
    <row r="3" customFormat="false" ht="21.75" hidden="false" customHeight="true" outlineLevel="0" collapsed="false">
      <c r="A3" s="159" t="s">
        <v>67</v>
      </c>
      <c r="B3" s="160" t="n">
        <v>20</v>
      </c>
      <c r="C3" s="159" t="n">
        <v>20</v>
      </c>
      <c r="D3" s="161" t="s">
        <v>26</v>
      </c>
      <c r="E3" s="158" t="s">
        <v>68</v>
      </c>
    </row>
    <row r="4" customFormat="false" ht="21.75" hidden="false" customHeight="true" outlineLevel="0" collapsed="false">
      <c r="A4" s="159" t="s">
        <v>69</v>
      </c>
      <c r="B4" s="160" t="n">
        <v>436.1</v>
      </c>
      <c r="C4" s="159" t="n">
        <v>436.1</v>
      </c>
      <c r="D4" s="161" t="s">
        <v>26</v>
      </c>
      <c r="E4" s="158" t="s">
        <v>70</v>
      </c>
      <c r="M4" s="162" t="s">
        <v>125</v>
      </c>
    </row>
    <row r="5" customFormat="false" ht="22.5" hidden="false" customHeight="true" outlineLevel="0" collapsed="false">
      <c r="A5" s="159" t="s">
        <v>72</v>
      </c>
      <c r="B5" s="160" t="n">
        <v>2020</v>
      </c>
      <c r="C5" s="159" t="n">
        <v>2020</v>
      </c>
      <c r="D5" s="161" t="n">
        <f aca="false">B5+B3-1</f>
        <v>2039</v>
      </c>
      <c r="E5" s="158" t="n">
        <v>2039</v>
      </c>
      <c r="M5" s="162" t="s">
        <v>126</v>
      </c>
    </row>
    <row r="6" customFormat="false" ht="20.25" hidden="false" customHeight="true" outlineLevel="0" collapsed="false">
      <c r="A6" s="163"/>
      <c r="B6" s="163"/>
      <c r="C6" s="163"/>
      <c r="D6" s="163"/>
      <c r="E6" s="164"/>
      <c r="M6" s="162" t="s">
        <v>127</v>
      </c>
    </row>
    <row r="7" customFormat="false" ht="22.5" hidden="false" customHeight="true" outlineLevel="0" collapsed="false">
      <c r="A7" s="152" t="s">
        <v>75</v>
      </c>
      <c r="B7" s="152"/>
      <c r="C7" s="152"/>
      <c r="D7" s="152"/>
      <c r="E7" s="164"/>
      <c r="M7" s="162" t="s">
        <v>128</v>
      </c>
    </row>
    <row r="8" customFormat="false" ht="22.5" hidden="false" customHeight="true" outlineLevel="0" collapsed="false">
      <c r="A8" s="165" t="s">
        <v>77</v>
      </c>
      <c r="B8" s="165"/>
      <c r="C8" s="165"/>
      <c r="D8" s="165"/>
      <c r="E8" s="164"/>
      <c r="M8" s="162" t="s">
        <v>129</v>
      </c>
    </row>
    <row r="9" customFormat="false" ht="22.5" hidden="false" customHeight="true" outlineLevel="0" collapsed="false">
      <c r="A9" s="166" t="s">
        <v>79</v>
      </c>
      <c r="B9" s="167" t="s">
        <v>80</v>
      </c>
      <c r="C9" s="167" t="s">
        <v>81</v>
      </c>
      <c r="D9" s="168" t="s">
        <v>82</v>
      </c>
      <c r="E9" s="153" t="s">
        <v>64</v>
      </c>
      <c r="M9" s="162" t="s">
        <v>83</v>
      </c>
    </row>
    <row r="10" customFormat="false" ht="30" hidden="false" customHeight="true" outlineLevel="0" collapsed="false">
      <c r="A10" s="169" t="s">
        <v>84</v>
      </c>
      <c r="B10" s="155" t="s">
        <v>85</v>
      </c>
      <c r="C10" s="170" t="n">
        <v>547002</v>
      </c>
      <c r="D10" s="171" t="n">
        <v>547002</v>
      </c>
      <c r="E10" s="158" t="n">
        <v>20</v>
      </c>
      <c r="M10" s="162" t="s">
        <v>130</v>
      </c>
    </row>
    <row r="11" customFormat="false" ht="30" hidden="false" customHeight="true" outlineLevel="0" collapsed="false">
      <c r="A11" s="169"/>
      <c r="B11" s="159" t="s">
        <v>87</v>
      </c>
      <c r="C11" s="172" t="n">
        <v>0.01</v>
      </c>
      <c r="D11" s="171"/>
      <c r="E11" s="158" t="s">
        <v>88</v>
      </c>
    </row>
    <row r="12" customFormat="false" ht="30" hidden="false" customHeight="true" outlineLevel="0" collapsed="false">
      <c r="A12" s="169"/>
      <c r="B12" s="159" t="s">
        <v>89</v>
      </c>
      <c r="C12" s="173" t="n">
        <v>0.004</v>
      </c>
      <c r="D12" s="171"/>
      <c r="E12" s="158" t="s">
        <v>90</v>
      </c>
    </row>
    <row r="13" customFormat="false" ht="22.5" hidden="false" customHeight="true" outlineLevel="0" collapsed="false">
      <c r="A13" s="169"/>
      <c r="B13" s="174" t="s">
        <v>91</v>
      </c>
      <c r="C13" s="175" t="n">
        <v>4</v>
      </c>
      <c r="D13" s="171"/>
      <c r="E13" s="158" t="s">
        <v>92</v>
      </c>
    </row>
    <row r="14" customFormat="false" ht="22.5" hidden="false" customHeight="true" outlineLevel="0" collapsed="false">
      <c r="A14" s="176" t="s">
        <v>93</v>
      </c>
      <c r="B14" s="176"/>
      <c r="C14" s="176"/>
      <c r="D14" s="176"/>
      <c r="E14" s="164"/>
    </row>
    <row r="15" customFormat="false" ht="22.5" hidden="false" customHeight="true" outlineLevel="0" collapsed="false">
      <c r="A15" s="166" t="s">
        <v>79</v>
      </c>
      <c r="B15" s="167" t="s">
        <v>80</v>
      </c>
      <c r="C15" s="167" t="s">
        <v>81</v>
      </c>
      <c r="D15" s="168" t="s">
        <v>94</v>
      </c>
      <c r="E15" s="153" t="s">
        <v>64</v>
      </c>
    </row>
    <row r="16" customFormat="false" ht="21.75" hidden="false" customHeight="true" outlineLevel="0" collapsed="false">
      <c r="A16" s="155" t="s">
        <v>95</v>
      </c>
      <c r="B16" s="155" t="s">
        <v>96</v>
      </c>
      <c r="C16" s="177" t="n">
        <v>35000</v>
      </c>
      <c r="D16" s="157" t="n">
        <v>25000</v>
      </c>
      <c r="E16" s="158" t="n">
        <v>20</v>
      </c>
    </row>
    <row r="17" customFormat="false" ht="21.75" hidden="false" customHeight="true" outlineLevel="0" collapsed="false">
      <c r="A17" s="155"/>
      <c r="B17" s="159" t="s">
        <v>97</v>
      </c>
      <c r="C17" s="160" t="n">
        <v>0.3</v>
      </c>
      <c r="D17" s="157"/>
      <c r="E17" s="158" t="s">
        <v>98</v>
      </c>
    </row>
    <row r="18" customFormat="false" ht="21.75" hidden="false" customHeight="true" outlineLevel="0" collapsed="false">
      <c r="A18" s="155"/>
      <c r="B18" s="159" t="s">
        <v>99</v>
      </c>
      <c r="C18" s="178" t="n">
        <v>2000</v>
      </c>
      <c r="D18" s="157"/>
      <c r="E18" s="158" t="s">
        <v>100</v>
      </c>
    </row>
    <row r="19" customFormat="false" ht="54" hidden="false" customHeight="true" outlineLevel="0" collapsed="false">
      <c r="A19" s="159" t="s">
        <v>101</v>
      </c>
      <c r="B19" s="179" t="s">
        <v>102</v>
      </c>
      <c r="C19" s="160" t="n">
        <v>1</v>
      </c>
      <c r="D19" s="157" t="n">
        <v>1</v>
      </c>
      <c r="E19" s="158" t="n">
        <v>0</v>
      </c>
    </row>
    <row r="20" customFormat="false" ht="20.25" hidden="false" customHeight="true" outlineLevel="0" collapsed="false">
      <c r="A20" s="159"/>
      <c r="B20" s="180" t="s">
        <v>103</v>
      </c>
      <c r="C20" s="178" t="n">
        <v>290201</v>
      </c>
      <c r="D20" s="157" t="n">
        <v>290201</v>
      </c>
      <c r="E20" s="158" t="n">
        <v>20</v>
      </c>
    </row>
    <row r="21" customFormat="false" ht="30" hidden="false" customHeight="true" outlineLevel="0" collapsed="false">
      <c r="A21" s="159"/>
      <c r="B21" s="159" t="s">
        <v>104</v>
      </c>
      <c r="C21" s="160"/>
      <c r="D21" s="161" t="n">
        <v>0</v>
      </c>
      <c r="E21" s="158" t="n">
        <v>0</v>
      </c>
    </row>
    <row r="22" customFormat="false" ht="30" hidden="false" customHeight="true" outlineLevel="0" collapsed="false">
      <c r="A22" s="159" t="s">
        <v>105</v>
      </c>
      <c r="B22" s="159" t="s">
        <v>106</v>
      </c>
      <c r="C22" s="178" t="n">
        <v>400</v>
      </c>
      <c r="D22" s="161" t="n">
        <v>400</v>
      </c>
      <c r="E22" s="158" t="n">
        <v>20</v>
      </c>
    </row>
    <row r="23" customFormat="false" ht="30" hidden="false" customHeight="true" outlineLevel="0" collapsed="false">
      <c r="A23" s="159" t="s">
        <v>107</v>
      </c>
      <c r="B23" s="159" t="s">
        <v>108</v>
      </c>
      <c r="C23" s="160" t="n">
        <v>0.003</v>
      </c>
      <c r="D23" s="161" t="n">
        <v>0.003</v>
      </c>
      <c r="E23" s="158" t="n">
        <v>20</v>
      </c>
    </row>
    <row r="24" customFormat="false" ht="30" hidden="false" customHeight="true" outlineLevel="0" collapsed="false">
      <c r="A24" s="159" t="s">
        <v>109</v>
      </c>
      <c r="B24" s="159" t="s">
        <v>110</v>
      </c>
      <c r="C24" s="178" t="n">
        <v>1000</v>
      </c>
      <c r="D24" s="181" t="n">
        <v>1000</v>
      </c>
      <c r="E24" s="158" t="n">
        <v>10</v>
      </c>
    </row>
    <row r="25" customFormat="false" ht="30" hidden="false" customHeight="true" outlineLevel="0" collapsed="false">
      <c r="A25" s="159" t="s">
        <v>111</v>
      </c>
      <c r="B25" s="159" t="s">
        <v>112</v>
      </c>
      <c r="C25" s="173" t="n">
        <v>0.0256</v>
      </c>
      <c r="D25" s="161" t="n">
        <v>0.0256</v>
      </c>
      <c r="E25" s="158" t="n">
        <v>0</v>
      </c>
    </row>
    <row r="26" customFormat="false" ht="30" hidden="false" customHeight="true" outlineLevel="0" collapsed="false">
      <c r="A26" s="159" t="s">
        <v>14</v>
      </c>
      <c r="B26" s="159" t="s">
        <v>113</v>
      </c>
      <c r="C26" s="160" t="n">
        <v>0.2</v>
      </c>
      <c r="D26" s="161" t="n">
        <v>0.2</v>
      </c>
      <c r="E26" s="158" t="n">
        <v>0</v>
      </c>
    </row>
    <row r="27" customFormat="false" ht="20.25" hidden="false" customHeight="true" outlineLevel="0" collapsed="false">
      <c r="A27" s="163"/>
      <c r="B27" s="163"/>
      <c r="C27" s="163"/>
      <c r="D27" s="163"/>
      <c r="E27" s="164"/>
    </row>
    <row r="28" customFormat="false" ht="20.25" hidden="false" customHeight="true" outlineLevel="0" collapsed="false">
      <c r="A28" s="163"/>
      <c r="B28" s="163"/>
      <c r="C28" s="163"/>
      <c r="D28" s="163"/>
      <c r="E28" s="164"/>
    </row>
    <row r="29" customFormat="false" ht="22.5" hidden="false" customHeight="true" outlineLevel="0" collapsed="false">
      <c r="A29" s="152" t="s">
        <v>114</v>
      </c>
      <c r="B29" s="152"/>
      <c r="C29" s="152"/>
      <c r="D29" s="163"/>
      <c r="E29" s="164"/>
    </row>
    <row r="30" customFormat="false" ht="22.5" hidden="false" customHeight="true" outlineLevel="0" collapsed="false">
      <c r="A30" s="166" t="s">
        <v>115</v>
      </c>
      <c r="B30" s="167" t="s">
        <v>80</v>
      </c>
      <c r="C30" s="182" t="s">
        <v>81</v>
      </c>
      <c r="D30" s="163"/>
      <c r="E30" s="153" t="s">
        <v>64</v>
      </c>
    </row>
    <row r="31" customFormat="false" ht="30" hidden="false" customHeight="true" outlineLevel="0" collapsed="false">
      <c r="A31" s="155" t="s">
        <v>116</v>
      </c>
      <c r="B31" s="155" t="s">
        <v>117</v>
      </c>
      <c r="C31" s="183" t="n">
        <v>0.8</v>
      </c>
      <c r="D31" s="163" t="n">
        <v>0.8</v>
      </c>
      <c r="E31" s="158" t="s">
        <v>118</v>
      </c>
    </row>
    <row r="32" customFormat="false" ht="18.75" hidden="false" customHeight="true" outlineLevel="0" collapsed="false">
      <c r="A32" s="155" t="s">
        <v>119</v>
      </c>
      <c r="B32" s="155" t="s">
        <v>120</v>
      </c>
      <c r="C32" s="183" t="n">
        <v>15</v>
      </c>
      <c r="D32" s="163" t="n">
        <v>15</v>
      </c>
      <c r="E32" s="158" t="s">
        <v>121</v>
      </c>
    </row>
    <row r="33" customFormat="false" ht="18.75" hidden="false" customHeight="true" outlineLevel="0" collapsed="false">
      <c r="A33" s="159" t="s">
        <v>53</v>
      </c>
      <c r="B33" s="159" t="s">
        <v>122</v>
      </c>
      <c r="C33" s="160" t="n">
        <v>0.9</v>
      </c>
      <c r="D33" s="163" t="n">
        <v>0.9</v>
      </c>
      <c r="E33" s="158" t="s">
        <v>123</v>
      </c>
    </row>
    <row r="34" customFormat="false" ht="30" hidden="false" customHeight="true" outlineLevel="0" collapsed="false">
      <c r="A34" s="159" t="s">
        <v>54</v>
      </c>
      <c r="B34" s="159" t="s">
        <v>120</v>
      </c>
      <c r="C34" s="160" t="n">
        <v>4</v>
      </c>
      <c r="D34" s="163" t="n">
        <v>4</v>
      </c>
      <c r="E34" s="158" t="s">
        <v>124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62" t="n">
        <v>2020</v>
      </c>
      <c r="E37" s="162" t="n">
        <v>2021</v>
      </c>
      <c r="F37" s="162" t="n">
        <v>2022</v>
      </c>
      <c r="G37" s="162" t="n">
        <v>2023</v>
      </c>
      <c r="H37" s="162" t="n">
        <v>2024</v>
      </c>
      <c r="I37" s="162" t="n">
        <v>2025</v>
      </c>
      <c r="J37" s="162" t="n">
        <v>2026</v>
      </c>
      <c r="K37" s="162" t="n">
        <v>2027</v>
      </c>
      <c r="L37" s="162" t="n">
        <v>2028</v>
      </c>
      <c r="M37" s="162" t="n">
        <v>2029</v>
      </c>
      <c r="N37" s="162" t="n">
        <v>2030</v>
      </c>
      <c r="O37" s="162" t="n">
        <v>2031</v>
      </c>
      <c r="P37" s="162" t="n">
        <v>2032</v>
      </c>
      <c r="Q37" s="162" t="n">
        <v>2033</v>
      </c>
      <c r="R37" s="162" t="n">
        <v>2034</v>
      </c>
      <c r="S37" s="162" t="n">
        <v>2035</v>
      </c>
      <c r="T37" s="162" t="n">
        <v>2036</v>
      </c>
      <c r="U37" s="162" t="n">
        <v>2037</v>
      </c>
      <c r="V37" s="162" t="n">
        <v>2038</v>
      </c>
      <c r="W37" s="162" t="n">
        <v>2039</v>
      </c>
    </row>
    <row r="45" customFormat="false" ht="15.75" hidden="false" customHeight="true" outlineLevel="0" collapsed="false">
      <c r="D45" s="162" t="n">
        <v>-290201</v>
      </c>
      <c r="E45" s="162" t="n">
        <v>-290201</v>
      </c>
      <c r="F45" s="162" t="n">
        <v>-290201</v>
      </c>
      <c r="G45" s="162" t="n">
        <v>-290201</v>
      </c>
      <c r="H45" s="162" t="n">
        <v>-290201</v>
      </c>
      <c r="I45" s="162" t="n">
        <v>-290201</v>
      </c>
      <c r="J45" s="162" t="n">
        <v>-290201</v>
      </c>
      <c r="K45" s="162" t="n">
        <v>-290201</v>
      </c>
      <c r="L45" s="162" t="n">
        <v>-290201</v>
      </c>
      <c r="M45" s="162" t="n">
        <v>-290201</v>
      </c>
      <c r="N45" s="162" t="n">
        <v>-290201</v>
      </c>
      <c r="O45" s="162" t="n">
        <v>-290201</v>
      </c>
      <c r="P45" s="162" t="n">
        <v>-290201</v>
      </c>
      <c r="Q45" s="162" t="n">
        <v>-290201</v>
      </c>
      <c r="R45" s="162" t="n">
        <v>-290201</v>
      </c>
      <c r="S45" s="162" t="n">
        <v>-290201</v>
      </c>
      <c r="T45" s="162" t="n">
        <v>-290201</v>
      </c>
      <c r="U45" s="162" t="n">
        <v>-290201</v>
      </c>
      <c r="V45" s="162" t="n">
        <v>-290201</v>
      </c>
      <c r="W45" s="162" t="n">
        <v>-290201</v>
      </c>
    </row>
    <row r="48" customFormat="false" ht="15.75" hidden="false" customHeight="true" outlineLevel="0" collapsed="false">
      <c r="D48" s="162" t="n">
        <v>-174440</v>
      </c>
      <c r="E48" s="162" t="n">
        <v>-174440</v>
      </c>
      <c r="F48" s="162" t="n">
        <v>-174440</v>
      </c>
      <c r="G48" s="162" t="n">
        <v>-174440</v>
      </c>
      <c r="H48" s="162" t="n">
        <v>-174440</v>
      </c>
      <c r="I48" s="162" t="n">
        <v>-174440</v>
      </c>
      <c r="J48" s="162" t="n">
        <v>-174440</v>
      </c>
      <c r="K48" s="162" t="n">
        <v>-174440</v>
      </c>
      <c r="L48" s="162" t="n">
        <v>-174440</v>
      </c>
      <c r="M48" s="162" t="n">
        <v>-174440</v>
      </c>
      <c r="N48" s="162" t="n">
        <v>-174440</v>
      </c>
      <c r="O48" s="162" t="n">
        <v>-174440</v>
      </c>
      <c r="P48" s="162" t="n">
        <v>-174440</v>
      </c>
      <c r="Q48" s="162" t="n">
        <v>-174440</v>
      </c>
      <c r="R48" s="162" t="n">
        <v>-174440</v>
      </c>
      <c r="S48" s="162" t="n">
        <v>-174440</v>
      </c>
      <c r="T48" s="162" t="n">
        <v>-174440</v>
      </c>
      <c r="U48" s="162" t="n">
        <v>-174440</v>
      </c>
      <c r="V48" s="162" t="n">
        <v>-174440</v>
      </c>
      <c r="W48" s="162" t="n">
        <v>-174440</v>
      </c>
    </row>
    <row r="49" customFormat="false" ht="15.75" hidden="false" customHeight="true" outlineLevel="0" collapsed="false">
      <c r="D49" s="162" t="n">
        <v>-32707.5</v>
      </c>
      <c r="E49" s="162" t="n">
        <v>-32707.5</v>
      </c>
      <c r="F49" s="162" t="n">
        <v>-32707.5</v>
      </c>
      <c r="G49" s="162" t="n">
        <v>-32707.5</v>
      </c>
      <c r="H49" s="162" t="n">
        <v>-32707.5</v>
      </c>
      <c r="I49" s="162" t="n">
        <v>-32707.5</v>
      </c>
      <c r="J49" s="162" t="n">
        <v>-32707.5</v>
      </c>
      <c r="K49" s="162" t="n">
        <v>-32707.5</v>
      </c>
      <c r="L49" s="162" t="n">
        <v>-32707.5</v>
      </c>
      <c r="M49" s="162" t="n">
        <v>-32707.5</v>
      </c>
      <c r="N49" s="162" t="n">
        <v>-32707.5</v>
      </c>
      <c r="O49" s="162" t="n">
        <v>-32707.5</v>
      </c>
      <c r="P49" s="162" t="n">
        <v>-32707.5</v>
      </c>
      <c r="Q49" s="162" t="n">
        <v>-32707.5</v>
      </c>
      <c r="R49" s="162" t="n">
        <v>-32707.5</v>
      </c>
      <c r="S49" s="162" t="n">
        <v>-32707.5</v>
      </c>
      <c r="T49" s="162" t="n">
        <v>-32707.5</v>
      </c>
      <c r="U49" s="162" t="n">
        <v>-32707.5</v>
      </c>
      <c r="V49" s="162" t="n">
        <v>-32707.5</v>
      </c>
      <c r="W49" s="162" t="n">
        <v>-32707.5</v>
      </c>
    </row>
    <row r="50" customFormat="false" ht="15.75" hidden="false" customHeight="true" outlineLevel="0" collapsed="false">
      <c r="D50" s="162" t="n">
        <v>-43610</v>
      </c>
      <c r="E50" s="162" t="n">
        <v>-43610</v>
      </c>
      <c r="F50" s="162" t="n">
        <v>-43610</v>
      </c>
      <c r="G50" s="162" t="n">
        <v>-43610</v>
      </c>
      <c r="H50" s="162" t="n">
        <v>-43610</v>
      </c>
      <c r="I50" s="162" t="n">
        <v>-43610</v>
      </c>
      <c r="J50" s="162" t="n">
        <v>-43610</v>
      </c>
      <c r="K50" s="162" t="n">
        <v>-43610</v>
      </c>
      <c r="L50" s="162" t="n">
        <v>-43610</v>
      </c>
      <c r="M50" s="162" t="n">
        <v>-43610</v>
      </c>
      <c r="N50" s="162" t="n">
        <v>0</v>
      </c>
      <c r="O50" s="162" t="n">
        <v>0</v>
      </c>
      <c r="P50" s="162" t="n">
        <v>0</v>
      </c>
      <c r="Q50" s="162" t="n">
        <v>0</v>
      </c>
      <c r="R50" s="162" t="n">
        <v>0</v>
      </c>
      <c r="S50" s="162" t="n">
        <v>0</v>
      </c>
      <c r="T50" s="162" t="n">
        <v>0</v>
      </c>
      <c r="U50" s="162" t="n">
        <v>0</v>
      </c>
      <c r="V50" s="162" t="n">
        <v>0</v>
      </c>
      <c r="W50" s="162" t="n">
        <v>0</v>
      </c>
    </row>
    <row r="54" customFormat="false" ht="15" hidden="false" customHeight="true" outlineLevel="0" collapsed="false">
      <c r="D54" s="1" t="n">
        <f aca="false">D77</f>
        <v>0</v>
      </c>
      <c r="E54" s="1" t="n">
        <f aca="false">E77</f>
        <v>0</v>
      </c>
      <c r="F54" s="1" t="n">
        <f aca="false">F77</f>
        <v>0</v>
      </c>
      <c r="G54" s="1" t="n">
        <f aca="false">G77</f>
        <v>0</v>
      </c>
      <c r="H54" s="1" t="n">
        <f aca="false">H77</f>
        <v>0</v>
      </c>
      <c r="I54" s="1" t="n">
        <f aca="false">I77</f>
        <v>0</v>
      </c>
      <c r="J54" s="1" t="n">
        <f aca="false">J77</f>
        <v>0</v>
      </c>
      <c r="K54" s="1" t="n">
        <f aca="false">K77</f>
        <v>0</v>
      </c>
      <c r="L54" s="1" t="n">
        <f aca="false">L77</f>
        <v>0</v>
      </c>
      <c r="M54" s="1" t="n">
        <f aca="false">M77</f>
        <v>0</v>
      </c>
      <c r="N54" s="1" t="n">
        <f aca="false">N77</f>
        <v>0</v>
      </c>
      <c r="O54" s="1" t="n">
        <f aca="false">O77</f>
        <v>0</v>
      </c>
      <c r="P54" s="1" t="n">
        <f aca="false">P77</f>
        <v>0</v>
      </c>
      <c r="Q54" s="1" t="n">
        <f aca="false">Q77</f>
        <v>0</v>
      </c>
      <c r="R54" s="1" t="n">
        <f aca="false">R77</f>
        <v>0</v>
      </c>
      <c r="S54" s="1" t="n">
        <f aca="false">S77</f>
        <v>0</v>
      </c>
      <c r="T54" s="1" t="n">
        <f aca="false">T77</f>
        <v>0</v>
      </c>
      <c r="U54" s="1" t="n">
        <f aca="false">U77</f>
        <v>0</v>
      </c>
      <c r="V54" s="1" t="n">
        <f aca="false">V77</f>
        <v>0</v>
      </c>
      <c r="W54" s="1" t="n">
        <f aca="false">W77</f>
        <v>0</v>
      </c>
    </row>
    <row r="70" customFormat="false" ht="15" hidden="false" customHeight="true" outlineLevel="0" collapsed="false"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25.47"/>
    <col collapsed="false" customWidth="true" hidden="false" outlineLevel="0" max="2" min="2" style="1" width="24.56"/>
    <col collapsed="false" customWidth="true" hidden="false" outlineLevel="0" max="3" min="3" style="1" width="9.1"/>
    <col collapsed="false" customWidth="true" hidden="false" outlineLevel="0" max="4" min="4" style="1" width="10.01"/>
    <col collapsed="false" customWidth="true" hidden="false" outlineLevel="0" max="5" min="5" style="1" width="45.49"/>
    <col collapsed="false" customWidth="true" hidden="false" outlineLevel="0" max="6" min="6" style="1" width="19.11"/>
    <col collapsed="false" customWidth="true" hidden="false" outlineLevel="0" max="13" min="13" style="1" width="45.49"/>
    <col collapsed="false" customWidth="true" hidden="false" outlineLevel="0" max="14" min="14" style="1" width="19.11"/>
    <col collapsed="false" customWidth="true" hidden="false" outlineLevel="0" max="20" min="20" style="1" width="10.01"/>
    <col collapsed="false" customWidth="true" hidden="false" outlineLevel="0" max="24" min="24" style="1" width="9.1"/>
    <col collapsed="false" customWidth="true" hidden="false" outlineLevel="0" max="28" min="28" style="1" width="10.01"/>
    <col collapsed="false" customWidth="true" hidden="false" outlineLevel="0" max="35" min="35" style="1" width="29.63"/>
    <col collapsed="false" customWidth="true" hidden="false" outlineLevel="0" max="36" min="36" style="1" width="8.32"/>
  </cols>
  <sheetData>
    <row r="1" customFormat="false" ht="22.5" hidden="false" customHeight="true" outlineLevel="0" collapsed="false">
      <c r="A1" s="152" t="s">
        <v>63</v>
      </c>
      <c r="B1" s="152"/>
      <c r="C1" s="152"/>
      <c r="D1" s="152"/>
      <c r="E1" s="153" t="s">
        <v>64</v>
      </c>
      <c r="O1" s="154" t="n">
        <f aca="false">1-C11</f>
        <v>0.99</v>
      </c>
      <c r="P1" s="154" t="n">
        <f aca="false">O1-$C12</f>
        <v>0.986</v>
      </c>
      <c r="Q1" s="154" t="n">
        <f aca="false">P1-$C12</f>
        <v>0.982</v>
      </c>
      <c r="R1" s="154" t="n">
        <f aca="false">Q1-$C12</f>
        <v>0.978</v>
      </c>
      <c r="S1" s="154" t="n">
        <f aca="false">R1-$C12</f>
        <v>0.974</v>
      </c>
      <c r="T1" s="154" t="n">
        <f aca="false">S1-$C12</f>
        <v>0.97</v>
      </c>
      <c r="U1" s="154" t="n">
        <f aca="false">T1-$C12</f>
        <v>0.966</v>
      </c>
      <c r="V1" s="154" t="n">
        <f aca="false">U1-$C12</f>
        <v>0.962</v>
      </c>
      <c r="W1" s="154" t="n">
        <f aca="false">V1-$C12</f>
        <v>0.958</v>
      </c>
      <c r="X1" s="154" t="n">
        <f aca="false">W1-$C12</f>
        <v>0.954</v>
      </c>
      <c r="Y1" s="154" t="n">
        <f aca="false">X1-$C12</f>
        <v>0.95</v>
      </c>
      <c r="Z1" s="154" t="n">
        <f aca="false">Y1-$C12</f>
        <v>0.946</v>
      </c>
      <c r="AA1" s="154" t="n">
        <f aca="false">Z1-$C12</f>
        <v>0.942</v>
      </c>
      <c r="AB1" s="154" t="n">
        <f aca="false">AA1-$C12</f>
        <v>0.938</v>
      </c>
      <c r="AC1" s="154" t="n">
        <f aca="false">AB1-$C12</f>
        <v>0.934</v>
      </c>
      <c r="AD1" s="154" t="n">
        <f aca="false">AC1-$C12</f>
        <v>0.93</v>
      </c>
      <c r="AE1" s="154" t="n">
        <f aca="false">AD1-$C12</f>
        <v>0.926</v>
      </c>
      <c r="AF1" s="154" t="n">
        <f aca="false">AE1-$C12</f>
        <v>0.922</v>
      </c>
      <c r="AG1" s="154" t="n">
        <f aca="false">AF1-$C12</f>
        <v>0.918</v>
      </c>
      <c r="AH1" s="154" t="n">
        <f aca="false">AG1-$C12</f>
        <v>0.914</v>
      </c>
    </row>
    <row r="2" customFormat="false" ht="21.75" hidden="false" customHeight="true" outlineLevel="0" collapsed="false">
      <c r="A2" s="155" t="s">
        <v>65</v>
      </c>
      <c r="B2" s="156" t="s">
        <v>2</v>
      </c>
      <c r="C2" s="155" t="s">
        <v>2</v>
      </c>
      <c r="D2" s="157" t="s">
        <v>26</v>
      </c>
      <c r="E2" s="158" t="s">
        <v>66</v>
      </c>
    </row>
    <row r="3" customFormat="false" ht="21.75" hidden="false" customHeight="true" outlineLevel="0" collapsed="false">
      <c r="A3" s="159" t="s">
        <v>67</v>
      </c>
      <c r="B3" s="160" t="n">
        <v>20</v>
      </c>
      <c r="C3" s="159" t="n">
        <v>20</v>
      </c>
      <c r="D3" s="161" t="s">
        <v>26</v>
      </c>
      <c r="E3" s="158" t="s">
        <v>68</v>
      </c>
    </row>
    <row r="4" customFormat="false" ht="21.75" hidden="false" customHeight="true" outlineLevel="0" collapsed="false">
      <c r="A4" s="159" t="s">
        <v>69</v>
      </c>
      <c r="B4" s="160" t="n">
        <v>436.1</v>
      </c>
      <c r="C4" s="159" t="n">
        <v>436.1</v>
      </c>
      <c r="D4" s="161" t="s">
        <v>26</v>
      </c>
      <c r="E4" s="158" t="s">
        <v>70</v>
      </c>
      <c r="M4" s="162" t="s">
        <v>131</v>
      </c>
    </row>
    <row r="5" customFormat="false" ht="22.5" hidden="false" customHeight="true" outlineLevel="0" collapsed="false">
      <c r="A5" s="159" t="s">
        <v>72</v>
      </c>
      <c r="B5" s="160" t="n">
        <v>2020</v>
      </c>
      <c r="C5" s="159" t="n">
        <v>2020</v>
      </c>
      <c r="D5" s="161" t="n">
        <f aca="false">B5+B3-1</f>
        <v>2039</v>
      </c>
      <c r="E5" s="158" t="n">
        <v>2039</v>
      </c>
      <c r="M5" s="162" t="s">
        <v>132</v>
      </c>
    </row>
    <row r="6" customFormat="false" ht="20.25" hidden="false" customHeight="true" outlineLevel="0" collapsed="false">
      <c r="A6" s="163"/>
      <c r="B6" s="163"/>
      <c r="C6" s="163"/>
      <c r="D6" s="163"/>
      <c r="E6" s="164"/>
      <c r="M6" s="162" t="s">
        <v>133</v>
      </c>
    </row>
    <row r="7" customFormat="false" ht="22.5" hidden="false" customHeight="true" outlineLevel="0" collapsed="false">
      <c r="A7" s="152" t="s">
        <v>75</v>
      </c>
      <c r="B7" s="152"/>
      <c r="C7" s="152"/>
      <c r="D7" s="152"/>
      <c r="E7" s="164"/>
      <c r="M7" s="162" t="s">
        <v>134</v>
      </c>
    </row>
    <row r="8" customFormat="false" ht="22.5" hidden="false" customHeight="true" outlineLevel="0" collapsed="false">
      <c r="A8" s="165" t="s">
        <v>77</v>
      </c>
      <c r="B8" s="165"/>
      <c r="C8" s="165"/>
      <c r="D8" s="165"/>
      <c r="E8" s="164"/>
      <c r="M8" s="162" t="s">
        <v>135</v>
      </c>
    </row>
    <row r="9" customFormat="false" ht="22.5" hidden="false" customHeight="true" outlineLevel="0" collapsed="false">
      <c r="A9" s="166" t="s">
        <v>79</v>
      </c>
      <c r="B9" s="167" t="s">
        <v>80</v>
      </c>
      <c r="C9" s="167" t="s">
        <v>81</v>
      </c>
      <c r="D9" s="168" t="s">
        <v>82</v>
      </c>
      <c r="E9" s="153" t="s">
        <v>64</v>
      </c>
      <c r="M9" s="162" t="s">
        <v>83</v>
      </c>
    </row>
    <row r="10" customFormat="false" ht="30" hidden="false" customHeight="true" outlineLevel="0" collapsed="false">
      <c r="A10" s="169" t="s">
        <v>84</v>
      </c>
      <c r="B10" s="155" t="s">
        <v>85</v>
      </c>
      <c r="C10" s="170" t="n">
        <v>547002</v>
      </c>
      <c r="D10" s="171" t="n">
        <v>547002</v>
      </c>
      <c r="E10" s="158" t="n">
        <v>20</v>
      </c>
      <c r="M10" s="162" t="s">
        <v>136</v>
      </c>
    </row>
    <row r="11" customFormat="false" ht="30" hidden="false" customHeight="true" outlineLevel="0" collapsed="false">
      <c r="A11" s="169"/>
      <c r="B11" s="159" t="s">
        <v>87</v>
      </c>
      <c r="C11" s="172" t="n">
        <v>0.01</v>
      </c>
      <c r="D11" s="171"/>
      <c r="E11" s="158" t="s">
        <v>88</v>
      </c>
    </row>
    <row r="12" customFormat="false" ht="30" hidden="false" customHeight="true" outlineLevel="0" collapsed="false">
      <c r="A12" s="169"/>
      <c r="B12" s="159" t="s">
        <v>89</v>
      </c>
      <c r="C12" s="173" t="n">
        <v>0.004</v>
      </c>
      <c r="D12" s="171"/>
      <c r="E12" s="158" t="s">
        <v>90</v>
      </c>
    </row>
    <row r="13" customFormat="false" ht="22.5" hidden="false" customHeight="true" outlineLevel="0" collapsed="false">
      <c r="A13" s="169"/>
      <c r="B13" s="174" t="s">
        <v>91</v>
      </c>
      <c r="C13" s="175" t="n">
        <v>4</v>
      </c>
      <c r="D13" s="171"/>
      <c r="E13" s="158" t="s">
        <v>92</v>
      </c>
    </row>
    <row r="14" customFormat="false" ht="22.5" hidden="false" customHeight="true" outlineLevel="0" collapsed="false">
      <c r="A14" s="176" t="s">
        <v>93</v>
      </c>
      <c r="B14" s="176"/>
      <c r="C14" s="176"/>
      <c r="D14" s="176"/>
      <c r="E14" s="164"/>
    </row>
    <row r="15" customFormat="false" ht="22.5" hidden="false" customHeight="true" outlineLevel="0" collapsed="false">
      <c r="A15" s="166" t="s">
        <v>79</v>
      </c>
      <c r="B15" s="167" t="s">
        <v>80</v>
      </c>
      <c r="C15" s="167" t="s">
        <v>81</v>
      </c>
      <c r="D15" s="168" t="s">
        <v>94</v>
      </c>
      <c r="E15" s="153" t="s">
        <v>64</v>
      </c>
    </row>
    <row r="16" customFormat="false" ht="21.75" hidden="false" customHeight="true" outlineLevel="0" collapsed="false">
      <c r="A16" s="155" t="s">
        <v>95</v>
      </c>
      <c r="B16" s="155" t="s">
        <v>96</v>
      </c>
      <c r="C16" s="177" t="n">
        <v>35000</v>
      </c>
      <c r="D16" s="157" t="n">
        <v>29000</v>
      </c>
      <c r="E16" s="158" t="n">
        <v>20</v>
      </c>
    </row>
    <row r="17" customFormat="false" ht="21.75" hidden="false" customHeight="true" outlineLevel="0" collapsed="false">
      <c r="A17" s="155"/>
      <c r="B17" s="159" t="s">
        <v>97</v>
      </c>
      <c r="C17" s="160" t="n">
        <v>0.3</v>
      </c>
      <c r="D17" s="157"/>
      <c r="E17" s="158" t="s">
        <v>98</v>
      </c>
    </row>
    <row r="18" customFormat="false" ht="21.75" hidden="false" customHeight="true" outlineLevel="0" collapsed="false">
      <c r="A18" s="155"/>
      <c r="B18" s="159" t="s">
        <v>99</v>
      </c>
      <c r="C18" s="178" t="n">
        <v>2000</v>
      </c>
      <c r="D18" s="157"/>
      <c r="E18" s="158" t="s">
        <v>100</v>
      </c>
    </row>
    <row r="19" customFormat="false" ht="54" hidden="false" customHeight="true" outlineLevel="0" collapsed="false">
      <c r="A19" s="159" t="s">
        <v>101</v>
      </c>
      <c r="B19" s="179" t="s">
        <v>102</v>
      </c>
      <c r="C19" s="160" t="n">
        <v>1</v>
      </c>
      <c r="D19" s="157" t="n">
        <v>1</v>
      </c>
      <c r="E19" s="158" t="n">
        <v>0</v>
      </c>
    </row>
    <row r="20" customFormat="false" ht="20.25" hidden="false" customHeight="true" outlineLevel="0" collapsed="false">
      <c r="A20" s="159"/>
      <c r="B20" s="180" t="s">
        <v>103</v>
      </c>
      <c r="C20" s="178" t="n">
        <v>290201</v>
      </c>
      <c r="D20" s="157" t="n">
        <v>290201</v>
      </c>
      <c r="E20" s="158" t="n">
        <v>20</v>
      </c>
    </row>
    <row r="21" customFormat="false" ht="30" hidden="false" customHeight="true" outlineLevel="0" collapsed="false">
      <c r="A21" s="159"/>
      <c r="B21" s="159" t="s">
        <v>104</v>
      </c>
      <c r="C21" s="160"/>
      <c r="D21" s="161" t="n">
        <v>0</v>
      </c>
      <c r="E21" s="158" t="n">
        <v>0</v>
      </c>
    </row>
    <row r="22" customFormat="false" ht="30" hidden="false" customHeight="true" outlineLevel="0" collapsed="false">
      <c r="A22" s="159" t="s">
        <v>105</v>
      </c>
      <c r="B22" s="159" t="s">
        <v>106</v>
      </c>
      <c r="C22" s="178" t="n">
        <v>400</v>
      </c>
      <c r="D22" s="161" t="n">
        <v>400</v>
      </c>
      <c r="E22" s="158" t="n">
        <v>20</v>
      </c>
    </row>
    <row r="23" customFormat="false" ht="30" hidden="false" customHeight="true" outlineLevel="0" collapsed="false">
      <c r="A23" s="159" t="s">
        <v>107</v>
      </c>
      <c r="B23" s="159" t="s">
        <v>108</v>
      </c>
      <c r="C23" s="160" t="n">
        <v>0.003</v>
      </c>
      <c r="D23" s="161" t="n">
        <v>0.003</v>
      </c>
      <c r="E23" s="158" t="n">
        <v>20</v>
      </c>
    </row>
    <row r="24" customFormat="false" ht="30" hidden="false" customHeight="true" outlineLevel="0" collapsed="false">
      <c r="A24" s="159" t="s">
        <v>109</v>
      </c>
      <c r="B24" s="159" t="s">
        <v>110</v>
      </c>
      <c r="C24" s="178" t="n">
        <v>1000</v>
      </c>
      <c r="D24" s="181" t="n">
        <v>1000</v>
      </c>
      <c r="E24" s="158" t="n">
        <v>10</v>
      </c>
    </row>
    <row r="25" customFormat="false" ht="30" hidden="false" customHeight="true" outlineLevel="0" collapsed="false">
      <c r="A25" s="159" t="s">
        <v>111</v>
      </c>
      <c r="B25" s="159" t="s">
        <v>112</v>
      </c>
      <c r="C25" s="173" t="n">
        <v>0.0256</v>
      </c>
      <c r="D25" s="161" t="n">
        <v>0.0256</v>
      </c>
      <c r="E25" s="158" t="n">
        <v>0</v>
      </c>
    </row>
    <row r="26" customFormat="false" ht="30" hidden="false" customHeight="true" outlineLevel="0" collapsed="false">
      <c r="A26" s="159" t="s">
        <v>14</v>
      </c>
      <c r="B26" s="159" t="s">
        <v>113</v>
      </c>
      <c r="C26" s="160" t="n">
        <v>0.2</v>
      </c>
      <c r="D26" s="161" t="n">
        <v>0.2</v>
      </c>
      <c r="E26" s="158" t="n">
        <v>0</v>
      </c>
    </row>
    <row r="27" customFormat="false" ht="20.25" hidden="false" customHeight="true" outlineLevel="0" collapsed="false">
      <c r="A27" s="163"/>
      <c r="B27" s="163"/>
      <c r="C27" s="163"/>
      <c r="D27" s="163"/>
      <c r="E27" s="164"/>
    </row>
    <row r="28" customFormat="false" ht="20.25" hidden="false" customHeight="true" outlineLevel="0" collapsed="false">
      <c r="A28" s="163"/>
      <c r="B28" s="163"/>
      <c r="C28" s="163"/>
      <c r="D28" s="163"/>
      <c r="E28" s="164"/>
    </row>
    <row r="29" customFormat="false" ht="22.5" hidden="false" customHeight="true" outlineLevel="0" collapsed="false">
      <c r="A29" s="152" t="s">
        <v>114</v>
      </c>
      <c r="B29" s="152"/>
      <c r="C29" s="152"/>
      <c r="D29" s="163"/>
      <c r="E29" s="164"/>
    </row>
    <row r="30" customFormat="false" ht="22.5" hidden="false" customHeight="true" outlineLevel="0" collapsed="false">
      <c r="A30" s="166" t="s">
        <v>115</v>
      </c>
      <c r="B30" s="167" t="s">
        <v>80</v>
      </c>
      <c r="C30" s="182" t="s">
        <v>81</v>
      </c>
      <c r="D30" s="163"/>
      <c r="E30" s="153" t="s">
        <v>64</v>
      </c>
    </row>
    <row r="31" customFormat="false" ht="30" hidden="false" customHeight="true" outlineLevel="0" collapsed="false">
      <c r="A31" s="155" t="s">
        <v>116</v>
      </c>
      <c r="B31" s="155" t="s">
        <v>117</v>
      </c>
      <c r="C31" s="183" t="n">
        <v>0.8</v>
      </c>
      <c r="D31" s="163" t="n">
        <v>0.8</v>
      </c>
      <c r="E31" s="158" t="s">
        <v>118</v>
      </c>
    </row>
    <row r="32" customFormat="false" ht="18.75" hidden="false" customHeight="true" outlineLevel="0" collapsed="false">
      <c r="A32" s="155" t="s">
        <v>119</v>
      </c>
      <c r="B32" s="155" t="s">
        <v>120</v>
      </c>
      <c r="C32" s="183" t="n">
        <v>15</v>
      </c>
      <c r="D32" s="163" t="n">
        <v>15</v>
      </c>
      <c r="E32" s="158" t="s">
        <v>121</v>
      </c>
    </row>
    <row r="33" customFormat="false" ht="18.75" hidden="false" customHeight="true" outlineLevel="0" collapsed="false">
      <c r="A33" s="159" t="s">
        <v>53</v>
      </c>
      <c r="B33" s="159" t="s">
        <v>122</v>
      </c>
      <c r="C33" s="160" t="n">
        <v>0.9</v>
      </c>
      <c r="D33" s="163" t="n">
        <v>0.9</v>
      </c>
      <c r="E33" s="158" t="s">
        <v>123</v>
      </c>
    </row>
    <row r="34" customFormat="false" ht="30" hidden="false" customHeight="true" outlineLevel="0" collapsed="false">
      <c r="A34" s="159" t="s">
        <v>54</v>
      </c>
      <c r="B34" s="159" t="s">
        <v>120</v>
      </c>
      <c r="C34" s="160" t="n">
        <v>4</v>
      </c>
      <c r="D34" s="163" t="n">
        <v>4</v>
      </c>
      <c r="E34" s="158" t="s">
        <v>124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62" t="n">
        <v>2020</v>
      </c>
      <c r="E37" s="162" t="n">
        <v>2021</v>
      </c>
      <c r="F37" s="162" t="n">
        <v>2022</v>
      </c>
      <c r="G37" s="162" t="n">
        <v>2023</v>
      </c>
      <c r="H37" s="162" t="n">
        <v>2024</v>
      </c>
      <c r="I37" s="162" t="n">
        <v>2025</v>
      </c>
      <c r="J37" s="162" t="n">
        <v>2026</v>
      </c>
      <c r="K37" s="162" t="n">
        <v>2027</v>
      </c>
      <c r="L37" s="162" t="n">
        <v>2028</v>
      </c>
      <c r="M37" s="162" t="n">
        <v>2029</v>
      </c>
      <c r="N37" s="162" t="n">
        <v>2030</v>
      </c>
      <c r="O37" s="162" t="n">
        <v>2031</v>
      </c>
      <c r="P37" s="162" t="n">
        <v>2032</v>
      </c>
      <c r="Q37" s="162" t="n">
        <v>2033</v>
      </c>
      <c r="R37" s="162" t="n">
        <v>2034</v>
      </c>
      <c r="S37" s="162" t="n">
        <v>2035</v>
      </c>
      <c r="T37" s="162" t="n">
        <v>2036</v>
      </c>
      <c r="U37" s="162" t="n">
        <v>2037</v>
      </c>
      <c r="V37" s="162" t="n">
        <v>2038</v>
      </c>
      <c r="W37" s="162" t="n">
        <v>2039</v>
      </c>
    </row>
    <row r="45" customFormat="false" ht="15.75" hidden="false" customHeight="true" outlineLevel="0" collapsed="false">
      <c r="D45" s="162" t="n">
        <v>-290201</v>
      </c>
      <c r="E45" s="162" t="n">
        <v>-290201</v>
      </c>
      <c r="F45" s="162" t="n">
        <v>-290201</v>
      </c>
      <c r="G45" s="162" t="n">
        <v>-290201</v>
      </c>
      <c r="H45" s="162" t="n">
        <v>-290201</v>
      </c>
      <c r="I45" s="162" t="n">
        <v>-290201</v>
      </c>
      <c r="J45" s="162" t="n">
        <v>-290201</v>
      </c>
      <c r="K45" s="162" t="n">
        <v>-290201</v>
      </c>
      <c r="L45" s="162" t="n">
        <v>-290201</v>
      </c>
      <c r="M45" s="162" t="n">
        <v>-290201</v>
      </c>
      <c r="N45" s="162" t="n">
        <v>-290201</v>
      </c>
      <c r="O45" s="162" t="n">
        <v>-290201</v>
      </c>
      <c r="P45" s="162" t="n">
        <v>-290201</v>
      </c>
      <c r="Q45" s="162" t="n">
        <v>-290201</v>
      </c>
      <c r="R45" s="162" t="n">
        <v>-290201</v>
      </c>
      <c r="S45" s="162" t="n">
        <v>-290201</v>
      </c>
      <c r="T45" s="162" t="n">
        <v>-290201</v>
      </c>
      <c r="U45" s="162" t="n">
        <v>-290201</v>
      </c>
      <c r="V45" s="162" t="n">
        <v>-290201</v>
      </c>
      <c r="W45" s="162" t="n">
        <v>-290201</v>
      </c>
    </row>
    <row r="48" customFormat="false" ht="15.75" hidden="false" customHeight="true" outlineLevel="0" collapsed="false">
      <c r="D48" s="162" t="n">
        <v>-174440</v>
      </c>
      <c r="E48" s="162" t="n">
        <v>-174440</v>
      </c>
      <c r="F48" s="162" t="n">
        <v>-174440</v>
      </c>
      <c r="G48" s="162" t="n">
        <v>-174440</v>
      </c>
      <c r="H48" s="162" t="n">
        <v>-174440</v>
      </c>
      <c r="I48" s="162" t="n">
        <v>-174440</v>
      </c>
      <c r="J48" s="162" t="n">
        <v>-174440</v>
      </c>
      <c r="K48" s="162" t="n">
        <v>-174440</v>
      </c>
      <c r="L48" s="162" t="n">
        <v>-174440</v>
      </c>
      <c r="M48" s="162" t="n">
        <v>-174440</v>
      </c>
      <c r="N48" s="162" t="n">
        <v>-174440</v>
      </c>
      <c r="O48" s="162" t="n">
        <v>-174440</v>
      </c>
      <c r="P48" s="162" t="n">
        <v>-174440</v>
      </c>
      <c r="Q48" s="162" t="n">
        <v>-174440</v>
      </c>
      <c r="R48" s="162" t="n">
        <v>-174440</v>
      </c>
      <c r="S48" s="162" t="n">
        <v>-174440</v>
      </c>
      <c r="T48" s="162" t="n">
        <v>-174440</v>
      </c>
      <c r="U48" s="162" t="n">
        <v>-174440</v>
      </c>
      <c r="V48" s="162" t="n">
        <v>-174440</v>
      </c>
      <c r="W48" s="162" t="n">
        <v>-174440</v>
      </c>
    </row>
    <row r="49" customFormat="false" ht="15.75" hidden="false" customHeight="true" outlineLevel="0" collapsed="false">
      <c r="D49" s="162" t="n">
        <v>-37940.7</v>
      </c>
      <c r="E49" s="162" t="n">
        <v>-37940.7</v>
      </c>
      <c r="F49" s="162" t="n">
        <v>-37940.7</v>
      </c>
      <c r="G49" s="162" t="n">
        <v>-37940.7</v>
      </c>
      <c r="H49" s="162" t="n">
        <v>-37940.7</v>
      </c>
      <c r="I49" s="162" t="n">
        <v>-37940.7</v>
      </c>
      <c r="J49" s="162" t="n">
        <v>-37940.7</v>
      </c>
      <c r="K49" s="162" t="n">
        <v>-37940.7</v>
      </c>
      <c r="L49" s="162" t="n">
        <v>-37940.7</v>
      </c>
      <c r="M49" s="162" t="n">
        <v>-37940.7</v>
      </c>
      <c r="N49" s="162" t="n">
        <v>-37940.7</v>
      </c>
      <c r="O49" s="162" t="n">
        <v>-37940.7</v>
      </c>
      <c r="P49" s="162" t="n">
        <v>-37940.7</v>
      </c>
      <c r="Q49" s="162" t="n">
        <v>-37940.7</v>
      </c>
      <c r="R49" s="162" t="n">
        <v>-37940.7</v>
      </c>
      <c r="S49" s="162" t="n">
        <v>-37940.7</v>
      </c>
      <c r="T49" s="162" t="n">
        <v>-37940.7</v>
      </c>
      <c r="U49" s="162" t="n">
        <v>-37940.7</v>
      </c>
      <c r="V49" s="162" t="n">
        <v>-37940.7</v>
      </c>
      <c r="W49" s="162" t="n">
        <v>-37940.7</v>
      </c>
    </row>
    <row r="50" customFormat="false" ht="15.75" hidden="false" customHeight="true" outlineLevel="0" collapsed="false">
      <c r="D50" s="162" t="n">
        <v>-43610</v>
      </c>
      <c r="E50" s="162" t="n">
        <v>-43610</v>
      </c>
      <c r="F50" s="162" t="n">
        <v>-43610</v>
      </c>
      <c r="G50" s="162" t="n">
        <v>-43610</v>
      </c>
      <c r="H50" s="162" t="n">
        <v>-43610</v>
      </c>
      <c r="I50" s="162" t="n">
        <v>-43610</v>
      </c>
      <c r="J50" s="162" t="n">
        <v>-43610</v>
      </c>
      <c r="K50" s="162" t="n">
        <v>-43610</v>
      </c>
      <c r="L50" s="162" t="n">
        <v>-43610</v>
      </c>
      <c r="M50" s="162" t="n">
        <v>-43610</v>
      </c>
      <c r="N50" s="162" t="n">
        <v>0</v>
      </c>
      <c r="O50" s="162" t="n">
        <v>0</v>
      </c>
      <c r="P50" s="162" t="n">
        <v>0</v>
      </c>
      <c r="Q50" s="162" t="n">
        <v>0</v>
      </c>
      <c r="R50" s="162" t="n">
        <v>0</v>
      </c>
      <c r="S50" s="162" t="n">
        <v>0</v>
      </c>
      <c r="T50" s="162" t="n">
        <v>0</v>
      </c>
      <c r="U50" s="162" t="n">
        <v>0</v>
      </c>
      <c r="V50" s="162" t="n">
        <v>0</v>
      </c>
      <c r="W50" s="162" t="n">
        <v>0</v>
      </c>
    </row>
    <row r="54" customFormat="false" ht="15" hidden="false" customHeight="true" outlineLevel="0" collapsed="false">
      <c r="D54" s="1" t="n">
        <f aca="false">D77</f>
        <v>0</v>
      </c>
      <c r="E54" s="1" t="n">
        <f aca="false">E77</f>
        <v>0</v>
      </c>
      <c r="F54" s="1" t="n">
        <f aca="false">F77</f>
        <v>0</v>
      </c>
      <c r="G54" s="1" t="n">
        <f aca="false">G77</f>
        <v>0</v>
      </c>
      <c r="H54" s="1" t="n">
        <f aca="false">H77</f>
        <v>0</v>
      </c>
      <c r="I54" s="1" t="n">
        <f aca="false">I77</f>
        <v>0</v>
      </c>
      <c r="J54" s="1" t="n">
        <f aca="false">J77</f>
        <v>0</v>
      </c>
      <c r="K54" s="1" t="n">
        <f aca="false">K77</f>
        <v>0</v>
      </c>
      <c r="L54" s="1" t="n">
        <f aca="false">L77</f>
        <v>0</v>
      </c>
      <c r="M54" s="1" t="n">
        <f aca="false">M77</f>
        <v>0</v>
      </c>
      <c r="N54" s="1" t="n">
        <f aca="false">N77</f>
        <v>0</v>
      </c>
      <c r="O54" s="1" t="n">
        <f aca="false">O77</f>
        <v>0</v>
      </c>
      <c r="P54" s="1" t="n">
        <f aca="false">P77</f>
        <v>0</v>
      </c>
      <c r="Q54" s="1" t="n">
        <f aca="false">Q77</f>
        <v>0</v>
      </c>
      <c r="R54" s="1" t="n">
        <f aca="false">R77</f>
        <v>0</v>
      </c>
      <c r="S54" s="1" t="n">
        <f aca="false">S77</f>
        <v>0</v>
      </c>
      <c r="T54" s="1" t="n">
        <f aca="false">T77</f>
        <v>0</v>
      </c>
      <c r="U54" s="1" t="n">
        <f aca="false">U77</f>
        <v>0</v>
      </c>
      <c r="V54" s="1" t="n">
        <f aca="false">V77</f>
        <v>0</v>
      </c>
      <c r="W54" s="1" t="n">
        <f aca="false">W77</f>
        <v>0</v>
      </c>
    </row>
    <row r="70" customFormat="false" ht="15" hidden="false" customHeight="true" outlineLevel="0" collapsed="false"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50"/>
    <col collapsed="false" customWidth="true" hidden="false" outlineLevel="0" max="6" min="6" style="1" width="21"/>
    <col collapsed="false" customWidth="true" hidden="false" outlineLevel="0" max="13" min="13" style="1" width="50"/>
    <col collapsed="false" customWidth="true" hidden="false" outlineLevel="0" max="14" min="14" style="1" width="21"/>
    <col collapsed="false" customWidth="true" hidden="false" outlineLevel="0" max="20" min="20" style="1" width="11"/>
    <col collapsed="false" customWidth="true" hidden="false" outlineLevel="0" max="24" min="24" style="1" width="10"/>
    <col collapsed="false" customWidth="true" hidden="false" outlineLevel="0" max="28" min="28" style="1" width="11"/>
    <col collapsed="false" customWidth="true" hidden="false" outlineLevel="0" max="35" min="35" style="1" width="32.58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152" t="s">
        <v>63</v>
      </c>
      <c r="B1" s="152"/>
      <c r="C1" s="152"/>
      <c r="D1" s="152"/>
      <c r="E1" s="153" t="s">
        <v>64</v>
      </c>
      <c r="O1" s="154" t="n">
        <f aca="false">1-C11</f>
        <v>0.99</v>
      </c>
      <c r="P1" s="154" t="n">
        <f aca="false">O1-$C12</f>
        <v>0.986</v>
      </c>
      <c r="Q1" s="154" t="n">
        <f aca="false">P1-$C12</f>
        <v>0.982</v>
      </c>
      <c r="R1" s="154" t="n">
        <f aca="false">Q1-$C12</f>
        <v>0.978</v>
      </c>
      <c r="S1" s="154" t="n">
        <f aca="false">R1-$C12</f>
        <v>0.974</v>
      </c>
      <c r="T1" s="154" t="n">
        <f aca="false">S1-$C12</f>
        <v>0.97</v>
      </c>
      <c r="U1" s="154" t="n">
        <f aca="false">T1-$C12</f>
        <v>0.966</v>
      </c>
      <c r="V1" s="154" t="n">
        <f aca="false">U1-$C12</f>
        <v>0.962</v>
      </c>
      <c r="W1" s="154" t="n">
        <f aca="false">V1-$C12</f>
        <v>0.958</v>
      </c>
      <c r="X1" s="154" t="n">
        <f aca="false">W1-$C12</f>
        <v>0.954</v>
      </c>
      <c r="Y1" s="154" t="n">
        <f aca="false">X1-$C12</f>
        <v>0.95</v>
      </c>
      <c r="Z1" s="154" t="n">
        <f aca="false">Y1-$C12</f>
        <v>0.946</v>
      </c>
      <c r="AA1" s="154" t="n">
        <f aca="false">Z1-$C12</f>
        <v>0.942</v>
      </c>
      <c r="AB1" s="154" t="n">
        <f aca="false">AA1-$C12</f>
        <v>0.938</v>
      </c>
      <c r="AC1" s="154" t="n">
        <f aca="false">AB1-$C12</f>
        <v>0.934</v>
      </c>
      <c r="AD1" s="154" t="n">
        <f aca="false">AC1-$C12</f>
        <v>0.93</v>
      </c>
      <c r="AE1" s="154" t="n">
        <f aca="false">AD1-$C12</f>
        <v>0.926</v>
      </c>
      <c r="AF1" s="154" t="n">
        <f aca="false">AE1-$C12</f>
        <v>0.922</v>
      </c>
      <c r="AG1" s="154" t="n">
        <f aca="false">AF1-$C12</f>
        <v>0.918</v>
      </c>
      <c r="AH1" s="154" t="n">
        <f aca="false">AG1-$C12</f>
        <v>0.914</v>
      </c>
    </row>
    <row r="2" customFormat="false" ht="21.75" hidden="false" customHeight="true" outlineLevel="0" collapsed="false">
      <c r="A2" s="155" t="s">
        <v>65</v>
      </c>
      <c r="B2" s="156" t="s">
        <v>2</v>
      </c>
      <c r="C2" s="155" t="s">
        <v>2</v>
      </c>
      <c r="D2" s="157" t="s">
        <v>26</v>
      </c>
      <c r="E2" s="158" t="s">
        <v>66</v>
      </c>
    </row>
    <row r="3" customFormat="false" ht="21.75" hidden="false" customHeight="true" outlineLevel="0" collapsed="false">
      <c r="A3" s="159" t="s">
        <v>67</v>
      </c>
      <c r="B3" s="160" t="n">
        <v>20</v>
      </c>
      <c r="C3" s="159" t="n">
        <v>20</v>
      </c>
      <c r="D3" s="161" t="s">
        <v>26</v>
      </c>
      <c r="E3" s="158" t="s">
        <v>68</v>
      </c>
    </row>
    <row r="4" customFormat="false" ht="21.75" hidden="false" customHeight="true" outlineLevel="0" collapsed="false">
      <c r="A4" s="159" t="s">
        <v>69</v>
      </c>
      <c r="B4" s="160" t="n">
        <v>436.1</v>
      </c>
      <c r="C4" s="159" t="n">
        <v>436.1</v>
      </c>
      <c r="D4" s="161" t="s">
        <v>26</v>
      </c>
      <c r="E4" s="158" t="s">
        <v>70</v>
      </c>
      <c r="M4" s="162" t="s">
        <v>131</v>
      </c>
    </row>
    <row r="5" customFormat="false" ht="22.5" hidden="false" customHeight="true" outlineLevel="0" collapsed="false">
      <c r="A5" s="159" t="s">
        <v>72</v>
      </c>
      <c r="B5" s="160" t="n">
        <v>2020</v>
      </c>
      <c r="C5" s="159" t="n">
        <v>2020</v>
      </c>
      <c r="D5" s="161" t="n">
        <f aca="false">B5+B3-1</f>
        <v>2039</v>
      </c>
      <c r="E5" s="158" t="n">
        <v>2039</v>
      </c>
      <c r="M5" s="162" t="s">
        <v>132</v>
      </c>
    </row>
    <row r="6" customFormat="false" ht="20.25" hidden="false" customHeight="true" outlineLevel="0" collapsed="false">
      <c r="A6" s="163"/>
      <c r="B6" s="163"/>
      <c r="C6" s="163"/>
      <c r="D6" s="163"/>
      <c r="E6" s="164"/>
      <c r="M6" s="162" t="s">
        <v>133</v>
      </c>
    </row>
    <row r="7" customFormat="false" ht="22.5" hidden="false" customHeight="true" outlineLevel="0" collapsed="false">
      <c r="A7" s="152" t="s">
        <v>75</v>
      </c>
      <c r="B7" s="152"/>
      <c r="C7" s="152"/>
      <c r="D7" s="152"/>
      <c r="E7" s="164"/>
      <c r="M7" s="162" t="s">
        <v>134</v>
      </c>
    </row>
    <row r="8" customFormat="false" ht="22.5" hidden="false" customHeight="true" outlineLevel="0" collapsed="false">
      <c r="A8" s="165" t="s">
        <v>77</v>
      </c>
      <c r="B8" s="165"/>
      <c r="C8" s="165"/>
      <c r="D8" s="165"/>
      <c r="E8" s="164"/>
      <c r="M8" s="162" t="s">
        <v>135</v>
      </c>
    </row>
    <row r="9" customFormat="false" ht="22.5" hidden="false" customHeight="true" outlineLevel="0" collapsed="false">
      <c r="A9" s="166" t="s">
        <v>79</v>
      </c>
      <c r="B9" s="167" t="s">
        <v>80</v>
      </c>
      <c r="C9" s="167" t="s">
        <v>81</v>
      </c>
      <c r="D9" s="168" t="s">
        <v>82</v>
      </c>
      <c r="E9" s="153" t="s">
        <v>64</v>
      </c>
      <c r="M9" s="162" t="s">
        <v>83</v>
      </c>
    </row>
    <row r="10" customFormat="false" ht="30" hidden="false" customHeight="true" outlineLevel="0" collapsed="false">
      <c r="A10" s="169" t="s">
        <v>84</v>
      </c>
      <c r="B10" s="155" t="s">
        <v>85</v>
      </c>
      <c r="C10" s="170" t="n">
        <v>547002</v>
      </c>
      <c r="D10" s="171" t="n">
        <v>547002</v>
      </c>
      <c r="E10" s="158" t="n">
        <v>20</v>
      </c>
      <c r="M10" s="162" t="s">
        <v>136</v>
      </c>
    </row>
    <row r="11" customFormat="false" ht="30" hidden="false" customHeight="true" outlineLevel="0" collapsed="false">
      <c r="A11" s="169"/>
      <c r="B11" s="159" t="s">
        <v>87</v>
      </c>
      <c r="C11" s="172" t="n">
        <v>0.01</v>
      </c>
      <c r="D11" s="171"/>
      <c r="E11" s="158" t="s">
        <v>88</v>
      </c>
    </row>
    <row r="12" customFormat="false" ht="30" hidden="false" customHeight="true" outlineLevel="0" collapsed="false">
      <c r="A12" s="169"/>
      <c r="B12" s="159" t="s">
        <v>89</v>
      </c>
      <c r="C12" s="173" t="n">
        <v>0.004</v>
      </c>
      <c r="D12" s="171"/>
      <c r="E12" s="158" t="s">
        <v>90</v>
      </c>
    </row>
    <row r="13" customFormat="false" ht="22.5" hidden="false" customHeight="true" outlineLevel="0" collapsed="false">
      <c r="A13" s="169"/>
      <c r="B13" s="174" t="s">
        <v>91</v>
      </c>
      <c r="C13" s="175" t="n">
        <v>4</v>
      </c>
      <c r="D13" s="171"/>
      <c r="E13" s="158" t="s">
        <v>92</v>
      </c>
    </row>
    <row r="14" customFormat="false" ht="22.5" hidden="false" customHeight="true" outlineLevel="0" collapsed="false">
      <c r="A14" s="176" t="s">
        <v>93</v>
      </c>
      <c r="B14" s="176"/>
      <c r="C14" s="176"/>
      <c r="D14" s="176"/>
      <c r="E14" s="164"/>
    </row>
    <row r="15" customFormat="false" ht="22.5" hidden="false" customHeight="true" outlineLevel="0" collapsed="false">
      <c r="A15" s="166" t="s">
        <v>79</v>
      </c>
      <c r="B15" s="167" t="s">
        <v>80</v>
      </c>
      <c r="C15" s="167" t="s">
        <v>81</v>
      </c>
      <c r="D15" s="168" t="s">
        <v>94</v>
      </c>
      <c r="E15" s="153" t="s">
        <v>64</v>
      </c>
    </row>
    <row r="16" customFormat="false" ht="21.75" hidden="false" customHeight="true" outlineLevel="0" collapsed="false">
      <c r="A16" s="155" t="s">
        <v>95</v>
      </c>
      <c r="B16" s="155" t="s">
        <v>96</v>
      </c>
      <c r="C16" s="177" t="n">
        <v>35000</v>
      </c>
      <c r="D16" s="157" t="n">
        <v>29000</v>
      </c>
      <c r="E16" s="158" t="n">
        <v>20</v>
      </c>
    </row>
    <row r="17" customFormat="false" ht="21.75" hidden="false" customHeight="true" outlineLevel="0" collapsed="false">
      <c r="A17" s="155"/>
      <c r="B17" s="159" t="s">
        <v>97</v>
      </c>
      <c r="C17" s="160" t="n">
        <v>0.3</v>
      </c>
      <c r="D17" s="157"/>
      <c r="E17" s="158" t="s">
        <v>98</v>
      </c>
    </row>
    <row r="18" customFormat="false" ht="21.75" hidden="false" customHeight="true" outlineLevel="0" collapsed="false">
      <c r="A18" s="155"/>
      <c r="B18" s="159" t="s">
        <v>99</v>
      </c>
      <c r="C18" s="178" t="n">
        <v>2000</v>
      </c>
      <c r="D18" s="157"/>
      <c r="E18" s="158" t="s">
        <v>100</v>
      </c>
    </row>
    <row r="19" customFormat="false" ht="54" hidden="false" customHeight="true" outlineLevel="0" collapsed="false">
      <c r="A19" s="159" t="s">
        <v>101</v>
      </c>
      <c r="B19" s="179" t="s">
        <v>102</v>
      </c>
      <c r="C19" s="160" t="n">
        <v>1</v>
      </c>
      <c r="D19" s="157" t="n">
        <v>1</v>
      </c>
      <c r="E19" s="158" t="n">
        <v>0</v>
      </c>
    </row>
    <row r="20" customFormat="false" ht="20.25" hidden="false" customHeight="true" outlineLevel="0" collapsed="false">
      <c r="A20" s="159"/>
      <c r="B20" s="180" t="s">
        <v>103</v>
      </c>
      <c r="C20" s="178" t="n">
        <v>290201</v>
      </c>
      <c r="D20" s="157" t="n">
        <v>290201</v>
      </c>
      <c r="E20" s="158" t="n">
        <v>20</v>
      </c>
    </row>
    <row r="21" customFormat="false" ht="30" hidden="false" customHeight="true" outlineLevel="0" collapsed="false">
      <c r="A21" s="159"/>
      <c r="B21" s="159" t="s">
        <v>104</v>
      </c>
      <c r="C21" s="160"/>
      <c r="D21" s="161" t="n">
        <v>0</v>
      </c>
      <c r="E21" s="158" t="n">
        <v>0</v>
      </c>
    </row>
    <row r="22" customFormat="false" ht="30" hidden="false" customHeight="true" outlineLevel="0" collapsed="false">
      <c r="A22" s="159" t="s">
        <v>105</v>
      </c>
      <c r="B22" s="159" t="s">
        <v>106</v>
      </c>
      <c r="C22" s="178" t="n">
        <v>400</v>
      </c>
      <c r="D22" s="161" t="n">
        <v>400</v>
      </c>
      <c r="E22" s="158" t="n">
        <v>20</v>
      </c>
    </row>
    <row r="23" customFormat="false" ht="30" hidden="false" customHeight="true" outlineLevel="0" collapsed="false">
      <c r="A23" s="159" t="s">
        <v>107</v>
      </c>
      <c r="B23" s="159" t="s">
        <v>108</v>
      </c>
      <c r="C23" s="160" t="n">
        <v>0.003</v>
      </c>
      <c r="D23" s="161" t="n">
        <v>0.003</v>
      </c>
      <c r="E23" s="158" t="n">
        <v>20</v>
      </c>
    </row>
    <row r="24" customFormat="false" ht="30" hidden="false" customHeight="true" outlineLevel="0" collapsed="false">
      <c r="A24" s="159" t="s">
        <v>109</v>
      </c>
      <c r="B24" s="159" t="s">
        <v>110</v>
      </c>
      <c r="C24" s="178" t="n">
        <v>1000</v>
      </c>
      <c r="D24" s="181" t="n">
        <v>1000</v>
      </c>
      <c r="E24" s="158" t="n">
        <v>10</v>
      </c>
    </row>
    <row r="25" customFormat="false" ht="30" hidden="false" customHeight="true" outlineLevel="0" collapsed="false">
      <c r="A25" s="159" t="s">
        <v>111</v>
      </c>
      <c r="B25" s="159" t="s">
        <v>112</v>
      </c>
      <c r="C25" s="173" t="n">
        <v>0.0256</v>
      </c>
      <c r="D25" s="161" t="n">
        <v>0.0256</v>
      </c>
      <c r="E25" s="158" t="n">
        <v>0</v>
      </c>
    </row>
    <row r="26" customFormat="false" ht="30" hidden="false" customHeight="true" outlineLevel="0" collapsed="false">
      <c r="A26" s="159" t="s">
        <v>14</v>
      </c>
      <c r="B26" s="159" t="s">
        <v>113</v>
      </c>
      <c r="C26" s="160" t="n">
        <v>0.2</v>
      </c>
      <c r="D26" s="161" t="n">
        <v>0.2</v>
      </c>
      <c r="E26" s="158" t="n">
        <v>0</v>
      </c>
    </row>
    <row r="27" customFormat="false" ht="20.25" hidden="false" customHeight="true" outlineLevel="0" collapsed="false">
      <c r="A27" s="163"/>
      <c r="B27" s="163"/>
      <c r="C27" s="163"/>
      <c r="D27" s="163"/>
      <c r="E27" s="164"/>
    </row>
    <row r="28" customFormat="false" ht="20.25" hidden="false" customHeight="true" outlineLevel="0" collapsed="false">
      <c r="A28" s="163"/>
      <c r="B28" s="163"/>
      <c r="C28" s="163"/>
      <c r="D28" s="163"/>
      <c r="E28" s="164"/>
    </row>
    <row r="29" customFormat="false" ht="22.5" hidden="false" customHeight="true" outlineLevel="0" collapsed="false">
      <c r="A29" s="152" t="s">
        <v>114</v>
      </c>
      <c r="B29" s="152"/>
      <c r="C29" s="152"/>
      <c r="D29" s="163"/>
      <c r="E29" s="164"/>
    </row>
    <row r="30" customFormat="false" ht="22.5" hidden="false" customHeight="true" outlineLevel="0" collapsed="false">
      <c r="A30" s="166" t="s">
        <v>115</v>
      </c>
      <c r="B30" s="167" t="s">
        <v>80</v>
      </c>
      <c r="C30" s="182" t="s">
        <v>81</v>
      </c>
      <c r="D30" s="163"/>
      <c r="E30" s="153" t="s">
        <v>64</v>
      </c>
    </row>
    <row r="31" customFormat="false" ht="30" hidden="false" customHeight="true" outlineLevel="0" collapsed="false">
      <c r="A31" s="155" t="s">
        <v>116</v>
      </c>
      <c r="B31" s="155" t="s">
        <v>117</v>
      </c>
      <c r="C31" s="183" t="n">
        <v>0.8</v>
      </c>
      <c r="D31" s="163" t="n">
        <v>0.8</v>
      </c>
      <c r="E31" s="158" t="s">
        <v>118</v>
      </c>
    </row>
    <row r="32" customFormat="false" ht="18.75" hidden="false" customHeight="true" outlineLevel="0" collapsed="false">
      <c r="A32" s="155" t="s">
        <v>119</v>
      </c>
      <c r="B32" s="155" t="s">
        <v>120</v>
      </c>
      <c r="C32" s="183" t="n">
        <v>15</v>
      </c>
      <c r="D32" s="163" t="n">
        <v>15</v>
      </c>
      <c r="E32" s="158" t="s">
        <v>121</v>
      </c>
    </row>
    <row r="33" customFormat="false" ht="18.75" hidden="false" customHeight="true" outlineLevel="0" collapsed="false">
      <c r="A33" s="159" t="s">
        <v>53</v>
      </c>
      <c r="B33" s="159" t="s">
        <v>122</v>
      </c>
      <c r="C33" s="160" t="n">
        <v>0.9</v>
      </c>
      <c r="D33" s="163" t="n">
        <v>0.9</v>
      </c>
      <c r="E33" s="158" t="s">
        <v>123</v>
      </c>
    </row>
    <row r="34" customFormat="false" ht="30" hidden="false" customHeight="true" outlineLevel="0" collapsed="false">
      <c r="A34" s="159" t="s">
        <v>54</v>
      </c>
      <c r="B34" s="159" t="s">
        <v>120</v>
      </c>
      <c r="C34" s="160" t="n">
        <v>4</v>
      </c>
      <c r="D34" s="163" t="n">
        <v>4</v>
      </c>
      <c r="E34" s="158" t="s">
        <v>124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62" t="n">
        <v>2020</v>
      </c>
      <c r="E37" s="162" t="n">
        <v>2021</v>
      </c>
      <c r="F37" s="162" t="n">
        <v>2022</v>
      </c>
      <c r="G37" s="162" t="n">
        <v>2023</v>
      </c>
      <c r="H37" s="162" t="n">
        <v>2024</v>
      </c>
      <c r="I37" s="162" t="n">
        <v>2025</v>
      </c>
      <c r="J37" s="162" t="n">
        <v>2026</v>
      </c>
      <c r="K37" s="162" t="n">
        <v>2027</v>
      </c>
      <c r="L37" s="162" t="n">
        <v>2028</v>
      </c>
      <c r="M37" s="162" t="n">
        <v>2029</v>
      </c>
      <c r="N37" s="162" t="n">
        <v>2030</v>
      </c>
      <c r="O37" s="162" t="n">
        <v>2031</v>
      </c>
      <c r="P37" s="162" t="n">
        <v>2032</v>
      </c>
      <c r="Q37" s="162" t="n">
        <v>2033</v>
      </c>
      <c r="R37" s="162" t="n">
        <v>2034</v>
      </c>
      <c r="S37" s="162" t="n">
        <v>2035</v>
      </c>
      <c r="T37" s="162" t="n">
        <v>2036</v>
      </c>
      <c r="U37" s="162" t="n">
        <v>2037</v>
      </c>
      <c r="V37" s="162" t="n">
        <v>2038</v>
      </c>
      <c r="W37" s="162" t="n">
        <v>2039</v>
      </c>
    </row>
    <row r="45" customFormat="false" ht="15.75" hidden="false" customHeight="true" outlineLevel="0" collapsed="false">
      <c r="D45" s="162" t="n">
        <v>-290201</v>
      </c>
      <c r="E45" s="162" t="n">
        <v>-290201</v>
      </c>
      <c r="F45" s="162" t="n">
        <v>-290201</v>
      </c>
      <c r="G45" s="162" t="n">
        <v>-290201</v>
      </c>
      <c r="H45" s="162" t="n">
        <v>-290201</v>
      </c>
      <c r="I45" s="162" t="n">
        <v>-290201</v>
      </c>
      <c r="J45" s="162" t="n">
        <v>-290201</v>
      </c>
      <c r="K45" s="162" t="n">
        <v>-290201</v>
      </c>
      <c r="L45" s="162" t="n">
        <v>-290201</v>
      </c>
      <c r="M45" s="162" t="n">
        <v>-290201</v>
      </c>
      <c r="N45" s="162" t="n">
        <v>-290201</v>
      </c>
      <c r="O45" s="162" t="n">
        <v>-290201</v>
      </c>
      <c r="P45" s="162" t="n">
        <v>-290201</v>
      </c>
      <c r="Q45" s="162" t="n">
        <v>-290201</v>
      </c>
      <c r="R45" s="162" t="n">
        <v>-290201</v>
      </c>
      <c r="S45" s="162" t="n">
        <v>-290201</v>
      </c>
      <c r="T45" s="162" t="n">
        <v>-290201</v>
      </c>
      <c r="U45" s="162" t="n">
        <v>-290201</v>
      </c>
      <c r="V45" s="162" t="n">
        <v>-290201</v>
      </c>
      <c r="W45" s="162" t="n">
        <v>-290201</v>
      </c>
    </row>
    <row r="48" customFormat="false" ht="15.75" hidden="false" customHeight="true" outlineLevel="0" collapsed="false">
      <c r="D48" s="162" t="n">
        <v>-174440</v>
      </c>
      <c r="E48" s="162" t="n">
        <v>-174440</v>
      </c>
      <c r="F48" s="162" t="n">
        <v>-174440</v>
      </c>
      <c r="G48" s="162" t="n">
        <v>-174440</v>
      </c>
      <c r="H48" s="162" t="n">
        <v>-174440</v>
      </c>
      <c r="I48" s="162" t="n">
        <v>-174440</v>
      </c>
      <c r="J48" s="162" t="n">
        <v>-174440</v>
      </c>
      <c r="K48" s="162" t="n">
        <v>-174440</v>
      </c>
      <c r="L48" s="162" t="n">
        <v>-174440</v>
      </c>
      <c r="M48" s="162" t="n">
        <v>-174440</v>
      </c>
      <c r="N48" s="162" t="n">
        <v>-174440</v>
      </c>
      <c r="O48" s="162" t="n">
        <v>-174440</v>
      </c>
      <c r="P48" s="162" t="n">
        <v>-174440</v>
      </c>
      <c r="Q48" s="162" t="n">
        <v>-174440</v>
      </c>
      <c r="R48" s="162" t="n">
        <v>-174440</v>
      </c>
      <c r="S48" s="162" t="n">
        <v>-174440</v>
      </c>
      <c r="T48" s="162" t="n">
        <v>-174440</v>
      </c>
      <c r="U48" s="162" t="n">
        <v>-174440</v>
      </c>
      <c r="V48" s="162" t="n">
        <v>-174440</v>
      </c>
      <c r="W48" s="162" t="n">
        <v>-174440</v>
      </c>
    </row>
    <row r="49" customFormat="false" ht="15.75" hidden="false" customHeight="true" outlineLevel="0" collapsed="false">
      <c r="D49" s="162" t="n">
        <v>-37940.7</v>
      </c>
      <c r="E49" s="162" t="n">
        <v>-37940.7</v>
      </c>
      <c r="F49" s="162" t="n">
        <v>-37940.7</v>
      </c>
      <c r="G49" s="162" t="n">
        <v>-37940.7</v>
      </c>
      <c r="H49" s="162" t="n">
        <v>-37940.7</v>
      </c>
      <c r="I49" s="162" t="n">
        <v>-37940.7</v>
      </c>
      <c r="J49" s="162" t="n">
        <v>-37940.7</v>
      </c>
      <c r="K49" s="162" t="n">
        <v>-37940.7</v>
      </c>
      <c r="L49" s="162" t="n">
        <v>-37940.7</v>
      </c>
      <c r="M49" s="162" t="n">
        <v>-37940.7</v>
      </c>
      <c r="N49" s="162" t="n">
        <v>-37940.7</v>
      </c>
      <c r="O49" s="162" t="n">
        <v>-37940.7</v>
      </c>
      <c r="P49" s="162" t="n">
        <v>-37940.7</v>
      </c>
      <c r="Q49" s="162" t="n">
        <v>-37940.7</v>
      </c>
      <c r="R49" s="162" t="n">
        <v>-37940.7</v>
      </c>
      <c r="S49" s="162" t="n">
        <v>-37940.7</v>
      </c>
      <c r="T49" s="162" t="n">
        <v>-37940.7</v>
      </c>
      <c r="U49" s="162" t="n">
        <v>-37940.7</v>
      </c>
      <c r="V49" s="162" t="n">
        <v>-37940.7</v>
      </c>
      <c r="W49" s="162" t="n">
        <v>-37940.7</v>
      </c>
    </row>
    <row r="50" customFormat="false" ht="15.75" hidden="false" customHeight="true" outlineLevel="0" collapsed="false">
      <c r="D50" s="162" t="n">
        <v>-43610</v>
      </c>
      <c r="E50" s="162" t="n">
        <v>-43610</v>
      </c>
      <c r="F50" s="162" t="n">
        <v>-43610</v>
      </c>
      <c r="G50" s="162" t="n">
        <v>-43610</v>
      </c>
      <c r="H50" s="162" t="n">
        <v>-43610</v>
      </c>
      <c r="I50" s="162" t="n">
        <v>-43610</v>
      </c>
      <c r="J50" s="162" t="n">
        <v>-43610</v>
      </c>
      <c r="K50" s="162" t="n">
        <v>-43610</v>
      </c>
      <c r="L50" s="162" t="n">
        <v>-43610</v>
      </c>
      <c r="M50" s="162" t="n">
        <v>-43610</v>
      </c>
      <c r="N50" s="162" t="n">
        <v>0</v>
      </c>
      <c r="O50" s="162" t="n">
        <v>0</v>
      </c>
      <c r="P50" s="162" t="n">
        <v>0</v>
      </c>
      <c r="Q50" s="162" t="n">
        <v>0</v>
      </c>
      <c r="R50" s="162" t="n">
        <v>0</v>
      </c>
      <c r="S50" s="162" t="n">
        <v>0</v>
      </c>
      <c r="T50" s="162" t="n">
        <v>0</v>
      </c>
      <c r="U50" s="162" t="n">
        <v>0</v>
      </c>
      <c r="V50" s="162" t="n">
        <v>0</v>
      </c>
      <c r="W50" s="162" t="n">
        <v>0</v>
      </c>
    </row>
    <row r="54" customFormat="false" ht="15" hidden="false" customHeight="true" outlineLevel="0" collapsed="false">
      <c r="D54" s="1" t="n">
        <f aca="false">D77</f>
        <v>0</v>
      </c>
      <c r="E54" s="1" t="n">
        <f aca="false">E77</f>
        <v>0</v>
      </c>
      <c r="F54" s="1" t="n">
        <f aca="false">F77</f>
        <v>0</v>
      </c>
      <c r="G54" s="1" t="n">
        <f aca="false">G77</f>
        <v>0</v>
      </c>
      <c r="H54" s="1" t="n">
        <f aca="false">H77</f>
        <v>0</v>
      </c>
      <c r="I54" s="1" t="n">
        <f aca="false">I77</f>
        <v>0</v>
      </c>
      <c r="J54" s="1" t="n">
        <f aca="false">J77</f>
        <v>0</v>
      </c>
      <c r="K54" s="1" t="n">
        <f aca="false">K77</f>
        <v>0</v>
      </c>
      <c r="L54" s="1" t="n">
        <f aca="false">L77</f>
        <v>0</v>
      </c>
      <c r="M54" s="1" t="n">
        <f aca="false">M77</f>
        <v>0</v>
      </c>
      <c r="N54" s="1" t="n">
        <f aca="false">N77</f>
        <v>0</v>
      </c>
      <c r="O54" s="1" t="n">
        <f aca="false">O77</f>
        <v>0</v>
      </c>
      <c r="P54" s="1" t="n">
        <f aca="false">P77</f>
        <v>0</v>
      </c>
      <c r="Q54" s="1" t="n">
        <f aca="false">Q77</f>
        <v>0</v>
      </c>
      <c r="R54" s="1" t="n">
        <f aca="false">R77</f>
        <v>0</v>
      </c>
      <c r="S54" s="1" t="n">
        <f aca="false">S77</f>
        <v>0</v>
      </c>
      <c r="T54" s="1" t="n">
        <f aca="false">T77</f>
        <v>0</v>
      </c>
      <c r="U54" s="1" t="n">
        <f aca="false">U77</f>
        <v>0</v>
      </c>
      <c r="V54" s="1" t="n">
        <f aca="false">V77</f>
        <v>0</v>
      </c>
      <c r="W54" s="1" t="n">
        <f aca="false">W77</f>
        <v>0</v>
      </c>
    </row>
    <row r="70" customFormat="false" ht="15" hidden="false" customHeight="true" outlineLevel="0" collapsed="false"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50"/>
    <col collapsed="false" customWidth="true" hidden="false" outlineLevel="0" max="6" min="6" style="1" width="21"/>
    <col collapsed="false" customWidth="true" hidden="false" outlineLevel="0" max="13" min="13" style="1" width="50"/>
    <col collapsed="false" customWidth="true" hidden="false" outlineLevel="0" max="14" min="14" style="1" width="21"/>
    <col collapsed="false" customWidth="true" hidden="false" outlineLevel="0" max="20" min="20" style="1" width="11"/>
    <col collapsed="false" customWidth="true" hidden="false" outlineLevel="0" max="24" min="24" style="1" width="10"/>
    <col collapsed="false" customWidth="true" hidden="false" outlineLevel="0" max="28" min="28" style="1" width="11"/>
    <col collapsed="false" customWidth="true" hidden="false" outlineLevel="0" max="35" min="35" style="1" width="32.58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152" t="s">
        <v>63</v>
      </c>
      <c r="B1" s="152"/>
      <c r="C1" s="152"/>
      <c r="D1" s="152"/>
      <c r="E1" s="153" t="s">
        <v>64</v>
      </c>
      <c r="O1" s="154" t="n">
        <f aca="false">1-C11</f>
        <v>0.99</v>
      </c>
      <c r="P1" s="154" t="n">
        <f aca="false">O1-$C12</f>
        <v>0.986</v>
      </c>
      <c r="Q1" s="154" t="n">
        <f aca="false">P1-$C12</f>
        <v>0.982</v>
      </c>
      <c r="R1" s="154" t="n">
        <f aca="false">Q1-$C12</f>
        <v>0.978</v>
      </c>
      <c r="S1" s="154" t="n">
        <f aca="false">R1-$C12</f>
        <v>0.974</v>
      </c>
      <c r="T1" s="154" t="n">
        <f aca="false">S1-$C12</f>
        <v>0.97</v>
      </c>
      <c r="U1" s="154" t="n">
        <f aca="false">T1-$C12</f>
        <v>0.966</v>
      </c>
      <c r="V1" s="154" t="n">
        <f aca="false">U1-$C12</f>
        <v>0.962</v>
      </c>
      <c r="W1" s="154" t="n">
        <f aca="false">V1-$C12</f>
        <v>0.958</v>
      </c>
      <c r="X1" s="154" t="n">
        <f aca="false">W1-$C12</f>
        <v>0.954</v>
      </c>
      <c r="Y1" s="154" t="n">
        <f aca="false">X1-$C12</f>
        <v>0.95</v>
      </c>
      <c r="Z1" s="154" t="n">
        <f aca="false">Y1-$C12</f>
        <v>0.946</v>
      </c>
      <c r="AA1" s="154" t="n">
        <f aca="false">Z1-$C12</f>
        <v>0.942</v>
      </c>
      <c r="AB1" s="154" t="n">
        <f aca="false">AA1-$C12</f>
        <v>0.938</v>
      </c>
      <c r="AC1" s="154" t="n">
        <f aca="false">AB1-$C12</f>
        <v>0.934</v>
      </c>
      <c r="AD1" s="154" t="n">
        <f aca="false">AC1-$C12</f>
        <v>0.93</v>
      </c>
      <c r="AE1" s="154" t="n">
        <f aca="false">AD1-$C12</f>
        <v>0.926</v>
      </c>
      <c r="AF1" s="154" t="n">
        <f aca="false">AE1-$C12</f>
        <v>0.922</v>
      </c>
      <c r="AG1" s="154" t="n">
        <f aca="false">AF1-$C12</f>
        <v>0.918</v>
      </c>
      <c r="AH1" s="154" t="n">
        <f aca="false">AG1-$C12</f>
        <v>0.914</v>
      </c>
    </row>
    <row r="2" customFormat="false" ht="21.75" hidden="false" customHeight="true" outlineLevel="0" collapsed="false">
      <c r="A2" s="155" t="s">
        <v>65</v>
      </c>
      <c r="B2" s="156" t="s">
        <v>2</v>
      </c>
      <c r="C2" s="155" t="s">
        <v>2</v>
      </c>
      <c r="D2" s="157" t="s">
        <v>26</v>
      </c>
      <c r="E2" s="158" t="s">
        <v>66</v>
      </c>
    </row>
    <row r="3" customFormat="false" ht="21.75" hidden="false" customHeight="true" outlineLevel="0" collapsed="false">
      <c r="A3" s="159" t="s">
        <v>67</v>
      </c>
      <c r="B3" s="160" t="n">
        <v>20</v>
      </c>
      <c r="C3" s="159" t="n">
        <v>20</v>
      </c>
      <c r="D3" s="161" t="s">
        <v>26</v>
      </c>
      <c r="E3" s="158" t="s">
        <v>68</v>
      </c>
    </row>
    <row r="4" customFormat="false" ht="21.75" hidden="false" customHeight="true" outlineLevel="0" collapsed="false">
      <c r="A4" s="159" t="s">
        <v>69</v>
      </c>
      <c r="B4" s="160" t="n">
        <v>436.1</v>
      </c>
      <c r="C4" s="159" t="n">
        <v>436.1</v>
      </c>
      <c r="D4" s="161" t="s">
        <v>26</v>
      </c>
      <c r="E4" s="158" t="s">
        <v>70</v>
      </c>
      <c r="M4" s="162" t="s">
        <v>131</v>
      </c>
    </row>
    <row r="5" customFormat="false" ht="22.5" hidden="false" customHeight="true" outlineLevel="0" collapsed="false">
      <c r="A5" s="159" t="s">
        <v>72</v>
      </c>
      <c r="B5" s="160" t="n">
        <v>2020</v>
      </c>
      <c r="C5" s="159" t="n">
        <v>2020</v>
      </c>
      <c r="D5" s="161" t="n">
        <f aca="false">B5+B3-1</f>
        <v>2039</v>
      </c>
      <c r="E5" s="158" t="n">
        <v>2039</v>
      </c>
      <c r="M5" s="162" t="s">
        <v>132</v>
      </c>
    </row>
    <row r="6" customFormat="false" ht="20.25" hidden="false" customHeight="true" outlineLevel="0" collapsed="false">
      <c r="A6" s="163"/>
      <c r="B6" s="163"/>
      <c r="C6" s="163"/>
      <c r="D6" s="163"/>
      <c r="E6" s="164"/>
      <c r="M6" s="162" t="s">
        <v>133</v>
      </c>
    </row>
    <row r="7" customFormat="false" ht="22.5" hidden="false" customHeight="true" outlineLevel="0" collapsed="false">
      <c r="A7" s="152" t="s">
        <v>75</v>
      </c>
      <c r="B7" s="152"/>
      <c r="C7" s="152"/>
      <c r="D7" s="152"/>
      <c r="E7" s="164"/>
      <c r="M7" s="162" t="s">
        <v>134</v>
      </c>
    </row>
    <row r="8" customFormat="false" ht="22.5" hidden="false" customHeight="true" outlineLevel="0" collapsed="false">
      <c r="A8" s="165" t="s">
        <v>77</v>
      </c>
      <c r="B8" s="165"/>
      <c r="C8" s="165"/>
      <c r="D8" s="165"/>
      <c r="E8" s="164"/>
      <c r="M8" s="162" t="s">
        <v>135</v>
      </c>
    </row>
    <row r="9" customFormat="false" ht="22.5" hidden="false" customHeight="true" outlineLevel="0" collapsed="false">
      <c r="A9" s="166" t="s">
        <v>79</v>
      </c>
      <c r="B9" s="167" t="s">
        <v>80</v>
      </c>
      <c r="C9" s="167" t="s">
        <v>81</v>
      </c>
      <c r="D9" s="168" t="s">
        <v>82</v>
      </c>
      <c r="E9" s="153" t="s">
        <v>64</v>
      </c>
      <c r="M9" s="162" t="s">
        <v>83</v>
      </c>
    </row>
    <row r="10" customFormat="false" ht="30" hidden="false" customHeight="true" outlineLevel="0" collapsed="false">
      <c r="A10" s="169" t="s">
        <v>84</v>
      </c>
      <c r="B10" s="155" t="s">
        <v>85</v>
      </c>
      <c r="C10" s="170" t="n">
        <v>547002</v>
      </c>
      <c r="D10" s="171" t="n">
        <v>547002</v>
      </c>
      <c r="E10" s="158" t="n">
        <v>20</v>
      </c>
      <c r="M10" s="162" t="s">
        <v>136</v>
      </c>
    </row>
    <row r="11" customFormat="false" ht="30" hidden="false" customHeight="true" outlineLevel="0" collapsed="false">
      <c r="A11" s="169"/>
      <c r="B11" s="159" t="s">
        <v>87</v>
      </c>
      <c r="C11" s="172" t="n">
        <v>0.01</v>
      </c>
      <c r="D11" s="171"/>
      <c r="E11" s="158" t="s">
        <v>88</v>
      </c>
    </row>
    <row r="12" customFormat="false" ht="30" hidden="false" customHeight="true" outlineLevel="0" collapsed="false">
      <c r="A12" s="169"/>
      <c r="B12" s="159" t="s">
        <v>89</v>
      </c>
      <c r="C12" s="173" t="n">
        <v>0.004</v>
      </c>
      <c r="D12" s="171"/>
      <c r="E12" s="158" t="s">
        <v>90</v>
      </c>
    </row>
    <row r="13" customFormat="false" ht="22.5" hidden="false" customHeight="true" outlineLevel="0" collapsed="false">
      <c r="A13" s="169"/>
      <c r="B13" s="174" t="s">
        <v>91</v>
      </c>
      <c r="C13" s="175" t="n">
        <v>4</v>
      </c>
      <c r="D13" s="171"/>
      <c r="E13" s="158" t="s">
        <v>92</v>
      </c>
    </row>
    <row r="14" customFormat="false" ht="22.5" hidden="false" customHeight="true" outlineLevel="0" collapsed="false">
      <c r="A14" s="176" t="s">
        <v>93</v>
      </c>
      <c r="B14" s="176"/>
      <c r="C14" s="176"/>
      <c r="D14" s="176"/>
      <c r="E14" s="164"/>
    </row>
    <row r="15" customFormat="false" ht="22.5" hidden="false" customHeight="true" outlineLevel="0" collapsed="false">
      <c r="A15" s="166" t="s">
        <v>79</v>
      </c>
      <c r="B15" s="167" t="s">
        <v>80</v>
      </c>
      <c r="C15" s="167" t="s">
        <v>81</v>
      </c>
      <c r="D15" s="168" t="s">
        <v>94</v>
      </c>
      <c r="E15" s="153" t="s">
        <v>64</v>
      </c>
    </row>
    <row r="16" customFormat="false" ht="21.75" hidden="false" customHeight="true" outlineLevel="0" collapsed="false">
      <c r="A16" s="155" t="s">
        <v>95</v>
      </c>
      <c r="B16" s="155" t="s">
        <v>96</v>
      </c>
      <c r="C16" s="177" t="n">
        <v>35000</v>
      </c>
      <c r="D16" s="157" t="n">
        <v>29000</v>
      </c>
      <c r="E16" s="158" t="n">
        <v>20</v>
      </c>
    </row>
    <row r="17" customFormat="false" ht="21.75" hidden="false" customHeight="true" outlineLevel="0" collapsed="false">
      <c r="A17" s="155"/>
      <c r="B17" s="159" t="s">
        <v>97</v>
      </c>
      <c r="C17" s="160" t="n">
        <v>0.3</v>
      </c>
      <c r="D17" s="157"/>
      <c r="E17" s="158" t="s">
        <v>98</v>
      </c>
    </row>
    <row r="18" customFormat="false" ht="21.75" hidden="false" customHeight="true" outlineLevel="0" collapsed="false">
      <c r="A18" s="155"/>
      <c r="B18" s="159" t="s">
        <v>99</v>
      </c>
      <c r="C18" s="178" t="n">
        <v>2000</v>
      </c>
      <c r="D18" s="157"/>
      <c r="E18" s="158" t="s">
        <v>100</v>
      </c>
    </row>
    <row r="19" customFormat="false" ht="54" hidden="false" customHeight="true" outlineLevel="0" collapsed="false">
      <c r="A19" s="159" t="s">
        <v>101</v>
      </c>
      <c r="B19" s="179" t="s">
        <v>102</v>
      </c>
      <c r="C19" s="160" t="n">
        <v>1</v>
      </c>
      <c r="D19" s="157" t="n">
        <v>1</v>
      </c>
      <c r="E19" s="158" t="n">
        <v>0</v>
      </c>
    </row>
    <row r="20" customFormat="false" ht="20.25" hidden="false" customHeight="true" outlineLevel="0" collapsed="false">
      <c r="A20" s="159"/>
      <c r="B20" s="180" t="s">
        <v>103</v>
      </c>
      <c r="C20" s="178" t="n">
        <v>290201</v>
      </c>
      <c r="D20" s="157" t="n">
        <v>290201</v>
      </c>
      <c r="E20" s="158" t="n">
        <v>20</v>
      </c>
    </row>
    <row r="21" customFormat="false" ht="30" hidden="false" customHeight="true" outlineLevel="0" collapsed="false">
      <c r="A21" s="159"/>
      <c r="B21" s="159" t="s">
        <v>104</v>
      </c>
      <c r="C21" s="160"/>
      <c r="D21" s="161" t="n">
        <v>0</v>
      </c>
      <c r="E21" s="158" t="n">
        <v>0</v>
      </c>
    </row>
    <row r="22" customFormat="false" ht="30" hidden="false" customHeight="true" outlineLevel="0" collapsed="false">
      <c r="A22" s="159" t="s">
        <v>105</v>
      </c>
      <c r="B22" s="159" t="s">
        <v>106</v>
      </c>
      <c r="C22" s="178" t="n">
        <v>400</v>
      </c>
      <c r="D22" s="161" t="n">
        <v>400</v>
      </c>
      <c r="E22" s="158" t="n">
        <v>20</v>
      </c>
    </row>
    <row r="23" customFormat="false" ht="30" hidden="false" customHeight="true" outlineLevel="0" collapsed="false">
      <c r="A23" s="159" t="s">
        <v>107</v>
      </c>
      <c r="B23" s="159" t="s">
        <v>108</v>
      </c>
      <c r="C23" s="160" t="n">
        <v>0.003</v>
      </c>
      <c r="D23" s="161" t="n">
        <v>0.003</v>
      </c>
      <c r="E23" s="158" t="n">
        <v>20</v>
      </c>
    </row>
    <row r="24" customFormat="false" ht="30" hidden="false" customHeight="true" outlineLevel="0" collapsed="false">
      <c r="A24" s="159" t="s">
        <v>109</v>
      </c>
      <c r="B24" s="159" t="s">
        <v>110</v>
      </c>
      <c r="C24" s="178" t="n">
        <v>1000</v>
      </c>
      <c r="D24" s="181" t="n">
        <v>1000</v>
      </c>
      <c r="E24" s="158" t="n">
        <v>10</v>
      </c>
    </row>
    <row r="25" customFormat="false" ht="30" hidden="false" customHeight="true" outlineLevel="0" collapsed="false">
      <c r="A25" s="159" t="s">
        <v>111</v>
      </c>
      <c r="B25" s="159" t="s">
        <v>112</v>
      </c>
      <c r="C25" s="173" t="n">
        <v>0.0256</v>
      </c>
      <c r="D25" s="161" t="n">
        <v>0.0256</v>
      </c>
      <c r="E25" s="158" t="n">
        <v>0</v>
      </c>
    </row>
    <row r="26" customFormat="false" ht="30" hidden="false" customHeight="true" outlineLevel="0" collapsed="false">
      <c r="A26" s="159" t="s">
        <v>14</v>
      </c>
      <c r="B26" s="159" t="s">
        <v>113</v>
      </c>
      <c r="C26" s="160" t="n">
        <v>0.2</v>
      </c>
      <c r="D26" s="161" t="n">
        <v>0.2</v>
      </c>
      <c r="E26" s="158" t="n">
        <v>0</v>
      </c>
    </row>
    <row r="27" customFormat="false" ht="20.25" hidden="false" customHeight="true" outlineLevel="0" collapsed="false">
      <c r="A27" s="163"/>
      <c r="B27" s="163"/>
      <c r="C27" s="163"/>
      <c r="D27" s="163"/>
      <c r="E27" s="164"/>
    </row>
    <row r="28" customFormat="false" ht="20.25" hidden="false" customHeight="true" outlineLevel="0" collapsed="false">
      <c r="A28" s="163"/>
      <c r="B28" s="163"/>
      <c r="C28" s="163"/>
      <c r="D28" s="163"/>
      <c r="E28" s="164"/>
    </row>
    <row r="29" customFormat="false" ht="22.5" hidden="false" customHeight="true" outlineLevel="0" collapsed="false">
      <c r="A29" s="152" t="s">
        <v>114</v>
      </c>
      <c r="B29" s="152"/>
      <c r="C29" s="152"/>
      <c r="D29" s="163"/>
      <c r="E29" s="164"/>
    </row>
    <row r="30" customFormat="false" ht="22.5" hidden="false" customHeight="true" outlineLevel="0" collapsed="false">
      <c r="A30" s="166" t="s">
        <v>115</v>
      </c>
      <c r="B30" s="167" t="s">
        <v>80</v>
      </c>
      <c r="C30" s="182" t="s">
        <v>81</v>
      </c>
      <c r="D30" s="163"/>
      <c r="E30" s="153" t="s">
        <v>64</v>
      </c>
    </row>
    <row r="31" customFormat="false" ht="30" hidden="false" customHeight="true" outlineLevel="0" collapsed="false">
      <c r="A31" s="155" t="s">
        <v>116</v>
      </c>
      <c r="B31" s="155" t="s">
        <v>117</v>
      </c>
      <c r="C31" s="183" t="n">
        <v>0.8</v>
      </c>
      <c r="D31" s="163" t="n">
        <v>0.8</v>
      </c>
      <c r="E31" s="158" t="s">
        <v>118</v>
      </c>
    </row>
    <row r="32" customFormat="false" ht="18.75" hidden="false" customHeight="true" outlineLevel="0" collapsed="false">
      <c r="A32" s="155" t="s">
        <v>119</v>
      </c>
      <c r="B32" s="155" t="s">
        <v>120</v>
      </c>
      <c r="C32" s="183" t="n">
        <v>15</v>
      </c>
      <c r="D32" s="163" t="n">
        <v>15</v>
      </c>
      <c r="E32" s="158" t="s">
        <v>121</v>
      </c>
    </row>
    <row r="33" customFormat="false" ht="18.75" hidden="false" customHeight="true" outlineLevel="0" collapsed="false">
      <c r="A33" s="159" t="s">
        <v>53</v>
      </c>
      <c r="B33" s="159" t="s">
        <v>122</v>
      </c>
      <c r="C33" s="160" t="n">
        <v>0.9</v>
      </c>
      <c r="D33" s="163" t="n">
        <v>0.9</v>
      </c>
      <c r="E33" s="158" t="s">
        <v>123</v>
      </c>
    </row>
    <row r="34" customFormat="false" ht="30" hidden="false" customHeight="true" outlineLevel="0" collapsed="false">
      <c r="A34" s="159" t="s">
        <v>54</v>
      </c>
      <c r="B34" s="159" t="s">
        <v>120</v>
      </c>
      <c r="C34" s="160" t="n">
        <v>4</v>
      </c>
      <c r="D34" s="163" t="n">
        <v>4</v>
      </c>
      <c r="E34" s="158" t="s">
        <v>124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62" t="n">
        <v>2020</v>
      </c>
      <c r="E37" s="162" t="n">
        <v>2021</v>
      </c>
      <c r="F37" s="162" t="n">
        <v>2022</v>
      </c>
      <c r="G37" s="162" t="n">
        <v>2023</v>
      </c>
      <c r="H37" s="162" t="n">
        <v>2024</v>
      </c>
      <c r="I37" s="162" t="n">
        <v>2025</v>
      </c>
      <c r="J37" s="162" t="n">
        <v>2026</v>
      </c>
      <c r="K37" s="162" t="n">
        <v>2027</v>
      </c>
      <c r="L37" s="162" t="n">
        <v>2028</v>
      </c>
      <c r="M37" s="162" t="n">
        <v>2029</v>
      </c>
      <c r="N37" s="162" t="n">
        <v>2030</v>
      </c>
      <c r="O37" s="162" t="n">
        <v>2031</v>
      </c>
      <c r="P37" s="162" t="n">
        <v>2032</v>
      </c>
      <c r="Q37" s="162" t="n">
        <v>2033</v>
      </c>
      <c r="R37" s="162" t="n">
        <v>2034</v>
      </c>
      <c r="S37" s="162" t="n">
        <v>2035</v>
      </c>
      <c r="T37" s="162" t="n">
        <v>2036</v>
      </c>
      <c r="U37" s="162" t="n">
        <v>2037</v>
      </c>
      <c r="V37" s="162" t="n">
        <v>2038</v>
      </c>
      <c r="W37" s="162" t="n">
        <v>2039</v>
      </c>
    </row>
    <row r="45" customFormat="false" ht="15.75" hidden="false" customHeight="true" outlineLevel="0" collapsed="false">
      <c r="D45" s="162" t="n">
        <v>-290201</v>
      </c>
      <c r="E45" s="162" t="n">
        <v>-290201</v>
      </c>
      <c r="F45" s="162" t="n">
        <v>-290201</v>
      </c>
      <c r="G45" s="162" t="n">
        <v>-290201</v>
      </c>
      <c r="H45" s="162" t="n">
        <v>-290201</v>
      </c>
      <c r="I45" s="162" t="n">
        <v>-290201</v>
      </c>
      <c r="J45" s="162" t="n">
        <v>-290201</v>
      </c>
      <c r="K45" s="162" t="n">
        <v>-290201</v>
      </c>
      <c r="L45" s="162" t="n">
        <v>-290201</v>
      </c>
      <c r="M45" s="162" t="n">
        <v>-290201</v>
      </c>
      <c r="N45" s="162" t="n">
        <v>-290201</v>
      </c>
      <c r="O45" s="162" t="n">
        <v>-290201</v>
      </c>
      <c r="P45" s="162" t="n">
        <v>-290201</v>
      </c>
      <c r="Q45" s="162" t="n">
        <v>-290201</v>
      </c>
      <c r="R45" s="162" t="n">
        <v>-290201</v>
      </c>
      <c r="S45" s="162" t="n">
        <v>-290201</v>
      </c>
      <c r="T45" s="162" t="n">
        <v>-290201</v>
      </c>
      <c r="U45" s="162" t="n">
        <v>-290201</v>
      </c>
      <c r="V45" s="162" t="n">
        <v>-290201</v>
      </c>
      <c r="W45" s="162" t="n">
        <v>-290201</v>
      </c>
    </row>
    <row r="48" customFormat="false" ht="15.75" hidden="false" customHeight="true" outlineLevel="0" collapsed="false">
      <c r="D48" s="162" t="n">
        <v>-174440</v>
      </c>
      <c r="E48" s="162" t="n">
        <v>-174440</v>
      </c>
      <c r="F48" s="162" t="n">
        <v>-174440</v>
      </c>
      <c r="G48" s="162" t="n">
        <v>-174440</v>
      </c>
      <c r="H48" s="162" t="n">
        <v>-174440</v>
      </c>
      <c r="I48" s="162" t="n">
        <v>-174440</v>
      </c>
      <c r="J48" s="162" t="n">
        <v>-174440</v>
      </c>
      <c r="K48" s="162" t="n">
        <v>-174440</v>
      </c>
      <c r="L48" s="162" t="n">
        <v>-174440</v>
      </c>
      <c r="M48" s="162" t="n">
        <v>-174440</v>
      </c>
      <c r="N48" s="162" t="n">
        <v>-174440</v>
      </c>
      <c r="O48" s="162" t="n">
        <v>-174440</v>
      </c>
      <c r="P48" s="162" t="n">
        <v>-174440</v>
      </c>
      <c r="Q48" s="162" t="n">
        <v>-174440</v>
      </c>
      <c r="R48" s="162" t="n">
        <v>-174440</v>
      </c>
      <c r="S48" s="162" t="n">
        <v>-174440</v>
      </c>
      <c r="T48" s="162" t="n">
        <v>-174440</v>
      </c>
      <c r="U48" s="162" t="n">
        <v>-174440</v>
      </c>
      <c r="V48" s="162" t="n">
        <v>-174440</v>
      </c>
      <c r="W48" s="162" t="n">
        <v>-174440</v>
      </c>
    </row>
    <row r="49" customFormat="false" ht="15.75" hidden="false" customHeight="true" outlineLevel="0" collapsed="false">
      <c r="D49" s="162" t="n">
        <v>-37940.7</v>
      </c>
      <c r="E49" s="162" t="n">
        <v>-37940.7</v>
      </c>
      <c r="F49" s="162" t="n">
        <v>-37940.7</v>
      </c>
      <c r="G49" s="162" t="n">
        <v>-37940.7</v>
      </c>
      <c r="H49" s="162" t="n">
        <v>-37940.7</v>
      </c>
      <c r="I49" s="162" t="n">
        <v>-37940.7</v>
      </c>
      <c r="J49" s="162" t="n">
        <v>-37940.7</v>
      </c>
      <c r="K49" s="162" t="n">
        <v>-37940.7</v>
      </c>
      <c r="L49" s="162" t="n">
        <v>-37940.7</v>
      </c>
      <c r="M49" s="162" t="n">
        <v>-37940.7</v>
      </c>
      <c r="N49" s="162" t="n">
        <v>-37940.7</v>
      </c>
      <c r="O49" s="162" t="n">
        <v>-37940.7</v>
      </c>
      <c r="P49" s="162" t="n">
        <v>-37940.7</v>
      </c>
      <c r="Q49" s="162" t="n">
        <v>-37940.7</v>
      </c>
      <c r="R49" s="162" t="n">
        <v>-37940.7</v>
      </c>
      <c r="S49" s="162" t="n">
        <v>-37940.7</v>
      </c>
      <c r="T49" s="162" t="n">
        <v>-37940.7</v>
      </c>
      <c r="U49" s="162" t="n">
        <v>-37940.7</v>
      </c>
      <c r="V49" s="162" t="n">
        <v>-37940.7</v>
      </c>
      <c r="W49" s="162" t="n">
        <v>-37940.7</v>
      </c>
    </row>
    <row r="50" customFormat="false" ht="15.75" hidden="false" customHeight="true" outlineLevel="0" collapsed="false">
      <c r="D50" s="162" t="n">
        <v>-43610</v>
      </c>
      <c r="E50" s="162" t="n">
        <v>-43610</v>
      </c>
      <c r="F50" s="162" t="n">
        <v>-43610</v>
      </c>
      <c r="G50" s="162" t="n">
        <v>-43610</v>
      </c>
      <c r="H50" s="162" t="n">
        <v>-43610</v>
      </c>
      <c r="I50" s="162" t="n">
        <v>-43610</v>
      </c>
      <c r="J50" s="162" t="n">
        <v>-43610</v>
      </c>
      <c r="K50" s="162" t="n">
        <v>-43610</v>
      </c>
      <c r="L50" s="162" t="n">
        <v>-43610</v>
      </c>
      <c r="M50" s="162" t="n">
        <v>-43610</v>
      </c>
      <c r="N50" s="162" t="n">
        <v>0</v>
      </c>
      <c r="O50" s="162" t="n">
        <v>0</v>
      </c>
      <c r="P50" s="162" t="n">
        <v>0</v>
      </c>
      <c r="Q50" s="162" t="n">
        <v>0</v>
      </c>
      <c r="R50" s="162" t="n">
        <v>0</v>
      </c>
      <c r="S50" s="162" t="n">
        <v>0</v>
      </c>
      <c r="T50" s="162" t="n">
        <v>0</v>
      </c>
      <c r="U50" s="162" t="n">
        <v>0</v>
      </c>
      <c r="V50" s="162" t="n">
        <v>0</v>
      </c>
      <c r="W50" s="162" t="n">
        <v>0</v>
      </c>
    </row>
    <row r="54" customFormat="false" ht="15" hidden="false" customHeight="true" outlineLevel="0" collapsed="false">
      <c r="D54" s="1" t="n">
        <f aca="false">D77</f>
        <v>0</v>
      </c>
      <c r="E54" s="1" t="n">
        <f aca="false">E77</f>
        <v>0</v>
      </c>
      <c r="F54" s="1" t="n">
        <f aca="false">F77</f>
        <v>0</v>
      </c>
      <c r="G54" s="1" t="n">
        <f aca="false">G77</f>
        <v>0</v>
      </c>
      <c r="H54" s="1" t="n">
        <f aca="false">H77</f>
        <v>0</v>
      </c>
      <c r="I54" s="1" t="n">
        <f aca="false">I77</f>
        <v>0</v>
      </c>
      <c r="J54" s="1" t="n">
        <f aca="false">J77</f>
        <v>0</v>
      </c>
      <c r="K54" s="1" t="n">
        <f aca="false">K77</f>
        <v>0</v>
      </c>
      <c r="L54" s="1" t="n">
        <f aca="false">L77</f>
        <v>0</v>
      </c>
      <c r="M54" s="1" t="n">
        <f aca="false">M77</f>
        <v>0</v>
      </c>
      <c r="N54" s="1" t="n">
        <f aca="false">N77</f>
        <v>0</v>
      </c>
      <c r="O54" s="1" t="n">
        <f aca="false">O77</f>
        <v>0</v>
      </c>
      <c r="P54" s="1" t="n">
        <f aca="false">P77</f>
        <v>0</v>
      </c>
      <c r="Q54" s="1" t="n">
        <f aca="false">Q77</f>
        <v>0</v>
      </c>
      <c r="R54" s="1" t="n">
        <f aca="false">R77</f>
        <v>0</v>
      </c>
      <c r="S54" s="1" t="n">
        <f aca="false">S77</f>
        <v>0</v>
      </c>
      <c r="T54" s="1" t="n">
        <f aca="false">T77</f>
        <v>0</v>
      </c>
      <c r="U54" s="1" t="n">
        <f aca="false">U77</f>
        <v>0</v>
      </c>
      <c r="V54" s="1" t="n">
        <f aca="false">V77</f>
        <v>0</v>
      </c>
      <c r="W54" s="1" t="n">
        <f aca="false">W77</f>
        <v>0</v>
      </c>
    </row>
    <row r="70" customFormat="false" ht="15" hidden="false" customHeight="true" outlineLevel="0" collapsed="false"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50"/>
    <col collapsed="false" customWidth="true" hidden="false" outlineLevel="0" max="6" min="6" style="1" width="11"/>
    <col collapsed="false" customWidth="true" hidden="false" outlineLevel="0" max="13" min="13" style="1" width="50"/>
    <col collapsed="false" customWidth="true" hidden="false" outlineLevel="0" max="14" min="14" style="1" width="11"/>
    <col collapsed="false" customWidth="true" hidden="false" outlineLevel="0" max="24" min="24" style="1" width="10"/>
    <col collapsed="false" customWidth="true" hidden="false" outlineLevel="0" max="28" min="28" style="1" width="11"/>
    <col collapsed="false" customWidth="true" hidden="false" outlineLevel="0" max="35" min="35" style="1" width="32.58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152" t="s">
        <v>63</v>
      </c>
      <c r="B1" s="152"/>
      <c r="C1" s="152"/>
      <c r="D1" s="152"/>
      <c r="E1" s="153" t="s">
        <v>64</v>
      </c>
      <c r="O1" s="154" t="n">
        <f aca="false">1-C11</f>
        <v>0.99</v>
      </c>
      <c r="P1" s="154" t="n">
        <f aca="false">O1-$C12</f>
        <v>0.986</v>
      </c>
      <c r="Q1" s="154" t="n">
        <f aca="false">P1-$C12</f>
        <v>0.982</v>
      </c>
      <c r="R1" s="154" t="n">
        <f aca="false">Q1-$C12</f>
        <v>0.978</v>
      </c>
      <c r="S1" s="154" t="n">
        <f aca="false">R1-$C12</f>
        <v>0.974</v>
      </c>
      <c r="T1" s="154" t="n">
        <f aca="false">S1-$C12</f>
        <v>0.97</v>
      </c>
      <c r="U1" s="154" t="n">
        <f aca="false">T1-$C12</f>
        <v>0.966</v>
      </c>
      <c r="V1" s="154" t="n">
        <f aca="false">U1-$C12</f>
        <v>0.962</v>
      </c>
      <c r="W1" s="154" t="n">
        <f aca="false">V1-$C12</f>
        <v>0.958</v>
      </c>
      <c r="X1" s="154" t="n">
        <f aca="false">W1-$C12</f>
        <v>0.954</v>
      </c>
      <c r="Y1" s="154" t="n">
        <f aca="false">X1-$C12</f>
        <v>0.95</v>
      </c>
      <c r="Z1" s="154" t="n">
        <f aca="false">Y1-$C12</f>
        <v>0.946</v>
      </c>
      <c r="AA1" s="154" t="n">
        <f aca="false">Z1-$C12</f>
        <v>0.942</v>
      </c>
      <c r="AB1" s="154" t="n">
        <f aca="false">AA1-$C12</f>
        <v>0.938</v>
      </c>
      <c r="AC1" s="154" t="n">
        <f aca="false">AB1-$C12</f>
        <v>0.934</v>
      </c>
      <c r="AD1" s="154" t="n">
        <f aca="false">AC1-$C12</f>
        <v>0.93</v>
      </c>
      <c r="AE1" s="154" t="n">
        <f aca="false">AD1-$C12</f>
        <v>0.926</v>
      </c>
      <c r="AF1" s="154" t="n">
        <f aca="false">AE1-$C12</f>
        <v>0.922</v>
      </c>
      <c r="AG1" s="154" t="n">
        <f aca="false">AF1-$C12</f>
        <v>0.918</v>
      </c>
      <c r="AH1" s="154" t="n">
        <f aca="false">AG1-$C12</f>
        <v>0.914</v>
      </c>
    </row>
    <row r="2" customFormat="false" ht="21.75" hidden="false" customHeight="true" outlineLevel="0" collapsed="false">
      <c r="A2" s="155" t="s">
        <v>65</v>
      </c>
      <c r="B2" s="156" t="s">
        <v>2</v>
      </c>
      <c r="C2" s="155" t="s">
        <v>2</v>
      </c>
      <c r="D2" s="157" t="s">
        <v>26</v>
      </c>
      <c r="E2" s="158" t="s">
        <v>66</v>
      </c>
    </row>
    <row r="3" customFormat="false" ht="21.75" hidden="false" customHeight="true" outlineLevel="0" collapsed="false">
      <c r="A3" s="159" t="s">
        <v>67</v>
      </c>
      <c r="B3" s="160" t="n">
        <v>20</v>
      </c>
      <c r="C3" s="159" t="n">
        <v>20</v>
      </c>
      <c r="D3" s="161" t="s">
        <v>26</v>
      </c>
      <c r="E3" s="158" t="s">
        <v>68</v>
      </c>
    </row>
    <row r="4" customFormat="false" ht="21.75" hidden="false" customHeight="true" outlineLevel="0" collapsed="false">
      <c r="A4" s="159" t="s">
        <v>69</v>
      </c>
      <c r="B4" s="160" t="n">
        <v>436.1</v>
      </c>
      <c r="C4" s="159" t="n">
        <v>436.1</v>
      </c>
      <c r="D4" s="161" t="s">
        <v>26</v>
      </c>
      <c r="E4" s="158" t="s">
        <v>70</v>
      </c>
      <c r="M4" s="162" t="s">
        <v>125</v>
      </c>
    </row>
    <row r="5" customFormat="false" ht="22.5" hidden="false" customHeight="true" outlineLevel="0" collapsed="false">
      <c r="A5" s="159" t="s">
        <v>72</v>
      </c>
      <c r="B5" s="160" t="n">
        <v>2020</v>
      </c>
      <c r="C5" s="159" t="n">
        <v>2020</v>
      </c>
      <c r="D5" s="161" t="n">
        <f aca="false">B5+B3-1</f>
        <v>2039</v>
      </c>
      <c r="E5" s="158" t="n">
        <v>2039</v>
      </c>
      <c r="M5" s="162" t="s">
        <v>126</v>
      </c>
    </row>
    <row r="6" customFormat="false" ht="20.25" hidden="false" customHeight="true" outlineLevel="0" collapsed="false">
      <c r="A6" s="163"/>
      <c r="B6" s="163"/>
      <c r="C6" s="163"/>
      <c r="D6" s="163"/>
      <c r="E6" s="164"/>
      <c r="M6" s="162" t="s">
        <v>127</v>
      </c>
    </row>
    <row r="7" customFormat="false" ht="22.5" hidden="false" customHeight="true" outlineLevel="0" collapsed="false">
      <c r="A7" s="152" t="s">
        <v>75</v>
      </c>
      <c r="B7" s="152"/>
      <c r="C7" s="152"/>
      <c r="D7" s="152"/>
      <c r="E7" s="164"/>
      <c r="M7" s="162" t="s">
        <v>128</v>
      </c>
    </row>
    <row r="8" customFormat="false" ht="22.5" hidden="false" customHeight="true" outlineLevel="0" collapsed="false">
      <c r="A8" s="165" t="s">
        <v>77</v>
      </c>
      <c r="B8" s="165"/>
      <c r="C8" s="165"/>
      <c r="D8" s="165"/>
      <c r="E8" s="164"/>
      <c r="M8" s="162" t="s">
        <v>129</v>
      </c>
    </row>
    <row r="9" customFormat="false" ht="22.5" hidden="false" customHeight="true" outlineLevel="0" collapsed="false">
      <c r="A9" s="166" t="s">
        <v>79</v>
      </c>
      <c r="B9" s="167" t="s">
        <v>80</v>
      </c>
      <c r="C9" s="167" t="s">
        <v>81</v>
      </c>
      <c r="D9" s="168" t="s">
        <v>82</v>
      </c>
      <c r="E9" s="153" t="s">
        <v>64</v>
      </c>
      <c r="M9" s="162" t="s">
        <v>83</v>
      </c>
    </row>
    <row r="10" customFormat="false" ht="30" hidden="false" customHeight="true" outlineLevel="0" collapsed="false">
      <c r="A10" s="169" t="s">
        <v>84</v>
      </c>
      <c r="B10" s="155" t="s">
        <v>85</v>
      </c>
      <c r="C10" s="170" t="n">
        <v>547002</v>
      </c>
      <c r="D10" s="171" t="n">
        <v>547002</v>
      </c>
      <c r="E10" s="158" t="n">
        <v>20</v>
      </c>
      <c r="M10" s="162" t="s">
        <v>130</v>
      </c>
    </row>
    <row r="11" customFormat="false" ht="30" hidden="false" customHeight="true" outlineLevel="0" collapsed="false">
      <c r="A11" s="169"/>
      <c r="B11" s="159" t="s">
        <v>87</v>
      </c>
      <c r="C11" s="172" t="n">
        <v>0.01</v>
      </c>
      <c r="D11" s="171"/>
      <c r="E11" s="158" t="s">
        <v>88</v>
      </c>
    </row>
    <row r="12" customFormat="false" ht="30" hidden="false" customHeight="true" outlineLevel="0" collapsed="false">
      <c r="A12" s="169"/>
      <c r="B12" s="159" t="s">
        <v>89</v>
      </c>
      <c r="C12" s="173" t="n">
        <v>0.004</v>
      </c>
      <c r="D12" s="171"/>
      <c r="E12" s="158" t="s">
        <v>90</v>
      </c>
    </row>
    <row r="13" customFormat="false" ht="22.5" hidden="false" customHeight="true" outlineLevel="0" collapsed="false">
      <c r="A13" s="169"/>
      <c r="B13" s="174" t="s">
        <v>91</v>
      </c>
      <c r="C13" s="175" t="n">
        <v>4</v>
      </c>
      <c r="D13" s="171"/>
      <c r="E13" s="158" t="s">
        <v>92</v>
      </c>
    </row>
    <row r="14" customFormat="false" ht="22.5" hidden="false" customHeight="true" outlineLevel="0" collapsed="false">
      <c r="A14" s="176" t="s">
        <v>93</v>
      </c>
      <c r="B14" s="176"/>
      <c r="C14" s="176"/>
      <c r="D14" s="176"/>
      <c r="E14" s="164"/>
    </row>
    <row r="15" customFormat="false" ht="22.5" hidden="false" customHeight="true" outlineLevel="0" collapsed="false">
      <c r="A15" s="166" t="s">
        <v>79</v>
      </c>
      <c r="B15" s="167" t="s">
        <v>80</v>
      </c>
      <c r="C15" s="167" t="s">
        <v>81</v>
      </c>
      <c r="D15" s="168" t="s">
        <v>94</v>
      </c>
      <c r="E15" s="153" t="s">
        <v>64</v>
      </c>
    </row>
    <row r="16" customFormat="false" ht="21.75" hidden="false" customHeight="true" outlineLevel="0" collapsed="false">
      <c r="A16" s="155" t="s">
        <v>95</v>
      </c>
      <c r="B16" s="155" t="s">
        <v>96</v>
      </c>
      <c r="C16" s="177" t="n">
        <v>35000</v>
      </c>
      <c r="D16" s="157" t="n">
        <v>25000</v>
      </c>
      <c r="E16" s="158" t="n">
        <v>20</v>
      </c>
    </row>
    <row r="17" customFormat="false" ht="21.75" hidden="false" customHeight="true" outlineLevel="0" collapsed="false">
      <c r="A17" s="155"/>
      <c r="B17" s="159" t="s">
        <v>97</v>
      </c>
      <c r="C17" s="160" t="n">
        <v>0.3</v>
      </c>
      <c r="D17" s="157"/>
      <c r="E17" s="158" t="s">
        <v>98</v>
      </c>
    </row>
    <row r="18" customFormat="false" ht="21.75" hidden="false" customHeight="true" outlineLevel="0" collapsed="false">
      <c r="A18" s="155"/>
      <c r="B18" s="159" t="s">
        <v>99</v>
      </c>
      <c r="C18" s="178" t="n">
        <v>2000</v>
      </c>
      <c r="D18" s="157"/>
      <c r="E18" s="158" t="s">
        <v>100</v>
      </c>
    </row>
    <row r="19" customFormat="false" ht="54" hidden="false" customHeight="true" outlineLevel="0" collapsed="false">
      <c r="A19" s="159" t="s">
        <v>101</v>
      </c>
      <c r="B19" s="179" t="s">
        <v>102</v>
      </c>
      <c r="C19" s="160" t="n">
        <v>1</v>
      </c>
      <c r="D19" s="157" t="n">
        <v>1</v>
      </c>
      <c r="E19" s="158" t="n">
        <v>0</v>
      </c>
    </row>
    <row r="20" customFormat="false" ht="20.25" hidden="false" customHeight="true" outlineLevel="0" collapsed="false">
      <c r="A20" s="159"/>
      <c r="B20" s="180" t="s">
        <v>103</v>
      </c>
      <c r="C20" s="178" t="n">
        <v>290201</v>
      </c>
      <c r="D20" s="157" t="n">
        <v>290201</v>
      </c>
      <c r="E20" s="158" t="n">
        <v>20</v>
      </c>
    </row>
    <row r="21" customFormat="false" ht="30" hidden="false" customHeight="true" outlineLevel="0" collapsed="false">
      <c r="A21" s="159"/>
      <c r="B21" s="159" t="s">
        <v>104</v>
      </c>
      <c r="C21" s="160"/>
      <c r="D21" s="161" t="n">
        <v>0</v>
      </c>
      <c r="E21" s="158" t="n">
        <v>0</v>
      </c>
    </row>
    <row r="22" customFormat="false" ht="30" hidden="false" customHeight="true" outlineLevel="0" collapsed="false">
      <c r="A22" s="159" t="s">
        <v>105</v>
      </c>
      <c r="B22" s="159" t="s">
        <v>106</v>
      </c>
      <c r="C22" s="178" t="n">
        <v>400</v>
      </c>
      <c r="D22" s="161" t="n">
        <v>400</v>
      </c>
      <c r="E22" s="158" t="n">
        <v>20</v>
      </c>
    </row>
    <row r="23" customFormat="false" ht="30" hidden="false" customHeight="true" outlineLevel="0" collapsed="false">
      <c r="A23" s="159" t="s">
        <v>107</v>
      </c>
      <c r="B23" s="159" t="s">
        <v>108</v>
      </c>
      <c r="C23" s="160" t="n">
        <v>0.003</v>
      </c>
      <c r="D23" s="161" t="n">
        <v>0.003</v>
      </c>
      <c r="E23" s="158" t="n">
        <v>20</v>
      </c>
    </row>
    <row r="24" customFormat="false" ht="30" hidden="false" customHeight="true" outlineLevel="0" collapsed="false">
      <c r="A24" s="159" t="s">
        <v>109</v>
      </c>
      <c r="B24" s="159" t="s">
        <v>110</v>
      </c>
      <c r="C24" s="178" t="n">
        <v>1000</v>
      </c>
      <c r="D24" s="181" t="n">
        <v>1000</v>
      </c>
      <c r="E24" s="158" t="n">
        <v>10</v>
      </c>
    </row>
    <row r="25" customFormat="false" ht="30" hidden="false" customHeight="true" outlineLevel="0" collapsed="false">
      <c r="A25" s="159" t="s">
        <v>111</v>
      </c>
      <c r="B25" s="159" t="s">
        <v>112</v>
      </c>
      <c r="C25" s="173" t="n">
        <v>0.0256</v>
      </c>
      <c r="D25" s="161" t="n">
        <v>0.0256</v>
      </c>
      <c r="E25" s="158" t="n">
        <v>0</v>
      </c>
    </row>
    <row r="26" customFormat="false" ht="30" hidden="false" customHeight="true" outlineLevel="0" collapsed="false">
      <c r="A26" s="159" t="s">
        <v>14</v>
      </c>
      <c r="B26" s="159" t="s">
        <v>113</v>
      </c>
      <c r="C26" s="160" t="n">
        <v>0.2</v>
      </c>
      <c r="D26" s="161" t="n">
        <v>0.2</v>
      </c>
      <c r="E26" s="158" t="n">
        <v>0</v>
      </c>
    </row>
    <row r="27" customFormat="false" ht="20.25" hidden="false" customHeight="true" outlineLevel="0" collapsed="false">
      <c r="A27" s="163"/>
      <c r="B27" s="163"/>
      <c r="C27" s="163"/>
      <c r="D27" s="163"/>
      <c r="E27" s="164"/>
    </row>
    <row r="28" customFormat="false" ht="20.25" hidden="false" customHeight="true" outlineLevel="0" collapsed="false">
      <c r="A28" s="163"/>
      <c r="B28" s="163"/>
      <c r="C28" s="163"/>
      <c r="D28" s="163"/>
      <c r="E28" s="164"/>
    </row>
    <row r="29" customFormat="false" ht="22.5" hidden="false" customHeight="true" outlineLevel="0" collapsed="false">
      <c r="A29" s="152" t="s">
        <v>114</v>
      </c>
      <c r="B29" s="152"/>
      <c r="C29" s="152"/>
      <c r="D29" s="163"/>
      <c r="E29" s="164"/>
    </row>
    <row r="30" customFormat="false" ht="22.5" hidden="false" customHeight="true" outlineLevel="0" collapsed="false">
      <c r="A30" s="166" t="s">
        <v>115</v>
      </c>
      <c r="B30" s="167" t="s">
        <v>80</v>
      </c>
      <c r="C30" s="182" t="s">
        <v>81</v>
      </c>
      <c r="D30" s="163"/>
      <c r="E30" s="153" t="s">
        <v>64</v>
      </c>
    </row>
    <row r="31" customFormat="false" ht="30" hidden="false" customHeight="true" outlineLevel="0" collapsed="false">
      <c r="A31" s="155" t="s">
        <v>116</v>
      </c>
      <c r="B31" s="155" t="s">
        <v>117</v>
      </c>
      <c r="C31" s="183" t="n">
        <v>0.8</v>
      </c>
      <c r="D31" s="163" t="n">
        <v>0.8</v>
      </c>
      <c r="E31" s="158" t="s">
        <v>118</v>
      </c>
    </row>
    <row r="32" customFormat="false" ht="18.75" hidden="false" customHeight="true" outlineLevel="0" collapsed="false">
      <c r="A32" s="155" t="s">
        <v>119</v>
      </c>
      <c r="B32" s="155" t="s">
        <v>120</v>
      </c>
      <c r="C32" s="183" t="n">
        <v>15</v>
      </c>
      <c r="D32" s="163" t="n">
        <v>15</v>
      </c>
      <c r="E32" s="158" t="s">
        <v>121</v>
      </c>
    </row>
    <row r="33" customFormat="false" ht="18.75" hidden="false" customHeight="true" outlineLevel="0" collapsed="false">
      <c r="A33" s="159" t="s">
        <v>53</v>
      </c>
      <c r="B33" s="159" t="s">
        <v>122</v>
      </c>
      <c r="C33" s="160" t="n">
        <v>0.9</v>
      </c>
      <c r="D33" s="163" t="n">
        <v>0.9</v>
      </c>
      <c r="E33" s="158" t="s">
        <v>123</v>
      </c>
    </row>
    <row r="34" customFormat="false" ht="30" hidden="false" customHeight="true" outlineLevel="0" collapsed="false">
      <c r="A34" s="159" t="s">
        <v>54</v>
      </c>
      <c r="B34" s="159" t="s">
        <v>120</v>
      </c>
      <c r="C34" s="160" t="n">
        <v>4</v>
      </c>
      <c r="D34" s="163" t="n">
        <v>4</v>
      </c>
      <c r="E34" s="158" t="s">
        <v>124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62" t="n">
        <v>2020</v>
      </c>
      <c r="E37" s="162" t="n">
        <v>2021</v>
      </c>
      <c r="F37" s="162" t="n">
        <v>2022</v>
      </c>
      <c r="G37" s="162" t="n">
        <v>2023</v>
      </c>
      <c r="H37" s="162" t="n">
        <v>2024</v>
      </c>
      <c r="I37" s="162" t="n">
        <v>2025</v>
      </c>
      <c r="J37" s="162" t="n">
        <v>2026</v>
      </c>
      <c r="K37" s="162" t="n">
        <v>2027</v>
      </c>
      <c r="L37" s="162" t="n">
        <v>2028</v>
      </c>
      <c r="M37" s="162" t="n">
        <v>2029</v>
      </c>
      <c r="N37" s="162" t="n">
        <v>2030</v>
      </c>
      <c r="O37" s="162" t="n">
        <v>2031</v>
      </c>
      <c r="P37" s="162" t="n">
        <v>2032</v>
      </c>
      <c r="Q37" s="162" t="n">
        <v>2033</v>
      </c>
      <c r="R37" s="162" t="n">
        <v>2034</v>
      </c>
      <c r="S37" s="162" t="n">
        <v>2035</v>
      </c>
      <c r="T37" s="162" t="n">
        <v>2036</v>
      </c>
      <c r="U37" s="162" t="n">
        <v>2037</v>
      </c>
      <c r="V37" s="162" t="n">
        <v>2038</v>
      </c>
      <c r="W37" s="162" t="n">
        <v>2039</v>
      </c>
    </row>
    <row r="45" customFormat="false" ht="15.75" hidden="false" customHeight="true" outlineLevel="0" collapsed="false">
      <c r="D45" s="162" t="n">
        <v>-290201</v>
      </c>
      <c r="E45" s="162" t="n">
        <v>-290201</v>
      </c>
      <c r="F45" s="162" t="n">
        <v>-290201</v>
      </c>
      <c r="G45" s="162" t="n">
        <v>-290201</v>
      </c>
      <c r="H45" s="162" t="n">
        <v>-290201</v>
      </c>
      <c r="I45" s="162" t="n">
        <v>-290201</v>
      </c>
      <c r="J45" s="162" t="n">
        <v>-290201</v>
      </c>
      <c r="K45" s="162" t="n">
        <v>-290201</v>
      </c>
      <c r="L45" s="162" t="n">
        <v>-290201</v>
      </c>
      <c r="M45" s="162" t="n">
        <v>-290201</v>
      </c>
      <c r="N45" s="162" t="n">
        <v>-290201</v>
      </c>
      <c r="O45" s="162" t="n">
        <v>-290201</v>
      </c>
      <c r="P45" s="162" t="n">
        <v>-290201</v>
      </c>
      <c r="Q45" s="162" t="n">
        <v>-290201</v>
      </c>
      <c r="R45" s="162" t="n">
        <v>-290201</v>
      </c>
      <c r="S45" s="162" t="n">
        <v>-290201</v>
      </c>
      <c r="T45" s="162" t="n">
        <v>-290201</v>
      </c>
      <c r="U45" s="162" t="n">
        <v>-290201</v>
      </c>
      <c r="V45" s="162" t="n">
        <v>-290201</v>
      </c>
      <c r="W45" s="162" t="n">
        <v>-290201</v>
      </c>
    </row>
    <row r="48" customFormat="false" ht="15.75" hidden="false" customHeight="true" outlineLevel="0" collapsed="false">
      <c r="D48" s="162" t="n">
        <v>-174440</v>
      </c>
      <c r="E48" s="162" t="n">
        <v>-174440</v>
      </c>
      <c r="F48" s="162" t="n">
        <v>-174440</v>
      </c>
      <c r="G48" s="162" t="n">
        <v>-174440</v>
      </c>
      <c r="H48" s="162" t="n">
        <v>-174440</v>
      </c>
      <c r="I48" s="162" t="n">
        <v>-174440</v>
      </c>
      <c r="J48" s="162" t="n">
        <v>-174440</v>
      </c>
      <c r="K48" s="162" t="n">
        <v>-174440</v>
      </c>
      <c r="L48" s="162" t="n">
        <v>-174440</v>
      </c>
      <c r="M48" s="162" t="n">
        <v>-174440</v>
      </c>
      <c r="N48" s="162" t="n">
        <v>-174440</v>
      </c>
      <c r="O48" s="162" t="n">
        <v>-174440</v>
      </c>
      <c r="P48" s="162" t="n">
        <v>-174440</v>
      </c>
      <c r="Q48" s="162" t="n">
        <v>-174440</v>
      </c>
      <c r="R48" s="162" t="n">
        <v>-174440</v>
      </c>
      <c r="S48" s="162" t="n">
        <v>-174440</v>
      </c>
      <c r="T48" s="162" t="n">
        <v>-174440</v>
      </c>
      <c r="U48" s="162" t="n">
        <v>-174440</v>
      </c>
      <c r="V48" s="162" t="n">
        <v>-174440</v>
      </c>
      <c r="W48" s="162" t="n">
        <v>-174440</v>
      </c>
    </row>
    <row r="49" customFormat="false" ht="15.75" hidden="false" customHeight="true" outlineLevel="0" collapsed="false">
      <c r="D49" s="162" t="n">
        <v>-32707.5</v>
      </c>
      <c r="E49" s="162" t="n">
        <v>-32707.5</v>
      </c>
      <c r="F49" s="162" t="n">
        <v>-32707.5</v>
      </c>
      <c r="G49" s="162" t="n">
        <v>-32707.5</v>
      </c>
      <c r="H49" s="162" t="n">
        <v>-32707.5</v>
      </c>
      <c r="I49" s="162" t="n">
        <v>-32707.5</v>
      </c>
      <c r="J49" s="162" t="n">
        <v>-32707.5</v>
      </c>
      <c r="K49" s="162" t="n">
        <v>-32707.5</v>
      </c>
      <c r="L49" s="162" t="n">
        <v>-32707.5</v>
      </c>
      <c r="M49" s="162" t="n">
        <v>-32707.5</v>
      </c>
      <c r="N49" s="162" t="n">
        <v>-32707.5</v>
      </c>
      <c r="O49" s="162" t="n">
        <v>-32707.5</v>
      </c>
      <c r="P49" s="162" t="n">
        <v>-32707.5</v>
      </c>
      <c r="Q49" s="162" t="n">
        <v>-32707.5</v>
      </c>
      <c r="R49" s="162" t="n">
        <v>-32707.5</v>
      </c>
      <c r="S49" s="162" t="n">
        <v>-32707.5</v>
      </c>
      <c r="T49" s="162" t="n">
        <v>-32707.5</v>
      </c>
      <c r="U49" s="162" t="n">
        <v>-32707.5</v>
      </c>
      <c r="V49" s="162" t="n">
        <v>-32707.5</v>
      </c>
      <c r="W49" s="162" t="n">
        <v>-32707.5</v>
      </c>
    </row>
    <row r="50" customFormat="false" ht="15.75" hidden="false" customHeight="true" outlineLevel="0" collapsed="false">
      <c r="D50" s="162" t="n">
        <v>-43610</v>
      </c>
      <c r="E50" s="162" t="n">
        <v>-43610</v>
      </c>
      <c r="F50" s="162" t="n">
        <v>-43610</v>
      </c>
      <c r="G50" s="162" t="n">
        <v>-43610</v>
      </c>
      <c r="H50" s="162" t="n">
        <v>-43610</v>
      </c>
      <c r="I50" s="162" t="n">
        <v>-43610</v>
      </c>
      <c r="J50" s="162" t="n">
        <v>-43610</v>
      </c>
      <c r="K50" s="162" t="n">
        <v>-43610</v>
      </c>
      <c r="L50" s="162" t="n">
        <v>-43610</v>
      </c>
      <c r="M50" s="162" t="n">
        <v>-43610</v>
      </c>
      <c r="N50" s="162" t="n">
        <v>0</v>
      </c>
      <c r="O50" s="162" t="n">
        <v>0</v>
      </c>
      <c r="P50" s="162" t="n">
        <v>0</v>
      </c>
      <c r="Q50" s="162" t="n">
        <v>0</v>
      </c>
      <c r="R50" s="162" t="n">
        <v>0</v>
      </c>
      <c r="S50" s="162" t="n">
        <v>0</v>
      </c>
      <c r="T50" s="162" t="n">
        <v>0</v>
      </c>
      <c r="U50" s="162" t="n">
        <v>0</v>
      </c>
      <c r="V50" s="162" t="n">
        <v>0</v>
      </c>
      <c r="W50" s="162" t="n">
        <v>0</v>
      </c>
    </row>
    <row r="54" customFormat="false" ht="15" hidden="false" customHeight="true" outlineLevel="0" collapsed="false">
      <c r="D54" s="1" t="n">
        <f aca="false">D77</f>
        <v>0</v>
      </c>
      <c r="E54" s="1" t="n">
        <f aca="false">E77</f>
        <v>0</v>
      </c>
      <c r="F54" s="1" t="n">
        <f aca="false">F77</f>
        <v>0</v>
      </c>
      <c r="G54" s="1" t="n">
        <f aca="false">G77</f>
        <v>0</v>
      </c>
      <c r="H54" s="1" t="n">
        <f aca="false">H77</f>
        <v>0</v>
      </c>
      <c r="I54" s="1" t="n">
        <f aca="false">I77</f>
        <v>0</v>
      </c>
      <c r="J54" s="1" t="n">
        <f aca="false">J77</f>
        <v>0</v>
      </c>
      <c r="K54" s="1" t="n">
        <f aca="false">K77</f>
        <v>0</v>
      </c>
      <c r="L54" s="1" t="n">
        <f aca="false">L77</f>
        <v>0</v>
      </c>
      <c r="M54" s="1" t="n">
        <f aca="false">M77</f>
        <v>0</v>
      </c>
      <c r="N54" s="1" t="n">
        <f aca="false">N77</f>
        <v>0</v>
      </c>
      <c r="O54" s="1" t="n">
        <f aca="false">O77</f>
        <v>0</v>
      </c>
      <c r="P54" s="1" t="n">
        <f aca="false">P77</f>
        <v>0</v>
      </c>
      <c r="Q54" s="1" t="n">
        <f aca="false">Q77</f>
        <v>0</v>
      </c>
      <c r="R54" s="1" t="n">
        <f aca="false">R77</f>
        <v>0</v>
      </c>
      <c r="S54" s="1" t="n">
        <f aca="false">S77</f>
        <v>0</v>
      </c>
      <c r="T54" s="1" t="n">
        <f aca="false">T77</f>
        <v>0</v>
      </c>
      <c r="U54" s="1" t="n">
        <f aca="false">U77</f>
        <v>0</v>
      </c>
      <c r="V54" s="1" t="n">
        <f aca="false">V77</f>
        <v>0</v>
      </c>
      <c r="W54" s="1" t="n">
        <f aca="false">W77</f>
        <v>0</v>
      </c>
    </row>
    <row r="70" customFormat="false" ht="15" hidden="false" customHeight="true" outlineLevel="0" collapsed="false"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4" min="4" style="0" width="37"/>
    <col collapsed="false" customWidth="true" hidden="false" outlineLevel="0" max="6" min="6" style="0" width="50"/>
    <col collapsed="false" customWidth="true" hidden="false" outlineLevel="0" max="7" min="7" style="0" width="37"/>
    <col collapsed="false" customWidth="true" hidden="false" outlineLevel="0" max="13" min="13" style="0" width="50"/>
    <col collapsed="false" customWidth="true" hidden="false" outlineLevel="0" max="14" min="14" style="0" width="37"/>
    <col collapsed="false" customWidth="true" hidden="false" outlineLevel="0" max="24" min="24" style="0" width="30"/>
    <col collapsed="false" customWidth="true" hidden="false" outlineLevel="0" max="25" min="25" style="0" width="10"/>
    <col collapsed="false" customWidth="true" hidden="false" outlineLevel="0" max="28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52" t="s">
        <v>137</v>
      </c>
      <c r="C1" s="184"/>
      <c r="D1" s="184"/>
      <c r="E1" s="185"/>
      <c r="F1" s="153" t="s">
        <v>64</v>
      </c>
      <c r="P1" s="154" t="n">
        <f aca="false">1-D11</f>
        <v>0.99</v>
      </c>
      <c r="Q1" s="154" t="n">
        <f aca="false">P1-$D12</f>
        <v>0.986</v>
      </c>
      <c r="R1" s="154" t="n">
        <f aca="false">Q1-$D12</f>
        <v>0.982</v>
      </c>
      <c r="S1" s="154" t="n">
        <f aca="false">R1-$D12</f>
        <v>0.978</v>
      </c>
      <c r="T1" s="154" t="n">
        <f aca="false">S1-$D12</f>
        <v>0.974</v>
      </c>
      <c r="U1" s="154" t="n">
        <f aca="false">T1-$D12</f>
        <v>0.97</v>
      </c>
      <c r="V1" s="154" t="n">
        <f aca="false">U1-$D12</f>
        <v>0.966</v>
      </c>
      <c r="W1" s="154" t="n">
        <f aca="false">V1-$D12</f>
        <v>0.962</v>
      </c>
      <c r="X1" s="154" t="n">
        <f aca="false">W1-$D12</f>
        <v>0.958</v>
      </c>
      <c r="Y1" s="154" t="n">
        <f aca="false">X1-$D12</f>
        <v>0.954</v>
      </c>
      <c r="Z1" s="154" t="n">
        <f aca="false">Y1-$D12</f>
        <v>0.95</v>
      </c>
      <c r="AA1" s="154" t="n">
        <f aca="false">Z1-$D12</f>
        <v>0.946</v>
      </c>
      <c r="AB1" s="154" t="n">
        <f aca="false">AA1-$D12</f>
        <v>0.942</v>
      </c>
      <c r="AC1" s="154" t="n">
        <f aca="false">AB1-$D12</f>
        <v>0.938</v>
      </c>
      <c r="AD1" s="154" t="n">
        <f aca="false">AC1-$D12</f>
        <v>0.934</v>
      </c>
      <c r="AE1" s="154" t="n">
        <f aca="false">AD1-$D12</f>
        <v>0.93</v>
      </c>
      <c r="AF1" s="154" t="n">
        <f aca="false">AE1-$D12</f>
        <v>0.926</v>
      </c>
      <c r="AG1" s="154" t="n">
        <f aca="false">AF1-$D12</f>
        <v>0.922</v>
      </c>
      <c r="AH1" s="154" t="n">
        <f aca="false">AG1-$D12</f>
        <v>0.918</v>
      </c>
      <c r="AI1" s="154" t="n">
        <f aca="false">AH1-$D12</f>
        <v>0.914</v>
      </c>
    </row>
    <row r="2" customFormat="false" ht="21.75" hidden="false" customHeight="true" outlineLevel="0" collapsed="false">
      <c r="B2" s="186" t="s">
        <v>65</v>
      </c>
      <c r="C2" s="187" t="s">
        <v>2</v>
      </c>
      <c r="D2" s="188" t="s">
        <v>26</v>
      </c>
      <c r="E2" s="157" t="s">
        <v>26</v>
      </c>
      <c r="F2" s="189" t="s">
        <v>66</v>
      </c>
    </row>
    <row r="3" customFormat="false" ht="21.75" hidden="false" customHeight="true" outlineLevel="0" collapsed="false">
      <c r="B3" s="190" t="s">
        <v>67</v>
      </c>
      <c r="C3" s="191" t="n">
        <v>20</v>
      </c>
      <c r="D3" s="192" t="s">
        <v>26</v>
      </c>
      <c r="E3" s="161" t="s">
        <v>26</v>
      </c>
      <c r="F3" s="158" t="s">
        <v>68</v>
      </c>
    </row>
    <row r="4" customFormat="false" ht="21.75" hidden="false" customHeight="true" outlineLevel="0" collapsed="false">
      <c r="B4" s="190" t="s">
        <v>69</v>
      </c>
      <c r="C4" s="191" t="n">
        <v>436.1</v>
      </c>
      <c r="D4" s="192" t="s">
        <v>26</v>
      </c>
      <c r="E4" s="161" t="s">
        <v>26</v>
      </c>
      <c r="F4" s="158" t="s">
        <v>70</v>
      </c>
      <c r="M4" s="162" t="s">
        <v>131</v>
      </c>
    </row>
    <row r="5" customFormat="false" ht="22.5" hidden="false" customHeight="true" outlineLevel="0" collapsed="false">
      <c r="B5" s="193" t="s">
        <v>72</v>
      </c>
      <c r="C5" s="191" t="n">
        <v>2020</v>
      </c>
      <c r="D5" s="193" t="s">
        <v>138</v>
      </c>
      <c r="E5" s="194" t="n">
        <v>2039</v>
      </c>
      <c r="F5" s="158" t="s">
        <v>139</v>
      </c>
      <c r="M5" s="162" t="s">
        <v>132</v>
      </c>
    </row>
    <row r="6" customFormat="false" ht="20.25" hidden="false" customHeight="true" outlineLevel="0" collapsed="false">
      <c r="B6" s="163"/>
      <c r="C6" s="163"/>
      <c r="D6" s="163"/>
      <c r="E6" s="163"/>
      <c r="M6" s="162" t="s">
        <v>133</v>
      </c>
    </row>
    <row r="7" customFormat="false" ht="22.5" hidden="false" customHeight="true" outlineLevel="0" collapsed="false">
      <c r="B7" s="152" t="s">
        <v>140</v>
      </c>
      <c r="C7" s="184"/>
      <c r="D7" s="184"/>
      <c r="E7" s="185"/>
      <c r="M7" s="162" t="s">
        <v>134</v>
      </c>
    </row>
    <row r="8" customFormat="false" ht="22.5" hidden="false" customHeight="true" outlineLevel="0" collapsed="false">
      <c r="B8" s="165" t="s">
        <v>77</v>
      </c>
      <c r="E8" s="195"/>
      <c r="M8" s="162" t="s">
        <v>135</v>
      </c>
    </row>
    <row r="9" customFormat="false" ht="22.5" hidden="false" customHeight="true" outlineLevel="0" collapsed="false">
      <c r="B9" s="196" t="s">
        <v>79</v>
      </c>
      <c r="C9" s="197" t="s">
        <v>80</v>
      </c>
      <c r="D9" s="197" t="s">
        <v>81</v>
      </c>
      <c r="E9" s="198" t="s">
        <v>82</v>
      </c>
      <c r="F9" s="153" t="s">
        <v>64</v>
      </c>
      <c r="M9" s="162" t="s">
        <v>83</v>
      </c>
    </row>
    <row r="10" customFormat="false" ht="30" hidden="false" customHeight="true" outlineLevel="0" collapsed="false">
      <c r="B10" s="199" t="s">
        <v>84</v>
      </c>
      <c r="C10" s="200" t="s">
        <v>85</v>
      </c>
      <c r="D10" s="201" t="n">
        <v>547002</v>
      </c>
      <c r="E10" s="171" t="n">
        <v>20</v>
      </c>
      <c r="F10" s="158" t="s">
        <v>141</v>
      </c>
      <c r="M10" s="162" t="s">
        <v>136</v>
      </c>
    </row>
    <row r="11" customFormat="false" ht="30" hidden="false" customHeight="true" outlineLevel="0" collapsed="false">
      <c r="B11" s="202"/>
      <c r="C11" s="193" t="s">
        <v>87</v>
      </c>
      <c r="D11" s="203" t="n">
        <v>0.01</v>
      </c>
      <c r="E11" s="204"/>
      <c r="F11" s="158" t="s">
        <v>88</v>
      </c>
    </row>
    <row r="12" customFormat="false" ht="30" hidden="false" customHeight="true" outlineLevel="0" collapsed="false">
      <c r="B12" s="202"/>
      <c r="C12" s="193" t="s">
        <v>89</v>
      </c>
      <c r="D12" s="205" t="n">
        <v>0.004</v>
      </c>
      <c r="E12" s="204"/>
      <c r="F12" s="158" t="s">
        <v>90</v>
      </c>
    </row>
    <row r="13" customFormat="false" ht="22.5" hidden="false" customHeight="true" outlineLevel="0" collapsed="false">
      <c r="B13" s="202"/>
      <c r="C13" s="206" t="s">
        <v>91</v>
      </c>
      <c r="D13" s="207" t="n">
        <v>4</v>
      </c>
      <c r="E13" s="204"/>
      <c r="F13" s="158" t="s">
        <v>92</v>
      </c>
    </row>
    <row r="14" customFormat="false" ht="22.5" hidden="false" customHeight="true" outlineLevel="0" collapsed="false">
      <c r="B14" s="176" t="s">
        <v>142</v>
      </c>
      <c r="C14" s="184"/>
      <c r="D14" s="184"/>
      <c r="E14" s="185"/>
    </row>
    <row r="15" customFormat="false" ht="22.5" hidden="false" customHeight="true" outlineLevel="0" collapsed="false">
      <c r="B15" s="196" t="s">
        <v>79</v>
      </c>
      <c r="C15" s="197" t="s">
        <v>80</v>
      </c>
      <c r="D15" s="197" t="s">
        <v>81</v>
      </c>
      <c r="E15" s="198" t="s">
        <v>94</v>
      </c>
      <c r="F15" s="153" t="s">
        <v>64</v>
      </c>
    </row>
    <row r="16" customFormat="false" ht="21.75" hidden="false" customHeight="true" outlineLevel="0" collapsed="false">
      <c r="B16" s="200" t="s">
        <v>95</v>
      </c>
      <c r="C16" s="200" t="s">
        <v>96</v>
      </c>
      <c r="D16" s="208" t="n">
        <v>29000</v>
      </c>
      <c r="E16" s="157" t="n">
        <v>20</v>
      </c>
      <c r="F16" s="158" t="s">
        <v>143</v>
      </c>
    </row>
    <row r="17" customFormat="false" ht="21.75" hidden="false" customHeight="true" outlineLevel="0" collapsed="false">
      <c r="B17" s="202"/>
      <c r="C17" s="193" t="s">
        <v>97</v>
      </c>
      <c r="D17" s="209" t="n">
        <v>0.3</v>
      </c>
      <c r="E17" s="204"/>
      <c r="F17" s="158" t="s">
        <v>98</v>
      </c>
    </row>
    <row r="18" customFormat="false" ht="21.75" hidden="false" customHeight="true" outlineLevel="0" collapsed="false">
      <c r="B18" s="210"/>
      <c r="C18" s="193" t="s">
        <v>99</v>
      </c>
      <c r="D18" s="211" t="n">
        <v>2000</v>
      </c>
      <c r="E18" s="212"/>
      <c r="F18" s="158" t="s">
        <v>100</v>
      </c>
    </row>
    <row r="19" customFormat="false" ht="54" hidden="false" customHeight="true" outlineLevel="0" collapsed="false">
      <c r="B19" s="193" t="s">
        <v>101</v>
      </c>
      <c r="C19" s="213" t="s">
        <v>102</v>
      </c>
      <c r="D19" s="209" t="n">
        <v>1</v>
      </c>
      <c r="E19" s="157" t="n">
        <v>20</v>
      </c>
      <c r="F19" s="158" t="s">
        <v>144</v>
      </c>
    </row>
    <row r="20" customFormat="false" ht="20.25" hidden="false" customHeight="true" outlineLevel="0" collapsed="false">
      <c r="B20" s="202"/>
      <c r="C20" s="214" t="s">
        <v>103</v>
      </c>
      <c r="D20" s="211" t="n">
        <v>290201</v>
      </c>
      <c r="E20" s="157" t="n">
        <v>20</v>
      </c>
      <c r="F20" s="158" t="s">
        <v>145</v>
      </c>
    </row>
    <row r="21" customFormat="false" ht="30" hidden="false" customHeight="true" outlineLevel="0" collapsed="false">
      <c r="B21" s="210"/>
      <c r="C21" s="193" t="s">
        <v>104</v>
      </c>
      <c r="D21" s="209" t="n">
        <v>0</v>
      </c>
      <c r="E21" s="161" t="n">
        <v>20</v>
      </c>
      <c r="F21" s="158" t="s">
        <v>146</v>
      </c>
    </row>
    <row r="22" customFormat="false" ht="30" hidden="false" customHeight="true" outlineLevel="0" collapsed="false">
      <c r="B22" s="193" t="s">
        <v>105</v>
      </c>
      <c r="C22" s="193" t="s">
        <v>106</v>
      </c>
      <c r="D22" s="215" t="n">
        <v>400</v>
      </c>
      <c r="E22" s="161" t="n">
        <v>20</v>
      </c>
      <c r="F22" s="158" t="s">
        <v>147</v>
      </c>
    </row>
    <row r="23" customFormat="false" ht="30" hidden="false" customHeight="true" outlineLevel="0" collapsed="false">
      <c r="B23" s="193" t="s">
        <v>107</v>
      </c>
      <c r="C23" s="193" t="s">
        <v>108</v>
      </c>
      <c r="D23" s="209" t="n">
        <v>0.003</v>
      </c>
      <c r="E23" s="161" t="n">
        <v>20</v>
      </c>
      <c r="F23" s="158" t="s">
        <v>148</v>
      </c>
    </row>
    <row r="24" customFormat="false" ht="30" hidden="false" customHeight="true" outlineLevel="0" collapsed="false">
      <c r="B24" s="193" t="s">
        <v>109</v>
      </c>
      <c r="C24" s="193" t="s">
        <v>110</v>
      </c>
      <c r="D24" s="215" t="n">
        <v>1000</v>
      </c>
      <c r="E24" s="181" t="n">
        <v>10</v>
      </c>
      <c r="F24" s="158" t="s">
        <v>149</v>
      </c>
    </row>
    <row r="25" customFormat="false" ht="30" hidden="false" customHeight="true" outlineLevel="0" collapsed="false">
      <c r="B25" s="193" t="s">
        <v>111</v>
      </c>
      <c r="C25" s="193" t="s">
        <v>112</v>
      </c>
      <c r="D25" s="216" t="n">
        <v>0.0256</v>
      </c>
      <c r="E25" s="161" t="n">
        <v>20</v>
      </c>
      <c r="F25" s="158" t="s">
        <v>150</v>
      </c>
    </row>
    <row r="26" customFormat="false" ht="30" hidden="false" customHeight="true" outlineLevel="0" collapsed="false">
      <c r="B26" s="193" t="s">
        <v>14</v>
      </c>
      <c r="C26" s="193" t="s">
        <v>113</v>
      </c>
      <c r="D26" s="209" t="n">
        <v>0.2</v>
      </c>
      <c r="E26" s="161" t="n">
        <v>20</v>
      </c>
      <c r="F26" s="158" t="s">
        <v>151</v>
      </c>
    </row>
    <row r="27" customFormat="false" ht="20.25" hidden="false" customHeight="true" outlineLevel="0" collapsed="false">
      <c r="B27" s="163"/>
      <c r="C27" s="163"/>
      <c r="D27" s="163"/>
      <c r="E27" s="163"/>
    </row>
    <row r="28" customFormat="false" ht="20.25" hidden="false" customHeight="true" outlineLevel="0" collapsed="false">
      <c r="B28" s="163"/>
      <c r="C28" s="163"/>
      <c r="D28" s="163"/>
      <c r="E28" s="163"/>
    </row>
    <row r="29" customFormat="false" ht="22.5" hidden="false" customHeight="true" outlineLevel="0" collapsed="false">
      <c r="B29" s="152" t="s">
        <v>152</v>
      </c>
      <c r="C29" s="184"/>
      <c r="D29" s="185"/>
      <c r="E29" s="163"/>
    </row>
    <row r="30" customFormat="false" ht="22.5" hidden="false" customHeight="true" outlineLevel="0" collapsed="false">
      <c r="B30" s="196" t="s">
        <v>115</v>
      </c>
      <c r="C30" s="217" t="s">
        <v>80</v>
      </c>
      <c r="D30" s="218" t="s">
        <v>81</v>
      </c>
      <c r="E30" s="163"/>
      <c r="F30" s="153" t="s">
        <v>64</v>
      </c>
    </row>
    <row r="31" customFormat="false" ht="30" hidden="false" customHeight="true" outlineLevel="0" collapsed="false">
      <c r="B31" s="200" t="s">
        <v>116</v>
      </c>
      <c r="C31" s="186" t="s">
        <v>117</v>
      </c>
      <c r="D31" s="219" t="n">
        <v>0.8</v>
      </c>
      <c r="E31" s="163"/>
      <c r="F31" s="158" t="s">
        <v>118</v>
      </c>
    </row>
    <row r="32" customFormat="false" ht="18.75" hidden="false" customHeight="true" outlineLevel="0" collapsed="false">
      <c r="B32" s="200" t="s">
        <v>119</v>
      </c>
      <c r="C32" s="186" t="s">
        <v>120</v>
      </c>
      <c r="D32" s="219" t="n">
        <v>15</v>
      </c>
      <c r="E32" s="163"/>
      <c r="F32" s="158" t="s">
        <v>121</v>
      </c>
    </row>
    <row r="33" customFormat="false" ht="18.75" hidden="false" customHeight="true" outlineLevel="0" collapsed="false">
      <c r="B33" s="193" t="s">
        <v>53</v>
      </c>
      <c r="C33" s="190" t="s">
        <v>122</v>
      </c>
      <c r="D33" s="209" t="n">
        <v>0.9</v>
      </c>
      <c r="E33" s="163"/>
      <c r="F33" s="158" t="s">
        <v>123</v>
      </c>
    </row>
    <row r="34" customFormat="false" ht="30" hidden="false" customHeight="true" outlineLevel="0" collapsed="false">
      <c r="B34" s="193" t="s">
        <v>54</v>
      </c>
      <c r="C34" s="190" t="s">
        <v>120</v>
      </c>
      <c r="D34" s="209" t="n">
        <v>4</v>
      </c>
      <c r="E34" s="163"/>
      <c r="F34" s="158" t="s">
        <v>124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5"/>
      <c r="C37" s="66" t="s">
        <v>0</v>
      </c>
      <c r="D37" s="66" t="n">
        <v>2020</v>
      </c>
      <c r="E37" s="66" t="n">
        <v>2021</v>
      </c>
      <c r="F37" s="66" t="n">
        <v>2022</v>
      </c>
      <c r="G37" s="66" t="n">
        <v>2023</v>
      </c>
      <c r="H37" s="66" t="n">
        <v>2024</v>
      </c>
      <c r="I37" s="66" t="n">
        <v>2025</v>
      </c>
      <c r="J37" s="66" t="n">
        <v>2026</v>
      </c>
      <c r="K37" s="66" t="n">
        <v>2027</v>
      </c>
      <c r="L37" s="66" t="n">
        <v>2028</v>
      </c>
      <c r="M37" s="66" t="n">
        <v>2029</v>
      </c>
      <c r="N37" s="66" t="n">
        <v>2030</v>
      </c>
      <c r="O37" s="66" t="n">
        <v>2031</v>
      </c>
      <c r="P37" s="66" t="n">
        <v>2032</v>
      </c>
      <c r="Q37" s="66" t="n">
        <v>2033</v>
      </c>
      <c r="R37" s="66" t="n">
        <v>2034</v>
      </c>
      <c r="S37" s="66" t="n">
        <v>2035</v>
      </c>
      <c r="T37" s="66" t="n">
        <v>2036</v>
      </c>
      <c r="U37" s="66" t="n">
        <v>2037</v>
      </c>
      <c r="V37" s="66" t="n">
        <v>2038</v>
      </c>
      <c r="W37" s="66" t="n">
        <v>2039</v>
      </c>
      <c r="X37" s="66"/>
    </row>
    <row r="38" customFormat="false" ht="18.75" hidden="false" customHeight="true" outlineLevel="0" collapsed="false">
      <c r="B38" s="68" t="n">
        <v>0</v>
      </c>
      <c r="C38" s="69"/>
      <c r="D38" s="70"/>
      <c r="E38" s="70"/>
      <c r="F38" s="71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3"/>
      <c r="U38" s="72"/>
      <c r="V38" s="72"/>
      <c r="W38" s="72"/>
      <c r="X38" s="220"/>
    </row>
    <row r="39" customFormat="false" ht="18.75" hidden="false" customHeight="true" outlineLevel="0" collapsed="false">
      <c r="B39" s="75" t="s">
        <v>23</v>
      </c>
      <c r="C39" s="76" t="n">
        <v>0</v>
      </c>
      <c r="D39" s="77" t="n">
        <v>1</v>
      </c>
      <c r="E39" s="77" t="n">
        <v>2</v>
      </c>
      <c r="F39" s="77" t="n">
        <v>3</v>
      </c>
      <c r="G39" s="77" t="n">
        <v>4</v>
      </c>
      <c r="H39" s="77" t="n">
        <v>5</v>
      </c>
      <c r="I39" s="77" t="n">
        <v>6</v>
      </c>
      <c r="J39" s="77" t="n">
        <v>7</v>
      </c>
      <c r="K39" s="77" t="n">
        <v>8</v>
      </c>
      <c r="L39" s="77" t="n">
        <v>9</v>
      </c>
      <c r="M39" s="77" t="n">
        <v>10</v>
      </c>
      <c r="N39" s="77" t="n">
        <v>11</v>
      </c>
      <c r="O39" s="77" t="n">
        <v>12</v>
      </c>
      <c r="P39" s="77" t="n">
        <v>13</v>
      </c>
      <c r="Q39" s="77" t="n">
        <v>14</v>
      </c>
      <c r="R39" s="77" t="n">
        <v>15</v>
      </c>
      <c r="S39" s="77" t="n">
        <v>16</v>
      </c>
      <c r="T39" s="78" t="n">
        <v>17</v>
      </c>
      <c r="U39" s="77" t="n">
        <v>18</v>
      </c>
      <c r="V39" s="77" t="n">
        <v>19</v>
      </c>
      <c r="W39" s="77" t="n">
        <v>20</v>
      </c>
      <c r="X39" s="221"/>
    </row>
    <row r="40" customFormat="false" ht="18.75" hidden="false" customHeight="true" outlineLevel="0" collapsed="false">
      <c r="B40" s="222" t="s">
        <v>153</v>
      </c>
      <c r="C40" s="81" t="n">
        <v>0</v>
      </c>
      <c r="D40" s="82" t="n">
        <f aca="false">$D$10*P1</f>
        <v>541531.98</v>
      </c>
      <c r="E40" s="82" t="n">
        <f aca="false">$D$10*Q1</f>
        <v>539343.972</v>
      </c>
      <c r="F40" s="82" t="n">
        <f aca="false">$D$10*R1</f>
        <v>537155.964</v>
      </c>
      <c r="G40" s="82" t="n">
        <f aca="false">$D$10*S1</f>
        <v>534967.956</v>
      </c>
      <c r="H40" s="82" t="n">
        <f aca="false">$D$10*T1</f>
        <v>532779.948</v>
      </c>
      <c r="I40" s="82" t="n">
        <f aca="false">$D$10*U1</f>
        <v>530591.94</v>
      </c>
      <c r="J40" s="82" t="n">
        <f aca="false">$D$10*V1</f>
        <v>528403.932</v>
      </c>
      <c r="K40" s="82" t="n">
        <f aca="false">$D$10*W1</f>
        <v>526215.924</v>
      </c>
      <c r="L40" s="82" t="n">
        <f aca="false">$D$10*X1</f>
        <v>524027.916</v>
      </c>
      <c r="M40" s="82" t="n">
        <f aca="false">$D$10*Y1</f>
        <v>521839.908</v>
      </c>
      <c r="N40" s="82" t="n">
        <f aca="false">$D$10*Z1</f>
        <v>519651.9</v>
      </c>
      <c r="O40" s="82" t="n">
        <f aca="false">$D$10*AA1</f>
        <v>517463.892</v>
      </c>
      <c r="P40" s="82" t="n">
        <f aca="false">$D$10*AB1</f>
        <v>515275.884</v>
      </c>
      <c r="Q40" s="82" t="n">
        <f aca="false">$D$10*AC1</f>
        <v>513087.876</v>
      </c>
      <c r="R40" s="82" t="n">
        <f aca="false">$D$10*AD1</f>
        <v>510899.868</v>
      </c>
      <c r="S40" s="82" t="n">
        <f aca="false">$D$10*AE1</f>
        <v>508711.86</v>
      </c>
      <c r="T40" s="82" t="n">
        <f aca="false">$D$10*AF1</f>
        <v>506523.852</v>
      </c>
      <c r="U40" s="82" t="n">
        <f aca="false">$D$10*AG1</f>
        <v>504335.844</v>
      </c>
      <c r="V40" s="82" t="n">
        <f aca="false">$D$10*AH1</f>
        <v>502147.836</v>
      </c>
      <c r="W40" s="82" t="n">
        <f aca="false">$D$10*AI1</f>
        <v>499959.828</v>
      </c>
      <c r="X40" s="223"/>
    </row>
    <row r="41" customFormat="false" ht="18.75" hidden="false" customHeight="true" outlineLevel="0" collapsed="false">
      <c r="B41" s="224" t="s">
        <v>25</v>
      </c>
      <c r="C41" s="225" t="s">
        <v>26</v>
      </c>
      <c r="D41" s="226" t="n">
        <f aca="false">D40*$D$13</f>
        <v>2166127.92</v>
      </c>
      <c r="E41" s="226" t="n">
        <f aca="false">E40*$D$13</f>
        <v>2157375.888</v>
      </c>
      <c r="F41" s="226" t="n">
        <f aca="false">F40*$D$13</f>
        <v>2148623.856</v>
      </c>
      <c r="G41" s="226" t="n">
        <f aca="false">G40*$D$13</f>
        <v>2139871.824</v>
      </c>
      <c r="H41" s="226" t="n">
        <f aca="false">H40*$D$13</f>
        <v>2131119.792</v>
      </c>
      <c r="I41" s="226" t="n">
        <f aca="false">I40*$D$13</f>
        <v>2122367.76</v>
      </c>
      <c r="J41" s="226" t="n">
        <f aca="false">J40*$D$13</f>
        <v>2113615.728</v>
      </c>
      <c r="K41" s="226" t="n">
        <f aca="false">K40*$D$13</f>
        <v>2104863.696</v>
      </c>
      <c r="L41" s="226" t="n">
        <f aca="false">L40*$D$13</f>
        <v>2096111.664</v>
      </c>
      <c r="M41" s="226" t="n">
        <f aca="false">M40*$D$13</f>
        <v>2087359.632</v>
      </c>
      <c r="N41" s="226" t="n">
        <f aca="false">N40*$D$13</f>
        <v>2078607.6</v>
      </c>
      <c r="O41" s="226" t="n">
        <f aca="false">O40*$D$13</f>
        <v>2069855.568</v>
      </c>
      <c r="P41" s="226" t="n">
        <f aca="false">P40*$D$13</f>
        <v>2061103.536</v>
      </c>
      <c r="Q41" s="226" t="n">
        <f aca="false">Q40*$D$13</f>
        <v>2052351.504</v>
      </c>
      <c r="R41" s="226" t="n">
        <f aca="false">R40*$D$13</f>
        <v>2043599.472</v>
      </c>
      <c r="S41" s="226" t="n">
        <f aca="false">S40*$D$13</f>
        <v>2034847.44</v>
      </c>
      <c r="T41" s="226" t="n">
        <f aca="false">T40*$D$13</f>
        <v>2026095.408</v>
      </c>
      <c r="U41" s="226" t="n">
        <f aca="false">U40*$D$13</f>
        <v>2017343.376</v>
      </c>
      <c r="V41" s="226" t="n">
        <f aca="false">V40*$D$13</f>
        <v>2008591.344</v>
      </c>
      <c r="W41" s="226" t="n">
        <f aca="false">W40*$D$13</f>
        <v>1999839.312</v>
      </c>
      <c r="X41" s="227"/>
    </row>
    <row r="42" customFormat="false" ht="18.75" hidden="false" customHeight="true" outlineLevel="0" collapsed="false">
      <c r="B42" s="228" t="s">
        <v>27</v>
      </c>
      <c r="C42" s="229" t="s">
        <v>26</v>
      </c>
      <c r="D42" s="230"/>
      <c r="E42" s="230"/>
      <c r="F42" s="230"/>
      <c r="G42" s="231" t="s">
        <v>26</v>
      </c>
      <c r="H42" s="231" t="s">
        <v>26</v>
      </c>
      <c r="I42" s="231" t="s">
        <v>26</v>
      </c>
      <c r="J42" s="231" t="s">
        <v>26</v>
      </c>
      <c r="K42" s="231" t="s">
        <v>26</v>
      </c>
      <c r="L42" s="231" t="s">
        <v>26</v>
      </c>
      <c r="M42" s="231" t="s">
        <v>26</v>
      </c>
      <c r="N42" s="231" t="s">
        <v>26</v>
      </c>
      <c r="O42" s="231" t="s">
        <v>26</v>
      </c>
      <c r="P42" s="231" t="s">
        <v>26</v>
      </c>
      <c r="Q42" s="231" t="s">
        <v>26</v>
      </c>
      <c r="R42" s="231" t="s">
        <v>26</v>
      </c>
      <c r="S42" s="231" t="s">
        <v>26</v>
      </c>
      <c r="T42" s="231" t="s">
        <v>26</v>
      </c>
      <c r="U42" s="231" t="s">
        <v>26</v>
      </c>
      <c r="V42" s="231" t="s">
        <v>26</v>
      </c>
      <c r="W42" s="231" t="s">
        <v>26</v>
      </c>
      <c r="X42" s="232"/>
    </row>
    <row r="43" customFormat="false" ht="18.75" hidden="false" customHeight="true" outlineLevel="0" collapsed="false">
      <c r="B43" s="233" t="s">
        <v>28</v>
      </c>
      <c r="C43" s="234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6"/>
    </row>
    <row r="44" customFormat="false" ht="18.75" hidden="false" customHeight="true" outlineLevel="0" collapsed="false">
      <c r="B44" s="237" t="s">
        <v>29</v>
      </c>
      <c r="C44" s="238" t="n">
        <f aca="false">-(D16/(1-D17)+D18)*C4</f>
        <v>-18939200</v>
      </c>
      <c r="D44" s="239"/>
      <c r="E44" s="239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</row>
    <row r="45" customFormat="false" ht="18.75" hidden="false" customHeight="true" outlineLevel="0" collapsed="false">
      <c r="B45" s="237" t="s">
        <v>30</v>
      </c>
      <c r="C45" s="229" t="s">
        <v>26</v>
      </c>
      <c r="D45" s="162" t="n">
        <v>-290201</v>
      </c>
      <c r="E45" s="239" t="n">
        <v>-290201</v>
      </c>
      <c r="F45" s="239" t="n">
        <v>-290201</v>
      </c>
      <c r="G45" s="239" t="n">
        <v>-290201</v>
      </c>
      <c r="H45" s="239" t="n">
        <v>-290201</v>
      </c>
      <c r="I45" s="239" t="n">
        <v>-290201</v>
      </c>
      <c r="J45" s="239" t="n">
        <v>-290201</v>
      </c>
      <c r="K45" s="239" t="n">
        <v>-290201</v>
      </c>
      <c r="L45" s="239" t="n">
        <v>-290201</v>
      </c>
      <c r="M45" s="239" t="n">
        <v>-290201</v>
      </c>
      <c r="N45" s="239" t="n">
        <v>-290201</v>
      </c>
      <c r="O45" s="239" t="n">
        <v>-290201</v>
      </c>
      <c r="P45" s="239" t="n">
        <v>-290201</v>
      </c>
      <c r="Q45" s="239" t="n">
        <v>-290201</v>
      </c>
      <c r="R45" s="239" t="n">
        <v>-290201</v>
      </c>
      <c r="S45" s="239" t="n">
        <v>-290201</v>
      </c>
      <c r="T45" s="239" t="n">
        <v>-290201</v>
      </c>
      <c r="U45" s="239" t="n">
        <v>-290201</v>
      </c>
      <c r="V45" s="239" t="n">
        <v>-290201</v>
      </c>
      <c r="W45" s="239" t="n">
        <v>-290201</v>
      </c>
      <c r="X45" s="239"/>
    </row>
    <row r="46" customFormat="false" ht="18.75" hidden="false" customHeight="true" outlineLevel="0" collapsed="false">
      <c r="B46" s="237" t="s">
        <v>31</v>
      </c>
      <c r="C46" s="229"/>
      <c r="D46" s="239"/>
      <c r="E46" s="239"/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</row>
    <row r="47" customFormat="false" ht="18.75" hidden="false" customHeight="true" outlineLevel="0" collapsed="false">
      <c r="B47" s="237" t="s">
        <v>32</v>
      </c>
      <c r="C47" s="229" t="s">
        <v>26</v>
      </c>
      <c r="D47" s="239"/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</row>
    <row r="48" customFormat="false" ht="18.75" hidden="false" customHeight="true" outlineLevel="0" collapsed="false">
      <c r="B48" s="237" t="s">
        <v>33</v>
      </c>
      <c r="C48" s="229" t="s">
        <v>26</v>
      </c>
      <c r="D48" s="239" t="n">
        <v>-174440</v>
      </c>
      <c r="E48" s="239" t="n">
        <v>-174440</v>
      </c>
      <c r="F48" s="239" t="n">
        <v>-174440</v>
      </c>
      <c r="G48" s="239" t="n">
        <v>-174440</v>
      </c>
      <c r="H48" s="239" t="n">
        <v>-174440</v>
      </c>
      <c r="I48" s="239" t="n">
        <v>-174440</v>
      </c>
      <c r="J48" s="239" t="n">
        <v>-174440</v>
      </c>
      <c r="K48" s="239" t="n">
        <v>-174440</v>
      </c>
      <c r="L48" s="239" t="n">
        <v>-174440</v>
      </c>
      <c r="M48" s="239" t="n">
        <v>-174440</v>
      </c>
      <c r="N48" s="239" t="n">
        <v>-174440</v>
      </c>
      <c r="O48" s="239" t="n">
        <v>-174440</v>
      </c>
      <c r="P48" s="239" t="n">
        <v>-174440</v>
      </c>
      <c r="Q48" s="239" t="n">
        <v>-174440</v>
      </c>
      <c r="R48" s="239" t="n">
        <v>-174440</v>
      </c>
      <c r="S48" s="239" t="n">
        <v>-174440</v>
      </c>
      <c r="T48" s="239" t="n">
        <v>-174440</v>
      </c>
      <c r="U48" s="239" t="n">
        <v>-174440</v>
      </c>
      <c r="V48" s="239" t="n">
        <v>-174440</v>
      </c>
      <c r="W48" s="239" t="n">
        <v>-174440</v>
      </c>
      <c r="X48" s="239"/>
    </row>
    <row r="49" customFormat="false" ht="18.75" hidden="false" customHeight="true" outlineLevel="0" collapsed="false">
      <c r="B49" s="237" t="s">
        <v>34</v>
      </c>
      <c r="C49" s="229" t="s">
        <v>26</v>
      </c>
      <c r="D49" s="239" t="n">
        <v>-37940.7</v>
      </c>
      <c r="E49" s="239" t="n">
        <v>-37940.7</v>
      </c>
      <c r="F49" s="239" t="n">
        <v>-37940.7</v>
      </c>
      <c r="G49" s="239" t="n">
        <v>-37940.7</v>
      </c>
      <c r="H49" s="239" t="n">
        <v>-37940.7</v>
      </c>
      <c r="I49" s="239" t="n">
        <v>-37940.7</v>
      </c>
      <c r="J49" s="239" t="n">
        <v>-37940.7</v>
      </c>
      <c r="K49" s="239" t="n">
        <v>-37940.7</v>
      </c>
      <c r="L49" s="239" t="n">
        <v>-37940.7</v>
      </c>
      <c r="M49" s="239" t="n">
        <v>-37940.7</v>
      </c>
      <c r="N49" s="239" t="n">
        <v>-37940.7</v>
      </c>
      <c r="O49" s="239" t="n">
        <v>-37940.7</v>
      </c>
      <c r="P49" s="239" t="n">
        <v>-37940.7</v>
      </c>
      <c r="Q49" s="239" t="n">
        <v>-37940.7</v>
      </c>
      <c r="R49" s="239" t="n">
        <v>-37940.7</v>
      </c>
      <c r="S49" s="239" t="n">
        <v>-37940.7</v>
      </c>
      <c r="T49" s="239" t="n">
        <v>-37940.7</v>
      </c>
      <c r="U49" s="239" t="n">
        <v>-37940.7</v>
      </c>
      <c r="V49" s="239" t="n">
        <v>-37940.7</v>
      </c>
      <c r="W49" s="239" t="n">
        <v>-37940.7</v>
      </c>
      <c r="X49" s="239"/>
    </row>
    <row r="50" customFormat="false" ht="18.75" hidden="false" customHeight="true" outlineLevel="0" collapsed="false">
      <c r="B50" s="237" t="s">
        <v>35</v>
      </c>
      <c r="C50" s="229"/>
      <c r="D50" s="239" t="n">
        <v>-43610</v>
      </c>
      <c r="E50" s="239" t="n">
        <v>-43610</v>
      </c>
      <c r="F50" s="239" t="n">
        <v>-43610</v>
      </c>
      <c r="G50" s="239" t="n">
        <v>-43610</v>
      </c>
      <c r="H50" s="239" t="n">
        <v>-43610</v>
      </c>
      <c r="I50" s="239" t="n">
        <v>-43610</v>
      </c>
      <c r="J50" s="239" t="n">
        <v>-43610</v>
      </c>
      <c r="K50" s="239" t="n">
        <v>-43610</v>
      </c>
      <c r="L50" s="239" t="n">
        <v>-43610</v>
      </c>
      <c r="M50" s="239" t="n">
        <v>-43610</v>
      </c>
      <c r="N50" s="239" t="n">
        <v>0</v>
      </c>
      <c r="O50" s="239" t="n">
        <v>0</v>
      </c>
      <c r="P50" s="239" t="n">
        <v>0</v>
      </c>
      <c r="Q50" s="239" t="n">
        <v>0</v>
      </c>
      <c r="R50" s="239" t="n">
        <v>0</v>
      </c>
      <c r="S50" s="239" t="n">
        <v>0</v>
      </c>
      <c r="T50" s="239" t="n">
        <v>0</v>
      </c>
      <c r="U50" s="239" t="n">
        <v>0</v>
      </c>
      <c r="V50" s="239" t="n">
        <v>0</v>
      </c>
      <c r="W50" s="239" t="n">
        <v>0</v>
      </c>
      <c r="X50" s="239"/>
    </row>
    <row r="51" customFormat="false" ht="18.75" hidden="false" customHeight="true" outlineLevel="0" collapsed="false">
      <c r="B51" s="237" t="s">
        <v>36</v>
      </c>
      <c r="C51" s="240"/>
      <c r="D51" s="239"/>
      <c r="E51" s="239"/>
      <c r="F51" s="239"/>
      <c r="G51" s="239"/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</row>
    <row r="52" customFormat="false" ht="18.75" hidden="false" customHeight="true" outlineLevel="0" collapsed="false">
      <c r="B52" s="237" t="s">
        <v>37</v>
      </c>
      <c r="C52" s="240"/>
      <c r="D52" s="239"/>
      <c r="E52" s="239"/>
      <c r="F52" s="239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</row>
    <row r="53" customFormat="false" ht="18.75" hidden="false" customHeight="true" outlineLevel="0" collapsed="false">
      <c r="B53" s="241" t="s">
        <v>38</v>
      </c>
      <c r="C53" s="240"/>
      <c r="D53" s="239"/>
      <c r="E53" s="239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</row>
    <row r="54" customFormat="false" ht="18.75" hidden="false" customHeight="true" outlineLevel="0" collapsed="false">
      <c r="B54" s="241" t="s">
        <v>39</v>
      </c>
      <c r="C54" s="240"/>
      <c r="D54" s="239" t="n">
        <f aca="false">D77</f>
        <v>-192635.444</v>
      </c>
      <c r="E54" s="239" t="n">
        <f aca="false">E77</f>
        <v>-132844.8376</v>
      </c>
      <c r="F54" s="239" t="n">
        <f aca="false">F77</f>
        <v>-131094.4312</v>
      </c>
      <c r="G54" s="239" t="n">
        <f aca="false">G77</f>
        <v>-129344.0248</v>
      </c>
      <c r="H54" s="239" t="n">
        <f aca="false">H77</f>
        <v>-127593.6184</v>
      </c>
      <c r="I54" s="239" t="n">
        <f aca="false">I77</f>
        <v>-125843.212</v>
      </c>
      <c r="J54" s="239" t="n">
        <f aca="false">J77</f>
        <v>-124092.8056</v>
      </c>
      <c r="K54" s="239" t="n">
        <f aca="false">K77</f>
        <v>-122342.3992</v>
      </c>
      <c r="L54" s="239" t="n">
        <f aca="false">L77</f>
        <v>-120591.9928</v>
      </c>
      <c r="M54" s="239" t="n">
        <f aca="false">M77</f>
        <v>-118841.5864</v>
      </c>
      <c r="N54" s="239" t="n">
        <f aca="false">N77</f>
        <v>-125813.18</v>
      </c>
      <c r="O54" s="239" t="n">
        <f aca="false">O77</f>
        <v>-124062.7736</v>
      </c>
      <c r="P54" s="239" t="n">
        <f aca="false">P77</f>
        <v>-122312.3672</v>
      </c>
      <c r="Q54" s="239" t="n">
        <f aca="false">Q77</f>
        <v>-120561.9608</v>
      </c>
      <c r="R54" s="239" t="n">
        <f aca="false">R77</f>
        <v>-118811.5544</v>
      </c>
      <c r="S54" s="239" t="n">
        <f aca="false">S77</f>
        <v>-117061.148</v>
      </c>
      <c r="T54" s="239" t="n">
        <f aca="false">T77</f>
        <v>-115310.7416</v>
      </c>
      <c r="U54" s="239" t="n">
        <f aca="false">U77</f>
        <v>-113560.3352</v>
      </c>
      <c r="V54" s="239" t="n">
        <f aca="false">V77</f>
        <v>-111809.9288</v>
      </c>
      <c r="W54" s="239" t="n">
        <f aca="false">W77</f>
        <v>-110059.5224</v>
      </c>
      <c r="X54" s="230"/>
    </row>
    <row r="55" customFormat="false" ht="18.75" hidden="false" customHeight="true" outlineLevel="0" collapsed="false">
      <c r="B55" s="242" t="s">
        <v>40</v>
      </c>
      <c r="C55" s="243" t="n">
        <f aca="false">C44</f>
        <v>-18939200</v>
      </c>
      <c r="D55" s="244" t="n">
        <f aca="false">SUM(D41:D54)</f>
        <v>1427300.776</v>
      </c>
      <c r="E55" s="244" t="n">
        <f aca="false">SUM(E41:E54)</f>
        <v>1478339.3504</v>
      </c>
      <c r="F55" s="244" t="n">
        <f aca="false">SUM(F41:F54)</f>
        <v>1471337.7248</v>
      </c>
      <c r="G55" s="244" t="n">
        <f aca="false">SUM(G41:G54)</f>
        <v>1464336.0992</v>
      </c>
      <c r="H55" s="244" t="n">
        <f aca="false">SUM(H41:H54)</f>
        <v>1457334.4736</v>
      </c>
      <c r="I55" s="244" t="n">
        <f aca="false">SUM(I41:I54)</f>
        <v>1450332.848</v>
      </c>
      <c r="J55" s="244" t="n">
        <f aca="false">SUM(J41:J54)</f>
        <v>1443331.2224</v>
      </c>
      <c r="K55" s="244" t="n">
        <f aca="false">SUM(K41:K54)</f>
        <v>1436329.5968</v>
      </c>
      <c r="L55" s="244" t="n">
        <f aca="false">SUM(L41:L54)</f>
        <v>1429327.9712</v>
      </c>
      <c r="M55" s="244" t="n">
        <f aca="false">SUM(M41:M54)</f>
        <v>1422326.3456</v>
      </c>
      <c r="N55" s="244" t="n">
        <f aca="false">SUM(N41:N54)</f>
        <v>1450212.72</v>
      </c>
      <c r="O55" s="244" t="n">
        <f aca="false">SUM(O41:O54)</f>
        <v>1443211.0944</v>
      </c>
      <c r="P55" s="244" t="n">
        <f aca="false">SUM(P41:P54)</f>
        <v>1436209.4688</v>
      </c>
      <c r="Q55" s="244" t="n">
        <f aca="false">SUM(Q41:Q54)</f>
        <v>1429207.8432</v>
      </c>
      <c r="R55" s="244" t="n">
        <f aca="false">SUM(R41:R54)</f>
        <v>1422206.2176</v>
      </c>
      <c r="S55" s="244" t="n">
        <f aca="false">SUM(S41:S54)</f>
        <v>1415204.592</v>
      </c>
      <c r="T55" s="244" t="n">
        <f aca="false">SUM(T41:T54)</f>
        <v>1408202.9664</v>
      </c>
      <c r="U55" s="244" t="n">
        <f aca="false">SUM(U41:U54)</f>
        <v>1401201.3408</v>
      </c>
      <c r="V55" s="244" t="n">
        <f aca="false">SUM(V41:V54)</f>
        <v>1394199.7152</v>
      </c>
      <c r="W55" s="244" t="n">
        <f aca="false">SUM(W41:W54)</f>
        <v>1387198.0896</v>
      </c>
      <c r="X55" s="245"/>
      <c r="Y55" s="246"/>
      <c r="Z55" s="247"/>
      <c r="AA55" s="246"/>
      <c r="AB55" s="246"/>
      <c r="AC55" s="246"/>
      <c r="AD55" s="246"/>
      <c r="AE55" s="246"/>
      <c r="AF55" s="246"/>
      <c r="AG55" s="246"/>
      <c r="AH55" s="246"/>
      <c r="AI55" s="246"/>
      <c r="AJ55" s="246"/>
    </row>
    <row r="56" customFormat="false" ht="18.75" hidden="false" customHeight="true" outlineLevel="0" collapsed="false">
      <c r="B56" s="248" t="s">
        <v>41</v>
      </c>
      <c r="D56" s="249" t="n">
        <f aca="false">C55+D55</f>
        <v>-17511899.224</v>
      </c>
      <c r="E56" s="249" t="n">
        <f aca="false">D56+E55</f>
        <v>-16033559.8736</v>
      </c>
      <c r="F56" s="249" t="n">
        <f aca="false">E56+F55</f>
        <v>-14562222.1488</v>
      </c>
      <c r="G56" s="249" t="n">
        <f aca="false">F56+G55</f>
        <v>-13097886.0496</v>
      </c>
      <c r="H56" s="249" t="n">
        <f aca="false">G56+H55</f>
        <v>-11640551.576</v>
      </c>
      <c r="I56" s="249" t="n">
        <f aca="false">H56+I55</f>
        <v>-10190218.728</v>
      </c>
      <c r="J56" s="249" t="n">
        <f aca="false">I56+J55</f>
        <v>-8746887.5056</v>
      </c>
      <c r="K56" s="249" t="n">
        <f aca="false">J56+K55</f>
        <v>-7310557.9088</v>
      </c>
      <c r="L56" s="249" t="n">
        <f aca="false">K56+L55</f>
        <v>-5881229.9376</v>
      </c>
      <c r="M56" s="249" t="n">
        <f aca="false">L56+M55</f>
        <v>-4458903.592</v>
      </c>
      <c r="N56" s="249" t="n">
        <f aca="false">M56+N55</f>
        <v>-3008690.872</v>
      </c>
      <c r="O56" s="249" t="n">
        <f aca="false">N56+O55</f>
        <v>-1565479.7776</v>
      </c>
      <c r="P56" s="249" t="n">
        <f aca="false">O56+P55</f>
        <v>-129270.308800002</v>
      </c>
      <c r="Q56" s="249" t="n">
        <f aca="false">P56+Q55</f>
        <v>1299937.5344</v>
      </c>
      <c r="R56" s="249" t="n">
        <f aca="false">Q56+R55</f>
        <v>2722143.752</v>
      </c>
      <c r="S56" s="249" t="n">
        <f aca="false">R56+S55</f>
        <v>4137348.344</v>
      </c>
      <c r="T56" s="249" t="n">
        <f aca="false">S56+T55</f>
        <v>5545551.3104</v>
      </c>
      <c r="U56" s="249" t="n">
        <f aca="false">T56+U55</f>
        <v>6946752.6512</v>
      </c>
      <c r="V56" s="249" t="n">
        <f aca="false">U56+V55</f>
        <v>8340952.3664</v>
      </c>
      <c r="W56" s="249" t="n">
        <f aca="false">V56+W55</f>
        <v>9728150.456</v>
      </c>
      <c r="X56" s="249" t="n">
        <f aca="false">W56+X55</f>
        <v>9728150.456</v>
      </c>
      <c r="Y56" s="246"/>
      <c r="Z56" s="246"/>
      <c r="AA56" s="246"/>
      <c r="AB56" s="246"/>
      <c r="AC56" s="246"/>
      <c r="AD56" s="246"/>
      <c r="AE56" s="246"/>
      <c r="AF56" s="246"/>
      <c r="AG56" s="246"/>
      <c r="AH56" s="246"/>
      <c r="AI56" s="246"/>
      <c r="AJ56" s="246"/>
    </row>
    <row r="57" customFormat="false" ht="18.75" hidden="false" customHeight="true" outlineLevel="0" collapsed="false">
      <c r="B57" s="250" t="s">
        <v>42</v>
      </c>
      <c r="C57" s="251"/>
      <c r="D57" s="252" t="str">
        <f aca="false">IF((D56)&gt;0,"回收","未回收")</f>
        <v>未回收</v>
      </c>
      <c r="E57" s="253" t="str">
        <f aca="false">IF((E56)&gt;0,"回收","未回收")</f>
        <v>未回收</v>
      </c>
      <c r="F57" s="253" t="str">
        <f aca="false">IF((F56)&gt;0,"回收","未回收")</f>
        <v>未回收</v>
      </c>
      <c r="G57" s="253" t="str">
        <f aca="false">IF((G56)&gt;0,"回收","未回收")</f>
        <v>未回收</v>
      </c>
      <c r="H57" s="253" t="str">
        <f aca="false">IF((H56)&gt;0,"回收","未回收")</f>
        <v>未回收</v>
      </c>
      <c r="I57" s="253" t="str">
        <f aca="false">IF((I56)&gt;0,"回收","未回收")</f>
        <v>未回收</v>
      </c>
      <c r="J57" s="253" t="str">
        <f aca="false">IF((J56)&gt;0,"回收","未回收")</f>
        <v>未回收</v>
      </c>
      <c r="K57" s="253" t="str">
        <f aca="false">IF((K56)&gt;0,"回收","未回收")</f>
        <v>未回收</v>
      </c>
      <c r="L57" s="253" t="str">
        <f aca="false">IF((L56)&gt;0,"回收","未回收")</f>
        <v>未回收</v>
      </c>
      <c r="M57" s="253" t="str">
        <f aca="false">IF((M56)&gt;0,"回收","未回收")</f>
        <v>未回收</v>
      </c>
      <c r="N57" s="253" t="str">
        <f aca="false">IF((N56)&gt;0,"回收","未回收")</f>
        <v>未回收</v>
      </c>
      <c r="O57" s="253" t="str">
        <f aca="false">IF((O56)&gt;0,"回收","未回收")</f>
        <v>未回收</v>
      </c>
      <c r="P57" s="253" t="str">
        <f aca="false">IF((P56)&gt;0,"回收","未回收")</f>
        <v>未回收</v>
      </c>
      <c r="Q57" s="253" t="str">
        <f aca="false">IF((Q56)&gt;0,"回收","未回收")</f>
        <v>回收</v>
      </c>
      <c r="R57" s="253" t="str">
        <f aca="false">IF((R56)&gt;0,"回收","未回收")</f>
        <v>回收</v>
      </c>
      <c r="S57" s="253" t="str">
        <f aca="false">IF((S56)&gt;0,"回收","未回收")</f>
        <v>回收</v>
      </c>
      <c r="T57" s="253" t="str">
        <f aca="false">IF((T56)&gt;0,"回收","未回收")</f>
        <v>回收</v>
      </c>
      <c r="U57" s="253" t="str">
        <f aca="false">IF((U56)&gt;0,"回收","未回收")</f>
        <v>回收</v>
      </c>
      <c r="V57" s="253" t="str">
        <f aca="false">IF((V56)&gt;0,"回收","未回收")</f>
        <v>回收</v>
      </c>
      <c r="W57" s="253" t="str">
        <f aca="false">IF((W56)&gt;0,"回收","未回收")</f>
        <v>回收</v>
      </c>
      <c r="X57" s="253" t="str">
        <f aca="false">IF((X56)&gt;0,"回收","未回收")</f>
        <v>回收</v>
      </c>
      <c r="Y57" s="246"/>
      <c r="Z57" s="246"/>
      <c r="AA57" s="246"/>
      <c r="AB57" s="246"/>
      <c r="AC57" s="246"/>
      <c r="AD57" s="246"/>
      <c r="AE57" s="246"/>
      <c r="AF57" s="246"/>
      <c r="AG57" s="246"/>
      <c r="AH57" s="246"/>
      <c r="AI57" s="246"/>
      <c r="AJ57" s="246"/>
    </row>
    <row r="58" customFormat="false" ht="18.75" hidden="false" customHeight="true" outlineLevel="0" collapsed="false">
      <c r="B58" s="113" t="s">
        <v>43</v>
      </c>
      <c r="C58" s="114" t="n">
        <f aca="false">IRR(C55:W55)</f>
        <v>0.0435864672657961</v>
      </c>
      <c r="D58" s="115"/>
      <c r="E58" s="115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</row>
    <row r="59" customFormat="false" ht="18.75" hidden="false" customHeight="true" outlineLevel="0" collapsed="false">
      <c r="B59" s="116"/>
      <c r="C59" s="115"/>
      <c r="D59" s="115"/>
      <c r="E59" s="115"/>
      <c r="F59" s="116"/>
      <c r="G59" s="116"/>
      <c r="H59" s="116"/>
      <c r="I59" s="116"/>
      <c r="J59" s="116"/>
      <c r="K59" s="116"/>
      <c r="L59" s="116"/>
      <c r="M59" s="115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254"/>
      <c r="Z59" s="254"/>
      <c r="AA59" s="254"/>
      <c r="AB59" s="254"/>
      <c r="AC59" s="254"/>
      <c r="AD59" s="254"/>
      <c r="AE59" s="254"/>
      <c r="AF59" s="254"/>
      <c r="AG59" s="254"/>
      <c r="AH59" s="254"/>
      <c r="AI59" s="254"/>
      <c r="AJ59" s="254"/>
    </row>
    <row r="60" customFormat="false" ht="18.75" hidden="false" customHeight="true" outlineLevel="0" collapsed="false">
      <c r="B60" s="65"/>
      <c r="C60" s="66" t="s">
        <v>0</v>
      </c>
      <c r="D60" s="66" t="n">
        <f aca="false">D37</f>
        <v>2020</v>
      </c>
      <c r="E60" s="66" t="n">
        <f aca="false">E37</f>
        <v>2021</v>
      </c>
      <c r="F60" s="66" t="n">
        <f aca="false">F37</f>
        <v>2022</v>
      </c>
      <c r="G60" s="66" t="n">
        <f aca="false">G37</f>
        <v>2023</v>
      </c>
      <c r="H60" s="66" t="n">
        <f aca="false">H37</f>
        <v>2024</v>
      </c>
      <c r="I60" s="66" t="n">
        <f aca="false">I37</f>
        <v>2025</v>
      </c>
      <c r="J60" s="66" t="n">
        <f aca="false">J37</f>
        <v>2026</v>
      </c>
      <c r="K60" s="66" t="n">
        <f aca="false">K37</f>
        <v>2027</v>
      </c>
      <c r="L60" s="66" t="n">
        <f aca="false">L37</f>
        <v>2028</v>
      </c>
      <c r="M60" s="66" t="n">
        <f aca="false">M37</f>
        <v>2029</v>
      </c>
      <c r="N60" s="66" t="n">
        <f aca="false">N37</f>
        <v>2030</v>
      </c>
      <c r="O60" s="66" t="n">
        <f aca="false">O37</f>
        <v>2031</v>
      </c>
      <c r="P60" s="66" t="n">
        <f aca="false">P37</f>
        <v>2032</v>
      </c>
      <c r="Q60" s="66" t="n">
        <f aca="false">Q37</f>
        <v>2033</v>
      </c>
      <c r="R60" s="66" t="n">
        <f aca="false">R37</f>
        <v>2034</v>
      </c>
      <c r="S60" s="66" t="n">
        <f aca="false">S37</f>
        <v>2035</v>
      </c>
      <c r="T60" s="66" t="n">
        <f aca="false">T37</f>
        <v>2036</v>
      </c>
      <c r="U60" s="66" t="n">
        <f aca="false">U37</f>
        <v>2037</v>
      </c>
      <c r="V60" s="66" t="n">
        <f aca="false">V37</f>
        <v>2038</v>
      </c>
      <c r="W60" s="66" t="n">
        <f aca="false">W37</f>
        <v>2039</v>
      </c>
      <c r="X60" s="66"/>
      <c r="Y60" s="255"/>
      <c r="Z60" s="255"/>
      <c r="AA60" s="255"/>
      <c r="AB60" s="255"/>
      <c r="AC60" s="255"/>
      <c r="AD60" s="255"/>
      <c r="AE60" s="255"/>
      <c r="AF60" s="255"/>
      <c r="AG60" s="255"/>
      <c r="AH60" s="255"/>
      <c r="AI60" s="255"/>
      <c r="AJ60" s="255"/>
    </row>
    <row r="61" customFormat="false" ht="18.75" hidden="false" customHeight="true" outlineLevel="0" collapsed="false">
      <c r="B61" s="68" t="n">
        <v>0</v>
      </c>
      <c r="C61" s="69"/>
      <c r="D61" s="70"/>
      <c r="E61" s="70"/>
      <c r="F61" s="71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118" t="s">
        <v>44</v>
      </c>
      <c r="U61" s="72"/>
      <c r="V61" s="72"/>
      <c r="W61" s="72"/>
      <c r="X61" s="220"/>
    </row>
    <row r="62" customFormat="false" ht="18.75" hidden="false" customHeight="true" outlineLevel="0" collapsed="false">
      <c r="B62" s="75" t="s">
        <v>23</v>
      </c>
      <c r="C62" s="76" t="n">
        <v>0</v>
      </c>
      <c r="D62" s="77" t="n">
        <v>1</v>
      </c>
      <c r="E62" s="77" t="n">
        <v>2</v>
      </c>
      <c r="F62" s="77" t="n">
        <v>3</v>
      </c>
      <c r="G62" s="77" t="n">
        <v>4</v>
      </c>
      <c r="H62" s="77" t="n">
        <v>5</v>
      </c>
      <c r="I62" s="77" t="n">
        <v>6</v>
      </c>
      <c r="J62" s="77" t="n">
        <v>7</v>
      </c>
      <c r="K62" s="77" t="n">
        <v>8</v>
      </c>
      <c r="L62" s="77" t="n">
        <v>9</v>
      </c>
      <c r="M62" s="77" t="n">
        <v>10</v>
      </c>
      <c r="N62" s="77" t="n">
        <v>11</v>
      </c>
      <c r="O62" s="77" t="n">
        <v>12</v>
      </c>
      <c r="P62" s="77" t="n">
        <v>13</v>
      </c>
      <c r="Q62" s="77" t="n">
        <v>14</v>
      </c>
      <c r="R62" s="77" t="n">
        <v>15</v>
      </c>
      <c r="S62" s="77" t="n">
        <v>16</v>
      </c>
      <c r="T62" s="119" t="n">
        <v>17</v>
      </c>
      <c r="U62" s="77" t="n">
        <v>18</v>
      </c>
      <c r="V62" s="77" t="n">
        <v>19</v>
      </c>
      <c r="W62" s="77" t="n">
        <v>20</v>
      </c>
      <c r="X62" s="221"/>
    </row>
    <row r="63" customFormat="false" ht="18.75" hidden="false" customHeight="true" outlineLevel="0" collapsed="false">
      <c r="B63" s="222" t="s">
        <v>153</v>
      </c>
      <c r="C63" s="81" t="n">
        <v>0</v>
      </c>
      <c r="D63" s="82" t="n">
        <f aca="false">D40</f>
        <v>541531.98</v>
      </c>
      <c r="E63" s="82" t="n">
        <f aca="false">E40</f>
        <v>539343.972</v>
      </c>
      <c r="F63" s="82" t="n">
        <f aca="false">F40</f>
        <v>537155.964</v>
      </c>
      <c r="G63" s="82" t="n">
        <f aca="false">G40</f>
        <v>534967.956</v>
      </c>
      <c r="H63" s="82" t="n">
        <f aca="false">H40</f>
        <v>532779.948</v>
      </c>
      <c r="I63" s="82" t="n">
        <f aca="false">I40</f>
        <v>530591.94</v>
      </c>
      <c r="J63" s="82" t="n">
        <f aca="false">J40</f>
        <v>528403.932</v>
      </c>
      <c r="K63" s="82" t="n">
        <f aca="false">K40</f>
        <v>526215.924</v>
      </c>
      <c r="L63" s="82" t="n">
        <f aca="false">L40</f>
        <v>524027.916</v>
      </c>
      <c r="M63" s="82" t="n">
        <f aca="false">M40</f>
        <v>521839.908</v>
      </c>
      <c r="N63" s="82" t="n">
        <f aca="false">N40</f>
        <v>519651.9</v>
      </c>
      <c r="O63" s="82" t="n">
        <f aca="false">O40</f>
        <v>517463.892</v>
      </c>
      <c r="P63" s="82" t="n">
        <f aca="false">P40</f>
        <v>515275.884</v>
      </c>
      <c r="Q63" s="82" t="n">
        <f aca="false">Q40</f>
        <v>513087.876</v>
      </c>
      <c r="R63" s="82" t="n">
        <f aca="false">R40</f>
        <v>510899.868</v>
      </c>
      <c r="S63" s="82" t="n">
        <f aca="false">S40</f>
        <v>508711.86</v>
      </c>
      <c r="T63" s="82" t="n">
        <f aca="false">T40</f>
        <v>506523.852</v>
      </c>
      <c r="U63" s="82" t="n">
        <f aca="false">U40</f>
        <v>504335.844</v>
      </c>
      <c r="V63" s="82" t="n">
        <f aca="false">V40</f>
        <v>502147.836</v>
      </c>
      <c r="W63" s="82" t="n">
        <f aca="false">W40</f>
        <v>499959.828</v>
      </c>
      <c r="X63" s="223"/>
    </row>
    <row r="64" customFormat="false" ht="18.75" hidden="false" customHeight="true" outlineLevel="0" collapsed="false">
      <c r="B64" s="224" t="s">
        <v>25</v>
      </c>
      <c r="C64" s="225" t="s">
        <v>26</v>
      </c>
      <c r="D64" s="226" t="n">
        <f aca="false">D41</f>
        <v>2166127.92</v>
      </c>
      <c r="E64" s="226" t="n">
        <f aca="false">E41</f>
        <v>2157375.888</v>
      </c>
      <c r="F64" s="226" t="n">
        <f aca="false">F41</f>
        <v>2148623.856</v>
      </c>
      <c r="G64" s="226" t="n">
        <f aca="false">G41</f>
        <v>2139871.824</v>
      </c>
      <c r="H64" s="226" t="n">
        <f aca="false">H41</f>
        <v>2131119.792</v>
      </c>
      <c r="I64" s="226" t="n">
        <f aca="false">I41</f>
        <v>2122367.76</v>
      </c>
      <c r="J64" s="226" t="n">
        <f aca="false">J41</f>
        <v>2113615.728</v>
      </c>
      <c r="K64" s="226" t="n">
        <f aca="false">K41</f>
        <v>2104863.696</v>
      </c>
      <c r="L64" s="226" t="n">
        <f aca="false">L41</f>
        <v>2096111.664</v>
      </c>
      <c r="M64" s="226" t="n">
        <f aca="false">M41</f>
        <v>2087359.632</v>
      </c>
      <c r="N64" s="226" t="n">
        <f aca="false">N41</f>
        <v>2078607.6</v>
      </c>
      <c r="O64" s="226" t="n">
        <f aca="false">O41</f>
        <v>2069855.568</v>
      </c>
      <c r="P64" s="226" t="n">
        <f aca="false">P41</f>
        <v>2061103.536</v>
      </c>
      <c r="Q64" s="226" t="n">
        <f aca="false">Q41</f>
        <v>2052351.504</v>
      </c>
      <c r="R64" s="226" t="n">
        <f aca="false">R41</f>
        <v>2043599.472</v>
      </c>
      <c r="S64" s="226" t="n">
        <f aca="false">S41</f>
        <v>2034847.44</v>
      </c>
      <c r="T64" s="226" t="n">
        <f aca="false">T41</f>
        <v>2026095.408</v>
      </c>
      <c r="U64" s="226" t="n">
        <f aca="false">U41</f>
        <v>2017343.376</v>
      </c>
      <c r="V64" s="226" t="n">
        <f aca="false">V41</f>
        <v>2008591.344</v>
      </c>
      <c r="W64" s="226" t="n">
        <f aca="false">W41</f>
        <v>1999839.312</v>
      </c>
      <c r="X64" s="227"/>
    </row>
    <row r="65" customFormat="false" ht="18.75" hidden="false" customHeight="true" outlineLevel="0" collapsed="false">
      <c r="B65" s="228" t="s">
        <v>27</v>
      </c>
      <c r="C65" s="229" t="s">
        <v>26</v>
      </c>
      <c r="D65" s="230"/>
      <c r="E65" s="230"/>
      <c r="F65" s="230"/>
      <c r="G65" s="231" t="s">
        <v>26</v>
      </c>
      <c r="H65" s="231" t="s">
        <v>26</v>
      </c>
      <c r="I65" s="231" t="s">
        <v>26</v>
      </c>
      <c r="J65" s="231" t="s">
        <v>26</v>
      </c>
      <c r="K65" s="231" t="s">
        <v>26</v>
      </c>
      <c r="L65" s="231" t="s">
        <v>26</v>
      </c>
      <c r="M65" s="231" t="s">
        <v>26</v>
      </c>
      <c r="N65" s="231" t="s">
        <v>26</v>
      </c>
      <c r="O65" s="231" t="s">
        <v>26</v>
      </c>
      <c r="P65" s="231" t="s">
        <v>26</v>
      </c>
      <c r="Q65" s="231" t="s">
        <v>26</v>
      </c>
      <c r="R65" s="231" t="s">
        <v>26</v>
      </c>
      <c r="S65" s="231" t="s">
        <v>26</v>
      </c>
      <c r="T65" s="231" t="s">
        <v>26</v>
      </c>
      <c r="U65" s="231" t="s">
        <v>26</v>
      </c>
      <c r="V65" s="231" t="s">
        <v>26</v>
      </c>
      <c r="W65" s="231" t="s">
        <v>26</v>
      </c>
      <c r="X65" s="232"/>
    </row>
    <row r="66" customFormat="false" ht="18.75" hidden="false" customHeight="true" outlineLevel="0" collapsed="false">
      <c r="B66" s="233" t="s">
        <v>28</v>
      </c>
      <c r="C66" s="234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6"/>
    </row>
    <row r="67" customFormat="false" ht="18.75" hidden="false" customHeight="true" outlineLevel="0" collapsed="false">
      <c r="B67" s="237" t="s">
        <v>45</v>
      </c>
      <c r="C67" s="229"/>
      <c r="D67" s="256" t="n">
        <f aca="false">$C$44/$E$16</f>
        <v>-946960</v>
      </c>
      <c r="E67" s="256" t="n">
        <f aca="false">$C$44/$E$16</f>
        <v>-946960</v>
      </c>
      <c r="F67" s="256" t="n">
        <f aca="false">$C$44/$E$16</f>
        <v>-946960</v>
      </c>
      <c r="G67" s="256" t="n">
        <f aca="false">$C$44/$E$16</f>
        <v>-946960</v>
      </c>
      <c r="H67" s="256" t="n">
        <f aca="false">$C$44/$E$16</f>
        <v>-946960</v>
      </c>
      <c r="I67" s="256" t="n">
        <f aca="false">$C$44/$E$16</f>
        <v>-946960</v>
      </c>
      <c r="J67" s="256" t="n">
        <f aca="false">$C$44/$E$16</f>
        <v>-946960</v>
      </c>
      <c r="K67" s="256" t="n">
        <f aca="false">$C$44/$E$16</f>
        <v>-946960</v>
      </c>
      <c r="L67" s="256" t="n">
        <f aca="false">$C$44/$E$16</f>
        <v>-946960</v>
      </c>
      <c r="M67" s="256" t="n">
        <f aca="false">$C$44/$E$16</f>
        <v>-946960</v>
      </c>
      <c r="N67" s="256" t="n">
        <f aca="false">$C$44/$E$16</f>
        <v>-946960</v>
      </c>
      <c r="O67" s="256" t="n">
        <f aca="false">$C$44/$E$16</f>
        <v>-946960</v>
      </c>
      <c r="P67" s="256" t="n">
        <f aca="false">$C$44/$E$16</f>
        <v>-946960</v>
      </c>
      <c r="Q67" s="256" t="n">
        <f aca="false">$C$44/$E$16</f>
        <v>-946960</v>
      </c>
      <c r="R67" s="256" t="n">
        <f aca="false">$C$44/$E$16</f>
        <v>-946960</v>
      </c>
      <c r="S67" s="256" t="n">
        <f aca="false">$C$44/$E$16</f>
        <v>-946960</v>
      </c>
      <c r="T67" s="256" t="n">
        <f aca="false">$C$44/$E$16</f>
        <v>-946960</v>
      </c>
      <c r="U67" s="256" t="n">
        <f aca="false">$C$44/$E$16</f>
        <v>-946960</v>
      </c>
      <c r="V67" s="256" t="n">
        <f aca="false">$C$44/$E$16</f>
        <v>-946960</v>
      </c>
      <c r="W67" s="256" t="n">
        <f aca="false">$C$44/$E$16</f>
        <v>-946960</v>
      </c>
      <c r="X67" s="232"/>
    </row>
    <row r="68" customFormat="false" ht="18.75" hidden="false" customHeight="true" outlineLevel="0" collapsed="false">
      <c r="B68" s="237" t="s">
        <v>30</v>
      </c>
      <c r="C68" s="229" t="s">
        <v>26</v>
      </c>
      <c r="D68" s="239" t="n">
        <f aca="false">D44</f>
        <v>0</v>
      </c>
      <c r="E68" s="239" t="n">
        <f aca="false">E45</f>
        <v>-290201</v>
      </c>
      <c r="F68" s="239" t="n">
        <f aca="false">F45</f>
        <v>-290201</v>
      </c>
      <c r="G68" s="239" t="n">
        <f aca="false">G45</f>
        <v>-290201</v>
      </c>
      <c r="H68" s="239" t="n">
        <f aca="false">H45</f>
        <v>-290201</v>
      </c>
      <c r="I68" s="239" t="n">
        <f aca="false">I45</f>
        <v>-290201</v>
      </c>
      <c r="J68" s="239" t="n">
        <f aca="false">J45</f>
        <v>-290201</v>
      </c>
      <c r="K68" s="239" t="n">
        <f aca="false">K45</f>
        <v>-290201</v>
      </c>
      <c r="L68" s="239" t="n">
        <f aca="false">L45</f>
        <v>-290201</v>
      </c>
      <c r="M68" s="239" t="n">
        <f aca="false">M45</f>
        <v>-290201</v>
      </c>
      <c r="N68" s="239" t="n">
        <f aca="false">N45</f>
        <v>-290201</v>
      </c>
      <c r="O68" s="239" t="n">
        <f aca="false">O45</f>
        <v>-290201</v>
      </c>
      <c r="P68" s="239" t="n">
        <f aca="false">P45</f>
        <v>-290201</v>
      </c>
      <c r="Q68" s="239" t="n">
        <f aca="false">Q45</f>
        <v>-290201</v>
      </c>
      <c r="R68" s="239" t="n">
        <f aca="false">R45</f>
        <v>-290201</v>
      </c>
      <c r="S68" s="239" t="n">
        <f aca="false">S45</f>
        <v>-290201</v>
      </c>
      <c r="T68" s="239" t="n">
        <f aca="false">T45</f>
        <v>-290201</v>
      </c>
      <c r="U68" s="239" t="n">
        <f aca="false">U45</f>
        <v>-290201</v>
      </c>
      <c r="V68" s="239" t="n">
        <f aca="false">V45</f>
        <v>-290201</v>
      </c>
      <c r="W68" s="239" t="n">
        <f aca="false">W45</f>
        <v>-290201</v>
      </c>
      <c r="X68" s="232"/>
    </row>
    <row r="69" customFormat="false" ht="18.75" hidden="false" customHeight="true" outlineLevel="0" collapsed="false">
      <c r="B69" s="237" t="s">
        <v>31</v>
      </c>
      <c r="C69" s="229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2"/>
    </row>
    <row r="70" customFormat="false" ht="18.75" hidden="false" customHeight="true" outlineLevel="0" collapsed="false">
      <c r="B70" s="237" t="s">
        <v>32</v>
      </c>
      <c r="C70" s="229" t="s">
        <v>26</v>
      </c>
      <c r="D70" s="239" t="n">
        <v>0</v>
      </c>
      <c r="E70" s="239" t="n">
        <v>0</v>
      </c>
      <c r="F70" s="239" t="n">
        <v>0</v>
      </c>
      <c r="G70" s="239" t="n">
        <v>0</v>
      </c>
      <c r="H70" s="239" t="n">
        <v>0</v>
      </c>
      <c r="I70" s="239" t="n">
        <v>0</v>
      </c>
      <c r="J70" s="239" t="n">
        <v>0</v>
      </c>
      <c r="K70" s="239" t="n">
        <v>0</v>
      </c>
      <c r="L70" s="239" t="n">
        <v>0</v>
      </c>
      <c r="M70" s="239" t="n">
        <v>0</v>
      </c>
      <c r="N70" s="239" t="n">
        <v>0</v>
      </c>
      <c r="O70" s="239" t="n">
        <v>0</v>
      </c>
      <c r="P70" s="239" t="n">
        <v>0</v>
      </c>
      <c r="Q70" s="239" t="n">
        <v>0</v>
      </c>
      <c r="R70" s="239" t="n">
        <v>0</v>
      </c>
      <c r="S70" s="239" t="n">
        <v>0</v>
      </c>
      <c r="T70" s="239" t="n">
        <v>0</v>
      </c>
      <c r="U70" s="239" t="n">
        <v>0</v>
      </c>
      <c r="V70" s="239" t="n">
        <v>0</v>
      </c>
      <c r="W70" s="239" t="n">
        <v>0</v>
      </c>
      <c r="X70" s="232"/>
    </row>
    <row r="71" customFormat="false" ht="18.75" hidden="false" customHeight="true" outlineLevel="0" collapsed="false">
      <c r="B71" s="237" t="s">
        <v>33</v>
      </c>
      <c r="C71" s="229" t="s">
        <v>26</v>
      </c>
      <c r="D71" s="239" t="n">
        <f aca="false">D48</f>
        <v>-174440</v>
      </c>
      <c r="E71" s="239" t="n">
        <f aca="false">E48</f>
        <v>-174440</v>
      </c>
      <c r="F71" s="239" t="n">
        <f aca="false">F48</f>
        <v>-174440</v>
      </c>
      <c r="G71" s="239" t="n">
        <f aca="false">G48</f>
        <v>-174440</v>
      </c>
      <c r="H71" s="239" t="n">
        <f aca="false">H48</f>
        <v>-174440</v>
      </c>
      <c r="I71" s="239" t="n">
        <f aca="false">I48</f>
        <v>-174440</v>
      </c>
      <c r="J71" s="239" t="n">
        <f aca="false">J48</f>
        <v>-174440</v>
      </c>
      <c r="K71" s="239" t="n">
        <f aca="false">K48</f>
        <v>-174440</v>
      </c>
      <c r="L71" s="239" t="n">
        <f aca="false">L48</f>
        <v>-174440</v>
      </c>
      <c r="M71" s="239" t="n">
        <f aca="false">M48</f>
        <v>-174440</v>
      </c>
      <c r="N71" s="239" t="n">
        <f aca="false">N48</f>
        <v>-174440</v>
      </c>
      <c r="O71" s="239" t="n">
        <f aca="false">O48</f>
        <v>-174440</v>
      </c>
      <c r="P71" s="239" t="n">
        <f aca="false">P48</f>
        <v>-174440</v>
      </c>
      <c r="Q71" s="239" t="n">
        <f aca="false">Q48</f>
        <v>-174440</v>
      </c>
      <c r="R71" s="239" t="n">
        <f aca="false">R48</f>
        <v>-174440</v>
      </c>
      <c r="S71" s="239" t="n">
        <f aca="false">S48</f>
        <v>-174440</v>
      </c>
      <c r="T71" s="239" t="n">
        <f aca="false">T48</f>
        <v>-174440</v>
      </c>
      <c r="U71" s="239" t="n">
        <f aca="false">U48</f>
        <v>-174440</v>
      </c>
      <c r="V71" s="239" t="n">
        <f aca="false">V48</f>
        <v>-174440</v>
      </c>
      <c r="W71" s="239" t="n">
        <f aca="false">W48</f>
        <v>-174440</v>
      </c>
      <c r="X71" s="232"/>
    </row>
    <row r="72" customFormat="false" ht="18.75" hidden="false" customHeight="true" outlineLevel="0" collapsed="false">
      <c r="B72" s="237" t="s">
        <v>34</v>
      </c>
      <c r="C72" s="229" t="s">
        <v>26</v>
      </c>
      <c r="D72" s="239" t="n">
        <f aca="false">D49</f>
        <v>-37940.7</v>
      </c>
      <c r="E72" s="239" t="n">
        <f aca="false">E49</f>
        <v>-37940.7</v>
      </c>
      <c r="F72" s="239" t="n">
        <f aca="false">F49</f>
        <v>-37940.7</v>
      </c>
      <c r="G72" s="239" t="n">
        <f aca="false">G49</f>
        <v>-37940.7</v>
      </c>
      <c r="H72" s="239" t="n">
        <f aca="false">H49</f>
        <v>-37940.7</v>
      </c>
      <c r="I72" s="239" t="n">
        <f aca="false">I49</f>
        <v>-37940.7</v>
      </c>
      <c r="J72" s="239" t="n">
        <f aca="false">J49</f>
        <v>-37940.7</v>
      </c>
      <c r="K72" s="239" t="n">
        <f aca="false">K49</f>
        <v>-37940.7</v>
      </c>
      <c r="L72" s="239" t="n">
        <f aca="false">L49</f>
        <v>-37940.7</v>
      </c>
      <c r="M72" s="239" t="n">
        <f aca="false">M49</f>
        <v>-37940.7</v>
      </c>
      <c r="N72" s="239" t="n">
        <f aca="false">N49</f>
        <v>-37940.7</v>
      </c>
      <c r="O72" s="239" t="n">
        <f aca="false">O49</f>
        <v>-37940.7</v>
      </c>
      <c r="P72" s="239" t="n">
        <f aca="false">P49</f>
        <v>-37940.7</v>
      </c>
      <c r="Q72" s="239" t="n">
        <f aca="false">Q49</f>
        <v>-37940.7</v>
      </c>
      <c r="R72" s="239" t="n">
        <f aca="false">R49</f>
        <v>-37940.7</v>
      </c>
      <c r="S72" s="239" t="n">
        <f aca="false">S49</f>
        <v>-37940.7</v>
      </c>
      <c r="T72" s="239" t="n">
        <f aca="false">T49</f>
        <v>-37940.7</v>
      </c>
      <c r="U72" s="239" t="n">
        <f aca="false">U49</f>
        <v>-37940.7</v>
      </c>
      <c r="V72" s="239" t="n">
        <f aca="false">V49</f>
        <v>-37940.7</v>
      </c>
      <c r="W72" s="239" t="n">
        <f aca="false">W49</f>
        <v>-37940.7</v>
      </c>
      <c r="X72" s="232"/>
    </row>
    <row r="73" customFormat="false" ht="18.75" hidden="false" customHeight="true" outlineLevel="0" collapsed="false">
      <c r="B73" s="237" t="s">
        <v>35</v>
      </c>
      <c r="C73" s="229"/>
      <c r="D73" s="239" t="n">
        <f aca="false">D50</f>
        <v>-43610</v>
      </c>
      <c r="E73" s="239" t="n">
        <f aca="false">E50</f>
        <v>-43610</v>
      </c>
      <c r="F73" s="239" t="n">
        <f aca="false">F50</f>
        <v>-43610</v>
      </c>
      <c r="G73" s="239" t="n">
        <f aca="false">G50</f>
        <v>-43610</v>
      </c>
      <c r="H73" s="239" t="n">
        <f aca="false">H50</f>
        <v>-43610</v>
      </c>
      <c r="I73" s="239" t="n">
        <f aca="false">I50</f>
        <v>-43610</v>
      </c>
      <c r="J73" s="239" t="n">
        <f aca="false">J50</f>
        <v>-43610</v>
      </c>
      <c r="K73" s="239" t="n">
        <f aca="false">K50</f>
        <v>-43610</v>
      </c>
      <c r="L73" s="239" t="n">
        <f aca="false">L50</f>
        <v>-43610</v>
      </c>
      <c r="M73" s="239" t="n">
        <f aca="false">M50</f>
        <v>-43610</v>
      </c>
      <c r="N73" s="239" t="n">
        <f aca="false">N50</f>
        <v>0</v>
      </c>
      <c r="O73" s="239" t="n">
        <f aca="false">O50</f>
        <v>0</v>
      </c>
      <c r="P73" s="239" t="n">
        <f aca="false">P50</f>
        <v>0</v>
      </c>
      <c r="Q73" s="239" t="n">
        <f aca="false">Q50</f>
        <v>0</v>
      </c>
      <c r="R73" s="239" t="n">
        <f aca="false">R50</f>
        <v>0</v>
      </c>
      <c r="S73" s="239" t="n">
        <f aca="false">S50</f>
        <v>0</v>
      </c>
      <c r="T73" s="239" t="n">
        <f aca="false">T50</f>
        <v>0</v>
      </c>
      <c r="U73" s="239" t="n">
        <f aca="false">U50</f>
        <v>0</v>
      </c>
      <c r="V73" s="239" t="n">
        <f aca="false">V50</f>
        <v>0</v>
      </c>
      <c r="W73" s="239" t="n">
        <f aca="false">W50</f>
        <v>0</v>
      </c>
      <c r="X73" s="232"/>
    </row>
    <row r="74" customFormat="false" ht="18.75" hidden="false" customHeight="true" outlineLevel="0" collapsed="false">
      <c r="B74" s="237" t="s">
        <v>36</v>
      </c>
      <c r="C74" s="240"/>
      <c r="D74" s="257"/>
      <c r="E74" s="258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2"/>
    </row>
    <row r="75" customFormat="false" ht="18.75" hidden="false" customHeight="true" outlineLevel="0" collapsed="false">
      <c r="B75" s="237" t="s">
        <v>37</v>
      </c>
      <c r="C75" s="240"/>
      <c r="D75" s="230"/>
      <c r="E75" s="230"/>
      <c r="F75" s="230"/>
      <c r="G75" s="230"/>
      <c r="H75" s="230"/>
      <c r="I75" s="230"/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  <c r="V75" s="230"/>
      <c r="W75" s="230"/>
      <c r="X75" s="232"/>
    </row>
    <row r="76" customFormat="false" ht="18.75" hidden="false" customHeight="true" outlineLevel="0" collapsed="false">
      <c r="B76" s="242" t="s">
        <v>46</v>
      </c>
      <c r="C76" s="259"/>
      <c r="D76" s="244" t="n">
        <f aca="false">SUM(D64:D75)</f>
        <v>963177.22</v>
      </c>
      <c r="E76" s="244" t="n">
        <f aca="false">SUM(E64:E75)</f>
        <v>664224.188</v>
      </c>
      <c r="F76" s="244" t="n">
        <f aca="false">SUM(F64:F75)</f>
        <v>655472.156</v>
      </c>
      <c r="G76" s="244" t="n">
        <f aca="false">SUM(G64:G75)</f>
        <v>646720.124</v>
      </c>
      <c r="H76" s="244" t="n">
        <f aca="false">SUM(H64:H75)</f>
        <v>637968.092</v>
      </c>
      <c r="I76" s="244" t="n">
        <f aca="false">SUM(I64:I75)</f>
        <v>629216.06</v>
      </c>
      <c r="J76" s="244" t="n">
        <f aca="false">SUM(J64:J75)</f>
        <v>620464.028</v>
      </c>
      <c r="K76" s="244" t="n">
        <f aca="false">SUM(K64:K75)</f>
        <v>611711.996</v>
      </c>
      <c r="L76" s="244" t="n">
        <f aca="false">SUM(L64:L75)</f>
        <v>602959.964</v>
      </c>
      <c r="M76" s="244" t="n">
        <f aca="false">SUM(M64:M75)</f>
        <v>594207.932</v>
      </c>
      <c r="N76" s="244" t="n">
        <f aca="false">SUM(N64:N75)</f>
        <v>629065.9</v>
      </c>
      <c r="O76" s="244" t="n">
        <f aca="false">SUM(O64:O75)</f>
        <v>620313.868</v>
      </c>
      <c r="P76" s="244" t="n">
        <f aca="false">SUM(P64:P75)</f>
        <v>611561.836</v>
      </c>
      <c r="Q76" s="244" t="n">
        <f aca="false">SUM(Q64:Q75)</f>
        <v>602809.804</v>
      </c>
      <c r="R76" s="244" t="n">
        <f aca="false">SUM(R64:R75)</f>
        <v>594057.772</v>
      </c>
      <c r="S76" s="244" t="n">
        <f aca="false">SUM(S64:S75)</f>
        <v>585305.74</v>
      </c>
      <c r="T76" s="244" t="n">
        <f aca="false">SUM(T64:T75)</f>
        <v>576553.708</v>
      </c>
      <c r="U76" s="244" t="n">
        <f aca="false">SUM(U64:U75)</f>
        <v>567801.676</v>
      </c>
      <c r="V76" s="244" t="n">
        <f aca="false">SUM(V64:V75)</f>
        <v>559049.644</v>
      </c>
      <c r="W76" s="244" t="n">
        <f aca="false">SUM(W64:W75)</f>
        <v>550297.612</v>
      </c>
      <c r="X76" s="244" t="n">
        <f aca="false">SUM(X64:X75)</f>
        <v>0</v>
      </c>
    </row>
    <row r="77" customFormat="false" ht="18.75" hidden="false" customHeight="true" outlineLevel="0" collapsed="false">
      <c r="B77" s="241" t="s">
        <v>39</v>
      </c>
      <c r="C77" s="240"/>
      <c r="D77" s="239" t="n">
        <f aca="false">-D76*0.2</f>
        <v>-192635.444</v>
      </c>
      <c r="E77" s="239" t="n">
        <f aca="false">-E76*0.2</f>
        <v>-132844.8376</v>
      </c>
      <c r="F77" s="239" t="n">
        <f aca="false">-F76*0.2</f>
        <v>-131094.4312</v>
      </c>
      <c r="G77" s="239" t="n">
        <f aca="false">-G76*0.2</f>
        <v>-129344.0248</v>
      </c>
      <c r="H77" s="239" t="n">
        <f aca="false">-H76*0.2</f>
        <v>-127593.6184</v>
      </c>
      <c r="I77" s="239" t="n">
        <f aca="false">-I76*0.2</f>
        <v>-125843.212</v>
      </c>
      <c r="J77" s="239" t="n">
        <f aca="false">-J76*0.2</f>
        <v>-124092.8056</v>
      </c>
      <c r="K77" s="239" t="n">
        <f aca="false">-K76*0.2</f>
        <v>-122342.3992</v>
      </c>
      <c r="L77" s="239" t="n">
        <f aca="false">-L76*0.2</f>
        <v>-120591.9928</v>
      </c>
      <c r="M77" s="239" t="n">
        <f aca="false">-M76*0.2</f>
        <v>-118841.5864</v>
      </c>
      <c r="N77" s="239" t="n">
        <f aca="false">-N76*0.2</f>
        <v>-125813.18</v>
      </c>
      <c r="O77" s="239" t="n">
        <f aca="false">-O76*0.2</f>
        <v>-124062.7736</v>
      </c>
      <c r="P77" s="239" t="n">
        <f aca="false">-P76*0.2</f>
        <v>-122312.3672</v>
      </c>
      <c r="Q77" s="239" t="n">
        <f aca="false">-Q76*0.2</f>
        <v>-120561.9608</v>
      </c>
      <c r="R77" s="239" t="n">
        <f aca="false">-R76*0.2</f>
        <v>-118811.5544</v>
      </c>
      <c r="S77" s="239" t="n">
        <f aca="false">-S76*0.2</f>
        <v>-117061.148</v>
      </c>
      <c r="T77" s="239" t="n">
        <f aca="false">-T76*0.2</f>
        <v>-115310.7416</v>
      </c>
      <c r="U77" s="239" t="n">
        <f aca="false">-U76*0.2</f>
        <v>-113560.3352</v>
      </c>
      <c r="V77" s="239" t="n">
        <f aca="false">-V76*0.2</f>
        <v>-111809.9288</v>
      </c>
      <c r="W77" s="239" t="n">
        <f aca="false">-W76*0.2</f>
        <v>-110059.5224</v>
      </c>
      <c r="X77" s="239" t="n">
        <f aca="false">-X76*0.2</f>
        <v>-0</v>
      </c>
    </row>
    <row r="78" customFormat="false" ht="15.75" hidden="false" customHeight="true" outlineLevel="0" collapsed="false">
      <c r="B78" s="260" t="s">
        <v>47</v>
      </c>
      <c r="D78" s="239" t="n">
        <f aca="false">SUM(D76:D77)</f>
        <v>770541.776</v>
      </c>
      <c r="E78" s="239" t="n">
        <f aca="false">SUM(E76:E77)</f>
        <v>531379.3504</v>
      </c>
      <c r="F78" s="239" t="n">
        <f aca="false">SUM(F76:F77)</f>
        <v>524377.7248</v>
      </c>
      <c r="G78" s="239" t="n">
        <f aca="false">SUM(G76:G77)</f>
        <v>517376.0992</v>
      </c>
      <c r="H78" s="239" t="n">
        <f aca="false">SUM(H76:H77)</f>
        <v>510374.4736</v>
      </c>
      <c r="I78" s="239" t="n">
        <f aca="false">SUM(I76:I77)</f>
        <v>503372.848</v>
      </c>
      <c r="J78" s="239" t="n">
        <f aca="false">SUM(J76:J77)</f>
        <v>496371.2224</v>
      </c>
      <c r="K78" s="239" t="n">
        <f aca="false">SUM(K76:K77)</f>
        <v>489369.5968</v>
      </c>
      <c r="L78" s="239" t="n">
        <f aca="false">SUM(L76:L77)</f>
        <v>482367.9712</v>
      </c>
      <c r="M78" s="239" t="n">
        <f aca="false">SUM(M76:M77)</f>
        <v>475366.3456</v>
      </c>
      <c r="N78" s="239" t="n">
        <f aca="false">SUM(N76:N77)</f>
        <v>503252.72</v>
      </c>
      <c r="O78" s="239" t="n">
        <f aca="false">SUM(O76:O77)</f>
        <v>496251.0944</v>
      </c>
      <c r="P78" s="239" t="n">
        <f aca="false">SUM(P76:P77)</f>
        <v>489249.4688</v>
      </c>
      <c r="Q78" s="239" t="n">
        <f aca="false">SUM(Q76:Q77)</f>
        <v>482247.8432</v>
      </c>
      <c r="R78" s="239" t="n">
        <f aca="false">SUM(R76:R77)</f>
        <v>475246.2176</v>
      </c>
      <c r="S78" s="239" t="n">
        <f aca="false">SUM(S76:S77)</f>
        <v>468244.592</v>
      </c>
      <c r="T78" s="239" t="n">
        <f aca="false">SUM(T76:T77)</f>
        <v>461242.9664</v>
      </c>
      <c r="U78" s="239" t="n">
        <f aca="false">SUM(U76:U77)</f>
        <v>454241.3408</v>
      </c>
      <c r="V78" s="239" t="n">
        <f aca="false">SUM(V76:V77)</f>
        <v>447239.7152</v>
      </c>
      <c r="W78" s="239" t="n">
        <f aca="false">SUM(W76:W77)</f>
        <v>440238.0896</v>
      </c>
      <c r="X78" s="239" t="n">
        <f aca="false">SUM(X76:X77)</f>
        <v>0</v>
      </c>
    </row>
    <row r="79" customFormat="false" ht="18.75" hidden="false" customHeight="true" outlineLevel="0" collapsed="false">
      <c r="B79" s="248" t="s">
        <v>41</v>
      </c>
      <c r="C79" s="251"/>
      <c r="D79" s="261"/>
      <c r="E79" s="261"/>
      <c r="F79" s="261"/>
      <c r="G79" s="261"/>
      <c r="H79" s="261"/>
      <c r="I79" s="261"/>
      <c r="J79" s="261"/>
      <c r="K79" s="261"/>
      <c r="L79" s="261"/>
      <c r="M79" s="261"/>
      <c r="N79" s="261"/>
      <c r="O79" s="261"/>
      <c r="P79" s="261"/>
      <c r="Q79" s="261"/>
      <c r="R79" s="261"/>
      <c r="S79" s="261"/>
      <c r="T79" s="261"/>
      <c r="U79" s="261"/>
      <c r="V79" s="261"/>
      <c r="W79" s="261"/>
      <c r="X79" s="262"/>
    </row>
    <row r="80" customFormat="false" ht="18.75" hidden="false" customHeight="true" outlineLevel="0" collapsed="false">
      <c r="B80" s="127" t="s">
        <v>42</v>
      </c>
      <c r="C80" s="128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4"/>
    </row>
    <row r="81" customFormat="false" ht="18.75" hidden="false" customHeight="true" outlineLevel="0" collapsed="false">
      <c r="B81" s="116"/>
      <c r="C81" s="115"/>
      <c r="D81" s="115"/>
      <c r="E81" s="115"/>
      <c r="F81" s="116"/>
      <c r="G81" s="116"/>
      <c r="H81" s="116"/>
      <c r="I81" s="116"/>
      <c r="J81" s="116"/>
      <c r="K81" s="116"/>
      <c r="L81" s="116"/>
      <c r="M81" s="115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4" min="4" style="0" width="37"/>
    <col collapsed="false" customWidth="true" hidden="false" outlineLevel="0" max="6" min="6" style="0" width="50"/>
    <col collapsed="false" customWidth="true" hidden="false" outlineLevel="0" max="7" min="7" style="0" width="37"/>
    <col collapsed="false" customWidth="true" hidden="false" outlineLevel="0" max="13" min="13" style="0" width="50"/>
    <col collapsed="false" customWidth="true" hidden="false" outlineLevel="0" max="14" min="14" style="0" width="37"/>
    <col collapsed="false" customWidth="true" hidden="false" outlineLevel="0" max="24" min="24" style="0" width="30"/>
    <col collapsed="false" customWidth="true" hidden="false" outlineLevel="0" max="25" min="25" style="0" width="10"/>
    <col collapsed="false" customWidth="true" hidden="false" outlineLevel="0" max="28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52" t="s">
        <v>137</v>
      </c>
      <c r="C1" s="184"/>
      <c r="D1" s="184"/>
      <c r="E1" s="185"/>
      <c r="F1" s="153" t="s">
        <v>64</v>
      </c>
      <c r="P1" s="154" t="n">
        <f aca="false">1-D11</f>
        <v>0.99</v>
      </c>
      <c r="Q1" s="154" t="n">
        <f aca="false">P1-$D12</f>
        <v>0.986</v>
      </c>
      <c r="R1" s="154" t="n">
        <f aca="false">Q1-$D12</f>
        <v>0.982</v>
      </c>
      <c r="S1" s="154" t="n">
        <f aca="false">R1-$D12</f>
        <v>0.978</v>
      </c>
      <c r="T1" s="154" t="n">
        <f aca="false">S1-$D12</f>
        <v>0.974</v>
      </c>
      <c r="U1" s="154" t="n">
        <f aca="false">T1-$D12</f>
        <v>0.97</v>
      </c>
      <c r="V1" s="154" t="n">
        <f aca="false">U1-$D12</f>
        <v>0.966</v>
      </c>
      <c r="W1" s="154" t="n">
        <f aca="false">V1-$D12</f>
        <v>0.962</v>
      </c>
      <c r="X1" s="154" t="n">
        <f aca="false">W1-$D12</f>
        <v>0.958</v>
      </c>
      <c r="Y1" s="154" t="n">
        <f aca="false">X1-$D12</f>
        <v>0.954</v>
      </c>
      <c r="Z1" s="154" t="n">
        <f aca="false">Y1-$D12</f>
        <v>0.95</v>
      </c>
      <c r="AA1" s="154" t="n">
        <f aca="false">Z1-$D12</f>
        <v>0.946</v>
      </c>
      <c r="AB1" s="154" t="n">
        <f aca="false">AA1-$D12</f>
        <v>0.942</v>
      </c>
      <c r="AC1" s="154" t="n">
        <f aca="false">AB1-$D12</f>
        <v>0.938</v>
      </c>
      <c r="AD1" s="154" t="n">
        <f aca="false">AC1-$D12</f>
        <v>0.934</v>
      </c>
      <c r="AE1" s="154" t="n">
        <f aca="false">AD1-$D12</f>
        <v>0.93</v>
      </c>
      <c r="AF1" s="154" t="n">
        <f aca="false">AE1-$D12</f>
        <v>0.926</v>
      </c>
      <c r="AG1" s="154" t="n">
        <f aca="false">AF1-$D12</f>
        <v>0.922</v>
      </c>
      <c r="AH1" s="154" t="n">
        <f aca="false">AG1-$D12</f>
        <v>0.918</v>
      </c>
      <c r="AI1" s="154" t="n">
        <f aca="false">AH1-$D12</f>
        <v>0.914</v>
      </c>
    </row>
    <row r="2" customFormat="false" ht="21.75" hidden="false" customHeight="true" outlineLevel="0" collapsed="false">
      <c r="B2" s="186" t="s">
        <v>65</v>
      </c>
      <c r="C2" s="187" t="s">
        <v>2</v>
      </c>
      <c r="D2" s="188" t="s">
        <v>26</v>
      </c>
      <c r="E2" s="157" t="s">
        <v>26</v>
      </c>
      <c r="F2" s="189" t="s">
        <v>66</v>
      </c>
    </row>
    <row r="3" customFormat="false" ht="21.75" hidden="false" customHeight="true" outlineLevel="0" collapsed="false">
      <c r="B3" s="190" t="s">
        <v>67</v>
      </c>
      <c r="C3" s="191" t="n">
        <v>20</v>
      </c>
      <c r="D3" s="192" t="s">
        <v>26</v>
      </c>
      <c r="E3" s="161" t="s">
        <v>26</v>
      </c>
      <c r="F3" s="158" t="s">
        <v>68</v>
      </c>
    </row>
    <row r="4" customFormat="false" ht="21.75" hidden="false" customHeight="true" outlineLevel="0" collapsed="false">
      <c r="B4" s="190" t="s">
        <v>69</v>
      </c>
      <c r="C4" s="191" t="n">
        <v>436.1</v>
      </c>
      <c r="D4" s="192" t="s">
        <v>26</v>
      </c>
      <c r="E4" s="161" t="s">
        <v>26</v>
      </c>
      <c r="F4" s="158" t="s">
        <v>70</v>
      </c>
      <c r="M4" s="162" t="s">
        <v>71</v>
      </c>
    </row>
    <row r="5" customFormat="false" ht="22.5" hidden="false" customHeight="true" outlineLevel="0" collapsed="false">
      <c r="B5" s="193" t="s">
        <v>72</v>
      </c>
      <c r="C5" s="191" t="n">
        <v>2020</v>
      </c>
      <c r="D5" s="193" t="s">
        <v>138</v>
      </c>
      <c r="E5" s="194" t="n">
        <v>2039</v>
      </c>
      <c r="F5" s="158" t="s">
        <v>139</v>
      </c>
      <c r="M5" s="162" t="s">
        <v>73</v>
      </c>
    </row>
    <row r="6" customFormat="false" ht="20.25" hidden="false" customHeight="true" outlineLevel="0" collapsed="false">
      <c r="B6" s="163"/>
      <c r="C6" s="163"/>
      <c r="D6" s="163"/>
      <c r="E6" s="163"/>
      <c r="M6" s="162" t="s">
        <v>74</v>
      </c>
    </row>
    <row r="7" customFormat="false" ht="22.5" hidden="false" customHeight="true" outlineLevel="0" collapsed="false">
      <c r="B7" s="152" t="s">
        <v>140</v>
      </c>
      <c r="C7" s="184"/>
      <c r="D7" s="184"/>
      <c r="E7" s="185"/>
      <c r="M7" s="162" t="s">
        <v>76</v>
      </c>
    </row>
    <row r="8" customFormat="false" ht="22.5" hidden="false" customHeight="true" outlineLevel="0" collapsed="false">
      <c r="B8" s="165" t="s">
        <v>77</v>
      </c>
      <c r="E8" s="195"/>
      <c r="M8" s="162" t="s">
        <v>78</v>
      </c>
    </row>
    <row r="9" customFormat="false" ht="22.5" hidden="false" customHeight="true" outlineLevel="0" collapsed="false">
      <c r="B9" s="196" t="s">
        <v>79</v>
      </c>
      <c r="C9" s="197" t="s">
        <v>80</v>
      </c>
      <c r="D9" s="197" t="s">
        <v>81</v>
      </c>
      <c r="E9" s="198" t="s">
        <v>82</v>
      </c>
      <c r="F9" s="153" t="s">
        <v>64</v>
      </c>
      <c r="M9" s="162" t="s">
        <v>83</v>
      </c>
    </row>
    <row r="10" customFormat="false" ht="30" hidden="false" customHeight="true" outlineLevel="0" collapsed="false">
      <c r="B10" s="199" t="s">
        <v>84</v>
      </c>
      <c r="C10" s="200" t="s">
        <v>85</v>
      </c>
      <c r="D10" s="201" t="n">
        <v>547002</v>
      </c>
      <c r="E10" s="171" t="n">
        <v>20</v>
      </c>
      <c r="F10" s="158" t="s">
        <v>141</v>
      </c>
      <c r="M10" s="162" t="s">
        <v>86</v>
      </c>
    </row>
    <row r="11" customFormat="false" ht="30" hidden="false" customHeight="true" outlineLevel="0" collapsed="false">
      <c r="B11" s="202"/>
      <c r="C11" s="193" t="s">
        <v>87</v>
      </c>
      <c r="D11" s="203" t="n">
        <v>0.01</v>
      </c>
      <c r="E11" s="204"/>
      <c r="F11" s="158" t="s">
        <v>88</v>
      </c>
    </row>
    <row r="12" customFormat="false" ht="30" hidden="false" customHeight="true" outlineLevel="0" collapsed="false">
      <c r="B12" s="202"/>
      <c r="C12" s="193" t="s">
        <v>89</v>
      </c>
      <c r="D12" s="205" t="n">
        <v>0.004</v>
      </c>
      <c r="E12" s="204"/>
      <c r="F12" s="158" t="s">
        <v>90</v>
      </c>
    </row>
    <row r="13" customFormat="false" ht="22.5" hidden="false" customHeight="true" outlineLevel="0" collapsed="false">
      <c r="B13" s="202"/>
      <c r="C13" s="206" t="s">
        <v>91</v>
      </c>
      <c r="D13" s="207" t="n">
        <v>4</v>
      </c>
      <c r="E13" s="204"/>
      <c r="F13" s="158" t="s">
        <v>92</v>
      </c>
    </row>
    <row r="14" customFormat="false" ht="22.5" hidden="false" customHeight="true" outlineLevel="0" collapsed="false">
      <c r="B14" s="176" t="s">
        <v>142</v>
      </c>
      <c r="C14" s="184"/>
      <c r="D14" s="184"/>
      <c r="E14" s="185"/>
    </row>
    <row r="15" customFormat="false" ht="22.5" hidden="false" customHeight="true" outlineLevel="0" collapsed="false">
      <c r="B15" s="196" t="s">
        <v>79</v>
      </c>
      <c r="C15" s="197" t="s">
        <v>80</v>
      </c>
      <c r="D15" s="197" t="s">
        <v>81</v>
      </c>
      <c r="E15" s="198" t="s">
        <v>94</v>
      </c>
      <c r="F15" s="153" t="s">
        <v>64</v>
      </c>
    </row>
    <row r="16" customFormat="false" ht="21.75" hidden="false" customHeight="true" outlineLevel="0" collapsed="false">
      <c r="B16" s="200" t="s">
        <v>95</v>
      </c>
      <c r="C16" s="200" t="s">
        <v>96</v>
      </c>
      <c r="D16" s="208" t="n">
        <v>31000</v>
      </c>
      <c r="E16" s="157" t="n">
        <v>20</v>
      </c>
      <c r="F16" s="158" t="s">
        <v>143</v>
      </c>
    </row>
    <row r="17" customFormat="false" ht="21.75" hidden="false" customHeight="true" outlineLevel="0" collapsed="false">
      <c r="B17" s="202"/>
      <c r="C17" s="193" t="s">
        <v>97</v>
      </c>
      <c r="D17" s="209" t="n">
        <v>0.3</v>
      </c>
      <c r="E17" s="204"/>
      <c r="F17" s="158" t="s">
        <v>98</v>
      </c>
    </row>
    <row r="18" customFormat="false" ht="21.75" hidden="false" customHeight="true" outlineLevel="0" collapsed="false">
      <c r="B18" s="210"/>
      <c r="C18" s="193" t="s">
        <v>99</v>
      </c>
      <c r="D18" s="211" t="n">
        <v>2000</v>
      </c>
      <c r="E18" s="212"/>
      <c r="F18" s="158" t="s">
        <v>100</v>
      </c>
    </row>
    <row r="19" customFormat="false" ht="54" hidden="false" customHeight="true" outlineLevel="0" collapsed="false">
      <c r="B19" s="193" t="s">
        <v>101</v>
      </c>
      <c r="C19" s="213" t="s">
        <v>102</v>
      </c>
      <c r="D19" s="209" t="n">
        <v>1</v>
      </c>
      <c r="E19" s="157" t="n">
        <v>20</v>
      </c>
      <c r="F19" s="158" t="s">
        <v>144</v>
      </c>
    </row>
    <row r="20" customFormat="false" ht="20.25" hidden="false" customHeight="true" outlineLevel="0" collapsed="false">
      <c r="B20" s="202"/>
      <c r="C20" s="214" t="s">
        <v>103</v>
      </c>
      <c r="D20" s="211" t="n">
        <v>290201</v>
      </c>
      <c r="E20" s="157" t="n">
        <v>20</v>
      </c>
      <c r="F20" s="158" t="s">
        <v>145</v>
      </c>
    </row>
    <row r="21" customFormat="false" ht="30" hidden="false" customHeight="true" outlineLevel="0" collapsed="false">
      <c r="B21" s="210"/>
      <c r="C21" s="193" t="s">
        <v>104</v>
      </c>
      <c r="D21" s="209" t="n">
        <v>0</v>
      </c>
      <c r="E21" s="161" t="n">
        <v>20</v>
      </c>
      <c r="F21" s="158" t="s">
        <v>146</v>
      </c>
    </row>
    <row r="22" customFormat="false" ht="30" hidden="false" customHeight="true" outlineLevel="0" collapsed="false">
      <c r="B22" s="193" t="s">
        <v>105</v>
      </c>
      <c r="C22" s="193" t="s">
        <v>106</v>
      </c>
      <c r="D22" s="215" t="n">
        <v>400</v>
      </c>
      <c r="E22" s="161" t="n">
        <v>20</v>
      </c>
      <c r="F22" s="158" t="s">
        <v>147</v>
      </c>
    </row>
    <row r="23" customFormat="false" ht="30" hidden="false" customHeight="true" outlineLevel="0" collapsed="false">
      <c r="B23" s="193" t="s">
        <v>107</v>
      </c>
      <c r="C23" s="193" t="s">
        <v>108</v>
      </c>
      <c r="D23" s="209" t="n">
        <v>0.003</v>
      </c>
      <c r="E23" s="161" t="n">
        <v>20</v>
      </c>
      <c r="F23" s="158" t="s">
        <v>148</v>
      </c>
    </row>
    <row r="24" customFormat="false" ht="30" hidden="false" customHeight="true" outlineLevel="0" collapsed="false">
      <c r="B24" s="193" t="s">
        <v>109</v>
      </c>
      <c r="C24" s="193" t="s">
        <v>110</v>
      </c>
      <c r="D24" s="215" t="n">
        <v>1000</v>
      </c>
      <c r="E24" s="181" t="n">
        <v>10</v>
      </c>
      <c r="F24" s="158" t="s">
        <v>149</v>
      </c>
    </row>
    <row r="25" customFormat="false" ht="30" hidden="false" customHeight="true" outlineLevel="0" collapsed="false">
      <c r="B25" s="193" t="s">
        <v>111</v>
      </c>
      <c r="C25" s="193" t="s">
        <v>112</v>
      </c>
      <c r="D25" s="216" t="n">
        <v>0.0256</v>
      </c>
      <c r="E25" s="161" t="n">
        <v>20</v>
      </c>
      <c r="F25" s="158" t="s">
        <v>150</v>
      </c>
    </row>
    <row r="26" customFormat="false" ht="30" hidden="false" customHeight="true" outlineLevel="0" collapsed="false">
      <c r="B26" s="193" t="s">
        <v>14</v>
      </c>
      <c r="C26" s="193" t="s">
        <v>113</v>
      </c>
      <c r="D26" s="209" t="n">
        <v>0.2</v>
      </c>
      <c r="E26" s="161" t="n">
        <v>20</v>
      </c>
      <c r="F26" s="158" t="s">
        <v>151</v>
      </c>
    </row>
    <row r="27" customFormat="false" ht="20.25" hidden="false" customHeight="true" outlineLevel="0" collapsed="false">
      <c r="B27" s="163"/>
      <c r="C27" s="163"/>
      <c r="D27" s="163"/>
      <c r="E27" s="163"/>
    </row>
    <row r="28" customFormat="false" ht="20.25" hidden="false" customHeight="true" outlineLevel="0" collapsed="false">
      <c r="B28" s="163"/>
      <c r="C28" s="163"/>
      <c r="D28" s="163"/>
      <c r="E28" s="163"/>
    </row>
    <row r="29" customFormat="false" ht="22.5" hidden="false" customHeight="true" outlineLevel="0" collapsed="false">
      <c r="B29" s="152" t="s">
        <v>152</v>
      </c>
      <c r="C29" s="184"/>
      <c r="D29" s="185"/>
      <c r="E29" s="163"/>
    </row>
    <row r="30" customFormat="false" ht="22.5" hidden="false" customHeight="true" outlineLevel="0" collapsed="false">
      <c r="B30" s="196" t="s">
        <v>115</v>
      </c>
      <c r="C30" s="217" t="s">
        <v>80</v>
      </c>
      <c r="D30" s="218" t="s">
        <v>81</v>
      </c>
      <c r="E30" s="163"/>
      <c r="F30" s="153" t="s">
        <v>64</v>
      </c>
    </row>
    <row r="31" customFormat="false" ht="30" hidden="false" customHeight="true" outlineLevel="0" collapsed="false">
      <c r="B31" s="200" t="s">
        <v>116</v>
      </c>
      <c r="C31" s="186" t="s">
        <v>117</v>
      </c>
      <c r="D31" s="219" t="n">
        <v>0.8</v>
      </c>
      <c r="E31" s="163"/>
      <c r="F31" s="158" t="s">
        <v>118</v>
      </c>
    </row>
    <row r="32" customFormat="false" ht="18.75" hidden="false" customHeight="true" outlineLevel="0" collapsed="false">
      <c r="B32" s="200" t="s">
        <v>119</v>
      </c>
      <c r="C32" s="186" t="s">
        <v>120</v>
      </c>
      <c r="D32" s="219" t="n">
        <v>15</v>
      </c>
      <c r="E32" s="163"/>
      <c r="F32" s="158" t="s">
        <v>121</v>
      </c>
    </row>
    <row r="33" customFormat="false" ht="18.75" hidden="false" customHeight="true" outlineLevel="0" collapsed="false">
      <c r="B33" s="193" t="s">
        <v>53</v>
      </c>
      <c r="C33" s="190" t="s">
        <v>122</v>
      </c>
      <c r="D33" s="209" t="n">
        <v>0.9</v>
      </c>
      <c r="E33" s="163"/>
      <c r="F33" s="158" t="s">
        <v>123</v>
      </c>
    </row>
    <row r="34" customFormat="false" ht="30" hidden="false" customHeight="true" outlineLevel="0" collapsed="false">
      <c r="B34" s="193" t="s">
        <v>54</v>
      </c>
      <c r="C34" s="190" t="s">
        <v>120</v>
      </c>
      <c r="D34" s="209" t="n">
        <v>4</v>
      </c>
      <c r="E34" s="163"/>
      <c r="F34" s="158" t="s">
        <v>124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5"/>
      <c r="C37" s="66" t="s">
        <v>0</v>
      </c>
      <c r="D37" s="66" t="n">
        <v>2020</v>
      </c>
      <c r="E37" s="66" t="n">
        <v>2021</v>
      </c>
      <c r="F37" s="66" t="n">
        <v>2022</v>
      </c>
      <c r="G37" s="66" t="n">
        <v>2023</v>
      </c>
      <c r="H37" s="66" t="n">
        <v>2024</v>
      </c>
      <c r="I37" s="66" t="n">
        <v>2025</v>
      </c>
      <c r="J37" s="66" t="n">
        <v>2026</v>
      </c>
      <c r="K37" s="66" t="n">
        <v>2027</v>
      </c>
      <c r="L37" s="66" t="n">
        <v>2028</v>
      </c>
      <c r="M37" s="66" t="n">
        <v>2029</v>
      </c>
      <c r="N37" s="66" t="n">
        <v>2030</v>
      </c>
      <c r="O37" s="66" t="n">
        <v>2031</v>
      </c>
      <c r="P37" s="66" t="n">
        <v>2032</v>
      </c>
      <c r="Q37" s="66" t="n">
        <v>2033</v>
      </c>
      <c r="R37" s="66" t="n">
        <v>2034</v>
      </c>
      <c r="S37" s="66" t="n">
        <v>2035</v>
      </c>
      <c r="T37" s="66" t="n">
        <v>2036</v>
      </c>
      <c r="U37" s="66" t="n">
        <v>2037</v>
      </c>
      <c r="V37" s="66" t="n">
        <v>2038</v>
      </c>
      <c r="W37" s="66" t="n">
        <v>2039</v>
      </c>
      <c r="X37" s="66"/>
    </row>
    <row r="38" customFormat="false" ht="18.75" hidden="false" customHeight="true" outlineLevel="0" collapsed="false">
      <c r="B38" s="68" t="n">
        <v>0</v>
      </c>
      <c r="C38" s="69"/>
      <c r="D38" s="70"/>
      <c r="E38" s="70"/>
      <c r="F38" s="71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3"/>
      <c r="U38" s="72"/>
      <c r="V38" s="72"/>
      <c r="W38" s="72"/>
      <c r="X38" s="220"/>
    </row>
    <row r="39" customFormat="false" ht="18.75" hidden="false" customHeight="true" outlineLevel="0" collapsed="false">
      <c r="B39" s="75" t="s">
        <v>23</v>
      </c>
      <c r="C39" s="76" t="n">
        <v>0</v>
      </c>
      <c r="D39" s="77" t="n">
        <v>1</v>
      </c>
      <c r="E39" s="77" t="n">
        <v>2</v>
      </c>
      <c r="F39" s="77" t="n">
        <v>3</v>
      </c>
      <c r="G39" s="77" t="n">
        <v>4</v>
      </c>
      <c r="H39" s="77" t="n">
        <v>5</v>
      </c>
      <c r="I39" s="77" t="n">
        <v>6</v>
      </c>
      <c r="J39" s="77" t="n">
        <v>7</v>
      </c>
      <c r="K39" s="77" t="n">
        <v>8</v>
      </c>
      <c r="L39" s="77" t="n">
        <v>9</v>
      </c>
      <c r="M39" s="77" t="n">
        <v>10</v>
      </c>
      <c r="N39" s="77" t="n">
        <v>11</v>
      </c>
      <c r="O39" s="77" t="n">
        <v>12</v>
      </c>
      <c r="P39" s="77" t="n">
        <v>13</v>
      </c>
      <c r="Q39" s="77" t="n">
        <v>14</v>
      </c>
      <c r="R39" s="77" t="n">
        <v>15</v>
      </c>
      <c r="S39" s="77" t="n">
        <v>16</v>
      </c>
      <c r="T39" s="78" t="n">
        <v>17</v>
      </c>
      <c r="U39" s="77" t="n">
        <v>18</v>
      </c>
      <c r="V39" s="77" t="n">
        <v>19</v>
      </c>
      <c r="W39" s="77" t="n">
        <v>20</v>
      </c>
      <c r="X39" s="221"/>
    </row>
    <row r="40" customFormat="false" ht="18.75" hidden="false" customHeight="true" outlineLevel="0" collapsed="false">
      <c r="B40" s="222" t="s">
        <v>153</v>
      </c>
      <c r="C40" s="81" t="n">
        <v>0</v>
      </c>
      <c r="D40" s="82" t="n">
        <f aca="false">$D$10*P1</f>
        <v>541531.98</v>
      </c>
      <c r="E40" s="82" t="n">
        <f aca="false">$D$10*Q1</f>
        <v>539343.972</v>
      </c>
      <c r="F40" s="82" t="n">
        <f aca="false">$D$10*R1</f>
        <v>537155.964</v>
      </c>
      <c r="G40" s="82" t="n">
        <f aca="false">$D$10*S1</f>
        <v>534967.956</v>
      </c>
      <c r="H40" s="82" t="n">
        <f aca="false">$D$10*T1</f>
        <v>532779.948</v>
      </c>
      <c r="I40" s="82" t="n">
        <f aca="false">$D$10*U1</f>
        <v>530591.94</v>
      </c>
      <c r="J40" s="82" t="n">
        <f aca="false">$D$10*V1</f>
        <v>528403.932</v>
      </c>
      <c r="K40" s="82" t="n">
        <f aca="false">$D$10*W1</f>
        <v>526215.924</v>
      </c>
      <c r="L40" s="82" t="n">
        <f aca="false">$D$10*X1</f>
        <v>524027.916</v>
      </c>
      <c r="M40" s="82" t="n">
        <f aca="false">$D$10*Y1</f>
        <v>521839.908</v>
      </c>
      <c r="N40" s="82" t="n">
        <f aca="false">$D$10*Z1</f>
        <v>519651.9</v>
      </c>
      <c r="O40" s="82" t="n">
        <f aca="false">$D$10*AA1</f>
        <v>517463.892</v>
      </c>
      <c r="P40" s="82" t="n">
        <f aca="false">$D$10*AB1</f>
        <v>515275.884</v>
      </c>
      <c r="Q40" s="82" t="n">
        <f aca="false">$D$10*AC1</f>
        <v>513087.876</v>
      </c>
      <c r="R40" s="82" t="n">
        <f aca="false">$D$10*AD1</f>
        <v>510899.868</v>
      </c>
      <c r="S40" s="82" t="n">
        <f aca="false">$D$10*AE1</f>
        <v>508711.86</v>
      </c>
      <c r="T40" s="82" t="n">
        <f aca="false">$D$10*AF1</f>
        <v>506523.852</v>
      </c>
      <c r="U40" s="82" t="n">
        <f aca="false">$D$10*AG1</f>
        <v>504335.844</v>
      </c>
      <c r="V40" s="82" t="n">
        <f aca="false">$D$10*AH1</f>
        <v>502147.836</v>
      </c>
      <c r="W40" s="82" t="n">
        <f aca="false">$D$10*AI1</f>
        <v>499959.828</v>
      </c>
      <c r="X40" s="223"/>
    </row>
    <row r="41" customFormat="false" ht="18.75" hidden="false" customHeight="true" outlineLevel="0" collapsed="false">
      <c r="B41" s="224" t="s">
        <v>25</v>
      </c>
      <c r="C41" s="225" t="s">
        <v>26</v>
      </c>
      <c r="D41" s="226" t="n">
        <f aca="false">D40*$D$13</f>
        <v>2166127.92</v>
      </c>
      <c r="E41" s="226" t="n">
        <f aca="false">E40*$D$13</f>
        <v>2157375.888</v>
      </c>
      <c r="F41" s="226" t="n">
        <f aca="false">F40*$D$13</f>
        <v>2148623.856</v>
      </c>
      <c r="G41" s="226" t="n">
        <f aca="false">G40*$D$13</f>
        <v>2139871.824</v>
      </c>
      <c r="H41" s="226" t="n">
        <f aca="false">H40*$D$13</f>
        <v>2131119.792</v>
      </c>
      <c r="I41" s="226" t="n">
        <f aca="false">I40*$D$13</f>
        <v>2122367.76</v>
      </c>
      <c r="J41" s="226" t="n">
        <f aca="false">J40*$D$13</f>
        <v>2113615.728</v>
      </c>
      <c r="K41" s="226" t="n">
        <f aca="false">K40*$D$13</f>
        <v>2104863.696</v>
      </c>
      <c r="L41" s="226" t="n">
        <f aca="false">L40*$D$13</f>
        <v>2096111.664</v>
      </c>
      <c r="M41" s="226" t="n">
        <f aca="false">M40*$D$13</f>
        <v>2087359.632</v>
      </c>
      <c r="N41" s="226" t="n">
        <f aca="false">N40*$D$13</f>
        <v>2078607.6</v>
      </c>
      <c r="O41" s="226" t="n">
        <f aca="false">O40*$D$13</f>
        <v>2069855.568</v>
      </c>
      <c r="P41" s="226" t="n">
        <f aca="false">P40*$D$13</f>
        <v>2061103.536</v>
      </c>
      <c r="Q41" s="226" t="n">
        <f aca="false">Q40*$D$13</f>
        <v>2052351.504</v>
      </c>
      <c r="R41" s="226" t="n">
        <f aca="false">R40*$D$13</f>
        <v>2043599.472</v>
      </c>
      <c r="S41" s="226" t="n">
        <f aca="false">S40*$D$13</f>
        <v>2034847.44</v>
      </c>
      <c r="T41" s="226" t="n">
        <f aca="false">T40*$D$13</f>
        <v>2026095.408</v>
      </c>
      <c r="U41" s="226" t="n">
        <f aca="false">U40*$D$13</f>
        <v>2017343.376</v>
      </c>
      <c r="V41" s="226" t="n">
        <f aca="false">V40*$D$13</f>
        <v>2008591.344</v>
      </c>
      <c r="W41" s="226" t="n">
        <f aca="false">W40*$D$13</f>
        <v>1999839.312</v>
      </c>
      <c r="X41" s="227"/>
    </row>
    <row r="42" customFormat="false" ht="18.75" hidden="false" customHeight="true" outlineLevel="0" collapsed="false">
      <c r="B42" s="228" t="s">
        <v>27</v>
      </c>
      <c r="C42" s="229" t="s">
        <v>26</v>
      </c>
      <c r="D42" s="230"/>
      <c r="E42" s="230"/>
      <c r="F42" s="230"/>
      <c r="G42" s="231" t="s">
        <v>26</v>
      </c>
      <c r="H42" s="231" t="s">
        <v>26</v>
      </c>
      <c r="I42" s="231" t="s">
        <v>26</v>
      </c>
      <c r="J42" s="231" t="s">
        <v>26</v>
      </c>
      <c r="K42" s="231" t="s">
        <v>26</v>
      </c>
      <c r="L42" s="231" t="s">
        <v>26</v>
      </c>
      <c r="M42" s="231" t="s">
        <v>26</v>
      </c>
      <c r="N42" s="231" t="s">
        <v>26</v>
      </c>
      <c r="O42" s="231" t="s">
        <v>26</v>
      </c>
      <c r="P42" s="231" t="s">
        <v>26</v>
      </c>
      <c r="Q42" s="231" t="s">
        <v>26</v>
      </c>
      <c r="R42" s="231" t="s">
        <v>26</v>
      </c>
      <c r="S42" s="231" t="s">
        <v>26</v>
      </c>
      <c r="T42" s="231" t="s">
        <v>26</v>
      </c>
      <c r="U42" s="231" t="s">
        <v>26</v>
      </c>
      <c r="V42" s="231" t="s">
        <v>26</v>
      </c>
      <c r="W42" s="231" t="s">
        <v>26</v>
      </c>
      <c r="X42" s="232"/>
    </row>
    <row r="43" customFormat="false" ht="18.75" hidden="false" customHeight="true" outlineLevel="0" collapsed="false">
      <c r="B43" s="233" t="s">
        <v>28</v>
      </c>
      <c r="C43" s="234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6"/>
    </row>
    <row r="44" customFormat="false" ht="18.75" hidden="false" customHeight="true" outlineLevel="0" collapsed="false">
      <c r="B44" s="237" t="s">
        <v>29</v>
      </c>
      <c r="C44" s="238" t="n">
        <f aca="false">-(D16/(1-D17)+D18)*C4</f>
        <v>-20185200</v>
      </c>
      <c r="D44" s="239"/>
      <c r="E44" s="239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</row>
    <row r="45" customFormat="false" ht="18.75" hidden="false" customHeight="true" outlineLevel="0" collapsed="false">
      <c r="B45" s="237" t="s">
        <v>30</v>
      </c>
      <c r="C45" s="229" t="s">
        <v>26</v>
      </c>
      <c r="D45" s="162" t="n">
        <v>-290201</v>
      </c>
      <c r="E45" s="239" t="n">
        <v>-290201</v>
      </c>
      <c r="F45" s="239" t="n">
        <v>-290201</v>
      </c>
      <c r="G45" s="239" t="n">
        <v>-290201</v>
      </c>
      <c r="H45" s="239" t="n">
        <v>-290201</v>
      </c>
      <c r="I45" s="239" t="n">
        <v>-290201</v>
      </c>
      <c r="J45" s="239" t="n">
        <v>-290201</v>
      </c>
      <c r="K45" s="239" t="n">
        <v>-290201</v>
      </c>
      <c r="L45" s="239" t="n">
        <v>-290201</v>
      </c>
      <c r="M45" s="239" t="n">
        <v>-290201</v>
      </c>
      <c r="N45" s="239" t="n">
        <v>-290201</v>
      </c>
      <c r="O45" s="239" t="n">
        <v>-290201</v>
      </c>
      <c r="P45" s="239" t="n">
        <v>-290201</v>
      </c>
      <c r="Q45" s="239" t="n">
        <v>-290201</v>
      </c>
      <c r="R45" s="239" t="n">
        <v>-290201</v>
      </c>
      <c r="S45" s="239" t="n">
        <v>-290201</v>
      </c>
      <c r="T45" s="239" t="n">
        <v>-290201</v>
      </c>
      <c r="U45" s="239" t="n">
        <v>-290201</v>
      </c>
      <c r="V45" s="239" t="n">
        <v>-290201</v>
      </c>
      <c r="W45" s="239" t="n">
        <v>-290201</v>
      </c>
      <c r="X45" s="239"/>
    </row>
    <row r="46" customFormat="false" ht="18.75" hidden="false" customHeight="true" outlineLevel="0" collapsed="false">
      <c r="B46" s="237" t="s">
        <v>31</v>
      </c>
      <c r="C46" s="229"/>
      <c r="D46" s="239"/>
      <c r="E46" s="239"/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</row>
    <row r="47" customFormat="false" ht="18.75" hidden="false" customHeight="true" outlineLevel="0" collapsed="false">
      <c r="B47" s="237" t="s">
        <v>32</v>
      </c>
      <c r="C47" s="229" t="s">
        <v>26</v>
      </c>
      <c r="D47" s="239"/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</row>
    <row r="48" customFormat="false" ht="18.75" hidden="false" customHeight="true" outlineLevel="0" collapsed="false">
      <c r="B48" s="237" t="s">
        <v>33</v>
      </c>
      <c r="C48" s="229" t="s">
        <v>26</v>
      </c>
      <c r="D48" s="239" t="n">
        <v>-174440</v>
      </c>
      <c r="E48" s="239" t="n">
        <v>-174440</v>
      </c>
      <c r="F48" s="239" t="n">
        <v>-174440</v>
      </c>
      <c r="G48" s="239" t="n">
        <v>-174440</v>
      </c>
      <c r="H48" s="239" t="n">
        <v>-174440</v>
      </c>
      <c r="I48" s="239" t="n">
        <v>-174440</v>
      </c>
      <c r="J48" s="239" t="n">
        <v>-174440</v>
      </c>
      <c r="K48" s="239" t="n">
        <v>-174440</v>
      </c>
      <c r="L48" s="239" t="n">
        <v>-174440</v>
      </c>
      <c r="M48" s="239" t="n">
        <v>-174440</v>
      </c>
      <c r="N48" s="239" t="n">
        <v>-174440</v>
      </c>
      <c r="O48" s="239" t="n">
        <v>-174440</v>
      </c>
      <c r="P48" s="239" t="n">
        <v>-174440</v>
      </c>
      <c r="Q48" s="239" t="n">
        <v>-174440</v>
      </c>
      <c r="R48" s="239" t="n">
        <v>-174440</v>
      </c>
      <c r="S48" s="239" t="n">
        <v>-174440</v>
      </c>
      <c r="T48" s="239" t="n">
        <v>-174440</v>
      </c>
      <c r="U48" s="239" t="n">
        <v>-174440</v>
      </c>
      <c r="V48" s="239" t="n">
        <v>-174440</v>
      </c>
      <c r="W48" s="239" t="n">
        <v>-174440</v>
      </c>
      <c r="X48" s="239"/>
    </row>
    <row r="49" customFormat="false" ht="18.75" hidden="false" customHeight="true" outlineLevel="0" collapsed="false">
      <c r="B49" s="237" t="s">
        <v>34</v>
      </c>
      <c r="C49" s="229" t="s">
        <v>26</v>
      </c>
      <c r="D49" s="239" t="n">
        <v>-40557.3</v>
      </c>
      <c r="E49" s="239" t="n">
        <v>-40557.3</v>
      </c>
      <c r="F49" s="239" t="n">
        <v>-40557.3</v>
      </c>
      <c r="G49" s="239" t="n">
        <v>-40557.3</v>
      </c>
      <c r="H49" s="239" t="n">
        <v>-40557.3</v>
      </c>
      <c r="I49" s="239" t="n">
        <v>-40557.3</v>
      </c>
      <c r="J49" s="239" t="n">
        <v>-40557.3</v>
      </c>
      <c r="K49" s="239" t="n">
        <v>-40557.3</v>
      </c>
      <c r="L49" s="239" t="n">
        <v>-40557.3</v>
      </c>
      <c r="M49" s="239" t="n">
        <v>-40557.3</v>
      </c>
      <c r="N49" s="239" t="n">
        <v>-40557.3</v>
      </c>
      <c r="O49" s="239" t="n">
        <v>-40557.3</v>
      </c>
      <c r="P49" s="239" t="n">
        <v>-40557.3</v>
      </c>
      <c r="Q49" s="239" t="n">
        <v>-40557.3</v>
      </c>
      <c r="R49" s="239" t="n">
        <v>-40557.3</v>
      </c>
      <c r="S49" s="239" t="n">
        <v>-40557.3</v>
      </c>
      <c r="T49" s="239" t="n">
        <v>-40557.3</v>
      </c>
      <c r="U49" s="239" t="n">
        <v>-40557.3</v>
      </c>
      <c r="V49" s="239" t="n">
        <v>-40557.3</v>
      </c>
      <c r="W49" s="239" t="n">
        <v>-40557.3</v>
      </c>
      <c r="X49" s="239"/>
    </row>
    <row r="50" customFormat="false" ht="18.75" hidden="false" customHeight="true" outlineLevel="0" collapsed="false">
      <c r="B50" s="237" t="s">
        <v>35</v>
      </c>
      <c r="C50" s="229"/>
      <c r="D50" s="239" t="n">
        <v>-43610</v>
      </c>
      <c r="E50" s="239" t="n">
        <v>-43610</v>
      </c>
      <c r="F50" s="239" t="n">
        <v>-43610</v>
      </c>
      <c r="G50" s="239" t="n">
        <v>-43610</v>
      </c>
      <c r="H50" s="239" t="n">
        <v>-43610</v>
      </c>
      <c r="I50" s="239" t="n">
        <v>-43610</v>
      </c>
      <c r="J50" s="239" t="n">
        <v>-43610</v>
      </c>
      <c r="K50" s="239" t="n">
        <v>-43610</v>
      </c>
      <c r="L50" s="239" t="n">
        <v>-43610</v>
      </c>
      <c r="M50" s="239" t="n">
        <v>-43610</v>
      </c>
      <c r="N50" s="239" t="n">
        <v>0</v>
      </c>
      <c r="O50" s="239" t="n">
        <v>0</v>
      </c>
      <c r="P50" s="239" t="n">
        <v>0</v>
      </c>
      <c r="Q50" s="239" t="n">
        <v>0</v>
      </c>
      <c r="R50" s="239" t="n">
        <v>0</v>
      </c>
      <c r="S50" s="239" t="n">
        <v>0</v>
      </c>
      <c r="T50" s="239" t="n">
        <v>0</v>
      </c>
      <c r="U50" s="239" t="n">
        <v>0</v>
      </c>
      <c r="V50" s="239" t="n">
        <v>0</v>
      </c>
      <c r="W50" s="239" t="n">
        <v>0</v>
      </c>
      <c r="X50" s="239"/>
    </row>
    <row r="51" customFormat="false" ht="18.75" hidden="false" customHeight="true" outlineLevel="0" collapsed="false">
      <c r="B51" s="237" t="s">
        <v>36</v>
      </c>
      <c r="C51" s="240"/>
      <c r="D51" s="239"/>
      <c r="E51" s="239"/>
      <c r="F51" s="239"/>
      <c r="G51" s="239"/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</row>
    <row r="52" customFormat="false" ht="18.75" hidden="false" customHeight="true" outlineLevel="0" collapsed="false">
      <c r="B52" s="237" t="s">
        <v>37</v>
      </c>
      <c r="C52" s="240"/>
      <c r="D52" s="239"/>
      <c r="E52" s="239"/>
      <c r="F52" s="239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</row>
    <row r="53" customFormat="false" ht="18.75" hidden="false" customHeight="true" outlineLevel="0" collapsed="false">
      <c r="B53" s="241" t="s">
        <v>38</v>
      </c>
      <c r="C53" s="240"/>
      <c r="D53" s="239"/>
      <c r="E53" s="239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</row>
    <row r="54" customFormat="false" ht="18.75" hidden="false" customHeight="true" outlineLevel="0" collapsed="false">
      <c r="B54" s="241" t="s">
        <v>39</v>
      </c>
      <c r="C54" s="240"/>
      <c r="D54" s="239" t="n">
        <f aca="false">D77</f>
        <v>-179652.124</v>
      </c>
      <c r="E54" s="239" t="n">
        <f aca="false">E77</f>
        <v>-119861.5176</v>
      </c>
      <c r="F54" s="239" t="n">
        <f aca="false">F77</f>
        <v>-118111.1112</v>
      </c>
      <c r="G54" s="239" t="n">
        <f aca="false">G77</f>
        <v>-116360.7048</v>
      </c>
      <c r="H54" s="239" t="n">
        <f aca="false">H77</f>
        <v>-114610.2984</v>
      </c>
      <c r="I54" s="239" t="n">
        <f aca="false">I77</f>
        <v>-112859.892</v>
      </c>
      <c r="J54" s="239" t="n">
        <f aca="false">J77</f>
        <v>-111109.4856</v>
      </c>
      <c r="K54" s="239" t="n">
        <f aca="false">K77</f>
        <v>-109359.0792</v>
      </c>
      <c r="L54" s="239" t="n">
        <f aca="false">L77</f>
        <v>-107608.6728</v>
      </c>
      <c r="M54" s="239" t="n">
        <f aca="false">M77</f>
        <v>-105858.2664</v>
      </c>
      <c r="N54" s="239" t="n">
        <f aca="false">N77</f>
        <v>-112829.86</v>
      </c>
      <c r="O54" s="239" t="n">
        <f aca="false">O77</f>
        <v>-111079.4536</v>
      </c>
      <c r="P54" s="239" t="n">
        <f aca="false">P77</f>
        <v>-109329.0472</v>
      </c>
      <c r="Q54" s="239" t="n">
        <f aca="false">Q77</f>
        <v>-107578.6408</v>
      </c>
      <c r="R54" s="239" t="n">
        <f aca="false">R77</f>
        <v>-105828.2344</v>
      </c>
      <c r="S54" s="239" t="n">
        <f aca="false">S77</f>
        <v>-104077.828</v>
      </c>
      <c r="T54" s="239" t="n">
        <f aca="false">T77</f>
        <v>-102327.4216</v>
      </c>
      <c r="U54" s="239" t="n">
        <f aca="false">U77</f>
        <v>-100577.0152</v>
      </c>
      <c r="V54" s="239" t="n">
        <f aca="false">V77</f>
        <v>-98826.6087999999</v>
      </c>
      <c r="W54" s="239" t="n">
        <f aca="false">W77</f>
        <v>-97076.2024</v>
      </c>
      <c r="X54" s="230"/>
    </row>
    <row r="55" customFormat="false" ht="18.75" hidden="false" customHeight="true" outlineLevel="0" collapsed="false">
      <c r="B55" s="242" t="s">
        <v>40</v>
      </c>
      <c r="C55" s="243" t="n">
        <f aca="false">C44</f>
        <v>-20185200</v>
      </c>
      <c r="D55" s="244" t="n">
        <f aca="false">SUM(D41:D54)</f>
        <v>1437667.496</v>
      </c>
      <c r="E55" s="244" t="n">
        <f aca="false">SUM(E41:E54)</f>
        <v>1488706.0704</v>
      </c>
      <c r="F55" s="244" t="n">
        <f aca="false">SUM(F41:F54)</f>
        <v>1481704.4448</v>
      </c>
      <c r="G55" s="244" t="n">
        <f aca="false">SUM(G41:G54)</f>
        <v>1474702.8192</v>
      </c>
      <c r="H55" s="244" t="n">
        <f aca="false">SUM(H41:H54)</f>
        <v>1467701.1936</v>
      </c>
      <c r="I55" s="244" t="n">
        <f aca="false">SUM(I41:I54)</f>
        <v>1460699.568</v>
      </c>
      <c r="J55" s="244" t="n">
        <f aca="false">SUM(J41:J54)</f>
        <v>1453697.9424</v>
      </c>
      <c r="K55" s="244" t="n">
        <f aca="false">SUM(K41:K54)</f>
        <v>1446696.3168</v>
      </c>
      <c r="L55" s="244" t="n">
        <f aca="false">SUM(L41:L54)</f>
        <v>1439694.6912</v>
      </c>
      <c r="M55" s="244" t="n">
        <f aca="false">SUM(M41:M54)</f>
        <v>1432693.0656</v>
      </c>
      <c r="N55" s="244" t="n">
        <f aca="false">SUM(N41:N54)</f>
        <v>1460579.44</v>
      </c>
      <c r="O55" s="244" t="n">
        <f aca="false">SUM(O41:O54)</f>
        <v>1453577.8144</v>
      </c>
      <c r="P55" s="244" t="n">
        <f aca="false">SUM(P41:P54)</f>
        <v>1446576.1888</v>
      </c>
      <c r="Q55" s="244" t="n">
        <f aca="false">SUM(Q41:Q54)</f>
        <v>1439574.5632</v>
      </c>
      <c r="R55" s="244" t="n">
        <f aca="false">SUM(R41:R54)</f>
        <v>1432572.9376</v>
      </c>
      <c r="S55" s="244" t="n">
        <f aca="false">SUM(S41:S54)</f>
        <v>1425571.312</v>
      </c>
      <c r="T55" s="244" t="n">
        <f aca="false">SUM(T41:T54)</f>
        <v>1418569.6864</v>
      </c>
      <c r="U55" s="244" t="n">
        <f aca="false">SUM(U41:U54)</f>
        <v>1411568.0608</v>
      </c>
      <c r="V55" s="244" t="n">
        <f aca="false">SUM(V41:V54)</f>
        <v>1404566.4352</v>
      </c>
      <c r="W55" s="244" t="n">
        <f aca="false">SUM(W41:W54)</f>
        <v>1397564.8096</v>
      </c>
      <c r="X55" s="245"/>
      <c r="Y55" s="246"/>
      <c r="Z55" s="247"/>
      <c r="AA55" s="246"/>
      <c r="AB55" s="246"/>
      <c r="AC55" s="246"/>
      <c r="AD55" s="246"/>
      <c r="AE55" s="246"/>
      <c r="AF55" s="246"/>
      <c r="AG55" s="246"/>
      <c r="AH55" s="246"/>
      <c r="AI55" s="246"/>
      <c r="AJ55" s="246"/>
    </row>
    <row r="56" customFormat="false" ht="18.75" hidden="false" customHeight="true" outlineLevel="0" collapsed="false">
      <c r="B56" s="248" t="s">
        <v>41</v>
      </c>
      <c r="D56" s="249" t="n">
        <f aca="false">C55+D55</f>
        <v>-18747532.504</v>
      </c>
      <c r="E56" s="249" t="n">
        <f aca="false">D56+E55</f>
        <v>-17258826.4336</v>
      </c>
      <c r="F56" s="249" t="n">
        <f aca="false">E56+F55</f>
        <v>-15777121.9888</v>
      </c>
      <c r="G56" s="249" t="n">
        <f aca="false">F56+G55</f>
        <v>-14302419.1696</v>
      </c>
      <c r="H56" s="249" t="n">
        <f aca="false">G56+H55</f>
        <v>-12834717.976</v>
      </c>
      <c r="I56" s="249" t="n">
        <f aca="false">H56+I55</f>
        <v>-11374018.408</v>
      </c>
      <c r="J56" s="249" t="n">
        <f aca="false">I56+J55</f>
        <v>-9920320.4656</v>
      </c>
      <c r="K56" s="249" t="n">
        <f aca="false">J56+K55</f>
        <v>-8473624.1488</v>
      </c>
      <c r="L56" s="249" t="n">
        <f aca="false">K56+L55</f>
        <v>-7033929.4576</v>
      </c>
      <c r="M56" s="249" t="n">
        <f aca="false">L56+M55</f>
        <v>-5601236.392</v>
      </c>
      <c r="N56" s="249" t="n">
        <f aca="false">M56+N55</f>
        <v>-4140656.952</v>
      </c>
      <c r="O56" s="249" t="n">
        <f aca="false">N56+O55</f>
        <v>-2687079.1376</v>
      </c>
      <c r="P56" s="249" t="n">
        <f aca="false">O56+P55</f>
        <v>-1240502.9488</v>
      </c>
      <c r="Q56" s="249" t="n">
        <f aca="false">P56+Q55</f>
        <v>199071.614399998</v>
      </c>
      <c r="R56" s="249" t="n">
        <f aca="false">Q56+R55</f>
        <v>1631644.552</v>
      </c>
      <c r="S56" s="249" t="n">
        <f aca="false">R56+S55</f>
        <v>3057215.864</v>
      </c>
      <c r="T56" s="249" t="n">
        <f aca="false">S56+T55</f>
        <v>4475785.5504</v>
      </c>
      <c r="U56" s="249" t="n">
        <f aca="false">T56+U55</f>
        <v>5887353.6112</v>
      </c>
      <c r="V56" s="249" t="n">
        <f aca="false">U56+V55</f>
        <v>7291920.0464</v>
      </c>
      <c r="W56" s="249" t="n">
        <f aca="false">V56+W55</f>
        <v>8689484.856</v>
      </c>
      <c r="X56" s="249" t="n">
        <f aca="false">W56+X55</f>
        <v>8689484.856</v>
      </c>
      <c r="Y56" s="246"/>
      <c r="Z56" s="246"/>
      <c r="AA56" s="246"/>
      <c r="AB56" s="246"/>
      <c r="AC56" s="246"/>
      <c r="AD56" s="246"/>
      <c r="AE56" s="246"/>
      <c r="AF56" s="246"/>
      <c r="AG56" s="246"/>
      <c r="AH56" s="246"/>
      <c r="AI56" s="246"/>
      <c r="AJ56" s="246"/>
    </row>
    <row r="57" customFormat="false" ht="18.75" hidden="false" customHeight="true" outlineLevel="0" collapsed="false">
      <c r="B57" s="250" t="s">
        <v>42</v>
      </c>
      <c r="C57" s="251"/>
      <c r="D57" s="252" t="str">
        <f aca="false">IF((D56)&gt;0,"回收","未回收")</f>
        <v>未回收</v>
      </c>
      <c r="E57" s="253" t="str">
        <f aca="false">IF((E56)&gt;0,"回收","未回收")</f>
        <v>未回收</v>
      </c>
      <c r="F57" s="253" t="str">
        <f aca="false">IF((F56)&gt;0,"回收","未回收")</f>
        <v>未回收</v>
      </c>
      <c r="G57" s="253" t="str">
        <f aca="false">IF((G56)&gt;0,"回收","未回收")</f>
        <v>未回收</v>
      </c>
      <c r="H57" s="253" t="str">
        <f aca="false">IF((H56)&gt;0,"回收","未回收")</f>
        <v>未回收</v>
      </c>
      <c r="I57" s="253" t="str">
        <f aca="false">IF((I56)&gt;0,"回收","未回收")</f>
        <v>未回收</v>
      </c>
      <c r="J57" s="253" t="str">
        <f aca="false">IF((J56)&gt;0,"回收","未回收")</f>
        <v>未回收</v>
      </c>
      <c r="K57" s="253" t="str">
        <f aca="false">IF((K56)&gt;0,"回收","未回收")</f>
        <v>未回收</v>
      </c>
      <c r="L57" s="253" t="str">
        <f aca="false">IF((L56)&gt;0,"回收","未回收")</f>
        <v>未回收</v>
      </c>
      <c r="M57" s="253" t="str">
        <f aca="false">IF((M56)&gt;0,"回收","未回收")</f>
        <v>未回收</v>
      </c>
      <c r="N57" s="253" t="str">
        <f aca="false">IF((N56)&gt;0,"回收","未回收")</f>
        <v>未回收</v>
      </c>
      <c r="O57" s="253" t="str">
        <f aca="false">IF((O56)&gt;0,"回收","未回收")</f>
        <v>未回收</v>
      </c>
      <c r="P57" s="253" t="str">
        <f aca="false">IF((P56)&gt;0,"回收","未回收")</f>
        <v>未回收</v>
      </c>
      <c r="Q57" s="253" t="str">
        <f aca="false">IF((Q56)&gt;0,"回收","未回收")</f>
        <v>回收</v>
      </c>
      <c r="R57" s="253" t="str">
        <f aca="false">IF((R56)&gt;0,"回收","未回收")</f>
        <v>回收</v>
      </c>
      <c r="S57" s="253" t="str">
        <f aca="false">IF((S56)&gt;0,"回收","未回收")</f>
        <v>回收</v>
      </c>
      <c r="T57" s="253" t="str">
        <f aca="false">IF((T56)&gt;0,"回收","未回收")</f>
        <v>回收</v>
      </c>
      <c r="U57" s="253" t="str">
        <f aca="false">IF((U56)&gt;0,"回收","未回收")</f>
        <v>回收</v>
      </c>
      <c r="V57" s="253" t="str">
        <f aca="false">IF((V56)&gt;0,"回收","未回收")</f>
        <v>回收</v>
      </c>
      <c r="W57" s="253" t="str">
        <f aca="false">IF((W56)&gt;0,"回收","未回收")</f>
        <v>回收</v>
      </c>
      <c r="X57" s="253" t="str">
        <f aca="false">IF((X56)&gt;0,"回收","未回收")</f>
        <v>回收</v>
      </c>
      <c r="Y57" s="246"/>
      <c r="Z57" s="246"/>
      <c r="AA57" s="246"/>
      <c r="AB57" s="246"/>
      <c r="AC57" s="246"/>
      <c r="AD57" s="246"/>
      <c r="AE57" s="246"/>
      <c r="AF57" s="246"/>
      <c r="AG57" s="246"/>
      <c r="AH57" s="246"/>
      <c r="AI57" s="246"/>
      <c r="AJ57" s="246"/>
    </row>
    <row r="58" customFormat="false" ht="18.75" hidden="false" customHeight="true" outlineLevel="0" collapsed="false">
      <c r="B58" s="113" t="s">
        <v>43</v>
      </c>
      <c r="C58" s="114" t="n">
        <f aca="false">IRR(C55:W55)</f>
        <v>0.0371399186458842</v>
      </c>
      <c r="D58" s="115"/>
      <c r="E58" s="115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</row>
    <row r="59" customFormat="false" ht="18.75" hidden="false" customHeight="true" outlineLevel="0" collapsed="false">
      <c r="B59" s="116"/>
      <c r="C59" s="115"/>
      <c r="D59" s="115"/>
      <c r="E59" s="115"/>
      <c r="F59" s="116"/>
      <c r="G59" s="116"/>
      <c r="H59" s="116"/>
      <c r="I59" s="116"/>
      <c r="J59" s="116"/>
      <c r="K59" s="116"/>
      <c r="L59" s="116"/>
      <c r="M59" s="115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254"/>
      <c r="Z59" s="254"/>
      <c r="AA59" s="254"/>
      <c r="AB59" s="254"/>
      <c r="AC59" s="254"/>
      <c r="AD59" s="254"/>
      <c r="AE59" s="254"/>
      <c r="AF59" s="254"/>
      <c r="AG59" s="254"/>
      <c r="AH59" s="254"/>
      <c r="AI59" s="254"/>
      <c r="AJ59" s="254"/>
    </row>
    <row r="60" customFormat="false" ht="18.75" hidden="false" customHeight="true" outlineLevel="0" collapsed="false">
      <c r="B60" s="65"/>
      <c r="C60" s="66" t="s">
        <v>0</v>
      </c>
      <c r="D60" s="66" t="n">
        <f aca="false">D37</f>
        <v>2020</v>
      </c>
      <c r="E60" s="66" t="n">
        <f aca="false">E37</f>
        <v>2021</v>
      </c>
      <c r="F60" s="66" t="n">
        <f aca="false">F37</f>
        <v>2022</v>
      </c>
      <c r="G60" s="66" t="n">
        <f aca="false">G37</f>
        <v>2023</v>
      </c>
      <c r="H60" s="66" t="n">
        <f aca="false">H37</f>
        <v>2024</v>
      </c>
      <c r="I60" s="66" t="n">
        <f aca="false">I37</f>
        <v>2025</v>
      </c>
      <c r="J60" s="66" t="n">
        <f aca="false">J37</f>
        <v>2026</v>
      </c>
      <c r="K60" s="66" t="n">
        <f aca="false">K37</f>
        <v>2027</v>
      </c>
      <c r="L60" s="66" t="n">
        <f aca="false">L37</f>
        <v>2028</v>
      </c>
      <c r="M60" s="66" t="n">
        <f aca="false">M37</f>
        <v>2029</v>
      </c>
      <c r="N60" s="66" t="n">
        <f aca="false">N37</f>
        <v>2030</v>
      </c>
      <c r="O60" s="66" t="n">
        <f aca="false">O37</f>
        <v>2031</v>
      </c>
      <c r="P60" s="66" t="n">
        <f aca="false">P37</f>
        <v>2032</v>
      </c>
      <c r="Q60" s="66" t="n">
        <f aca="false">Q37</f>
        <v>2033</v>
      </c>
      <c r="R60" s="66" t="n">
        <f aca="false">R37</f>
        <v>2034</v>
      </c>
      <c r="S60" s="66" t="n">
        <f aca="false">S37</f>
        <v>2035</v>
      </c>
      <c r="T60" s="66" t="n">
        <f aca="false">T37</f>
        <v>2036</v>
      </c>
      <c r="U60" s="66" t="n">
        <f aca="false">U37</f>
        <v>2037</v>
      </c>
      <c r="V60" s="66" t="n">
        <f aca="false">V37</f>
        <v>2038</v>
      </c>
      <c r="W60" s="66" t="n">
        <f aca="false">W37</f>
        <v>2039</v>
      </c>
      <c r="X60" s="66"/>
      <c r="Y60" s="255"/>
      <c r="Z60" s="255"/>
      <c r="AA60" s="255"/>
      <c r="AB60" s="255"/>
      <c r="AC60" s="255"/>
      <c r="AD60" s="255"/>
      <c r="AE60" s="255"/>
      <c r="AF60" s="255"/>
      <c r="AG60" s="255"/>
      <c r="AH60" s="255"/>
      <c r="AI60" s="255"/>
      <c r="AJ60" s="255"/>
    </row>
    <row r="61" customFormat="false" ht="18.75" hidden="false" customHeight="true" outlineLevel="0" collapsed="false">
      <c r="B61" s="68" t="n">
        <v>0</v>
      </c>
      <c r="C61" s="69"/>
      <c r="D61" s="70"/>
      <c r="E61" s="70"/>
      <c r="F61" s="71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118" t="s">
        <v>44</v>
      </c>
      <c r="U61" s="72"/>
      <c r="V61" s="72"/>
      <c r="W61" s="72"/>
      <c r="X61" s="220"/>
    </row>
    <row r="62" customFormat="false" ht="18.75" hidden="false" customHeight="true" outlineLevel="0" collapsed="false">
      <c r="B62" s="75" t="s">
        <v>23</v>
      </c>
      <c r="C62" s="76" t="n">
        <v>0</v>
      </c>
      <c r="D62" s="77" t="n">
        <v>1</v>
      </c>
      <c r="E62" s="77" t="n">
        <v>2</v>
      </c>
      <c r="F62" s="77" t="n">
        <v>3</v>
      </c>
      <c r="G62" s="77" t="n">
        <v>4</v>
      </c>
      <c r="H62" s="77" t="n">
        <v>5</v>
      </c>
      <c r="I62" s="77" t="n">
        <v>6</v>
      </c>
      <c r="J62" s="77" t="n">
        <v>7</v>
      </c>
      <c r="K62" s="77" t="n">
        <v>8</v>
      </c>
      <c r="L62" s="77" t="n">
        <v>9</v>
      </c>
      <c r="M62" s="77" t="n">
        <v>10</v>
      </c>
      <c r="N62" s="77" t="n">
        <v>11</v>
      </c>
      <c r="O62" s="77" t="n">
        <v>12</v>
      </c>
      <c r="P62" s="77" t="n">
        <v>13</v>
      </c>
      <c r="Q62" s="77" t="n">
        <v>14</v>
      </c>
      <c r="R62" s="77" t="n">
        <v>15</v>
      </c>
      <c r="S62" s="77" t="n">
        <v>16</v>
      </c>
      <c r="T62" s="119" t="n">
        <v>17</v>
      </c>
      <c r="U62" s="77" t="n">
        <v>18</v>
      </c>
      <c r="V62" s="77" t="n">
        <v>19</v>
      </c>
      <c r="W62" s="77" t="n">
        <v>20</v>
      </c>
      <c r="X62" s="221"/>
    </row>
    <row r="63" customFormat="false" ht="18.75" hidden="false" customHeight="true" outlineLevel="0" collapsed="false">
      <c r="B63" s="222" t="s">
        <v>153</v>
      </c>
      <c r="C63" s="81" t="n">
        <v>0</v>
      </c>
      <c r="D63" s="82" t="n">
        <f aca="false">D40</f>
        <v>541531.98</v>
      </c>
      <c r="E63" s="82" t="n">
        <f aca="false">E40</f>
        <v>539343.972</v>
      </c>
      <c r="F63" s="82" t="n">
        <f aca="false">F40</f>
        <v>537155.964</v>
      </c>
      <c r="G63" s="82" t="n">
        <f aca="false">G40</f>
        <v>534967.956</v>
      </c>
      <c r="H63" s="82" t="n">
        <f aca="false">H40</f>
        <v>532779.948</v>
      </c>
      <c r="I63" s="82" t="n">
        <f aca="false">I40</f>
        <v>530591.94</v>
      </c>
      <c r="J63" s="82" t="n">
        <f aca="false">J40</f>
        <v>528403.932</v>
      </c>
      <c r="K63" s="82" t="n">
        <f aca="false">K40</f>
        <v>526215.924</v>
      </c>
      <c r="L63" s="82" t="n">
        <f aca="false">L40</f>
        <v>524027.916</v>
      </c>
      <c r="M63" s="82" t="n">
        <f aca="false">M40</f>
        <v>521839.908</v>
      </c>
      <c r="N63" s="82" t="n">
        <f aca="false">N40</f>
        <v>519651.9</v>
      </c>
      <c r="O63" s="82" t="n">
        <f aca="false">O40</f>
        <v>517463.892</v>
      </c>
      <c r="P63" s="82" t="n">
        <f aca="false">P40</f>
        <v>515275.884</v>
      </c>
      <c r="Q63" s="82" t="n">
        <f aca="false">Q40</f>
        <v>513087.876</v>
      </c>
      <c r="R63" s="82" t="n">
        <f aca="false">R40</f>
        <v>510899.868</v>
      </c>
      <c r="S63" s="82" t="n">
        <f aca="false">S40</f>
        <v>508711.86</v>
      </c>
      <c r="T63" s="82" t="n">
        <f aca="false">T40</f>
        <v>506523.852</v>
      </c>
      <c r="U63" s="82" t="n">
        <f aca="false">U40</f>
        <v>504335.844</v>
      </c>
      <c r="V63" s="82" t="n">
        <f aca="false">V40</f>
        <v>502147.836</v>
      </c>
      <c r="W63" s="82" t="n">
        <f aca="false">W40</f>
        <v>499959.828</v>
      </c>
      <c r="X63" s="223"/>
    </row>
    <row r="64" customFormat="false" ht="18.75" hidden="false" customHeight="true" outlineLevel="0" collapsed="false">
      <c r="B64" s="224" t="s">
        <v>25</v>
      </c>
      <c r="C64" s="225" t="s">
        <v>26</v>
      </c>
      <c r="D64" s="226" t="n">
        <f aca="false">D41</f>
        <v>2166127.92</v>
      </c>
      <c r="E64" s="226" t="n">
        <f aca="false">E41</f>
        <v>2157375.888</v>
      </c>
      <c r="F64" s="226" t="n">
        <f aca="false">F41</f>
        <v>2148623.856</v>
      </c>
      <c r="G64" s="226" t="n">
        <f aca="false">G41</f>
        <v>2139871.824</v>
      </c>
      <c r="H64" s="226" t="n">
        <f aca="false">H41</f>
        <v>2131119.792</v>
      </c>
      <c r="I64" s="226" t="n">
        <f aca="false">I41</f>
        <v>2122367.76</v>
      </c>
      <c r="J64" s="226" t="n">
        <f aca="false">J41</f>
        <v>2113615.728</v>
      </c>
      <c r="K64" s="226" t="n">
        <f aca="false">K41</f>
        <v>2104863.696</v>
      </c>
      <c r="L64" s="226" t="n">
        <f aca="false">L41</f>
        <v>2096111.664</v>
      </c>
      <c r="M64" s="226" t="n">
        <f aca="false">M41</f>
        <v>2087359.632</v>
      </c>
      <c r="N64" s="226" t="n">
        <f aca="false">N41</f>
        <v>2078607.6</v>
      </c>
      <c r="O64" s="226" t="n">
        <f aca="false">O41</f>
        <v>2069855.568</v>
      </c>
      <c r="P64" s="226" t="n">
        <f aca="false">P41</f>
        <v>2061103.536</v>
      </c>
      <c r="Q64" s="226" t="n">
        <f aca="false">Q41</f>
        <v>2052351.504</v>
      </c>
      <c r="R64" s="226" t="n">
        <f aca="false">R41</f>
        <v>2043599.472</v>
      </c>
      <c r="S64" s="226" t="n">
        <f aca="false">S41</f>
        <v>2034847.44</v>
      </c>
      <c r="T64" s="226" t="n">
        <f aca="false">T41</f>
        <v>2026095.408</v>
      </c>
      <c r="U64" s="226" t="n">
        <f aca="false">U41</f>
        <v>2017343.376</v>
      </c>
      <c r="V64" s="226" t="n">
        <f aca="false">V41</f>
        <v>2008591.344</v>
      </c>
      <c r="W64" s="226" t="n">
        <f aca="false">W41</f>
        <v>1999839.312</v>
      </c>
      <c r="X64" s="227"/>
    </row>
    <row r="65" customFormat="false" ht="18.75" hidden="false" customHeight="true" outlineLevel="0" collapsed="false">
      <c r="B65" s="228" t="s">
        <v>27</v>
      </c>
      <c r="C65" s="229" t="s">
        <v>26</v>
      </c>
      <c r="D65" s="230"/>
      <c r="E65" s="230"/>
      <c r="F65" s="230"/>
      <c r="G65" s="231" t="s">
        <v>26</v>
      </c>
      <c r="H65" s="231" t="s">
        <v>26</v>
      </c>
      <c r="I65" s="231" t="s">
        <v>26</v>
      </c>
      <c r="J65" s="231" t="s">
        <v>26</v>
      </c>
      <c r="K65" s="231" t="s">
        <v>26</v>
      </c>
      <c r="L65" s="231" t="s">
        <v>26</v>
      </c>
      <c r="M65" s="231" t="s">
        <v>26</v>
      </c>
      <c r="N65" s="231" t="s">
        <v>26</v>
      </c>
      <c r="O65" s="231" t="s">
        <v>26</v>
      </c>
      <c r="P65" s="231" t="s">
        <v>26</v>
      </c>
      <c r="Q65" s="231" t="s">
        <v>26</v>
      </c>
      <c r="R65" s="231" t="s">
        <v>26</v>
      </c>
      <c r="S65" s="231" t="s">
        <v>26</v>
      </c>
      <c r="T65" s="231" t="s">
        <v>26</v>
      </c>
      <c r="U65" s="231" t="s">
        <v>26</v>
      </c>
      <c r="V65" s="231" t="s">
        <v>26</v>
      </c>
      <c r="W65" s="231" t="s">
        <v>26</v>
      </c>
      <c r="X65" s="232"/>
    </row>
    <row r="66" customFormat="false" ht="18.75" hidden="false" customHeight="true" outlineLevel="0" collapsed="false">
      <c r="B66" s="233" t="s">
        <v>28</v>
      </c>
      <c r="C66" s="234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6"/>
    </row>
    <row r="67" customFormat="false" ht="18.75" hidden="false" customHeight="true" outlineLevel="0" collapsed="false">
      <c r="B67" s="237" t="s">
        <v>45</v>
      </c>
      <c r="C67" s="229"/>
      <c r="D67" s="256" t="n">
        <f aca="false">$C$44/$E$16</f>
        <v>-1009260</v>
      </c>
      <c r="E67" s="256" t="n">
        <f aca="false">$C$44/$E$16</f>
        <v>-1009260</v>
      </c>
      <c r="F67" s="256" t="n">
        <f aca="false">$C$44/$E$16</f>
        <v>-1009260</v>
      </c>
      <c r="G67" s="256" t="n">
        <f aca="false">$C$44/$E$16</f>
        <v>-1009260</v>
      </c>
      <c r="H67" s="256" t="n">
        <f aca="false">$C$44/$E$16</f>
        <v>-1009260</v>
      </c>
      <c r="I67" s="256" t="n">
        <f aca="false">$C$44/$E$16</f>
        <v>-1009260</v>
      </c>
      <c r="J67" s="256" t="n">
        <f aca="false">$C$44/$E$16</f>
        <v>-1009260</v>
      </c>
      <c r="K67" s="256" t="n">
        <f aca="false">$C$44/$E$16</f>
        <v>-1009260</v>
      </c>
      <c r="L67" s="256" t="n">
        <f aca="false">$C$44/$E$16</f>
        <v>-1009260</v>
      </c>
      <c r="M67" s="256" t="n">
        <f aca="false">$C$44/$E$16</f>
        <v>-1009260</v>
      </c>
      <c r="N67" s="256" t="n">
        <f aca="false">$C$44/$E$16</f>
        <v>-1009260</v>
      </c>
      <c r="O67" s="256" t="n">
        <f aca="false">$C$44/$E$16</f>
        <v>-1009260</v>
      </c>
      <c r="P67" s="256" t="n">
        <f aca="false">$C$44/$E$16</f>
        <v>-1009260</v>
      </c>
      <c r="Q67" s="256" t="n">
        <f aca="false">$C$44/$E$16</f>
        <v>-1009260</v>
      </c>
      <c r="R67" s="256" t="n">
        <f aca="false">$C$44/$E$16</f>
        <v>-1009260</v>
      </c>
      <c r="S67" s="256" t="n">
        <f aca="false">$C$44/$E$16</f>
        <v>-1009260</v>
      </c>
      <c r="T67" s="256" t="n">
        <f aca="false">$C$44/$E$16</f>
        <v>-1009260</v>
      </c>
      <c r="U67" s="256" t="n">
        <f aca="false">$C$44/$E$16</f>
        <v>-1009260</v>
      </c>
      <c r="V67" s="256" t="n">
        <f aca="false">$C$44/$E$16</f>
        <v>-1009260</v>
      </c>
      <c r="W67" s="256" t="n">
        <f aca="false">$C$44/$E$16</f>
        <v>-1009260</v>
      </c>
      <c r="X67" s="232"/>
    </row>
    <row r="68" customFormat="false" ht="18.75" hidden="false" customHeight="true" outlineLevel="0" collapsed="false">
      <c r="B68" s="237" t="s">
        <v>30</v>
      </c>
      <c r="C68" s="229" t="s">
        <v>26</v>
      </c>
      <c r="D68" s="239" t="n">
        <f aca="false">D44</f>
        <v>0</v>
      </c>
      <c r="E68" s="239" t="n">
        <f aca="false">E45</f>
        <v>-290201</v>
      </c>
      <c r="F68" s="239" t="n">
        <f aca="false">F45</f>
        <v>-290201</v>
      </c>
      <c r="G68" s="239" t="n">
        <f aca="false">G45</f>
        <v>-290201</v>
      </c>
      <c r="H68" s="239" t="n">
        <f aca="false">H45</f>
        <v>-290201</v>
      </c>
      <c r="I68" s="239" t="n">
        <f aca="false">I45</f>
        <v>-290201</v>
      </c>
      <c r="J68" s="239" t="n">
        <f aca="false">J45</f>
        <v>-290201</v>
      </c>
      <c r="K68" s="239" t="n">
        <f aca="false">K45</f>
        <v>-290201</v>
      </c>
      <c r="L68" s="239" t="n">
        <f aca="false">L45</f>
        <v>-290201</v>
      </c>
      <c r="M68" s="239" t="n">
        <f aca="false">M45</f>
        <v>-290201</v>
      </c>
      <c r="N68" s="239" t="n">
        <f aca="false">N45</f>
        <v>-290201</v>
      </c>
      <c r="O68" s="239" t="n">
        <f aca="false">O45</f>
        <v>-290201</v>
      </c>
      <c r="P68" s="239" t="n">
        <f aca="false">P45</f>
        <v>-290201</v>
      </c>
      <c r="Q68" s="239" t="n">
        <f aca="false">Q45</f>
        <v>-290201</v>
      </c>
      <c r="R68" s="239" t="n">
        <f aca="false">R45</f>
        <v>-290201</v>
      </c>
      <c r="S68" s="239" t="n">
        <f aca="false">S45</f>
        <v>-290201</v>
      </c>
      <c r="T68" s="239" t="n">
        <f aca="false">T45</f>
        <v>-290201</v>
      </c>
      <c r="U68" s="239" t="n">
        <f aca="false">U45</f>
        <v>-290201</v>
      </c>
      <c r="V68" s="239" t="n">
        <f aca="false">V45</f>
        <v>-290201</v>
      </c>
      <c r="W68" s="239" t="n">
        <f aca="false">W45</f>
        <v>-290201</v>
      </c>
      <c r="X68" s="232"/>
    </row>
    <row r="69" customFormat="false" ht="18.75" hidden="false" customHeight="true" outlineLevel="0" collapsed="false">
      <c r="B69" s="237" t="s">
        <v>31</v>
      </c>
      <c r="C69" s="229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2"/>
    </row>
    <row r="70" customFormat="false" ht="18.75" hidden="false" customHeight="true" outlineLevel="0" collapsed="false">
      <c r="B70" s="237" t="s">
        <v>32</v>
      </c>
      <c r="C70" s="229" t="s">
        <v>26</v>
      </c>
      <c r="D70" s="239" t="n">
        <v>0</v>
      </c>
      <c r="E70" s="239" t="n">
        <v>0</v>
      </c>
      <c r="F70" s="239" t="n">
        <v>0</v>
      </c>
      <c r="G70" s="239" t="n">
        <v>0</v>
      </c>
      <c r="H70" s="239" t="n">
        <v>0</v>
      </c>
      <c r="I70" s="239" t="n">
        <v>0</v>
      </c>
      <c r="J70" s="239" t="n">
        <v>0</v>
      </c>
      <c r="K70" s="239" t="n">
        <v>0</v>
      </c>
      <c r="L70" s="239" t="n">
        <v>0</v>
      </c>
      <c r="M70" s="239" t="n">
        <v>0</v>
      </c>
      <c r="N70" s="239" t="n">
        <v>0</v>
      </c>
      <c r="O70" s="239" t="n">
        <v>0</v>
      </c>
      <c r="P70" s="239" t="n">
        <v>0</v>
      </c>
      <c r="Q70" s="239" t="n">
        <v>0</v>
      </c>
      <c r="R70" s="239" t="n">
        <v>0</v>
      </c>
      <c r="S70" s="239" t="n">
        <v>0</v>
      </c>
      <c r="T70" s="239" t="n">
        <v>0</v>
      </c>
      <c r="U70" s="239" t="n">
        <v>0</v>
      </c>
      <c r="V70" s="239" t="n">
        <v>0</v>
      </c>
      <c r="W70" s="239" t="n">
        <v>0</v>
      </c>
      <c r="X70" s="232"/>
    </row>
    <row r="71" customFormat="false" ht="18.75" hidden="false" customHeight="true" outlineLevel="0" collapsed="false">
      <c r="B71" s="237" t="s">
        <v>33</v>
      </c>
      <c r="C71" s="229" t="s">
        <v>26</v>
      </c>
      <c r="D71" s="239" t="n">
        <f aca="false">D48</f>
        <v>-174440</v>
      </c>
      <c r="E71" s="239" t="n">
        <f aca="false">E48</f>
        <v>-174440</v>
      </c>
      <c r="F71" s="239" t="n">
        <f aca="false">F48</f>
        <v>-174440</v>
      </c>
      <c r="G71" s="239" t="n">
        <f aca="false">G48</f>
        <v>-174440</v>
      </c>
      <c r="H71" s="239" t="n">
        <f aca="false">H48</f>
        <v>-174440</v>
      </c>
      <c r="I71" s="239" t="n">
        <f aca="false">I48</f>
        <v>-174440</v>
      </c>
      <c r="J71" s="239" t="n">
        <f aca="false">J48</f>
        <v>-174440</v>
      </c>
      <c r="K71" s="239" t="n">
        <f aca="false">K48</f>
        <v>-174440</v>
      </c>
      <c r="L71" s="239" t="n">
        <f aca="false">L48</f>
        <v>-174440</v>
      </c>
      <c r="M71" s="239" t="n">
        <f aca="false">M48</f>
        <v>-174440</v>
      </c>
      <c r="N71" s="239" t="n">
        <f aca="false">N48</f>
        <v>-174440</v>
      </c>
      <c r="O71" s="239" t="n">
        <f aca="false">O48</f>
        <v>-174440</v>
      </c>
      <c r="P71" s="239" t="n">
        <f aca="false">P48</f>
        <v>-174440</v>
      </c>
      <c r="Q71" s="239" t="n">
        <f aca="false">Q48</f>
        <v>-174440</v>
      </c>
      <c r="R71" s="239" t="n">
        <f aca="false">R48</f>
        <v>-174440</v>
      </c>
      <c r="S71" s="239" t="n">
        <f aca="false">S48</f>
        <v>-174440</v>
      </c>
      <c r="T71" s="239" t="n">
        <f aca="false">T48</f>
        <v>-174440</v>
      </c>
      <c r="U71" s="239" t="n">
        <f aca="false">U48</f>
        <v>-174440</v>
      </c>
      <c r="V71" s="239" t="n">
        <f aca="false">V48</f>
        <v>-174440</v>
      </c>
      <c r="W71" s="239" t="n">
        <f aca="false">W48</f>
        <v>-174440</v>
      </c>
      <c r="X71" s="232"/>
    </row>
    <row r="72" customFormat="false" ht="18.75" hidden="false" customHeight="true" outlineLevel="0" collapsed="false">
      <c r="B72" s="237" t="s">
        <v>34</v>
      </c>
      <c r="C72" s="229" t="s">
        <v>26</v>
      </c>
      <c r="D72" s="239" t="n">
        <f aca="false">D49</f>
        <v>-40557.3</v>
      </c>
      <c r="E72" s="239" t="n">
        <f aca="false">E49</f>
        <v>-40557.3</v>
      </c>
      <c r="F72" s="239" t="n">
        <f aca="false">F49</f>
        <v>-40557.3</v>
      </c>
      <c r="G72" s="239" t="n">
        <f aca="false">G49</f>
        <v>-40557.3</v>
      </c>
      <c r="H72" s="239" t="n">
        <f aca="false">H49</f>
        <v>-40557.3</v>
      </c>
      <c r="I72" s="239" t="n">
        <f aca="false">I49</f>
        <v>-40557.3</v>
      </c>
      <c r="J72" s="239" t="n">
        <f aca="false">J49</f>
        <v>-40557.3</v>
      </c>
      <c r="K72" s="239" t="n">
        <f aca="false">K49</f>
        <v>-40557.3</v>
      </c>
      <c r="L72" s="239" t="n">
        <f aca="false">L49</f>
        <v>-40557.3</v>
      </c>
      <c r="M72" s="239" t="n">
        <f aca="false">M49</f>
        <v>-40557.3</v>
      </c>
      <c r="N72" s="239" t="n">
        <f aca="false">N49</f>
        <v>-40557.3</v>
      </c>
      <c r="O72" s="239" t="n">
        <f aca="false">O49</f>
        <v>-40557.3</v>
      </c>
      <c r="P72" s="239" t="n">
        <f aca="false">P49</f>
        <v>-40557.3</v>
      </c>
      <c r="Q72" s="239" t="n">
        <f aca="false">Q49</f>
        <v>-40557.3</v>
      </c>
      <c r="R72" s="239" t="n">
        <f aca="false">R49</f>
        <v>-40557.3</v>
      </c>
      <c r="S72" s="239" t="n">
        <f aca="false">S49</f>
        <v>-40557.3</v>
      </c>
      <c r="T72" s="239" t="n">
        <f aca="false">T49</f>
        <v>-40557.3</v>
      </c>
      <c r="U72" s="239" t="n">
        <f aca="false">U49</f>
        <v>-40557.3</v>
      </c>
      <c r="V72" s="239" t="n">
        <f aca="false">V49</f>
        <v>-40557.3</v>
      </c>
      <c r="W72" s="239" t="n">
        <f aca="false">W49</f>
        <v>-40557.3</v>
      </c>
      <c r="X72" s="232"/>
    </row>
    <row r="73" customFormat="false" ht="18.75" hidden="false" customHeight="true" outlineLevel="0" collapsed="false">
      <c r="B73" s="237" t="s">
        <v>35</v>
      </c>
      <c r="C73" s="229"/>
      <c r="D73" s="239" t="n">
        <f aca="false">D50</f>
        <v>-43610</v>
      </c>
      <c r="E73" s="239" t="n">
        <f aca="false">E50</f>
        <v>-43610</v>
      </c>
      <c r="F73" s="239" t="n">
        <f aca="false">F50</f>
        <v>-43610</v>
      </c>
      <c r="G73" s="239" t="n">
        <f aca="false">G50</f>
        <v>-43610</v>
      </c>
      <c r="H73" s="239" t="n">
        <f aca="false">H50</f>
        <v>-43610</v>
      </c>
      <c r="I73" s="239" t="n">
        <f aca="false">I50</f>
        <v>-43610</v>
      </c>
      <c r="J73" s="239" t="n">
        <f aca="false">J50</f>
        <v>-43610</v>
      </c>
      <c r="K73" s="239" t="n">
        <f aca="false">K50</f>
        <v>-43610</v>
      </c>
      <c r="L73" s="239" t="n">
        <f aca="false">L50</f>
        <v>-43610</v>
      </c>
      <c r="M73" s="239" t="n">
        <f aca="false">M50</f>
        <v>-43610</v>
      </c>
      <c r="N73" s="239" t="n">
        <f aca="false">N50</f>
        <v>0</v>
      </c>
      <c r="O73" s="239" t="n">
        <f aca="false">O50</f>
        <v>0</v>
      </c>
      <c r="P73" s="239" t="n">
        <f aca="false">P50</f>
        <v>0</v>
      </c>
      <c r="Q73" s="239" t="n">
        <f aca="false">Q50</f>
        <v>0</v>
      </c>
      <c r="R73" s="239" t="n">
        <f aca="false">R50</f>
        <v>0</v>
      </c>
      <c r="S73" s="239" t="n">
        <f aca="false">S50</f>
        <v>0</v>
      </c>
      <c r="T73" s="239" t="n">
        <f aca="false">T50</f>
        <v>0</v>
      </c>
      <c r="U73" s="239" t="n">
        <f aca="false">U50</f>
        <v>0</v>
      </c>
      <c r="V73" s="239" t="n">
        <f aca="false">V50</f>
        <v>0</v>
      </c>
      <c r="W73" s="239" t="n">
        <f aca="false">W50</f>
        <v>0</v>
      </c>
      <c r="X73" s="232"/>
    </row>
    <row r="74" customFormat="false" ht="18.75" hidden="false" customHeight="true" outlineLevel="0" collapsed="false">
      <c r="B74" s="237" t="s">
        <v>36</v>
      </c>
      <c r="C74" s="240"/>
      <c r="D74" s="257"/>
      <c r="E74" s="258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2"/>
    </row>
    <row r="75" customFormat="false" ht="18.75" hidden="false" customHeight="true" outlineLevel="0" collapsed="false">
      <c r="B75" s="237" t="s">
        <v>37</v>
      </c>
      <c r="C75" s="240"/>
      <c r="D75" s="230"/>
      <c r="E75" s="230"/>
      <c r="F75" s="230"/>
      <c r="G75" s="230"/>
      <c r="H75" s="230"/>
      <c r="I75" s="230"/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  <c r="V75" s="230"/>
      <c r="W75" s="230"/>
      <c r="X75" s="232"/>
    </row>
    <row r="76" customFormat="false" ht="18.75" hidden="false" customHeight="true" outlineLevel="0" collapsed="false">
      <c r="B76" s="242" t="s">
        <v>46</v>
      </c>
      <c r="C76" s="259"/>
      <c r="D76" s="244" t="n">
        <f aca="false">SUM(D64:D75)</f>
        <v>898260.62</v>
      </c>
      <c r="E76" s="244" t="n">
        <f aca="false">SUM(E64:E75)</f>
        <v>599307.588</v>
      </c>
      <c r="F76" s="244" t="n">
        <f aca="false">SUM(F64:F75)</f>
        <v>590555.556</v>
      </c>
      <c r="G76" s="244" t="n">
        <f aca="false">SUM(G64:G75)</f>
        <v>581803.524</v>
      </c>
      <c r="H76" s="244" t="n">
        <f aca="false">SUM(H64:H75)</f>
        <v>573051.492</v>
      </c>
      <c r="I76" s="244" t="n">
        <f aca="false">SUM(I64:I75)</f>
        <v>564299.46</v>
      </c>
      <c r="J76" s="244" t="n">
        <f aca="false">SUM(J64:J75)</f>
        <v>555547.428</v>
      </c>
      <c r="K76" s="244" t="n">
        <f aca="false">SUM(K64:K75)</f>
        <v>546795.396</v>
      </c>
      <c r="L76" s="244" t="n">
        <f aca="false">SUM(L64:L75)</f>
        <v>538043.364</v>
      </c>
      <c r="M76" s="244" t="n">
        <f aca="false">SUM(M64:M75)</f>
        <v>529291.332</v>
      </c>
      <c r="N76" s="244" t="n">
        <f aca="false">SUM(N64:N75)</f>
        <v>564149.3</v>
      </c>
      <c r="O76" s="244" t="n">
        <f aca="false">SUM(O64:O75)</f>
        <v>555397.268</v>
      </c>
      <c r="P76" s="244" t="n">
        <f aca="false">SUM(P64:P75)</f>
        <v>546645.236</v>
      </c>
      <c r="Q76" s="244" t="n">
        <f aca="false">SUM(Q64:Q75)</f>
        <v>537893.204</v>
      </c>
      <c r="R76" s="244" t="n">
        <f aca="false">SUM(R64:R75)</f>
        <v>529141.172</v>
      </c>
      <c r="S76" s="244" t="n">
        <f aca="false">SUM(S64:S75)</f>
        <v>520389.14</v>
      </c>
      <c r="T76" s="244" t="n">
        <f aca="false">SUM(T64:T75)</f>
        <v>511637.108</v>
      </c>
      <c r="U76" s="244" t="n">
        <f aca="false">SUM(U64:U75)</f>
        <v>502885.076</v>
      </c>
      <c r="V76" s="244" t="n">
        <f aca="false">SUM(V64:V75)</f>
        <v>494133.044</v>
      </c>
      <c r="W76" s="244" t="n">
        <f aca="false">SUM(W64:W75)</f>
        <v>485381.012</v>
      </c>
      <c r="X76" s="244" t="n">
        <f aca="false">SUM(X64:X75)</f>
        <v>0</v>
      </c>
    </row>
    <row r="77" customFormat="false" ht="18.75" hidden="false" customHeight="true" outlineLevel="0" collapsed="false">
      <c r="B77" s="241" t="s">
        <v>39</v>
      </c>
      <c r="C77" s="240"/>
      <c r="D77" s="239" t="n">
        <f aca="false">-D76*0.2</f>
        <v>-179652.124</v>
      </c>
      <c r="E77" s="239" t="n">
        <f aca="false">-E76*0.2</f>
        <v>-119861.5176</v>
      </c>
      <c r="F77" s="239" t="n">
        <f aca="false">-F76*0.2</f>
        <v>-118111.1112</v>
      </c>
      <c r="G77" s="239" t="n">
        <f aca="false">-G76*0.2</f>
        <v>-116360.7048</v>
      </c>
      <c r="H77" s="239" t="n">
        <f aca="false">-H76*0.2</f>
        <v>-114610.2984</v>
      </c>
      <c r="I77" s="239" t="n">
        <f aca="false">-I76*0.2</f>
        <v>-112859.892</v>
      </c>
      <c r="J77" s="239" t="n">
        <f aca="false">-J76*0.2</f>
        <v>-111109.4856</v>
      </c>
      <c r="K77" s="239" t="n">
        <f aca="false">-K76*0.2</f>
        <v>-109359.0792</v>
      </c>
      <c r="L77" s="239" t="n">
        <f aca="false">-L76*0.2</f>
        <v>-107608.6728</v>
      </c>
      <c r="M77" s="239" t="n">
        <f aca="false">-M76*0.2</f>
        <v>-105858.2664</v>
      </c>
      <c r="N77" s="239" t="n">
        <f aca="false">-N76*0.2</f>
        <v>-112829.86</v>
      </c>
      <c r="O77" s="239" t="n">
        <f aca="false">-O76*0.2</f>
        <v>-111079.4536</v>
      </c>
      <c r="P77" s="239" t="n">
        <f aca="false">-P76*0.2</f>
        <v>-109329.0472</v>
      </c>
      <c r="Q77" s="239" t="n">
        <f aca="false">-Q76*0.2</f>
        <v>-107578.6408</v>
      </c>
      <c r="R77" s="239" t="n">
        <f aca="false">-R76*0.2</f>
        <v>-105828.2344</v>
      </c>
      <c r="S77" s="239" t="n">
        <f aca="false">-S76*0.2</f>
        <v>-104077.828</v>
      </c>
      <c r="T77" s="239" t="n">
        <f aca="false">-T76*0.2</f>
        <v>-102327.4216</v>
      </c>
      <c r="U77" s="239" t="n">
        <f aca="false">-U76*0.2</f>
        <v>-100577.0152</v>
      </c>
      <c r="V77" s="239" t="n">
        <f aca="false">-V76*0.2</f>
        <v>-98826.6087999999</v>
      </c>
      <c r="W77" s="239" t="n">
        <f aca="false">-W76*0.2</f>
        <v>-97076.2024</v>
      </c>
      <c r="X77" s="239" t="n">
        <f aca="false">-X76*0.2</f>
        <v>-0</v>
      </c>
    </row>
    <row r="78" customFormat="false" ht="15.75" hidden="false" customHeight="true" outlineLevel="0" collapsed="false">
      <c r="B78" s="260" t="s">
        <v>47</v>
      </c>
      <c r="D78" s="239" t="n">
        <f aca="false">SUM(D76:D77)</f>
        <v>718608.496</v>
      </c>
      <c r="E78" s="239" t="n">
        <f aca="false">SUM(E76:E77)</f>
        <v>479446.0704</v>
      </c>
      <c r="F78" s="239" t="n">
        <f aca="false">SUM(F76:F77)</f>
        <v>472444.4448</v>
      </c>
      <c r="G78" s="239" t="n">
        <f aca="false">SUM(G76:G77)</f>
        <v>465442.8192</v>
      </c>
      <c r="H78" s="239" t="n">
        <f aca="false">SUM(H76:H77)</f>
        <v>458441.1936</v>
      </c>
      <c r="I78" s="239" t="n">
        <f aca="false">SUM(I76:I77)</f>
        <v>451439.568</v>
      </c>
      <c r="J78" s="239" t="n">
        <f aca="false">SUM(J76:J77)</f>
        <v>444437.9424</v>
      </c>
      <c r="K78" s="239" t="n">
        <f aca="false">SUM(K76:K77)</f>
        <v>437436.3168</v>
      </c>
      <c r="L78" s="239" t="n">
        <f aca="false">SUM(L76:L77)</f>
        <v>430434.6912</v>
      </c>
      <c r="M78" s="239" t="n">
        <f aca="false">SUM(M76:M77)</f>
        <v>423433.0656</v>
      </c>
      <c r="N78" s="239" t="n">
        <f aca="false">SUM(N76:N77)</f>
        <v>451319.44</v>
      </c>
      <c r="O78" s="239" t="n">
        <f aca="false">SUM(O76:O77)</f>
        <v>444317.8144</v>
      </c>
      <c r="P78" s="239" t="n">
        <f aca="false">SUM(P76:P77)</f>
        <v>437316.1888</v>
      </c>
      <c r="Q78" s="239" t="n">
        <f aca="false">SUM(Q76:Q77)</f>
        <v>430314.5632</v>
      </c>
      <c r="R78" s="239" t="n">
        <f aca="false">SUM(R76:R77)</f>
        <v>423312.9376</v>
      </c>
      <c r="S78" s="239" t="n">
        <f aca="false">SUM(S76:S77)</f>
        <v>416311.312</v>
      </c>
      <c r="T78" s="239" t="n">
        <f aca="false">SUM(T76:T77)</f>
        <v>409309.6864</v>
      </c>
      <c r="U78" s="239" t="n">
        <f aca="false">SUM(U76:U77)</f>
        <v>402308.0608</v>
      </c>
      <c r="V78" s="239" t="n">
        <f aca="false">SUM(V76:V77)</f>
        <v>395306.4352</v>
      </c>
      <c r="W78" s="239" t="n">
        <f aca="false">SUM(W76:W77)</f>
        <v>388304.8096</v>
      </c>
      <c r="X78" s="239" t="n">
        <f aca="false">SUM(X76:X77)</f>
        <v>0</v>
      </c>
    </row>
    <row r="79" customFormat="false" ht="18.75" hidden="false" customHeight="true" outlineLevel="0" collapsed="false">
      <c r="B79" s="248" t="s">
        <v>41</v>
      </c>
      <c r="C79" s="251"/>
      <c r="D79" s="261"/>
      <c r="E79" s="261"/>
      <c r="F79" s="261"/>
      <c r="G79" s="261"/>
      <c r="H79" s="261"/>
      <c r="I79" s="261"/>
      <c r="J79" s="261"/>
      <c r="K79" s="261"/>
      <c r="L79" s="261"/>
      <c r="M79" s="261"/>
      <c r="N79" s="261"/>
      <c r="O79" s="261"/>
      <c r="P79" s="261"/>
      <c r="Q79" s="261"/>
      <c r="R79" s="261"/>
      <c r="S79" s="261"/>
      <c r="T79" s="261"/>
      <c r="U79" s="261"/>
      <c r="V79" s="261"/>
      <c r="W79" s="261"/>
      <c r="X79" s="262"/>
    </row>
    <row r="80" customFormat="false" ht="18.75" hidden="false" customHeight="true" outlineLevel="0" collapsed="false">
      <c r="B80" s="127" t="s">
        <v>42</v>
      </c>
      <c r="C80" s="128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4"/>
    </row>
    <row r="81" customFormat="false" ht="18.75" hidden="false" customHeight="true" outlineLevel="0" collapsed="false">
      <c r="B81" s="116"/>
      <c r="C81" s="115"/>
      <c r="D81" s="115"/>
      <c r="E81" s="115"/>
      <c r="F81" s="116"/>
      <c r="G81" s="116"/>
      <c r="H81" s="116"/>
      <c r="I81" s="116"/>
      <c r="J81" s="116"/>
      <c r="K81" s="116"/>
      <c r="L81" s="116"/>
      <c r="M81" s="115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4" min="4" style="0" width="37"/>
    <col collapsed="false" customWidth="true" hidden="false" outlineLevel="0" max="6" min="6" style="0" width="50"/>
    <col collapsed="false" customWidth="true" hidden="false" outlineLevel="0" max="7" min="7" style="0" width="37"/>
    <col collapsed="false" customWidth="true" hidden="false" outlineLevel="0" max="13" min="13" style="0" width="50"/>
    <col collapsed="false" customWidth="true" hidden="false" outlineLevel="0" max="14" min="14" style="0" width="37"/>
    <col collapsed="false" customWidth="true" hidden="false" outlineLevel="0" max="24" min="24" style="0" width="30"/>
    <col collapsed="false" customWidth="true" hidden="false" outlineLevel="0" max="25" min="25" style="0" width="10"/>
    <col collapsed="false" customWidth="true" hidden="false" outlineLevel="0" max="28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52" t="s">
        <v>137</v>
      </c>
      <c r="C1" s="184"/>
      <c r="D1" s="184"/>
      <c r="E1" s="185"/>
      <c r="F1" s="153" t="s">
        <v>64</v>
      </c>
      <c r="P1" s="154" t="n">
        <f aca="false">1-D11</f>
        <v>0.99</v>
      </c>
      <c r="Q1" s="154" t="n">
        <f aca="false">P1-$D12</f>
        <v>0.986</v>
      </c>
      <c r="R1" s="154" t="n">
        <f aca="false">Q1-$D12</f>
        <v>0.982</v>
      </c>
      <c r="S1" s="154" t="n">
        <f aca="false">R1-$D12</f>
        <v>0.978</v>
      </c>
      <c r="T1" s="154" t="n">
        <f aca="false">S1-$D12</f>
        <v>0.974</v>
      </c>
      <c r="U1" s="154" t="n">
        <f aca="false">T1-$D12</f>
        <v>0.97</v>
      </c>
      <c r="V1" s="154" t="n">
        <f aca="false">U1-$D12</f>
        <v>0.966</v>
      </c>
      <c r="W1" s="154" t="n">
        <f aca="false">V1-$D12</f>
        <v>0.962</v>
      </c>
      <c r="X1" s="154" t="n">
        <f aca="false">W1-$D12</f>
        <v>0.958</v>
      </c>
      <c r="Y1" s="154" t="n">
        <f aca="false">X1-$D12</f>
        <v>0.954</v>
      </c>
      <c r="Z1" s="154" t="n">
        <f aca="false">Y1-$D12</f>
        <v>0.95</v>
      </c>
      <c r="AA1" s="154" t="n">
        <f aca="false">Z1-$D12</f>
        <v>0.946</v>
      </c>
      <c r="AB1" s="154" t="n">
        <f aca="false">AA1-$D12</f>
        <v>0.942</v>
      </c>
      <c r="AC1" s="154" t="n">
        <f aca="false">AB1-$D12</f>
        <v>0.938</v>
      </c>
      <c r="AD1" s="154" t="n">
        <f aca="false">AC1-$D12</f>
        <v>0.934</v>
      </c>
      <c r="AE1" s="154" t="n">
        <f aca="false">AD1-$D12</f>
        <v>0.93</v>
      </c>
      <c r="AF1" s="154" t="n">
        <f aca="false">AE1-$D12</f>
        <v>0.926</v>
      </c>
      <c r="AG1" s="154" t="n">
        <f aca="false">AF1-$D12</f>
        <v>0.922</v>
      </c>
      <c r="AH1" s="154" t="n">
        <f aca="false">AG1-$D12</f>
        <v>0.918</v>
      </c>
      <c r="AI1" s="154" t="n">
        <f aca="false">AH1-$D12</f>
        <v>0.914</v>
      </c>
    </row>
    <row r="2" customFormat="false" ht="21.75" hidden="false" customHeight="true" outlineLevel="0" collapsed="false">
      <c r="B2" s="186" t="s">
        <v>65</v>
      </c>
      <c r="C2" s="187" t="s">
        <v>2</v>
      </c>
      <c r="D2" s="188" t="s">
        <v>26</v>
      </c>
      <c r="E2" s="157" t="s">
        <v>26</v>
      </c>
      <c r="F2" s="189" t="s">
        <v>66</v>
      </c>
    </row>
    <row r="3" customFormat="false" ht="21.75" hidden="false" customHeight="true" outlineLevel="0" collapsed="false">
      <c r="B3" s="190" t="s">
        <v>67</v>
      </c>
      <c r="C3" s="191" t="n">
        <v>20</v>
      </c>
      <c r="D3" s="192" t="s">
        <v>26</v>
      </c>
      <c r="E3" s="161" t="s">
        <v>26</v>
      </c>
      <c r="F3" s="158" t="s">
        <v>68</v>
      </c>
    </row>
    <row r="4" customFormat="false" ht="21.75" hidden="false" customHeight="true" outlineLevel="0" collapsed="false">
      <c r="B4" s="190" t="s">
        <v>69</v>
      </c>
      <c r="C4" s="191" t="n">
        <v>436.1</v>
      </c>
      <c r="D4" s="192" t="s">
        <v>26</v>
      </c>
      <c r="E4" s="161" t="s">
        <v>26</v>
      </c>
      <c r="F4" s="158" t="s">
        <v>70</v>
      </c>
      <c r="M4" s="162" t="s">
        <v>154</v>
      </c>
    </row>
    <row r="5" customFormat="false" ht="22.5" hidden="false" customHeight="true" outlineLevel="0" collapsed="false">
      <c r="B5" s="193" t="s">
        <v>72</v>
      </c>
      <c r="C5" s="191" t="n">
        <v>2020</v>
      </c>
      <c r="D5" s="193" t="s">
        <v>138</v>
      </c>
      <c r="E5" s="194" t="n">
        <v>2039</v>
      </c>
      <c r="F5" s="158" t="s">
        <v>139</v>
      </c>
      <c r="M5" s="162" t="s">
        <v>155</v>
      </c>
    </row>
    <row r="6" customFormat="false" ht="20.25" hidden="false" customHeight="true" outlineLevel="0" collapsed="false">
      <c r="B6" s="163"/>
      <c r="C6" s="163"/>
      <c r="D6" s="163"/>
      <c r="E6" s="163"/>
      <c r="M6" s="162" t="s">
        <v>156</v>
      </c>
    </row>
    <row r="7" customFormat="false" ht="22.5" hidden="false" customHeight="true" outlineLevel="0" collapsed="false">
      <c r="B7" s="152" t="s">
        <v>140</v>
      </c>
      <c r="C7" s="184"/>
      <c r="D7" s="184"/>
      <c r="E7" s="185"/>
      <c r="M7" s="162" t="s">
        <v>157</v>
      </c>
    </row>
    <row r="8" customFormat="false" ht="22.5" hidden="false" customHeight="true" outlineLevel="0" collapsed="false">
      <c r="B8" s="165" t="s">
        <v>77</v>
      </c>
      <c r="E8" s="195"/>
      <c r="M8" s="162" t="s">
        <v>158</v>
      </c>
    </row>
    <row r="9" customFormat="false" ht="22.5" hidden="false" customHeight="true" outlineLevel="0" collapsed="false">
      <c r="B9" s="196" t="s">
        <v>79</v>
      </c>
      <c r="C9" s="197" t="s">
        <v>80</v>
      </c>
      <c r="D9" s="197" t="s">
        <v>81</v>
      </c>
      <c r="E9" s="198" t="s">
        <v>82</v>
      </c>
      <c r="F9" s="153" t="s">
        <v>64</v>
      </c>
      <c r="M9" s="162" t="s">
        <v>83</v>
      </c>
    </row>
    <row r="10" customFormat="false" ht="30" hidden="false" customHeight="true" outlineLevel="0" collapsed="false">
      <c r="B10" s="199" t="s">
        <v>84</v>
      </c>
      <c r="C10" s="200" t="s">
        <v>85</v>
      </c>
      <c r="D10" s="201" t="n">
        <v>547002</v>
      </c>
      <c r="E10" s="171" t="n">
        <v>20</v>
      </c>
      <c r="F10" s="158" t="s">
        <v>141</v>
      </c>
      <c r="M10" s="162" t="s">
        <v>159</v>
      </c>
    </row>
    <row r="11" customFormat="false" ht="30" hidden="false" customHeight="true" outlineLevel="0" collapsed="false">
      <c r="B11" s="202"/>
      <c r="C11" s="193" t="s">
        <v>87</v>
      </c>
      <c r="D11" s="203" t="n">
        <v>0.01</v>
      </c>
      <c r="E11" s="204"/>
      <c r="F11" s="158" t="s">
        <v>88</v>
      </c>
    </row>
    <row r="12" customFormat="false" ht="30" hidden="false" customHeight="true" outlineLevel="0" collapsed="false">
      <c r="B12" s="202"/>
      <c r="C12" s="193" t="s">
        <v>89</v>
      </c>
      <c r="D12" s="205" t="n">
        <v>0.004</v>
      </c>
      <c r="E12" s="204"/>
      <c r="F12" s="158" t="s">
        <v>90</v>
      </c>
    </row>
    <row r="13" customFormat="false" ht="22.5" hidden="false" customHeight="true" outlineLevel="0" collapsed="false">
      <c r="B13" s="202"/>
      <c r="C13" s="206" t="s">
        <v>91</v>
      </c>
      <c r="D13" s="207" t="n">
        <v>4</v>
      </c>
      <c r="E13" s="204"/>
      <c r="F13" s="158" t="s">
        <v>92</v>
      </c>
    </row>
    <row r="14" customFormat="false" ht="22.5" hidden="false" customHeight="true" outlineLevel="0" collapsed="false">
      <c r="B14" s="176" t="s">
        <v>142</v>
      </c>
      <c r="C14" s="184"/>
      <c r="D14" s="184"/>
      <c r="E14" s="185"/>
    </row>
    <row r="15" customFormat="false" ht="22.5" hidden="false" customHeight="true" outlineLevel="0" collapsed="false">
      <c r="B15" s="196" t="s">
        <v>79</v>
      </c>
      <c r="C15" s="197" t="s">
        <v>80</v>
      </c>
      <c r="D15" s="197" t="s">
        <v>81</v>
      </c>
      <c r="E15" s="198" t="s">
        <v>94</v>
      </c>
      <c r="F15" s="153" t="s">
        <v>64</v>
      </c>
    </row>
    <row r="16" customFormat="false" ht="21.75" hidden="false" customHeight="true" outlineLevel="0" collapsed="false">
      <c r="B16" s="200" t="s">
        <v>95</v>
      </c>
      <c r="C16" s="200" t="s">
        <v>96</v>
      </c>
      <c r="D16" s="208" t="n">
        <v>27000</v>
      </c>
      <c r="E16" s="157" t="n">
        <v>20</v>
      </c>
      <c r="F16" s="158" t="s">
        <v>143</v>
      </c>
    </row>
    <row r="17" customFormat="false" ht="21.75" hidden="false" customHeight="true" outlineLevel="0" collapsed="false">
      <c r="B17" s="202"/>
      <c r="C17" s="193" t="s">
        <v>97</v>
      </c>
      <c r="D17" s="209" t="n">
        <v>0.3</v>
      </c>
      <c r="E17" s="204"/>
      <c r="F17" s="158" t="s">
        <v>98</v>
      </c>
    </row>
    <row r="18" customFormat="false" ht="21.75" hidden="false" customHeight="true" outlineLevel="0" collapsed="false">
      <c r="B18" s="210"/>
      <c r="C18" s="193" t="s">
        <v>99</v>
      </c>
      <c r="D18" s="211" t="n">
        <v>2000</v>
      </c>
      <c r="E18" s="212"/>
      <c r="F18" s="158" t="s">
        <v>100</v>
      </c>
    </row>
    <row r="19" customFormat="false" ht="54" hidden="false" customHeight="true" outlineLevel="0" collapsed="false">
      <c r="B19" s="193" t="s">
        <v>101</v>
      </c>
      <c r="C19" s="213" t="s">
        <v>102</v>
      </c>
      <c r="D19" s="209" t="n">
        <v>1</v>
      </c>
      <c r="E19" s="157" t="n">
        <v>20</v>
      </c>
      <c r="F19" s="158" t="s">
        <v>144</v>
      </c>
    </row>
    <row r="20" customFormat="false" ht="20.25" hidden="false" customHeight="true" outlineLevel="0" collapsed="false">
      <c r="B20" s="202"/>
      <c r="C20" s="214" t="s">
        <v>103</v>
      </c>
      <c r="D20" s="211" t="n">
        <v>290201</v>
      </c>
      <c r="E20" s="157" t="n">
        <v>20</v>
      </c>
      <c r="F20" s="158" t="s">
        <v>145</v>
      </c>
    </row>
    <row r="21" customFormat="false" ht="30" hidden="false" customHeight="true" outlineLevel="0" collapsed="false">
      <c r="B21" s="210"/>
      <c r="C21" s="193" t="s">
        <v>104</v>
      </c>
      <c r="D21" s="209" t="n">
        <v>0</v>
      </c>
      <c r="E21" s="161" t="n">
        <v>20</v>
      </c>
      <c r="F21" s="158" t="s">
        <v>146</v>
      </c>
    </row>
    <row r="22" customFormat="false" ht="30" hidden="false" customHeight="true" outlineLevel="0" collapsed="false">
      <c r="B22" s="193" t="s">
        <v>105</v>
      </c>
      <c r="C22" s="193" t="s">
        <v>106</v>
      </c>
      <c r="D22" s="215" t="n">
        <v>400</v>
      </c>
      <c r="E22" s="161" t="n">
        <v>20</v>
      </c>
      <c r="F22" s="158" t="s">
        <v>147</v>
      </c>
    </row>
    <row r="23" customFormat="false" ht="30" hidden="false" customHeight="true" outlineLevel="0" collapsed="false">
      <c r="B23" s="193" t="s">
        <v>107</v>
      </c>
      <c r="C23" s="193" t="s">
        <v>108</v>
      </c>
      <c r="D23" s="209" t="n">
        <v>0.003</v>
      </c>
      <c r="E23" s="161" t="n">
        <v>20</v>
      </c>
      <c r="F23" s="158" t="s">
        <v>148</v>
      </c>
    </row>
    <row r="24" customFormat="false" ht="30" hidden="false" customHeight="true" outlineLevel="0" collapsed="false">
      <c r="B24" s="193" t="s">
        <v>109</v>
      </c>
      <c r="C24" s="193" t="s">
        <v>110</v>
      </c>
      <c r="D24" s="215" t="n">
        <v>1000</v>
      </c>
      <c r="E24" s="181" t="n">
        <v>10</v>
      </c>
      <c r="F24" s="158" t="s">
        <v>149</v>
      </c>
    </row>
    <row r="25" customFormat="false" ht="30" hidden="false" customHeight="true" outlineLevel="0" collapsed="false">
      <c r="B25" s="193" t="s">
        <v>111</v>
      </c>
      <c r="C25" s="193" t="s">
        <v>112</v>
      </c>
      <c r="D25" s="216" t="n">
        <v>0.0256</v>
      </c>
      <c r="E25" s="161" t="n">
        <v>20</v>
      </c>
      <c r="F25" s="158" t="s">
        <v>150</v>
      </c>
    </row>
    <row r="26" customFormat="false" ht="30" hidden="false" customHeight="true" outlineLevel="0" collapsed="false">
      <c r="B26" s="193" t="s">
        <v>14</v>
      </c>
      <c r="C26" s="193" t="s">
        <v>113</v>
      </c>
      <c r="D26" s="209" t="n">
        <v>0.2</v>
      </c>
      <c r="E26" s="161" t="n">
        <v>20</v>
      </c>
      <c r="F26" s="158" t="s">
        <v>151</v>
      </c>
    </row>
    <row r="27" customFormat="false" ht="20.25" hidden="false" customHeight="true" outlineLevel="0" collapsed="false">
      <c r="B27" s="163"/>
      <c r="C27" s="163"/>
      <c r="D27" s="163"/>
      <c r="E27" s="163"/>
    </row>
    <row r="28" customFormat="false" ht="20.25" hidden="false" customHeight="true" outlineLevel="0" collapsed="false">
      <c r="B28" s="163"/>
      <c r="C28" s="163"/>
      <c r="D28" s="163"/>
      <c r="E28" s="163"/>
    </row>
    <row r="29" customFormat="false" ht="22.5" hidden="false" customHeight="true" outlineLevel="0" collapsed="false">
      <c r="B29" s="152" t="s">
        <v>152</v>
      </c>
      <c r="C29" s="184"/>
      <c r="D29" s="185"/>
      <c r="E29" s="163"/>
    </row>
    <row r="30" customFormat="false" ht="22.5" hidden="false" customHeight="true" outlineLevel="0" collapsed="false">
      <c r="B30" s="196" t="s">
        <v>115</v>
      </c>
      <c r="C30" s="217" t="s">
        <v>80</v>
      </c>
      <c r="D30" s="218" t="s">
        <v>81</v>
      </c>
      <c r="E30" s="163"/>
      <c r="F30" s="153" t="s">
        <v>64</v>
      </c>
    </row>
    <row r="31" customFormat="false" ht="30" hidden="false" customHeight="true" outlineLevel="0" collapsed="false">
      <c r="B31" s="200" t="s">
        <v>116</v>
      </c>
      <c r="C31" s="186" t="s">
        <v>117</v>
      </c>
      <c r="D31" s="219" t="n">
        <v>0.8</v>
      </c>
      <c r="E31" s="163"/>
      <c r="F31" s="158" t="s">
        <v>118</v>
      </c>
    </row>
    <row r="32" customFormat="false" ht="18.75" hidden="false" customHeight="true" outlineLevel="0" collapsed="false">
      <c r="B32" s="200" t="s">
        <v>119</v>
      </c>
      <c r="C32" s="186" t="s">
        <v>120</v>
      </c>
      <c r="D32" s="219" t="n">
        <v>15</v>
      </c>
      <c r="E32" s="163"/>
      <c r="F32" s="158" t="s">
        <v>121</v>
      </c>
    </row>
    <row r="33" customFormat="false" ht="18.75" hidden="false" customHeight="true" outlineLevel="0" collapsed="false">
      <c r="B33" s="193" t="s">
        <v>53</v>
      </c>
      <c r="C33" s="190" t="s">
        <v>122</v>
      </c>
      <c r="D33" s="209" t="n">
        <v>0.9</v>
      </c>
      <c r="E33" s="163"/>
      <c r="F33" s="158" t="s">
        <v>123</v>
      </c>
    </row>
    <row r="34" customFormat="false" ht="30" hidden="false" customHeight="true" outlineLevel="0" collapsed="false">
      <c r="B34" s="193" t="s">
        <v>54</v>
      </c>
      <c r="C34" s="190" t="s">
        <v>120</v>
      </c>
      <c r="D34" s="209" t="n">
        <v>4</v>
      </c>
      <c r="E34" s="163"/>
      <c r="F34" s="158" t="s">
        <v>124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5"/>
      <c r="C37" s="66" t="s">
        <v>0</v>
      </c>
      <c r="D37" s="66" t="n">
        <v>2020</v>
      </c>
      <c r="E37" s="66" t="n">
        <v>2021</v>
      </c>
      <c r="F37" s="66" t="n">
        <v>2022</v>
      </c>
      <c r="G37" s="66" t="n">
        <v>2023</v>
      </c>
      <c r="H37" s="66" t="n">
        <v>2024</v>
      </c>
      <c r="I37" s="66" t="n">
        <v>2025</v>
      </c>
      <c r="J37" s="66" t="n">
        <v>2026</v>
      </c>
      <c r="K37" s="66" t="n">
        <v>2027</v>
      </c>
      <c r="L37" s="66" t="n">
        <v>2028</v>
      </c>
      <c r="M37" s="66" t="n">
        <v>2029</v>
      </c>
      <c r="N37" s="66" t="n">
        <v>2030</v>
      </c>
      <c r="O37" s="66" t="n">
        <v>2031</v>
      </c>
      <c r="P37" s="66" t="n">
        <v>2032</v>
      </c>
      <c r="Q37" s="66" t="n">
        <v>2033</v>
      </c>
      <c r="R37" s="66" t="n">
        <v>2034</v>
      </c>
      <c r="S37" s="66" t="n">
        <v>2035</v>
      </c>
      <c r="T37" s="66" t="n">
        <v>2036</v>
      </c>
      <c r="U37" s="66" t="n">
        <v>2037</v>
      </c>
      <c r="V37" s="66" t="n">
        <v>2038</v>
      </c>
      <c r="W37" s="66" t="n">
        <v>2039</v>
      </c>
      <c r="X37" s="66"/>
    </row>
    <row r="38" customFormat="false" ht="18.75" hidden="false" customHeight="true" outlineLevel="0" collapsed="false">
      <c r="B38" s="68" t="n">
        <v>0</v>
      </c>
      <c r="C38" s="69"/>
      <c r="D38" s="70"/>
      <c r="E38" s="70"/>
      <c r="F38" s="71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3"/>
      <c r="U38" s="72"/>
      <c r="V38" s="72"/>
      <c r="W38" s="72"/>
      <c r="X38" s="220"/>
    </row>
    <row r="39" customFormat="false" ht="18.75" hidden="false" customHeight="true" outlineLevel="0" collapsed="false">
      <c r="B39" s="75" t="s">
        <v>23</v>
      </c>
      <c r="C39" s="76" t="n">
        <v>0</v>
      </c>
      <c r="D39" s="77" t="n">
        <v>1</v>
      </c>
      <c r="E39" s="77" t="n">
        <v>2</v>
      </c>
      <c r="F39" s="77" t="n">
        <v>3</v>
      </c>
      <c r="G39" s="77" t="n">
        <v>4</v>
      </c>
      <c r="H39" s="77" t="n">
        <v>5</v>
      </c>
      <c r="I39" s="77" t="n">
        <v>6</v>
      </c>
      <c r="J39" s="77" t="n">
        <v>7</v>
      </c>
      <c r="K39" s="77" t="n">
        <v>8</v>
      </c>
      <c r="L39" s="77" t="n">
        <v>9</v>
      </c>
      <c r="M39" s="77" t="n">
        <v>10</v>
      </c>
      <c r="N39" s="77" t="n">
        <v>11</v>
      </c>
      <c r="O39" s="77" t="n">
        <v>12</v>
      </c>
      <c r="P39" s="77" t="n">
        <v>13</v>
      </c>
      <c r="Q39" s="77" t="n">
        <v>14</v>
      </c>
      <c r="R39" s="77" t="n">
        <v>15</v>
      </c>
      <c r="S39" s="77" t="n">
        <v>16</v>
      </c>
      <c r="T39" s="78" t="n">
        <v>17</v>
      </c>
      <c r="U39" s="77" t="n">
        <v>18</v>
      </c>
      <c r="V39" s="77" t="n">
        <v>19</v>
      </c>
      <c r="W39" s="77" t="n">
        <v>20</v>
      </c>
      <c r="X39" s="221"/>
    </row>
    <row r="40" customFormat="false" ht="18.75" hidden="false" customHeight="true" outlineLevel="0" collapsed="false">
      <c r="B40" s="222" t="s">
        <v>153</v>
      </c>
      <c r="C40" s="81" t="n">
        <v>0</v>
      </c>
      <c r="D40" s="82" t="n">
        <f aca="false">$D$10*P1</f>
        <v>541531.98</v>
      </c>
      <c r="E40" s="82" t="n">
        <f aca="false">$D$10*Q1</f>
        <v>539343.972</v>
      </c>
      <c r="F40" s="82" t="n">
        <f aca="false">$D$10*R1</f>
        <v>537155.964</v>
      </c>
      <c r="G40" s="82" t="n">
        <f aca="false">$D$10*S1</f>
        <v>534967.956</v>
      </c>
      <c r="H40" s="82" t="n">
        <f aca="false">$D$10*T1</f>
        <v>532779.948</v>
      </c>
      <c r="I40" s="82" t="n">
        <f aca="false">$D$10*U1</f>
        <v>530591.94</v>
      </c>
      <c r="J40" s="82" t="n">
        <f aca="false">$D$10*V1</f>
        <v>528403.932</v>
      </c>
      <c r="K40" s="82" t="n">
        <f aca="false">$D$10*W1</f>
        <v>526215.924</v>
      </c>
      <c r="L40" s="82" t="n">
        <f aca="false">$D$10*X1</f>
        <v>524027.916</v>
      </c>
      <c r="M40" s="82" t="n">
        <f aca="false">$D$10*Y1</f>
        <v>521839.908</v>
      </c>
      <c r="N40" s="82" t="n">
        <f aca="false">$D$10*Z1</f>
        <v>519651.9</v>
      </c>
      <c r="O40" s="82" t="n">
        <f aca="false">$D$10*AA1</f>
        <v>517463.892</v>
      </c>
      <c r="P40" s="82" t="n">
        <f aca="false">$D$10*AB1</f>
        <v>515275.884</v>
      </c>
      <c r="Q40" s="82" t="n">
        <f aca="false">$D$10*AC1</f>
        <v>513087.876</v>
      </c>
      <c r="R40" s="82" t="n">
        <f aca="false">$D$10*AD1</f>
        <v>510899.868</v>
      </c>
      <c r="S40" s="82" t="n">
        <f aca="false">$D$10*AE1</f>
        <v>508711.86</v>
      </c>
      <c r="T40" s="82" t="n">
        <f aca="false">$D$10*AF1</f>
        <v>506523.852</v>
      </c>
      <c r="U40" s="82" t="n">
        <f aca="false">$D$10*AG1</f>
        <v>504335.844</v>
      </c>
      <c r="V40" s="82" t="n">
        <f aca="false">$D$10*AH1</f>
        <v>502147.836</v>
      </c>
      <c r="W40" s="82" t="n">
        <f aca="false">$D$10*AI1</f>
        <v>499959.828</v>
      </c>
      <c r="X40" s="223"/>
    </row>
    <row r="41" customFormat="false" ht="18.75" hidden="false" customHeight="true" outlineLevel="0" collapsed="false">
      <c r="B41" s="224" t="s">
        <v>25</v>
      </c>
      <c r="C41" s="225" t="s">
        <v>26</v>
      </c>
      <c r="D41" s="226" t="n">
        <f aca="false">D40*$D$13</f>
        <v>2166127.92</v>
      </c>
      <c r="E41" s="226" t="n">
        <f aca="false">E40*$D$13</f>
        <v>2157375.888</v>
      </c>
      <c r="F41" s="226" t="n">
        <f aca="false">F40*$D$13</f>
        <v>2148623.856</v>
      </c>
      <c r="G41" s="226" t="n">
        <f aca="false">G40*$D$13</f>
        <v>2139871.824</v>
      </c>
      <c r="H41" s="226" t="n">
        <f aca="false">H40*$D$13</f>
        <v>2131119.792</v>
      </c>
      <c r="I41" s="226" t="n">
        <f aca="false">I40*$D$13</f>
        <v>2122367.76</v>
      </c>
      <c r="J41" s="226" t="n">
        <f aca="false">J40*$D$13</f>
        <v>2113615.728</v>
      </c>
      <c r="K41" s="226" t="n">
        <f aca="false">K40*$D$13</f>
        <v>2104863.696</v>
      </c>
      <c r="L41" s="226" t="n">
        <f aca="false">L40*$D$13</f>
        <v>2096111.664</v>
      </c>
      <c r="M41" s="226" t="n">
        <f aca="false">M40*$D$13</f>
        <v>2087359.632</v>
      </c>
      <c r="N41" s="226" t="n">
        <f aca="false">N40*$D$13</f>
        <v>2078607.6</v>
      </c>
      <c r="O41" s="226" t="n">
        <f aca="false">O40*$D$13</f>
        <v>2069855.568</v>
      </c>
      <c r="P41" s="226" t="n">
        <f aca="false">P40*$D$13</f>
        <v>2061103.536</v>
      </c>
      <c r="Q41" s="226" t="n">
        <f aca="false">Q40*$D$13</f>
        <v>2052351.504</v>
      </c>
      <c r="R41" s="226" t="n">
        <f aca="false">R40*$D$13</f>
        <v>2043599.472</v>
      </c>
      <c r="S41" s="226" t="n">
        <f aca="false">S40*$D$13</f>
        <v>2034847.44</v>
      </c>
      <c r="T41" s="226" t="n">
        <f aca="false">T40*$D$13</f>
        <v>2026095.408</v>
      </c>
      <c r="U41" s="226" t="n">
        <f aca="false">U40*$D$13</f>
        <v>2017343.376</v>
      </c>
      <c r="V41" s="226" t="n">
        <f aca="false">V40*$D$13</f>
        <v>2008591.344</v>
      </c>
      <c r="W41" s="226" t="n">
        <f aca="false">W40*$D$13</f>
        <v>1999839.312</v>
      </c>
      <c r="X41" s="227"/>
    </row>
    <row r="42" customFormat="false" ht="18.75" hidden="false" customHeight="true" outlineLevel="0" collapsed="false">
      <c r="B42" s="228" t="s">
        <v>27</v>
      </c>
      <c r="C42" s="229" t="s">
        <v>26</v>
      </c>
      <c r="D42" s="230"/>
      <c r="E42" s="230"/>
      <c r="F42" s="230"/>
      <c r="G42" s="231" t="s">
        <v>26</v>
      </c>
      <c r="H42" s="231" t="s">
        <v>26</v>
      </c>
      <c r="I42" s="231" t="s">
        <v>26</v>
      </c>
      <c r="J42" s="231" t="s">
        <v>26</v>
      </c>
      <c r="K42" s="231" t="s">
        <v>26</v>
      </c>
      <c r="L42" s="231" t="s">
        <v>26</v>
      </c>
      <c r="M42" s="231" t="s">
        <v>26</v>
      </c>
      <c r="N42" s="231" t="s">
        <v>26</v>
      </c>
      <c r="O42" s="231" t="s">
        <v>26</v>
      </c>
      <c r="P42" s="231" t="s">
        <v>26</v>
      </c>
      <c r="Q42" s="231" t="s">
        <v>26</v>
      </c>
      <c r="R42" s="231" t="s">
        <v>26</v>
      </c>
      <c r="S42" s="231" t="s">
        <v>26</v>
      </c>
      <c r="T42" s="231" t="s">
        <v>26</v>
      </c>
      <c r="U42" s="231" t="s">
        <v>26</v>
      </c>
      <c r="V42" s="231" t="s">
        <v>26</v>
      </c>
      <c r="W42" s="231" t="s">
        <v>26</v>
      </c>
      <c r="X42" s="232"/>
    </row>
    <row r="43" customFormat="false" ht="18.75" hidden="false" customHeight="true" outlineLevel="0" collapsed="false">
      <c r="B43" s="233" t="s">
        <v>28</v>
      </c>
      <c r="C43" s="234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6"/>
    </row>
    <row r="44" customFormat="false" ht="18.75" hidden="false" customHeight="true" outlineLevel="0" collapsed="false">
      <c r="B44" s="237" t="s">
        <v>29</v>
      </c>
      <c r="C44" s="238" t="n">
        <f aca="false">-(D16/(1-D17)+D18)*C4</f>
        <v>-17693200</v>
      </c>
      <c r="D44" s="239"/>
      <c r="E44" s="239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</row>
    <row r="45" customFormat="false" ht="18.75" hidden="false" customHeight="true" outlineLevel="0" collapsed="false">
      <c r="B45" s="237" t="s">
        <v>30</v>
      </c>
      <c r="C45" s="229" t="s">
        <v>26</v>
      </c>
      <c r="D45" s="162" t="n">
        <v>-290201</v>
      </c>
      <c r="E45" s="239" t="n">
        <v>-290201</v>
      </c>
      <c r="F45" s="239" t="n">
        <v>-290201</v>
      </c>
      <c r="G45" s="239" t="n">
        <v>-290201</v>
      </c>
      <c r="H45" s="239" t="n">
        <v>-290201</v>
      </c>
      <c r="I45" s="239" t="n">
        <v>-290201</v>
      </c>
      <c r="J45" s="239" t="n">
        <v>-290201</v>
      </c>
      <c r="K45" s="239" t="n">
        <v>-290201</v>
      </c>
      <c r="L45" s="239" t="n">
        <v>-290201</v>
      </c>
      <c r="M45" s="239" t="n">
        <v>-290201</v>
      </c>
      <c r="N45" s="239" t="n">
        <v>-290201</v>
      </c>
      <c r="O45" s="239" t="n">
        <v>-290201</v>
      </c>
      <c r="P45" s="239" t="n">
        <v>-290201</v>
      </c>
      <c r="Q45" s="239" t="n">
        <v>-290201</v>
      </c>
      <c r="R45" s="239" t="n">
        <v>-290201</v>
      </c>
      <c r="S45" s="239" t="n">
        <v>-290201</v>
      </c>
      <c r="T45" s="239" t="n">
        <v>-290201</v>
      </c>
      <c r="U45" s="239" t="n">
        <v>-290201</v>
      </c>
      <c r="V45" s="239" t="n">
        <v>-290201</v>
      </c>
      <c r="W45" s="239" t="n">
        <v>-290201</v>
      </c>
      <c r="X45" s="239"/>
    </row>
    <row r="46" customFormat="false" ht="18.75" hidden="false" customHeight="true" outlineLevel="0" collapsed="false">
      <c r="B46" s="237" t="s">
        <v>31</v>
      </c>
      <c r="C46" s="229"/>
      <c r="D46" s="239"/>
      <c r="E46" s="239"/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</row>
    <row r="47" customFormat="false" ht="18.75" hidden="false" customHeight="true" outlineLevel="0" collapsed="false">
      <c r="B47" s="237" t="s">
        <v>32</v>
      </c>
      <c r="C47" s="229" t="s">
        <v>26</v>
      </c>
      <c r="D47" s="239"/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</row>
    <row r="48" customFormat="false" ht="18.75" hidden="false" customHeight="true" outlineLevel="0" collapsed="false">
      <c r="B48" s="237" t="s">
        <v>33</v>
      </c>
      <c r="C48" s="229" t="s">
        <v>26</v>
      </c>
      <c r="D48" s="239" t="n">
        <v>-174440</v>
      </c>
      <c r="E48" s="239" t="n">
        <v>-174440</v>
      </c>
      <c r="F48" s="239" t="n">
        <v>-174440</v>
      </c>
      <c r="G48" s="239" t="n">
        <v>-174440</v>
      </c>
      <c r="H48" s="239" t="n">
        <v>-174440</v>
      </c>
      <c r="I48" s="239" t="n">
        <v>-174440</v>
      </c>
      <c r="J48" s="239" t="n">
        <v>-174440</v>
      </c>
      <c r="K48" s="239" t="n">
        <v>-174440</v>
      </c>
      <c r="L48" s="239" t="n">
        <v>-174440</v>
      </c>
      <c r="M48" s="239" t="n">
        <v>-174440</v>
      </c>
      <c r="N48" s="239" t="n">
        <v>-174440</v>
      </c>
      <c r="O48" s="239" t="n">
        <v>-174440</v>
      </c>
      <c r="P48" s="239" t="n">
        <v>-174440</v>
      </c>
      <c r="Q48" s="239" t="n">
        <v>-174440</v>
      </c>
      <c r="R48" s="239" t="n">
        <v>-174440</v>
      </c>
      <c r="S48" s="239" t="n">
        <v>-174440</v>
      </c>
      <c r="T48" s="239" t="n">
        <v>-174440</v>
      </c>
      <c r="U48" s="239" t="n">
        <v>-174440</v>
      </c>
      <c r="V48" s="239" t="n">
        <v>-174440</v>
      </c>
      <c r="W48" s="239" t="n">
        <v>-174440</v>
      </c>
      <c r="X48" s="239"/>
    </row>
    <row r="49" customFormat="false" ht="18.75" hidden="false" customHeight="true" outlineLevel="0" collapsed="false">
      <c r="B49" s="237" t="s">
        <v>34</v>
      </c>
      <c r="C49" s="229" t="s">
        <v>26</v>
      </c>
      <c r="D49" s="239" t="n">
        <v>-35324.1</v>
      </c>
      <c r="E49" s="239" t="n">
        <v>-35324.1</v>
      </c>
      <c r="F49" s="239" t="n">
        <v>-35324.1</v>
      </c>
      <c r="G49" s="239" t="n">
        <v>-35324.1</v>
      </c>
      <c r="H49" s="239" t="n">
        <v>-35324.1</v>
      </c>
      <c r="I49" s="239" t="n">
        <v>-35324.1</v>
      </c>
      <c r="J49" s="239" t="n">
        <v>-35324.1</v>
      </c>
      <c r="K49" s="239" t="n">
        <v>-35324.1</v>
      </c>
      <c r="L49" s="239" t="n">
        <v>-35324.1</v>
      </c>
      <c r="M49" s="239" t="n">
        <v>-35324.1</v>
      </c>
      <c r="N49" s="239" t="n">
        <v>-35324.1</v>
      </c>
      <c r="O49" s="239" t="n">
        <v>-35324.1</v>
      </c>
      <c r="P49" s="239" t="n">
        <v>-35324.1</v>
      </c>
      <c r="Q49" s="239" t="n">
        <v>-35324.1</v>
      </c>
      <c r="R49" s="239" t="n">
        <v>-35324.1</v>
      </c>
      <c r="S49" s="239" t="n">
        <v>-35324.1</v>
      </c>
      <c r="T49" s="239" t="n">
        <v>-35324.1</v>
      </c>
      <c r="U49" s="239" t="n">
        <v>-35324.1</v>
      </c>
      <c r="V49" s="239" t="n">
        <v>-35324.1</v>
      </c>
      <c r="W49" s="239" t="n">
        <v>-35324.1</v>
      </c>
      <c r="X49" s="239"/>
    </row>
    <row r="50" customFormat="false" ht="18.75" hidden="false" customHeight="true" outlineLevel="0" collapsed="false">
      <c r="B50" s="237" t="s">
        <v>35</v>
      </c>
      <c r="C50" s="229"/>
      <c r="D50" s="239" t="n">
        <v>-43610</v>
      </c>
      <c r="E50" s="239" t="n">
        <v>-43610</v>
      </c>
      <c r="F50" s="239" t="n">
        <v>-43610</v>
      </c>
      <c r="G50" s="239" t="n">
        <v>-43610</v>
      </c>
      <c r="H50" s="239" t="n">
        <v>-43610</v>
      </c>
      <c r="I50" s="239" t="n">
        <v>-43610</v>
      </c>
      <c r="J50" s="239" t="n">
        <v>-43610</v>
      </c>
      <c r="K50" s="239" t="n">
        <v>-43610</v>
      </c>
      <c r="L50" s="239" t="n">
        <v>-43610</v>
      </c>
      <c r="M50" s="239" t="n">
        <v>-43610</v>
      </c>
      <c r="N50" s="239" t="n">
        <v>0</v>
      </c>
      <c r="O50" s="239" t="n">
        <v>0</v>
      </c>
      <c r="P50" s="239" t="n">
        <v>0</v>
      </c>
      <c r="Q50" s="239" t="n">
        <v>0</v>
      </c>
      <c r="R50" s="239" t="n">
        <v>0</v>
      </c>
      <c r="S50" s="239" t="n">
        <v>0</v>
      </c>
      <c r="T50" s="239" t="n">
        <v>0</v>
      </c>
      <c r="U50" s="239" t="n">
        <v>0</v>
      </c>
      <c r="V50" s="239" t="n">
        <v>0</v>
      </c>
      <c r="W50" s="239" t="n">
        <v>0</v>
      </c>
      <c r="X50" s="239"/>
    </row>
    <row r="51" customFormat="false" ht="18.75" hidden="false" customHeight="true" outlineLevel="0" collapsed="false">
      <c r="B51" s="237" t="s">
        <v>36</v>
      </c>
      <c r="C51" s="240"/>
      <c r="D51" s="239"/>
      <c r="E51" s="239"/>
      <c r="F51" s="239"/>
      <c r="G51" s="239"/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</row>
    <row r="52" customFormat="false" ht="18.75" hidden="false" customHeight="true" outlineLevel="0" collapsed="false">
      <c r="B52" s="237" t="s">
        <v>37</v>
      </c>
      <c r="C52" s="240"/>
      <c r="D52" s="239"/>
      <c r="E52" s="239"/>
      <c r="F52" s="239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</row>
    <row r="53" customFormat="false" ht="18.75" hidden="false" customHeight="true" outlineLevel="0" collapsed="false">
      <c r="B53" s="241" t="s">
        <v>38</v>
      </c>
      <c r="C53" s="240"/>
      <c r="D53" s="239"/>
      <c r="E53" s="239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</row>
    <row r="54" customFormat="false" ht="18.75" hidden="false" customHeight="true" outlineLevel="0" collapsed="false">
      <c r="B54" s="241" t="s">
        <v>39</v>
      </c>
      <c r="C54" s="240"/>
      <c r="D54" s="239" t="n">
        <f aca="false">D77</f>
        <v>-205618.764</v>
      </c>
      <c r="E54" s="239" t="n">
        <f aca="false">E77</f>
        <v>-145828.1576</v>
      </c>
      <c r="F54" s="239" t="n">
        <f aca="false">F77</f>
        <v>-144077.7512</v>
      </c>
      <c r="G54" s="239" t="n">
        <f aca="false">G77</f>
        <v>-142327.3448</v>
      </c>
      <c r="H54" s="239" t="n">
        <f aca="false">H77</f>
        <v>-140576.9384</v>
      </c>
      <c r="I54" s="239" t="n">
        <f aca="false">I77</f>
        <v>-138826.532</v>
      </c>
      <c r="J54" s="239" t="n">
        <f aca="false">J77</f>
        <v>-137076.1256</v>
      </c>
      <c r="K54" s="239" t="n">
        <f aca="false">K77</f>
        <v>-135325.7192</v>
      </c>
      <c r="L54" s="239" t="n">
        <f aca="false">L77</f>
        <v>-133575.3128</v>
      </c>
      <c r="M54" s="239" t="n">
        <f aca="false">M77</f>
        <v>-131824.9064</v>
      </c>
      <c r="N54" s="239" t="n">
        <f aca="false">N77</f>
        <v>-138796.5</v>
      </c>
      <c r="O54" s="239" t="n">
        <f aca="false">O77</f>
        <v>-137046.0936</v>
      </c>
      <c r="P54" s="239" t="n">
        <f aca="false">P77</f>
        <v>-135295.6872</v>
      </c>
      <c r="Q54" s="239" t="n">
        <f aca="false">Q77</f>
        <v>-133545.2808</v>
      </c>
      <c r="R54" s="239" t="n">
        <f aca="false">R77</f>
        <v>-131794.8744</v>
      </c>
      <c r="S54" s="239" t="n">
        <f aca="false">S77</f>
        <v>-130044.468</v>
      </c>
      <c r="T54" s="239" t="n">
        <f aca="false">T77</f>
        <v>-128294.0616</v>
      </c>
      <c r="U54" s="239" t="n">
        <f aca="false">U77</f>
        <v>-126543.6552</v>
      </c>
      <c r="V54" s="239" t="n">
        <f aca="false">V77</f>
        <v>-124793.2488</v>
      </c>
      <c r="W54" s="239" t="n">
        <f aca="false">W77</f>
        <v>-123042.8424</v>
      </c>
      <c r="X54" s="230"/>
    </row>
    <row r="55" customFormat="false" ht="18.75" hidden="false" customHeight="true" outlineLevel="0" collapsed="false">
      <c r="B55" s="242" t="s">
        <v>40</v>
      </c>
      <c r="C55" s="243" t="n">
        <f aca="false">C44</f>
        <v>-17693200</v>
      </c>
      <c r="D55" s="244" t="n">
        <f aca="false">SUM(D41:D54)</f>
        <v>1416934.056</v>
      </c>
      <c r="E55" s="244" t="n">
        <f aca="false">SUM(E41:E54)</f>
        <v>1467972.6304</v>
      </c>
      <c r="F55" s="244" t="n">
        <f aca="false">SUM(F41:F54)</f>
        <v>1460971.0048</v>
      </c>
      <c r="G55" s="244" t="n">
        <f aca="false">SUM(G41:G54)</f>
        <v>1453969.3792</v>
      </c>
      <c r="H55" s="244" t="n">
        <f aca="false">SUM(H41:H54)</f>
        <v>1446967.7536</v>
      </c>
      <c r="I55" s="244" t="n">
        <f aca="false">SUM(I41:I54)</f>
        <v>1439966.128</v>
      </c>
      <c r="J55" s="244" t="n">
        <f aca="false">SUM(J41:J54)</f>
        <v>1432964.5024</v>
      </c>
      <c r="K55" s="244" t="n">
        <f aca="false">SUM(K41:K54)</f>
        <v>1425962.8768</v>
      </c>
      <c r="L55" s="244" t="n">
        <f aca="false">SUM(L41:L54)</f>
        <v>1418961.2512</v>
      </c>
      <c r="M55" s="244" t="n">
        <f aca="false">SUM(M41:M54)</f>
        <v>1411959.6256</v>
      </c>
      <c r="N55" s="244" t="n">
        <f aca="false">SUM(N41:N54)</f>
        <v>1439846</v>
      </c>
      <c r="O55" s="244" t="n">
        <f aca="false">SUM(O41:O54)</f>
        <v>1432844.3744</v>
      </c>
      <c r="P55" s="244" t="n">
        <f aca="false">SUM(P41:P54)</f>
        <v>1425842.7488</v>
      </c>
      <c r="Q55" s="244" t="n">
        <f aca="false">SUM(Q41:Q54)</f>
        <v>1418841.1232</v>
      </c>
      <c r="R55" s="244" t="n">
        <f aca="false">SUM(R41:R54)</f>
        <v>1411839.4976</v>
      </c>
      <c r="S55" s="244" t="n">
        <f aca="false">SUM(S41:S54)</f>
        <v>1404837.872</v>
      </c>
      <c r="T55" s="244" t="n">
        <f aca="false">SUM(T41:T54)</f>
        <v>1397836.2464</v>
      </c>
      <c r="U55" s="244" t="n">
        <f aca="false">SUM(U41:U54)</f>
        <v>1390834.6208</v>
      </c>
      <c r="V55" s="244" t="n">
        <f aca="false">SUM(V41:V54)</f>
        <v>1383832.9952</v>
      </c>
      <c r="W55" s="244" t="n">
        <f aca="false">SUM(W41:W54)</f>
        <v>1376831.3696</v>
      </c>
      <c r="X55" s="245"/>
      <c r="Y55" s="246"/>
      <c r="Z55" s="247"/>
      <c r="AA55" s="246"/>
      <c r="AB55" s="246"/>
      <c r="AC55" s="246"/>
      <c r="AD55" s="246"/>
      <c r="AE55" s="246"/>
      <c r="AF55" s="246"/>
      <c r="AG55" s="246"/>
      <c r="AH55" s="246"/>
      <c r="AI55" s="246"/>
      <c r="AJ55" s="246"/>
    </row>
    <row r="56" customFormat="false" ht="18.75" hidden="false" customHeight="true" outlineLevel="0" collapsed="false">
      <c r="B56" s="248" t="s">
        <v>41</v>
      </c>
      <c r="D56" s="249" t="n">
        <f aca="false">C55+D55</f>
        <v>-16276265.944</v>
      </c>
      <c r="E56" s="249" t="n">
        <f aca="false">D56+E55</f>
        <v>-14808293.3136</v>
      </c>
      <c r="F56" s="249" t="n">
        <f aca="false">E56+F55</f>
        <v>-13347322.3088</v>
      </c>
      <c r="G56" s="249" t="n">
        <f aca="false">F56+G55</f>
        <v>-11893352.9296</v>
      </c>
      <c r="H56" s="249" t="n">
        <f aca="false">G56+H55</f>
        <v>-10446385.176</v>
      </c>
      <c r="I56" s="249" t="n">
        <f aca="false">H56+I55</f>
        <v>-9006419.048</v>
      </c>
      <c r="J56" s="249" t="n">
        <f aca="false">I56+J55</f>
        <v>-7573454.5456</v>
      </c>
      <c r="K56" s="249" t="n">
        <f aca="false">J56+K55</f>
        <v>-6147491.6688</v>
      </c>
      <c r="L56" s="249" t="n">
        <f aca="false">K56+L55</f>
        <v>-4728530.4176</v>
      </c>
      <c r="M56" s="249" t="n">
        <f aca="false">L56+M55</f>
        <v>-3316570.792</v>
      </c>
      <c r="N56" s="249" t="n">
        <f aca="false">M56+N55</f>
        <v>-1876724.792</v>
      </c>
      <c r="O56" s="249" t="n">
        <f aca="false">N56+O55</f>
        <v>-443880.417600002</v>
      </c>
      <c r="P56" s="249" t="n">
        <f aca="false">O56+P55</f>
        <v>981962.331199998</v>
      </c>
      <c r="Q56" s="249" t="n">
        <f aca="false">P56+Q55</f>
        <v>2400803.4544</v>
      </c>
      <c r="R56" s="249" t="n">
        <f aca="false">Q56+R55</f>
        <v>3812642.952</v>
      </c>
      <c r="S56" s="249" t="n">
        <f aca="false">R56+S55</f>
        <v>5217480.824</v>
      </c>
      <c r="T56" s="249" t="n">
        <f aca="false">S56+T55</f>
        <v>6615317.0704</v>
      </c>
      <c r="U56" s="249" t="n">
        <f aca="false">T56+U55</f>
        <v>8006151.6912</v>
      </c>
      <c r="V56" s="249" t="n">
        <f aca="false">U56+V55</f>
        <v>9389984.6864</v>
      </c>
      <c r="W56" s="249" t="n">
        <f aca="false">V56+W55</f>
        <v>10766816.056</v>
      </c>
      <c r="X56" s="249" t="n">
        <f aca="false">W56+X55</f>
        <v>10766816.056</v>
      </c>
      <c r="Y56" s="246"/>
      <c r="Z56" s="246"/>
      <c r="AA56" s="246"/>
      <c r="AB56" s="246"/>
      <c r="AC56" s="246"/>
      <c r="AD56" s="246"/>
      <c r="AE56" s="246"/>
      <c r="AF56" s="246"/>
      <c r="AG56" s="246"/>
      <c r="AH56" s="246"/>
      <c r="AI56" s="246"/>
      <c r="AJ56" s="246"/>
    </row>
    <row r="57" customFormat="false" ht="18.75" hidden="false" customHeight="true" outlineLevel="0" collapsed="false">
      <c r="B57" s="250" t="s">
        <v>42</v>
      </c>
      <c r="C57" s="251"/>
      <c r="D57" s="252" t="str">
        <f aca="false">IF((D56)&gt;0,"回收","未回收")</f>
        <v>未回收</v>
      </c>
      <c r="E57" s="253" t="str">
        <f aca="false">IF((E56)&gt;0,"回收","未回收")</f>
        <v>未回收</v>
      </c>
      <c r="F57" s="253" t="str">
        <f aca="false">IF((F56)&gt;0,"回收","未回收")</f>
        <v>未回收</v>
      </c>
      <c r="G57" s="253" t="str">
        <f aca="false">IF((G56)&gt;0,"回收","未回收")</f>
        <v>未回收</v>
      </c>
      <c r="H57" s="253" t="str">
        <f aca="false">IF((H56)&gt;0,"回收","未回收")</f>
        <v>未回收</v>
      </c>
      <c r="I57" s="253" t="str">
        <f aca="false">IF((I56)&gt;0,"回收","未回收")</f>
        <v>未回收</v>
      </c>
      <c r="J57" s="253" t="str">
        <f aca="false">IF((J56)&gt;0,"回收","未回收")</f>
        <v>未回收</v>
      </c>
      <c r="K57" s="253" t="str">
        <f aca="false">IF((K56)&gt;0,"回收","未回收")</f>
        <v>未回收</v>
      </c>
      <c r="L57" s="253" t="str">
        <f aca="false">IF((L56)&gt;0,"回收","未回收")</f>
        <v>未回收</v>
      </c>
      <c r="M57" s="253" t="str">
        <f aca="false">IF((M56)&gt;0,"回收","未回收")</f>
        <v>未回收</v>
      </c>
      <c r="N57" s="253" t="str">
        <f aca="false">IF((N56)&gt;0,"回收","未回收")</f>
        <v>未回收</v>
      </c>
      <c r="O57" s="253" t="str">
        <f aca="false">IF((O56)&gt;0,"回收","未回收")</f>
        <v>未回收</v>
      </c>
      <c r="P57" s="253" t="str">
        <f aca="false">IF((P56)&gt;0,"回收","未回收")</f>
        <v>回收</v>
      </c>
      <c r="Q57" s="253" t="str">
        <f aca="false">IF((Q56)&gt;0,"回收","未回收")</f>
        <v>回收</v>
      </c>
      <c r="R57" s="253" t="str">
        <f aca="false">IF((R56)&gt;0,"回收","未回收")</f>
        <v>回收</v>
      </c>
      <c r="S57" s="253" t="str">
        <f aca="false">IF((S56)&gt;0,"回收","未回收")</f>
        <v>回收</v>
      </c>
      <c r="T57" s="253" t="str">
        <f aca="false">IF((T56)&gt;0,"回收","未回收")</f>
        <v>回收</v>
      </c>
      <c r="U57" s="253" t="str">
        <f aca="false">IF((U56)&gt;0,"回收","未回收")</f>
        <v>回收</v>
      </c>
      <c r="V57" s="253" t="str">
        <f aca="false">IF((V56)&gt;0,"回收","未回收")</f>
        <v>回收</v>
      </c>
      <c r="W57" s="253" t="str">
        <f aca="false">IF((W56)&gt;0,"回收","未回收")</f>
        <v>回收</v>
      </c>
      <c r="X57" s="253" t="str">
        <f aca="false">IF((X56)&gt;0,"回收","未回收")</f>
        <v>回收</v>
      </c>
      <c r="Y57" s="246"/>
      <c r="Z57" s="246"/>
      <c r="AA57" s="246"/>
      <c r="AB57" s="246"/>
      <c r="AC57" s="246"/>
      <c r="AD57" s="246"/>
      <c r="AE57" s="246"/>
      <c r="AF57" s="246"/>
      <c r="AG57" s="246"/>
      <c r="AH57" s="246"/>
      <c r="AI57" s="246"/>
      <c r="AJ57" s="246"/>
    </row>
    <row r="58" customFormat="false" ht="18.75" hidden="false" customHeight="true" outlineLevel="0" collapsed="false">
      <c r="B58" s="113" t="s">
        <v>43</v>
      </c>
      <c r="C58" s="114" t="n">
        <f aca="false">IRR(C55:W55)</f>
        <v>0.050729974712442</v>
      </c>
      <c r="D58" s="115"/>
      <c r="E58" s="115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</row>
    <row r="59" customFormat="false" ht="18.75" hidden="false" customHeight="true" outlineLevel="0" collapsed="false">
      <c r="B59" s="116"/>
      <c r="C59" s="115"/>
      <c r="D59" s="115"/>
      <c r="E59" s="115"/>
      <c r="F59" s="116"/>
      <c r="G59" s="116"/>
      <c r="H59" s="116"/>
      <c r="I59" s="116"/>
      <c r="J59" s="116"/>
      <c r="K59" s="116"/>
      <c r="L59" s="116"/>
      <c r="M59" s="115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254"/>
      <c r="Z59" s="254"/>
      <c r="AA59" s="254"/>
      <c r="AB59" s="254"/>
      <c r="AC59" s="254"/>
      <c r="AD59" s="254"/>
      <c r="AE59" s="254"/>
      <c r="AF59" s="254"/>
      <c r="AG59" s="254"/>
      <c r="AH59" s="254"/>
      <c r="AI59" s="254"/>
      <c r="AJ59" s="254"/>
    </row>
    <row r="60" customFormat="false" ht="18.75" hidden="false" customHeight="true" outlineLevel="0" collapsed="false">
      <c r="B60" s="65"/>
      <c r="C60" s="66" t="s">
        <v>0</v>
      </c>
      <c r="D60" s="66" t="n">
        <f aca="false">D37</f>
        <v>2020</v>
      </c>
      <c r="E60" s="66" t="n">
        <f aca="false">E37</f>
        <v>2021</v>
      </c>
      <c r="F60" s="66" t="n">
        <f aca="false">F37</f>
        <v>2022</v>
      </c>
      <c r="G60" s="66" t="n">
        <f aca="false">G37</f>
        <v>2023</v>
      </c>
      <c r="H60" s="66" t="n">
        <f aca="false">H37</f>
        <v>2024</v>
      </c>
      <c r="I60" s="66" t="n">
        <f aca="false">I37</f>
        <v>2025</v>
      </c>
      <c r="J60" s="66" t="n">
        <f aca="false">J37</f>
        <v>2026</v>
      </c>
      <c r="K60" s="66" t="n">
        <f aca="false">K37</f>
        <v>2027</v>
      </c>
      <c r="L60" s="66" t="n">
        <f aca="false">L37</f>
        <v>2028</v>
      </c>
      <c r="M60" s="66" t="n">
        <f aca="false">M37</f>
        <v>2029</v>
      </c>
      <c r="N60" s="66" t="n">
        <f aca="false">N37</f>
        <v>2030</v>
      </c>
      <c r="O60" s="66" t="n">
        <f aca="false">O37</f>
        <v>2031</v>
      </c>
      <c r="P60" s="66" t="n">
        <f aca="false">P37</f>
        <v>2032</v>
      </c>
      <c r="Q60" s="66" t="n">
        <f aca="false">Q37</f>
        <v>2033</v>
      </c>
      <c r="R60" s="66" t="n">
        <f aca="false">R37</f>
        <v>2034</v>
      </c>
      <c r="S60" s="66" t="n">
        <f aca="false">S37</f>
        <v>2035</v>
      </c>
      <c r="T60" s="66" t="n">
        <f aca="false">T37</f>
        <v>2036</v>
      </c>
      <c r="U60" s="66" t="n">
        <f aca="false">U37</f>
        <v>2037</v>
      </c>
      <c r="V60" s="66" t="n">
        <f aca="false">V37</f>
        <v>2038</v>
      </c>
      <c r="W60" s="66" t="n">
        <f aca="false">W37</f>
        <v>2039</v>
      </c>
      <c r="X60" s="66"/>
      <c r="Y60" s="255"/>
      <c r="Z60" s="255"/>
      <c r="AA60" s="255"/>
      <c r="AB60" s="255"/>
      <c r="AC60" s="255"/>
      <c r="AD60" s="255"/>
      <c r="AE60" s="255"/>
      <c r="AF60" s="255"/>
      <c r="AG60" s="255"/>
      <c r="AH60" s="255"/>
      <c r="AI60" s="255"/>
      <c r="AJ60" s="255"/>
    </row>
    <row r="61" customFormat="false" ht="18.75" hidden="false" customHeight="true" outlineLevel="0" collapsed="false">
      <c r="B61" s="68" t="n">
        <v>0</v>
      </c>
      <c r="C61" s="69"/>
      <c r="D61" s="70"/>
      <c r="E61" s="70"/>
      <c r="F61" s="71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118" t="s">
        <v>44</v>
      </c>
      <c r="U61" s="72"/>
      <c r="V61" s="72"/>
      <c r="W61" s="72"/>
      <c r="X61" s="220"/>
    </row>
    <row r="62" customFormat="false" ht="18.75" hidden="false" customHeight="true" outlineLevel="0" collapsed="false">
      <c r="B62" s="75" t="s">
        <v>23</v>
      </c>
      <c r="C62" s="76" t="n">
        <v>0</v>
      </c>
      <c r="D62" s="77" t="n">
        <v>1</v>
      </c>
      <c r="E62" s="77" t="n">
        <v>2</v>
      </c>
      <c r="F62" s="77" t="n">
        <v>3</v>
      </c>
      <c r="G62" s="77" t="n">
        <v>4</v>
      </c>
      <c r="H62" s="77" t="n">
        <v>5</v>
      </c>
      <c r="I62" s="77" t="n">
        <v>6</v>
      </c>
      <c r="J62" s="77" t="n">
        <v>7</v>
      </c>
      <c r="K62" s="77" t="n">
        <v>8</v>
      </c>
      <c r="L62" s="77" t="n">
        <v>9</v>
      </c>
      <c r="M62" s="77" t="n">
        <v>10</v>
      </c>
      <c r="N62" s="77" t="n">
        <v>11</v>
      </c>
      <c r="O62" s="77" t="n">
        <v>12</v>
      </c>
      <c r="P62" s="77" t="n">
        <v>13</v>
      </c>
      <c r="Q62" s="77" t="n">
        <v>14</v>
      </c>
      <c r="R62" s="77" t="n">
        <v>15</v>
      </c>
      <c r="S62" s="77" t="n">
        <v>16</v>
      </c>
      <c r="T62" s="119" t="n">
        <v>17</v>
      </c>
      <c r="U62" s="77" t="n">
        <v>18</v>
      </c>
      <c r="V62" s="77" t="n">
        <v>19</v>
      </c>
      <c r="W62" s="77" t="n">
        <v>20</v>
      </c>
      <c r="X62" s="221"/>
    </row>
    <row r="63" customFormat="false" ht="18.75" hidden="false" customHeight="true" outlineLevel="0" collapsed="false">
      <c r="B63" s="222" t="s">
        <v>153</v>
      </c>
      <c r="C63" s="81" t="n">
        <v>0</v>
      </c>
      <c r="D63" s="82" t="n">
        <f aca="false">D40</f>
        <v>541531.98</v>
      </c>
      <c r="E63" s="82" t="n">
        <f aca="false">E40</f>
        <v>539343.972</v>
      </c>
      <c r="F63" s="82" t="n">
        <f aca="false">F40</f>
        <v>537155.964</v>
      </c>
      <c r="G63" s="82" t="n">
        <f aca="false">G40</f>
        <v>534967.956</v>
      </c>
      <c r="H63" s="82" t="n">
        <f aca="false">H40</f>
        <v>532779.948</v>
      </c>
      <c r="I63" s="82" t="n">
        <f aca="false">I40</f>
        <v>530591.94</v>
      </c>
      <c r="J63" s="82" t="n">
        <f aca="false">J40</f>
        <v>528403.932</v>
      </c>
      <c r="K63" s="82" t="n">
        <f aca="false">K40</f>
        <v>526215.924</v>
      </c>
      <c r="L63" s="82" t="n">
        <f aca="false">L40</f>
        <v>524027.916</v>
      </c>
      <c r="M63" s="82" t="n">
        <f aca="false">M40</f>
        <v>521839.908</v>
      </c>
      <c r="N63" s="82" t="n">
        <f aca="false">N40</f>
        <v>519651.9</v>
      </c>
      <c r="O63" s="82" t="n">
        <f aca="false">O40</f>
        <v>517463.892</v>
      </c>
      <c r="P63" s="82" t="n">
        <f aca="false">P40</f>
        <v>515275.884</v>
      </c>
      <c r="Q63" s="82" t="n">
        <f aca="false">Q40</f>
        <v>513087.876</v>
      </c>
      <c r="R63" s="82" t="n">
        <f aca="false">R40</f>
        <v>510899.868</v>
      </c>
      <c r="S63" s="82" t="n">
        <f aca="false">S40</f>
        <v>508711.86</v>
      </c>
      <c r="T63" s="82" t="n">
        <f aca="false">T40</f>
        <v>506523.852</v>
      </c>
      <c r="U63" s="82" t="n">
        <f aca="false">U40</f>
        <v>504335.844</v>
      </c>
      <c r="V63" s="82" t="n">
        <f aca="false">V40</f>
        <v>502147.836</v>
      </c>
      <c r="W63" s="82" t="n">
        <f aca="false">W40</f>
        <v>499959.828</v>
      </c>
      <c r="X63" s="223"/>
    </row>
    <row r="64" customFormat="false" ht="18.75" hidden="false" customHeight="true" outlineLevel="0" collapsed="false">
      <c r="B64" s="224" t="s">
        <v>25</v>
      </c>
      <c r="C64" s="225" t="s">
        <v>26</v>
      </c>
      <c r="D64" s="226" t="n">
        <f aca="false">D41</f>
        <v>2166127.92</v>
      </c>
      <c r="E64" s="226" t="n">
        <f aca="false">E41</f>
        <v>2157375.888</v>
      </c>
      <c r="F64" s="226" t="n">
        <f aca="false">F41</f>
        <v>2148623.856</v>
      </c>
      <c r="G64" s="226" t="n">
        <f aca="false">G41</f>
        <v>2139871.824</v>
      </c>
      <c r="H64" s="226" t="n">
        <f aca="false">H41</f>
        <v>2131119.792</v>
      </c>
      <c r="I64" s="226" t="n">
        <f aca="false">I41</f>
        <v>2122367.76</v>
      </c>
      <c r="J64" s="226" t="n">
        <f aca="false">J41</f>
        <v>2113615.728</v>
      </c>
      <c r="K64" s="226" t="n">
        <f aca="false">K41</f>
        <v>2104863.696</v>
      </c>
      <c r="L64" s="226" t="n">
        <f aca="false">L41</f>
        <v>2096111.664</v>
      </c>
      <c r="M64" s="226" t="n">
        <f aca="false">M41</f>
        <v>2087359.632</v>
      </c>
      <c r="N64" s="226" t="n">
        <f aca="false">N41</f>
        <v>2078607.6</v>
      </c>
      <c r="O64" s="226" t="n">
        <f aca="false">O41</f>
        <v>2069855.568</v>
      </c>
      <c r="P64" s="226" t="n">
        <f aca="false">P41</f>
        <v>2061103.536</v>
      </c>
      <c r="Q64" s="226" t="n">
        <f aca="false">Q41</f>
        <v>2052351.504</v>
      </c>
      <c r="R64" s="226" t="n">
        <f aca="false">R41</f>
        <v>2043599.472</v>
      </c>
      <c r="S64" s="226" t="n">
        <f aca="false">S41</f>
        <v>2034847.44</v>
      </c>
      <c r="T64" s="226" t="n">
        <f aca="false">T41</f>
        <v>2026095.408</v>
      </c>
      <c r="U64" s="226" t="n">
        <f aca="false">U41</f>
        <v>2017343.376</v>
      </c>
      <c r="V64" s="226" t="n">
        <f aca="false">V41</f>
        <v>2008591.344</v>
      </c>
      <c r="W64" s="226" t="n">
        <f aca="false">W41</f>
        <v>1999839.312</v>
      </c>
      <c r="X64" s="227"/>
    </row>
    <row r="65" customFormat="false" ht="18.75" hidden="false" customHeight="true" outlineLevel="0" collapsed="false">
      <c r="B65" s="228" t="s">
        <v>27</v>
      </c>
      <c r="C65" s="229" t="s">
        <v>26</v>
      </c>
      <c r="D65" s="230"/>
      <c r="E65" s="230"/>
      <c r="F65" s="230"/>
      <c r="G65" s="231" t="s">
        <v>26</v>
      </c>
      <c r="H65" s="231" t="s">
        <v>26</v>
      </c>
      <c r="I65" s="231" t="s">
        <v>26</v>
      </c>
      <c r="J65" s="231" t="s">
        <v>26</v>
      </c>
      <c r="K65" s="231" t="s">
        <v>26</v>
      </c>
      <c r="L65" s="231" t="s">
        <v>26</v>
      </c>
      <c r="M65" s="231" t="s">
        <v>26</v>
      </c>
      <c r="N65" s="231" t="s">
        <v>26</v>
      </c>
      <c r="O65" s="231" t="s">
        <v>26</v>
      </c>
      <c r="P65" s="231" t="s">
        <v>26</v>
      </c>
      <c r="Q65" s="231" t="s">
        <v>26</v>
      </c>
      <c r="R65" s="231" t="s">
        <v>26</v>
      </c>
      <c r="S65" s="231" t="s">
        <v>26</v>
      </c>
      <c r="T65" s="231" t="s">
        <v>26</v>
      </c>
      <c r="U65" s="231" t="s">
        <v>26</v>
      </c>
      <c r="V65" s="231" t="s">
        <v>26</v>
      </c>
      <c r="W65" s="231" t="s">
        <v>26</v>
      </c>
      <c r="X65" s="232"/>
    </row>
    <row r="66" customFormat="false" ht="18.75" hidden="false" customHeight="true" outlineLevel="0" collapsed="false">
      <c r="B66" s="233" t="s">
        <v>28</v>
      </c>
      <c r="C66" s="234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6"/>
    </row>
    <row r="67" customFormat="false" ht="18.75" hidden="false" customHeight="true" outlineLevel="0" collapsed="false">
      <c r="B67" s="237" t="s">
        <v>45</v>
      </c>
      <c r="C67" s="229"/>
      <c r="D67" s="256" t="n">
        <f aca="false">$C$44/$E$16</f>
        <v>-884660</v>
      </c>
      <c r="E67" s="256" t="n">
        <f aca="false">$C$44/$E$16</f>
        <v>-884660</v>
      </c>
      <c r="F67" s="256" t="n">
        <f aca="false">$C$44/$E$16</f>
        <v>-884660</v>
      </c>
      <c r="G67" s="256" t="n">
        <f aca="false">$C$44/$E$16</f>
        <v>-884660</v>
      </c>
      <c r="H67" s="256" t="n">
        <f aca="false">$C$44/$E$16</f>
        <v>-884660</v>
      </c>
      <c r="I67" s="256" t="n">
        <f aca="false">$C$44/$E$16</f>
        <v>-884660</v>
      </c>
      <c r="J67" s="256" t="n">
        <f aca="false">$C$44/$E$16</f>
        <v>-884660</v>
      </c>
      <c r="K67" s="256" t="n">
        <f aca="false">$C$44/$E$16</f>
        <v>-884660</v>
      </c>
      <c r="L67" s="256" t="n">
        <f aca="false">$C$44/$E$16</f>
        <v>-884660</v>
      </c>
      <c r="M67" s="256" t="n">
        <f aca="false">$C$44/$E$16</f>
        <v>-884660</v>
      </c>
      <c r="N67" s="256" t="n">
        <f aca="false">$C$44/$E$16</f>
        <v>-884660</v>
      </c>
      <c r="O67" s="256" t="n">
        <f aca="false">$C$44/$E$16</f>
        <v>-884660</v>
      </c>
      <c r="P67" s="256" t="n">
        <f aca="false">$C$44/$E$16</f>
        <v>-884660</v>
      </c>
      <c r="Q67" s="256" t="n">
        <f aca="false">$C$44/$E$16</f>
        <v>-884660</v>
      </c>
      <c r="R67" s="256" t="n">
        <f aca="false">$C$44/$E$16</f>
        <v>-884660</v>
      </c>
      <c r="S67" s="256" t="n">
        <f aca="false">$C$44/$E$16</f>
        <v>-884660</v>
      </c>
      <c r="T67" s="256" t="n">
        <f aca="false">$C$44/$E$16</f>
        <v>-884660</v>
      </c>
      <c r="U67" s="256" t="n">
        <f aca="false">$C$44/$E$16</f>
        <v>-884660</v>
      </c>
      <c r="V67" s="256" t="n">
        <f aca="false">$C$44/$E$16</f>
        <v>-884660</v>
      </c>
      <c r="W67" s="256" t="n">
        <f aca="false">$C$44/$E$16</f>
        <v>-884660</v>
      </c>
      <c r="X67" s="232"/>
    </row>
    <row r="68" customFormat="false" ht="18.75" hidden="false" customHeight="true" outlineLevel="0" collapsed="false">
      <c r="B68" s="237" t="s">
        <v>30</v>
      </c>
      <c r="C68" s="229" t="s">
        <v>26</v>
      </c>
      <c r="D68" s="239" t="n">
        <f aca="false">D44</f>
        <v>0</v>
      </c>
      <c r="E68" s="239" t="n">
        <f aca="false">E45</f>
        <v>-290201</v>
      </c>
      <c r="F68" s="239" t="n">
        <f aca="false">F45</f>
        <v>-290201</v>
      </c>
      <c r="G68" s="239" t="n">
        <f aca="false">G45</f>
        <v>-290201</v>
      </c>
      <c r="H68" s="239" t="n">
        <f aca="false">H45</f>
        <v>-290201</v>
      </c>
      <c r="I68" s="239" t="n">
        <f aca="false">I45</f>
        <v>-290201</v>
      </c>
      <c r="J68" s="239" t="n">
        <f aca="false">J45</f>
        <v>-290201</v>
      </c>
      <c r="K68" s="239" t="n">
        <f aca="false">K45</f>
        <v>-290201</v>
      </c>
      <c r="L68" s="239" t="n">
        <f aca="false">L45</f>
        <v>-290201</v>
      </c>
      <c r="M68" s="239" t="n">
        <f aca="false">M45</f>
        <v>-290201</v>
      </c>
      <c r="N68" s="239" t="n">
        <f aca="false">N45</f>
        <v>-290201</v>
      </c>
      <c r="O68" s="239" t="n">
        <f aca="false">O45</f>
        <v>-290201</v>
      </c>
      <c r="P68" s="239" t="n">
        <f aca="false">P45</f>
        <v>-290201</v>
      </c>
      <c r="Q68" s="239" t="n">
        <f aca="false">Q45</f>
        <v>-290201</v>
      </c>
      <c r="R68" s="239" t="n">
        <f aca="false">R45</f>
        <v>-290201</v>
      </c>
      <c r="S68" s="239" t="n">
        <f aca="false">S45</f>
        <v>-290201</v>
      </c>
      <c r="T68" s="239" t="n">
        <f aca="false">T45</f>
        <v>-290201</v>
      </c>
      <c r="U68" s="239" t="n">
        <f aca="false">U45</f>
        <v>-290201</v>
      </c>
      <c r="V68" s="239" t="n">
        <f aca="false">V45</f>
        <v>-290201</v>
      </c>
      <c r="W68" s="239" t="n">
        <f aca="false">W45</f>
        <v>-290201</v>
      </c>
      <c r="X68" s="232"/>
    </row>
    <row r="69" customFormat="false" ht="18.75" hidden="false" customHeight="true" outlineLevel="0" collapsed="false">
      <c r="B69" s="237" t="s">
        <v>31</v>
      </c>
      <c r="C69" s="229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2"/>
    </row>
    <row r="70" customFormat="false" ht="18.75" hidden="false" customHeight="true" outlineLevel="0" collapsed="false">
      <c r="B70" s="237" t="s">
        <v>32</v>
      </c>
      <c r="C70" s="229" t="s">
        <v>26</v>
      </c>
      <c r="D70" s="239" t="n">
        <v>0</v>
      </c>
      <c r="E70" s="239" t="n">
        <v>0</v>
      </c>
      <c r="F70" s="239" t="n">
        <v>0</v>
      </c>
      <c r="G70" s="239" t="n">
        <v>0</v>
      </c>
      <c r="H70" s="239" t="n">
        <v>0</v>
      </c>
      <c r="I70" s="239" t="n">
        <v>0</v>
      </c>
      <c r="J70" s="239" t="n">
        <v>0</v>
      </c>
      <c r="K70" s="239" t="n">
        <v>0</v>
      </c>
      <c r="L70" s="239" t="n">
        <v>0</v>
      </c>
      <c r="M70" s="239" t="n">
        <v>0</v>
      </c>
      <c r="N70" s="239" t="n">
        <v>0</v>
      </c>
      <c r="O70" s="239" t="n">
        <v>0</v>
      </c>
      <c r="P70" s="239" t="n">
        <v>0</v>
      </c>
      <c r="Q70" s="239" t="n">
        <v>0</v>
      </c>
      <c r="R70" s="239" t="n">
        <v>0</v>
      </c>
      <c r="S70" s="239" t="n">
        <v>0</v>
      </c>
      <c r="T70" s="239" t="n">
        <v>0</v>
      </c>
      <c r="U70" s="239" t="n">
        <v>0</v>
      </c>
      <c r="V70" s="239" t="n">
        <v>0</v>
      </c>
      <c r="W70" s="239" t="n">
        <v>0</v>
      </c>
      <c r="X70" s="232"/>
    </row>
    <row r="71" customFormat="false" ht="18.75" hidden="false" customHeight="true" outlineLevel="0" collapsed="false">
      <c r="B71" s="237" t="s">
        <v>33</v>
      </c>
      <c r="C71" s="229" t="s">
        <v>26</v>
      </c>
      <c r="D71" s="239" t="n">
        <f aca="false">D48</f>
        <v>-174440</v>
      </c>
      <c r="E71" s="239" t="n">
        <f aca="false">E48</f>
        <v>-174440</v>
      </c>
      <c r="F71" s="239" t="n">
        <f aca="false">F48</f>
        <v>-174440</v>
      </c>
      <c r="G71" s="239" t="n">
        <f aca="false">G48</f>
        <v>-174440</v>
      </c>
      <c r="H71" s="239" t="n">
        <f aca="false">H48</f>
        <v>-174440</v>
      </c>
      <c r="I71" s="239" t="n">
        <f aca="false">I48</f>
        <v>-174440</v>
      </c>
      <c r="J71" s="239" t="n">
        <f aca="false">J48</f>
        <v>-174440</v>
      </c>
      <c r="K71" s="239" t="n">
        <f aca="false">K48</f>
        <v>-174440</v>
      </c>
      <c r="L71" s="239" t="n">
        <f aca="false">L48</f>
        <v>-174440</v>
      </c>
      <c r="M71" s="239" t="n">
        <f aca="false">M48</f>
        <v>-174440</v>
      </c>
      <c r="N71" s="239" t="n">
        <f aca="false">N48</f>
        <v>-174440</v>
      </c>
      <c r="O71" s="239" t="n">
        <f aca="false">O48</f>
        <v>-174440</v>
      </c>
      <c r="P71" s="239" t="n">
        <f aca="false">P48</f>
        <v>-174440</v>
      </c>
      <c r="Q71" s="239" t="n">
        <f aca="false">Q48</f>
        <v>-174440</v>
      </c>
      <c r="R71" s="239" t="n">
        <f aca="false">R48</f>
        <v>-174440</v>
      </c>
      <c r="S71" s="239" t="n">
        <f aca="false">S48</f>
        <v>-174440</v>
      </c>
      <c r="T71" s="239" t="n">
        <f aca="false">T48</f>
        <v>-174440</v>
      </c>
      <c r="U71" s="239" t="n">
        <f aca="false">U48</f>
        <v>-174440</v>
      </c>
      <c r="V71" s="239" t="n">
        <f aca="false">V48</f>
        <v>-174440</v>
      </c>
      <c r="W71" s="239" t="n">
        <f aca="false">W48</f>
        <v>-174440</v>
      </c>
      <c r="X71" s="232"/>
    </row>
    <row r="72" customFormat="false" ht="18.75" hidden="false" customHeight="true" outlineLevel="0" collapsed="false">
      <c r="B72" s="237" t="s">
        <v>34</v>
      </c>
      <c r="C72" s="229" t="s">
        <v>26</v>
      </c>
      <c r="D72" s="239" t="n">
        <f aca="false">D49</f>
        <v>-35324.1</v>
      </c>
      <c r="E72" s="239" t="n">
        <f aca="false">E49</f>
        <v>-35324.1</v>
      </c>
      <c r="F72" s="239" t="n">
        <f aca="false">F49</f>
        <v>-35324.1</v>
      </c>
      <c r="G72" s="239" t="n">
        <f aca="false">G49</f>
        <v>-35324.1</v>
      </c>
      <c r="H72" s="239" t="n">
        <f aca="false">H49</f>
        <v>-35324.1</v>
      </c>
      <c r="I72" s="239" t="n">
        <f aca="false">I49</f>
        <v>-35324.1</v>
      </c>
      <c r="J72" s="239" t="n">
        <f aca="false">J49</f>
        <v>-35324.1</v>
      </c>
      <c r="K72" s="239" t="n">
        <f aca="false">K49</f>
        <v>-35324.1</v>
      </c>
      <c r="L72" s="239" t="n">
        <f aca="false">L49</f>
        <v>-35324.1</v>
      </c>
      <c r="M72" s="239" t="n">
        <f aca="false">M49</f>
        <v>-35324.1</v>
      </c>
      <c r="N72" s="239" t="n">
        <f aca="false">N49</f>
        <v>-35324.1</v>
      </c>
      <c r="O72" s="239" t="n">
        <f aca="false">O49</f>
        <v>-35324.1</v>
      </c>
      <c r="P72" s="239" t="n">
        <f aca="false">P49</f>
        <v>-35324.1</v>
      </c>
      <c r="Q72" s="239" t="n">
        <f aca="false">Q49</f>
        <v>-35324.1</v>
      </c>
      <c r="R72" s="239" t="n">
        <f aca="false">R49</f>
        <v>-35324.1</v>
      </c>
      <c r="S72" s="239" t="n">
        <f aca="false">S49</f>
        <v>-35324.1</v>
      </c>
      <c r="T72" s="239" t="n">
        <f aca="false">T49</f>
        <v>-35324.1</v>
      </c>
      <c r="U72" s="239" t="n">
        <f aca="false">U49</f>
        <v>-35324.1</v>
      </c>
      <c r="V72" s="239" t="n">
        <f aca="false">V49</f>
        <v>-35324.1</v>
      </c>
      <c r="W72" s="239" t="n">
        <f aca="false">W49</f>
        <v>-35324.1</v>
      </c>
      <c r="X72" s="232"/>
    </row>
    <row r="73" customFormat="false" ht="18.75" hidden="false" customHeight="true" outlineLevel="0" collapsed="false">
      <c r="B73" s="237" t="s">
        <v>35</v>
      </c>
      <c r="C73" s="229"/>
      <c r="D73" s="239" t="n">
        <f aca="false">D50</f>
        <v>-43610</v>
      </c>
      <c r="E73" s="239" t="n">
        <f aca="false">E50</f>
        <v>-43610</v>
      </c>
      <c r="F73" s="239" t="n">
        <f aca="false">F50</f>
        <v>-43610</v>
      </c>
      <c r="G73" s="239" t="n">
        <f aca="false">G50</f>
        <v>-43610</v>
      </c>
      <c r="H73" s="239" t="n">
        <f aca="false">H50</f>
        <v>-43610</v>
      </c>
      <c r="I73" s="239" t="n">
        <f aca="false">I50</f>
        <v>-43610</v>
      </c>
      <c r="J73" s="239" t="n">
        <f aca="false">J50</f>
        <v>-43610</v>
      </c>
      <c r="K73" s="239" t="n">
        <f aca="false">K50</f>
        <v>-43610</v>
      </c>
      <c r="L73" s="239" t="n">
        <f aca="false">L50</f>
        <v>-43610</v>
      </c>
      <c r="M73" s="239" t="n">
        <f aca="false">M50</f>
        <v>-43610</v>
      </c>
      <c r="N73" s="239" t="n">
        <f aca="false">N50</f>
        <v>0</v>
      </c>
      <c r="O73" s="239" t="n">
        <f aca="false">O50</f>
        <v>0</v>
      </c>
      <c r="P73" s="239" t="n">
        <f aca="false">P50</f>
        <v>0</v>
      </c>
      <c r="Q73" s="239" t="n">
        <f aca="false">Q50</f>
        <v>0</v>
      </c>
      <c r="R73" s="239" t="n">
        <f aca="false">R50</f>
        <v>0</v>
      </c>
      <c r="S73" s="239" t="n">
        <f aca="false">S50</f>
        <v>0</v>
      </c>
      <c r="T73" s="239" t="n">
        <f aca="false">T50</f>
        <v>0</v>
      </c>
      <c r="U73" s="239" t="n">
        <f aca="false">U50</f>
        <v>0</v>
      </c>
      <c r="V73" s="239" t="n">
        <f aca="false">V50</f>
        <v>0</v>
      </c>
      <c r="W73" s="239" t="n">
        <f aca="false">W50</f>
        <v>0</v>
      </c>
      <c r="X73" s="232"/>
    </row>
    <row r="74" customFormat="false" ht="18.75" hidden="false" customHeight="true" outlineLevel="0" collapsed="false">
      <c r="B74" s="237" t="s">
        <v>36</v>
      </c>
      <c r="C74" s="240"/>
      <c r="D74" s="257"/>
      <c r="E74" s="258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2"/>
    </row>
    <row r="75" customFormat="false" ht="18.75" hidden="false" customHeight="true" outlineLevel="0" collapsed="false">
      <c r="B75" s="237" t="s">
        <v>37</v>
      </c>
      <c r="C75" s="240"/>
      <c r="D75" s="230"/>
      <c r="E75" s="230"/>
      <c r="F75" s="230"/>
      <c r="G75" s="230"/>
      <c r="H75" s="230"/>
      <c r="I75" s="230"/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  <c r="V75" s="230"/>
      <c r="W75" s="230"/>
      <c r="X75" s="232"/>
    </row>
    <row r="76" customFormat="false" ht="18.75" hidden="false" customHeight="true" outlineLevel="0" collapsed="false">
      <c r="B76" s="242" t="s">
        <v>46</v>
      </c>
      <c r="C76" s="259"/>
      <c r="D76" s="244" t="n">
        <f aca="false">SUM(D64:D75)</f>
        <v>1028093.82</v>
      </c>
      <c r="E76" s="244" t="n">
        <f aca="false">SUM(E64:E75)</f>
        <v>729140.788</v>
      </c>
      <c r="F76" s="244" t="n">
        <f aca="false">SUM(F64:F75)</f>
        <v>720388.756</v>
      </c>
      <c r="G76" s="244" t="n">
        <f aca="false">SUM(G64:G75)</f>
        <v>711636.724</v>
      </c>
      <c r="H76" s="244" t="n">
        <f aca="false">SUM(H64:H75)</f>
        <v>702884.692</v>
      </c>
      <c r="I76" s="244" t="n">
        <f aca="false">SUM(I64:I75)</f>
        <v>694132.66</v>
      </c>
      <c r="J76" s="244" t="n">
        <f aca="false">SUM(J64:J75)</f>
        <v>685380.628</v>
      </c>
      <c r="K76" s="244" t="n">
        <f aca="false">SUM(K64:K75)</f>
        <v>676628.596</v>
      </c>
      <c r="L76" s="244" t="n">
        <f aca="false">SUM(L64:L75)</f>
        <v>667876.564</v>
      </c>
      <c r="M76" s="244" t="n">
        <f aca="false">SUM(M64:M75)</f>
        <v>659124.532</v>
      </c>
      <c r="N76" s="244" t="n">
        <f aca="false">SUM(N64:N75)</f>
        <v>693982.5</v>
      </c>
      <c r="O76" s="244" t="n">
        <f aca="false">SUM(O64:O75)</f>
        <v>685230.468</v>
      </c>
      <c r="P76" s="244" t="n">
        <f aca="false">SUM(P64:P75)</f>
        <v>676478.436</v>
      </c>
      <c r="Q76" s="244" t="n">
        <f aca="false">SUM(Q64:Q75)</f>
        <v>667726.404</v>
      </c>
      <c r="R76" s="244" t="n">
        <f aca="false">SUM(R64:R75)</f>
        <v>658974.372</v>
      </c>
      <c r="S76" s="244" t="n">
        <f aca="false">SUM(S64:S75)</f>
        <v>650222.34</v>
      </c>
      <c r="T76" s="244" t="n">
        <f aca="false">SUM(T64:T75)</f>
        <v>641470.308</v>
      </c>
      <c r="U76" s="244" t="n">
        <f aca="false">SUM(U64:U75)</f>
        <v>632718.276</v>
      </c>
      <c r="V76" s="244" t="n">
        <f aca="false">SUM(V64:V75)</f>
        <v>623966.244</v>
      </c>
      <c r="W76" s="244" t="n">
        <f aca="false">SUM(W64:W75)</f>
        <v>615214.212</v>
      </c>
      <c r="X76" s="244" t="n">
        <f aca="false">SUM(X64:X75)</f>
        <v>0</v>
      </c>
    </row>
    <row r="77" customFormat="false" ht="18.75" hidden="false" customHeight="true" outlineLevel="0" collapsed="false">
      <c r="B77" s="241" t="s">
        <v>39</v>
      </c>
      <c r="C77" s="240"/>
      <c r="D77" s="239" t="n">
        <f aca="false">-D76*0.2</f>
        <v>-205618.764</v>
      </c>
      <c r="E77" s="239" t="n">
        <f aca="false">-E76*0.2</f>
        <v>-145828.1576</v>
      </c>
      <c r="F77" s="239" t="n">
        <f aca="false">-F76*0.2</f>
        <v>-144077.7512</v>
      </c>
      <c r="G77" s="239" t="n">
        <f aca="false">-G76*0.2</f>
        <v>-142327.3448</v>
      </c>
      <c r="H77" s="239" t="n">
        <f aca="false">-H76*0.2</f>
        <v>-140576.9384</v>
      </c>
      <c r="I77" s="239" t="n">
        <f aca="false">-I76*0.2</f>
        <v>-138826.532</v>
      </c>
      <c r="J77" s="239" t="n">
        <f aca="false">-J76*0.2</f>
        <v>-137076.1256</v>
      </c>
      <c r="K77" s="239" t="n">
        <f aca="false">-K76*0.2</f>
        <v>-135325.7192</v>
      </c>
      <c r="L77" s="239" t="n">
        <f aca="false">-L76*0.2</f>
        <v>-133575.3128</v>
      </c>
      <c r="M77" s="239" t="n">
        <f aca="false">-M76*0.2</f>
        <v>-131824.9064</v>
      </c>
      <c r="N77" s="239" t="n">
        <f aca="false">-N76*0.2</f>
        <v>-138796.5</v>
      </c>
      <c r="O77" s="239" t="n">
        <f aca="false">-O76*0.2</f>
        <v>-137046.0936</v>
      </c>
      <c r="P77" s="239" t="n">
        <f aca="false">-P76*0.2</f>
        <v>-135295.6872</v>
      </c>
      <c r="Q77" s="239" t="n">
        <f aca="false">-Q76*0.2</f>
        <v>-133545.2808</v>
      </c>
      <c r="R77" s="239" t="n">
        <f aca="false">-R76*0.2</f>
        <v>-131794.8744</v>
      </c>
      <c r="S77" s="239" t="n">
        <f aca="false">-S76*0.2</f>
        <v>-130044.468</v>
      </c>
      <c r="T77" s="239" t="n">
        <f aca="false">-T76*0.2</f>
        <v>-128294.0616</v>
      </c>
      <c r="U77" s="239" t="n">
        <f aca="false">-U76*0.2</f>
        <v>-126543.6552</v>
      </c>
      <c r="V77" s="239" t="n">
        <f aca="false">-V76*0.2</f>
        <v>-124793.2488</v>
      </c>
      <c r="W77" s="239" t="n">
        <f aca="false">-W76*0.2</f>
        <v>-123042.8424</v>
      </c>
      <c r="X77" s="239" t="n">
        <f aca="false">-X76*0.2</f>
        <v>-0</v>
      </c>
    </row>
    <row r="78" customFormat="false" ht="15.75" hidden="false" customHeight="true" outlineLevel="0" collapsed="false">
      <c r="B78" s="260" t="s">
        <v>47</v>
      </c>
      <c r="D78" s="239" t="n">
        <f aca="false">SUM(D76:D77)</f>
        <v>822475.056</v>
      </c>
      <c r="E78" s="239" t="n">
        <f aca="false">SUM(E76:E77)</f>
        <v>583312.6304</v>
      </c>
      <c r="F78" s="239" t="n">
        <f aca="false">SUM(F76:F77)</f>
        <v>576311.0048</v>
      </c>
      <c r="G78" s="239" t="n">
        <f aca="false">SUM(G76:G77)</f>
        <v>569309.3792</v>
      </c>
      <c r="H78" s="239" t="n">
        <f aca="false">SUM(H76:H77)</f>
        <v>562307.7536</v>
      </c>
      <c r="I78" s="239" t="n">
        <f aca="false">SUM(I76:I77)</f>
        <v>555306.128</v>
      </c>
      <c r="J78" s="239" t="n">
        <f aca="false">SUM(J76:J77)</f>
        <v>548304.5024</v>
      </c>
      <c r="K78" s="239" t="n">
        <f aca="false">SUM(K76:K77)</f>
        <v>541302.8768</v>
      </c>
      <c r="L78" s="239" t="n">
        <f aca="false">SUM(L76:L77)</f>
        <v>534301.2512</v>
      </c>
      <c r="M78" s="239" t="n">
        <f aca="false">SUM(M76:M77)</f>
        <v>527299.6256</v>
      </c>
      <c r="N78" s="239" t="n">
        <f aca="false">SUM(N76:N77)</f>
        <v>555186</v>
      </c>
      <c r="O78" s="239" t="n">
        <f aca="false">SUM(O76:O77)</f>
        <v>548184.3744</v>
      </c>
      <c r="P78" s="239" t="n">
        <f aca="false">SUM(P76:P77)</f>
        <v>541182.7488</v>
      </c>
      <c r="Q78" s="239" t="n">
        <f aca="false">SUM(Q76:Q77)</f>
        <v>534181.1232</v>
      </c>
      <c r="R78" s="239" t="n">
        <f aca="false">SUM(R76:R77)</f>
        <v>527179.4976</v>
      </c>
      <c r="S78" s="239" t="n">
        <f aca="false">SUM(S76:S77)</f>
        <v>520177.872</v>
      </c>
      <c r="T78" s="239" t="n">
        <f aca="false">SUM(T76:T77)</f>
        <v>513176.2464</v>
      </c>
      <c r="U78" s="239" t="n">
        <f aca="false">SUM(U76:U77)</f>
        <v>506174.6208</v>
      </c>
      <c r="V78" s="239" t="n">
        <f aca="false">SUM(V76:V77)</f>
        <v>499172.9952</v>
      </c>
      <c r="W78" s="239" t="n">
        <f aca="false">SUM(W76:W77)</f>
        <v>492171.3696</v>
      </c>
      <c r="X78" s="239" t="n">
        <f aca="false">SUM(X76:X77)</f>
        <v>0</v>
      </c>
    </row>
    <row r="79" customFormat="false" ht="18.75" hidden="false" customHeight="true" outlineLevel="0" collapsed="false">
      <c r="B79" s="248" t="s">
        <v>41</v>
      </c>
      <c r="C79" s="251"/>
      <c r="D79" s="261"/>
      <c r="E79" s="261"/>
      <c r="F79" s="261"/>
      <c r="G79" s="261"/>
      <c r="H79" s="261"/>
      <c r="I79" s="261"/>
      <c r="J79" s="261"/>
      <c r="K79" s="261"/>
      <c r="L79" s="261"/>
      <c r="M79" s="261"/>
      <c r="N79" s="261"/>
      <c r="O79" s="261"/>
      <c r="P79" s="261"/>
      <c r="Q79" s="261"/>
      <c r="R79" s="261"/>
      <c r="S79" s="261"/>
      <c r="T79" s="261"/>
      <c r="U79" s="261"/>
      <c r="V79" s="261"/>
      <c r="W79" s="261"/>
      <c r="X79" s="262"/>
    </row>
    <row r="80" customFormat="false" ht="18.75" hidden="false" customHeight="true" outlineLevel="0" collapsed="false">
      <c r="B80" s="127" t="s">
        <v>42</v>
      </c>
      <c r="C80" s="128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4"/>
    </row>
    <row r="81" customFormat="false" ht="18.75" hidden="false" customHeight="true" outlineLevel="0" collapsed="false">
      <c r="B81" s="116"/>
      <c r="C81" s="115"/>
      <c r="D81" s="115"/>
      <c r="E81" s="115"/>
      <c r="F81" s="116"/>
      <c r="G81" s="116"/>
      <c r="H81" s="116"/>
      <c r="I81" s="116"/>
      <c r="J81" s="116"/>
      <c r="K81" s="116"/>
      <c r="L81" s="116"/>
      <c r="M81" s="115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2026-04-13T07:08:02Z</dcterms:created>
  <dc:creator>openpyxl</dc:creator>
  <dc:description/>
  <dc:language>zh-TW</dc:language>
  <cp:lastModifiedBy/>
  <dcterms:modified xsi:type="dcterms:W3CDTF">2026-04-16T05:36:59Z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