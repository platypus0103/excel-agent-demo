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多站彙整" sheetId="1" state="visible" r:id="rId3"/>
    <sheet name="淡江大學_p3" sheetId="2" state="visible" r:id="rId4"/>
    <sheet name="淡江大學_p6" sheetId="3" state="visible" r:id="rId5"/>
    <sheet name="淡江大學_p4" sheetId="4" state="visible" r:id="rId6"/>
    <sheet name="淡江大學_p4_1" sheetId="5" state="visible" r:id="rId7"/>
    <sheet name="淡江大學_p4_2" sheetId="6" state="visible" r:id="rId8"/>
    <sheet name="淡江大學_p6_1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<sst xmlns="http://schemas.openxmlformats.org/spreadsheetml/2006/main" count="658" uniqueCount="137">
  <si>
    <t xml:space="preserve">年份</t>
  </si>
  <si>
    <t xml:space="preserve">預估發電度數</t>
  </si>
  <si>
    <t xml:space="preserve">淡江大學</t>
  </si>
  <si>
    <r>
      <rPr>
        <sz val="11"/>
        <rFont val="Noto Sans TC"/>
        <family val="2"/>
        <charset val="136"/>
      </rPr>
      <t xml:space="preserve">預估發電度數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</si>
  <si>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預估收入</t>
  </si>
  <si>
    <r>
      <rPr>
        <sz val="11"/>
        <rFont val="Noto Sans TC"/>
        <family val="2"/>
        <charset val="136"/>
      </rPr>
      <t xml:space="preserve">預估收入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</si>
  <si>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租金</t>
  </si>
  <si>
    <r>
      <rPr>
        <sz val="11"/>
        <rFont val="Noto Sans TC"/>
        <family val="2"/>
        <charset val="136"/>
      </rPr>
      <t xml:space="preserve">租金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</si>
  <si>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運維</t>
  </si>
  <si>
    <r>
      <rPr>
        <sz val="11"/>
        <rFont val="Noto Sans TC"/>
        <family val="2"/>
        <charset val="136"/>
      </rPr>
      <t xml:space="preserve">運維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</si>
  <si>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保險</t>
  </si>
  <si>
    <r>
      <rPr>
        <sz val="11"/>
        <rFont val="Noto Sans TC"/>
        <family val="2"/>
        <charset val="136"/>
      </rPr>
      <t xml:space="preserve">保險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</si>
  <si>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模組回收費</t>
  </si>
  <si>
    <r>
      <rPr>
        <sz val="11"/>
        <rFont val="Noto Sans TC"/>
        <family val="2"/>
        <charset val="136"/>
      </rPr>
      <t xml:space="preserve">模組回收費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</si>
  <si>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所得稅</t>
  </si>
  <si>
    <r>
      <rPr>
        <sz val="11"/>
        <rFont val="Noto Sans TC"/>
        <family val="2"/>
        <charset val="136"/>
      </rPr>
      <t xml:space="preserve">所得稅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</si>
  <si>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設備折舊</t>
  </si>
  <si>
    <r>
      <rPr>
        <sz val="11"/>
        <rFont val="Noto Sans TC"/>
        <family val="2"/>
        <charset val="136"/>
      </rPr>
      <t xml:space="preserve">設備折舊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</si>
  <si>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r>
      <rPr>
        <sz val="11"/>
        <rFont val="Noto Sans TC"/>
        <family val="2"/>
        <charset val="136"/>
      </rPr>
      <t xml:space="preserve">貸款成數</t>
    </r>
    <r>
      <rPr>
        <sz val="11"/>
        <rFont val="Cambria"/>
        <family val="0"/>
        <charset val="1"/>
      </rPr>
      <t xml:space="preserve">(%)</t>
    </r>
  </si>
  <si>
    <t xml:space="preserve">還款期數</t>
  </si>
  <si>
    <r>
      <rPr>
        <sz val="11"/>
        <rFont val="Noto Sans TC"/>
        <family val="2"/>
        <charset val="136"/>
      </rPr>
      <t xml:space="preserve">股利比率</t>
    </r>
    <r>
      <rPr>
        <sz val="11"/>
        <rFont val="Cambria"/>
        <family val="0"/>
        <charset val="1"/>
      </rPr>
      <t xml:space="preserve">(%)</t>
    </r>
  </si>
  <si>
    <t xml:space="preserve">年底減資攤還期數</t>
  </si>
  <si>
    <r>
      <rPr>
        <sz val="11"/>
        <rFont val="Noto Sans TC"/>
        <family val="2"/>
        <charset val="136"/>
      </rPr>
      <t xml:space="preserve">銀行利率</t>
    </r>
    <r>
      <rPr>
        <sz val="11"/>
        <rFont val="Cambria"/>
        <family val="0"/>
        <charset val="1"/>
      </rPr>
      <t xml:space="preserve">(%)</t>
    </r>
  </si>
  <si>
    <t xml:space="preserve">(Unit : Currency)</t>
  </si>
  <si>
    <r>
      <rPr>
        <sz val="12"/>
        <color rgb="FF000000"/>
        <rFont val="Noto Sans TC"/>
        <family val="2"/>
        <charset val="136"/>
      </rPr>
      <t xml:space="preserve">發電度數</t>
    </r>
    <r>
      <rPr>
        <sz val="12"/>
        <color rgb="FF000000"/>
        <rFont val="Arial"/>
        <family val="2"/>
        <charset val="1"/>
      </rPr>
      <t xml:space="preserve">(KWH)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</si>
  <si>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電費收入</t>
    </r>
  </si>
  <si>
    <t xml:space="preserve">-</t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</si>
  <si>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政府補助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</si>
  <si>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銀行借款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</si>
  <si>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</si>
  <si>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設備放置區域租金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</si>
  <si>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返還借款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</si>
  <si>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利息費用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</si>
  <si>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維運費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</si>
  <si>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保險費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</si>
  <si>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模組回收費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</si>
  <si>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其它費用</t>
    </r>
    <r>
      <rPr>
        <sz val="12"/>
        <color rgb="FF000000"/>
        <rFont val="Arial"/>
        <family val="2"/>
        <charset val="1"/>
      </rPr>
      <t xml:space="preserve">(</t>
    </r>
    <r>
      <rPr>
        <sz val="12"/>
        <color rgb="FF000000"/>
        <rFont val="Noto Sans TC"/>
        <family val="2"/>
        <charset val="136"/>
      </rPr>
      <t xml:space="preserve">人事薪資…等</t>
    </r>
    <r>
      <rPr>
        <sz val="12"/>
        <color rgb="FF000000"/>
        <rFont val="Arial"/>
        <family val="2"/>
        <charset val="1"/>
      </rPr>
      <t xml:space="preserve">)</t>
    </r>
  </si>
  <si>
    <r>
      <rPr>
        <sz val="12"/>
        <color rgb="FF000000"/>
        <rFont val="Arial"/>
        <family val="2"/>
        <charset val="1"/>
      </rPr>
      <t xml:space="preserve">1%</t>
    </r>
    <r>
      <rPr>
        <sz val="12"/>
        <color rgb="FF000000"/>
        <rFont val="Noto Sans TC"/>
        <family val="2"/>
        <charset val="136"/>
      </rPr>
      <t xml:space="preserve">管理費</t>
    </r>
  </si>
  <si>
    <t xml:space="preserve">績效獎金</t>
  </si>
  <si>
    <t xml:space="preserve">所得稅20%</t>
  </si>
  <si>
    <t xml:space="preserve">現金流</t>
  </si>
  <si>
    <t xml:space="preserve">累計現金流</t>
  </si>
  <si>
    <t xml:space="preserve">回收年限評估</t>
  </si>
  <si>
    <t xml:space="preserve">專案法IRR</t>
  </si>
  <si>
    <t xml:space="preserve">償還年限</t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</si>
  <si>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設備折舊</t>
    </r>
  </si>
  <si>
    <t xml:space="preserve">稅前淨利</t>
  </si>
  <si>
    <t xml:space="preserve">稅後淨利</t>
  </si>
  <si>
    <t xml:space="preserve">營運活動現金流量</t>
  </si>
  <si>
    <t xml:space="preserve">投資活動-設備支出</t>
  </si>
  <si>
    <t xml:space="preserve">理財活動-借款</t>
  </si>
  <si>
    <t xml:space="preserve">理財活動-還款</t>
  </si>
  <si>
    <t xml:space="preserve">理財活動-現金增資</t>
  </si>
  <si>
    <t xml:space="preserve">現金股利</t>
  </si>
  <si>
    <t xml:space="preserve">年底減資</t>
  </si>
  <si>
    <t xml:space="preserve">現金淨流入(出 )</t>
  </si>
  <si>
    <t xml:space="preserve">期初淨現金</t>
  </si>
  <si>
    <t xml:space="preserve">期未淨現金</t>
  </si>
  <si>
    <t xml:space="preserve">成本法實際現金流</t>
  </si>
  <si>
    <t xml:space="preserve">成本法IRR</t>
  </si>
  <si>
    <t xml:space="preserve">權益法實際現金流</t>
  </si>
  <si>
    <t xml:space="preserve">權益法IRR</t>
  </si>
  <si>
    <t xml:space="preserve">借款餘額</t>
  </si>
  <si>
    <t xml:space="preserve">電站基本資料(請填寫著色處)</t>
  </si>
  <si>
    <t xml:space="preserve">說明</t>
  </si>
  <si>
    <t xml:space="preserve">電站名稱</t>
  </si>
  <si>
    <t xml:space="preserve">填入本案場名稱</t>
  </si>
  <si>
    <t xml:space="preserve">電站壽命</t>
  </si>
  <si>
    <t xml:space="preserve">預設 20 年，代表財務評估年期。若合約年限不同可依實際情況修改</t>
  </si>
  <si>
    <t xml:space="preserve">建置量(kWp)</t>
  </si>
  <si>
    <t xml:space="preserve">填入裝置容量（kWp），通常由設計圖面或報價書取得</t>
  </si>
  <si>
    <t xml:space="preserve">情境編號: 3</t>
  </si>
  <si>
    <t xml:space="preserve">起始年度</t>
  </si>
  <si>
    <t xml:space="preserve">第2次滾算摘要</t>
  </si>
  <si>
    <t xml:space="preserve">價金: 31000</t>
  </si>
  <si>
    <t xml:space="preserve">綜合損益表(請填寫著色處)</t>
  </si>
  <si>
    <t xml:space="preserve">專案IRR: 3.75</t>
  </si>
  <si>
    <t xml:space="preserve">收入</t>
  </si>
  <si>
    <t xml:space="preserve">權益法IRR: 8.21</t>
  </si>
  <si>
    <t xml:space="preserve">收支項目</t>
  </si>
  <si>
    <t xml:space="preserve">相關參數</t>
  </si>
  <si>
    <t xml:space="preserve">參數數值</t>
  </si>
  <si>
    <t xml:space="preserve">年限</t>
  </si>
  <si>
    <t xml:space="preserve">利潤率: 30.00%</t>
  </si>
  <si>
    <t xml:space="preserve">電費收入</t>
  </si>
  <si>
    <t xml:space="preserve">年度AC併網總發電量</t>
  </si>
  <si>
    <t xml:space="preserve">第2次滾算，減少 2000 元 - 現金模式，每次減少 2000 元</t>
  </si>
  <si>
    <t xml:space="preserve">首年衰退率</t>
  </si>
  <si>
    <t xml:space="preserve">第一年發電衰退比率，請填小數（例：1% → 填 0.01）。一般首年衰退約 1~2%(請參考模組規格書)</t>
  </si>
  <si>
    <t xml:space="preserve">次年衰退率</t>
  </si>
  <si>
    <t xml:space="preserve">第二年起每年固定衰退比率，請填小數（例：0.4% → 填 0.004）。一般約 0.4~0.7%(請參考模組規格書)</t>
  </si>
  <si>
    <t xml:space="preserve">躉售費率(FIT) / 綠電費率</t>
  </si>
  <si>
    <t xml:space="preserve">與台電簽訂的躉購費率或綠電合約費率，單位：元/度。請參考台電公告或合約內容</t>
  </si>
  <si>
    <t xml:space="preserve">支出(請填寫著色處)</t>
  </si>
  <si>
    <t xml:space="preserve">攤提年限</t>
  </si>
  <si>
    <t xml:space="preserve">設備費用(價金)</t>
  </si>
  <si>
    <t xml:space="preserve">每kWp設備成本</t>
  </si>
  <si>
    <t xml:space="preserve">信邦利潤率(ex:20%填0.2)</t>
  </si>
  <si>
    <t xml:space="preserve">公司在設備費用上加計的利潤比率，請填小數（例：20% → 填 0.2）</t>
  </si>
  <si>
    <t xml:space="preserve">開發費</t>
  </si>
  <si>
    <t xml:space="preserve">前期開發費用（元），含可行性評估、申請規費、地主溝通等。若無則填 0</t>
  </si>
  <si>
    <t xml:space="preserve">租金費用</t>
  </si>
  <si>
    <t xml:space="preserve">租金計算方式</t>
  </si>
  <si>
    <t xml:space="preserve">【方式1參數】每年相同價格</t>
  </si>
  <si>
    <t xml:space="preserve">【方式2參數】抽成比率</t>
  </si>
  <si>
    <t xml:space="preserve">運維費用</t>
  </si>
  <si>
    <t xml:space="preserve">每kw運維成本</t>
  </si>
  <si>
    <t xml:space="preserve">保險費用</t>
  </si>
  <si>
    <t xml:space="preserve">占整體設備費用比例</t>
  </si>
  <si>
    <t xml:space="preserve">模組回收費用</t>
  </si>
  <si>
    <t xml:space="preserve">每kw模組回收成本</t>
  </si>
  <si>
    <t xml:space="preserve">利息費用</t>
  </si>
  <si>
    <t xml:space="preserve">銀行利率</t>
  </si>
  <si>
    <t xml:space="preserve">所得稅率</t>
  </si>
  <si>
    <t xml:space="preserve">現金流量表(請填寫著色處)</t>
  </si>
  <si>
    <t xml:space="preserve">金流項目</t>
  </si>
  <si>
    <t xml:space="preserve">貸款成數</t>
  </si>
  <si>
    <t xml:space="preserve">占總設備費用比例</t>
  </si>
  <si>
    <t xml:space="preserve">貸款佔設備總費用比例，填小數（例：80% → 填 0.8）。預設 0.8 代表貸八成、自備二成</t>
  </si>
  <si>
    <t xml:space="preserve">貸款還款</t>
  </si>
  <si>
    <t xml:space="preserve">攤還期數</t>
  </si>
  <si>
    <t xml:space="preserve">貸款還款年數（年）。預設 15 年，代表分 15 年平均攤還本金</t>
  </si>
  <si>
    <t xml:space="preserve">股利比率</t>
  </si>
  <si>
    <t xml:space="preserve">稅後現金流中分配給股東的比例，填小數（例：90% → 填 0.9）</t>
  </si>
  <si>
    <t xml:space="preserve">年底減資返還股東的年數。預設 4 年，代表 倒數 4 年進行減資，加速資金返還</t>
  </si>
  <si>
    <t xml:space="preserve">情境編號: 6</t>
  </si>
  <si>
    <t xml:space="preserve">第5次滾算摘要</t>
  </si>
  <si>
    <t xml:space="preserve">價金: 25000</t>
  </si>
  <si>
    <t xml:space="preserve">專案IRR: 5.91</t>
  </si>
  <si>
    <t xml:space="preserve">權益法IRR: 17.0</t>
  </si>
  <si>
    <t xml:space="preserve">第5次滾算，減少 2000 元 - 現金模式，每次減少 2000 元</t>
  </si>
  <si>
    <t xml:space="preserve">情境編號: 4</t>
  </si>
  <si>
    <t xml:space="preserve">第3次滾算摘要</t>
  </si>
  <si>
    <t xml:space="preserve">價金: 29000</t>
  </si>
  <si>
    <t xml:space="preserve">專案IRR: 4.39</t>
  </si>
  <si>
    <t xml:space="preserve">權益法IRR: 10.59</t>
  </si>
  <si>
    <t xml:space="preserve">第3次滾算，減少 2000 元 - 現金模式，每次減少 2000 元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</si>
</sst>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0_);[RED]\(0.00\)"/>
    <numFmt numFmtId="167" formatCode="\$#,##0.00_);[RED]&quot;($&quot;#,##0.00\)"/>
    <numFmt numFmtId="168" formatCode="\$#,##0_);[RED]&quot;($&quot;#,##0\)"/>
    <numFmt numFmtId="169" formatCode="0.00%"/>
    <numFmt numFmtId="170" formatCode="0_);[RED]\(0\)"/>
    <numFmt numFmtId="171" formatCode="\$#,##0.00_);[RED]&quot;($&quot;#,##0.00\)"/>
    <numFmt numFmtId="172" formatCode="\$#,##0_);[RED]&quot;($&quot;#,##0\)"/>
    <numFmt numFmtId="173" formatCode="_-\$* #,##0_-;&quot;-$&quot;* #,##0_-;_-\$* \-??_-;_-@_-"/>
    <numFmt numFmtId="174" formatCode="_-\$* #,##0_-;&quot;-$&quot;* #,##0_-;_-\$* \-??_-;_-@_-"/>
    <numFmt numFmtId="175" formatCode="#,##0_ "/>
    <numFmt numFmtId="176" formatCode="0%"/>
    <numFmt numFmtId="177" formatCode="_-* #,##0_-;\-* #,##0_-;_-* \-??_-;_-@_-"/>
  </numFmts>
  <fonts count="38">
    <font>
      <sz val="11"/>
      <color theme="1"/>
      <name val="Noto Sans TC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1"/>
      <name val="Noto Sans TC"/>
      <family val="2"/>
      <charset val="136"/>
    </font>
    <font>
      <sz val="11"/>
      <color rgb="FFFFFFFF"/>
      <name val="Noto Sans TC"/>
      <family val="2"/>
      <charset val="136"/>
    </font>
    <font>
      <sz val="11"/>
      <name val="Cambria"/>
      <family val="0"/>
      <charset val="1"/>
    </font>
    <font>
      <sz val="11"/>
      <color rgb="FFFFFFFF"/>
      <name val="Cambria"/>
      <family val="0"/>
      <charset val="1"/>
    </font>
    <font>
      <sz val="12"/>
      <color theme="1"/>
      <name val="新細明體"/>
      <family val="2"/>
      <charset val="1"/>
    </font>
    <font>
      <sz val="12"/>
      <color rgb="FFFFFFFF"/>
      <name val="新細明體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4"/>
      <color theme="1"/>
      <name val="微軟正黑體"/>
      <family val="2"/>
      <charset val="1"/>
    </font>
    <font>
      <sz val="12"/>
      <color theme="1"/>
      <name val="微軟正黑體"/>
      <family val="2"/>
      <charset val="1"/>
    </font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Noto Sans TC"/>
      <family val="2"/>
      <charset val="136"/>
    </font>
    <font>
      <sz val="12"/>
      <color rgb="FF000000"/>
      <name val="Arial"/>
      <family val="2"/>
      <charset val="1"/>
    </font>
    <font>
      <sz val="12"/>
      <color theme="1"/>
      <name val="Noto Sans TC"/>
      <family val="2"/>
      <charset val="136"/>
    </font>
    <font>
      <sz val="12"/>
      <color rgb="FF000000"/>
      <name val="細明體"/>
      <family val="2"/>
      <charset val="1"/>
    </font>
    <font>
      <b val="true"/>
      <sz val="12"/>
      <color rgb="FF000000"/>
      <name val="細明體"/>
      <family val="3"/>
      <charset val="136"/>
    </font>
    <font>
      <b val="true"/>
      <sz val="12"/>
      <color theme="1"/>
      <name val="Arial"/>
      <family val="2"/>
      <charset val="1"/>
    </font>
    <font>
      <sz val="12"/>
      <color rgb="FF000080"/>
      <name val="Arial"/>
      <family val="2"/>
      <charset val="1"/>
    </font>
    <font>
      <b val="true"/>
      <sz val="12"/>
      <color rgb="FF000000"/>
      <name val="細明體"/>
      <family val="2"/>
      <charset val="1"/>
    </font>
    <font>
      <b val="true"/>
      <sz val="12"/>
      <color theme="1"/>
      <name val="細明體"/>
      <family val="2"/>
      <charset val="1"/>
    </font>
    <font>
      <b val="true"/>
      <sz val="12"/>
      <color theme="1"/>
      <name val="新細明體"/>
      <family val="2"/>
      <charset val="1"/>
    </font>
    <font>
      <b val="true"/>
      <sz val="12"/>
      <color theme="1"/>
      <name val="新細明體"/>
      <family val="1"/>
      <charset val="136"/>
    </font>
    <font>
      <b val="true"/>
      <sz val="12"/>
      <color rgb="FFFF0000"/>
      <name val="Arial"/>
      <family val="2"/>
      <charset val="1"/>
    </font>
    <font>
      <sz val="12"/>
      <color rgb="FF000080"/>
      <name val="Noto Sans TC"/>
      <family val="2"/>
      <charset val="136"/>
    </font>
    <font>
      <b val="true"/>
      <sz val="11"/>
      <color theme="1"/>
      <name val="新細明體"/>
      <family val="1"/>
      <charset val="136"/>
    </font>
    <font>
      <b val="true"/>
      <sz val="12"/>
      <color theme="1"/>
      <name val="Noto Sans TC"/>
      <family val="2"/>
      <charset val="136"/>
    </font>
    <font>
      <sz val="12"/>
      <color rgb="FF000000"/>
      <name val="微軟正黑體"/>
      <family val="2"/>
      <charset val="1"/>
    </font>
    <font>
      <b val="true"/>
      <sz val="12"/>
      <color theme="0"/>
      <name val="新細明體"/>
      <family val="2"/>
      <charset val="1"/>
    </font>
    <font>
      <b val="true"/>
      <sz val="12"/>
      <name val="新細明體"/>
      <family val="2"/>
      <charset val="1"/>
    </font>
    <font>
      <sz val="11"/>
      <color theme="0" tint="-0.15"/>
      <name val="新細明體"/>
      <family val="2"/>
      <charset val="1"/>
    </font>
    <font>
      <sz val="12"/>
      <color theme="1"/>
      <name val="Microsoft JhengHei"/>
      <family val="2"/>
      <charset val="1"/>
    </font>
    <font>
      <sz val="12"/>
      <color theme="1"/>
      <name val="Calibri"/>
      <family val="2"/>
      <charset val="1"/>
    </font>
    <font>
      <sz val="10"/>
      <color rgb="FF404040"/>
      <name val="新細明體"/>
      <family val="2"/>
      <charset val="1"/>
    </font>
    <font>
      <sz val="11"/>
      <color theme="1"/>
      <name val="新細明體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99"/>
        <bgColor rgb="FFFFFFCC"/>
      </patternFill>
    </fill>
    <fill>
      <patternFill patternType="solid">
        <fgColor rgb="FFF2DCDB"/>
        <bgColor rgb="FFE6E0EC"/>
      </patternFill>
    </fill>
    <fill>
      <patternFill patternType="solid">
        <fgColor rgb="FFFCD5B5"/>
        <bgColor rgb="FFFFCCCC"/>
      </patternFill>
    </fill>
    <fill>
      <patternFill patternType="solid">
        <fgColor rgb="FFDCE6F1"/>
        <bgColor rgb="FFDCE6F2"/>
      </patternFill>
    </fill>
    <fill>
      <patternFill patternType="solid">
        <fgColor rgb="FFF2F2F2"/>
        <bgColor rgb="FFFFFFFF"/>
      </patternFill>
    </fill>
    <fill>
      <patternFill patternType="solid">
        <fgColor rgb="FFDAEEF3"/>
        <bgColor rgb="FFDCE6F2"/>
      </patternFill>
    </fill>
    <fill>
      <patternFill patternType="solid">
        <fgColor rgb="FF376092"/>
        <bgColor rgb="FF2F75B5"/>
      </patternFill>
    </fill>
    <fill>
      <patternFill patternType="solid">
        <fgColor rgb="FF00CCFF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CC00"/>
      </patternFill>
    </fill>
    <fill>
      <patternFill patternType="solid">
        <fgColor rgb="FF2F75B5"/>
        <bgColor rgb="FF376092"/>
      </patternFill>
    </fill>
    <fill>
      <patternFill patternType="solid">
        <fgColor rgb="FFFFCCCC"/>
        <bgColor rgb="FFFCD5B5"/>
      </patternFill>
    </fill>
    <fill>
      <patternFill patternType="solid">
        <fgColor rgb="FF9BC2E6"/>
        <bgColor rgb="FFC6C6C6"/>
      </patternFill>
    </fill>
    <fill>
      <patternFill patternType="solid">
        <fgColor rgb="FFFFFFCC"/>
        <bgColor rgb="FFFFFFFF"/>
      </patternFill>
    </fill>
    <fill>
      <patternFill patternType="solid">
        <fgColor rgb="FF0070C0"/>
        <bgColor rgb="FF008080"/>
      </patternFill>
    </fill>
    <fill>
      <patternFill patternType="solid">
        <fgColor theme="7" tint="0.7998"/>
        <bgColor rgb="FFDCE6F1"/>
      </patternFill>
    </fill>
    <fill>
      <patternFill patternType="solid">
        <fgColor theme="4" tint="0.7998"/>
        <bgColor rgb="FFDCE6F1"/>
      </patternFill>
    </fill>
    <fill>
      <patternFill patternType="solid">
        <fgColor theme="5" tint="0.3998"/>
        <bgColor rgb="FF969696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C6C6C6"/>
      </left>
      <right style="thin">
        <color rgb="FFC6C6C6"/>
      </right>
      <top style="medium"/>
      <bottom style="thin">
        <color rgb="FFC6C6C6"/>
      </bottom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medium"/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8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8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1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2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9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0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3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3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0" fillId="1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0" fillId="1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1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9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9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5" fillId="19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35" fillId="19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5" fillId="19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9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5" fillId="19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5" fillId="19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19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9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F2DCDB"/>
      <rgbColor rgb="FF993366"/>
      <rgbColor rgb="FFFFFFCC"/>
      <rgbColor rgb="FFDAEEF3"/>
      <rgbColor rgb="FF660066"/>
      <rgbColor rgb="FFD99694"/>
      <rgbColor rgb="FF0070C0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DCE6F1"/>
      <rgbColor rgb="FFFFFF99"/>
      <rgbColor rgb="FF9BC2E6"/>
      <rgbColor rgb="FFFFCCCC"/>
      <rgbColor rgb="FFE6E0EC"/>
      <rgbColor rgb="FFFCD5B5"/>
      <rgbColor rgb="FF2F75B5"/>
      <rgbColor rgb="FF33CCCC"/>
      <rgbColor rgb="FF99CC00"/>
      <rgbColor rgb="FFFFCC00"/>
      <rgbColor rgb="FFFF9900"/>
      <rgbColor rgb="FFFF6600"/>
      <rgbColor rgb="FF376092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2" style="1" width="33"/>
    <col collapsed="false" customWidth="true" hidden="false" outlineLevel="0" max="23" min="3" style="1" width="18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true" outlineLevel="0" collapsed="false">
      <c r="A4" s="2"/>
      <c r="B4" s="2"/>
      <c r="C4" s="3" t="s">
        <v>0</v>
      </c>
      <c r="D4" s="3" t="n">
        <v>2020</v>
      </c>
      <c r="E4" s="3" t="n">
        <v>2021</v>
      </c>
      <c r="F4" s="3" t="n">
        <v>2022</v>
      </c>
      <c r="G4" s="3" t="n">
        <v>2023</v>
      </c>
      <c r="H4" s="3" t="n">
        <v>2024</v>
      </c>
      <c r="I4" s="3" t="n">
        <v>2025</v>
      </c>
      <c r="J4" s="3" t="n">
        <v>2026</v>
      </c>
      <c r="K4" s="3" t="n">
        <v>2027</v>
      </c>
      <c r="L4" s="3" t="n">
        <v>2028</v>
      </c>
      <c r="M4" s="3" t="n">
        <v>2029</v>
      </c>
      <c r="N4" s="3" t="n">
        <v>2030</v>
      </c>
      <c r="O4" s="3" t="n">
        <v>2031</v>
      </c>
      <c r="P4" s="3" t="n">
        <v>2032</v>
      </c>
      <c r="Q4" s="3" t="n">
        <v>2033</v>
      </c>
      <c r="R4" s="3" t="n">
        <v>2034</v>
      </c>
      <c r="S4" s="3" t="n">
        <v>2035</v>
      </c>
      <c r="T4" s="3" t="n">
        <v>2036</v>
      </c>
      <c r="U4" s="3" t="n">
        <v>2037</v>
      </c>
      <c r="V4" s="3" t="n">
        <v>2038</v>
      </c>
      <c r="W4" s="3" t="n">
        <v>2039</v>
      </c>
      <c r="X4" s="2"/>
    </row>
    <row r="5" customFormat="false" ht="15" hidden="false" customHeight="true" outlineLevel="0" collapsed="false">
      <c r="A5" s="2"/>
      <c r="B5" s="2"/>
      <c r="C5" s="4" t="s">
        <v>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customFormat="false" ht="15" hidden="false" customHeight="true" outlineLevel="0" collapsed="false">
      <c r="A6" s="2"/>
      <c r="B6" s="4" t="s">
        <v>2</v>
      </c>
      <c r="C6" s="2"/>
      <c r="D6" s="5" t="n">
        <f aca="false">ROUND(ABS(淡江大學_p4!D40),0)</f>
        <v>0</v>
      </c>
      <c r="E6" s="5" t="n">
        <f aca="false">ROUND(ABS(淡江大學_p4!E40),0)</f>
        <v>0</v>
      </c>
      <c r="F6" s="5" t="n">
        <f aca="false">ROUND(ABS(淡江大學_p4!F40),0)</f>
        <v>0</v>
      </c>
      <c r="G6" s="5" t="n">
        <f aca="false">ROUND(ABS(淡江大學_p4!G40),0)</f>
        <v>0</v>
      </c>
      <c r="H6" s="5" t="n">
        <f aca="false">ROUND(ABS(淡江大學_p4!H40),0)</f>
        <v>0</v>
      </c>
      <c r="I6" s="5" t="n">
        <f aca="false">ROUND(ABS(淡江大學_p4!I40),0)</f>
        <v>0</v>
      </c>
      <c r="J6" s="5" t="n">
        <f aca="false">ROUND(ABS(淡江大學_p4!J40),0)</f>
        <v>0</v>
      </c>
      <c r="K6" s="5" t="n">
        <f aca="false">ROUND(ABS(淡江大學_p4!K40),0)</f>
        <v>0</v>
      </c>
      <c r="L6" s="5" t="n">
        <f aca="false">ROUND(ABS(淡江大學_p4!L40),0)</f>
        <v>0</v>
      </c>
      <c r="M6" s="5" t="n">
        <f aca="false">ROUND(ABS(淡江大學_p4!M40),0)</f>
        <v>0</v>
      </c>
      <c r="N6" s="5" t="n">
        <f aca="false">ROUND(ABS(淡江大學_p4!N40),0)</f>
        <v>0</v>
      </c>
      <c r="O6" s="5" t="n">
        <f aca="false">ROUND(ABS(淡江大學_p4!O40),0)</f>
        <v>0</v>
      </c>
      <c r="P6" s="5" t="n">
        <f aca="false">ROUND(ABS(淡江大學_p4!P40),0)</f>
        <v>0</v>
      </c>
      <c r="Q6" s="5" t="n">
        <f aca="false">ROUND(ABS(淡江大學_p4!Q40),0)</f>
        <v>0</v>
      </c>
      <c r="R6" s="5" t="n">
        <f aca="false">ROUND(ABS(淡江大學_p4!R40),0)</f>
        <v>0</v>
      </c>
      <c r="S6" s="5" t="n">
        <f aca="false">ROUND(ABS(淡江大學_p4!S40),0)</f>
        <v>0</v>
      </c>
      <c r="T6" s="5" t="n">
        <f aca="false">ROUND(ABS(淡江大學_p4!T40),0)</f>
        <v>0</v>
      </c>
      <c r="U6" s="5" t="n">
        <f aca="false">ROUND(ABS(淡江大學_p4!U40),0)</f>
        <v>0</v>
      </c>
      <c r="V6" s="5" t="n">
        <f aca="false">ROUND(ABS(淡江大學_p4!V40),0)</f>
        <v>0</v>
      </c>
      <c r="W6" s="5" t="n">
        <f aca="false">ROUND(ABS(淡江大學_p4!W40),0)</f>
        <v>0</v>
      </c>
      <c r="X6" s="2"/>
    </row>
    <row r="7" customFormat="false" ht="15" hidden="false" customHeight="true" outlineLevel="0" collapsed="false">
      <c r="A7" s="2"/>
      <c r="B7" s="4" t="s">
        <v>2</v>
      </c>
      <c r="C7" s="2"/>
      <c r="D7" s="5" t="n">
        <f aca="false">ROUND(ABS(淡江大學_p6!D40),0)</f>
        <v>0</v>
      </c>
      <c r="E7" s="5" t="n">
        <f aca="false">ROUND(ABS(淡江大學_p6!E40),0)</f>
        <v>0</v>
      </c>
      <c r="F7" s="5" t="n">
        <f aca="false">ROUND(ABS(淡江大學_p6!F40),0)</f>
        <v>0</v>
      </c>
      <c r="G7" s="5" t="n">
        <f aca="false">ROUND(ABS(淡江大學_p6!G40),0)</f>
        <v>0</v>
      </c>
      <c r="H7" s="5" t="n">
        <f aca="false">ROUND(ABS(淡江大學_p6!H40),0)</f>
        <v>0</v>
      </c>
      <c r="I7" s="5" t="n">
        <f aca="false">ROUND(ABS(淡江大學_p6!I40),0)</f>
        <v>0</v>
      </c>
      <c r="J7" s="5" t="n">
        <f aca="false">ROUND(ABS(淡江大學_p6!J40),0)</f>
        <v>0</v>
      </c>
      <c r="K7" s="5" t="n">
        <f aca="false">ROUND(ABS(淡江大學_p6!K40),0)</f>
        <v>0</v>
      </c>
      <c r="L7" s="5" t="n">
        <f aca="false">ROUND(ABS(淡江大學_p6!L40),0)</f>
        <v>0</v>
      </c>
      <c r="M7" s="5" t="n">
        <f aca="false">ROUND(ABS(淡江大學_p6!M40),0)</f>
        <v>0</v>
      </c>
      <c r="N7" s="5" t="n">
        <f aca="false">ROUND(ABS(淡江大學_p6!N40),0)</f>
        <v>0</v>
      </c>
      <c r="O7" s="5" t="n">
        <f aca="false">ROUND(ABS(淡江大學_p6!O40),0)</f>
        <v>0</v>
      </c>
      <c r="P7" s="5" t="n">
        <f aca="false">ROUND(ABS(淡江大學_p6!P40),0)</f>
        <v>0</v>
      </c>
      <c r="Q7" s="5" t="n">
        <f aca="false">ROUND(ABS(淡江大學_p6!Q40),0)</f>
        <v>0</v>
      </c>
      <c r="R7" s="5" t="n">
        <f aca="false">ROUND(ABS(淡江大學_p6!R40),0)</f>
        <v>0</v>
      </c>
      <c r="S7" s="5" t="n">
        <f aca="false">ROUND(ABS(淡江大學_p6!S40),0)</f>
        <v>0</v>
      </c>
      <c r="T7" s="5" t="n">
        <f aca="false">ROUND(ABS(淡江大學_p6!T40),0)</f>
        <v>0</v>
      </c>
      <c r="U7" s="5" t="n">
        <f aca="false">ROUND(ABS(淡江大學_p6!U40),0)</f>
        <v>0</v>
      </c>
      <c r="V7" s="5" t="n">
        <f aca="false">ROUND(ABS(淡江大學_p6!V40),0)</f>
        <v>0</v>
      </c>
      <c r="W7" s="5" t="n">
        <f aca="false">ROUND(ABS(淡江大學_p6!W40),0)</f>
        <v>0</v>
      </c>
      <c r="X7" s="2"/>
    </row>
    <row r="8" customFormat="false" ht="15" hidden="false" customHeight="true" outlineLevel="0" collapsed="false">
      <c r="A8" s="2"/>
      <c r="B8" s="4" t="s">
        <v>2</v>
      </c>
      <c r="C8" s="2"/>
      <c r="D8" s="5" t="n">
        <f aca="false">ROUND(ABS(淡江大學_p3!D40),0)</f>
        <v>0</v>
      </c>
      <c r="E8" s="5" t="n">
        <f aca="false">ROUND(ABS(淡江大學_p3!E40),0)</f>
        <v>0</v>
      </c>
      <c r="F8" s="5" t="n">
        <f aca="false">ROUND(ABS(淡江大學_p3!F40),0)</f>
        <v>0</v>
      </c>
      <c r="G8" s="5" t="n">
        <f aca="false">ROUND(ABS(淡江大學_p3!G40),0)</f>
        <v>0</v>
      </c>
      <c r="H8" s="5" t="n">
        <f aca="false">ROUND(ABS(淡江大學_p3!H40),0)</f>
        <v>0</v>
      </c>
      <c r="I8" s="5" t="n">
        <f aca="false">ROUND(ABS(淡江大學_p3!I40),0)</f>
        <v>0</v>
      </c>
      <c r="J8" s="5" t="n">
        <f aca="false">ROUND(ABS(淡江大學_p3!J40),0)</f>
        <v>0</v>
      </c>
      <c r="K8" s="5" t="n">
        <f aca="false">ROUND(ABS(淡江大學_p3!K40),0)</f>
        <v>0</v>
      </c>
      <c r="L8" s="5" t="n">
        <f aca="false">ROUND(ABS(淡江大學_p3!L40),0)</f>
        <v>0</v>
      </c>
      <c r="M8" s="5" t="n">
        <f aca="false">ROUND(ABS(淡江大學_p3!M40),0)</f>
        <v>0</v>
      </c>
      <c r="N8" s="5" t="n">
        <f aca="false">ROUND(ABS(淡江大學_p3!N40),0)</f>
        <v>0</v>
      </c>
      <c r="O8" s="5" t="n">
        <f aca="false">ROUND(ABS(淡江大學_p3!O40),0)</f>
        <v>0</v>
      </c>
      <c r="P8" s="5" t="n">
        <f aca="false">ROUND(ABS(淡江大學_p3!P40),0)</f>
        <v>0</v>
      </c>
      <c r="Q8" s="5" t="n">
        <f aca="false">ROUND(ABS(淡江大學_p3!Q40),0)</f>
        <v>0</v>
      </c>
      <c r="R8" s="5" t="n">
        <f aca="false">ROUND(ABS(淡江大學_p3!R40),0)</f>
        <v>0</v>
      </c>
      <c r="S8" s="5" t="n">
        <f aca="false">ROUND(ABS(淡江大學_p3!S40),0)</f>
        <v>0</v>
      </c>
      <c r="T8" s="5" t="n">
        <f aca="false">ROUND(ABS(淡江大學_p3!T40),0)</f>
        <v>0</v>
      </c>
      <c r="U8" s="5" t="n">
        <f aca="false">ROUND(ABS(淡江大學_p3!U40),0)</f>
        <v>0</v>
      </c>
      <c r="V8" s="5" t="n">
        <f aca="false">ROUND(ABS(淡江大學_p3!V40),0)</f>
        <v>0</v>
      </c>
      <c r="W8" s="5" t="n">
        <f aca="false">ROUND(ABS(淡江大學_p3!W40),0)</f>
        <v>0</v>
      </c>
      <c r="X8" s="2"/>
    </row>
    <row r="9" customFormat="false" ht="15" hidden="false" customHeight="true" outlineLevel="0" collapsed="false">
      <c r="A9" s="2"/>
      <c r="B9" s="2" t="s">
        <v>2</v>
      </c>
      <c r="C9" s="4"/>
      <c r="D9" s="5" t="n">
        <f aca="false">ROUND(ABS(淡江大學_p4_1!D40),0)</f>
        <v>0</v>
      </c>
      <c r="E9" s="5" t="n">
        <f aca="false">ROUND(ABS(淡江大學_p4_1!E40),0)</f>
        <v>0</v>
      </c>
      <c r="F9" s="5" t="n">
        <f aca="false">ROUND(ABS(淡江大學_p4_1!F40),0)</f>
        <v>0</v>
      </c>
      <c r="G9" s="5" t="n">
        <f aca="false">ROUND(ABS(淡江大學_p4_1!G40),0)</f>
        <v>0</v>
      </c>
      <c r="H9" s="5" t="n">
        <f aca="false">ROUND(ABS(淡江大學_p4_1!H40),0)</f>
        <v>0</v>
      </c>
      <c r="I9" s="5" t="n">
        <f aca="false">ROUND(ABS(淡江大學_p4_1!I40),0)</f>
        <v>0</v>
      </c>
      <c r="J9" s="5" t="n">
        <f aca="false">ROUND(ABS(淡江大學_p4_1!J40),0)</f>
        <v>0</v>
      </c>
      <c r="K9" s="5" t="n">
        <f aca="false">ROUND(ABS(淡江大學_p4_1!K40),0)</f>
        <v>0</v>
      </c>
      <c r="L9" s="5" t="n">
        <f aca="false">ROUND(ABS(淡江大學_p4_1!L40),0)</f>
        <v>0</v>
      </c>
      <c r="M9" s="5" t="n">
        <f aca="false">ROUND(ABS(淡江大學_p4_1!M40),0)</f>
        <v>0</v>
      </c>
      <c r="N9" s="5" t="n">
        <f aca="false">ROUND(ABS(淡江大學_p4_1!N40),0)</f>
        <v>0</v>
      </c>
      <c r="O9" s="5" t="n">
        <f aca="false">ROUND(ABS(淡江大學_p4_1!O40),0)</f>
        <v>0</v>
      </c>
      <c r="P9" s="5" t="n">
        <f aca="false">ROUND(ABS(淡江大學_p4_1!P40),0)</f>
        <v>0</v>
      </c>
      <c r="Q9" s="5" t="n">
        <f aca="false">ROUND(ABS(淡江大學_p4_1!Q40),0)</f>
        <v>0</v>
      </c>
      <c r="R9" s="5" t="n">
        <f aca="false">ROUND(ABS(淡江大學_p4_1!R40),0)</f>
        <v>0</v>
      </c>
      <c r="S9" s="5" t="n">
        <f aca="false">ROUND(ABS(淡江大學_p4_1!S40),0)</f>
        <v>0</v>
      </c>
      <c r="T9" s="5" t="n">
        <f aca="false">ROUND(ABS(淡江大學_p4_1!T40),0)</f>
        <v>0</v>
      </c>
      <c r="U9" s="5" t="n">
        <f aca="false">ROUND(ABS(淡江大學_p4_1!U40),0)</f>
        <v>0</v>
      </c>
      <c r="V9" s="5" t="n">
        <f aca="false">ROUND(ABS(淡江大學_p4_1!V40),0)</f>
        <v>0</v>
      </c>
      <c r="W9" s="5" t="n">
        <f aca="false">ROUND(ABS(淡江大學_p4_1!W40),0)</f>
        <v>0</v>
      </c>
      <c r="X9" s="2"/>
    </row>
    <row r="10" customFormat="false" ht="15" hidden="false" customHeight="true" outlineLevel="0" collapsed="false">
      <c r="A10" s="2"/>
      <c r="B10" s="2" t="s">
        <v>2</v>
      </c>
      <c r="C10" s="4"/>
      <c r="D10" s="5" t="n">
        <f aca="false">ROUND(ABS(淡江大學_p4_2!D40),0)</f>
        <v>0</v>
      </c>
      <c r="E10" s="5" t="n">
        <f aca="false">ROUND(ABS(淡江大學_p4_2!E40),0)</f>
        <v>0</v>
      </c>
      <c r="F10" s="5" t="n">
        <f aca="false">ROUND(ABS(淡江大學_p4_2!F40),0)</f>
        <v>0</v>
      </c>
      <c r="G10" s="5" t="n">
        <f aca="false">ROUND(ABS(淡江大學_p4_2!G40),0)</f>
        <v>0</v>
      </c>
      <c r="H10" s="5" t="n">
        <f aca="false">ROUND(ABS(淡江大學_p4_2!H40),0)</f>
        <v>0</v>
      </c>
      <c r="I10" s="5" t="n">
        <f aca="false">ROUND(ABS(淡江大學_p4_2!I40),0)</f>
        <v>0</v>
      </c>
      <c r="J10" s="5" t="n">
        <f aca="false">ROUND(ABS(淡江大學_p4_2!J40),0)</f>
        <v>0</v>
      </c>
      <c r="K10" s="5" t="n">
        <f aca="false">ROUND(ABS(淡江大學_p4_2!K40),0)</f>
        <v>0</v>
      </c>
      <c r="L10" s="5" t="n">
        <f aca="false">ROUND(ABS(淡江大學_p4_2!L40),0)</f>
        <v>0</v>
      </c>
      <c r="M10" s="5" t="n">
        <f aca="false">ROUND(ABS(淡江大學_p4_2!M40),0)</f>
        <v>0</v>
      </c>
      <c r="N10" s="5" t="n">
        <f aca="false">ROUND(ABS(淡江大學_p4_2!N40),0)</f>
        <v>0</v>
      </c>
      <c r="O10" s="5" t="n">
        <f aca="false">ROUND(ABS(淡江大學_p4_2!O40),0)</f>
        <v>0</v>
      </c>
      <c r="P10" s="5" t="n">
        <f aca="false">ROUND(ABS(淡江大學_p4_2!P40),0)</f>
        <v>0</v>
      </c>
      <c r="Q10" s="5" t="n">
        <f aca="false">ROUND(ABS(淡江大學_p4_2!Q40),0)</f>
        <v>0</v>
      </c>
      <c r="R10" s="5" t="n">
        <f aca="false">ROUND(ABS(淡江大學_p4_2!R40),0)</f>
        <v>0</v>
      </c>
      <c r="S10" s="5" t="n">
        <f aca="false">ROUND(ABS(淡江大學_p4_2!S40),0)</f>
        <v>0</v>
      </c>
      <c r="T10" s="5" t="n">
        <f aca="false">ROUND(ABS(淡江大學_p4_2!T40),0)</f>
        <v>0</v>
      </c>
      <c r="U10" s="5" t="n">
        <f aca="false">ROUND(ABS(淡江大學_p4_2!U40),0)</f>
        <v>0</v>
      </c>
      <c r="V10" s="5" t="n">
        <f aca="false">ROUND(ABS(淡江大學_p4_2!V40),0)</f>
        <v>0</v>
      </c>
      <c r="W10" s="5" t="n">
        <f aca="false">ROUND(ABS(淡江大學_p4_2!W40),0)</f>
        <v>0</v>
      </c>
      <c r="X10" s="2"/>
    </row>
    <row r="11" customFormat="false" ht="15" hidden="false" customHeight="true" outlineLevel="0" collapsed="false">
      <c r="A11" s="2"/>
      <c r="B11" s="2" t="s">
        <v>2</v>
      </c>
      <c r="C11" s="4"/>
      <c r="D11" s="6" t="n">
        <f aca="false">ROUND(ABS(淡江大學_p6_1!D40),0)</f>
        <v>0</v>
      </c>
      <c r="E11" s="6" t="n">
        <f aca="false">ROUND(ABS(淡江大學_p6_1!E40),0)</f>
        <v>0</v>
      </c>
      <c r="F11" s="6" t="n">
        <f aca="false">ROUND(ABS(淡江大學_p6_1!F40),0)</f>
        <v>0</v>
      </c>
      <c r="G11" s="6" t="n">
        <f aca="false">ROUND(ABS(淡江大學_p6_1!G40),0)</f>
        <v>0</v>
      </c>
      <c r="H11" s="6" t="n">
        <f aca="false">ROUND(ABS(淡江大學_p6_1!H40),0)</f>
        <v>0</v>
      </c>
      <c r="I11" s="6" t="n">
        <f aca="false">ROUND(ABS(淡江大學_p6_1!I40),0)</f>
        <v>0</v>
      </c>
      <c r="J11" s="6" t="n">
        <f aca="false">ROUND(ABS(淡江大學_p6_1!J40),0)</f>
        <v>0</v>
      </c>
      <c r="K11" s="6" t="n">
        <f aca="false">ROUND(ABS(淡江大學_p6_1!K40),0)</f>
        <v>0</v>
      </c>
      <c r="L11" s="6" t="n">
        <f aca="false">ROUND(ABS(淡江大學_p6_1!L40),0)</f>
        <v>0</v>
      </c>
      <c r="M11" s="6" t="n">
        <f aca="false">ROUND(ABS(淡江大學_p6_1!M40),0)</f>
        <v>0</v>
      </c>
      <c r="N11" s="6" t="n">
        <f aca="false">ROUND(ABS(淡江大學_p6_1!N40),0)</f>
        <v>0</v>
      </c>
      <c r="O11" s="6" t="n">
        <f aca="false">ROUND(ABS(淡江大學_p6_1!O40),0)</f>
        <v>0</v>
      </c>
      <c r="P11" s="6" t="n">
        <f aca="false">ROUND(ABS(淡江大學_p6_1!P40),0)</f>
        <v>0</v>
      </c>
      <c r="Q11" s="6" t="n">
        <f aca="false">ROUND(ABS(淡江大學_p6_1!Q40),0)</f>
        <v>0</v>
      </c>
      <c r="R11" s="6" t="n">
        <f aca="false">ROUND(ABS(淡江大學_p6_1!R40),0)</f>
        <v>0</v>
      </c>
      <c r="S11" s="6" t="n">
        <f aca="false">ROUND(ABS(淡江大學_p6_1!S40),0)</f>
        <v>0</v>
      </c>
      <c r="T11" s="6" t="n">
        <f aca="false">ROUND(ABS(淡江大學_p6_1!T40),0)</f>
        <v>0</v>
      </c>
      <c r="U11" s="6" t="n">
        <f aca="false">ROUND(ABS(淡江大學_p6_1!U40),0)</f>
        <v>0</v>
      </c>
      <c r="V11" s="6" t="n">
        <f aca="false">ROUND(ABS(淡江大學_p6_1!V40),0)</f>
        <v>0</v>
      </c>
      <c r="W11" s="6" t="n">
        <f aca="false">ROUND(ABS(淡江大學_p6_1!W40),0)</f>
        <v>0</v>
      </c>
      <c r="X11" s="2"/>
    </row>
    <row r="12" customFormat="false" ht="15" hidden="false" customHeight="true" outlineLevel="0" collapsed="false">
      <c r="A12" s="2"/>
      <c r="B12" s="4"/>
      <c r="C12" s="7" t="s">
        <v>3</v>
      </c>
      <c r="D12" s="8" t="n">
        <f aca="false">SUM(D6:D11)</f>
        <v>0</v>
      </c>
      <c r="E12" s="8" t="n">
        <f aca="false">SUM(E6:E11)</f>
        <v>0</v>
      </c>
      <c r="F12" s="8" t="n">
        <f aca="false">SUM(F6:F11)</f>
        <v>0</v>
      </c>
      <c r="G12" s="8" t="n">
        <f aca="false">SUM(G6:G11)</f>
        <v>0</v>
      </c>
      <c r="H12" s="8" t="n">
        <f aca="false">SUM(H6:H11)</f>
        <v>0</v>
      </c>
      <c r="I12" s="8" t="n">
        <f aca="false">SUM(I6:I11)</f>
        <v>0</v>
      </c>
      <c r="J12" s="8" t="n">
        <f aca="false">SUM(J6:J11)</f>
        <v>0</v>
      </c>
      <c r="K12" s="8" t="n">
        <f aca="false">SUM(K6:K11)</f>
        <v>0</v>
      </c>
      <c r="L12" s="8" t="n">
        <f aca="false">SUM(L6:L11)</f>
        <v>0</v>
      </c>
      <c r="M12" s="8" t="n">
        <f aca="false">SUM(M6:M11)</f>
        <v>0</v>
      </c>
      <c r="N12" s="8" t="n">
        <f aca="false">SUM(N6:N11)</f>
        <v>0</v>
      </c>
      <c r="O12" s="8" t="n">
        <f aca="false">SUM(O6:O11)</f>
        <v>0</v>
      </c>
      <c r="P12" s="8" t="n">
        <f aca="false">SUM(P6:P11)</f>
        <v>0</v>
      </c>
      <c r="Q12" s="8" t="n">
        <f aca="false">SUM(Q6:Q11)</f>
        <v>0</v>
      </c>
      <c r="R12" s="8" t="n">
        <f aca="false">SUM(R6:R11)</f>
        <v>0</v>
      </c>
      <c r="S12" s="8" t="n">
        <f aca="false">SUM(S6:S11)</f>
        <v>0</v>
      </c>
      <c r="T12" s="8" t="n">
        <f aca="false">SUM(T6:T11)</f>
        <v>0</v>
      </c>
      <c r="U12" s="8" t="n">
        <f aca="false">SUM(U6:U11)</f>
        <v>0</v>
      </c>
      <c r="V12" s="8" t="n">
        <f aca="false">SUM(V6:V11)</f>
        <v>0</v>
      </c>
      <c r="W12" s="8" t="n">
        <f aca="false">SUM(W6:W11)</f>
        <v>0</v>
      </c>
      <c r="X12" s="2"/>
    </row>
    <row r="13" customFormat="false" ht="15" hidden="false" customHeight="true" outlineLevel="0" collapsed="false">
      <c r="A13" s="2"/>
      <c r="B13" s="4"/>
      <c r="C13" s="9" t="s">
        <v>0</v>
      </c>
      <c r="D13" s="10" t="n">
        <v>2020</v>
      </c>
      <c r="E13" s="10" t="n">
        <v>2021</v>
      </c>
      <c r="F13" s="10" t="n">
        <v>2022</v>
      </c>
      <c r="G13" s="10" t="n">
        <v>2023</v>
      </c>
      <c r="H13" s="10" t="n">
        <v>2024</v>
      </c>
      <c r="I13" s="10" t="n">
        <v>2025</v>
      </c>
      <c r="J13" s="10" t="n">
        <v>2026</v>
      </c>
      <c r="K13" s="10" t="n">
        <v>2027</v>
      </c>
      <c r="L13" s="10" t="n">
        <v>2028</v>
      </c>
      <c r="M13" s="10" t="n">
        <v>2029</v>
      </c>
      <c r="N13" s="10" t="n">
        <v>2030</v>
      </c>
      <c r="O13" s="10" t="n">
        <v>2031</v>
      </c>
      <c r="P13" s="10" t="n">
        <v>2032</v>
      </c>
      <c r="Q13" s="10" t="n">
        <v>2033</v>
      </c>
      <c r="R13" s="10" t="n">
        <v>2034</v>
      </c>
      <c r="S13" s="10" t="n">
        <v>2035</v>
      </c>
      <c r="T13" s="10" t="n">
        <v>2036</v>
      </c>
      <c r="U13" s="10" t="n">
        <v>2037</v>
      </c>
      <c r="V13" s="10" t="n">
        <v>2038</v>
      </c>
      <c r="W13" s="10" t="n">
        <v>2039</v>
      </c>
      <c r="X13" s="2"/>
    </row>
    <row r="14" customFormat="false" ht="15" hidden="false" customHeight="true" outlineLevel="0" collapsed="false">
      <c r="A14" s="2"/>
      <c r="B14" s="4"/>
      <c r="C14" s="2" t="s">
        <v>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2"/>
    </row>
    <row r="15" customFormat="false" ht="15" hidden="false" customHeight="true" outlineLevel="0" collapsed="false">
      <c r="A15" s="2"/>
      <c r="B15" s="2" t="s">
        <v>2</v>
      </c>
      <c r="C15" s="4"/>
      <c r="D15" s="5" t="n">
        <f aca="false">ROUND(ABS(淡江大學_p4!D41),0)</f>
        <v>0</v>
      </c>
      <c r="E15" s="5" t="n">
        <f aca="false">ROUND(ABS(淡江大學_p4!E41),0)</f>
        <v>0</v>
      </c>
      <c r="F15" s="5" t="n">
        <f aca="false">ROUND(ABS(淡江大學_p4!F41),0)</f>
        <v>0</v>
      </c>
      <c r="G15" s="5" t="n">
        <f aca="false">ROUND(ABS(淡江大學_p4!G41),0)</f>
        <v>0</v>
      </c>
      <c r="H15" s="5" t="n">
        <f aca="false">ROUND(ABS(淡江大學_p4!H41),0)</f>
        <v>0</v>
      </c>
      <c r="I15" s="5" t="n">
        <f aca="false">ROUND(ABS(淡江大學_p4!I41),0)</f>
        <v>0</v>
      </c>
      <c r="J15" s="5" t="n">
        <f aca="false">ROUND(ABS(淡江大學_p4!J41),0)</f>
        <v>0</v>
      </c>
      <c r="K15" s="5" t="n">
        <f aca="false">ROUND(ABS(淡江大學_p4!K41),0)</f>
        <v>0</v>
      </c>
      <c r="L15" s="5" t="n">
        <f aca="false">ROUND(ABS(淡江大學_p4!L41),0)</f>
        <v>0</v>
      </c>
      <c r="M15" s="5" t="n">
        <f aca="false">ROUND(ABS(淡江大學_p4!M41),0)</f>
        <v>0</v>
      </c>
      <c r="N15" s="5" t="n">
        <f aca="false">ROUND(ABS(淡江大學_p4!N41),0)</f>
        <v>0</v>
      </c>
      <c r="O15" s="5" t="n">
        <f aca="false">ROUND(ABS(淡江大學_p4!O41),0)</f>
        <v>0</v>
      </c>
      <c r="P15" s="5" t="n">
        <f aca="false">ROUND(ABS(淡江大學_p4!P41),0)</f>
        <v>0</v>
      </c>
      <c r="Q15" s="5" t="n">
        <f aca="false">ROUND(ABS(淡江大學_p4!Q41),0)</f>
        <v>0</v>
      </c>
      <c r="R15" s="5" t="n">
        <f aca="false">ROUND(ABS(淡江大學_p4!R41),0)</f>
        <v>0</v>
      </c>
      <c r="S15" s="5" t="n">
        <f aca="false">ROUND(ABS(淡江大學_p4!S41),0)</f>
        <v>0</v>
      </c>
      <c r="T15" s="5" t="n">
        <f aca="false">ROUND(ABS(淡江大學_p4!T41),0)</f>
        <v>0</v>
      </c>
      <c r="U15" s="5" t="n">
        <f aca="false">ROUND(ABS(淡江大學_p4!U41),0)</f>
        <v>0</v>
      </c>
      <c r="V15" s="5" t="n">
        <f aca="false">ROUND(ABS(淡江大學_p4!V41),0)</f>
        <v>0</v>
      </c>
      <c r="W15" s="5" t="n">
        <f aca="false">ROUND(ABS(淡江大學_p4!W41),0)</f>
        <v>0</v>
      </c>
      <c r="X15" s="2"/>
    </row>
    <row r="16" customFormat="false" ht="15" hidden="false" customHeight="true" outlineLevel="0" collapsed="false">
      <c r="A16" s="2"/>
      <c r="B16" s="2" t="s">
        <v>2</v>
      </c>
      <c r="C16" s="4"/>
      <c r="D16" s="5" t="n">
        <f aca="false">ROUND(ABS(淡江大學_p6!D41),0)</f>
        <v>0</v>
      </c>
      <c r="E16" s="5" t="n">
        <f aca="false">ROUND(ABS(淡江大學_p6!E41),0)</f>
        <v>0</v>
      </c>
      <c r="F16" s="5" t="n">
        <f aca="false">ROUND(ABS(淡江大學_p6!F41),0)</f>
        <v>0</v>
      </c>
      <c r="G16" s="5" t="n">
        <f aca="false">ROUND(ABS(淡江大學_p6!G41),0)</f>
        <v>0</v>
      </c>
      <c r="H16" s="5" t="n">
        <f aca="false">ROUND(ABS(淡江大學_p6!H41),0)</f>
        <v>0</v>
      </c>
      <c r="I16" s="5" t="n">
        <f aca="false">ROUND(ABS(淡江大學_p6!I41),0)</f>
        <v>0</v>
      </c>
      <c r="J16" s="5" t="n">
        <f aca="false">ROUND(ABS(淡江大學_p6!J41),0)</f>
        <v>0</v>
      </c>
      <c r="K16" s="5" t="n">
        <f aca="false">ROUND(ABS(淡江大學_p6!K41),0)</f>
        <v>0</v>
      </c>
      <c r="L16" s="5" t="n">
        <f aca="false">ROUND(ABS(淡江大學_p6!L41),0)</f>
        <v>0</v>
      </c>
      <c r="M16" s="5" t="n">
        <f aca="false">ROUND(ABS(淡江大學_p6!M41),0)</f>
        <v>0</v>
      </c>
      <c r="N16" s="5" t="n">
        <f aca="false">ROUND(ABS(淡江大學_p6!N41),0)</f>
        <v>0</v>
      </c>
      <c r="O16" s="5" t="n">
        <f aca="false">ROUND(ABS(淡江大學_p6!O41),0)</f>
        <v>0</v>
      </c>
      <c r="P16" s="5" t="n">
        <f aca="false">ROUND(ABS(淡江大學_p6!P41),0)</f>
        <v>0</v>
      </c>
      <c r="Q16" s="5" t="n">
        <f aca="false">ROUND(ABS(淡江大學_p6!Q41),0)</f>
        <v>0</v>
      </c>
      <c r="R16" s="5" t="n">
        <f aca="false">ROUND(ABS(淡江大學_p6!R41),0)</f>
        <v>0</v>
      </c>
      <c r="S16" s="5" t="n">
        <f aca="false">ROUND(ABS(淡江大學_p6!S41),0)</f>
        <v>0</v>
      </c>
      <c r="T16" s="5" t="n">
        <f aca="false">ROUND(ABS(淡江大學_p6!T41),0)</f>
        <v>0</v>
      </c>
      <c r="U16" s="5" t="n">
        <f aca="false">ROUND(ABS(淡江大學_p6!U41),0)</f>
        <v>0</v>
      </c>
      <c r="V16" s="5" t="n">
        <f aca="false">ROUND(ABS(淡江大學_p6!V41),0)</f>
        <v>0</v>
      </c>
      <c r="W16" s="5" t="n">
        <f aca="false">ROUND(ABS(淡江大學_p6!W41),0)</f>
        <v>0</v>
      </c>
      <c r="X16" s="2"/>
    </row>
    <row r="17" customFormat="false" ht="15" hidden="false" customHeight="true" outlineLevel="0" collapsed="false">
      <c r="A17" s="2"/>
      <c r="B17" s="2" t="s">
        <v>2</v>
      </c>
      <c r="C17" s="4"/>
      <c r="D17" s="6" t="n">
        <f aca="false">ROUND(ABS(淡江大學_p3!D41),0)</f>
        <v>0</v>
      </c>
      <c r="E17" s="6" t="n">
        <f aca="false">ROUND(ABS(淡江大學_p3!E41),0)</f>
        <v>0</v>
      </c>
      <c r="F17" s="6" t="n">
        <f aca="false">ROUND(ABS(淡江大學_p3!F41),0)</f>
        <v>0</v>
      </c>
      <c r="G17" s="6" t="n">
        <f aca="false">ROUND(ABS(淡江大學_p3!G41),0)</f>
        <v>0</v>
      </c>
      <c r="H17" s="6" t="n">
        <f aca="false">ROUND(ABS(淡江大學_p3!H41),0)</f>
        <v>0</v>
      </c>
      <c r="I17" s="6" t="n">
        <f aca="false">ROUND(ABS(淡江大學_p3!I41),0)</f>
        <v>0</v>
      </c>
      <c r="J17" s="6" t="n">
        <f aca="false">ROUND(ABS(淡江大學_p3!J41),0)</f>
        <v>0</v>
      </c>
      <c r="K17" s="6" t="n">
        <f aca="false">ROUND(ABS(淡江大學_p3!K41),0)</f>
        <v>0</v>
      </c>
      <c r="L17" s="6" t="n">
        <f aca="false">ROUND(ABS(淡江大學_p3!L41),0)</f>
        <v>0</v>
      </c>
      <c r="M17" s="6" t="n">
        <f aca="false">ROUND(ABS(淡江大學_p3!M41),0)</f>
        <v>0</v>
      </c>
      <c r="N17" s="6" t="n">
        <f aca="false">ROUND(ABS(淡江大學_p3!N41),0)</f>
        <v>0</v>
      </c>
      <c r="O17" s="6" t="n">
        <f aca="false">ROUND(ABS(淡江大學_p3!O41),0)</f>
        <v>0</v>
      </c>
      <c r="P17" s="6" t="n">
        <f aca="false">ROUND(ABS(淡江大學_p3!P41),0)</f>
        <v>0</v>
      </c>
      <c r="Q17" s="6" t="n">
        <f aca="false">ROUND(ABS(淡江大學_p3!Q41),0)</f>
        <v>0</v>
      </c>
      <c r="R17" s="6" t="n">
        <f aca="false">ROUND(ABS(淡江大學_p3!R41),0)</f>
        <v>0</v>
      </c>
      <c r="S17" s="6" t="n">
        <f aca="false">ROUND(ABS(淡江大學_p3!S41),0)</f>
        <v>0</v>
      </c>
      <c r="T17" s="6" t="n">
        <f aca="false">ROUND(ABS(淡江大學_p3!T41),0)</f>
        <v>0</v>
      </c>
      <c r="U17" s="6" t="n">
        <f aca="false">ROUND(ABS(淡江大學_p3!U41),0)</f>
        <v>0</v>
      </c>
      <c r="V17" s="6" t="n">
        <f aca="false">ROUND(ABS(淡江大學_p3!V41),0)</f>
        <v>0</v>
      </c>
      <c r="W17" s="6" t="n">
        <f aca="false">ROUND(ABS(淡江大學_p3!W41),0)</f>
        <v>0</v>
      </c>
      <c r="X17" s="2"/>
    </row>
    <row r="18" customFormat="false" ht="15" hidden="false" customHeight="true" outlineLevel="0" collapsed="false">
      <c r="A18" s="2"/>
      <c r="B18" s="4" t="s">
        <v>2</v>
      </c>
      <c r="C18" s="2"/>
      <c r="D18" s="5" t="n">
        <f aca="false">ROUND(ABS(淡江大學_p4_1!D41),0)</f>
        <v>0</v>
      </c>
      <c r="E18" s="5" t="n">
        <f aca="false">ROUND(ABS(淡江大學_p4_1!E41),0)</f>
        <v>0</v>
      </c>
      <c r="F18" s="5" t="n">
        <f aca="false">ROUND(ABS(淡江大學_p4_1!F41),0)</f>
        <v>0</v>
      </c>
      <c r="G18" s="5" t="n">
        <f aca="false">ROUND(ABS(淡江大學_p4_1!G41),0)</f>
        <v>0</v>
      </c>
      <c r="H18" s="5" t="n">
        <f aca="false">ROUND(ABS(淡江大學_p4_1!H41),0)</f>
        <v>0</v>
      </c>
      <c r="I18" s="5" t="n">
        <f aca="false">ROUND(ABS(淡江大學_p4_1!I41),0)</f>
        <v>0</v>
      </c>
      <c r="J18" s="5" t="n">
        <f aca="false">ROUND(ABS(淡江大學_p4_1!J41),0)</f>
        <v>0</v>
      </c>
      <c r="K18" s="5" t="n">
        <f aca="false">ROUND(ABS(淡江大學_p4_1!K41),0)</f>
        <v>0</v>
      </c>
      <c r="L18" s="5" t="n">
        <f aca="false">ROUND(ABS(淡江大學_p4_1!L41),0)</f>
        <v>0</v>
      </c>
      <c r="M18" s="5" t="n">
        <f aca="false">ROUND(ABS(淡江大學_p4_1!M41),0)</f>
        <v>0</v>
      </c>
      <c r="N18" s="5" t="n">
        <f aca="false">ROUND(ABS(淡江大學_p4_1!N41),0)</f>
        <v>0</v>
      </c>
      <c r="O18" s="5" t="n">
        <f aca="false">ROUND(ABS(淡江大學_p4_1!O41),0)</f>
        <v>0</v>
      </c>
      <c r="P18" s="5" t="n">
        <f aca="false">ROUND(ABS(淡江大學_p4_1!P41),0)</f>
        <v>0</v>
      </c>
      <c r="Q18" s="5" t="n">
        <f aca="false">ROUND(ABS(淡江大學_p4_1!Q41),0)</f>
        <v>0</v>
      </c>
      <c r="R18" s="5" t="n">
        <f aca="false">ROUND(ABS(淡江大學_p4_1!R41),0)</f>
        <v>0</v>
      </c>
      <c r="S18" s="5" t="n">
        <f aca="false">ROUND(ABS(淡江大學_p4_1!S41),0)</f>
        <v>0</v>
      </c>
      <c r="T18" s="5" t="n">
        <f aca="false">ROUND(ABS(淡江大學_p4_1!T41),0)</f>
        <v>0</v>
      </c>
      <c r="U18" s="5" t="n">
        <f aca="false">ROUND(ABS(淡江大學_p4_1!U41),0)</f>
        <v>0</v>
      </c>
      <c r="V18" s="5" t="n">
        <f aca="false">ROUND(ABS(淡江大學_p4_1!V41),0)</f>
        <v>0</v>
      </c>
      <c r="W18" s="5" t="n">
        <f aca="false">ROUND(ABS(淡江大學_p4_1!W41),0)</f>
        <v>0</v>
      </c>
      <c r="X18" s="2"/>
    </row>
    <row r="19" customFormat="false" ht="15" hidden="false" customHeight="true" outlineLevel="0" collapsed="false">
      <c r="A19" s="2"/>
      <c r="B19" s="4" t="s">
        <v>2</v>
      </c>
      <c r="C19" s="2"/>
      <c r="D19" s="5" t="n">
        <f aca="false">ROUND(ABS(淡江大學_p4_2!D41),0)</f>
        <v>0</v>
      </c>
      <c r="E19" s="5" t="n">
        <f aca="false">ROUND(ABS(淡江大學_p4_2!E41),0)</f>
        <v>0</v>
      </c>
      <c r="F19" s="5" t="n">
        <f aca="false">ROUND(ABS(淡江大學_p4_2!F41),0)</f>
        <v>0</v>
      </c>
      <c r="G19" s="5" t="n">
        <f aca="false">ROUND(ABS(淡江大學_p4_2!G41),0)</f>
        <v>0</v>
      </c>
      <c r="H19" s="5" t="n">
        <f aca="false">ROUND(ABS(淡江大學_p4_2!H41),0)</f>
        <v>0</v>
      </c>
      <c r="I19" s="5" t="n">
        <f aca="false">ROUND(ABS(淡江大學_p4_2!I41),0)</f>
        <v>0</v>
      </c>
      <c r="J19" s="5" t="n">
        <f aca="false">ROUND(ABS(淡江大學_p4_2!J41),0)</f>
        <v>0</v>
      </c>
      <c r="K19" s="5" t="n">
        <f aca="false">ROUND(ABS(淡江大學_p4_2!K41),0)</f>
        <v>0</v>
      </c>
      <c r="L19" s="5" t="n">
        <f aca="false">ROUND(ABS(淡江大學_p4_2!L41),0)</f>
        <v>0</v>
      </c>
      <c r="M19" s="5" t="n">
        <f aca="false">ROUND(ABS(淡江大學_p4_2!M41),0)</f>
        <v>0</v>
      </c>
      <c r="N19" s="5" t="n">
        <f aca="false">ROUND(ABS(淡江大學_p4_2!N41),0)</f>
        <v>0</v>
      </c>
      <c r="O19" s="5" t="n">
        <f aca="false">ROUND(ABS(淡江大學_p4_2!O41),0)</f>
        <v>0</v>
      </c>
      <c r="P19" s="5" t="n">
        <f aca="false">ROUND(ABS(淡江大學_p4_2!P41),0)</f>
        <v>0</v>
      </c>
      <c r="Q19" s="5" t="n">
        <f aca="false">ROUND(ABS(淡江大學_p4_2!Q41),0)</f>
        <v>0</v>
      </c>
      <c r="R19" s="5" t="n">
        <f aca="false">ROUND(ABS(淡江大學_p4_2!R41),0)</f>
        <v>0</v>
      </c>
      <c r="S19" s="5" t="n">
        <f aca="false">ROUND(ABS(淡江大學_p4_2!S41),0)</f>
        <v>0</v>
      </c>
      <c r="T19" s="5" t="n">
        <f aca="false">ROUND(ABS(淡江大學_p4_2!T41),0)</f>
        <v>0</v>
      </c>
      <c r="U19" s="5" t="n">
        <f aca="false">ROUND(ABS(淡江大學_p4_2!U41),0)</f>
        <v>0</v>
      </c>
      <c r="V19" s="5" t="n">
        <f aca="false">ROUND(ABS(淡江大學_p4_2!V41),0)</f>
        <v>0</v>
      </c>
      <c r="W19" s="5" t="n">
        <f aca="false">ROUND(ABS(淡江大學_p4_2!W41),0)</f>
        <v>0</v>
      </c>
      <c r="X19" s="2"/>
    </row>
    <row r="20" customFormat="false" ht="15" hidden="false" customHeight="true" outlineLevel="0" collapsed="false">
      <c r="A20" s="2"/>
      <c r="B20" s="4" t="s">
        <v>2</v>
      </c>
      <c r="C20" s="2"/>
      <c r="D20" s="5" t="n">
        <f aca="false">ROUND(ABS(淡江大學_p6_1!D41),0)</f>
        <v>0</v>
      </c>
      <c r="E20" s="5" t="n">
        <f aca="false">ROUND(ABS(淡江大學_p6_1!E41),0)</f>
        <v>0</v>
      </c>
      <c r="F20" s="5" t="n">
        <f aca="false">ROUND(ABS(淡江大學_p6_1!F41),0)</f>
        <v>0</v>
      </c>
      <c r="G20" s="5" t="n">
        <f aca="false">ROUND(ABS(淡江大學_p6_1!G41),0)</f>
        <v>0</v>
      </c>
      <c r="H20" s="5" t="n">
        <f aca="false">ROUND(ABS(淡江大學_p6_1!H41),0)</f>
        <v>0</v>
      </c>
      <c r="I20" s="5" t="n">
        <f aca="false">ROUND(ABS(淡江大學_p6_1!I41),0)</f>
        <v>0</v>
      </c>
      <c r="J20" s="5" t="n">
        <f aca="false">ROUND(ABS(淡江大學_p6_1!J41),0)</f>
        <v>0</v>
      </c>
      <c r="K20" s="5" t="n">
        <f aca="false">ROUND(ABS(淡江大學_p6_1!K41),0)</f>
        <v>0</v>
      </c>
      <c r="L20" s="5" t="n">
        <f aca="false">ROUND(ABS(淡江大學_p6_1!L41),0)</f>
        <v>0</v>
      </c>
      <c r="M20" s="5" t="n">
        <f aca="false">ROUND(ABS(淡江大學_p6_1!M41),0)</f>
        <v>0</v>
      </c>
      <c r="N20" s="5" t="n">
        <f aca="false">ROUND(ABS(淡江大學_p6_1!N41),0)</f>
        <v>0</v>
      </c>
      <c r="O20" s="5" t="n">
        <f aca="false">ROUND(ABS(淡江大學_p6_1!O41),0)</f>
        <v>0</v>
      </c>
      <c r="P20" s="5" t="n">
        <f aca="false">ROUND(ABS(淡江大學_p6_1!P41),0)</f>
        <v>0</v>
      </c>
      <c r="Q20" s="5" t="n">
        <f aca="false">ROUND(ABS(淡江大學_p6_1!Q41),0)</f>
        <v>0</v>
      </c>
      <c r="R20" s="5" t="n">
        <f aca="false">ROUND(ABS(淡江大學_p6_1!R41),0)</f>
        <v>0</v>
      </c>
      <c r="S20" s="5" t="n">
        <f aca="false">ROUND(ABS(淡江大學_p6_1!S41),0)</f>
        <v>0</v>
      </c>
      <c r="T20" s="5" t="n">
        <f aca="false">ROUND(ABS(淡江大學_p6_1!T41),0)</f>
        <v>0</v>
      </c>
      <c r="U20" s="5" t="n">
        <f aca="false">ROUND(ABS(淡江大學_p6_1!U41),0)</f>
        <v>0</v>
      </c>
      <c r="V20" s="5" t="n">
        <f aca="false">ROUND(ABS(淡江大學_p6_1!V41),0)</f>
        <v>0</v>
      </c>
      <c r="W20" s="5" t="n">
        <f aca="false">ROUND(ABS(淡江大學_p6_1!W41),0)</f>
        <v>0</v>
      </c>
      <c r="X20" s="2"/>
    </row>
    <row r="21" customFormat="false" ht="15" hidden="false" customHeight="true" outlineLevel="0" collapsed="false">
      <c r="A21" s="2"/>
      <c r="B21" s="2"/>
      <c r="C21" s="11" t="s">
        <v>5</v>
      </c>
      <c r="D21" s="12" t="n">
        <f aca="false">SUM(D15:D20)</f>
        <v>0</v>
      </c>
      <c r="E21" s="12" t="n">
        <f aca="false">SUM(E15:E20)</f>
        <v>0</v>
      </c>
      <c r="F21" s="12" t="n">
        <f aca="false">SUM(F15:F20)</f>
        <v>0</v>
      </c>
      <c r="G21" s="12" t="n">
        <f aca="false">SUM(G15:G20)</f>
        <v>0</v>
      </c>
      <c r="H21" s="12" t="n">
        <f aca="false">SUM(H15:H20)</f>
        <v>0</v>
      </c>
      <c r="I21" s="12" t="n">
        <f aca="false">SUM(I15:I20)</f>
        <v>0</v>
      </c>
      <c r="J21" s="12" t="n">
        <f aca="false">SUM(J15:J20)</f>
        <v>0</v>
      </c>
      <c r="K21" s="12" t="n">
        <f aca="false">SUM(K15:K20)</f>
        <v>0</v>
      </c>
      <c r="L21" s="12" t="n">
        <f aca="false">SUM(L15:L20)</f>
        <v>0</v>
      </c>
      <c r="M21" s="12" t="n">
        <f aca="false">SUM(M15:M20)</f>
        <v>0</v>
      </c>
      <c r="N21" s="12" t="n">
        <f aca="false">SUM(N15:N20)</f>
        <v>0</v>
      </c>
      <c r="O21" s="12" t="n">
        <f aca="false">SUM(O15:O20)</f>
        <v>0</v>
      </c>
      <c r="P21" s="12" t="n">
        <f aca="false">SUM(P15:P20)</f>
        <v>0</v>
      </c>
      <c r="Q21" s="12" t="n">
        <f aca="false">SUM(Q15:Q20)</f>
        <v>0</v>
      </c>
      <c r="R21" s="12" t="n">
        <f aca="false">SUM(R15:R20)</f>
        <v>0</v>
      </c>
      <c r="S21" s="12" t="n">
        <f aca="false">SUM(S15:S20)</f>
        <v>0</v>
      </c>
      <c r="T21" s="12" t="n">
        <f aca="false">SUM(T15:T20)</f>
        <v>0</v>
      </c>
      <c r="U21" s="12" t="n">
        <f aca="false">SUM(U15:U20)</f>
        <v>0</v>
      </c>
      <c r="V21" s="12" t="n">
        <f aca="false">SUM(V15:V20)</f>
        <v>0</v>
      </c>
      <c r="W21" s="12" t="n">
        <f aca="false">SUM(W15:W20)</f>
        <v>0</v>
      </c>
      <c r="X21" s="2"/>
    </row>
    <row r="22" customFormat="false" ht="15" hidden="false" customHeight="true" outlineLevel="0" collapsed="false">
      <c r="A22" s="2"/>
      <c r="B22" s="2"/>
      <c r="C22" s="3" t="s">
        <v>0</v>
      </c>
      <c r="D22" s="3" t="n">
        <v>2020</v>
      </c>
      <c r="E22" s="3" t="n">
        <v>2021</v>
      </c>
      <c r="F22" s="3" t="n">
        <v>2022</v>
      </c>
      <c r="G22" s="3" t="n">
        <v>2023</v>
      </c>
      <c r="H22" s="3" t="n">
        <v>2024</v>
      </c>
      <c r="I22" s="3" t="n">
        <v>2025</v>
      </c>
      <c r="J22" s="3" t="n">
        <v>2026</v>
      </c>
      <c r="K22" s="3" t="n">
        <v>2027</v>
      </c>
      <c r="L22" s="3" t="n">
        <v>2028</v>
      </c>
      <c r="M22" s="3" t="n">
        <v>2029</v>
      </c>
      <c r="N22" s="3" t="n">
        <v>2030</v>
      </c>
      <c r="O22" s="3" t="n">
        <v>2031</v>
      </c>
      <c r="P22" s="3" t="n">
        <v>2032</v>
      </c>
      <c r="Q22" s="3" t="n">
        <v>2033</v>
      </c>
      <c r="R22" s="3" t="n">
        <v>2034</v>
      </c>
      <c r="S22" s="3" t="n">
        <v>2035</v>
      </c>
      <c r="T22" s="3" t="n">
        <v>2036</v>
      </c>
      <c r="U22" s="3" t="n">
        <v>2037</v>
      </c>
      <c r="V22" s="3" t="n">
        <v>2038</v>
      </c>
      <c r="W22" s="3" t="n">
        <v>2039</v>
      </c>
      <c r="X22" s="2"/>
    </row>
    <row r="23" customFormat="false" ht="15" hidden="false" customHeight="true" outlineLevel="0" collapsed="false">
      <c r="A23" s="2"/>
      <c r="B23" s="2"/>
      <c r="C23" s="4" t="s">
        <v>6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customFormat="false" ht="15" hidden="false" customHeight="true" outlineLevel="0" collapsed="false">
      <c r="A24" s="2"/>
      <c r="B24" s="4" t="s">
        <v>2</v>
      </c>
      <c r="C24" s="2"/>
      <c r="D24" s="5" t="n">
        <f aca="false">ROUND(ABS(淡江大學_p4!D45),0)</f>
        <v>290201</v>
      </c>
      <c r="E24" s="5" t="n">
        <f aca="false">ROUND(ABS(淡江大學_p4!E45),0)</f>
        <v>290201</v>
      </c>
      <c r="F24" s="5" t="n">
        <f aca="false">ROUND(ABS(淡江大學_p4!F45),0)</f>
        <v>290201</v>
      </c>
      <c r="G24" s="5" t="n">
        <f aca="false">ROUND(ABS(淡江大學_p4!G45),0)</f>
        <v>290201</v>
      </c>
      <c r="H24" s="5" t="n">
        <f aca="false">ROUND(ABS(淡江大學_p4!H45),0)</f>
        <v>290201</v>
      </c>
      <c r="I24" s="5" t="n">
        <f aca="false">ROUND(ABS(淡江大學_p4!I45),0)</f>
        <v>290201</v>
      </c>
      <c r="J24" s="5" t="n">
        <f aca="false">ROUND(ABS(淡江大學_p4!J45),0)</f>
        <v>290201</v>
      </c>
      <c r="K24" s="5" t="n">
        <f aca="false">ROUND(ABS(淡江大學_p4!K45),0)</f>
        <v>290201</v>
      </c>
      <c r="L24" s="5" t="n">
        <f aca="false">ROUND(ABS(淡江大學_p4!L45),0)</f>
        <v>290201</v>
      </c>
      <c r="M24" s="5" t="n">
        <f aca="false">ROUND(ABS(淡江大學_p4!M45),0)</f>
        <v>290201</v>
      </c>
      <c r="N24" s="5" t="n">
        <f aca="false">ROUND(ABS(淡江大學_p4!N45),0)</f>
        <v>290201</v>
      </c>
      <c r="O24" s="5" t="n">
        <f aca="false">ROUND(ABS(淡江大學_p4!O45),0)</f>
        <v>290201</v>
      </c>
      <c r="P24" s="5" t="n">
        <f aca="false">ROUND(ABS(淡江大學_p4!P45),0)</f>
        <v>290201</v>
      </c>
      <c r="Q24" s="5" t="n">
        <f aca="false">ROUND(ABS(淡江大學_p4!Q45),0)</f>
        <v>290201</v>
      </c>
      <c r="R24" s="5" t="n">
        <f aca="false">ROUND(ABS(淡江大學_p4!R45),0)</f>
        <v>290201</v>
      </c>
      <c r="S24" s="5" t="n">
        <f aca="false">ROUND(ABS(淡江大學_p4!S45),0)</f>
        <v>290201</v>
      </c>
      <c r="T24" s="5" t="n">
        <f aca="false">ROUND(ABS(淡江大學_p4!T45),0)</f>
        <v>290201</v>
      </c>
      <c r="U24" s="5" t="n">
        <f aca="false">ROUND(ABS(淡江大學_p4!U45),0)</f>
        <v>290201</v>
      </c>
      <c r="V24" s="5" t="n">
        <f aca="false">ROUND(ABS(淡江大學_p4!V45),0)</f>
        <v>290201</v>
      </c>
      <c r="W24" s="5" t="n">
        <f aca="false">ROUND(ABS(淡江大學_p4!W45),0)</f>
        <v>290201</v>
      </c>
      <c r="X24" s="2"/>
    </row>
    <row r="25" customFormat="false" ht="15" hidden="false" customHeight="true" outlineLevel="0" collapsed="false">
      <c r="A25" s="2"/>
      <c r="B25" s="4" t="s">
        <v>2</v>
      </c>
      <c r="C25" s="2"/>
      <c r="D25" s="5" t="n">
        <f aca="false">ROUND(ABS(淡江大學_p6!D45),0)</f>
        <v>290201</v>
      </c>
      <c r="E25" s="5" t="n">
        <f aca="false">ROUND(ABS(淡江大學_p6!E45),0)</f>
        <v>290201</v>
      </c>
      <c r="F25" s="5" t="n">
        <f aca="false">ROUND(ABS(淡江大學_p6!F45),0)</f>
        <v>290201</v>
      </c>
      <c r="G25" s="5" t="n">
        <f aca="false">ROUND(ABS(淡江大學_p6!G45),0)</f>
        <v>290201</v>
      </c>
      <c r="H25" s="5" t="n">
        <f aca="false">ROUND(ABS(淡江大學_p6!H45),0)</f>
        <v>290201</v>
      </c>
      <c r="I25" s="5" t="n">
        <f aca="false">ROUND(ABS(淡江大學_p6!I45),0)</f>
        <v>290201</v>
      </c>
      <c r="J25" s="5" t="n">
        <f aca="false">ROUND(ABS(淡江大學_p6!J45),0)</f>
        <v>290201</v>
      </c>
      <c r="K25" s="5" t="n">
        <f aca="false">ROUND(ABS(淡江大學_p6!K45),0)</f>
        <v>290201</v>
      </c>
      <c r="L25" s="5" t="n">
        <f aca="false">ROUND(ABS(淡江大學_p6!L45),0)</f>
        <v>290201</v>
      </c>
      <c r="M25" s="5" t="n">
        <f aca="false">ROUND(ABS(淡江大學_p6!M45),0)</f>
        <v>290201</v>
      </c>
      <c r="N25" s="5" t="n">
        <f aca="false">ROUND(ABS(淡江大學_p6!N45),0)</f>
        <v>290201</v>
      </c>
      <c r="O25" s="5" t="n">
        <f aca="false">ROUND(ABS(淡江大學_p6!O45),0)</f>
        <v>290201</v>
      </c>
      <c r="P25" s="5" t="n">
        <f aca="false">ROUND(ABS(淡江大學_p6!P45),0)</f>
        <v>290201</v>
      </c>
      <c r="Q25" s="5" t="n">
        <f aca="false">ROUND(ABS(淡江大學_p6!Q45),0)</f>
        <v>290201</v>
      </c>
      <c r="R25" s="5" t="n">
        <f aca="false">ROUND(ABS(淡江大學_p6!R45),0)</f>
        <v>290201</v>
      </c>
      <c r="S25" s="5" t="n">
        <f aca="false">ROUND(ABS(淡江大學_p6!S45),0)</f>
        <v>290201</v>
      </c>
      <c r="T25" s="5" t="n">
        <f aca="false">ROUND(ABS(淡江大學_p6!T45),0)</f>
        <v>290201</v>
      </c>
      <c r="U25" s="5" t="n">
        <f aca="false">ROUND(ABS(淡江大學_p6!U45),0)</f>
        <v>290201</v>
      </c>
      <c r="V25" s="5" t="n">
        <f aca="false">ROUND(ABS(淡江大學_p6!V45),0)</f>
        <v>290201</v>
      </c>
      <c r="W25" s="5" t="n">
        <f aca="false">ROUND(ABS(淡江大學_p6!W45),0)</f>
        <v>290201</v>
      </c>
      <c r="X25" s="2"/>
    </row>
    <row r="26" customFormat="false" ht="15" hidden="false" customHeight="true" outlineLevel="0" collapsed="false">
      <c r="A26" s="2"/>
      <c r="B26" s="4" t="s">
        <v>2</v>
      </c>
      <c r="C26" s="2"/>
      <c r="D26" s="5" t="n">
        <f aca="false">ROUND(ABS(淡江大學_p3!D45),0)</f>
        <v>290201</v>
      </c>
      <c r="E26" s="5" t="n">
        <f aca="false">ROUND(ABS(淡江大學_p3!E45),0)</f>
        <v>290201</v>
      </c>
      <c r="F26" s="5" t="n">
        <f aca="false">ROUND(ABS(淡江大學_p3!F45),0)</f>
        <v>290201</v>
      </c>
      <c r="G26" s="5" t="n">
        <f aca="false">ROUND(ABS(淡江大學_p3!G45),0)</f>
        <v>290201</v>
      </c>
      <c r="H26" s="5" t="n">
        <f aca="false">ROUND(ABS(淡江大學_p3!H45),0)</f>
        <v>290201</v>
      </c>
      <c r="I26" s="5" t="n">
        <f aca="false">ROUND(ABS(淡江大學_p3!I45),0)</f>
        <v>290201</v>
      </c>
      <c r="J26" s="5" t="n">
        <f aca="false">ROUND(ABS(淡江大學_p3!J45),0)</f>
        <v>290201</v>
      </c>
      <c r="K26" s="5" t="n">
        <f aca="false">ROUND(ABS(淡江大學_p3!K45),0)</f>
        <v>290201</v>
      </c>
      <c r="L26" s="5" t="n">
        <f aca="false">ROUND(ABS(淡江大學_p3!L45),0)</f>
        <v>290201</v>
      </c>
      <c r="M26" s="5" t="n">
        <f aca="false">ROUND(ABS(淡江大學_p3!M45),0)</f>
        <v>290201</v>
      </c>
      <c r="N26" s="5" t="n">
        <f aca="false">ROUND(ABS(淡江大學_p3!N45),0)</f>
        <v>290201</v>
      </c>
      <c r="O26" s="5" t="n">
        <f aca="false">ROUND(ABS(淡江大學_p3!O45),0)</f>
        <v>290201</v>
      </c>
      <c r="P26" s="5" t="n">
        <f aca="false">ROUND(ABS(淡江大學_p3!P45),0)</f>
        <v>290201</v>
      </c>
      <c r="Q26" s="5" t="n">
        <f aca="false">ROUND(ABS(淡江大學_p3!Q45),0)</f>
        <v>290201</v>
      </c>
      <c r="R26" s="5" t="n">
        <f aca="false">ROUND(ABS(淡江大學_p3!R45),0)</f>
        <v>290201</v>
      </c>
      <c r="S26" s="5" t="n">
        <f aca="false">ROUND(ABS(淡江大學_p3!S45),0)</f>
        <v>290201</v>
      </c>
      <c r="T26" s="5" t="n">
        <f aca="false">ROUND(ABS(淡江大學_p3!T45),0)</f>
        <v>290201</v>
      </c>
      <c r="U26" s="5" t="n">
        <f aca="false">ROUND(ABS(淡江大學_p3!U45),0)</f>
        <v>290201</v>
      </c>
      <c r="V26" s="5" t="n">
        <f aca="false">ROUND(ABS(淡江大學_p3!V45),0)</f>
        <v>290201</v>
      </c>
      <c r="W26" s="5" t="n">
        <f aca="false">ROUND(ABS(淡江大學_p3!W45),0)</f>
        <v>290201</v>
      </c>
      <c r="X26" s="2"/>
    </row>
    <row r="27" customFormat="false" ht="15" hidden="false" customHeight="true" outlineLevel="0" collapsed="false">
      <c r="A27" s="2"/>
      <c r="B27" s="2" t="s">
        <v>2</v>
      </c>
      <c r="C27" s="4"/>
      <c r="D27" s="5" t="n">
        <f aca="false">ROUND(ABS(淡江大學_p4_1!D45),0)</f>
        <v>290201</v>
      </c>
      <c r="E27" s="5" t="n">
        <f aca="false">ROUND(ABS(淡江大學_p4_1!E45),0)</f>
        <v>290201</v>
      </c>
      <c r="F27" s="5" t="n">
        <f aca="false">ROUND(ABS(淡江大學_p4_1!F45),0)</f>
        <v>290201</v>
      </c>
      <c r="G27" s="5" t="n">
        <f aca="false">ROUND(ABS(淡江大學_p4_1!G45),0)</f>
        <v>290201</v>
      </c>
      <c r="H27" s="5" t="n">
        <f aca="false">ROUND(ABS(淡江大學_p4_1!H45),0)</f>
        <v>290201</v>
      </c>
      <c r="I27" s="5" t="n">
        <f aca="false">ROUND(ABS(淡江大學_p4_1!I45),0)</f>
        <v>290201</v>
      </c>
      <c r="J27" s="5" t="n">
        <f aca="false">ROUND(ABS(淡江大學_p4_1!J45),0)</f>
        <v>290201</v>
      </c>
      <c r="K27" s="5" t="n">
        <f aca="false">ROUND(ABS(淡江大學_p4_1!K45),0)</f>
        <v>290201</v>
      </c>
      <c r="L27" s="5" t="n">
        <f aca="false">ROUND(ABS(淡江大學_p4_1!L45),0)</f>
        <v>290201</v>
      </c>
      <c r="M27" s="5" t="n">
        <f aca="false">ROUND(ABS(淡江大學_p4_1!M45),0)</f>
        <v>290201</v>
      </c>
      <c r="N27" s="5" t="n">
        <f aca="false">ROUND(ABS(淡江大學_p4_1!N45),0)</f>
        <v>290201</v>
      </c>
      <c r="O27" s="5" t="n">
        <f aca="false">ROUND(ABS(淡江大學_p4_1!O45),0)</f>
        <v>290201</v>
      </c>
      <c r="P27" s="5" t="n">
        <f aca="false">ROUND(ABS(淡江大學_p4_1!P45),0)</f>
        <v>290201</v>
      </c>
      <c r="Q27" s="5" t="n">
        <f aca="false">ROUND(ABS(淡江大學_p4_1!Q45),0)</f>
        <v>290201</v>
      </c>
      <c r="R27" s="5" t="n">
        <f aca="false">ROUND(ABS(淡江大學_p4_1!R45),0)</f>
        <v>290201</v>
      </c>
      <c r="S27" s="5" t="n">
        <f aca="false">ROUND(ABS(淡江大學_p4_1!S45),0)</f>
        <v>290201</v>
      </c>
      <c r="T27" s="5" t="n">
        <f aca="false">ROUND(ABS(淡江大學_p4_1!T45),0)</f>
        <v>290201</v>
      </c>
      <c r="U27" s="5" t="n">
        <f aca="false">ROUND(ABS(淡江大學_p4_1!U45),0)</f>
        <v>290201</v>
      </c>
      <c r="V27" s="5" t="n">
        <f aca="false">ROUND(ABS(淡江大學_p4_1!V45),0)</f>
        <v>290201</v>
      </c>
      <c r="W27" s="5" t="n">
        <f aca="false">ROUND(ABS(淡江大學_p4_1!W45),0)</f>
        <v>290201</v>
      </c>
      <c r="X27" s="2"/>
    </row>
    <row r="28" customFormat="false" ht="15" hidden="false" customHeight="true" outlineLevel="0" collapsed="false">
      <c r="A28" s="2"/>
      <c r="B28" s="2" t="s">
        <v>2</v>
      </c>
      <c r="C28" s="4"/>
      <c r="D28" s="5" t="n">
        <f aca="false">ROUND(ABS(淡江大學_p4_2!D45),0)</f>
        <v>290201</v>
      </c>
      <c r="E28" s="5" t="n">
        <f aca="false">ROUND(ABS(淡江大學_p4_2!E45),0)</f>
        <v>290201</v>
      </c>
      <c r="F28" s="5" t="n">
        <f aca="false">ROUND(ABS(淡江大學_p4_2!F45),0)</f>
        <v>290201</v>
      </c>
      <c r="G28" s="5" t="n">
        <f aca="false">ROUND(ABS(淡江大學_p4_2!G45),0)</f>
        <v>290201</v>
      </c>
      <c r="H28" s="5" t="n">
        <f aca="false">ROUND(ABS(淡江大學_p4_2!H45),0)</f>
        <v>290201</v>
      </c>
      <c r="I28" s="5" t="n">
        <f aca="false">ROUND(ABS(淡江大學_p4_2!I45),0)</f>
        <v>290201</v>
      </c>
      <c r="J28" s="5" t="n">
        <f aca="false">ROUND(ABS(淡江大學_p4_2!J45),0)</f>
        <v>290201</v>
      </c>
      <c r="K28" s="5" t="n">
        <f aca="false">ROUND(ABS(淡江大學_p4_2!K45),0)</f>
        <v>290201</v>
      </c>
      <c r="L28" s="5" t="n">
        <f aca="false">ROUND(ABS(淡江大學_p4_2!L45),0)</f>
        <v>290201</v>
      </c>
      <c r="M28" s="5" t="n">
        <f aca="false">ROUND(ABS(淡江大學_p4_2!M45),0)</f>
        <v>290201</v>
      </c>
      <c r="N28" s="5" t="n">
        <f aca="false">ROUND(ABS(淡江大學_p4_2!N45),0)</f>
        <v>290201</v>
      </c>
      <c r="O28" s="5" t="n">
        <f aca="false">ROUND(ABS(淡江大學_p4_2!O45),0)</f>
        <v>290201</v>
      </c>
      <c r="P28" s="5" t="n">
        <f aca="false">ROUND(ABS(淡江大學_p4_2!P45),0)</f>
        <v>290201</v>
      </c>
      <c r="Q28" s="5" t="n">
        <f aca="false">ROUND(ABS(淡江大學_p4_2!Q45),0)</f>
        <v>290201</v>
      </c>
      <c r="R28" s="5" t="n">
        <f aca="false">ROUND(ABS(淡江大學_p4_2!R45),0)</f>
        <v>290201</v>
      </c>
      <c r="S28" s="5" t="n">
        <f aca="false">ROUND(ABS(淡江大學_p4_2!S45),0)</f>
        <v>290201</v>
      </c>
      <c r="T28" s="5" t="n">
        <f aca="false">ROUND(ABS(淡江大學_p4_2!T45),0)</f>
        <v>290201</v>
      </c>
      <c r="U28" s="5" t="n">
        <f aca="false">ROUND(ABS(淡江大學_p4_2!U45),0)</f>
        <v>290201</v>
      </c>
      <c r="V28" s="5" t="n">
        <f aca="false">ROUND(ABS(淡江大學_p4_2!V45),0)</f>
        <v>290201</v>
      </c>
      <c r="W28" s="5" t="n">
        <f aca="false">ROUND(ABS(淡江大學_p4_2!W45),0)</f>
        <v>290201</v>
      </c>
      <c r="X28" s="2"/>
    </row>
    <row r="29" customFormat="false" ht="15" hidden="false" customHeight="true" outlineLevel="0" collapsed="false">
      <c r="A29" s="2"/>
      <c r="B29" s="2" t="s">
        <v>2</v>
      </c>
      <c r="C29" s="4"/>
      <c r="D29" s="6" t="n">
        <f aca="false">ROUND(ABS(淡江大學_p6_1!D45),0)</f>
        <v>290201</v>
      </c>
      <c r="E29" s="6" t="n">
        <f aca="false">ROUND(ABS(淡江大學_p6_1!E45),0)</f>
        <v>290201</v>
      </c>
      <c r="F29" s="6" t="n">
        <f aca="false">ROUND(ABS(淡江大學_p6_1!F45),0)</f>
        <v>290201</v>
      </c>
      <c r="G29" s="6" t="n">
        <f aca="false">ROUND(ABS(淡江大學_p6_1!G45),0)</f>
        <v>290201</v>
      </c>
      <c r="H29" s="6" t="n">
        <f aca="false">ROUND(ABS(淡江大學_p6_1!H45),0)</f>
        <v>290201</v>
      </c>
      <c r="I29" s="6" t="n">
        <f aca="false">ROUND(ABS(淡江大學_p6_1!I45),0)</f>
        <v>290201</v>
      </c>
      <c r="J29" s="6" t="n">
        <f aca="false">ROUND(ABS(淡江大學_p6_1!J45),0)</f>
        <v>290201</v>
      </c>
      <c r="K29" s="6" t="n">
        <f aca="false">ROUND(ABS(淡江大學_p6_1!K45),0)</f>
        <v>290201</v>
      </c>
      <c r="L29" s="6" t="n">
        <f aca="false">ROUND(ABS(淡江大學_p6_1!L45),0)</f>
        <v>290201</v>
      </c>
      <c r="M29" s="6" t="n">
        <f aca="false">ROUND(ABS(淡江大學_p6_1!M45),0)</f>
        <v>290201</v>
      </c>
      <c r="N29" s="6" t="n">
        <f aca="false">ROUND(ABS(淡江大學_p6_1!N45),0)</f>
        <v>290201</v>
      </c>
      <c r="O29" s="6" t="n">
        <f aca="false">ROUND(ABS(淡江大學_p6_1!O45),0)</f>
        <v>290201</v>
      </c>
      <c r="P29" s="6" t="n">
        <f aca="false">ROUND(ABS(淡江大學_p6_1!P45),0)</f>
        <v>290201</v>
      </c>
      <c r="Q29" s="6" t="n">
        <f aca="false">ROUND(ABS(淡江大學_p6_1!Q45),0)</f>
        <v>290201</v>
      </c>
      <c r="R29" s="6" t="n">
        <f aca="false">ROUND(ABS(淡江大學_p6_1!R45),0)</f>
        <v>290201</v>
      </c>
      <c r="S29" s="6" t="n">
        <f aca="false">ROUND(ABS(淡江大學_p6_1!S45),0)</f>
        <v>290201</v>
      </c>
      <c r="T29" s="6" t="n">
        <f aca="false">ROUND(ABS(淡江大學_p6_1!T45),0)</f>
        <v>290201</v>
      </c>
      <c r="U29" s="6" t="n">
        <f aca="false">ROUND(ABS(淡江大學_p6_1!U45),0)</f>
        <v>290201</v>
      </c>
      <c r="V29" s="6" t="n">
        <f aca="false">ROUND(ABS(淡江大學_p6_1!V45),0)</f>
        <v>290201</v>
      </c>
      <c r="W29" s="6" t="n">
        <f aca="false">ROUND(ABS(淡江大學_p6_1!W45),0)</f>
        <v>290201</v>
      </c>
      <c r="X29" s="2"/>
    </row>
    <row r="30" customFormat="false" ht="15" hidden="false" customHeight="true" outlineLevel="0" collapsed="false">
      <c r="A30" s="2"/>
      <c r="B30" s="4"/>
      <c r="C30" s="13" t="s">
        <v>7</v>
      </c>
      <c r="D30" s="14" t="n">
        <f aca="false">SUM(D24:D29)</f>
        <v>1741206</v>
      </c>
      <c r="E30" s="14" t="n">
        <f aca="false">SUM(E24:E29)</f>
        <v>1741206</v>
      </c>
      <c r="F30" s="14" t="n">
        <f aca="false">SUM(F24:F29)</f>
        <v>1741206</v>
      </c>
      <c r="G30" s="14" t="n">
        <f aca="false">SUM(G24:G29)</f>
        <v>1741206</v>
      </c>
      <c r="H30" s="14" t="n">
        <f aca="false">SUM(H24:H29)</f>
        <v>1741206</v>
      </c>
      <c r="I30" s="14" t="n">
        <f aca="false">SUM(I24:I29)</f>
        <v>1741206</v>
      </c>
      <c r="J30" s="14" t="n">
        <f aca="false">SUM(J24:J29)</f>
        <v>1741206</v>
      </c>
      <c r="K30" s="14" t="n">
        <f aca="false">SUM(K24:K29)</f>
        <v>1741206</v>
      </c>
      <c r="L30" s="14" t="n">
        <f aca="false">SUM(L24:L29)</f>
        <v>1741206</v>
      </c>
      <c r="M30" s="14" t="n">
        <f aca="false">SUM(M24:M29)</f>
        <v>1741206</v>
      </c>
      <c r="N30" s="14" t="n">
        <f aca="false">SUM(N24:N29)</f>
        <v>1741206</v>
      </c>
      <c r="O30" s="14" t="n">
        <f aca="false">SUM(O24:O29)</f>
        <v>1741206</v>
      </c>
      <c r="P30" s="14" t="n">
        <f aca="false">SUM(P24:P29)</f>
        <v>1741206</v>
      </c>
      <c r="Q30" s="14" t="n">
        <f aca="false">SUM(Q24:Q29)</f>
        <v>1741206</v>
      </c>
      <c r="R30" s="14" t="n">
        <f aca="false">SUM(R24:R29)</f>
        <v>1741206</v>
      </c>
      <c r="S30" s="14" t="n">
        <f aca="false">SUM(S24:S29)</f>
        <v>1741206</v>
      </c>
      <c r="T30" s="14" t="n">
        <f aca="false">SUM(T24:T29)</f>
        <v>1741206</v>
      </c>
      <c r="U30" s="14" t="n">
        <f aca="false">SUM(U24:U29)</f>
        <v>1741206</v>
      </c>
      <c r="V30" s="14" t="n">
        <f aca="false">SUM(V24:V29)</f>
        <v>1741206</v>
      </c>
      <c r="W30" s="14" t="n">
        <f aca="false">SUM(W24:W29)</f>
        <v>1741206</v>
      </c>
      <c r="X30" s="2"/>
    </row>
    <row r="31" customFormat="false" ht="15" hidden="false" customHeight="true" outlineLevel="0" collapsed="false">
      <c r="A31" s="2"/>
      <c r="B31" s="4"/>
      <c r="C31" s="9" t="s">
        <v>0</v>
      </c>
      <c r="D31" s="10" t="n">
        <v>2020</v>
      </c>
      <c r="E31" s="10" t="n">
        <v>2021</v>
      </c>
      <c r="F31" s="10" t="n">
        <v>2022</v>
      </c>
      <c r="G31" s="10" t="n">
        <v>2023</v>
      </c>
      <c r="H31" s="10" t="n">
        <v>2024</v>
      </c>
      <c r="I31" s="10" t="n">
        <v>2025</v>
      </c>
      <c r="J31" s="10" t="n">
        <v>2026</v>
      </c>
      <c r="K31" s="10" t="n">
        <v>2027</v>
      </c>
      <c r="L31" s="10" t="n">
        <v>2028</v>
      </c>
      <c r="M31" s="10" t="n">
        <v>2029</v>
      </c>
      <c r="N31" s="10" t="n">
        <v>2030</v>
      </c>
      <c r="O31" s="10" t="n">
        <v>2031</v>
      </c>
      <c r="P31" s="10" t="n">
        <v>2032</v>
      </c>
      <c r="Q31" s="10" t="n">
        <v>2033</v>
      </c>
      <c r="R31" s="10" t="n">
        <v>2034</v>
      </c>
      <c r="S31" s="10" t="n">
        <v>2035</v>
      </c>
      <c r="T31" s="10" t="n">
        <v>2036</v>
      </c>
      <c r="U31" s="10" t="n">
        <v>2037</v>
      </c>
      <c r="V31" s="10" t="n">
        <v>2038</v>
      </c>
      <c r="W31" s="10" t="n">
        <v>2039</v>
      </c>
      <c r="X31" s="2"/>
    </row>
    <row r="32" customFormat="false" ht="15" hidden="false" customHeight="true" outlineLevel="0" collapsed="false">
      <c r="A32" s="2"/>
      <c r="B32" s="4"/>
      <c r="C32" s="2" t="s">
        <v>8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2"/>
    </row>
    <row r="33" customFormat="false" ht="15" hidden="false" customHeight="true" outlineLevel="0" collapsed="false">
      <c r="A33" s="2"/>
      <c r="B33" s="2" t="s">
        <v>2</v>
      </c>
      <c r="C33" s="4"/>
      <c r="D33" s="5" t="n">
        <f aca="false">ROUND(ABS(淡江大學_p4!D48),0)</f>
        <v>174440</v>
      </c>
      <c r="E33" s="5" t="n">
        <f aca="false">ROUND(ABS(淡江大學_p4!E48),0)</f>
        <v>174440</v>
      </c>
      <c r="F33" s="5" t="n">
        <f aca="false">ROUND(ABS(淡江大學_p4!F48),0)</f>
        <v>174440</v>
      </c>
      <c r="G33" s="5" t="n">
        <f aca="false">ROUND(ABS(淡江大學_p4!G48),0)</f>
        <v>174440</v>
      </c>
      <c r="H33" s="5" t="n">
        <f aca="false">ROUND(ABS(淡江大學_p4!H48),0)</f>
        <v>174440</v>
      </c>
      <c r="I33" s="5" t="n">
        <f aca="false">ROUND(ABS(淡江大學_p4!I48),0)</f>
        <v>174440</v>
      </c>
      <c r="J33" s="5" t="n">
        <f aca="false">ROUND(ABS(淡江大學_p4!J48),0)</f>
        <v>174440</v>
      </c>
      <c r="K33" s="5" t="n">
        <f aca="false">ROUND(ABS(淡江大學_p4!K48),0)</f>
        <v>174440</v>
      </c>
      <c r="L33" s="5" t="n">
        <f aca="false">ROUND(ABS(淡江大學_p4!L48),0)</f>
        <v>174440</v>
      </c>
      <c r="M33" s="5" t="n">
        <f aca="false">ROUND(ABS(淡江大學_p4!M48),0)</f>
        <v>174440</v>
      </c>
      <c r="N33" s="5" t="n">
        <f aca="false">ROUND(ABS(淡江大學_p4!N48),0)</f>
        <v>174440</v>
      </c>
      <c r="O33" s="5" t="n">
        <f aca="false">ROUND(ABS(淡江大學_p4!O48),0)</f>
        <v>174440</v>
      </c>
      <c r="P33" s="5" t="n">
        <f aca="false">ROUND(ABS(淡江大學_p4!P48),0)</f>
        <v>174440</v>
      </c>
      <c r="Q33" s="5" t="n">
        <f aca="false">ROUND(ABS(淡江大學_p4!Q48),0)</f>
        <v>174440</v>
      </c>
      <c r="R33" s="5" t="n">
        <f aca="false">ROUND(ABS(淡江大學_p4!R48),0)</f>
        <v>174440</v>
      </c>
      <c r="S33" s="5" t="n">
        <f aca="false">ROUND(ABS(淡江大學_p4!S48),0)</f>
        <v>174440</v>
      </c>
      <c r="T33" s="5" t="n">
        <f aca="false">ROUND(ABS(淡江大學_p4!T48),0)</f>
        <v>174440</v>
      </c>
      <c r="U33" s="5" t="n">
        <f aca="false">ROUND(ABS(淡江大學_p4!U48),0)</f>
        <v>174440</v>
      </c>
      <c r="V33" s="5" t="n">
        <f aca="false">ROUND(ABS(淡江大學_p4!V48),0)</f>
        <v>174440</v>
      </c>
      <c r="W33" s="5" t="n">
        <f aca="false">ROUND(ABS(淡江大學_p4!W48),0)</f>
        <v>174440</v>
      </c>
      <c r="X33" s="2"/>
    </row>
    <row r="34" customFormat="false" ht="15" hidden="false" customHeight="true" outlineLevel="0" collapsed="false">
      <c r="A34" s="2"/>
      <c r="B34" s="2" t="s">
        <v>2</v>
      </c>
      <c r="C34" s="4"/>
      <c r="D34" s="5" t="n">
        <f aca="false">ROUND(ABS(淡江大學_p6!D48),0)</f>
        <v>174440</v>
      </c>
      <c r="E34" s="5" t="n">
        <f aca="false">ROUND(ABS(淡江大學_p6!E48),0)</f>
        <v>174440</v>
      </c>
      <c r="F34" s="5" t="n">
        <f aca="false">ROUND(ABS(淡江大學_p6!F48),0)</f>
        <v>174440</v>
      </c>
      <c r="G34" s="5" t="n">
        <f aca="false">ROUND(ABS(淡江大學_p6!G48),0)</f>
        <v>174440</v>
      </c>
      <c r="H34" s="5" t="n">
        <f aca="false">ROUND(ABS(淡江大學_p6!H48),0)</f>
        <v>174440</v>
      </c>
      <c r="I34" s="5" t="n">
        <f aca="false">ROUND(ABS(淡江大學_p6!I48),0)</f>
        <v>174440</v>
      </c>
      <c r="J34" s="5" t="n">
        <f aca="false">ROUND(ABS(淡江大學_p6!J48),0)</f>
        <v>174440</v>
      </c>
      <c r="K34" s="5" t="n">
        <f aca="false">ROUND(ABS(淡江大學_p6!K48),0)</f>
        <v>174440</v>
      </c>
      <c r="L34" s="5" t="n">
        <f aca="false">ROUND(ABS(淡江大學_p6!L48),0)</f>
        <v>174440</v>
      </c>
      <c r="M34" s="5" t="n">
        <f aca="false">ROUND(ABS(淡江大學_p6!M48),0)</f>
        <v>174440</v>
      </c>
      <c r="N34" s="5" t="n">
        <f aca="false">ROUND(ABS(淡江大學_p6!N48),0)</f>
        <v>174440</v>
      </c>
      <c r="O34" s="5" t="n">
        <f aca="false">ROUND(ABS(淡江大學_p6!O48),0)</f>
        <v>174440</v>
      </c>
      <c r="P34" s="5" t="n">
        <f aca="false">ROUND(ABS(淡江大學_p6!P48),0)</f>
        <v>174440</v>
      </c>
      <c r="Q34" s="5" t="n">
        <f aca="false">ROUND(ABS(淡江大學_p6!Q48),0)</f>
        <v>174440</v>
      </c>
      <c r="R34" s="5" t="n">
        <f aca="false">ROUND(ABS(淡江大學_p6!R48),0)</f>
        <v>174440</v>
      </c>
      <c r="S34" s="5" t="n">
        <f aca="false">ROUND(ABS(淡江大學_p6!S48),0)</f>
        <v>174440</v>
      </c>
      <c r="T34" s="5" t="n">
        <f aca="false">ROUND(ABS(淡江大學_p6!T48),0)</f>
        <v>174440</v>
      </c>
      <c r="U34" s="5" t="n">
        <f aca="false">ROUND(ABS(淡江大學_p6!U48),0)</f>
        <v>174440</v>
      </c>
      <c r="V34" s="5" t="n">
        <f aca="false">ROUND(ABS(淡江大學_p6!V48),0)</f>
        <v>174440</v>
      </c>
      <c r="W34" s="5" t="n">
        <f aca="false">ROUND(ABS(淡江大學_p6!W48),0)</f>
        <v>174440</v>
      </c>
      <c r="X34" s="2"/>
    </row>
    <row r="35" customFormat="false" ht="15" hidden="false" customHeight="true" outlineLevel="0" collapsed="false">
      <c r="A35" s="2"/>
      <c r="B35" s="2" t="s">
        <v>2</v>
      </c>
      <c r="C35" s="4"/>
      <c r="D35" s="6" t="n">
        <f aca="false">ROUND(ABS(淡江大學_p3!D48),0)</f>
        <v>174440</v>
      </c>
      <c r="E35" s="6" t="n">
        <f aca="false">ROUND(ABS(淡江大學_p3!E48),0)</f>
        <v>174440</v>
      </c>
      <c r="F35" s="6" t="n">
        <f aca="false">ROUND(ABS(淡江大學_p3!F48),0)</f>
        <v>174440</v>
      </c>
      <c r="G35" s="6" t="n">
        <f aca="false">ROUND(ABS(淡江大學_p3!G48),0)</f>
        <v>174440</v>
      </c>
      <c r="H35" s="6" t="n">
        <f aca="false">ROUND(ABS(淡江大學_p3!H48),0)</f>
        <v>174440</v>
      </c>
      <c r="I35" s="6" t="n">
        <f aca="false">ROUND(ABS(淡江大學_p3!I48),0)</f>
        <v>174440</v>
      </c>
      <c r="J35" s="6" t="n">
        <f aca="false">ROUND(ABS(淡江大學_p3!J48),0)</f>
        <v>174440</v>
      </c>
      <c r="K35" s="6" t="n">
        <f aca="false">ROUND(ABS(淡江大學_p3!K48),0)</f>
        <v>174440</v>
      </c>
      <c r="L35" s="6" t="n">
        <f aca="false">ROUND(ABS(淡江大學_p3!L48),0)</f>
        <v>174440</v>
      </c>
      <c r="M35" s="6" t="n">
        <f aca="false">ROUND(ABS(淡江大學_p3!M48),0)</f>
        <v>174440</v>
      </c>
      <c r="N35" s="6" t="n">
        <f aca="false">ROUND(ABS(淡江大學_p3!N48),0)</f>
        <v>174440</v>
      </c>
      <c r="O35" s="6" t="n">
        <f aca="false">ROUND(ABS(淡江大學_p3!O48),0)</f>
        <v>174440</v>
      </c>
      <c r="P35" s="6" t="n">
        <f aca="false">ROUND(ABS(淡江大學_p3!P48),0)</f>
        <v>174440</v>
      </c>
      <c r="Q35" s="6" t="n">
        <f aca="false">ROUND(ABS(淡江大學_p3!Q48),0)</f>
        <v>174440</v>
      </c>
      <c r="R35" s="6" t="n">
        <f aca="false">ROUND(ABS(淡江大學_p3!R48),0)</f>
        <v>174440</v>
      </c>
      <c r="S35" s="6" t="n">
        <f aca="false">ROUND(ABS(淡江大學_p3!S48),0)</f>
        <v>174440</v>
      </c>
      <c r="T35" s="6" t="n">
        <f aca="false">ROUND(ABS(淡江大學_p3!T48),0)</f>
        <v>174440</v>
      </c>
      <c r="U35" s="6" t="n">
        <f aca="false">ROUND(ABS(淡江大學_p3!U48),0)</f>
        <v>174440</v>
      </c>
      <c r="V35" s="6" t="n">
        <f aca="false">ROUND(ABS(淡江大學_p3!V48),0)</f>
        <v>174440</v>
      </c>
      <c r="W35" s="6" t="n">
        <f aca="false">ROUND(ABS(淡江大學_p3!W48),0)</f>
        <v>174440</v>
      </c>
      <c r="X35" s="2"/>
    </row>
    <row r="36" customFormat="false" ht="15" hidden="false" customHeight="true" outlineLevel="0" collapsed="false">
      <c r="A36" s="2"/>
      <c r="B36" s="4" t="s">
        <v>2</v>
      </c>
      <c r="C36" s="2"/>
      <c r="D36" s="5" t="n">
        <f aca="false">ROUND(ABS(淡江大學_p4_1!D48),0)</f>
        <v>174440</v>
      </c>
      <c r="E36" s="5" t="n">
        <f aca="false">ROUND(ABS(淡江大學_p4_1!E48),0)</f>
        <v>174440</v>
      </c>
      <c r="F36" s="5" t="n">
        <f aca="false">ROUND(ABS(淡江大學_p4_1!F48),0)</f>
        <v>174440</v>
      </c>
      <c r="G36" s="5" t="n">
        <f aca="false">ROUND(ABS(淡江大學_p4_1!G48),0)</f>
        <v>174440</v>
      </c>
      <c r="H36" s="5" t="n">
        <f aca="false">ROUND(ABS(淡江大學_p4_1!H48),0)</f>
        <v>174440</v>
      </c>
      <c r="I36" s="5" t="n">
        <f aca="false">ROUND(ABS(淡江大學_p4_1!I48),0)</f>
        <v>174440</v>
      </c>
      <c r="J36" s="5" t="n">
        <f aca="false">ROUND(ABS(淡江大學_p4_1!J48),0)</f>
        <v>174440</v>
      </c>
      <c r="K36" s="5" t="n">
        <f aca="false">ROUND(ABS(淡江大學_p4_1!K48),0)</f>
        <v>174440</v>
      </c>
      <c r="L36" s="5" t="n">
        <f aca="false">ROUND(ABS(淡江大學_p4_1!L48),0)</f>
        <v>174440</v>
      </c>
      <c r="M36" s="5" t="n">
        <f aca="false">ROUND(ABS(淡江大學_p4_1!M48),0)</f>
        <v>174440</v>
      </c>
      <c r="N36" s="5" t="n">
        <f aca="false">ROUND(ABS(淡江大學_p4_1!N48),0)</f>
        <v>174440</v>
      </c>
      <c r="O36" s="5" t="n">
        <f aca="false">ROUND(ABS(淡江大學_p4_1!O48),0)</f>
        <v>174440</v>
      </c>
      <c r="P36" s="5" t="n">
        <f aca="false">ROUND(ABS(淡江大學_p4_1!P48),0)</f>
        <v>174440</v>
      </c>
      <c r="Q36" s="5" t="n">
        <f aca="false">ROUND(ABS(淡江大學_p4_1!Q48),0)</f>
        <v>174440</v>
      </c>
      <c r="R36" s="5" t="n">
        <f aca="false">ROUND(ABS(淡江大學_p4_1!R48),0)</f>
        <v>174440</v>
      </c>
      <c r="S36" s="5" t="n">
        <f aca="false">ROUND(ABS(淡江大學_p4_1!S48),0)</f>
        <v>174440</v>
      </c>
      <c r="T36" s="5" t="n">
        <f aca="false">ROUND(ABS(淡江大學_p4_1!T48),0)</f>
        <v>174440</v>
      </c>
      <c r="U36" s="5" t="n">
        <f aca="false">ROUND(ABS(淡江大學_p4_1!U48),0)</f>
        <v>174440</v>
      </c>
      <c r="V36" s="5" t="n">
        <f aca="false">ROUND(ABS(淡江大學_p4_1!V48),0)</f>
        <v>174440</v>
      </c>
      <c r="W36" s="5" t="n">
        <f aca="false">ROUND(ABS(淡江大學_p4_1!W48),0)</f>
        <v>174440</v>
      </c>
      <c r="X36" s="2"/>
    </row>
    <row r="37" customFormat="false" ht="15" hidden="false" customHeight="true" outlineLevel="0" collapsed="false">
      <c r="A37" s="2"/>
      <c r="B37" s="4" t="s">
        <v>2</v>
      </c>
      <c r="C37" s="2"/>
      <c r="D37" s="5" t="n">
        <f aca="false">ROUND(ABS(淡江大學_p4_2!D48),0)</f>
        <v>174440</v>
      </c>
      <c r="E37" s="5" t="n">
        <f aca="false">ROUND(ABS(淡江大學_p4_2!E48),0)</f>
        <v>174440</v>
      </c>
      <c r="F37" s="5" t="n">
        <f aca="false">ROUND(ABS(淡江大學_p4_2!F48),0)</f>
        <v>174440</v>
      </c>
      <c r="G37" s="5" t="n">
        <f aca="false">ROUND(ABS(淡江大學_p4_2!G48),0)</f>
        <v>174440</v>
      </c>
      <c r="H37" s="5" t="n">
        <f aca="false">ROUND(ABS(淡江大學_p4_2!H48),0)</f>
        <v>174440</v>
      </c>
      <c r="I37" s="5" t="n">
        <f aca="false">ROUND(ABS(淡江大學_p4_2!I48),0)</f>
        <v>174440</v>
      </c>
      <c r="J37" s="5" t="n">
        <f aca="false">ROUND(ABS(淡江大學_p4_2!J48),0)</f>
        <v>174440</v>
      </c>
      <c r="K37" s="5" t="n">
        <f aca="false">ROUND(ABS(淡江大學_p4_2!K48),0)</f>
        <v>174440</v>
      </c>
      <c r="L37" s="5" t="n">
        <f aca="false">ROUND(ABS(淡江大學_p4_2!L48),0)</f>
        <v>174440</v>
      </c>
      <c r="M37" s="5" t="n">
        <f aca="false">ROUND(ABS(淡江大學_p4_2!M48),0)</f>
        <v>174440</v>
      </c>
      <c r="N37" s="5" t="n">
        <f aca="false">ROUND(ABS(淡江大學_p4_2!N48),0)</f>
        <v>174440</v>
      </c>
      <c r="O37" s="5" t="n">
        <f aca="false">ROUND(ABS(淡江大學_p4_2!O48),0)</f>
        <v>174440</v>
      </c>
      <c r="P37" s="5" t="n">
        <f aca="false">ROUND(ABS(淡江大學_p4_2!P48),0)</f>
        <v>174440</v>
      </c>
      <c r="Q37" s="5" t="n">
        <f aca="false">ROUND(ABS(淡江大學_p4_2!Q48),0)</f>
        <v>174440</v>
      </c>
      <c r="R37" s="5" t="n">
        <f aca="false">ROUND(ABS(淡江大學_p4_2!R48),0)</f>
        <v>174440</v>
      </c>
      <c r="S37" s="5" t="n">
        <f aca="false">ROUND(ABS(淡江大學_p4_2!S48),0)</f>
        <v>174440</v>
      </c>
      <c r="T37" s="5" t="n">
        <f aca="false">ROUND(ABS(淡江大學_p4_2!T48),0)</f>
        <v>174440</v>
      </c>
      <c r="U37" s="5" t="n">
        <f aca="false">ROUND(ABS(淡江大學_p4_2!U48),0)</f>
        <v>174440</v>
      </c>
      <c r="V37" s="5" t="n">
        <f aca="false">ROUND(ABS(淡江大學_p4_2!V48),0)</f>
        <v>174440</v>
      </c>
      <c r="W37" s="5" t="n">
        <f aca="false">ROUND(ABS(淡江大學_p4_2!W48),0)</f>
        <v>174440</v>
      </c>
      <c r="X37" s="2"/>
    </row>
    <row r="38" customFormat="false" ht="15" hidden="false" customHeight="true" outlineLevel="0" collapsed="false">
      <c r="A38" s="2"/>
      <c r="B38" s="4" t="s">
        <v>2</v>
      </c>
      <c r="C38" s="2"/>
      <c r="D38" s="5" t="n">
        <f aca="false">ROUND(ABS(淡江大學_p6_1!D48),0)</f>
        <v>174440</v>
      </c>
      <c r="E38" s="5" t="n">
        <f aca="false">ROUND(ABS(淡江大學_p6_1!E48),0)</f>
        <v>174440</v>
      </c>
      <c r="F38" s="5" t="n">
        <f aca="false">ROUND(ABS(淡江大學_p6_1!F48),0)</f>
        <v>174440</v>
      </c>
      <c r="G38" s="5" t="n">
        <f aca="false">ROUND(ABS(淡江大學_p6_1!G48),0)</f>
        <v>174440</v>
      </c>
      <c r="H38" s="5" t="n">
        <f aca="false">ROUND(ABS(淡江大學_p6_1!H48),0)</f>
        <v>174440</v>
      </c>
      <c r="I38" s="5" t="n">
        <f aca="false">ROUND(ABS(淡江大學_p6_1!I48),0)</f>
        <v>174440</v>
      </c>
      <c r="J38" s="5" t="n">
        <f aca="false">ROUND(ABS(淡江大學_p6_1!J48),0)</f>
        <v>174440</v>
      </c>
      <c r="K38" s="5" t="n">
        <f aca="false">ROUND(ABS(淡江大學_p6_1!K48),0)</f>
        <v>174440</v>
      </c>
      <c r="L38" s="5" t="n">
        <f aca="false">ROUND(ABS(淡江大學_p6_1!L48),0)</f>
        <v>174440</v>
      </c>
      <c r="M38" s="5" t="n">
        <f aca="false">ROUND(ABS(淡江大學_p6_1!M48),0)</f>
        <v>174440</v>
      </c>
      <c r="N38" s="5" t="n">
        <f aca="false">ROUND(ABS(淡江大學_p6_1!N48),0)</f>
        <v>174440</v>
      </c>
      <c r="O38" s="5" t="n">
        <f aca="false">ROUND(ABS(淡江大學_p6_1!O48),0)</f>
        <v>174440</v>
      </c>
      <c r="P38" s="5" t="n">
        <f aca="false">ROUND(ABS(淡江大學_p6_1!P48),0)</f>
        <v>174440</v>
      </c>
      <c r="Q38" s="5" t="n">
        <f aca="false">ROUND(ABS(淡江大學_p6_1!Q48),0)</f>
        <v>174440</v>
      </c>
      <c r="R38" s="5" t="n">
        <f aca="false">ROUND(ABS(淡江大學_p6_1!R48),0)</f>
        <v>174440</v>
      </c>
      <c r="S38" s="5" t="n">
        <f aca="false">ROUND(ABS(淡江大學_p6_1!S48),0)</f>
        <v>174440</v>
      </c>
      <c r="T38" s="5" t="n">
        <f aca="false">ROUND(ABS(淡江大學_p6_1!T48),0)</f>
        <v>174440</v>
      </c>
      <c r="U38" s="5" t="n">
        <f aca="false">ROUND(ABS(淡江大學_p6_1!U48),0)</f>
        <v>174440</v>
      </c>
      <c r="V38" s="5" t="n">
        <f aca="false">ROUND(ABS(淡江大學_p6_1!V48),0)</f>
        <v>174440</v>
      </c>
      <c r="W38" s="5" t="n">
        <f aca="false">ROUND(ABS(淡江大學_p6_1!W48),0)</f>
        <v>174440</v>
      </c>
      <c r="X38" s="2"/>
    </row>
    <row r="39" customFormat="false" ht="15" hidden="false" customHeight="true" outlineLevel="0" collapsed="false">
      <c r="A39" s="2"/>
      <c r="B39" s="2"/>
      <c r="C39" s="15" t="s">
        <v>9</v>
      </c>
      <c r="D39" s="16" t="n">
        <f aca="false">SUM(D33:D38)</f>
        <v>1046640</v>
      </c>
      <c r="E39" s="16" t="n">
        <f aca="false">SUM(E33:E38)</f>
        <v>1046640</v>
      </c>
      <c r="F39" s="16" t="n">
        <f aca="false">SUM(F33:F38)</f>
        <v>1046640</v>
      </c>
      <c r="G39" s="16" t="n">
        <f aca="false">SUM(G33:G38)</f>
        <v>1046640</v>
      </c>
      <c r="H39" s="16" t="n">
        <f aca="false">SUM(H33:H38)</f>
        <v>1046640</v>
      </c>
      <c r="I39" s="16" t="n">
        <f aca="false">SUM(I33:I38)</f>
        <v>1046640</v>
      </c>
      <c r="J39" s="16" t="n">
        <f aca="false">SUM(J33:J38)</f>
        <v>1046640</v>
      </c>
      <c r="K39" s="16" t="n">
        <f aca="false">SUM(K33:K38)</f>
        <v>1046640</v>
      </c>
      <c r="L39" s="16" t="n">
        <f aca="false">SUM(L33:L38)</f>
        <v>1046640</v>
      </c>
      <c r="M39" s="16" t="n">
        <f aca="false">SUM(M33:M38)</f>
        <v>1046640</v>
      </c>
      <c r="N39" s="16" t="n">
        <f aca="false">SUM(N33:N38)</f>
        <v>1046640</v>
      </c>
      <c r="O39" s="16" t="n">
        <f aca="false">SUM(O33:O38)</f>
        <v>1046640</v>
      </c>
      <c r="P39" s="16" t="n">
        <f aca="false">SUM(P33:P38)</f>
        <v>1046640</v>
      </c>
      <c r="Q39" s="16" t="n">
        <f aca="false">SUM(Q33:Q38)</f>
        <v>1046640</v>
      </c>
      <c r="R39" s="16" t="n">
        <f aca="false">SUM(R33:R38)</f>
        <v>1046640</v>
      </c>
      <c r="S39" s="16" t="n">
        <f aca="false">SUM(S33:S38)</f>
        <v>1046640</v>
      </c>
      <c r="T39" s="16" t="n">
        <f aca="false">SUM(T33:T38)</f>
        <v>1046640</v>
      </c>
      <c r="U39" s="16" t="n">
        <f aca="false">SUM(U33:U38)</f>
        <v>1046640</v>
      </c>
      <c r="V39" s="16" t="n">
        <f aca="false">SUM(V33:V38)</f>
        <v>1046640</v>
      </c>
      <c r="W39" s="16" t="n">
        <f aca="false">SUM(W33:W38)</f>
        <v>1046640</v>
      </c>
      <c r="X39" s="2"/>
    </row>
    <row r="40" customFormat="false" ht="15" hidden="false" customHeight="true" outlineLevel="0" collapsed="false">
      <c r="A40" s="2"/>
      <c r="B40" s="2"/>
      <c r="C40" s="3" t="s">
        <v>0</v>
      </c>
      <c r="D40" s="3" t="n">
        <v>2020</v>
      </c>
      <c r="E40" s="3" t="n">
        <v>2021</v>
      </c>
      <c r="F40" s="3" t="n">
        <v>2022</v>
      </c>
      <c r="G40" s="3" t="n">
        <v>2023</v>
      </c>
      <c r="H40" s="3" t="n">
        <v>2024</v>
      </c>
      <c r="I40" s="3" t="n">
        <v>2025</v>
      </c>
      <c r="J40" s="3" t="n">
        <v>2026</v>
      </c>
      <c r="K40" s="3" t="n">
        <v>2027</v>
      </c>
      <c r="L40" s="3" t="n">
        <v>2028</v>
      </c>
      <c r="M40" s="3" t="n">
        <v>2029</v>
      </c>
      <c r="N40" s="3" t="n">
        <v>2030</v>
      </c>
      <c r="O40" s="3" t="n">
        <v>2031</v>
      </c>
      <c r="P40" s="3" t="n">
        <v>2032</v>
      </c>
      <c r="Q40" s="3" t="n">
        <v>2033</v>
      </c>
      <c r="R40" s="3" t="n">
        <v>2034</v>
      </c>
      <c r="S40" s="3" t="n">
        <v>2035</v>
      </c>
      <c r="T40" s="3" t="n">
        <v>2036</v>
      </c>
      <c r="U40" s="3" t="n">
        <v>2037</v>
      </c>
      <c r="V40" s="3" t="n">
        <v>2038</v>
      </c>
      <c r="W40" s="3" t="n">
        <v>2039</v>
      </c>
      <c r="X40" s="2"/>
    </row>
    <row r="41" customFormat="false" ht="15" hidden="false" customHeight="true" outlineLevel="0" collapsed="false">
      <c r="A41" s="2"/>
      <c r="B41" s="2"/>
      <c r="C41" s="4" t="s">
        <v>10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customFormat="false" ht="15" hidden="false" customHeight="true" outlineLevel="0" collapsed="false">
      <c r="A42" s="2"/>
      <c r="B42" s="4" t="s">
        <v>2</v>
      </c>
      <c r="C42" s="2"/>
      <c r="D42" s="5" t="n">
        <f aca="false">ROUND(ABS(淡江大學_p4!D49),0)</f>
        <v>37941</v>
      </c>
      <c r="E42" s="5" t="n">
        <f aca="false">ROUND(ABS(淡江大學_p4!E49),0)</f>
        <v>37941</v>
      </c>
      <c r="F42" s="5" t="n">
        <f aca="false">ROUND(ABS(淡江大學_p4!F49),0)</f>
        <v>37941</v>
      </c>
      <c r="G42" s="5" t="n">
        <f aca="false">ROUND(ABS(淡江大學_p4!G49),0)</f>
        <v>37941</v>
      </c>
      <c r="H42" s="5" t="n">
        <f aca="false">ROUND(ABS(淡江大學_p4!H49),0)</f>
        <v>37941</v>
      </c>
      <c r="I42" s="5" t="n">
        <f aca="false">ROUND(ABS(淡江大學_p4!I49),0)</f>
        <v>37941</v>
      </c>
      <c r="J42" s="5" t="n">
        <f aca="false">ROUND(ABS(淡江大學_p4!J49),0)</f>
        <v>37941</v>
      </c>
      <c r="K42" s="5" t="n">
        <f aca="false">ROUND(ABS(淡江大學_p4!K49),0)</f>
        <v>37941</v>
      </c>
      <c r="L42" s="5" t="n">
        <f aca="false">ROUND(ABS(淡江大學_p4!L49),0)</f>
        <v>37941</v>
      </c>
      <c r="M42" s="5" t="n">
        <f aca="false">ROUND(ABS(淡江大學_p4!M49),0)</f>
        <v>37941</v>
      </c>
      <c r="N42" s="5" t="n">
        <f aca="false">ROUND(ABS(淡江大學_p4!N49),0)</f>
        <v>37941</v>
      </c>
      <c r="O42" s="5" t="n">
        <f aca="false">ROUND(ABS(淡江大學_p4!O49),0)</f>
        <v>37941</v>
      </c>
      <c r="P42" s="5" t="n">
        <f aca="false">ROUND(ABS(淡江大學_p4!P49),0)</f>
        <v>37941</v>
      </c>
      <c r="Q42" s="5" t="n">
        <f aca="false">ROUND(ABS(淡江大學_p4!Q49),0)</f>
        <v>37941</v>
      </c>
      <c r="R42" s="5" t="n">
        <f aca="false">ROUND(ABS(淡江大學_p4!R49),0)</f>
        <v>37941</v>
      </c>
      <c r="S42" s="5" t="n">
        <f aca="false">ROUND(ABS(淡江大學_p4!S49),0)</f>
        <v>37941</v>
      </c>
      <c r="T42" s="5" t="n">
        <f aca="false">ROUND(ABS(淡江大學_p4!T49),0)</f>
        <v>37941</v>
      </c>
      <c r="U42" s="5" t="n">
        <f aca="false">ROUND(ABS(淡江大學_p4!U49),0)</f>
        <v>37941</v>
      </c>
      <c r="V42" s="5" t="n">
        <f aca="false">ROUND(ABS(淡江大學_p4!V49),0)</f>
        <v>37941</v>
      </c>
      <c r="W42" s="5" t="n">
        <f aca="false">ROUND(ABS(淡江大學_p4!W49),0)</f>
        <v>37941</v>
      </c>
      <c r="X42" s="2"/>
    </row>
    <row r="43" customFormat="false" ht="15" hidden="false" customHeight="true" outlineLevel="0" collapsed="false">
      <c r="A43" s="2"/>
      <c r="B43" s="4" t="s">
        <v>2</v>
      </c>
      <c r="C43" s="2"/>
      <c r="D43" s="5" t="n">
        <f aca="false">ROUND(ABS(淡江大學_p6!D49),0)</f>
        <v>32708</v>
      </c>
      <c r="E43" s="5" t="n">
        <f aca="false">ROUND(ABS(淡江大學_p6!E49),0)</f>
        <v>32708</v>
      </c>
      <c r="F43" s="5" t="n">
        <f aca="false">ROUND(ABS(淡江大學_p6!F49),0)</f>
        <v>32708</v>
      </c>
      <c r="G43" s="5" t="n">
        <f aca="false">ROUND(ABS(淡江大學_p6!G49),0)</f>
        <v>32708</v>
      </c>
      <c r="H43" s="5" t="n">
        <f aca="false">ROUND(ABS(淡江大學_p6!H49),0)</f>
        <v>32708</v>
      </c>
      <c r="I43" s="5" t="n">
        <f aca="false">ROUND(ABS(淡江大學_p6!I49),0)</f>
        <v>32708</v>
      </c>
      <c r="J43" s="5" t="n">
        <f aca="false">ROUND(ABS(淡江大學_p6!J49),0)</f>
        <v>32708</v>
      </c>
      <c r="K43" s="5" t="n">
        <f aca="false">ROUND(ABS(淡江大學_p6!K49),0)</f>
        <v>32708</v>
      </c>
      <c r="L43" s="5" t="n">
        <f aca="false">ROUND(ABS(淡江大學_p6!L49),0)</f>
        <v>32708</v>
      </c>
      <c r="M43" s="5" t="n">
        <f aca="false">ROUND(ABS(淡江大學_p6!M49),0)</f>
        <v>32708</v>
      </c>
      <c r="N43" s="5" t="n">
        <f aca="false">ROUND(ABS(淡江大學_p6!N49),0)</f>
        <v>32708</v>
      </c>
      <c r="O43" s="5" t="n">
        <f aca="false">ROUND(ABS(淡江大學_p6!O49),0)</f>
        <v>32708</v>
      </c>
      <c r="P43" s="5" t="n">
        <f aca="false">ROUND(ABS(淡江大學_p6!P49),0)</f>
        <v>32708</v>
      </c>
      <c r="Q43" s="5" t="n">
        <f aca="false">ROUND(ABS(淡江大學_p6!Q49),0)</f>
        <v>32708</v>
      </c>
      <c r="R43" s="5" t="n">
        <f aca="false">ROUND(ABS(淡江大學_p6!R49),0)</f>
        <v>32708</v>
      </c>
      <c r="S43" s="5" t="n">
        <f aca="false">ROUND(ABS(淡江大學_p6!S49),0)</f>
        <v>32708</v>
      </c>
      <c r="T43" s="5" t="n">
        <f aca="false">ROUND(ABS(淡江大學_p6!T49),0)</f>
        <v>32708</v>
      </c>
      <c r="U43" s="5" t="n">
        <f aca="false">ROUND(ABS(淡江大學_p6!U49),0)</f>
        <v>32708</v>
      </c>
      <c r="V43" s="5" t="n">
        <f aca="false">ROUND(ABS(淡江大學_p6!V49),0)</f>
        <v>32708</v>
      </c>
      <c r="W43" s="5" t="n">
        <f aca="false">ROUND(ABS(淡江大學_p6!W49),0)</f>
        <v>32708</v>
      </c>
      <c r="X43" s="2"/>
    </row>
    <row r="44" customFormat="false" ht="15" hidden="false" customHeight="true" outlineLevel="0" collapsed="false">
      <c r="A44" s="2"/>
      <c r="B44" s="4" t="s">
        <v>2</v>
      </c>
      <c r="C44" s="2"/>
      <c r="D44" s="5" t="n">
        <f aca="false">ROUND(ABS(淡江大學_p3!D49),0)</f>
        <v>40557</v>
      </c>
      <c r="E44" s="5" t="n">
        <f aca="false">ROUND(ABS(淡江大學_p3!E49),0)</f>
        <v>40557</v>
      </c>
      <c r="F44" s="5" t="n">
        <f aca="false">ROUND(ABS(淡江大學_p3!F49),0)</f>
        <v>40557</v>
      </c>
      <c r="G44" s="5" t="n">
        <f aca="false">ROUND(ABS(淡江大學_p3!G49),0)</f>
        <v>40557</v>
      </c>
      <c r="H44" s="5" t="n">
        <f aca="false">ROUND(ABS(淡江大學_p3!H49),0)</f>
        <v>40557</v>
      </c>
      <c r="I44" s="5" t="n">
        <f aca="false">ROUND(ABS(淡江大學_p3!I49),0)</f>
        <v>40557</v>
      </c>
      <c r="J44" s="5" t="n">
        <f aca="false">ROUND(ABS(淡江大學_p3!J49),0)</f>
        <v>40557</v>
      </c>
      <c r="K44" s="5" t="n">
        <f aca="false">ROUND(ABS(淡江大學_p3!K49),0)</f>
        <v>40557</v>
      </c>
      <c r="L44" s="5" t="n">
        <f aca="false">ROUND(ABS(淡江大學_p3!L49),0)</f>
        <v>40557</v>
      </c>
      <c r="M44" s="5" t="n">
        <f aca="false">ROUND(ABS(淡江大學_p3!M49),0)</f>
        <v>40557</v>
      </c>
      <c r="N44" s="5" t="n">
        <f aca="false">ROUND(ABS(淡江大學_p3!N49),0)</f>
        <v>40557</v>
      </c>
      <c r="O44" s="5" t="n">
        <f aca="false">ROUND(ABS(淡江大學_p3!O49),0)</f>
        <v>40557</v>
      </c>
      <c r="P44" s="5" t="n">
        <f aca="false">ROUND(ABS(淡江大學_p3!P49),0)</f>
        <v>40557</v>
      </c>
      <c r="Q44" s="5" t="n">
        <f aca="false">ROUND(ABS(淡江大學_p3!Q49),0)</f>
        <v>40557</v>
      </c>
      <c r="R44" s="5" t="n">
        <f aca="false">ROUND(ABS(淡江大學_p3!R49),0)</f>
        <v>40557</v>
      </c>
      <c r="S44" s="5" t="n">
        <f aca="false">ROUND(ABS(淡江大學_p3!S49),0)</f>
        <v>40557</v>
      </c>
      <c r="T44" s="5" t="n">
        <f aca="false">ROUND(ABS(淡江大學_p3!T49),0)</f>
        <v>40557</v>
      </c>
      <c r="U44" s="5" t="n">
        <f aca="false">ROUND(ABS(淡江大學_p3!U49),0)</f>
        <v>40557</v>
      </c>
      <c r="V44" s="5" t="n">
        <f aca="false">ROUND(ABS(淡江大學_p3!V49),0)</f>
        <v>40557</v>
      </c>
      <c r="W44" s="5" t="n">
        <f aca="false">ROUND(ABS(淡江大學_p3!W49),0)</f>
        <v>40557</v>
      </c>
      <c r="X44" s="2"/>
    </row>
    <row r="45" customFormat="false" ht="15" hidden="false" customHeight="true" outlineLevel="0" collapsed="false">
      <c r="A45" s="2"/>
      <c r="B45" s="2" t="s">
        <v>2</v>
      </c>
      <c r="C45" s="4"/>
      <c r="D45" s="5" t="n">
        <f aca="false">ROUND(ABS(淡江大學_p4_1!D49),0)</f>
        <v>37941</v>
      </c>
      <c r="E45" s="5" t="n">
        <f aca="false">ROUND(ABS(淡江大學_p4_1!E49),0)</f>
        <v>37941</v>
      </c>
      <c r="F45" s="5" t="n">
        <f aca="false">ROUND(ABS(淡江大學_p4_1!F49),0)</f>
        <v>37941</v>
      </c>
      <c r="G45" s="5" t="n">
        <f aca="false">ROUND(ABS(淡江大學_p4_1!G49),0)</f>
        <v>37941</v>
      </c>
      <c r="H45" s="5" t="n">
        <f aca="false">ROUND(ABS(淡江大學_p4_1!H49),0)</f>
        <v>37941</v>
      </c>
      <c r="I45" s="5" t="n">
        <f aca="false">ROUND(ABS(淡江大學_p4_1!I49),0)</f>
        <v>37941</v>
      </c>
      <c r="J45" s="5" t="n">
        <f aca="false">ROUND(ABS(淡江大學_p4_1!J49),0)</f>
        <v>37941</v>
      </c>
      <c r="K45" s="5" t="n">
        <f aca="false">ROUND(ABS(淡江大學_p4_1!K49),0)</f>
        <v>37941</v>
      </c>
      <c r="L45" s="5" t="n">
        <f aca="false">ROUND(ABS(淡江大學_p4_1!L49),0)</f>
        <v>37941</v>
      </c>
      <c r="M45" s="5" t="n">
        <f aca="false">ROUND(ABS(淡江大學_p4_1!M49),0)</f>
        <v>37941</v>
      </c>
      <c r="N45" s="5" t="n">
        <f aca="false">ROUND(ABS(淡江大學_p4_1!N49),0)</f>
        <v>37941</v>
      </c>
      <c r="O45" s="5" t="n">
        <f aca="false">ROUND(ABS(淡江大學_p4_1!O49),0)</f>
        <v>37941</v>
      </c>
      <c r="P45" s="5" t="n">
        <f aca="false">ROUND(ABS(淡江大學_p4_1!P49),0)</f>
        <v>37941</v>
      </c>
      <c r="Q45" s="5" t="n">
        <f aca="false">ROUND(ABS(淡江大學_p4_1!Q49),0)</f>
        <v>37941</v>
      </c>
      <c r="R45" s="5" t="n">
        <f aca="false">ROUND(ABS(淡江大學_p4_1!R49),0)</f>
        <v>37941</v>
      </c>
      <c r="S45" s="5" t="n">
        <f aca="false">ROUND(ABS(淡江大學_p4_1!S49),0)</f>
        <v>37941</v>
      </c>
      <c r="T45" s="5" t="n">
        <f aca="false">ROUND(ABS(淡江大學_p4_1!T49),0)</f>
        <v>37941</v>
      </c>
      <c r="U45" s="5" t="n">
        <f aca="false">ROUND(ABS(淡江大學_p4_1!U49),0)</f>
        <v>37941</v>
      </c>
      <c r="V45" s="5" t="n">
        <f aca="false">ROUND(ABS(淡江大學_p4_1!V49),0)</f>
        <v>37941</v>
      </c>
      <c r="W45" s="5" t="n">
        <f aca="false">ROUND(ABS(淡江大學_p4_1!W49),0)</f>
        <v>37941</v>
      </c>
      <c r="X45" s="2"/>
    </row>
    <row r="46" customFormat="false" ht="15" hidden="false" customHeight="true" outlineLevel="0" collapsed="false">
      <c r="A46" s="2"/>
      <c r="B46" s="2" t="s">
        <v>2</v>
      </c>
      <c r="C46" s="4"/>
      <c r="D46" s="5" t="n">
        <f aca="false">ROUND(ABS(淡江大學_p4_2!D49),0)</f>
        <v>37941</v>
      </c>
      <c r="E46" s="5" t="n">
        <f aca="false">ROUND(ABS(淡江大學_p4_2!E49),0)</f>
        <v>37941</v>
      </c>
      <c r="F46" s="5" t="n">
        <f aca="false">ROUND(ABS(淡江大學_p4_2!F49),0)</f>
        <v>37941</v>
      </c>
      <c r="G46" s="5" t="n">
        <f aca="false">ROUND(ABS(淡江大學_p4_2!G49),0)</f>
        <v>37941</v>
      </c>
      <c r="H46" s="5" t="n">
        <f aca="false">ROUND(ABS(淡江大學_p4_2!H49),0)</f>
        <v>37941</v>
      </c>
      <c r="I46" s="5" t="n">
        <f aca="false">ROUND(ABS(淡江大學_p4_2!I49),0)</f>
        <v>37941</v>
      </c>
      <c r="J46" s="5" t="n">
        <f aca="false">ROUND(ABS(淡江大學_p4_2!J49),0)</f>
        <v>37941</v>
      </c>
      <c r="K46" s="5" t="n">
        <f aca="false">ROUND(ABS(淡江大學_p4_2!K49),0)</f>
        <v>37941</v>
      </c>
      <c r="L46" s="5" t="n">
        <f aca="false">ROUND(ABS(淡江大學_p4_2!L49),0)</f>
        <v>37941</v>
      </c>
      <c r="M46" s="5" t="n">
        <f aca="false">ROUND(ABS(淡江大學_p4_2!M49),0)</f>
        <v>37941</v>
      </c>
      <c r="N46" s="5" t="n">
        <f aca="false">ROUND(ABS(淡江大學_p4_2!N49),0)</f>
        <v>37941</v>
      </c>
      <c r="O46" s="5" t="n">
        <f aca="false">ROUND(ABS(淡江大學_p4_2!O49),0)</f>
        <v>37941</v>
      </c>
      <c r="P46" s="5" t="n">
        <f aca="false">ROUND(ABS(淡江大學_p4_2!P49),0)</f>
        <v>37941</v>
      </c>
      <c r="Q46" s="5" t="n">
        <f aca="false">ROUND(ABS(淡江大學_p4_2!Q49),0)</f>
        <v>37941</v>
      </c>
      <c r="R46" s="5" t="n">
        <f aca="false">ROUND(ABS(淡江大學_p4_2!R49),0)</f>
        <v>37941</v>
      </c>
      <c r="S46" s="5" t="n">
        <f aca="false">ROUND(ABS(淡江大學_p4_2!S49),0)</f>
        <v>37941</v>
      </c>
      <c r="T46" s="5" t="n">
        <f aca="false">ROUND(ABS(淡江大學_p4_2!T49),0)</f>
        <v>37941</v>
      </c>
      <c r="U46" s="5" t="n">
        <f aca="false">ROUND(ABS(淡江大學_p4_2!U49),0)</f>
        <v>37941</v>
      </c>
      <c r="V46" s="5" t="n">
        <f aca="false">ROUND(ABS(淡江大學_p4_2!V49),0)</f>
        <v>37941</v>
      </c>
      <c r="W46" s="5" t="n">
        <f aca="false">ROUND(ABS(淡江大學_p4_2!W49),0)</f>
        <v>37941</v>
      </c>
      <c r="X46" s="2"/>
    </row>
    <row r="47" customFormat="false" ht="15" hidden="false" customHeight="true" outlineLevel="0" collapsed="false">
      <c r="A47" s="2"/>
      <c r="B47" s="2" t="s">
        <v>2</v>
      </c>
      <c r="C47" s="4"/>
      <c r="D47" s="6" t="n">
        <f aca="false">ROUND(ABS(淡江大學_p6_1!D49),0)</f>
        <v>32708</v>
      </c>
      <c r="E47" s="6" t="n">
        <f aca="false">ROUND(ABS(淡江大學_p6_1!E49),0)</f>
        <v>32708</v>
      </c>
      <c r="F47" s="6" t="n">
        <f aca="false">ROUND(ABS(淡江大學_p6_1!F49),0)</f>
        <v>32708</v>
      </c>
      <c r="G47" s="6" t="n">
        <f aca="false">ROUND(ABS(淡江大學_p6_1!G49),0)</f>
        <v>32708</v>
      </c>
      <c r="H47" s="6" t="n">
        <f aca="false">ROUND(ABS(淡江大學_p6_1!H49),0)</f>
        <v>32708</v>
      </c>
      <c r="I47" s="6" t="n">
        <f aca="false">ROUND(ABS(淡江大學_p6_1!I49),0)</f>
        <v>32708</v>
      </c>
      <c r="J47" s="6" t="n">
        <f aca="false">ROUND(ABS(淡江大學_p6_1!J49),0)</f>
        <v>32708</v>
      </c>
      <c r="K47" s="6" t="n">
        <f aca="false">ROUND(ABS(淡江大學_p6_1!K49),0)</f>
        <v>32708</v>
      </c>
      <c r="L47" s="6" t="n">
        <f aca="false">ROUND(ABS(淡江大學_p6_1!L49),0)</f>
        <v>32708</v>
      </c>
      <c r="M47" s="6" t="n">
        <f aca="false">ROUND(ABS(淡江大學_p6_1!M49),0)</f>
        <v>32708</v>
      </c>
      <c r="N47" s="6" t="n">
        <f aca="false">ROUND(ABS(淡江大學_p6_1!N49),0)</f>
        <v>32708</v>
      </c>
      <c r="O47" s="6" t="n">
        <f aca="false">ROUND(ABS(淡江大學_p6_1!O49),0)</f>
        <v>32708</v>
      </c>
      <c r="P47" s="6" t="n">
        <f aca="false">ROUND(ABS(淡江大學_p6_1!P49),0)</f>
        <v>32708</v>
      </c>
      <c r="Q47" s="6" t="n">
        <f aca="false">ROUND(ABS(淡江大學_p6_1!Q49),0)</f>
        <v>32708</v>
      </c>
      <c r="R47" s="6" t="n">
        <f aca="false">ROUND(ABS(淡江大學_p6_1!R49),0)</f>
        <v>32708</v>
      </c>
      <c r="S47" s="6" t="n">
        <f aca="false">ROUND(ABS(淡江大學_p6_1!S49),0)</f>
        <v>32708</v>
      </c>
      <c r="T47" s="6" t="n">
        <f aca="false">ROUND(ABS(淡江大學_p6_1!T49),0)</f>
        <v>32708</v>
      </c>
      <c r="U47" s="6" t="n">
        <f aca="false">ROUND(ABS(淡江大學_p6_1!U49),0)</f>
        <v>32708</v>
      </c>
      <c r="V47" s="6" t="n">
        <f aca="false">ROUND(ABS(淡江大學_p6_1!V49),0)</f>
        <v>32708</v>
      </c>
      <c r="W47" s="6" t="n">
        <f aca="false">ROUND(ABS(淡江大學_p6_1!W49),0)</f>
        <v>32708</v>
      </c>
      <c r="X47" s="2"/>
    </row>
    <row r="48" customFormat="false" ht="15" hidden="false" customHeight="true" outlineLevel="0" collapsed="false">
      <c r="A48" s="2"/>
      <c r="B48" s="4"/>
      <c r="C48" s="17" t="s">
        <v>11</v>
      </c>
      <c r="D48" s="18" t="n">
        <f aca="false">SUM(D42:D47)</f>
        <v>219796</v>
      </c>
      <c r="E48" s="18" t="n">
        <f aca="false">SUM(E42:E47)</f>
        <v>219796</v>
      </c>
      <c r="F48" s="18" t="n">
        <f aca="false">SUM(F42:F47)</f>
        <v>219796</v>
      </c>
      <c r="G48" s="18" t="n">
        <f aca="false">SUM(G42:G47)</f>
        <v>219796</v>
      </c>
      <c r="H48" s="18" t="n">
        <f aca="false">SUM(H42:H47)</f>
        <v>219796</v>
      </c>
      <c r="I48" s="18" t="n">
        <f aca="false">SUM(I42:I47)</f>
        <v>219796</v>
      </c>
      <c r="J48" s="18" t="n">
        <f aca="false">SUM(J42:J47)</f>
        <v>219796</v>
      </c>
      <c r="K48" s="18" t="n">
        <f aca="false">SUM(K42:K47)</f>
        <v>219796</v>
      </c>
      <c r="L48" s="18" t="n">
        <f aca="false">SUM(L42:L47)</f>
        <v>219796</v>
      </c>
      <c r="M48" s="18" t="n">
        <f aca="false">SUM(M42:M47)</f>
        <v>219796</v>
      </c>
      <c r="N48" s="18" t="n">
        <f aca="false">SUM(N42:N47)</f>
        <v>219796</v>
      </c>
      <c r="O48" s="18" t="n">
        <f aca="false">SUM(O42:O47)</f>
        <v>219796</v>
      </c>
      <c r="P48" s="18" t="n">
        <f aca="false">SUM(P42:P47)</f>
        <v>219796</v>
      </c>
      <c r="Q48" s="18" t="n">
        <f aca="false">SUM(Q42:Q47)</f>
        <v>219796</v>
      </c>
      <c r="R48" s="18" t="n">
        <f aca="false">SUM(R42:R47)</f>
        <v>219796</v>
      </c>
      <c r="S48" s="18" t="n">
        <f aca="false">SUM(S42:S47)</f>
        <v>219796</v>
      </c>
      <c r="T48" s="18" t="n">
        <f aca="false">SUM(T42:T47)</f>
        <v>219796</v>
      </c>
      <c r="U48" s="18" t="n">
        <f aca="false">SUM(U42:U47)</f>
        <v>219796</v>
      </c>
      <c r="V48" s="18" t="n">
        <f aca="false">SUM(V42:V47)</f>
        <v>219796</v>
      </c>
      <c r="W48" s="18" t="n">
        <f aca="false">SUM(W42:W47)</f>
        <v>219796</v>
      </c>
      <c r="X48" s="2"/>
    </row>
    <row r="49" customFormat="false" ht="15" hidden="false" customHeight="true" outlineLevel="0" collapsed="false">
      <c r="A49" s="2"/>
      <c r="B49" s="4"/>
      <c r="C49" s="9" t="s">
        <v>0</v>
      </c>
      <c r="D49" s="10" t="n">
        <v>2020</v>
      </c>
      <c r="E49" s="10" t="n">
        <v>2021</v>
      </c>
      <c r="F49" s="10" t="n">
        <v>2022</v>
      </c>
      <c r="G49" s="10" t="n">
        <v>2023</v>
      </c>
      <c r="H49" s="10" t="n">
        <v>2024</v>
      </c>
      <c r="I49" s="10" t="n">
        <v>2025</v>
      </c>
      <c r="J49" s="10" t="n">
        <v>2026</v>
      </c>
      <c r="K49" s="10" t="n">
        <v>2027</v>
      </c>
      <c r="L49" s="10" t="n">
        <v>2028</v>
      </c>
      <c r="M49" s="10" t="n">
        <v>2029</v>
      </c>
      <c r="N49" s="10" t="n">
        <v>2030</v>
      </c>
      <c r="O49" s="10" t="n">
        <v>2031</v>
      </c>
      <c r="P49" s="10" t="n">
        <v>2032</v>
      </c>
      <c r="Q49" s="10" t="n">
        <v>2033</v>
      </c>
      <c r="R49" s="10" t="n">
        <v>2034</v>
      </c>
      <c r="S49" s="10" t="n">
        <v>2035</v>
      </c>
      <c r="T49" s="10" t="n">
        <v>2036</v>
      </c>
      <c r="U49" s="10" t="n">
        <v>2037</v>
      </c>
      <c r="V49" s="10" t="n">
        <v>2038</v>
      </c>
      <c r="W49" s="10" t="n">
        <v>2039</v>
      </c>
      <c r="X49" s="2"/>
    </row>
    <row r="50" customFormat="false" ht="15" hidden="false" customHeight="true" outlineLevel="0" collapsed="false">
      <c r="A50" s="2"/>
      <c r="B50" s="4"/>
      <c r="C50" s="2" t="s">
        <v>12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2"/>
    </row>
    <row r="51" customFormat="false" ht="15" hidden="false" customHeight="true" outlineLevel="0" collapsed="false">
      <c r="A51" s="2"/>
      <c r="B51" s="2" t="s">
        <v>2</v>
      </c>
      <c r="C51" s="4"/>
      <c r="D51" s="5" t="n">
        <f aca="false">ROUND(ABS(淡江大學_p4!D50),0)</f>
        <v>43610</v>
      </c>
      <c r="E51" s="5" t="n">
        <f aca="false">ROUND(ABS(淡江大學_p4!E50),0)</f>
        <v>43610</v>
      </c>
      <c r="F51" s="5" t="n">
        <f aca="false">ROUND(ABS(淡江大學_p4!F50),0)</f>
        <v>43610</v>
      </c>
      <c r="G51" s="5" t="n">
        <f aca="false">ROUND(ABS(淡江大學_p4!G50),0)</f>
        <v>43610</v>
      </c>
      <c r="H51" s="5" t="n">
        <f aca="false">ROUND(ABS(淡江大學_p4!H50),0)</f>
        <v>43610</v>
      </c>
      <c r="I51" s="5" t="n">
        <f aca="false">ROUND(ABS(淡江大學_p4!I50),0)</f>
        <v>43610</v>
      </c>
      <c r="J51" s="5" t="n">
        <f aca="false">ROUND(ABS(淡江大學_p4!J50),0)</f>
        <v>43610</v>
      </c>
      <c r="K51" s="5" t="n">
        <f aca="false">ROUND(ABS(淡江大學_p4!K50),0)</f>
        <v>43610</v>
      </c>
      <c r="L51" s="5" t="n">
        <f aca="false">ROUND(ABS(淡江大學_p4!L50),0)</f>
        <v>43610</v>
      </c>
      <c r="M51" s="5" t="n">
        <f aca="false">ROUND(ABS(淡江大學_p4!M50),0)</f>
        <v>43610</v>
      </c>
      <c r="N51" s="5" t="n">
        <f aca="false">ROUND(ABS(淡江大學_p4!N50),0)</f>
        <v>0</v>
      </c>
      <c r="O51" s="5" t="n">
        <f aca="false">ROUND(ABS(淡江大學_p4!O50),0)</f>
        <v>0</v>
      </c>
      <c r="P51" s="5" t="n">
        <f aca="false">ROUND(ABS(淡江大學_p4!P50),0)</f>
        <v>0</v>
      </c>
      <c r="Q51" s="5" t="n">
        <f aca="false">ROUND(ABS(淡江大學_p4!Q50),0)</f>
        <v>0</v>
      </c>
      <c r="R51" s="5" t="n">
        <f aca="false">ROUND(ABS(淡江大學_p4!R50),0)</f>
        <v>0</v>
      </c>
      <c r="S51" s="5" t="n">
        <f aca="false">ROUND(ABS(淡江大學_p4!S50),0)</f>
        <v>0</v>
      </c>
      <c r="T51" s="5" t="n">
        <f aca="false">ROUND(ABS(淡江大學_p4!T50),0)</f>
        <v>0</v>
      </c>
      <c r="U51" s="5" t="n">
        <f aca="false">ROUND(ABS(淡江大學_p4!U50),0)</f>
        <v>0</v>
      </c>
      <c r="V51" s="5" t="n">
        <f aca="false">ROUND(ABS(淡江大學_p4!V50),0)</f>
        <v>0</v>
      </c>
      <c r="W51" s="5" t="n">
        <f aca="false">ROUND(ABS(淡江大學_p4!W50),0)</f>
        <v>0</v>
      </c>
      <c r="X51" s="2"/>
    </row>
    <row r="52" customFormat="false" ht="15" hidden="false" customHeight="false" outlineLevel="0" collapsed="false">
      <c r="A52" s="2"/>
      <c r="B52" s="2" t="s">
        <v>2</v>
      </c>
      <c r="C52" s="2"/>
      <c r="D52" s="6" t="n">
        <f aca="false">ROUND(ABS(淡江大學_p6!D50),0)</f>
        <v>43610</v>
      </c>
      <c r="E52" s="6" t="n">
        <f aca="false">ROUND(ABS(淡江大學_p6!E50),0)</f>
        <v>43610</v>
      </c>
      <c r="F52" s="6" t="n">
        <f aca="false">ROUND(ABS(淡江大學_p6!F50),0)</f>
        <v>43610</v>
      </c>
      <c r="G52" s="6" t="n">
        <f aca="false">ROUND(ABS(淡江大學_p6!G50),0)</f>
        <v>43610</v>
      </c>
      <c r="H52" s="6" t="n">
        <f aca="false">ROUND(ABS(淡江大學_p6!H50),0)</f>
        <v>43610</v>
      </c>
      <c r="I52" s="6" t="n">
        <f aca="false">ROUND(ABS(淡江大學_p6!I50),0)</f>
        <v>43610</v>
      </c>
      <c r="J52" s="6" t="n">
        <f aca="false">ROUND(ABS(淡江大學_p6!J50),0)</f>
        <v>43610</v>
      </c>
      <c r="K52" s="6" t="n">
        <f aca="false">ROUND(ABS(淡江大學_p6!K50),0)</f>
        <v>43610</v>
      </c>
      <c r="L52" s="6" t="n">
        <f aca="false">ROUND(ABS(淡江大學_p6!L50),0)</f>
        <v>43610</v>
      </c>
      <c r="M52" s="6" t="n">
        <f aca="false">ROUND(ABS(淡江大學_p6!M50),0)</f>
        <v>43610</v>
      </c>
      <c r="N52" s="6" t="n">
        <f aca="false">ROUND(ABS(淡江大學_p6!N50),0)</f>
        <v>0</v>
      </c>
      <c r="O52" s="6" t="n">
        <f aca="false">ROUND(ABS(淡江大學_p6!O50),0)</f>
        <v>0</v>
      </c>
      <c r="P52" s="6" t="n">
        <f aca="false">ROUND(ABS(淡江大學_p6!P50),0)</f>
        <v>0</v>
      </c>
      <c r="Q52" s="6" t="n">
        <f aca="false">ROUND(ABS(淡江大學_p6!Q50),0)</f>
        <v>0</v>
      </c>
      <c r="R52" s="6" t="n">
        <f aca="false">ROUND(ABS(淡江大學_p6!R50),0)</f>
        <v>0</v>
      </c>
      <c r="S52" s="6" t="n">
        <f aca="false">ROUND(ABS(淡江大學_p6!S50),0)</f>
        <v>0</v>
      </c>
      <c r="T52" s="6" t="n">
        <f aca="false">ROUND(ABS(淡江大學_p6!T50),0)</f>
        <v>0</v>
      </c>
      <c r="U52" s="6" t="n">
        <f aca="false">ROUND(ABS(淡江大學_p6!U50),0)</f>
        <v>0</v>
      </c>
      <c r="V52" s="6" t="n">
        <f aca="false">ROUND(ABS(淡江大學_p6!V50),0)</f>
        <v>0</v>
      </c>
      <c r="W52" s="6" t="n">
        <f aca="false">ROUND(ABS(淡江大學_p6!W50),0)</f>
        <v>0</v>
      </c>
      <c r="X52" s="2"/>
    </row>
    <row r="53" customFormat="false" ht="15" hidden="false" customHeight="true" outlineLevel="0" collapsed="false">
      <c r="A53" s="2"/>
      <c r="B53" s="4" t="s">
        <v>2</v>
      </c>
      <c r="C53" s="4"/>
      <c r="D53" s="6" t="n">
        <f aca="false">ROUND(ABS(淡江大學_p3!D50),0)</f>
        <v>43610</v>
      </c>
      <c r="E53" s="6" t="n">
        <f aca="false">ROUND(ABS(淡江大學_p3!E50),0)</f>
        <v>43610</v>
      </c>
      <c r="F53" s="6" t="n">
        <f aca="false">ROUND(ABS(淡江大學_p3!F50),0)</f>
        <v>43610</v>
      </c>
      <c r="G53" s="6" t="n">
        <f aca="false">ROUND(ABS(淡江大學_p3!G50),0)</f>
        <v>43610</v>
      </c>
      <c r="H53" s="6" t="n">
        <f aca="false">ROUND(ABS(淡江大學_p3!H50),0)</f>
        <v>43610</v>
      </c>
      <c r="I53" s="6" t="n">
        <f aca="false">ROUND(ABS(淡江大學_p3!I50),0)</f>
        <v>43610</v>
      </c>
      <c r="J53" s="6" t="n">
        <f aca="false">ROUND(ABS(淡江大學_p3!J50),0)</f>
        <v>43610</v>
      </c>
      <c r="K53" s="6" t="n">
        <f aca="false">ROUND(ABS(淡江大學_p3!K50),0)</f>
        <v>43610</v>
      </c>
      <c r="L53" s="6" t="n">
        <f aca="false">ROUND(ABS(淡江大學_p3!L50),0)</f>
        <v>43610</v>
      </c>
      <c r="M53" s="6" t="n">
        <f aca="false">ROUND(ABS(淡江大學_p3!M50),0)</f>
        <v>43610</v>
      </c>
      <c r="N53" s="6" t="n">
        <f aca="false">ROUND(ABS(淡江大學_p3!N50),0)</f>
        <v>0</v>
      </c>
      <c r="O53" s="6" t="n">
        <f aca="false">ROUND(ABS(淡江大學_p3!O50),0)</f>
        <v>0</v>
      </c>
      <c r="P53" s="6" t="n">
        <f aca="false">ROUND(ABS(淡江大學_p3!P50),0)</f>
        <v>0</v>
      </c>
      <c r="Q53" s="6" t="n">
        <f aca="false">ROUND(ABS(淡江大學_p3!Q50),0)</f>
        <v>0</v>
      </c>
      <c r="R53" s="6" t="n">
        <f aca="false">ROUND(ABS(淡江大學_p3!R50),0)</f>
        <v>0</v>
      </c>
      <c r="S53" s="6" t="n">
        <f aca="false">ROUND(ABS(淡江大學_p3!S50),0)</f>
        <v>0</v>
      </c>
      <c r="T53" s="6" t="n">
        <f aca="false">ROUND(ABS(淡江大學_p3!T50),0)</f>
        <v>0</v>
      </c>
      <c r="U53" s="6" t="n">
        <f aca="false">ROUND(ABS(淡江大學_p3!U50),0)</f>
        <v>0</v>
      </c>
      <c r="V53" s="6" t="n">
        <f aca="false">ROUND(ABS(淡江大學_p3!V50),0)</f>
        <v>0</v>
      </c>
      <c r="W53" s="6" t="n">
        <f aca="false">ROUND(ABS(淡江大學_p3!W50),0)</f>
        <v>0</v>
      </c>
      <c r="X53" s="2"/>
    </row>
    <row r="54" customFormat="false" ht="15" hidden="false" customHeight="true" outlineLevel="0" collapsed="false">
      <c r="A54" s="2"/>
      <c r="B54" s="4" t="s">
        <v>2</v>
      </c>
      <c r="C54" s="4"/>
      <c r="D54" s="6" t="n">
        <f aca="false">ROUND(ABS(淡江大學_p4_1!D50),0)</f>
        <v>43610</v>
      </c>
      <c r="E54" s="6" t="n">
        <f aca="false">ROUND(ABS(淡江大學_p4_1!E50),0)</f>
        <v>43610</v>
      </c>
      <c r="F54" s="6" t="n">
        <f aca="false">ROUND(ABS(淡江大學_p4_1!F50),0)</f>
        <v>43610</v>
      </c>
      <c r="G54" s="6" t="n">
        <f aca="false">ROUND(ABS(淡江大學_p4_1!G50),0)</f>
        <v>43610</v>
      </c>
      <c r="H54" s="6" t="n">
        <f aca="false">ROUND(ABS(淡江大學_p4_1!H50),0)</f>
        <v>43610</v>
      </c>
      <c r="I54" s="6" t="n">
        <f aca="false">ROUND(ABS(淡江大學_p4_1!I50),0)</f>
        <v>43610</v>
      </c>
      <c r="J54" s="6" t="n">
        <f aca="false">ROUND(ABS(淡江大學_p4_1!J50),0)</f>
        <v>43610</v>
      </c>
      <c r="K54" s="6" t="n">
        <f aca="false">ROUND(ABS(淡江大學_p4_1!K50),0)</f>
        <v>43610</v>
      </c>
      <c r="L54" s="6" t="n">
        <f aca="false">ROUND(ABS(淡江大學_p4_1!L50),0)</f>
        <v>43610</v>
      </c>
      <c r="M54" s="6" t="n">
        <f aca="false">ROUND(ABS(淡江大學_p4_1!M50),0)</f>
        <v>43610</v>
      </c>
      <c r="N54" s="6" t="n">
        <f aca="false">ROUND(ABS(淡江大學_p4_1!N50),0)</f>
        <v>0</v>
      </c>
      <c r="O54" s="6" t="n">
        <f aca="false">ROUND(ABS(淡江大學_p4_1!O50),0)</f>
        <v>0</v>
      </c>
      <c r="P54" s="6" t="n">
        <f aca="false">ROUND(ABS(淡江大學_p4_1!P50),0)</f>
        <v>0</v>
      </c>
      <c r="Q54" s="6" t="n">
        <f aca="false">ROUND(ABS(淡江大學_p4_1!Q50),0)</f>
        <v>0</v>
      </c>
      <c r="R54" s="6" t="n">
        <f aca="false">ROUND(ABS(淡江大學_p4_1!R50),0)</f>
        <v>0</v>
      </c>
      <c r="S54" s="6" t="n">
        <f aca="false">ROUND(ABS(淡江大學_p4_1!S50),0)</f>
        <v>0</v>
      </c>
      <c r="T54" s="6" t="n">
        <f aca="false">ROUND(ABS(淡江大學_p4_1!T50),0)</f>
        <v>0</v>
      </c>
      <c r="U54" s="6" t="n">
        <f aca="false">ROUND(ABS(淡江大學_p4_1!U50),0)</f>
        <v>0</v>
      </c>
      <c r="V54" s="6" t="n">
        <f aca="false">ROUND(ABS(淡江大學_p4_1!V50),0)</f>
        <v>0</v>
      </c>
      <c r="W54" s="6" t="n">
        <f aca="false">ROUND(ABS(淡江大學_p4_1!W50),0)</f>
        <v>0</v>
      </c>
      <c r="X54" s="2"/>
    </row>
    <row r="55" customFormat="false" ht="15" hidden="false" customHeight="true" outlineLevel="0" collapsed="false">
      <c r="A55" s="2"/>
      <c r="B55" s="4" t="s">
        <v>2</v>
      </c>
      <c r="C55" s="4"/>
      <c r="D55" s="6" t="n">
        <f aca="false">ROUND(ABS(淡江大學_p4_2!D50),0)</f>
        <v>43610</v>
      </c>
      <c r="E55" s="6" t="n">
        <f aca="false">ROUND(ABS(淡江大學_p4_2!E50),0)</f>
        <v>43610</v>
      </c>
      <c r="F55" s="6" t="n">
        <f aca="false">ROUND(ABS(淡江大學_p4_2!F50),0)</f>
        <v>43610</v>
      </c>
      <c r="G55" s="6" t="n">
        <f aca="false">ROUND(ABS(淡江大學_p4_2!G50),0)</f>
        <v>43610</v>
      </c>
      <c r="H55" s="6" t="n">
        <f aca="false">ROUND(ABS(淡江大學_p4_2!H50),0)</f>
        <v>43610</v>
      </c>
      <c r="I55" s="6" t="n">
        <f aca="false">ROUND(ABS(淡江大學_p4_2!I50),0)</f>
        <v>43610</v>
      </c>
      <c r="J55" s="6" t="n">
        <f aca="false">ROUND(ABS(淡江大學_p4_2!J50),0)</f>
        <v>43610</v>
      </c>
      <c r="K55" s="6" t="n">
        <f aca="false">ROUND(ABS(淡江大學_p4_2!K50),0)</f>
        <v>43610</v>
      </c>
      <c r="L55" s="6" t="n">
        <f aca="false">ROUND(ABS(淡江大學_p4_2!L50),0)</f>
        <v>43610</v>
      </c>
      <c r="M55" s="6" t="n">
        <f aca="false">ROUND(ABS(淡江大學_p4_2!M50),0)</f>
        <v>43610</v>
      </c>
      <c r="N55" s="6" t="n">
        <f aca="false">ROUND(ABS(淡江大學_p4_2!N50),0)</f>
        <v>0</v>
      </c>
      <c r="O55" s="6" t="n">
        <f aca="false">ROUND(ABS(淡江大學_p4_2!O50),0)</f>
        <v>0</v>
      </c>
      <c r="P55" s="6" t="n">
        <f aca="false">ROUND(ABS(淡江大學_p4_2!P50),0)</f>
        <v>0</v>
      </c>
      <c r="Q55" s="6" t="n">
        <f aca="false">ROUND(ABS(淡江大學_p4_2!Q50),0)</f>
        <v>0</v>
      </c>
      <c r="R55" s="6" t="n">
        <f aca="false">ROUND(ABS(淡江大學_p4_2!R50),0)</f>
        <v>0</v>
      </c>
      <c r="S55" s="6" t="n">
        <f aca="false">ROUND(ABS(淡江大學_p4_2!S50),0)</f>
        <v>0</v>
      </c>
      <c r="T55" s="6" t="n">
        <f aca="false">ROUND(ABS(淡江大學_p4_2!T50),0)</f>
        <v>0</v>
      </c>
      <c r="U55" s="6" t="n">
        <f aca="false">ROUND(ABS(淡江大學_p4_2!U50),0)</f>
        <v>0</v>
      </c>
      <c r="V55" s="6" t="n">
        <f aca="false">ROUND(ABS(淡江大學_p4_2!V50),0)</f>
        <v>0</v>
      </c>
      <c r="W55" s="6" t="n">
        <f aca="false">ROUND(ABS(淡江大學_p4_2!W50),0)</f>
        <v>0</v>
      </c>
      <c r="X55" s="2"/>
    </row>
    <row r="56" customFormat="false" ht="15" hidden="false" customHeight="true" outlineLevel="0" collapsed="false">
      <c r="A56" s="2"/>
      <c r="B56" s="4" t="s">
        <v>2</v>
      </c>
      <c r="C56" s="4"/>
      <c r="D56" s="6" t="n">
        <f aca="false">ROUND(ABS(淡江大學_p6_1!D50),0)</f>
        <v>43610</v>
      </c>
      <c r="E56" s="6" t="n">
        <f aca="false">ROUND(ABS(淡江大學_p6_1!E50),0)</f>
        <v>43610</v>
      </c>
      <c r="F56" s="6" t="n">
        <f aca="false">ROUND(ABS(淡江大學_p6_1!F50),0)</f>
        <v>43610</v>
      </c>
      <c r="G56" s="6" t="n">
        <f aca="false">ROUND(ABS(淡江大學_p6_1!G50),0)</f>
        <v>43610</v>
      </c>
      <c r="H56" s="6" t="n">
        <f aca="false">ROUND(ABS(淡江大學_p6_1!H50),0)</f>
        <v>43610</v>
      </c>
      <c r="I56" s="6" t="n">
        <f aca="false">ROUND(ABS(淡江大學_p6_1!I50),0)</f>
        <v>43610</v>
      </c>
      <c r="J56" s="6" t="n">
        <f aca="false">ROUND(ABS(淡江大學_p6_1!J50),0)</f>
        <v>43610</v>
      </c>
      <c r="K56" s="6" t="n">
        <f aca="false">ROUND(ABS(淡江大學_p6_1!K50),0)</f>
        <v>43610</v>
      </c>
      <c r="L56" s="6" t="n">
        <f aca="false">ROUND(ABS(淡江大學_p6_1!L50),0)</f>
        <v>43610</v>
      </c>
      <c r="M56" s="6" t="n">
        <f aca="false">ROUND(ABS(淡江大學_p6_1!M50),0)</f>
        <v>43610</v>
      </c>
      <c r="N56" s="6" t="n">
        <f aca="false">ROUND(ABS(淡江大學_p6_1!N50),0)</f>
        <v>0</v>
      </c>
      <c r="O56" s="6" t="n">
        <f aca="false">ROUND(ABS(淡江大學_p6_1!O50),0)</f>
        <v>0</v>
      </c>
      <c r="P56" s="6" t="n">
        <f aca="false">ROUND(ABS(淡江大學_p6_1!P50),0)</f>
        <v>0</v>
      </c>
      <c r="Q56" s="6" t="n">
        <f aca="false">ROUND(ABS(淡江大學_p6_1!Q50),0)</f>
        <v>0</v>
      </c>
      <c r="R56" s="6" t="n">
        <f aca="false">ROUND(ABS(淡江大學_p6_1!R50),0)</f>
        <v>0</v>
      </c>
      <c r="S56" s="6" t="n">
        <f aca="false">ROUND(ABS(淡江大學_p6_1!S50),0)</f>
        <v>0</v>
      </c>
      <c r="T56" s="6" t="n">
        <f aca="false">ROUND(ABS(淡江大學_p6_1!T50),0)</f>
        <v>0</v>
      </c>
      <c r="U56" s="6" t="n">
        <f aca="false">ROUND(ABS(淡江大學_p6_1!U50),0)</f>
        <v>0</v>
      </c>
      <c r="V56" s="6" t="n">
        <f aca="false">ROUND(ABS(淡江大學_p6_1!V50),0)</f>
        <v>0</v>
      </c>
      <c r="W56" s="6" t="n">
        <f aca="false">ROUND(ABS(淡江大學_p6_1!W50),0)</f>
        <v>0</v>
      </c>
      <c r="X56" s="2"/>
    </row>
    <row r="57" customFormat="false" ht="15" hidden="false" customHeight="true" outlineLevel="0" collapsed="false">
      <c r="A57" s="2"/>
      <c r="B57" s="4"/>
      <c r="C57" s="11" t="s">
        <v>13</v>
      </c>
      <c r="D57" s="19" t="n">
        <f aca="false">SUM(D51:D56)</f>
        <v>261660</v>
      </c>
      <c r="E57" s="19" t="n">
        <f aca="false">SUM(E51:E56)</f>
        <v>261660</v>
      </c>
      <c r="F57" s="19" t="n">
        <f aca="false">SUM(F51:F56)</f>
        <v>261660</v>
      </c>
      <c r="G57" s="19" t="n">
        <f aca="false">SUM(G51:G56)</f>
        <v>261660</v>
      </c>
      <c r="H57" s="19" t="n">
        <f aca="false">SUM(H51:H56)</f>
        <v>261660</v>
      </c>
      <c r="I57" s="19" t="n">
        <f aca="false">SUM(I51:I56)</f>
        <v>261660</v>
      </c>
      <c r="J57" s="19" t="n">
        <f aca="false">SUM(J51:J56)</f>
        <v>261660</v>
      </c>
      <c r="K57" s="19" t="n">
        <f aca="false">SUM(K51:K56)</f>
        <v>261660</v>
      </c>
      <c r="L57" s="19" t="n">
        <f aca="false">SUM(L51:L56)</f>
        <v>261660</v>
      </c>
      <c r="M57" s="19" t="n">
        <f aca="false">SUM(M51:M56)</f>
        <v>261660</v>
      </c>
      <c r="N57" s="19" t="n">
        <f aca="false">SUM(N51:N56)</f>
        <v>0</v>
      </c>
      <c r="O57" s="19" t="n">
        <f aca="false">SUM(O51:O56)</f>
        <v>0</v>
      </c>
      <c r="P57" s="19" t="n">
        <f aca="false">SUM(P51:P56)</f>
        <v>0</v>
      </c>
      <c r="Q57" s="19" t="n">
        <f aca="false">SUM(Q51:Q56)</f>
        <v>0</v>
      </c>
      <c r="R57" s="19" t="n">
        <f aca="false">SUM(R51:R56)</f>
        <v>0</v>
      </c>
      <c r="S57" s="19" t="n">
        <f aca="false">SUM(S51:S56)</f>
        <v>0</v>
      </c>
      <c r="T57" s="19" t="n">
        <f aca="false">SUM(T51:T56)</f>
        <v>0</v>
      </c>
      <c r="U57" s="19" t="n">
        <f aca="false">SUM(U51:U56)</f>
        <v>0</v>
      </c>
      <c r="V57" s="19" t="n">
        <f aca="false">SUM(V51:V56)</f>
        <v>0</v>
      </c>
      <c r="W57" s="19" t="n">
        <f aca="false">SUM(W51:W56)</f>
        <v>0</v>
      </c>
      <c r="X57" s="2"/>
    </row>
    <row r="58" customFormat="false" ht="18.75" hidden="false" customHeight="true" outlineLevel="0" collapsed="false">
      <c r="A58" s="2"/>
      <c r="B58" s="20"/>
      <c r="C58" s="21" t="s">
        <v>0</v>
      </c>
      <c r="D58" s="21" t="n">
        <v>2020</v>
      </c>
      <c r="E58" s="21" t="n">
        <v>2021</v>
      </c>
      <c r="F58" s="21" t="n">
        <v>2022</v>
      </c>
      <c r="G58" s="21" t="n">
        <v>2023</v>
      </c>
      <c r="H58" s="21" t="n">
        <v>2024</v>
      </c>
      <c r="I58" s="21" t="n">
        <v>2025</v>
      </c>
      <c r="J58" s="21" t="n">
        <v>2026</v>
      </c>
      <c r="K58" s="21" t="n">
        <v>2027</v>
      </c>
      <c r="L58" s="21" t="n">
        <v>2028</v>
      </c>
      <c r="M58" s="21" t="n">
        <v>2029</v>
      </c>
      <c r="N58" s="21" t="n">
        <v>2030</v>
      </c>
      <c r="O58" s="21" t="n">
        <v>2031</v>
      </c>
      <c r="P58" s="21" t="n">
        <v>2032</v>
      </c>
      <c r="Q58" s="21" t="n">
        <v>2033</v>
      </c>
      <c r="R58" s="21" t="n">
        <v>2034</v>
      </c>
      <c r="S58" s="21" t="n">
        <v>2035</v>
      </c>
      <c r="T58" s="21" t="n">
        <v>2036</v>
      </c>
      <c r="U58" s="21" t="n">
        <v>2037</v>
      </c>
      <c r="V58" s="21" t="n">
        <v>2038</v>
      </c>
      <c r="W58" s="21" t="n">
        <v>2039</v>
      </c>
      <c r="X58" s="2"/>
    </row>
    <row r="59" customFormat="false" ht="18.75" hidden="false" customHeight="true" outlineLevel="0" collapsed="false">
      <c r="A59" s="2"/>
      <c r="B59" s="22"/>
      <c r="C59" s="23" t="s">
        <v>14</v>
      </c>
      <c r="D59" s="24"/>
      <c r="E59" s="24"/>
      <c r="F59" s="25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6"/>
      <c r="U59" s="24"/>
      <c r="V59" s="24"/>
      <c r="W59" s="24"/>
      <c r="X59" s="2"/>
    </row>
    <row r="60" customFormat="false" ht="18.75" hidden="false" customHeight="true" outlineLevel="0" collapsed="false">
      <c r="A60" s="2"/>
      <c r="B60" s="27" t="s">
        <v>2</v>
      </c>
      <c r="C60" s="28"/>
      <c r="D60" s="29" t="n">
        <f aca="false">ROUND(ABS(淡江大學_p4!D54),0)</f>
        <v>0</v>
      </c>
      <c r="E60" s="29" t="n">
        <f aca="false">ROUND(ABS(淡江大學_p4!E54),0)</f>
        <v>0</v>
      </c>
      <c r="F60" s="29" t="n">
        <f aca="false">ROUND(ABS(淡江大學_p4!F54),0)</f>
        <v>0</v>
      </c>
      <c r="G60" s="29" t="n">
        <f aca="false">ROUND(ABS(淡江大學_p4!G54),0)</f>
        <v>0</v>
      </c>
      <c r="H60" s="29" t="n">
        <f aca="false">ROUND(ABS(淡江大學_p4!H54),0)</f>
        <v>0</v>
      </c>
      <c r="I60" s="29" t="n">
        <f aca="false">ROUND(ABS(淡江大學_p4!I54),0)</f>
        <v>0</v>
      </c>
      <c r="J60" s="29" t="n">
        <f aca="false">ROUND(ABS(淡江大學_p4!J54),0)</f>
        <v>0</v>
      </c>
      <c r="K60" s="29" t="n">
        <f aca="false">ROUND(ABS(淡江大學_p4!K54),0)</f>
        <v>0</v>
      </c>
      <c r="L60" s="29" t="n">
        <f aca="false">ROUND(ABS(淡江大學_p4!L54),0)</f>
        <v>0</v>
      </c>
      <c r="M60" s="29" t="n">
        <f aca="false">ROUND(ABS(淡江大學_p4!M54),0)</f>
        <v>0</v>
      </c>
      <c r="N60" s="29" t="n">
        <f aca="false">ROUND(ABS(淡江大學_p4!N54),0)</f>
        <v>0</v>
      </c>
      <c r="O60" s="29" t="n">
        <f aca="false">ROUND(ABS(淡江大學_p4!O54),0)</f>
        <v>0</v>
      </c>
      <c r="P60" s="29" t="n">
        <f aca="false">ROUND(ABS(淡江大學_p4!P54),0)</f>
        <v>0</v>
      </c>
      <c r="Q60" s="29" t="n">
        <f aca="false">ROUND(ABS(淡江大學_p4!Q54),0)</f>
        <v>0</v>
      </c>
      <c r="R60" s="29" t="n">
        <f aca="false">ROUND(ABS(淡江大學_p4!R54),0)</f>
        <v>0</v>
      </c>
      <c r="S60" s="29" t="n">
        <f aca="false">ROUND(ABS(淡江大學_p4!S54),0)</f>
        <v>0</v>
      </c>
      <c r="T60" s="29" t="n">
        <f aca="false">ROUND(ABS(淡江大學_p4!T54),0)</f>
        <v>0</v>
      </c>
      <c r="U60" s="29" t="n">
        <f aca="false">ROUND(ABS(淡江大學_p4!U54),0)</f>
        <v>0</v>
      </c>
      <c r="V60" s="29" t="n">
        <f aca="false">ROUND(ABS(淡江大學_p4!V54),0)</f>
        <v>0</v>
      </c>
      <c r="W60" s="29" t="n">
        <f aca="false">ROUND(ABS(淡江大學_p4!W54),0)</f>
        <v>0</v>
      </c>
      <c r="X60" s="2"/>
    </row>
    <row r="61" customFormat="false" ht="18.75" hidden="false" customHeight="true" outlineLevel="0" collapsed="false">
      <c r="A61" s="2"/>
      <c r="B61" s="30" t="s">
        <v>2</v>
      </c>
      <c r="C61" s="31"/>
      <c r="D61" s="29" t="n">
        <f aca="false">ROUND(ABS(淡江大學_p6!D54),0)</f>
        <v>0</v>
      </c>
      <c r="E61" s="29" t="n">
        <f aca="false">ROUND(ABS(淡江大學_p6!E54),0)</f>
        <v>0</v>
      </c>
      <c r="F61" s="29" t="n">
        <f aca="false">ROUND(ABS(淡江大學_p6!F54),0)</f>
        <v>0</v>
      </c>
      <c r="G61" s="29" t="n">
        <f aca="false">ROUND(ABS(淡江大學_p6!G54),0)</f>
        <v>0</v>
      </c>
      <c r="H61" s="29" t="n">
        <f aca="false">ROUND(ABS(淡江大學_p6!H54),0)</f>
        <v>0</v>
      </c>
      <c r="I61" s="29" t="n">
        <f aca="false">ROUND(ABS(淡江大學_p6!I54),0)</f>
        <v>0</v>
      </c>
      <c r="J61" s="29" t="n">
        <f aca="false">ROUND(ABS(淡江大學_p6!J54),0)</f>
        <v>0</v>
      </c>
      <c r="K61" s="29" t="n">
        <f aca="false">ROUND(ABS(淡江大學_p6!K54),0)</f>
        <v>0</v>
      </c>
      <c r="L61" s="29" t="n">
        <f aca="false">ROUND(ABS(淡江大學_p6!L54),0)</f>
        <v>0</v>
      </c>
      <c r="M61" s="29" t="n">
        <f aca="false">ROUND(ABS(淡江大學_p6!M54),0)</f>
        <v>0</v>
      </c>
      <c r="N61" s="29" t="n">
        <f aca="false">ROUND(ABS(淡江大學_p6!N54),0)</f>
        <v>0</v>
      </c>
      <c r="O61" s="29" t="n">
        <f aca="false">ROUND(ABS(淡江大學_p6!O54),0)</f>
        <v>0</v>
      </c>
      <c r="P61" s="29" t="n">
        <f aca="false">ROUND(ABS(淡江大學_p6!P54),0)</f>
        <v>0</v>
      </c>
      <c r="Q61" s="29" t="n">
        <f aca="false">ROUND(ABS(淡江大學_p6!Q54),0)</f>
        <v>0</v>
      </c>
      <c r="R61" s="29" t="n">
        <f aca="false">ROUND(ABS(淡江大學_p6!R54),0)</f>
        <v>0</v>
      </c>
      <c r="S61" s="29" t="n">
        <f aca="false">ROUND(ABS(淡江大學_p6!S54),0)</f>
        <v>0</v>
      </c>
      <c r="T61" s="29" t="n">
        <f aca="false">ROUND(ABS(淡江大學_p6!T54),0)</f>
        <v>0</v>
      </c>
      <c r="U61" s="29" t="n">
        <f aca="false">ROUND(ABS(淡江大學_p6!U54),0)</f>
        <v>0</v>
      </c>
      <c r="V61" s="29" t="n">
        <f aca="false">ROUND(ABS(淡江大學_p6!V54),0)</f>
        <v>0</v>
      </c>
      <c r="W61" s="29" t="n">
        <f aca="false">ROUND(ABS(淡江大學_p6!W54),0)</f>
        <v>0</v>
      </c>
      <c r="X61" s="2"/>
    </row>
    <row r="62" customFormat="false" ht="18.75" hidden="false" customHeight="true" outlineLevel="0" collapsed="false">
      <c r="A62" s="2"/>
      <c r="B62" s="32" t="s">
        <v>2</v>
      </c>
      <c r="C62" s="33"/>
      <c r="D62" s="34" t="n">
        <f aca="false">ROUND(ABS(淡江大學_p3!D54),0)</f>
        <v>0</v>
      </c>
      <c r="E62" s="34" t="n">
        <f aca="false">ROUND(ABS(淡江大學_p3!E54),0)</f>
        <v>0</v>
      </c>
      <c r="F62" s="34" t="n">
        <f aca="false">ROUND(ABS(淡江大學_p3!F54),0)</f>
        <v>0</v>
      </c>
      <c r="G62" s="34" t="n">
        <f aca="false">ROUND(ABS(淡江大學_p3!G54),0)</f>
        <v>0</v>
      </c>
      <c r="H62" s="34" t="n">
        <f aca="false">ROUND(ABS(淡江大學_p3!H54),0)</f>
        <v>0</v>
      </c>
      <c r="I62" s="34" t="n">
        <f aca="false">ROUND(ABS(淡江大學_p3!I54),0)</f>
        <v>0</v>
      </c>
      <c r="J62" s="34" t="n">
        <f aca="false">ROUND(ABS(淡江大學_p3!J54),0)</f>
        <v>0</v>
      </c>
      <c r="K62" s="34" t="n">
        <f aca="false">ROUND(ABS(淡江大學_p3!K54),0)</f>
        <v>0</v>
      </c>
      <c r="L62" s="34" t="n">
        <f aca="false">ROUND(ABS(淡江大學_p3!L54),0)</f>
        <v>0</v>
      </c>
      <c r="M62" s="34" t="n">
        <f aca="false">ROUND(ABS(淡江大學_p3!M54),0)</f>
        <v>0</v>
      </c>
      <c r="N62" s="34" t="n">
        <f aca="false">ROUND(ABS(淡江大學_p3!N54),0)</f>
        <v>0</v>
      </c>
      <c r="O62" s="34" t="n">
        <f aca="false">ROUND(ABS(淡江大學_p3!O54),0)</f>
        <v>0</v>
      </c>
      <c r="P62" s="34" t="n">
        <f aca="false">ROUND(ABS(淡江大學_p3!P54),0)</f>
        <v>0</v>
      </c>
      <c r="Q62" s="34" t="n">
        <f aca="false">ROUND(ABS(淡江大學_p3!Q54),0)</f>
        <v>0</v>
      </c>
      <c r="R62" s="34" t="n">
        <f aca="false">ROUND(ABS(淡江大學_p3!R54),0)</f>
        <v>0</v>
      </c>
      <c r="S62" s="34" t="n">
        <f aca="false">ROUND(ABS(淡江大學_p3!S54),0)</f>
        <v>0</v>
      </c>
      <c r="T62" s="34" t="n">
        <f aca="false">ROUND(ABS(淡江大學_p3!T54),0)</f>
        <v>0</v>
      </c>
      <c r="U62" s="34" t="n">
        <f aca="false">ROUND(ABS(淡江大學_p3!U54),0)</f>
        <v>0</v>
      </c>
      <c r="V62" s="34" t="n">
        <f aca="false">ROUND(ABS(淡江大學_p3!V54),0)</f>
        <v>0</v>
      </c>
      <c r="W62" s="34" t="n">
        <f aca="false">ROUND(ABS(淡江大學_p3!W54),0)</f>
        <v>0</v>
      </c>
      <c r="X62" s="2"/>
    </row>
    <row r="63" customFormat="false" ht="18.75" hidden="false" customHeight="true" outlineLevel="0" collapsed="false">
      <c r="A63" s="2"/>
      <c r="B63" s="35" t="s">
        <v>2</v>
      </c>
      <c r="C63" s="36"/>
      <c r="D63" s="29" t="n">
        <f aca="false">ROUND(ABS(淡江大學_p4_1!D54),0)</f>
        <v>0</v>
      </c>
      <c r="E63" s="29" t="n">
        <f aca="false">ROUND(ABS(淡江大學_p4_1!E54),0)</f>
        <v>0</v>
      </c>
      <c r="F63" s="29" t="n">
        <f aca="false">ROUND(ABS(淡江大學_p4_1!F54),0)</f>
        <v>0</v>
      </c>
      <c r="G63" s="29" t="n">
        <f aca="false">ROUND(ABS(淡江大學_p4_1!G54),0)</f>
        <v>0</v>
      </c>
      <c r="H63" s="29" t="n">
        <f aca="false">ROUND(ABS(淡江大學_p4_1!H54),0)</f>
        <v>0</v>
      </c>
      <c r="I63" s="29" t="n">
        <f aca="false">ROUND(ABS(淡江大學_p4_1!I54),0)</f>
        <v>0</v>
      </c>
      <c r="J63" s="29" t="n">
        <f aca="false">ROUND(ABS(淡江大學_p4_1!J54),0)</f>
        <v>0</v>
      </c>
      <c r="K63" s="29" t="n">
        <f aca="false">ROUND(ABS(淡江大學_p4_1!K54),0)</f>
        <v>0</v>
      </c>
      <c r="L63" s="29" t="n">
        <f aca="false">ROUND(ABS(淡江大學_p4_1!L54),0)</f>
        <v>0</v>
      </c>
      <c r="M63" s="29" t="n">
        <f aca="false">ROUND(ABS(淡江大學_p4_1!M54),0)</f>
        <v>0</v>
      </c>
      <c r="N63" s="29" t="n">
        <f aca="false">ROUND(ABS(淡江大學_p4_1!N54),0)</f>
        <v>0</v>
      </c>
      <c r="O63" s="29" t="n">
        <f aca="false">ROUND(ABS(淡江大學_p4_1!O54),0)</f>
        <v>0</v>
      </c>
      <c r="P63" s="29" t="n">
        <f aca="false">ROUND(ABS(淡江大學_p4_1!P54),0)</f>
        <v>0</v>
      </c>
      <c r="Q63" s="29" t="n">
        <f aca="false">ROUND(ABS(淡江大學_p4_1!Q54),0)</f>
        <v>0</v>
      </c>
      <c r="R63" s="29" t="n">
        <f aca="false">ROUND(ABS(淡江大學_p4_1!R54),0)</f>
        <v>0</v>
      </c>
      <c r="S63" s="29" t="n">
        <f aca="false">ROUND(ABS(淡江大學_p4_1!S54),0)</f>
        <v>0</v>
      </c>
      <c r="T63" s="29" t="n">
        <f aca="false">ROUND(ABS(淡江大學_p4_1!T54),0)</f>
        <v>0</v>
      </c>
      <c r="U63" s="29" t="n">
        <f aca="false">ROUND(ABS(淡江大學_p4_1!U54),0)</f>
        <v>0</v>
      </c>
      <c r="V63" s="29" t="n">
        <f aca="false">ROUND(ABS(淡江大學_p4_1!V54),0)</f>
        <v>0</v>
      </c>
      <c r="W63" s="29" t="n">
        <f aca="false">ROUND(ABS(淡江大學_p4_1!W54),0)</f>
        <v>0</v>
      </c>
      <c r="X63" s="2"/>
    </row>
    <row r="64" customFormat="false" ht="18.75" hidden="false" customHeight="true" outlineLevel="0" collapsed="false">
      <c r="A64" s="2"/>
      <c r="B64" s="37" t="s">
        <v>2</v>
      </c>
      <c r="C64" s="38"/>
      <c r="D64" s="39" t="n">
        <f aca="false">ROUND(ABS(淡江大學_p4_2!D54),0)</f>
        <v>0</v>
      </c>
      <c r="E64" s="39" t="n">
        <f aca="false">ROUND(ABS(淡江大學_p4_2!E54),0)</f>
        <v>0</v>
      </c>
      <c r="F64" s="39" t="n">
        <f aca="false">ROUND(ABS(淡江大學_p4_2!F54),0)</f>
        <v>0</v>
      </c>
      <c r="G64" s="39" t="n">
        <f aca="false">ROUND(ABS(淡江大學_p4_2!G54),0)</f>
        <v>0</v>
      </c>
      <c r="H64" s="39" t="n">
        <f aca="false">ROUND(ABS(淡江大學_p4_2!H54),0)</f>
        <v>0</v>
      </c>
      <c r="I64" s="39" t="n">
        <f aca="false">ROUND(ABS(淡江大學_p4_2!I54),0)</f>
        <v>0</v>
      </c>
      <c r="J64" s="39" t="n">
        <f aca="false">ROUND(ABS(淡江大學_p4_2!J54),0)</f>
        <v>0</v>
      </c>
      <c r="K64" s="39" t="n">
        <f aca="false">ROUND(ABS(淡江大學_p4_2!K54),0)</f>
        <v>0</v>
      </c>
      <c r="L64" s="39" t="n">
        <f aca="false">ROUND(ABS(淡江大學_p4_2!L54),0)</f>
        <v>0</v>
      </c>
      <c r="M64" s="39" t="n">
        <f aca="false">ROUND(ABS(淡江大學_p4_2!M54),0)</f>
        <v>0</v>
      </c>
      <c r="N64" s="39" t="n">
        <f aca="false">ROUND(ABS(淡江大學_p4_2!N54),0)</f>
        <v>0</v>
      </c>
      <c r="O64" s="39" t="n">
        <f aca="false">ROUND(ABS(淡江大學_p4_2!O54),0)</f>
        <v>0</v>
      </c>
      <c r="P64" s="39" t="n">
        <f aca="false">ROUND(ABS(淡江大學_p4_2!P54),0)</f>
        <v>0</v>
      </c>
      <c r="Q64" s="39" t="n">
        <f aca="false">ROUND(ABS(淡江大學_p4_2!Q54),0)</f>
        <v>0</v>
      </c>
      <c r="R64" s="39" t="n">
        <f aca="false">ROUND(ABS(淡江大學_p4_2!R54),0)</f>
        <v>0</v>
      </c>
      <c r="S64" s="39" t="n">
        <f aca="false">ROUND(ABS(淡江大學_p4_2!S54),0)</f>
        <v>0</v>
      </c>
      <c r="T64" s="39" t="n">
        <f aca="false">ROUND(ABS(淡江大學_p4_2!T54),0)</f>
        <v>0</v>
      </c>
      <c r="U64" s="39" t="n">
        <f aca="false">ROUND(ABS(淡江大學_p4_2!U54),0)</f>
        <v>0</v>
      </c>
      <c r="V64" s="39" t="n">
        <f aca="false">ROUND(ABS(淡江大學_p4_2!V54),0)</f>
        <v>0</v>
      </c>
      <c r="W64" s="39" t="n">
        <f aca="false">ROUND(ABS(淡江大學_p4_2!W54),0)</f>
        <v>0</v>
      </c>
      <c r="X64" s="2"/>
    </row>
    <row r="65" customFormat="false" ht="18.75" hidden="false" customHeight="true" outlineLevel="0" collapsed="false">
      <c r="A65" s="2"/>
      <c r="B65" s="35" t="s">
        <v>2</v>
      </c>
      <c r="C65" s="40"/>
      <c r="D65" s="29" t="n">
        <f aca="false">ROUND(ABS(淡江大學_p6_1!D54),0)</f>
        <v>0</v>
      </c>
      <c r="E65" s="29" t="n">
        <f aca="false">ROUND(ABS(淡江大學_p6_1!E54),0)</f>
        <v>0</v>
      </c>
      <c r="F65" s="29" t="n">
        <f aca="false">ROUND(ABS(淡江大學_p6_1!F54),0)</f>
        <v>0</v>
      </c>
      <c r="G65" s="29" t="n">
        <f aca="false">ROUND(ABS(淡江大學_p6_1!G54),0)</f>
        <v>0</v>
      </c>
      <c r="H65" s="29" t="n">
        <f aca="false">ROUND(ABS(淡江大學_p6_1!H54),0)</f>
        <v>0</v>
      </c>
      <c r="I65" s="29" t="n">
        <f aca="false">ROUND(ABS(淡江大學_p6_1!I54),0)</f>
        <v>0</v>
      </c>
      <c r="J65" s="29" t="n">
        <f aca="false">ROUND(ABS(淡江大學_p6_1!J54),0)</f>
        <v>0</v>
      </c>
      <c r="K65" s="29" t="n">
        <f aca="false">ROUND(ABS(淡江大學_p6_1!K54),0)</f>
        <v>0</v>
      </c>
      <c r="L65" s="29" t="n">
        <f aca="false">ROUND(ABS(淡江大學_p6_1!L54),0)</f>
        <v>0</v>
      </c>
      <c r="M65" s="29" t="n">
        <f aca="false">ROUND(ABS(淡江大學_p6_1!M54),0)</f>
        <v>0</v>
      </c>
      <c r="N65" s="29" t="n">
        <f aca="false">ROUND(ABS(淡江大學_p6_1!N54),0)</f>
        <v>0</v>
      </c>
      <c r="O65" s="29" t="n">
        <f aca="false">ROUND(ABS(淡江大學_p6_1!O54),0)</f>
        <v>0</v>
      </c>
      <c r="P65" s="29" t="n">
        <f aca="false">ROUND(ABS(淡江大學_p6_1!P54),0)</f>
        <v>0</v>
      </c>
      <c r="Q65" s="29" t="n">
        <f aca="false">ROUND(ABS(淡江大學_p6_1!Q54),0)</f>
        <v>0</v>
      </c>
      <c r="R65" s="29" t="n">
        <f aca="false">ROUND(ABS(淡江大學_p6_1!R54),0)</f>
        <v>0</v>
      </c>
      <c r="S65" s="29" t="n">
        <f aca="false">ROUND(ABS(淡江大學_p6_1!S54),0)</f>
        <v>0</v>
      </c>
      <c r="T65" s="29" t="n">
        <f aca="false">ROUND(ABS(淡江大學_p6_1!T54),0)</f>
        <v>0</v>
      </c>
      <c r="U65" s="29" t="n">
        <f aca="false">ROUND(ABS(淡江大學_p6_1!U54),0)</f>
        <v>0</v>
      </c>
      <c r="V65" s="29" t="n">
        <f aca="false">ROUND(ABS(淡江大學_p6_1!V54),0)</f>
        <v>0</v>
      </c>
      <c r="W65" s="29" t="n">
        <f aca="false">ROUND(ABS(淡江大學_p6_1!W54),0)</f>
        <v>0</v>
      </c>
      <c r="X65" s="2"/>
    </row>
    <row r="66" customFormat="false" ht="18.75" hidden="false" customHeight="true" outlineLevel="0" collapsed="false">
      <c r="A66" s="2"/>
      <c r="B66" s="35"/>
      <c r="C66" s="41" t="s">
        <v>15</v>
      </c>
      <c r="D66" s="42" t="n">
        <f aca="false">SUM(D60:D65)</f>
        <v>0</v>
      </c>
      <c r="E66" s="42" t="n">
        <f aca="false">SUM(E60:E65)</f>
        <v>0</v>
      </c>
      <c r="F66" s="42" t="n">
        <f aca="false">SUM(F60:F65)</f>
        <v>0</v>
      </c>
      <c r="G66" s="42" t="n">
        <f aca="false">SUM(G60:G65)</f>
        <v>0</v>
      </c>
      <c r="H66" s="42" t="n">
        <f aca="false">SUM(H60:H65)</f>
        <v>0</v>
      </c>
      <c r="I66" s="42" t="n">
        <f aca="false">SUM(I60:I65)</f>
        <v>0</v>
      </c>
      <c r="J66" s="42" t="n">
        <f aca="false">SUM(J60:J65)</f>
        <v>0</v>
      </c>
      <c r="K66" s="42" t="n">
        <f aca="false">SUM(K60:K65)</f>
        <v>0</v>
      </c>
      <c r="L66" s="42" t="n">
        <f aca="false">SUM(L60:L65)</f>
        <v>0</v>
      </c>
      <c r="M66" s="42" t="n">
        <f aca="false">SUM(M60:M65)</f>
        <v>0</v>
      </c>
      <c r="N66" s="42" t="n">
        <f aca="false">SUM(N60:N65)</f>
        <v>0</v>
      </c>
      <c r="O66" s="42" t="n">
        <f aca="false">SUM(O60:O65)</f>
        <v>0</v>
      </c>
      <c r="P66" s="42" t="n">
        <f aca="false">SUM(P60:P65)</f>
        <v>0</v>
      </c>
      <c r="Q66" s="42" t="n">
        <f aca="false">SUM(Q60:Q65)</f>
        <v>0</v>
      </c>
      <c r="R66" s="42" t="n">
        <f aca="false">SUM(R60:R65)</f>
        <v>0</v>
      </c>
      <c r="S66" s="42" t="n">
        <f aca="false">SUM(S60:S65)</f>
        <v>0</v>
      </c>
      <c r="T66" s="42" t="n">
        <f aca="false">SUM(T60:T65)</f>
        <v>0</v>
      </c>
      <c r="U66" s="42" t="n">
        <f aca="false">SUM(U60:U65)</f>
        <v>0</v>
      </c>
      <c r="V66" s="42" t="n">
        <f aca="false">SUM(V60:V65)</f>
        <v>0</v>
      </c>
      <c r="W66" s="42" t="n">
        <f aca="false">SUM(W60:W65)</f>
        <v>0</v>
      </c>
      <c r="X66" s="2"/>
    </row>
    <row r="67" customFormat="false" ht="18.75" hidden="false" customHeight="true" outlineLevel="0" collapsed="false">
      <c r="A67" s="2"/>
      <c r="B67" s="35"/>
      <c r="C67" s="43" t="s">
        <v>0</v>
      </c>
      <c r="D67" s="44" t="n">
        <v>2020</v>
      </c>
      <c r="E67" s="44" t="n">
        <v>2021</v>
      </c>
      <c r="F67" s="44" t="n">
        <v>2022</v>
      </c>
      <c r="G67" s="44" t="n">
        <v>2023</v>
      </c>
      <c r="H67" s="44" t="n">
        <v>2024</v>
      </c>
      <c r="I67" s="44" t="n">
        <v>2025</v>
      </c>
      <c r="J67" s="44" t="n">
        <v>2026</v>
      </c>
      <c r="K67" s="44" t="n">
        <v>2027</v>
      </c>
      <c r="L67" s="44" t="n">
        <v>2028</v>
      </c>
      <c r="M67" s="44" t="n">
        <v>2029</v>
      </c>
      <c r="N67" s="44" t="n">
        <v>2030</v>
      </c>
      <c r="O67" s="44" t="n">
        <v>2031</v>
      </c>
      <c r="P67" s="44" t="n">
        <v>2032</v>
      </c>
      <c r="Q67" s="44" t="n">
        <v>2033</v>
      </c>
      <c r="R67" s="44" t="n">
        <v>2034</v>
      </c>
      <c r="S67" s="44" t="n">
        <v>2035</v>
      </c>
      <c r="T67" s="44" t="n">
        <v>2036</v>
      </c>
      <c r="U67" s="44" t="n">
        <v>2037</v>
      </c>
      <c r="V67" s="44" t="n">
        <v>2038</v>
      </c>
      <c r="W67" s="44" t="n">
        <v>2039</v>
      </c>
      <c r="X67" s="2"/>
    </row>
    <row r="68" customFormat="false" ht="18.75" hidden="false" customHeight="true" outlineLevel="0" collapsed="false">
      <c r="A68" s="2"/>
      <c r="B68" s="35"/>
      <c r="C68" s="36" t="s">
        <v>16</v>
      </c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2"/>
    </row>
    <row r="69" customFormat="false" ht="18.75" hidden="false" customHeight="true" outlineLevel="0" collapsed="false">
      <c r="A69" s="2"/>
      <c r="B69" s="35" t="s">
        <v>2</v>
      </c>
      <c r="C69" s="36"/>
      <c r="D69" s="29" t="n">
        <f aca="false">ROUND(ABS(淡江大學_p4!D67),0)</f>
        <v>0</v>
      </c>
      <c r="E69" s="29" t="n">
        <f aca="false">ROUND(ABS(淡江大學_p4!E67),0)</f>
        <v>0</v>
      </c>
      <c r="F69" s="29" t="n">
        <f aca="false">ROUND(ABS(淡江大學_p4!F67),0)</f>
        <v>0</v>
      </c>
      <c r="G69" s="29" t="n">
        <f aca="false">ROUND(ABS(淡江大學_p4!G67),0)</f>
        <v>0</v>
      </c>
      <c r="H69" s="29" t="n">
        <f aca="false">ROUND(ABS(淡江大學_p4!H67),0)</f>
        <v>0</v>
      </c>
      <c r="I69" s="29" t="n">
        <f aca="false">ROUND(ABS(淡江大學_p4!I67),0)</f>
        <v>0</v>
      </c>
      <c r="J69" s="29" t="n">
        <f aca="false">ROUND(ABS(淡江大學_p4!J67),0)</f>
        <v>0</v>
      </c>
      <c r="K69" s="29" t="n">
        <f aca="false">ROUND(ABS(淡江大學_p4!K67),0)</f>
        <v>0</v>
      </c>
      <c r="L69" s="29" t="n">
        <f aca="false">ROUND(ABS(淡江大學_p4!L67),0)</f>
        <v>0</v>
      </c>
      <c r="M69" s="29" t="n">
        <f aca="false">ROUND(ABS(淡江大學_p4!M67),0)</f>
        <v>0</v>
      </c>
      <c r="N69" s="29" t="n">
        <f aca="false">ROUND(ABS(淡江大學_p4!N67),0)</f>
        <v>0</v>
      </c>
      <c r="O69" s="29" t="n">
        <f aca="false">ROUND(ABS(淡江大學_p4!O67),0)</f>
        <v>0</v>
      </c>
      <c r="P69" s="29" t="n">
        <f aca="false">ROUND(ABS(淡江大學_p4!P67),0)</f>
        <v>0</v>
      </c>
      <c r="Q69" s="29" t="n">
        <f aca="false">ROUND(ABS(淡江大學_p4!Q67),0)</f>
        <v>0</v>
      </c>
      <c r="R69" s="29" t="n">
        <f aca="false">ROUND(ABS(淡江大學_p4!R67),0)</f>
        <v>0</v>
      </c>
      <c r="S69" s="29" t="n">
        <f aca="false">ROUND(ABS(淡江大學_p4!S67),0)</f>
        <v>0</v>
      </c>
      <c r="T69" s="29" t="n">
        <f aca="false">ROUND(ABS(淡江大學_p4!T67),0)</f>
        <v>0</v>
      </c>
      <c r="U69" s="29" t="n">
        <f aca="false">ROUND(ABS(淡江大學_p4!U67),0)</f>
        <v>0</v>
      </c>
      <c r="V69" s="29" t="n">
        <f aca="false">ROUND(ABS(淡江大學_p4!V67),0)</f>
        <v>0</v>
      </c>
      <c r="W69" s="29" t="n">
        <f aca="false">ROUND(ABS(淡江大學_p4!W67),0)</f>
        <v>0</v>
      </c>
      <c r="X69" s="2"/>
    </row>
    <row r="70" customFormat="false" ht="18.75" hidden="false" customHeight="true" outlineLevel="0" collapsed="false">
      <c r="A70" s="2"/>
      <c r="B70" s="35" t="s">
        <v>2</v>
      </c>
      <c r="C70" s="36"/>
      <c r="D70" s="29" t="n">
        <f aca="false">ROUND(ABS(淡江大學_p6!D67),0)</f>
        <v>0</v>
      </c>
      <c r="E70" s="29" t="n">
        <f aca="false">ROUND(ABS(淡江大學_p6!E67),0)</f>
        <v>0</v>
      </c>
      <c r="F70" s="29" t="n">
        <f aca="false">ROUND(ABS(淡江大學_p6!F67),0)</f>
        <v>0</v>
      </c>
      <c r="G70" s="29" t="n">
        <f aca="false">ROUND(ABS(淡江大學_p6!G67),0)</f>
        <v>0</v>
      </c>
      <c r="H70" s="29" t="n">
        <f aca="false">ROUND(ABS(淡江大學_p6!H67),0)</f>
        <v>0</v>
      </c>
      <c r="I70" s="29" t="n">
        <f aca="false">ROUND(ABS(淡江大學_p6!I67),0)</f>
        <v>0</v>
      </c>
      <c r="J70" s="29" t="n">
        <f aca="false">ROUND(ABS(淡江大學_p6!J67),0)</f>
        <v>0</v>
      </c>
      <c r="K70" s="29" t="n">
        <f aca="false">ROUND(ABS(淡江大學_p6!K67),0)</f>
        <v>0</v>
      </c>
      <c r="L70" s="29" t="n">
        <f aca="false">ROUND(ABS(淡江大學_p6!L67),0)</f>
        <v>0</v>
      </c>
      <c r="M70" s="29" t="n">
        <f aca="false">ROUND(ABS(淡江大學_p6!M67),0)</f>
        <v>0</v>
      </c>
      <c r="N70" s="29" t="n">
        <f aca="false">ROUND(ABS(淡江大學_p6!N67),0)</f>
        <v>0</v>
      </c>
      <c r="O70" s="29" t="n">
        <f aca="false">ROUND(ABS(淡江大學_p6!O67),0)</f>
        <v>0</v>
      </c>
      <c r="P70" s="29" t="n">
        <f aca="false">ROUND(ABS(淡江大學_p6!P67),0)</f>
        <v>0</v>
      </c>
      <c r="Q70" s="29" t="n">
        <f aca="false">ROUND(ABS(淡江大學_p6!Q67),0)</f>
        <v>0</v>
      </c>
      <c r="R70" s="29" t="n">
        <f aca="false">ROUND(ABS(淡江大學_p6!R67),0)</f>
        <v>0</v>
      </c>
      <c r="S70" s="29" t="n">
        <f aca="false">ROUND(ABS(淡江大學_p6!S67),0)</f>
        <v>0</v>
      </c>
      <c r="T70" s="29" t="n">
        <f aca="false">ROUND(ABS(淡江大學_p6!T67),0)</f>
        <v>0</v>
      </c>
      <c r="U70" s="29" t="n">
        <f aca="false">ROUND(ABS(淡江大學_p6!U67),0)</f>
        <v>0</v>
      </c>
      <c r="V70" s="29" t="n">
        <f aca="false">ROUND(ABS(淡江大學_p6!V67),0)</f>
        <v>0</v>
      </c>
      <c r="W70" s="29" t="n">
        <f aca="false">ROUND(ABS(淡江大學_p6!W67),0)</f>
        <v>0</v>
      </c>
      <c r="X70" s="2"/>
    </row>
    <row r="71" customFormat="false" ht="18.75" hidden="false" customHeight="true" outlineLevel="0" collapsed="false">
      <c r="A71" s="2"/>
      <c r="B71" s="35" t="s">
        <v>2</v>
      </c>
      <c r="C71" s="36"/>
      <c r="D71" s="29" t="n">
        <f aca="false">ROUND(ABS(淡江大學_p3!D67),0)</f>
        <v>0</v>
      </c>
      <c r="E71" s="29" t="n">
        <f aca="false">ROUND(ABS(淡江大學_p3!E67),0)</f>
        <v>0</v>
      </c>
      <c r="F71" s="29" t="n">
        <f aca="false">ROUND(ABS(淡江大學_p3!F67),0)</f>
        <v>0</v>
      </c>
      <c r="G71" s="29" t="n">
        <f aca="false">ROUND(ABS(淡江大學_p3!G67),0)</f>
        <v>0</v>
      </c>
      <c r="H71" s="29" t="n">
        <f aca="false">ROUND(ABS(淡江大學_p3!H67),0)</f>
        <v>0</v>
      </c>
      <c r="I71" s="29" t="n">
        <f aca="false">ROUND(ABS(淡江大學_p3!I67),0)</f>
        <v>0</v>
      </c>
      <c r="J71" s="29" t="n">
        <f aca="false">ROUND(ABS(淡江大學_p3!J67),0)</f>
        <v>0</v>
      </c>
      <c r="K71" s="29" t="n">
        <f aca="false">ROUND(ABS(淡江大學_p3!K67),0)</f>
        <v>0</v>
      </c>
      <c r="L71" s="29" t="n">
        <f aca="false">ROUND(ABS(淡江大學_p3!L67),0)</f>
        <v>0</v>
      </c>
      <c r="M71" s="29" t="n">
        <f aca="false">ROUND(ABS(淡江大學_p3!M67),0)</f>
        <v>0</v>
      </c>
      <c r="N71" s="29" t="n">
        <f aca="false">ROUND(ABS(淡江大學_p3!N67),0)</f>
        <v>0</v>
      </c>
      <c r="O71" s="29" t="n">
        <f aca="false">ROUND(ABS(淡江大學_p3!O67),0)</f>
        <v>0</v>
      </c>
      <c r="P71" s="29" t="n">
        <f aca="false">ROUND(ABS(淡江大學_p3!P67),0)</f>
        <v>0</v>
      </c>
      <c r="Q71" s="29" t="n">
        <f aca="false">ROUND(ABS(淡江大學_p3!Q67),0)</f>
        <v>0</v>
      </c>
      <c r="R71" s="29" t="n">
        <f aca="false">ROUND(ABS(淡江大學_p3!R67),0)</f>
        <v>0</v>
      </c>
      <c r="S71" s="29" t="n">
        <f aca="false">ROUND(ABS(淡江大學_p3!S67),0)</f>
        <v>0</v>
      </c>
      <c r="T71" s="29" t="n">
        <f aca="false">ROUND(ABS(淡江大學_p3!T67),0)</f>
        <v>0</v>
      </c>
      <c r="U71" s="29" t="n">
        <f aca="false">ROUND(ABS(淡江大學_p3!U67),0)</f>
        <v>0</v>
      </c>
      <c r="V71" s="29" t="n">
        <f aca="false">ROUND(ABS(淡江大學_p3!V67),0)</f>
        <v>0</v>
      </c>
      <c r="W71" s="29" t="n">
        <f aca="false">ROUND(ABS(淡江大學_p3!W67),0)</f>
        <v>0</v>
      </c>
      <c r="X71" s="2"/>
    </row>
    <row r="72" customFormat="false" ht="18.75" hidden="false" customHeight="true" outlineLevel="0" collapsed="false">
      <c r="A72" s="2"/>
      <c r="B72" s="35" t="s">
        <v>2</v>
      </c>
      <c r="C72" s="46"/>
      <c r="D72" s="29" t="n">
        <f aca="false">ROUND(ABS(淡江大學_p4_1!D67),0)</f>
        <v>0</v>
      </c>
      <c r="E72" s="29" t="n">
        <f aca="false">ROUND(ABS(淡江大學_p4_1!E67),0)</f>
        <v>0</v>
      </c>
      <c r="F72" s="29" t="n">
        <f aca="false">ROUND(ABS(淡江大學_p4_1!F67),0)</f>
        <v>0</v>
      </c>
      <c r="G72" s="29" t="n">
        <f aca="false">ROUND(ABS(淡江大學_p4_1!G67),0)</f>
        <v>0</v>
      </c>
      <c r="H72" s="29" t="n">
        <f aca="false">ROUND(ABS(淡江大學_p4_1!H67),0)</f>
        <v>0</v>
      </c>
      <c r="I72" s="29" t="n">
        <f aca="false">ROUND(ABS(淡江大學_p4_1!I67),0)</f>
        <v>0</v>
      </c>
      <c r="J72" s="29" t="n">
        <f aca="false">ROUND(ABS(淡江大學_p4_1!J67),0)</f>
        <v>0</v>
      </c>
      <c r="K72" s="29" t="n">
        <f aca="false">ROUND(ABS(淡江大學_p4_1!K67),0)</f>
        <v>0</v>
      </c>
      <c r="L72" s="29" t="n">
        <f aca="false">ROUND(ABS(淡江大學_p4_1!L67),0)</f>
        <v>0</v>
      </c>
      <c r="M72" s="29" t="n">
        <f aca="false">ROUND(ABS(淡江大學_p4_1!M67),0)</f>
        <v>0</v>
      </c>
      <c r="N72" s="29" t="n">
        <f aca="false">ROUND(ABS(淡江大學_p4_1!N67),0)</f>
        <v>0</v>
      </c>
      <c r="O72" s="29" t="n">
        <f aca="false">ROUND(ABS(淡江大學_p4_1!O67),0)</f>
        <v>0</v>
      </c>
      <c r="P72" s="29" t="n">
        <f aca="false">ROUND(ABS(淡江大學_p4_1!P67),0)</f>
        <v>0</v>
      </c>
      <c r="Q72" s="29" t="n">
        <f aca="false">ROUND(ABS(淡江大學_p4_1!Q67),0)</f>
        <v>0</v>
      </c>
      <c r="R72" s="29" t="n">
        <f aca="false">ROUND(ABS(淡江大學_p4_1!R67),0)</f>
        <v>0</v>
      </c>
      <c r="S72" s="29" t="n">
        <f aca="false">ROUND(ABS(淡江大學_p4_1!S67),0)</f>
        <v>0</v>
      </c>
      <c r="T72" s="29" t="n">
        <f aca="false">ROUND(ABS(淡江大學_p4_1!T67),0)</f>
        <v>0</v>
      </c>
      <c r="U72" s="29" t="n">
        <f aca="false">ROUND(ABS(淡江大學_p4_1!U67),0)</f>
        <v>0</v>
      </c>
      <c r="V72" s="29" t="n">
        <f aca="false">ROUND(ABS(淡江大學_p4_1!V67),0)</f>
        <v>0</v>
      </c>
      <c r="W72" s="29" t="n">
        <f aca="false">ROUND(ABS(淡江大學_p4_1!W67),0)</f>
        <v>0</v>
      </c>
      <c r="X72" s="2"/>
    </row>
    <row r="73" customFormat="false" ht="18.75" hidden="false" customHeight="true" outlineLevel="0" collapsed="false">
      <c r="A73" s="2"/>
      <c r="B73" s="35" t="s">
        <v>2</v>
      </c>
      <c r="C73" s="46"/>
      <c r="D73" s="29" t="n">
        <f aca="false">ROUND(ABS(淡江大學_p4_2!D67),0)</f>
        <v>0</v>
      </c>
      <c r="E73" s="29" t="n">
        <f aca="false">ROUND(ABS(淡江大學_p4_2!E67),0)</f>
        <v>0</v>
      </c>
      <c r="F73" s="29" t="n">
        <f aca="false">ROUND(ABS(淡江大學_p4_2!F67),0)</f>
        <v>0</v>
      </c>
      <c r="G73" s="29" t="n">
        <f aca="false">ROUND(ABS(淡江大學_p4_2!G67),0)</f>
        <v>0</v>
      </c>
      <c r="H73" s="29" t="n">
        <f aca="false">ROUND(ABS(淡江大學_p4_2!H67),0)</f>
        <v>0</v>
      </c>
      <c r="I73" s="29" t="n">
        <f aca="false">ROUND(ABS(淡江大學_p4_2!I67),0)</f>
        <v>0</v>
      </c>
      <c r="J73" s="29" t="n">
        <f aca="false">ROUND(ABS(淡江大學_p4_2!J67),0)</f>
        <v>0</v>
      </c>
      <c r="K73" s="29" t="n">
        <f aca="false">ROUND(ABS(淡江大學_p4_2!K67),0)</f>
        <v>0</v>
      </c>
      <c r="L73" s="29" t="n">
        <f aca="false">ROUND(ABS(淡江大學_p4_2!L67),0)</f>
        <v>0</v>
      </c>
      <c r="M73" s="29" t="n">
        <f aca="false">ROUND(ABS(淡江大學_p4_2!M67),0)</f>
        <v>0</v>
      </c>
      <c r="N73" s="29" t="n">
        <f aca="false">ROUND(ABS(淡江大學_p4_2!N67),0)</f>
        <v>0</v>
      </c>
      <c r="O73" s="29" t="n">
        <f aca="false">ROUND(ABS(淡江大學_p4_2!O67),0)</f>
        <v>0</v>
      </c>
      <c r="P73" s="29" t="n">
        <f aca="false">ROUND(ABS(淡江大學_p4_2!P67),0)</f>
        <v>0</v>
      </c>
      <c r="Q73" s="29" t="n">
        <f aca="false">ROUND(ABS(淡江大學_p4_2!Q67),0)</f>
        <v>0</v>
      </c>
      <c r="R73" s="29" t="n">
        <f aca="false">ROUND(ABS(淡江大學_p4_2!R67),0)</f>
        <v>0</v>
      </c>
      <c r="S73" s="29" t="n">
        <f aca="false">ROUND(ABS(淡江大學_p4_2!S67),0)</f>
        <v>0</v>
      </c>
      <c r="T73" s="29" t="n">
        <f aca="false">ROUND(ABS(淡江大學_p4_2!T67),0)</f>
        <v>0</v>
      </c>
      <c r="U73" s="29" t="n">
        <f aca="false">ROUND(ABS(淡江大學_p4_2!U67),0)</f>
        <v>0</v>
      </c>
      <c r="V73" s="29" t="n">
        <f aca="false">ROUND(ABS(淡江大學_p4_2!V67),0)</f>
        <v>0</v>
      </c>
      <c r="W73" s="29" t="n">
        <f aca="false">ROUND(ABS(淡江大學_p4_2!W67),0)</f>
        <v>0</v>
      </c>
      <c r="X73" s="2"/>
    </row>
    <row r="74" customFormat="false" ht="18.75" hidden="false" customHeight="true" outlineLevel="0" collapsed="false">
      <c r="A74" s="2"/>
      <c r="B74" s="35" t="s">
        <v>2</v>
      </c>
      <c r="C74" s="46"/>
      <c r="D74" s="29" t="n">
        <f aca="false">ROUND(ABS(淡江大學_p6_1!D67),0)</f>
        <v>0</v>
      </c>
      <c r="E74" s="29" t="n">
        <f aca="false">ROUND(ABS(淡江大學_p6_1!E67),0)</f>
        <v>0</v>
      </c>
      <c r="F74" s="29" t="n">
        <f aca="false">ROUND(ABS(淡江大學_p6_1!F67),0)</f>
        <v>0</v>
      </c>
      <c r="G74" s="29" t="n">
        <f aca="false">ROUND(ABS(淡江大學_p6_1!G67),0)</f>
        <v>0</v>
      </c>
      <c r="H74" s="29" t="n">
        <f aca="false">ROUND(ABS(淡江大學_p6_1!H67),0)</f>
        <v>0</v>
      </c>
      <c r="I74" s="29" t="n">
        <f aca="false">ROUND(ABS(淡江大學_p6_1!I67),0)</f>
        <v>0</v>
      </c>
      <c r="J74" s="29" t="n">
        <f aca="false">ROUND(ABS(淡江大學_p6_1!J67),0)</f>
        <v>0</v>
      </c>
      <c r="K74" s="29" t="n">
        <f aca="false">ROUND(ABS(淡江大學_p6_1!K67),0)</f>
        <v>0</v>
      </c>
      <c r="L74" s="29" t="n">
        <f aca="false">ROUND(ABS(淡江大學_p6_1!L67),0)</f>
        <v>0</v>
      </c>
      <c r="M74" s="29" t="n">
        <f aca="false">ROUND(ABS(淡江大學_p6_1!M67),0)</f>
        <v>0</v>
      </c>
      <c r="N74" s="29" t="n">
        <f aca="false">ROUND(ABS(淡江大學_p6_1!N67),0)</f>
        <v>0</v>
      </c>
      <c r="O74" s="29" t="n">
        <f aca="false">ROUND(ABS(淡江大學_p6_1!O67),0)</f>
        <v>0</v>
      </c>
      <c r="P74" s="29" t="n">
        <f aca="false">ROUND(ABS(淡江大學_p6_1!P67),0)</f>
        <v>0</v>
      </c>
      <c r="Q74" s="29" t="n">
        <f aca="false">ROUND(ABS(淡江大學_p6_1!Q67),0)</f>
        <v>0</v>
      </c>
      <c r="R74" s="29" t="n">
        <f aca="false">ROUND(ABS(淡江大學_p6_1!R67),0)</f>
        <v>0</v>
      </c>
      <c r="S74" s="29" t="n">
        <f aca="false">ROUND(ABS(淡江大學_p6_1!S67),0)</f>
        <v>0</v>
      </c>
      <c r="T74" s="29" t="n">
        <f aca="false">ROUND(ABS(淡江大學_p6_1!T67),0)</f>
        <v>0</v>
      </c>
      <c r="U74" s="29" t="n">
        <f aca="false">ROUND(ABS(淡江大學_p6_1!U67),0)</f>
        <v>0</v>
      </c>
      <c r="V74" s="29" t="n">
        <f aca="false">ROUND(ABS(淡江大學_p6_1!V67),0)</f>
        <v>0</v>
      </c>
      <c r="W74" s="29" t="n">
        <f aca="false">ROUND(ABS(淡江大學_p6_1!W67),0)</f>
        <v>0</v>
      </c>
      <c r="X74" s="2"/>
    </row>
    <row r="75" customFormat="false" ht="18.75" hidden="false" customHeight="true" outlineLevel="0" collapsed="false">
      <c r="A75" s="2"/>
      <c r="B75" s="35"/>
      <c r="C75" s="47" t="s">
        <v>17</v>
      </c>
      <c r="D75" s="48" t="n">
        <f aca="false">SUM(D69:D74)</f>
        <v>0</v>
      </c>
      <c r="E75" s="48" t="n">
        <f aca="false">SUM(E69:E74)</f>
        <v>0</v>
      </c>
      <c r="F75" s="48" t="n">
        <f aca="false">SUM(F69:F74)</f>
        <v>0</v>
      </c>
      <c r="G75" s="48" t="n">
        <f aca="false">SUM(G69:G74)</f>
        <v>0</v>
      </c>
      <c r="H75" s="48" t="n">
        <f aca="false">SUM(H69:H74)</f>
        <v>0</v>
      </c>
      <c r="I75" s="48" t="n">
        <f aca="false">SUM(I69:I74)</f>
        <v>0</v>
      </c>
      <c r="J75" s="48" t="n">
        <f aca="false">SUM(J69:J74)</f>
        <v>0</v>
      </c>
      <c r="K75" s="48" t="n">
        <f aca="false">SUM(K69:K74)</f>
        <v>0</v>
      </c>
      <c r="L75" s="48" t="n">
        <f aca="false">SUM(L69:L74)</f>
        <v>0</v>
      </c>
      <c r="M75" s="48" t="n">
        <f aca="false">SUM(M69:M74)</f>
        <v>0</v>
      </c>
      <c r="N75" s="48" t="n">
        <f aca="false">SUM(N69:N74)</f>
        <v>0</v>
      </c>
      <c r="O75" s="48" t="n">
        <f aca="false">SUM(O69:O74)</f>
        <v>0</v>
      </c>
      <c r="P75" s="48" t="n">
        <f aca="false">SUM(P69:P74)</f>
        <v>0</v>
      </c>
      <c r="Q75" s="48" t="n">
        <f aca="false">SUM(Q69:Q74)</f>
        <v>0</v>
      </c>
      <c r="R75" s="48" t="n">
        <f aca="false">SUM(R69:R74)</f>
        <v>0</v>
      </c>
      <c r="S75" s="48" t="n">
        <f aca="false">SUM(S69:S74)</f>
        <v>0</v>
      </c>
      <c r="T75" s="48" t="n">
        <f aca="false">SUM(T69:T74)</f>
        <v>0</v>
      </c>
      <c r="U75" s="48" t="n">
        <f aca="false">SUM(U69:U74)</f>
        <v>0</v>
      </c>
      <c r="V75" s="48" t="n">
        <f aca="false">SUM(V69:V74)</f>
        <v>0</v>
      </c>
      <c r="W75" s="48" t="n">
        <f aca="false">SUM(W69:W74)</f>
        <v>0</v>
      </c>
      <c r="X75" s="2"/>
    </row>
    <row r="76" customFormat="false" ht="18.75" hidden="false" customHeight="true" outlineLevel="0" collapsed="false">
      <c r="A76" s="2"/>
      <c r="B76" s="49"/>
      <c r="C76" s="50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2"/>
    </row>
    <row r="77" customFormat="false" ht="18.75" hidden="false" customHeight="true" outlineLevel="0" collapsed="false">
      <c r="A77" s="2"/>
      <c r="B77" s="52" t="s">
        <v>18</v>
      </c>
      <c r="C77" s="2" t="n">
        <v>80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2"/>
    </row>
    <row r="78" customFormat="false" ht="18.75" hidden="false" customHeight="true" outlineLevel="0" collapsed="false">
      <c r="A78" s="2"/>
      <c r="B78" s="52" t="s">
        <v>19</v>
      </c>
      <c r="C78" s="38" t="n">
        <v>15</v>
      </c>
      <c r="D78" s="54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2"/>
    </row>
    <row r="79" customFormat="false" ht="18.75" hidden="false" customHeight="true" outlineLevel="0" collapsed="false">
      <c r="A79" s="2"/>
      <c r="B79" s="56" t="s">
        <v>20</v>
      </c>
      <c r="C79" s="57" t="n">
        <v>90</v>
      </c>
      <c r="D79" s="56"/>
      <c r="E79" s="56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2"/>
    </row>
    <row r="80" customFormat="false" ht="18.75" hidden="false" customHeight="true" outlineLevel="0" collapsed="false">
      <c r="A80" s="2"/>
      <c r="B80" s="58" t="s">
        <v>21</v>
      </c>
      <c r="C80" s="56" t="n">
        <v>4</v>
      </c>
      <c r="D80" s="56"/>
      <c r="E80" s="56"/>
      <c r="F80" s="58"/>
      <c r="G80" s="58"/>
      <c r="H80" s="58"/>
      <c r="I80" s="58"/>
      <c r="J80" s="58"/>
      <c r="K80" s="58"/>
      <c r="L80" s="58"/>
      <c r="M80" s="56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2"/>
    </row>
    <row r="81" customFormat="false" ht="18.75" hidden="false" customHeight="true" outlineLevel="0" collapsed="false">
      <c r="A81" s="2"/>
      <c r="B81" s="20" t="s">
        <v>22</v>
      </c>
      <c r="C81" s="59" t="n">
        <v>3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2"/>
    </row>
    <row r="82" customFormat="false" ht="18.75" hidden="false" customHeight="true" outlineLevel="0" collapsed="false">
      <c r="A82" s="2"/>
      <c r="B82" s="60"/>
      <c r="C82" s="61" t="s">
        <v>0</v>
      </c>
      <c r="D82" s="61" t="n">
        <v>2020</v>
      </c>
      <c r="E82" s="61" t="n">
        <v>2021</v>
      </c>
      <c r="F82" s="61" t="n">
        <v>2022</v>
      </c>
      <c r="G82" s="61" t="n">
        <v>2023</v>
      </c>
      <c r="H82" s="61" t="n">
        <v>2024</v>
      </c>
      <c r="I82" s="61" t="n">
        <v>2025</v>
      </c>
      <c r="J82" s="61" t="n">
        <v>2026</v>
      </c>
      <c r="K82" s="61" t="n">
        <v>2027</v>
      </c>
      <c r="L82" s="61" t="n">
        <v>2028</v>
      </c>
      <c r="M82" s="61" t="n">
        <v>2029</v>
      </c>
      <c r="N82" s="61" t="n">
        <v>2030</v>
      </c>
      <c r="O82" s="61" t="n">
        <v>2031</v>
      </c>
      <c r="P82" s="61" t="n">
        <v>2032</v>
      </c>
      <c r="Q82" s="61" t="n">
        <v>2033</v>
      </c>
      <c r="R82" s="61" t="n">
        <v>2034</v>
      </c>
      <c r="S82" s="61" t="n">
        <v>2035</v>
      </c>
      <c r="T82" s="61" t="n">
        <v>2036</v>
      </c>
      <c r="U82" s="61" t="n">
        <v>2037</v>
      </c>
      <c r="V82" s="61" t="n">
        <v>2038</v>
      </c>
      <c r="W82" s="61" t="n">
        <v>2039</v>
      </c>
      <c r="X82" s="2"/>
    </row>
    <row r="83" customFormat="false" ht="18.75" hidden="false" customHeight="true" outlineLevel="0" collapsed="false">
      <c r="A83" s="2"/>
      <c r="B83" s="62" t="n">
        <v>0</v>
      </c>
      <c r="C83" s="63"/>
      <c r="D83" s="64"/>
      <c r="E83" s="64"/>
      <c r="F83" s="65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7"/>
      <c r="U83" s="66"/>
      <c r="V83" s="66"/>
      <c r="W83" s="66"/>
      <c r="X83" s="2"/>
    </row>
    <row r="84" customFormat="false" ht="18.75" hidden="false" customHeight="true" outlineLevel="0" collapsed="false">
      <c r="A84" s="2"/>
      <c r="B84" s="68" t="s">
        <v>23</v>
      </c>
      <c r="C84" s="69" t="n">
        <v>0</v>
      </c>
      <c r="D84" s="70" t="n">
        <v>1</v>
      </c>
      <c r="E84" s="70" t="n">
        <v>2</v>
      </c>
      <c r="F84" s="70" t="n">
        <v>3</v>
      </c>
      <c r="G84" s="70" t="n">
        <v>4</v>
      </c>
      <c r="H84" s="70" t="n">
        <v>5</v>
      </c>
      <c r="I84" s="70" t="n">
        <v>6</v>
      </c>
      <c r="J84" s="70" t="n">
        <v>7</v>
      </c>
      <c r="K84" s="70" t="n">
        <v>8</v>
      </c>
      <c r="L84" s="70" t="n">
        <v>9</v>
      </c>
      <c r="M84" s="70" t="n">
        <v>10</v>
      </c>
      <c r="N84" s="70" t="n">
        <v>11</v>
      </c>
      <c r="O84" s="70" t="n">
        <v>12</v>
      </c>
      <c r="P84" s="70" t="n">
        <v>13</v>
      </c>
      <c r="Q84" s="70" t="n">
        <v>14</v>
      </c>
      <c r="R84" s="70" t="n">
        <v>15</v>
      </c>
      <c r="S84" s="70" t="n">
        <v>16</v>
      </c>
      <c r="T84" s="71" t="n">
        <v>17</v>
      </c>
      <c r="U84" s="70" t="n">
        <v>18</v>
      </c>
      <c r="V84" s="70" t="n">
        <v>19</v>
      </c>
      <c r="W84" s="70" t="n">
        <v>20</v>
      </c>
      <c r="X84" s="2"/>
    </row>
    <row r="85" customFormat="false" ht="18.75" hidden="false" customHeight="true" outlineLevel="0" collapsed="false">
      <c r="A85" s="2"/>
      <c r="B85" s="72" t="s">
        <v>24</v>
      </c>
      <c r="C85" s="73" t="n">
        <v>0</v>
      </c>
      <c r="D85" s="74" t="n">
        <f aca="false">D12</f>
        <v>0</v>
      </c>
      <c r="E85" s="74" t="n">
        <f aca="false">E12</f>
        <v>0</v>
      </c>
      <c r="F85" s="74" t="n">
        <f aca="false">F12</f>
        <v>0</v>
      </c>
      <c r="G85" s="74" t="n">
        <f aca="false">G12</f>
        <v>0</v>
      </c>
      <c r="H85" s="74" t="n">
        <f aca="false">H12</f>
        <v>0</v>
      </c>
      <c r="I85" s="74" t="n">
        <f aca="false">I12</f>
        <v>0</v>
      </c>
      <c r="J85" s="74" t="n">
        <f aca="false">J12</f>
        <v>0</v>
      </c>
      <c r="K85" s="74" t="n">
        <f aca="false">K12</f>
        <v>0</v>
      </c>
      <c r="L85" s="74" t="n">
        <f aca="false">L12</f>
        <v>0</v>
      </c>
      <c r="M85" s="74" t="n">
        <f aca="false">M12</f>
        <v>0</v>
      </c>
      <c r="N85" s="74" t="n">
        <f aca="false">N12</f>
        <v>0</v>
      </c>
      <c r="O85" s="74" t="n">
        <f aca="false">O12</f>
        <v>0</v>
      </c>
      <c r="P85" s="74" t="n">
        <f aca="false">P12</f>
        <v>0</v>
      </c>
      <c r="Q85" s="74" t="n">
        <f aca="false">Q12</f>
        <v>0</v>
      </c>
      <c r="R85" s="74" t="n">
        <f aca="false">R12</f>
        <v>0</v>
      </c>
      <c r="S85" s="74" t="n">
        <f aca="false">S12</f>
        <v>0</v>
      </c>
      <c r="T85" s="74" t="n">
        <f aca="false">T12</f>
        <v>0</v>
      </c>
      <c r="U85" s="74" t="n">
        <f aca="false">U12</f>
        <v>0</v>
      </c>
      <c r="V85" s="74" t="n">
        <f aca="false">V12</f>
        <v>0</v>
      </c>
      <c r="W85" s="74" t="n">
        <f aca="false">W12</f>
        <v>0</v>
      </c>
      <c r="X85" s="2"/>
    </row>
    <row r="86" customFormat="false" ht="18.75" hidden="false" customHeight="true" outlineLevel="0" collapsed="false">
      <c r="A86" s="2"/>
      <c r="B86" s="75" t="s">
        <v>25</v>
      </c>
      <c r="C86" s="76" t="s">
        <v>26</v>
      </c>
      <c r="D86" s="77" t="n">
        <f aca="false">D21</f>
        <v>0</v>
      </c>
      <c r="E86" s="77" t="n">
        <f aca="false">E21</f>
        <v>0</v>
      </c>
      <c r="F86" s="77" t="n">
        <f aca="false">F21</f>
        <v>0</v>
      </c>
      <c r="G86" s="77" t="n">
        <f aca="false">G21</f>
        <v>0</v>
      </c>
      <c r="H86" s="77" t="n">
        <f aca="false">H21</f>
        <v>0</v>
      </c>
      <c r="I86" s="77" t="n">
        <f aca="false">I21</f>
        <v>0</v>
      </c>
      <c r="J86" s="77" t="n">
        <f aca="false">J21</f>
        <v>0</v>
      </c>
      <c r="K86" s="77" t="n">
        <f aca="false">K21</f>
        <v>0</v>
      </c>
      <c r="L86" s="77" t="n">
        <f aca="false">L21</f>
        <v>0</v>
      </c>
      <c r="M86" s="77" t="n">
        <f aca="false">M21</f>
        <v>0</v>
      </c>
      <c r="N86" s="77" t="n">
        <f aca="false">N21</f>
        <v>0</v>
      </c>
      <c r="O86" s="77" t="n">
        <f aca="false">O21</f>
        <v>0</v>
      </c>
      <c r="P86" s="77" t="n">
        <f aca="false">P21</f>
        <v>0</v>
      </c>
      <c r="Q86" s="77" t="n">
        <f aca="false">Q21</f>
        <v>0</v>
      </c>
      <c r="R86" s="77" t="n">
        <f aca="false">R21</f>
        <v>0</v>
      </c>
      <c r="S86" s="77" t="n">
        <f aca="false">S21</f>
        <v>0</v>
      </c>
      <c r="T86" s="77" t="n">
        <f aca="false">T21</f>
        <v>0</v>
      </c>
      <c r="U86" s="77" t="n">
        <f aca="false">U21</f>
        <v>0</v>
      </c>
      <c r="V86" s="77" t="n">
        <f aca="false">V21</f>
        <v>0</v>
      </c>
      <c r="W86" s="77" t="n">
        <f aca="false">W21</f>
        <v>0</v>
      </c>
      <c r="X86" s="2"/>
    </row>
    <row r="87" customFormat="false" ht="18.75" hidden="false" customHeight="true" outlineLevel="0" collapsed="false">
      <c r="A87" s="2"/>
      <c r="B87" s="78" t="s">
        <v>27</v>
      </c>
      <c r="C87" s="79" t="s">
        <v>26</v>
      </c>
      <c r="D87" s="80"/>
      <c r="E87" s="80"/>
      <c r="F87" s="80"/>
      <c r="G87" s="81" t="s">
        <v>26</v>
      </c>
      <c r="H87" s="81" t="s">
        <v>26</v>
      </c>
      <c r="I87" s="81" t="s">
        <v>26</v>
      </c>
      <c r="J87" s="81" t="s">
        <v>26</v>
      </c>
      <c r="K87" s="81" t="s">
        <v>26</v>
      </c>
      <c r="L87" s="81" t="s">
        <v>26</v>
      </c>
      <c r="M87" s="81" t="s">
        <v>26</v>
      </c>
      <c r="N87" s="81" t="s">
        <v>26</v>
      </c>
      <c r="O87" s="81" t="s">
        <v>26</v>
      </c>
      <c r="P87" s="81" t="s">
        <v>26</v>
      </c>
      <c r="Q87" s="81" t="s">
        <v>26</v>
      </c>
      <c r="R87" s="81" t="s">
        <v>26</v>
      </c>
      <c r="S87" s="81" t="s">
        <v>26</v>
      </c>
      <c r="T87" s="81" t="s">
        <v>26</v>
      </c>
      <c r="U87" s="81" t="s">
        <v>26</v>
      </c>
      <c r="V87" s="81" t="s">
        <v>26</v>
      </c>
      <c r="W87" s="81" t="s">
        <v>26</v>
      </c>
      <c r="X87" s="2"/>
    </row>
    <row r="88" customFormat="false" ht="18.75" hidden="false" customHeight="true" outlineLevel="0" collapsed="false">
      <c r="A88" s="2"/>
      <c r="B88" s="82" t="s">
        <v>28</v>
      </c>
      <c r="C88" s="83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2"/>
    </row>
    <row r="89" customFormat="false" ht="18.75" hidden="false" customHeight="true" outlineLevel="0" collapsed="false">
      <c r="A89" s="2"/>
      <c r="B89" s="85" t="s">
        <v>29</v>
      </c>
      <c r="C89" s="86" t="n">
        <f aca="false">-SUM(D75:W75)</f>
        <v>-0</v>
      </c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2"/>
    </row>
    <row r="90" customFormat="false" ht="18.75" hidden="false" customHeight="true" outlineLevel="0" collapsed="false">
      <c r="A90" s="2"/>
      <c r="B90" s="85" t="s">
        <v>30</v>
      </c>
      <c r="C90" s="79" t="s">
        <v>26</v>
      </c>
      <c r="D90" s="87" t="n">
        <f aca="false">-D30</f>
        <v>-1741206</v>
      </c>
      <c r="E90" s="87" t="n">
        <f aca="false">-E30</f>
        <v>-1741206</v>
      </c>
      <c r="F90" s="87" t="n">
        <f aca="false">-F30</f>
        <v>-1741206</v>
      </c>
      <c r="G90" s="87" t="n">
        <f aca="false">-G30</f>
        <v>-1741206</v>
      </c>
      <c r="H90" s="87" t="n">
        <f aca="false">-H30</f>
        <v>-1741206</v>
      </c>
      <c r="I90" s="87" t="n">
        <f aca="false">-I30</f>
        <v>-1741206</v>
      </c>
      <c r="J90" s="87" t="n">
        <f aca="false">-J30</f>
        <v>-1741206</v>
      </c>
      <c r="K90" s="87" t="n">
        <f aca="false">-K30</f>
        <v>-1741206</v>
      </c>
      <c r="L90" s="87" t="n">
        <f aca="false">-L30</f>
        <v>-1741206</v>
      </c>
      <c r="M90" s="87" t="n">
        <f aca="false">-M30</f>
        <v>-1741206</v>
      </c>
      <c r="N90" s="87" t="n">
        <f aca="false">-N30</f>
        <v>-1741206</v>
      </c>
      <c r="O90" s="87" t="n">
        <f aca="false">-O30</f>
        <v>-1741206</v>
      </c>
      <c r="P90" s="87" t="n">
        <f aca="false">-P30</f>
        <v>-1741206</v>
      </c>
      <c r="Q90" s="87" t="n">
        <f aca="false">-Q30</f>
        <v>-1741206</v>
      </c>
      <c r="R90" s="87" t="n">
        <f aca="false">-R30</f>
        <v>-1741206</v>
      </c>
      <c r="S90" s="87" t="n">
        <f aca="false">-S30</f>
        <v>-1741206</v>
      </c>
      <c r="T90" s="87" t="n">
        <f aca="false">-T30</f>
        <v>-1741206</v>
      </c>
      <c r="U90" s="87" t="n">
        <f aca="false">-U30</f>
        <v>-1741206</v>
      </c>
      <c r="V90" s="87" t="n">
        <f aca="false">-V30</f>
        <v>-1741206</v>
      </c>
      <c r="W90" s="87" t="n">
        <f aca="false">-W30</f>
        <v>-1741206</v>
      </c>
      <c r="X90" s="2"/>
    </row>
    <row r="91" customFormat="false" ht="18.75" hidden="false" customHeight="true" outlineLevel="0" collapsed="false">
      <c r="A91" s="2"/>
      <c r="B91" s="85" t="s">
        <v>31</v>
      </c>
      <c r="C91" s="79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2"/>
    </row>
    <row r="92" customFormat="false" ht="18.75" hidden="false" customHeight="true" outlineLevel="0" collapsed="false">
      <c r="A92" s="2"/>
      <c r="B92" s="85" t="s">
        <v>32</v>
      </c>
      <c r="C92" s="79" t="s">
        <v>26</v>
      </c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2"/>
    </row>
    <row r="93" customFormat="false" ht="18.75" hidden="false" customHeight="true" outlineLevel="0" collapsed="false">
      <c r="A93" s="2"/>
      <c r="B93" s="85" t="s">
        <v>33</v>
      </c>
      <c r="C93" s="79" t="s">
        <v>26</v>
      </c>
      <c r="D93" s="87" t="n">
        <f aca="false">-D39</f>
        <v>-1046640</v>
      </c>
      <c r="E93" s="87" t="n">
        <f aca="false">-E39</f>
        <v>-1046640</v>
      </c>
      <c r="F93" s="87" t="n">
        <f aca="false">-F39</f>
        <v>-1046640</v>
      </c>
      <c r="G93" s="87" t="n">
        <f aca="false">-G39</f>
        <v>-1046640</v>
      </c>
      <c r="H93" s="87" t="n">
        <f aca="false">-H39</f>
        <v>-1046640</v>
      </c>
      <c r="I93" s="87" t="n">
        <f aca="false">-I39</f>
        <v>-1046640</v>
      </c>
      <c r="J93" s="87" t="n">
        <f aca="false">-J39</f>
        <v>-1046640</v>
      </c>
      <c r="K93" s="87" t="n">
        <f aca="false">-K39</f>
        <v>-1046640</v>
      </c>
      <c r="L93" s="87" t="n">
        <f aca="false">-L39</f>
        <v>-1046640</v>
      </c>
      <c r="M93" s="87" t="n">
        <f aca="false">-M39</f>
        <v>-1046640</v>
      </c>
      <c r="N93" s="87" t="n">
        <f aca="false">-N39</f>
        <v>-1046640</v>
      </c>
      <c r="O93" s="87" t="n">
        <f aca="false">-O39</f>
        <v>-1046640</v>
      </c>
      <c r="P93" s="87" t="n">
        <f aca="false">-P39</f>
        <v>-1046640</v>
      </c>
      <c r="Q93" s="87" t="n">
        <f aca="false">-Q39</f>
        <v>-1046640</v>
      </c>
      <c r="R93" s="87" t="n">
        <f aca="false">-R39</f>
        <v>-1046640</v>
      </c>
      <c r="S93" s="87" t="n">
        <f aca="false">-S39</f>
        <v>-1046640</v>
      </c>
      <c r="T93" s="87" t="n">
        <f aca="false">-T39</f>
        <v>-1046640</v>
      </c>
      <c r="U93" s="87" t="n">
        <f aca="false">-U39</f>
        <v>-1046640</v>
      </c>
      <c r="V93" s="87" t="n">
        <f aca="false">-V39</f>
        <v>-1046640</v>
      </c>
      <c r="W93" s="87" t="n">
        <f aca="false">-W39</f>
        <v>-1046640</v>
      </c>
      <c r="X93" s="2"/>
    </row>
    <row r="94" customFormat="false" ht="18.75" hidden="false" customHeight="true" outlineLevel="0" collapsed="false">
      <c r="A94" s="2"/>
      <c r="B94" s="85" t="s">
        <v>34</v>
      </c>
      <c r="C94" s="79" t="s">
        <v>26</v>
      </c>
      <c r="D94" s="87" t="n">
        <f aca="false">-D48</f>
        <v>-219796</v>
      </c>
      <c r="E94" s="87" t="n">
        <f aca="false">-E48</f>
        <v>-219796</v>
      </c>
      <c r="F94" s="87" t="n">
        <f aca="false">-F48</f>
        <v>-219796</v>
      </c>
      <c r="G94" s="87" t="n">
        <f aca="false">-G48</f>
        <v>-219796</v>
      </c>
      <c r="H94" s="87" t="n">
        <f aca="false">-H48</f>
        <v>-219796</v>
      </c>
      <c r="I94" s="87" t="n">
        <f aca="false">-I48</f>
        <v>-219796</v>
      </c>
      <c r="J94" s="87" t="n">
        <f aca="false">-J48</f>
        <v>-219796</v>
      </c>
      <c r="K94" s="87" t="n">
        <f aca="false">-K48</f>
        <v>-219796</v>
      </c>
      <c r="L94" s="87" t="n">
        <f aca="false">-L48</f>
        <v>-219796</v>
      </c>
      <c r="M94" s="87" t="n">
        <f aca="false">-M48</f>
        <v>-219796</v>
      </c>
      <c r="N94" s="87" t="n">
        <f aca="false">-N48</f>
        <v>-219796</v>
      </c>
      <c r="O94" s="87" t="n">
        <f aca="false">-O48</f>
        <v>-219796</v>
      </c>
      <c r="P94" s="87" t="n">
        <f aca="false">-P48</f>
        <v>-219796</v>
      </c>
      <c r="Q94" s="87" t="n">
        <f aca="false">-Q48</f>
        <v>-219796</v>
      </c>
      <c r="R94" s="87" t="n">
        <f aca="false">-R48</f>
        <v>-219796</v>
      </c>
      <c r="S94" s="87" t="n">
        <f aca="false">-S48</f>
        <v>-219796</v>
      </c>
      <c r="T94" s="87" t="n">
        <f aca="false">-T48</f>
        <v>-219796</v>
      </c>
      <c r="U94" s="87" t="n">
        <f aca="false">-U48</f>
        <v>-219796</v>
      </c>
      <c r="V94" s="87" t="n">
        <f aca="false">-V48</f>
        <v>-219796</v>
      </c>
      <c r="W94" s="87" t="n">
        <f aca="false">-W48</f>
        <v>-219796</v>
      </c>
      <c r="X94" s="2"/>
    </row>
    <row r="95" customFormat="false" ht="18.75" hidden="false" customHeight="true" outlineLevel="0" collapsed="false">
      <c r="A95" s="2"/>
      <c r="B95" s="85" t="s">
        <v>35</v>
      </c>
      <c r="C95" s="79"/>
      <c r="D95" s="87" t="n">
        <f aca="false">-D57</f>
        <v>-261660</v>
      </c>
      <c r="E95" s="87" t="n">
        <f aca="false">-E57</f>
        <v>-261660</v>
      </c>
      <c r="F95" s="87" t="n">
        <f aca="false">-F57</f>
        <v>-261660</v>
      </c>
      <c r="G95" s="87" t="n">
        <f aca="false">-G57</f>
        <v>-261660</v>
      </c>
      <c r="H95" s="87" t="n">
        <f aca="false">-H57</f>
        <v>-261660</v>
      </c>
      <c r="I95" s="87" t="n">
        <f aca="false">-I57</f>
        <v>-261660</v>
      </c>
      <c r="J95" s="87" t="n">
        <f aca="false">-J57</f>
        <v>-261660</v>
      </c>
      <c r="K95" s="87" t="n">
        <f aca="false">-K57</f>
        <v>-261660</v>
      </c>
      <c r="L95" s="87" t="n">
        <f aca="false">-L57</f>
        <v>-261660</v>
      </c>
      <c r="M95" s="87" t="n">
        <f aca="false">-M57</f>
        <v>-261660</v>
      </c>
      <c r="N95" s="87" t="n">
        <f aca="false">-N57</f>
        <v>-0</v>
      </c>
      <c r="O95" s="87" t="n">
        <f aca="false">-O57</f>
        <v>-0</v>
      </c>
      <c r="P95" s="87" t="n">
        <f aca="false">-P57</f>
        <v>-0</v>
      </c>
      <c r="Q95" s="87" t="n">
        <f aca="false">-Q57</f>
        <v>-0</v>
      </c>
      <c r="R95" s="87" t="n">
        <f aca="false">-R57</f>
        <v>-0</v>
      </c>
      <c r="S95" s="87" t="n">
        <f aca="false">-S57</f>
        <v>-0</v>
      </c>
      <c r="T95" s="87" t="n">
        <f aca="false">-T57</f>
        <v>-0</v>
      </c>
      <c r="U95" s="87" t="n">
        <f aca="false">-U57</f>
        <v>-0</v>
      </c>
      <c r="V95" s="87" t="n">
        <f aca="false">-V57</f>
        <v>-0</v>
      </c>
      <c r="W95" s="87" t="n">
        <f aca="false">-W57</f>
        <v>-0</v>
      </c>
      <c r="X95" s="2"/>
    </row>
    <row r="96" customFormat="false" ht="18.75" hidden="false" customHeight="true" outlineLevel="0" collapsed="false">
      <c r="A96" s="2"/>
      <c r="B96" s="85" t="s">
        <v>36</v>
      </c>
      <c r="C96" s="88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2"/>
    </row>
    <row r="97" customFormat="false" ht="18.75" hidden="false" customHeight="true" outlineLevel="0" collapsed="false">
      <c r="A97" s="2"/>
      <c r="B97" s="85" t="s">
        <v>37</v>
      </c>
      <c r="C97" s="88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2"/>
    </row>
    <row r="98" customFormat="false" ht="18.75" hidden="false" customHeight="true" outlineLevel="0" collapsed="false">
      <c r="A98" s="2"/>
      <c r="B98" s="89" t="s">
        <v>38</v>
      </c>
      <c r="C98" s="88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2"/>
    </row>
    <row r="99" customFormat="false" ht="18.75" hidden="false" customHeight="true" outlineLevel="0" collapsed="false">
      <c r="A99" s="2"/>
      <c r="B99" s="89" t="s">
        <v>39</v>
      </c>
      <c r="C99" s="88"/>
      <c r="D99" s="87" t="n">
        <f aca="false">-D122</f>
        <v>653860.4</v>
      </c>
      <c r="E99" s="87" t="n">
        <f aca="false">-E122</f>
        <v>653860.4</v>
      </c>
      <c r="F99" s="87" t="n">
        <f aca="false">-F122</f>
        <v>653860.4</v>
      </c>
      <c r="G99" s="87" t="n">
        <f aca="false">-G122</f>
        <v>653860.4</v>
      </c>
      <c r="H99" s="87" t="n">
        <f aca="false">-H122</f>
        <v>653860.4</v>
      </c>
      <c r="I99" s="87" t="n">
        <f aca="false">-I122</f>
        <v>653860.4</v>
      </c>
      <c r="J99" s="87" t="n">
        <f aca="false">-J122</f>
        <v>653860.4</v>
      </c>
      <c r="K99" s="87" t="n">
        <f aca="false">-K122</f>
        <v>653860.4</v>
      </c>
      <c r="L99" s="87" t="n">
        <f aca="false">-L122</f>
        <v>653860.4</v>
      </c>
      <c r="M99" s="87" t="n">
        <f aca="false">-M122</f>
        <v>653860.4</v>
      </c>
      <c r="N99" s="87" t="n">
        <f aca="false">-N122</f>
        <v>601528.4</v>
      </c>
      <c r="O99" s="87" t="n">
        <f aca="false">-O122</f>
        <v>601528.4</v>
      </c>
      <c r="P99" s="87" t="n">
        <f aca="false">-P122</f>
        <v>601528.4</v>
      </c>
      <c r="Q99" s="87" t="n">
        <f aca="false">-Q122</f>
        <v>601528.4</v>
      </c>
      <c r="R99" s="87" t="n">
        <f aca="false">-R122</f>
        <v>601528.4</v>
      </c>
      <c r="S99" s="87" t="n">
        <f aca="false">-S122</f>
        <v>601528.4</v>
      </c>
      <c r="T99" s="87" t="n">
        <f aca="false">-T122</f>
        <v>601528.4</v>
      </c>
      <c r="U99" s="87" t="n">
        <f aca="false">-U122</f>
        <v>601528.4</v>
      </c>
      <c r="V99" s="87" t="n">
        <f aca="false">-V122</f>
        <v>601528.4</v>
      </c>
      <c r="W99" s="87" t="n">
        <f aca="false">-W122</f>
        <v>601528.4</v>
      </c>
      <c r="X99" s="2"/>
    </row>
    <row r="100" customFormat="false" ht="18.75" hidden="false" customHeight="true" outlineLevel="0" collapsed="false">
      <c r="A100" s="2"/>
      <c r="B100" s="90" t="s">
        <v>40</v>
      </c>
      <c r="C100" s="91" t="n">
        <f aca="false">C89</f>
        <v>-0</v>
      </c>
      <c r="D100" s="92" t="n">
        <f aca="false">SUM(D86:D99)</f>
        <v>-2615441.6</v>
      </c>
      <c r="E100" s="92" t="n">
        <f aca="false">SUM(E86:E99)</f>
        <v>-2615441.6</v>
      </c>
      <c r="F100" s="92" t="n">
        <f aca="false">SUM(F86:F99)</f>
        <v>-2615441.6</v>
      </c>
      <c r="G100" s="92" t="n">
        <f aca="false">SUM(G86:G99)</f>
        <v>-2615441.6</v>
      </c>
      <c r="H100" s="92" t="n">
        <f aca="false">SUM(H86:H99)</f>
        <v>-2615441.6</v>
      </c>
      <c r="I100" s="92" t="n">
        <f aca="false">SUM(I86:I99)</f>
        <v>-2615441.6</v>
      </c>
      <c r="J100" s="92" t="n">
        <f aca="false">SUM(J86:J99)</f>
        <v>-2615441.6</v>
      </c>
      <c r="K100" s="92" t="n">
        <f aca="false">SUM(K86:K99)</f>
        <v>-2615441.6</v>
      </c>
      <c r="L100" s="92" t="n">
        <f aca="false">SUM(L86:L99)</f>
        <v>-2615441.6</v>
      </c>
      <c r="M100" s="92" t="n">
        <f aca="false">SUM(M86:M99)</f>
        <v>-2615441.6</v>
      </c>
      <c r="N100" s="92" t="n">
        <f aca="false">SUM(N86:N99)</f>
        <v>-2406113.6</v>
      </c>
      <c r="O100" s="92" t="n">
        <f aca="false">SUM(O86:O99)</f>
        <v>-2406113.6</v>
      </c>
      <c r="P100" s="92" t="n">
        <f aca="false">SUM(P86:P99)</f>
        <v>-2406113.6</v>
      </c>
      <c r="Q100" s="92" t="n">
        <f aca="false">SUM(Q86:Q99)</f>
        <v>-2406113.6</v>
      </c>
      <c r="R100" s="92" t="n">
        <f aca="false">SUM(R86:R99)</f>
        <v>-2406113.6</v>
      </c>
      <c r="S100" s="92" t="n">
        <f aca="false">SUM(S86:S99)</f>
        <v>-2406113.6</v>
      </c>
      <c r="T100" s="92" t="n">
        <f aca="false">SUM(T86:T99)</f>
        <v>-2406113.6</v>
      </c>
      <c r="U100" s="92" t="n">
        <f aca="false">SUM(U86:U99)</f>
        <v>-2406113.6</v>
      </c>
      <c r="V100" s="92" t="n">
        <f aca="false">SUM(V86:V99)</f>
        <v>-2406113.6</v>
      </c>
      <c r="W100" s="92" t="n">
        <f aca="false">SUM(W86:W99)</f>
        <v>-2406113.6</v>
      </c>
      <c r="X100" s="2"/>
    </row>
    <row r="101" customFormat="false" ht="18.75" hidden="false" customHeight="true" outlineLevel="0" collapsed="false">
      <c r="A101" s="2"/>
      <c r="B101" s="93" t="s">
        <v>41</v>
      </c>
      <c r="C101" s="94"/>
      <c r="D101" s="95" t="n">
        <f aca="false">C55+D55</f>
        <v>43610</v>
      </c>
      <c r="E101" s="95" t="n">
        <f aca="false">D56+E55</f>
        <v>87220</v>
      </c>
      <c r="F101" s="95" t="n">
        <f aca="false">E56+F55</f>
        <v>87220</v>
      </c>
      <c r="G101" s="95" t="n">
        <f aca="false">F56+G55</f>
        <v>87220</v>
      </c>
      <c r="H101" s="95" t="n">
        <f aca="false">G56+H55</f>
        <v>87220</v>
      </c>
      <c r="I101" s="95" t="n">
        <f aca="false">H56+I55</f>
        <v>87220</v>
      </c>
      <c r="J101" s="95" t="n">
        <f aca="false">I56+J55</f>
        <v>87220</v>
      </c>
      <c r="K101" s="95" t="n">
        <f aca="false">J56+K55</f>
        <v>87220</v>
      </c>
      <c r="L101" s="95" t="n">
        <f aca="false">K56+L55</f>
        <v>87220</v>
      </c>
      <c r="M101" s="95" t="n">
        <f aca="false">L56+M55</f>
        <v>87220</v>
      </c>
      <c r="N101" s="95" t="n">
        <f aca="false">M56+N55</f>
        <v>43610</v>
      </c>
      <c r="O101" s="95" t="n">
        <f aca="false">N56+O55</f>
        <v>0</v>
      </c>
      <c r="P101" s="95" t="n">
        <f aca="false">O56+P55</f>
        <v>0</v>
      </c>
      <c r="Q101" s="95" t="n">
        <f aca="false">P56+Q55</f>
        <v>0</v>
      </c>
      <c r="R101" s="95" t="n">
        <f aca="false">Q56+R55</f>
        <v>0</v>
      </c>
      <c r="S101" s="95" t="n">
        <f aca="false">R56+S55</f>
        <v>0</v>
      </c>
      <c r="T101" s="95" t="n">
        <f aca="false">S56+T55</f>
        <v>0</v>
      </c>
      <c r="U101" s="95" t="n">
        <f aca="false">T56+U55</f>
        <v>0</v>
      </c>
      <c r="V101" s="95" t="n">
        <f aca="false">U56+V55</f>
        <v>0</v>
      </c>
      <c r="W101" s="95" t="n">
        <f aca="false">V56+W55</f>
        <v>0</v>
      </c>
      <c r="X101" s="2"/>
    </row>
    <row r="102" customFormat="false" ht="18.75" hidden="false" customHeight="true" outlineLevel="0" collapsed="false">
      <c r="A102" s="2"/>
      <c r="B102" s="96" t="s">
        <v>42</v>
      </c>
      <c r="C102" s="97"/>
      <c r="D102" s="98" t="str">
        <f aca="false">IF((D56)&gt;0,"回收","未回收")</f>
        <v>回收</v>
      </c>
      <c r="E102" s="99" t="str">
        <f aca="false">IF((E56)&gt;0,"回收","未回收")</f>
        <v>回收</v>
      </c>
      <c r="F102" s="99" t="str">
        <f aca="false">IF((F56)&gt;0,"回收","未回收")</f>
        <v>回收</v>
      </c>
      <c r="G102" s="99" t="str">
        <f aca="false">IF((G56)&gt;0,"回收","未回收")</f>
        <v>回收</v>
      </c>
      <c r="H102" s="99" t="str">
        <f aca="false">IF((H56)&gt;0,"回收","未回收")</f>
        <v>回收</v>
      </c>
      <c r="I102" s="99" t="str">
        <f aca="false">IF((I56)&gt;0,"回收","未回收")</f>
        <v>回收</v>
      </c>
      <c r="J102" s="99" t="str">
        <f aca="false">IF((J56)&gt;0,"回收","未回收")</f>
        <v>回收</v>
      </c>
      <c r="K102" s="99" t="str">
        <f aca="false">IF((K56)&gt;0,"回收","未回收")</f>
        <v>回收</v>
      </c>
      <c r="L102" s="99" t="str">
        <f aca="false">IF((L56)&gt;0,"回收","未回收")</f>
        <v>回收</v>
      </c>
      <c r="M102" s="99" t="str">
        <f aca="false">IF((M56)&gt;0,"回收","未回收")</f>
        <v>回收</v>
      </c>
      <c r="N102" s="99" t="str">
        <f aca="false">IF((N56)&gt;0,"回收","未回收")</f>
        <v>未回收</v>
      </c>
      <c r="O102" s="99" t="str">
        <f aca="false">IF((O56)&gt;0,"回收","未回收")</f>
        <v>未回收</v>
      </c>
      <c r="P102" s="99" t="str">
        <f aca="false">IF((P56)&gt;0,"回收","未回收")</f>
        <v>未回收</v>
      </c>
      <c r="Q102" s="99" t="str">
        <f aca="false">IF((Q56)&gt;0,"回收","未回收")</f>
        <v>未回收</v>
      </c>
      <c r="R102" s="99" t="str">
        <f aca="false">IF((R56)&gt;0,"回收","未回收")</f>
        <v>未回收</v>
      </c>
      <c r="S102" s="99" t="str">
        <f aca="false">IF((S56)&gt;0,"回收","未回收")</f>
        <v>未回收</v>
      </c>
      <c r="T102" s="99" t="str">
        <f aca="false">IF((T56)&gt;0,"回收","未回收")</f>
        <v>未回收</v>
      </c>
      <c r="U102" s="99" t="str">
        <f aca="false">IF((U56)&gt;0,"回收","未回收")</f>
        <v>未回收</v>
      </c>
      <c r="V102" s="99" t="str">
        <f aca="false">IF((V56)&gt;0,"回收","未回收")</f>
        <v>未回收</v>
      </c>
      <c r="W102" s="99" t="str">
        <f aca="false">IF((W56)&gt;0,"回收","未回收")</f>
        <v>未回收</v>
      </c>
      <c r="X102" s="59"/>
    </row>
    <row r="103" customFormat="false" ht="18.75" hidden="false" customHeight="true" outlineLevel="0" collapsed="false">
      <c r="A103" s="2"/>
      <c r="B103" s="100" t="s">
        <v>43</v>
      </c>
      <c r="C103" s="101" t="e">
        <f aca="false">IRR(C100:W100)</f>
        <v>#N/A</v>
      </c>
      <c r="D103" s="102"/>
      <c r="E103" s="102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2"/>
    </row>
    <row r="104" customFormat="false" ht="18.75" hidden="false" customHeight="true" outlineLevel="0" collapsed="false">
      <c r="A104" s="2"/>
      <c r="B104" s="103"/>
      <c r="C104" s="102"/>
      <c r="D104" s="102"/>
      <c r="E104" s="102"/>
      <c r="F104" s="103"/>
      <c r="G104" s="103"/>
      <c r="H104" s="103"/>
      <c r="I104" s="103"/>
      <c r="J104" s="103"/>
      <c r="K104" s="103"/>
      <c r="L104" s="103"/>
      <c r="M104" s="102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4"/>
    </row>
    <row r="105" customFormat="false" ht="18.75" hidden="false" customHeight="true" outlineLevel="0" collapsed="false">
      <c r="A105" s="2"/>
      <c r="B105" s="60"/>
      <c r="C105" s="61" t="s">
        <v>0</v>
      </c>
      <c r="D105" s="61" t="n">
        <v>2020</v>
      </c>
      <c r="E105" s="61" t="n">
        <v>2021</v>
      </c>
      <c r="F105" s="61" t="n">
        <v>2022</v>
      </c>
      <c r="G105" s="61" t="n">
        <v>2023</v>
      </c>
      <c r="H105" s="61" t="n">
        <v>2024</v>
      </c>
      <c r="I105" s="61" t="n">
        <v>2025</v>
      </c>
      <c r="J105" s="61" t="n">
        <v>2026</v>
      </c>
      <c r="K105" s="61" t="n">
        <v>2027</v>
      </c>
      <c r="L105" s="61" t="n">
        <v>2028</v>
      </c>
      <c r="M105" s="61" t="n">
        <v>2029</v>
      </c>
      <c r="N105" s="61" t="n">
        <v>2030</v>
      </c>
      <c r="O105" s="61" t="n">
        <v>2031</v>
      </c>
      <c r="P105" s="61" t="n">
        <v>2032</v>
      </c>
      <c r="Q105" s="61" t="n">
        <v>2033</v>
      </c>
      <c r="R105" s="61" t="n">
        <v>2034</v>
      </c>
      <c r="S105" s="61" t="n">
        <v>2035</v>
      </c>
      <c r="T105" s="61" t="n">
        <v>2036</v>
      </c>
      <c r="U105" s="61" t="n">
        <v>2037</v>
      </c>
      <c r="V105" s="61" t="n">
        <v>2038</v>
      </c>
      <c r="W105" s="61" t="n">
        <v>2039</v>
      </c>
      <c r="X105" s="45"/>
    </row>
    <row r="106" customFormat="false" ht="18.75" hidden="false" customHeight="true" outlineLevel="0" collapsed="false">
      <c r="A106" s="2"/>
      <c r="B106" s="62" t="n">
        <v>0</v>
      </c>
      <c r="C106" s="63"/>
      <c r="D106" s="64"/>
      <c r="E106" s="64"/>
      <c r="F106" s="65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105" t="s">
        <v>44</v>
      </c>
      <c r="U106" s="66"/>
      <c r="V106" s="66"/>
      <c r="W106" s="66"/>
      <c r="X106" s="106"/>
    </row>
    <row r="107" customFormat="false" ht="18.75" hidden="false" customHeight="true" outlineLevel="0" collapsed="false">
      <c r="A107" s="2"/>
      <c r="B107" s="68" t="s">
        <v>23</v>
      </c>
      <c r="C107" s="69" t="n">
        <v>0</v>
      </c>
      <c r="D107" s="70" t="n">
        <v>1</v>
      </c>
      <c r="E107" s="70" t="n">
        <v>2</v>
      </c>
      <c r="F107" s="70" t="n">
        <v>3</v>
      </c>
      <c r="G107" s="70" t="n">
        <v>4</v>
      </c>
      <c r="H107" s="70" t="n">
        <v>5</v>
      </c>
      <c r="I107" s="70" t="n">
        <v>6</v>
      </c>
      <c r="J107" s="70" t="n">
        <v>7</v>
      </c>
      <c r="K107" s="70" t="n">
        <v>8</v>
      </c>
      <c r="L107" s="70" t="n">
        <v>9</v>
      </c>
      <c r="M107" s="70" t="n">
        <v>10</v>
      </c>
      <c r="N107" s="70" t="n">
        <v>11</v>
      </c>
      <c r="O107" s="70" t="n">
        <v>12</v>
      </c>
      <c r="P107" s="70" t="n">
        <v>13</v>
      </c>
      <c r="Q107" s="70" t="n">
        <v>14</v>
      </c>
      <c r="R107" s="70" t="n">
        <v>15</v>
      </c>
      <c r="S107" s="70" t="n">
        <v>16</v>
      </c>
      <c r="T107" s="107" t="n">
        <v>17</v>
      </c>
      <c r="U107" s="70" t="n">
        <v>18</v>
      </c>
      <c r="V107" s="70" t="n">
        <v>19</v>
      </c>
      <c r="W107" s="70" t="n">
        <v>20</v>
      </c>
      <c r="X107" s="108"/>
    </row>
    <row r="108" customFormat="false" ht="18.75" hidden="false" customHeight="true" outlineLevel="0" collapsed="false">
      <c r="A108" s="2"/>
      <c r="B108" s="72" t="s">
        <v>24</v>
      </c>
      <c r="C108" s="73" t="n">
        <v>0</v>
      </c>
      <c r="D108" s="74" t="n">
        <f aca="false">D12</f>
        <v>0</v>
      </c>
      <c r="E108" s="74" t="n">
        <f aca="false">E12</f>
        <v>0</v>
      </c>
      <c r="F108" s="74" t="n">
        <f aca="false">F12</f>
        <v>0</v>
      </c>
      <c r="G108" s="74" t="n">
        <f aca="false">G12</f>
        <v>0</v>
      </c>
      <c r="H108" s="74" t="n">
        <f aca="false">H12</f>
        <v>0</v>
      </c>
      <c r="I108" s="74" t="n">
        <f aca="false">I12</f>
        <v>0</v>
      </c>
      <c r="J108" s="74" t="n">
        <f aca="false">J12</f>
        <v>0</v>
      </c>
      <c r="K108" s="74" t="n">
        <f aca="false">K12</f>
        <v>0</v>
      </c>
      <c r="L108" s="74" t="n">
        <f aca="false">L12</f>
        <v>0</v>
      </c>
      <c r="M108" s="74" t="n">
        <f aca="false">M12</f>
        <v>0</v>
      </c>
      <c r="N108" s="74" t="n">
        <f aca="false">N12</f>
        <v>0</v>
      </c>
      <c r="O108" s="74" t="n">
        <f aca="false">O12</f>
        <v>0</v>
      </c>
      <c r="P108" s="74" t="n">
        <f aca="false">P12</f>
        <v>0</v>
      </c>
      <c r="Q108" s="74" t="n">
        <f aca="false">Q12</f>
        <v>0</v>
      </c>
      <c r="R108" s="74" t="n">
        <f aca="false">R12</f>
        <v>0</v>
      </c>
      <c r="S108" s="74" t="n">
        <f aca="false">S12</f>
        <v>0</v>
      </c>
      <c r="T108" s="74" t="n">
        <f aca="false">T12</f>
        <v>0</v>
      </c>
      <c r="U108" s="74" t="n">
        <f aca="false">U12</f>
        <v>0</v>
      </c>
      <c r="V108" s="74" t="n">
        <f aca="false">V12</f>
        <v>0</v>
      </c>
      <c r="W108" s="74" t="n">
        <f aca="false">W12</f>
        <v>0</v>
      </c>
      <c r="X108" s="109"/>
    </row>
    <row r="109" customFormat="false" ht="18.75" hidden="false" customHeight="true" outlineLevel="0" collapsed="false">
      <c r="A109" s="2"/>
      <c r="B109" s="75" t="s">
        <v>25</v>
      </c>
      <c r="C109" s="76" t="s">
        <v>26</v>
      </c>
      <c r="D109" s="77" t="n">
        <f aca="false">D21</f>
        <v>0</v>
      </c>
      <c r="E109" s="77" t="n">
        <f aca="false">E21</f>
        <v>0</v>
      </c>
      <c r="F109" s="77" t="n">
        <f aca="false">F21</f>
        <v>0</v>
      </c>
      <c r="G109" s="77" t="n">
        <f aca="false">G21</f>
        <v>0</v>
      </c>
      <c r="H109" s="77" t="n">
        <f aca="false">H21</f>
        <v>0</v>
      </c>
      <c r="I109" s="77" t="n">
        <f aca="false">I21</f>
        <v>0</v>
      </c>
      <c r="J109" s="77" t="n">
        <f aca="false">J21</f>
        <v>0</v>
      </c>
      <c r="K109" s="77" t="n">
        <f aca="false">K21</f>
        <v>0</v>
      </c>
      <c r="L109" s="77" t="n">
        <f aca="false">L21</f>
        <v>0</v>
      </c>
      <c r="M109" s="77" t="n">
        <f aca="false">M21</f>
        <v>0</v>
      </c>
      <c r="N109" s="77" t="n">
        <f aca="false">N21</f>
        <v>0</v>
      </c>
      <c r="O109" s="77" t="n">
        <f aca="false">O21</f>
        <v>0</v>
      </c>
      <c r="P109" s="77" t="n">
        <f aca="false">P21</f>
        <v>0</v>
      </c>
      <c r="Q109" s="77" t="n">
        <f aca="false">Q21</f>
        <v>0</v>
      </c>
      <c r="R109" s="77" t="n">
        <f aca="false">R21</f>
        <v>0</v>
      </c>
      <c r="S109" s="77" t="n">
        <f aca="false">S21</f>
        <v>0</v>
      </c>
      <c r="T109" s="77" t="n">
        <f aca="false">T21</f>
        <v>0</v>
      </c>
      <c r="U109" s="77" t="n">
        <f aca="false">U21</f>
        <v>0</v>
      </c>
      <c r="V109" s="77" t="n">
        <f aca="false">V21</f>
        <v>0</v>
      </c>
      <c r="W109" s="77" t="n">
        <f aca="false">W21</f>
        <v>0</v>
      </c>
      <c r="X109" s="110"/>
    </row>
    <row r="110" customFormat="false" ht="18.75" hidden="false" customHeight="true" outlineLevel="0" collapsed="false">
      <c r="A110" s="2"/>
      <c r="B110" s="78" t="s">
        <v>27</v>
      </c>
      <c r="C110" s="79" t="s">
        <v>26</v>
      </c>
      <c r="D110" s="81"/>
      <c r="E110" s="81"/>
      <c r="F110" s="81"/>
      <c r="G110" s="81" t="s">
        <v>26</v>
      </c>
      <c r="H110" s="81" t="s">
        <v>26</v>
      </c>
      <c r="I110" s="81" t="s">
        <v>26</v>
      </c>
      <c r="J110" s="81" t="s">
        <v>26</v>
      </c>
      <c r="K110" s="81" t="s">
        <v>26</v>
      </c>
      <c r="L110" s="81" t="s">
        <v>26</v>
      </c>
      <c r="M110" s="81" t="s">
        <v>26</v>
      </c>
      <c r="N110" s="81" t="s">
        <v>26</v>
      </c>
      <c r="O110" s="81" t="s">
        <v>26</v>
      </c>
      <c r="P110" s="81" t="s">
        <v>26</v>
      </c>
      <c r="Q110" s="81" t="s">
        <v>26</v>
      </c>
      <c r="R110" s="81" t="s">
        <v>26</v>
      </c>
      <c r="S110" s="81" t="s">
        <v>26</v>
      </c>
      <c r="T110" s="81" t="s">
        <v>26</v>
      </c>
      <c r="U110" s="81" t="s">
        <v>26</v>
      </c>
      <c r="V110" s="81" t="s">
        <v>26</v>
      </c>
      <c r="W110" s="81" t="s">
        <v>26</v>
      </c>
      <c r="X110" s="109"/>
    </row>
    <row r="111" customFormat="false" ht="18.75" hidden="false" customHeight="true" outlineLevel="0" collapsed="false">
      <c r="A111" s="2"/>
      <c r="B111" s="82" t="s">
        <v>28</v>
      </c>
      <c r="C111" s="83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109"/>
    </row>
    <row r="112" customFormat="false" ht="18.75" hidden="false" customHeight="true" outlineLevel="0" collapsed="false">
      <c r="A112" s="2"/>
      <c r="B112" s="85" t="s">
        <v>45</v>
      </c>
      <c r="C112" s="79"/>
      <c r="D112" s="111" t="n">
        <f aca="false">-D75</f>
        <v>-0</v>
      </c>
      <c r="E112" s="111" t="n">
        <f aca="false">-E75</f>
        <v>-0</v>
      </c>
      <c r="F112" s="111" t="n">
        <f aca="false">-F75</f>
        <v>-0</v>
      </c>
      <c r="G112" s="111" t="n">
        <f aca="false">-G75</f>
        <v>-0</v>
      </c>
      <c r="H112" s="111" t="n">
        <f aca="false">-H75</f>
        <v>-0</v>
      </c>
      <c r="I112" s="111" t="n">
        <f aca="false">-I75</f>
        <v>-0</v>
      </c>
      <c r="J112" s="111" t="n">
        <f aca="false">-J75</f>
        <v>-0</v>
      </c>
      <c r="K112" s="111" t="n">
        <f aca="false">-K75</f>
        <v>-0</v>
      </c>
      <c r="L112" s="111" t="n">
        <f aca="false">-L75</f>
        <v>-0</v>
      </c>
      <c r="M112" s="111" t="n">
        <f aca="false">-M75</f>
        <v>-0</v>
      </c>
      <c r="N112" s="111" t="n">
        <f aca="false">-N75</f>
        <v>-0</v>
      </c>
      <c r="O112" s="111" t="n">
        <f aca="false">-O75</f>
        <v>-0</v>
      </c>
      <c r="P112" s="111" t="n">
        <f aca="false">-P75</f>
        <v>-0</v>
      </c>
      <c r="Q112" s="111" t="n">
        <f aca="false">-Q75</f>
        <v>-0</v>
      </c>
      <c r="R112" s="111" t="n">
        <f aca="false">-R75</f>
        <v>-0</v>
      </c>
      <c r="S112" s="111" t="n">
        <f aca="false">-S75</f>
        <v>-0</v>
      </c>
      <c r="T112" s="111" t="n">
        <f aca="false">-T75</f>
        <v>-0</v>
      </c>
      <c r="U112" s="111" t="n">
        <f aca="false">-U75</f>
        <v>-0</v>
      </c>
      <c r="V112" s="111" t="n">
        <f aca="false">-V75</f>
        <v>-0</v>
      </c>
      <c r="W112" s="111" t="n">
        <f aca="false">-W75</f>
        <v>-0</v>
      </c>
      <c r="X112" s="110"/>
    </row>
    <row r="113" customFormat="false" ht="18.75" hidden="false" customHeight="true" outlineLevel="0" collapsed="false">
      <c r="A113" s="2"/>
      <c r="B113" s="85" t="s">
        <v>30</v>
      </c>
      <c r="C113" s="79" t="s">
        <v>26</v>
      </c>
      <c r="D113" s="87" t="n">
        <f aca="false">-D30</f>
        <v>-1741206</v>
      </c>
      <c r="E113" s="87" t="n">
        <f aca="false">-E30</f>
        <v>-1741206</v>
      </c>
      <c r="F113" s="87" t="n">
        <f aca="false">-F30</f>
        <v>-1741206</v>
      </c>
      <c r="G113" s="87" t="n">
        <f aca="false">-G30</f>
        <v>-1741206</v>
      </c>
      <c r="H113" s="87" t="n">
        <f aca="false">-H30</f>
        <v>-1741206</v>
      </c>
      <c r="I113" s="87" t="n">
        <f aca="false">-I30</f>
        <v>-1741206</v>
      </c>
      <c r="J113" s="87" t="n">
        <f aca="false">-J30</f>
        <v>-1741206</v>
      </c>
      <c r="K113" s="87" t="n">
        <f aca="false">-K30</f>
        <v>-1741206</v>
      </c>
      <c r="L113" s="87" t="n">
        <f aca="false">-L30</f>
        <v>-1741206</v>
      </c>
      <c r="M113" s="87" t="n">
        <f aca="false">-M30</f>
        <v>-1741206</v>
      </c>
      <c r="N113" s="87" t="n">
        <f aca="false">-N30</f>
        <v>-1741206</v>
      </c>
      <c r="O113" s="87" t="n">
        <f aca="false">-O30</f>
        <v>-1741206</v>
      </c>
      <c r="P113" s="87" t="n">
        <f aca="false">-P30</f>
        <v>-1741206</v>
      </c>
      <c r="Q113" s="87" t="n">
        <f aca="false">-Q30</f>
        <v>-1741206</v>
      </c>
      <c r="R113" s="87" t="n">
        <f aca="false">-R30</f>
        <v>-1741206</v>
      </c>
      <c r="S113" s="87" t="n">
        <f aca="false">-S30</f>
        <v>-1741206</v>
      </c>
      <c r="T113" s="87" t="n">
        <f aca="false">-T30</f>
        <v>-1741206</v>
      </c>
      <c r="U113" s="87" t="n">
        <f aca="false">-U30</f>
        <v>-1741206</v>
      </c>
      <c r="V113" s="87" t="n">
        <f aca="false">-V30</f>
        <v>-1741206</v>
      </c>
      <c r="W113" s="87" t="n">
        <f aca="false">-W30</f>
        <v>-1741206</v>
      </c>
      <c r="X113" s="112"/>
    </row>
    <row r="114" customFormat="false" ht="18.75" hidden="false" customHeight="true" outlineLevel="0" collapsed="false">
      <c r="A114" s="2"/>
      <c r="B114" s="85" t="s">
        <v>31</v>
      </c>
      <c r="C114" s="79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113"/>
    </row>
    <row r="115" customFormat="false" ht="18.75" hidden="false" customHeight="true" outlineLevel="0" collapsed="false">
      <c r="A115" s="2"/>
      <c r="B115" s="85" t="s">
        <v>32</v>
      </c>
      <c r="C115" s="79" t="s">
        <v>26</v>
      </c>
      <c r="D115" s="87" t="n">
        <f aca="false">-D153*C81/100</f>
        <v>-0</v>
      </c>
      <c r="E115" s="87" t="n">
        <f aca="false">-E153*C81/100</f>
        <v>-0</v>
      </c>
      <c r="F115" s="87" t="n">
        <f aca="false">-F153*C81/100</f>
        <v>-0</v>
      </c>
      <c r="G115" s="87" t="n">
        <f aca="false">-G153*C81/100</f>
        <v>-0</v>
      </c>
      <c r="H115" s="87" t="n">
        <f aca="false">-H153*C81/100</f>
        <v>-0</v>
      </c>
      <c r="I115" s="87" t="n">
        <f aca="false">-I153*C81/100</f>
        <v>-0</v>
      </c>
      <c r="J115" s="87" t="n">
        <f aca="false">-J153*C81/100</f>
        <v>-0</v>
      </c>
      <c r="K115" s="87" t="n">
        <f aca="false">-K153*C81/100</f>
        <v>-0</v>
      </c>
      <c r="L115" s="87" t="n">
        <f aca="false">-L153*C81/100</f>
        <v>-0</v>
      </c>
      <c r="M115" s="87" t="n">
        <f aca="false">-M153*C81/100</f>
        <v>-0</v>
      </c>
      <c r="N115" s="87" t="n">
        <f aca="false">-N153*C81/100</f>
        <v>-0</v>
      </c>
      <c r="O115" s="87" t="n">
        <f aca="false">-O153*C81/100</f>
        <v>-0</v>
      </c>
      <c r="P115" s="87" t="n">
        <f aca="false">-P153*C81/100</f>
        <v>-0</v>
      </c>
      <c r="Q115" s="87" t="n">
        <f aca="false">-Q153*C81/100</f>
        <v>-0</v>
      </c>
      <c r="R115" s="87" t="n">
        <f aca="false">-R153*C81/100</f>
        <v>-0</v>
      </c>
      <c r="S115" s="87" t="n">
        <f aca="false">-S153*C81/100</f>
        <v>-0</v>
      </c>
      <c r="T115" s="87" t="n">
        <f aca="false">-T153*C81/100</f>
        <v>-0</v>
      </c>
      <c r="U115" s="87" t="n">
        <f aca="false">-U153*C81/100</f>
        <v>-0</v>
      </c>
      <c r="V115" s="87" t="n">
        <f aca="false">-V153*C81/100</f>
        <v>-0</v>
      </c>
      <c r="W115" s="87" t="n">
        <f aca="false">-W153*C81/100</f>
        <v>-0</v>
      </c>
      <c r="X115" s="114"/>
    </row>
    <row r="116" customFormat="false" ht="18.75" hidden="false" customHeight="true" outlineLevel="0" collapsed="false">
      <c r="A116" s="2"/>
      <c r="B116" s="85" t="s">
        <v>33</v>
      </c>
      <c r="C116" s="79" t="s">
        <v>26</v>
      </c>
      <c r="D116" s="87" t="n">
        <f aca="false">-D39</f>
        <v>-1046640</v>
      </c>
      <c r="E116" s="87" t="n">
        <f aca="false">-E39</f>
        <v>-1046640</v>
      </c>
      <c r="F116" s="87" t="n">
        <f aca="false">-F39</f>
        <v>-1046640</v>
      </c>
      <c r="G116" s="87" t="n">
        <f aca="false">-G39</f>
        <v>-1046640</v>
      </c>
      <c r="H116" s="87" t="n">
        <f aca="false">-H39</f>
        <v>-1046640</v>
      </c>
      <c r="I116" s="87" t="n">
        <f aca="false">-I39</f>
        <v>-1046640</v>
      </c>
      <c r="J116" s="87" t="n">
        <f aca="false">-J39</f>
        <v>-1046640</v>
      </c>
      <c r="K116" s="87" t="n">
        <f aca="false">-K39</f>
        <v>-1046640</v>
      </c>
      <c r="L116" s="87" t="n">
        <f aca="false">-L39</f>
        <v>-1046640</v>
      </c>
      <c r="M116" s="87" t="n">
        <f aca="false">-M39</f>
        <v>-1046640</v>
      </c>
      <c r="N116" s="87" t="n">
        <f aca="false">-N39</f>
        <v>-1046640</v>
      </c>
      <c r="O116" s="87" t="n">
        <f aca="false">-O39</f>
        <v>-1046640</v>
      </c>
      <c r="P116" s="87" t="n">
        <f aca="false">-P39</f>
        <v>-1046640</v>
      </c>
      <c r="Q116" s="87" t="n">
        <f aca="false">-Q39</f>
        <v>-1046640</v>
      </c>
      <c r="R116" s="87" t="n">
        <f aca="false">-R39</f>
        <v>-1046640</v>
      </c>
      <c r="S116" s="87" t="n">
        <f aca="false">-S39</f>
        <v>-1046640</v>
      </c>
      <c r="T116" s="87" t="n">
        <f aca="false">-T39</f>
        <v>-1046640</v>
      </c>
      <c r="U116" s="87" t="n">
        <f aca="false">-U39</f>
        <v>-1046640</v>
      </c>
      <c r="V116" s="87" t="n">
        <f aca="false">-V39</f>
        <v>-1046640</v>
      </c>
      <c r="W116" s="87" t="n">
        <f aca="false">-W39</f>
        <v>-1046640</v>
      </c>
      <c r="X116" s="115"/>
    </row>
    <row r="117" customFormat="false" ht="18.75" hidden="false" customHeight="true" outlineLevel="0" collapsed="false">
      <c r="A117" s="2"/>
      <c r="B117" s="85" t="s">
        <v>34</v>
      </c>
      <c r="C117" s="79" t="s">
        <v>26</v>
      </c>
      <c r="D117" s="87" t="n">
        <f aca="false">-D48</f>
        <v>-219796</v>
      </c>
      <c r="E117" s="87" t="n">
        <f aca="false">-E48</f>
        <v>-219796</v>
      </c>
      <c r="F117" s="87" t="n">
        <f aca="false">-F48</f>
        <v>-219796</v>
      </c>
      <c r="G117" s="87" t="n">
        <f aca="false">-G48</f>
        <v>-219796</v>
      </c>
      <c r="H117" s="87" t="n">
        <f aca="false">-H48</f>
        <v>-219796</v>
      </c>
      <c r="I117" s="87" t="n">
        <f aca="false">-I48</f>
        <v>-219796</v>
      </c>
      <c r="J117" s="87" t="n">
        <f aca="false">-J48</f>
        <v>-219796</v>
      </c>
      <c r="K117" s="87" t="n">
        <f aca="false">-K48</f>
        <v>-219796</v>
      </c>
      <c r="L117" s="87" t="n">
        <f aca="false">-L48</f>
        <v>-219796</v>
      </c>
      <c r="M117" s="87" t="n">
        <f aca="false">-M48</f>
        <v>-219796</v>
      </c>
      <c r="N117" s="87" t="n">
        <f aca="false">-N48</f>
        <v>-219796</v>
      </c>
      <c r="O117" s="87" t="n">
        <f aca="false">-O48</f>
        <v>-219796</v>
      </c>
      <c r="P117" s="87" t="n">
        <f aca="false">-P48</f>
        <v>-219796</v>
      </c>
      <c r="Q117" s="87" t="n">
        <f aca="false">-Q48</f>
        <v>-219796</v>
      </c>
      <c r="R117" s="87" t="n">
        <f aca="false">-R48</f>
        <v>-219796</v>
      </c>
      <c r="S117" s="87" t="n">
        <f aca="false">-S48</f>
        <v>-219796</v>
      </c>
      <c r="T117" s="87" t="n">
        <f aca="false">-T48</f>
        <v>-219796</v>
      </c>
      <c r="U117" s="87" t="n">
        <f aca="false">-U48</f>
        <v>-219796</v>
      </c>
      <c r="V117" s="87" t="n">
        <f aca="false">-V48</f>
        <v>-219796</v>
      </c>
      <c r="W117" s="87" t="n">
        <f aca="false">-W48</f>
        <v>-219796</v>
      </c>
      <c r="X117" s="113"/>
    </row>
    <row r="118" customFormat="false" ht="18.75" hidden="false" customHeight="true" outlineLevel="0" collapsed="false">
      <c r="A118" s="2"/>
      <c r="B118" s="85" t="s">
        <v>35</v>
      </c>
      <c r="C118" s="79"/>
      <c r="D118" s="87" t="n">
        <f aca="false">-D57</f>
        <v>-261660</v>
      </c>
      <c r="E118" s="87" t="n">
        <f aca="false">-E57</f>
        <v>-261660</v>
      </c>
      <c r="F118" s="87" t="n">
        <f aca="false">-F57</f>
        <v>-261660</v>
      </c>
      <c r="G118" s="87" t="n">
        <f aca="false">-G57</f>
        <v>-261660</v>
      </c>
      <c r="H118" s="87" t="n">
        <f aca="false">-H57</f>
        <v>-261660</v>
      </c>
      <c r="I118" s="87" t="n">
        <f aca="false">-I57</f>
        <v>-261660</v>
      </c>
      <c r="J118" s="87" t="n">
        <f aca="false">-J57</f>
        <v>-261660</v>
      </c>
      <c r="K118" s="87" t="n">
        <f aca="false">-K57</f>
        <v>-261660</v>
      </c>
      <c r="L118" s="87" t="n">
        <f aca="false">-L57</f>
        <v>-261660</v>
      </c>
      <c r="M118" s="87" t="n">
        <f aca="false">-M57</f>
        <v>-261660</v>
      </c>
      <c r="N118" s="87" t="n">
        <f aca="false">-N57</f>
        <v>-0</v>
      </c>
      <c r="O118" s="87" t="n">
        <f aca="false">-O57</f>
        <v>-0</v>
      </c>
      <c r="P118" s="87" t="n">
        <f aca="false">-P57</f>
        <v>-0</v>
      </c>
      <c r="Q118" s="87" t="n">
        <f aca="false">-Q57</f>
        <v>-0</v>
      </c>
      <c r="R118" s="87" t="n">
        <f aca="false">-R57</f>
        <v>-0</v>
      </c>
      <c r="S118" s="87" t="n">
        <f aca="false">-S57</f>
        <v>-0</v>
      </c>
      <c r="T118" s="87" t="n">
        <f aca="false">-T57</f>
        <v>-0</v>
      </c>
      <c r="U118" s="87" t="n">
        <f aca="false">-U57</f>
        <v>-0</v>
      </c>
      <c r="V118" s="87" t="n">
        <f aca="false">-V57</f>
        <v>-0</v>
      </c>
      <c r="W118" s="87" t="n">
        <f aca="false">-W57</f>
        <v>-0</v>
      </c>
      <c r="X118" s="113"/>
    </row>
    <row r="119" customFormat="false" ht="18.75" hidden="false" customHeight="true" outlineLevel="0" collapsed="false">
      <c r="A119" s="2"/>
      <c r="B119" s="85" t="s">
        <v>36</v>
      </c>
      <c r="C119" s="88"/>
      <c r="D119" s="116"/>
      <c r="E119" s="117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45"/>
    </row>
    <row r="120" customFormat="false" ht="18.75" hidden="false" customHeight="true" outlineLevel="0" collapsed="false">
      <c r="A120" s="2"/>
      <c r="B120" s="85" t="s">
        <v>37</v>
      </c>
      <c r="C120" s="88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45"/>
    </row>
    <row r="121" customFormat="false" ht="18.75" hidden="false" customHeight="true" outlineLevel="0" collapsed="false">
      <c r="A121" s="2"/>
      <c r="B121" s="90" t="s">
        <v>46</v>
      </c>
      <c r="C121" s="118"/>
      <c r="D121" s="92" t="n">
        <f aca="false">SUM(D109:D120)</f>
        <v>-3269302</v>
      </c>
      <c r="E121" s="92" t="n">
        <f aca="false">SUM(E109:E120)</f>
        <v>-3269302</v>
      </c>
      <c r="F121" s="92" t="n">
        <f aca="false">SUM(F109:F120)</f>
        <v>-3269302</v>
      </c>
      <c r="G121" s="92" t="n">
        <f aca="false">SUM(G109:G120)</f>
        <v>-3269302</v>
      </c>
      <c r="H121" s="92" t="n">
        <f aca="false">SUM(H109:H120)</f>
        <v>-3269302</v>
      </c>
      <c r="I121" s="92" t="n">
        <f aca="false">SUM(I109:I120)</f>
        <v>-3269302</v>
      </c>
      <c r="J121" s="92" t="n">
        <f aca="false">SUM(J109:J120)</f>
        <v>-3269302</v>
      </c>
      <c r="K121" s="92" t="n">
        <f aca="false">SUM(K109:K120)</f>
        <v>-3269302</v>
      </c>
      <c r="L121" s="92" t="n">
        <f aca="false">SUM(L109:L120)</f>
        <v>-3269302</v>
      </c>
      <c r="M121" s="92" t="n">
        <f aca="false">SUM(M109:M120)</f>
        <v>-3269302</v>
      </c>
      <c r="N121" s="92" t="n">
        <f aca="false">SUM(N109:N120)</f>
        <v>-3007642</v>
      </c>
      <c r="O121" s="92" t="n">
        <f aca="false">SUM(O109:O120)</f>
        <v>-3007642</v>
      </c>
      <c r="P121" s="92" t="n">
        <f aca="false">SUM(P109:P120)</f>
        <v>-3007642</v>
      </c>
      <c r="Q121" s="92" t="n">
        <f aca="false">SUM(Q109:Q120)</f>
        <v>-3007642</v>
      </c>
      <c r="R121" s="92" t="n">
        <f aca="false">SUM(R109:R120)</f>
        <v>-3007642</v>
      </c>
      <c r="S121" s="92" t="n">
        <f aca="false">SUM(S109:S120)</f>
        <v>-3007642</v>
      </c>
      <c r="T121" s="92" t="n">
        <f aca="false">SUM(T109:T120)</f>
        <v>-3007642</v>
      </c>
      <c r="U121" s="92" t="n">
        <f aca="false">SUM(U109:U120)</f>
        <v>-3007642</v>
      </c>
      <c r="V121" s="92" t="n">
        <f aca="false">SUM(V109:V120)</f>
        <v>-3007642</v>
      </c>
      <c r="W121" s="92" t="n">
        <f aca="false">SUM(W109:W120)</f>
        <v>-3007642</v>
      </c>
      <c r="X121" s="45"/>
    </row>
    <row r="122" customFormat="false" ht="18.75" hidden="false" customHeight="true" outlineLevel="0" collapsed="false">
      <c r="A122" s="2"/>
      <c r="B122" s="89" t="s">
        <v>39</v>
      </c>
      <c r="C122" s="88"/>
      <c r="D122" s="87" t="n">
        <f aca="false">D121*0.2</f>
        <v>-653860.4</v>
      </c>
      <c r="E122" s="87" t="n">
        <f aca="false">E121*0.2</f>
        <v>-653860.4</v>
      </c>
      <c r="F122" s="87" t="n">
        <f aca="false">F121*0.2</f>
        <v>-653860.4</v>
      </c>
      <c r="G122" s="87" t="n">
        <f aca="false">G121*0.2</f>
        <v>-653860.4</v>
      </c>
      <c r="H122" s="87" t="n">
        <f aca="false">H121*0.2</f>
        <v>-653860.4</v>
      </c>
      <c r="I122" s="87" t="n">
        <f aca="false">I121*0.2</f>
        <v>-653860.4</v>
      </c>
      <c r="J122" s="87" t="n">
        <f aca="false">J121*0.2</f>
        <v>-653860.4</v>
      </c>
      <c r="K122" s="87" t="n">
        <f aca="false">K121*0.2</f>
        <v>-653860.4</v>
      </c>
      <c r="L122" s="87" t="n">
        <f aca="false">L121*0.2</f>
        <v>-653860.4</v>
      </c>
      <c r="M122" s="87" t="n">
        <f aca="false">M121*0.2</f>
        <v>-653860.4</v>
      </c>
      <c r="N122" s="87" t="n">
        <f aca="false">N121*0.2</f>
        <v>-601528.4</v>
      </c>
      <c r="O122" s="87" t="n">
        <f aca="false">O121*0.2</f>
        <v>-601528.4</v>
      </c>
      <c r="P122" s="87" t="n">
        <f aca="false">P121*0.2</f>
        <v>-601528.4</v>
      </c>
      <c r="Q122" s="87" t="n">
        <f aca="false">Q121*0.2</f>
        <v>-601528.4</v>
      </c>
      <c r="R122" s="87" t="n">
        <f aca="false">R121*0.2</f>
        <v>-601528.4</v>
      </c>
      <c r="S122" s="87" t="n">
        <f aca="false">S121*0.2</f>
        <v>-601528.4</v>
      </c>
      <c r="T122" s="87" t="n">
        <f aca="false">T121*0.2</f>
        <v>-601528.4</v>
      </c>
      <c r="U122" s="87" t="n">
        <f aca="false">U121*0.2</f>
        <v>-601528.4</v>
      </c>
      <c r="V122" s="87" t="n">
        <f aca="false">V121*0.2</f>
        <v>-601528.4</v>
      </c>
      <c r="W122" s="87" t="n">
        <f aca="false">W121*0.2</f>
        <v>-601528.4</v>
      </c>
      <c r="X122" s="109"/>
    </row>
    <row r="123" customFormat="false" ht="15" hidden="false" customHeight="true" outlineLevel="0" collapsed="false">
      <c r="A123" s="2"/>
      <c r="B123" s="119" t="s">
        <v>47</v>
      </c>
      <c r="C123" s="109"/>
      <c r="D123" s="87" t="n">
        <f aca="false">D121-D122</f>
        <v>-2615441.6</v>
      </c>
      <c r="E123" s="87" t="n">
        <f aca="false">E121-E122</f>
        <v>-2615441.6</v>
      </c>
      <c r="F123" s="87" t="n">
        <f aca="false">F121-F122</f>
        <v>-2615441.6</v>
      </c>
      <c r="G123" s="87" t="n">
        <f aca="false">G121-G122</f>
        <v>-2615441.6</v>
      </c>
      <c r="H123" s="87" t="n">
        <f aca="false">H121-H122</f>
        <v>-2615441.6</v>
      </c>
      <c r="I123" s="87" t="n">
        <f aca="false">I121-I122</f>
        <v>-2615441.6</v>
      </c>
      <c r="J123" s="87" t="n">
        <f aca="false">J121-J122</f>
        <v>-2615441.6</v>
      </c>
      <c r="K123" s="87" t="n">
        <f aca="false">K121-K122</f>
        <v>-2615441.6</v>
      </c>
      <c r="L123" s="87" t="n">
        <f aca="false">L121-L122</f>
        <v>-2615441.6</v>
      </c>
      <c r="M123" s="87" t="n">
        <f aca="false">M121-M122</f>
        <v>-2615441.6</v>
      </c>
      <c r="N123" s="87" t="n">
        <f aca="false">N121-N122</f>
        <v>-2406113.6</v>
      </c>
      <c r="O123" s="87" t="n">
        <f aca="false">O121-O122</f>
        <v>-2406113.6</v>
      </c>
      <c r="P123" s="87" t="n">
        <f aca="false">P121-P122</f>
        <v>-2406113.6</v>
      </c>
      <c r="Q123" s="87" t="n">
        <f aca="false">Q121-Q122</f>
        <v>-2406113.6</v>
      </c>
      <c r="R123" s="87" t="n">
        <f aca="false">R121-R122</f>
        <v>-2406113.6</v>
      </c>
      <c r="S123" s="87" t="n">
        <f aca="false">S121-S122</f>
        <v>-2406113.6</v>
      </c>
      <c r="T123" s="87" t="n">
        <f aca="false">T121-T122</f>
        <v>-2406113.6</v>
      </c>
      <c r="U123" s="87" t="n">
        <f aca="false">U121-U122</f>
        <v>-2406113.6</v>
      </c>
      <c r="V123" s="87" t="n">
        <f aca="false">V121-V122</f>
        <v>-2406113.6</v>
      </c>
      <c r="W123" s="87" t="n">
        <f aca="false">W121-W122</f>
        <v>-2406113.6</v>
      </c>
      <c r="X123" s="109"/>
    </row>
    <row r="124" customFormat="false" ht="18.75" hidden="false" customHeight="true" outlineLevel="0" collapsed="false">
      <c r="A124" s="2"/>
      <c r="B124" s="93" t="s">
        <v>41</v>
      </c>
      <c r="C124" s="120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08"/>
    </row>
    <row r="125" customFormat="false" ht="18.75" hidden="false" customHeight="true" outlineLevel="0" collapsed="false">
      <c r="A125" s="2"/>
      <c r="B125" s="122" t="s">
        <v>42</v>
      </c>
      <c r="C125" s="123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13"/>
    </row>
    <row r="126" customFormat="false" ht="18.75" hidden="false" customHeight="true" outlineLevel="0" collapsed="false">
      <c r="A126" s="2"/>
      <c r="B126" s="125"/>
      <c r="C126" s="126" t="s">
        <v>0</v>
      </c>
      <c r="D126" s="127" t="n">
        <v>2020</v>
      </c>
      <c r="E126" s="127" t="n">
        <v>2021</v>
      </c>
      <c r="F126" s="127" t="n">
        <v>2022</v>
      </c>
      <c r="G126" s="127" t="n">
        <v>2023</v>
      </c>
      <c r="H126" s="127" t="n">
        <v>2024</v>
      </c>
      <c r="I126" s="127" t="n">
        <v>2025</v>
      </c>
      <c r="J126" s="127" t="n">
        <v>2026</v>
      </c>
      <c r="K126" s="127" t="n">
        <v>2027</v>
      </c>
      <c r="L126" s="127" t="n">
        <v>2028</v>
      </c>
      <c r="M126" s="127" t="n">
        <v>2029</v>
      </c>
      <c r="N126" s="127" t="n">
        <v>2030</v>
      </c>
      <c r="O126" s="127" t="n">
        <v>2031</v>
      </c>
      <c r="P126" s="127" t="n">
        <v>2032</v>
      </c>
      <c r="Q126" s="127" t="n">
        <v>2033</v>
      </c>
      <c r="R126" s="127" t="n">
        <v>2034</v>
      </c>
      <c r="S126" s="127" t="n">
        <v>2035</v>
      </c>
      <c r="T126" s="127" t="n">
        <v>2036</v>
      </c>
      <c r="U126" s="127" t="n">
        <v>2037</v>
      </c>
      <c r="V126" s="127" t="n">
        <v>2038</v>
      </c>
      <c r="W126" s="127" t="n">
        <v>2039</v>
      </c>
      <c r="X126" s="127"/>
    </row>
    <row r="127" customFormat="false" ht="18.75" hidden="false" customHeight="true" outlineLevel="0" collapsed="false">
      <c r="A127" s="2"/>
      <c r="B127" s="125"/>
      <c r="C127" s="128"/>
      <c r="D127" s="113"/>
      <c r="E127" s="113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13"/>
    </row>
    <row r="128" customFormat="false" ht="18.75" hidden="false" customHeight="true" outlineLevel="0" collapsed="false">
      <c r="A128" s="2"/>
      <c r="B128" s="129" t="s">
        <v>23</v>
      </c>
      <c r="C128" s="129" t="n">
        <v>0</v>
      </c>
      <c r="D128" s="129" t="n">
        <v>1</v>
      </c>
      <c r="E128" s="129" t="n">
        <v>2</v>
      </c>
      <c r="F128" s="129" t="n">
        <v>3</v>
      </c>
      <c r="G128" s="129" t="n">
        <v>4</v>
      </c>
      <c r="H128" s="129" t="n">
        <v>5</v>
      </c>
      <c r="I128" s="129" t="n">
        <v>6</v>
      </c>
      <c r="J128" s="129" t="n">
        <v>7</v>
      </c>
      <c r="K128" s="129" t="n">
        <v>8</v>
      </c>
      <c r="L128" s="129" t="n">
        <v>9</v>
      </c>
      <c r="M128" s="129" t="n">
        <v>10</v>
      </c>
      <c r="N128" s="129" t="n">
        <v>11</v>
      </c>
      <c r="O128" s="129" t="n">
        <v>12</v>
      </c>
      <c r="P128" s="129" t="n">
        <v>13</v>
      </c>
      <c r="Q128" s="129" t="n">
        <v>14</v>
      </c>
      <c r="R128" s="129" t="n">
        <v>15</v>
      </c>
      <c r="S128" s="129" t="n">
        <v>16</v>
      </c>
      <c r="T128" s="129" t="n">
        <v>17</v>
      </c>
      <c r="U128" s="129" t="n">
        <v>18</v>
      </c>
      <c r="V128" s="129" t="n">
        <v>19</v>
      </c>
      <c r="W128" s="129" t="n">
        <v>20</v>
      </c>
      <c r="X128" s="129"/>
    </row>
    <row r="129" customFormat="false" ht="18.75" hidden="false" customHeight="true" outlineLevel="0" collapsed="false">
      <c r="A129" s="2"/>
      <c r="B129" s="130" t="s">
        <v>47</v>
      </c>
      <c r="C129" s="130"/>
      <c r="D129" s="131" t="n">
        <f aca="false">D123</f>
        <v>-2615441.6</v>
      </c>
      <c r="E129" s="131" t="n">
        <f aca="false">E123</f>
        <v>-2615441.6</v>
      </c>
      <c r="F129" s="131" t="n">
        <f aca="false">F123</f>
        <v>-2615441.6</v>
      </c>
      <c r="G129" s="131" t="n">
        <f aca="false">G123</f>
        <v>-2615441.6</v>
      </c>
      <c r="H129" s="131" t="n">
        <f aca="false">H123</f>
        <v>-2615441.6</v>
      </c>
      <c r="I129" s="131" t="n">
        <f aca="false">I123</f>
        <v>-2615441.6</v>
      </c>
      <c r="J129" s="131" t="n">
        <f aca="false">J123</f>
        <v>-2615441.6</v>
      </c>
      <c r="K129" s="131" t="n">
        <f aca="false">K123</f>
        <v>-2615441.6</v>
      </c>
      <c r="L129" s="131" t="n">
        <f aca="false">L123</f>
        <v>-2615441.6</v>
      </c>
      <c r="M129" s="131" t="n">
        <f aca="false">M123</f>
        <v>-2615441.6</v>
      </c>
      <c r="N129" s="131" t="n">
        <f aca="false">N123</f>
        <v>-2406113.6</v>
      </c>
      <c r="O129" s="131" t="n">
        <f aca="false">O123</f>
        <v>-2406113.6</v>
      </c>
      <c r="P129" s="131" t="n">
        <f aca="false">P123</f>
        <v>-2406113.6</v>
      </c>
      <c r="Q129" s="131" t="n">
        <f aca="false">Q123</f>
        <v>-2406113.6</v>
      </c>
      <c r="R129" s="131" t="n">
        <f aca="false">R123</f>
        <v>-2406113.6</v>
      </c>
      <c r="S129" s="131" t="n">
        <f aca="false">S123</f>
        <v>-2406113.6</v>
      </c>
      <c r="T129" s="131" t="n">
        <f aca="false">T123</f>
        <v>-2406113.6</v>
      </c>
      <c r="U129" s="131" t="n">
        <f aca="false">U123</f>
        <v>-2406113.6</v>
      </c>
      <c r="V129" s="131" t="n">
        <f aca="false">V123</f>
        <v>-2406113.6</v>
      </c>
      <c r="W129" s="131" t="n">
        <f aca="false">W123</f>
        <v>-2406113.6</v>
      </c>
      <c r="X129" s="131"/>
    </row>
    <row r="130" customFormat="false" ht="15" hidden="false" customHeight="true" outlineLevel="0" collapsed="false">
      <c r="B130" s="130" t="s">
        <v>16</v>
      </c>
      <c r="C130" s="130"/>
      <c r="D130" s="132" t="n">
        <f aca="false">D75</f>
        <v>0</v>
      </c>
      <c r="E130" s="132" t="n">
        <f aca="false">E75</f>
        <v>0</v>
      </c>
      <c r="F130" s="132" t="n">
        <f aca="false">F75</f>
        <v>0</v>
      </c>
      <c r="G130" s="132" t="n">
        <f aca="false">G75</f>
        <v>0</v>
      </c>
      <c r="H130" s="132" t="n">
        <f aca="false">H75</f>
        <v>0</v>
      </c>
      <c r="I130" s="132" t="n">
        <f aca="false">I75</f>
        <v>0</v>
      </c>
      <c r="J130" s="132" t="n">
        <f aca="false">J75</f>
        <v>0</v>
      </c>
      <c r="K130" s="132" t="n">
        <f aca="false">K75</f>
        <v>0</v>
      </c>
      <c r="L130" s="132" t="n">
        <f aca="false">L75</f>
        <v>0</v>
      </c>
      <c r="M130" s="132" t="n">
        <f aca="false">M75</f>
        <v>0</v>
      </c>
      <c r="N130" s="132" t="n">
        <f aca="false">N75</f>
        <v>0</v>
      </c>
      <c r="O130" s="132" t="n">
        <f aca="false">O75</f>
        <v>0</v>
      </c>
      <c r="P130" s="132" t="n">
        <f aca="false">P75</f>
        <v>0</v>
      </c>
      <c r="Q130" s="132" t="n">
        <f aca="false">Q75</f>
        <v>0</v>
      </c>
      <c r="R130" s="132" t="n">
        <f aca="false">R75</f>
        <v>0</v>
      </c>
      <c r="S130" s="132" t="n">
        <f aca="false">S75</f>
        <v>0</v>
      </c>
      <c r="T130" s="132" t="n">
        <f aca="false">T75</f>
        <v>0</v>
      </c>
      <c r="U130" s="132" t="n">
        <f aca="false">U75</f>
        <v>0</v>
      </c>
      <c r="V130" s="132" t="n">
        <f aca="false">V75</f>
        <v>0</v>
      </c>
      <c r="W130" s="132" t="n">
        <f aca="false">W75</f>
        <v>0</v>
      </c>
      <c r="X130" s="132"/>
    </row>
    <row r="131" customFormat="false" ht="15" hidden="false" customHeight="true" outlineLevel="0" collapsed="false">
      <c r="B131" s="130" t="s">
        <v>48</v>
      </c>
      <c r="C131" s="130"/>
      <c r="D131" s="133" t="n">
        <f aca="false">D129+D130</f>
        <v>-2615441.6</v>
      </c>
      <c r="E131" s="133" t="n">
        <f aca="false">E129+E130</f>
        <v>-2615441.6</v>
      </c>
      <c r="F131" s="133" t="n">
        <f aca="false">F129+F130</f>
        <v>-2615441.6</v>
      </c>
      <c r="G131" s="133" t="n">
        <f aca="false">G129+G130</f>
        <v>-2615441.6</v>
      </c>
      <c r="H131" s="133" t="n">
        <f aca="false">H129+H130</f>
        <v>-2615441.6</v>
      </c>
      <c r="I131" s="133" t="n">
        <f aca="false">I129+I130</f>
        <v>-2615441.6</v>
      </c>
      <c r="J131" s="133" t="n">
        <f aca="false">J129+J130</f>
        <v>-2615441.6</v>
      </c>
      <c r="K131" s="133" t="n">
        <f aca="false">K129+K130</f>
        <v>-2615441.6</v>
      </c>
      <c r="L131" s="133" t="n">
        <f aca="false">L129+L130</f>
        <v>-2615441.6</v>
      </c>
      <c r="M131" s="133" t="n">
        <f aca="false">M129+M130</f>
        <v>-2615441.6</v>
      </c>
      <c r="N131" s="133" t="n">
        <f aca="false">N129+N130</f>
        <v>-2406113.6</v>
      </c>
      <c r="O131" s="133" t="n">
        <f aca="false">O129+O130</f>
        <v>-2406113.6</v>
      </c>
      <c r="P131" s="133" t="n">
        <f aca="false">P129+P130</f>
        <v>-2406113.6</v>
      </c>
      <c r="Q131" s="133" t="n">
        <f aca="false">Q129+Q130</f>
        <v>-2406113.6</v>
      </c>
      <c r="R131" s="133" t="n">
        <f aca="false">R129+R130</f>
        <v>-2406113.6</v>
      </c>
      <c r="S131" s="133" t="n">
        <f aca="false">S129+S130</f>
        <v>-2406113.6</v>
      </c>
      <c r="T131" s="133" t="n">
        <f aca="false">T129+T130</f>
        <v>-2406113.6</v>
      </c>
      <c r="U131" s="133" t="n">
        <f aca="false">U129+U130</f>
        <v>-2406113.6</v>
      </c>
      <c r="V131" s="133" t="n">
        <f aca="false">V129+V130</f>
        <v>-2406113.6</v>
      </c>
      <c r="W131" s="133" t="n">
        <f aca="false">W129+W130</f>
        <v>-2406113.6</v>
      </c>
      <c r="X131" s="133"/>
    </row>
    <row r="132" customFormat="false" ht="15" hidden="false" customHeight="true" outlineLevel="0" collapsed="false">
      <c r="B132" s="130"/>
      <c r="C132" s="130"/>
      <c r="D132" s="130"/>
      <c r="E132" s="130"/>
      <c r="F132" s="134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0"/>
    </row>
    <row r="133" customFormat="false" ht="15" hidden="false" customHeight="true" outlineLevel="0" collapsed="false">
      <c r="B133" s="135" t="s">
        <v>49</v>
      </c>
      <c r="C133" s="136"/>
      <c r="D133" s="137" t="n">
        <f aca="false">C89</f>
        <v>-0</v>
      </c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</row>
    <row r="134" customFormat="false" ht="15" hidden="false" customHeight="true" outlineLevel="0" collapsed="false">
      <c r="B134" s="130"/>
      <c r="C134" s="130"/>
      <c r="D134" s="130"/>
      <c r="E134" s="130"/>
      <c r="F134" s="134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0"/>
    </row>
    <row r="135" customFormat="false" ht="15" hidden="false" customHeight="true" outlineLevel="0" collapsed="false">
      <c r="B135" s="130"/>
      <c r="C135" s="130"/>
      <c r="D135" s="130"/>
      <c r="E135" s="130"/>
      <c r="F135" s="134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0"/>
    </row>
    <row r="136" customFormat="false" ht="15" hidden="false" customHeight="true" outlineLevel="0" collapsed="false">
      <c r="B136" s="135" t="s">
        <v>50</v>
      </c>
      <c r="C136" s="136"/>
      <c r="D136" s="137" t="n">
        <f aca="false">-D133*C77/100</f>
        <v>0</v>
      </c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</row>
    <row r="137" customFormat="false" ht="15" hidden="false" customHeight="true" outlineLevel="0" collapsed="false">
      <c r="B137" s="130" t="s">
        <v>51</v>
      </c>
      <c r="C137" s="130"/>
      <c r="D137" s="138"/>
      <c r="E137" s="138" t="n">
        <f aca="false">-D136/C78</f>
        <v>-0</v>
      </c>
      <c r="F137" s="138" t="n">
        <f aca="false">-D136/C78</f>
        <v>-0</v>
      </c>
      <c r="G137" s="138" t="n">
        <f aca="false">-D136/C78</f>
        <v>-0</v>
      </c>
      <c r="H137" s="138" t="n">
        <f aca="false">-D136/C78</f>
        <v>-0</v>
      </c>
      <c r="I137" s="138" t="n">
        <f aca="false">-D136/C78</f>
        <v>-0</v>
      </c>
      <c r="J137" s="138" t="n">
        <f aca="false">-D136/C78</f>
        <v>-0</v>
      </c>
      <c r="K137" s="138" t="n">
        <f aca="false">-D136/C78</f>
        <v>-0</v>
      </c>
      <c r="L137" s="138" t="n">
        <f aca="false">-D136/C78</f>
        <v>-0</v>
      </c>
      <c r="M137" s="138" t="n">
        <f aca="false">-D136/C78</f>
        <v>-0</v>
      </c>
      <c r="N137" s="138" t="n">
        <f aca="false">-D136/C78</f>
        <v>-0</v>
      </c>
      <c r="O137" s="138" t="n">
        <f aca="false">-D136/C78</f>
        <v>-0</v>
      </c>
      <c r="P137" s="138" t="n">
        <f aca="false">-D136/C78</f>
        <v>-0</v>
      </c>
      <c r="Q137" s="138" t="n">
        <f aca="false">-D136/C78</f>
        <v>-0</v>
      </c>
      <c r="R137" s="138" t="n">
        <f aca="false">-D136/C78</f>
        <v>-0</v>
      </c>
      <c r="S137" s="138" t="n">
        <f aca="false">-D136/C78</f>
        <v>-0</v>
      </c>
      <c r="T137" s="138"/>
      <c r="U137" s="138"/>
      <c r="V137" s="138"/>
      <c r="W137" s="138"/>
      <c r="X137" s="138"/>
    </row>
    <row r="138" customFormat="false" ht="15" hidden="false" customHeight="true" outlineLevel="0" collapsed="false">
      <c r="B138" s="130" t="s">
        <v>52</v>
      </c>
      <c r="C138" s="134"/>
      <c r="D138" s="131" t="n">
        <f aca="false">-D133*(1-C77/100)</f>
        <v>0</v>
      </c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</row>
    <row r="139" customFormat="false" ht="15" hidden="false" customHeight="true" outlineLevel="0" collapsed="false">
      <c r="B139" s="130" t="s">
        <v>53</v>
      </c>
      <c r="C139" s="134"/>
      <c r="D139" s="134"/>
      <c r="E139" s="139" t="n">
        <f aca="false">-D129*C79/100</f>
        <v>2353897.44</v>
      </c>
      <c r="F139" s="139" t="n">
        <f aca="false">-E129*C79/100</f>
        <v>2353897.44</v>
      </c>
      <c r="G139" s="139" t="n">
        <f aca="false">-F129*C79/100</f>
        <v>2353897.44</v>
      </c>
      <c r="H139" s="139" t="n">
        <f aca="false">-G129*C79/100</f>
        <v>2353897.44</v>
      </c>
      <c r="I139" s="139" t="n">
        <f aca="false">-H129*C79/100</f>
        <v>2353897.44</v>
      </c>
      <c r="J139" s="139" t="n">
        <f aca="false">-I129*C79/100</f>
        <v>2353897.44</v>
      </c>
      <c r="K139" s="139" t="n">
        <f aca="false">-J129*C79/100</f>
        <v>2353897.44</v>
      </c>
      <c r="L139" s="139" t="n">
        <f aca="false">-K129*C79/100</f>
        <v>2353897.44</v>
      </c>
      <c r="M139" s="139" t="n">
        <f aca="false">-L129*C79/100</f>
        <v>2353897.44</v>
      </c>
      <c r="N139" s="139" t="n">
        <f aca="false">-M129*C79/100</f>
        <v>2353897.44</v>
      </c>
      <c r="O139" s="139" t="n">
        <f aca="false">-N129*C79/100</f>
        <v>2165502.24</v>
      </c>
      <c r="P139" s="139" t="n">
        <f aca="false">-O129*C79/100</f>
        <v>2165502.24</v>
      </c>
      <c r="Q139" s="139" t="n">
        <f aca="false">-P129*C79/100</f>
        <v>2165502.24</v>
      </c>
      <c r="R139" s="139" t="n">
        <f aca="false">-Q129*C79/100</f>
        <v>2165502.24</v>
      </c>
      <c r="S139" s="139" t="n">
        <f aca="false">-R129*C79/100</f>
        <v>2165502.24</v>
      </c>
      <c r="T139" s="139" t="n">
        <f aca="false">-S129*C79/100</f>
        <v>2165502.24</v>
      </c>
      <c r="U139" s="139" t="n">
        <f aca="false">-T129*C79/100</f>
        <v>2165502.24</v>
      </c>
      <c r="V139" s="139" t="n">
        <f aca="false">-U129*C79/100</f>
        <v>2165502.24</v>
      </c>
      <c r="W139" s="139" t="n">
        <f aca="false">-V129*C79/100</f>
        <v>2165502.24</v>
      </c>
      <c r="X139" s="139"/>
    </row>
    <row r="140" customFormat="false" ht="15" hidden="false" customHeight="true" outlineLevel="0" collapsed="false">
      <c r="B140" s="140" t="s">
        <v>54</v>
      </c>
      <c r="C140" s="141"/>
      <c r="D140" s="141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 t="n">
        <f aca="false">-D138/C80</f>
        <v>-0</v>
      </c>
      <c r="U140" s="142" t="n">
        <f aca="false">-D138/C80</f>
        <v>-0</v>
      </c>
      <c r="V140" s="142" t="n">
        <f aca="false">-D138/C80</f>
        <v>-0</v>
      </c>
      <c r="W140" s="142" t="n">
        <f aca="false">-D138/C80</f>
        <v>-0</v>
      </c>
      <c r="X140" s="142"/>
    </row>
    <row r="141" customFormat="false" ht="15" hidden="false" customHeight="true" outlineLevel="0" collapsed="false"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</row>
    <row r="142" customFormat="false" ht="15" hidden="false" customHeight="true" outlineLevel="0" collapsed="false">
      <c r="B142" s="134"/>
      <c r="C142" s="134"/>
      <c r="D142" s="134"/>
      <c r="E142" s="134"/>
      <c r="F142" s="134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</row>
    <row r="143" customFormat="false" ht="15" hidden="false" customHeight="true" outlineLevel="0" collapsed="false">
      <c r="B143" s="130" t="s">
        <v>55</v>
      </c>
      <c r="C143" s="131" t="n">
        <v>0</v>
      </c>
      <c r="D143" s="131" t="n">
        <f aca="false">SUM(D131:D140)</f>
        <v>-2615441.6</v>
      </c>
      <c r="E143" s="131" t="n">
        <f aca="false">SUM(E131:E140)</f>
        <v>-261544.16</v>
      </c>
      <c r="F143" s="131" t="n">
        <f aca="false">SUM(F131:F140)</f>
        <v>-261544.16</v>
      </c>
      <c r="G143" s="131" t="n">
        <f aca="false">SUM(G131:G140)</f>
        <v>-261544.16</v>
      </c>
      <c r="H143" s="131" t="n">
        <f aca="false">SUM(H131:H140)</f>
        <v>-261544.16</v>
      </c>
      <c r="I143" s="131" t="n">
        <f aca="false">SUM(I131:I140)</f>
        <v>-261544.16</v>
      </c>
      <c r="J143" s="131" t="n">
        <f aca="false">SUM(J131:J140)</f>
        <v>-261544.16</v>
      </c>
      <c r="K143" s="131" t="n">
        <f aca="false">SUM(K131:K140)</f>
        <v>-261544.16</v>
      </c>
      <c r="L143" s="131" t="n">
        <f aca="false">SUM(L131:L140)</f>
        <v>-261544.16</v>
      </c>
      <c r="M143" s="131" t="n">
        <f aca="false">SUM(M131:M140)</f>
        <v>-261544.16</v>
      </c>
      <c r="N143" s="131" t="n">
        <f aca="false">SUM(N131:N140)</f>
        <v>-52216.1600000002</v>
      </c>
      <c r="O143" s="131" t="n">
        <f aca="false">SUM(O131:O140)</f>
        <v>-240611.36</v>
      </c>
      <c r="P143" s="131" t="n">
        <f aca="false">SUM(P131:P140)</f>
        <v>-240611.36</v>
      </c>
      <c r="Q143" s="131" t="n">
        <f aca="false">SUM(Q131:Q140)</f>
        <v>-240611.36</v>
      </c>
      <c r="R143" s="131" t="n">
        <f aca="false">SUM(R131:R140)</f>
        <v>-240611.36</v>
      </c>
      <c r="S143" s="131" t="n">
        <f aca="false">SUM(S131:S140)</f>
        <v>-240611.36</v>
      </c>
      <c r="T143" s="131" t="n">
        <f aca="false">SUM(T131:T140)</f>
        <v>-240611.36</v>
      </c>
      <c r="U143" s="131" t="n">
        <f aca="false">SUM(U131:U140)</f>
        <v>-240611.36</v>
      </c>
      <c r="V143" s="131" t="n">
        <f aca="false">SUM(V131:V140)</f>
        <v>-240611.36</v>
      </c>
      <c r="W143" s="131" t="n">
        <f aca="false">SUM(W131:W140)</f>
        <v>-240611.36</v>
      </c>
      <c r="X143" s="131"/>
    </row>
    <row r="144" customFormat="false" ht="15" hidden="false" customHeight="true" outlineLevel="0" collapsed="false">
      <c r="B144" s="130" t="s">
        <v>56</v>
      </c>
      <c r="C144" s="131" t="n">
        <v>0</v>
      </c>
      <c r="D144" s="131" t="n">
        <v>0</v>
      </c>
      <c r="E144" s="131" t="n">
        <f aca="false">D145</f>
        <v>-2615441.6</v>
      </c>
      <c r="F144" s="131" t="n">
        <f aca="false">E145</f>
        <v>-2876985.76</v>
      </c>
      <c r="G144" s="131" t="n">
        <f aca="false">F145</f>
        <v>-3138529.92</v>
      </c>
      <c r="H144" s="131" t="n">
        <f aca="false">G145</f>
        <v>-3400074.08</v>
      </c>
      <c r="I144" s="131" t="n">
        <f aca="false">H145</f>
        <v>-3661618.24</v>
      </c>
      <c r="J144" s="131" t="n">
        <f aca="false">I145</f>
        <v>-3923162.4</v>
      </c>
      <c r="K144" s="131" t="n">
        <f aca="false">J145</f>
        <v>-4184706.56</v>
      </c>
      <c r="L144" s="131" t="n">
        <f aca="false">K145</f>
        <v>-4446250.72</v>
      </c>
      <c r="M144" s="131" t="n">
        <f aca="false">L145</f>
        <v>-4707794.88</v>
      </c>
      <c r="N144" s="131" t="n">
        <f aca="false">M145</f>
        <v>-4969339.04</v>
      </c>
      <c r="O144" s="131" t="n">
        <f aca="false">N145</f>
        <v>-5021555.2</v>
      </c>
      <c r="P144" s="131" t="n">
        <f aca="false">O145</f>
        <v>-5262166.56</v>
      </c>
      <c r="Q144" s="131" t="n">
        <f aca="false">P145</f>
        <v>-5502777.92</v>
      </c>
      <c r="R144" s="131" t="n">
        <f aca="false">Q145</f>
        <v>-5743389.28</v>
      </c>
      <c r="S144" s="131" t="n">
        <f aca="false">R145</f>
        <v>-5984000.64</v>
      </c>
      <c r="T144" s="131" t="n">
        <f aca="false">S145</f>
        <v>-6224612</v>
      </c>
      <c r="U144" s="131" t="n">
        <f aca="false">T145</f>
        <v>-6465223.36</v>
      </c>
      <c r="V144" s="131" t="n">
        <f aca="false">U145</f>
        <v>-6705834.72</v>
      </c>
      <c r="W144" s="131" t="n">
        <f aca="false">V145</f>
        <v>-6946446.08</v>
      </c>
      <c r="X144" s="131"/>
    </row>
    <row r="145" customFormat="false" ht="15" hidden="false" customHeight="true" outlineLevel="0" collapsed="false">
      <c r="B145" s="130" t="s">
        <v>57</v>
      </c>
      <c r="C145" s="131" t="n">
        <v>0</v>
      </c>
      <c r="D145" s="131" t="n">
        <f aca="false">D143+D144</f>
        <v>-2615441.6</v>
      </c>
      <c r="E145" s="131" t="n">
        <f aca="false">E143+E144</f>
        <v>-2876985.76</v>
      </c>
      <c r="F145" s="131" t="n">
        <f aca="false">F143+F144</f>
        <v>-3138529.92</v>
      </c>
      <c r="G145" s="131" t="n">
        <f aca="false">G143+G144</f>
        <v>-3400074.08</v>
      </c>
      <c r="H145" s="131" t="n">
        <f aca="false">H143+H144</f>
        <v>-3661618.24</v>
      </c>
      <c r="I145" s="131" t="n">
        <f aca="false">I143+I144</f>
        <v>-3923162.4</v>
      </c>
      <c r="J145" s="131" t="n">
        <f aca="false">J143+J144</f>
        <v>-4184706.56</v>
      </c>
      <c r="K145" s="131" t="n">
        <f aca="false">K143+K144</f>
        <v>-4446250.72</v>
      </c>
      <c r="L145" s="131" t="n">
        <f aca="false">L143+L144</f>
        <v>-4707794.88</v>
      </c>
      <c r="M145" s="131" t="n">
        <f aca="false">M143+M144</f>
        <v>-4969339.04</v>
      </c>
      <c r="N145" s="131" t="n">
        <f aca="false">N143+N144</f>
        <v>-5021555.2</v>
      </c>
      <c r="O145" s="131" t="n">
        <f aca="false">O143+O144</f>
        <v>-5262166.56</v>
      </c>
      <c r="P145" s="131" t="n">
        <f aca="false">P143+P144</f>
        <v>-5502777.92</v>
      </c>
      <c r="Q145" s="131" t="n">
        <f aca="false">Q143+Q144</f>
        <v>-5743389.28</v>
      </c>
      <c r="R145" s="131" t="n">
        <f aca="false">R143+R144</f>
        <v>-5984000.64</v>
      </c>
      <c r="S145" s="131" t="n">
        <f aca="false">S143+S144</f>
        <v>-6224612</v>
      </c>
      <c r="T145" s="131" t="n">
        <f aca="false">T143+T144</f>
        <v>-6465223.36</v>
      </c>
      <c r="U145" s="131" t="n">
        <f aca="false">U143+U144</f>
        <v>-6705834.72</v>
      </c>
      <c r="V145" s="131" t="n">
        <f aca="false">V143+V144</f>
        <v>-6946446.08</v>
      </c>
      <c r="W145" s="131" t="n">
        <f aca="false">W143+W144</f>
        <v>-7187057.44</v>
      </c>
      <c r="X145" s="131"/>
    </row>
    <row r="146" customFormat="false" ht="15" hidden="false" customHeight="true" outlineLevel="0" collapsed="false"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</row>
    <row r="147" customFormat="false" ht="15" hidden="false" customHeight="true" outlineLevel="0" collapsed="false">
      <c r="B147" s="130"/>
      <c r="C147" s="130"/>
      <c r="D147" s="130"/>
      <c r="E147" s="130"/>
      <c r="F147" s="134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</row>
    <row r="148" customFormat="false" ht="15" hidden="false" customHeight="true" outlineLevel="0" collapsed="false">
      <c r="B148" s="143" t="s">
        <v>58</v>
      </c>
      <c r="C148" s="144"/>
      <c r="D148" s="145" t="n">
        <f aca="false">-D138</f>
        <v>-0</v>
      </c>
      <c r="E148" s="133" t="n">
        <f aca="false">-E139-E140</f>
        <v>-2353897.44</v>
      </c>
      <c r="F148" s="133" t="n">
        <f aca="false">-F139-F140</f>
        <v>-2353897.44</v>
      </c>
      <c r="G148" s="133" t="n">
        <f aca="false">-G139-G140</f>
        <v>-2353897.44</v>
      </c>
      <c r="H148" s="133" t="n">
        <f aca="false">-H139-H140</f>
        <v>-2353897.44</v>
      </c>
      <c r="I148" s="133" t="n">
        <f aca="false">-I139-I140</f>
        <v>-2353897.44</v>
      </c>
      <c r="J148" s="133" t="n">
        <f aca="false">-J139-J140</f>
        <v>-2353897.44</v>
      </c>
      <c r="K148" s="133" t="n">
        <f aca="false">-K139-K140</f>
        <v>-2353897.44</v>
      </c>
      <c r="L148" s="133" t="n">
        <f aca="false">-L139-L140</f>
        <v>-2353897.44</v>
      </c>
      <c r="M148" s="133" t="n">
        <f aca="false">-M139-M140</f>
        <v>-2353897.44</v>
      </c>
      <c r="N148" s="133" t="n">
        <f aca="false">-N139-N140</f>
        <v>-2353897.44</v>
      </c>
      <c r="O148" s="133" t="n">
        <f aca="false">-O139-O140</f>
        <v>-2165502.24</v>
      </c>
      <c r="P148" s="133" t="n">
        <f aca="false">-P139-P140</f>
        <v>-2165502.24</v>
      </c>
      <c r="Q148" s="133" t="n">
        <f aca="false">-Q139-Q140</f>
        <v>-2165502.24</v>
      </c>
      <c r="R148" s="133" t="n">
        <f aca="false">-R139-R140</f>
        <v>-2165502.24</v>
      </c>
      <c r="S148" s="133" t="n">
        <f aca="false">-S139-S140</f>
        <v>-2165502.24</v>
      </c>
      <c r="T148" s="133" t="n">
        <f aca="false">-T139-T140</f>
        <v>-2165502.24</v>
      </c>
      <c r="U148" s="133" t="n">
        <f aca="false">-U139-U140</f>
        <v>-2165502.24</v>
      </c>
      <c r="V148" s="133" t="n">
        <f aca="false">-V139-V140</f>
        <v>-2165502.24</v>
      </c>
      <c r="W148" s="133" t="n">
        <f aca="false">-W139-W140</f>
        <v>-2165502.24</v>
      </c>
      <c r="X148" s="133"/>
    </row>
    <row r="149" customFormat="false" ht="15" hidden="false" customHeight="true" outlineLevel="0" collapsed="false">
      <c r="B149" s="130" t="s">
        <v>59</v>
      </c>
      <c r="C149" s="146" t="e">
        <f aca="false">IRR(D148:W148)</f>
        <v>#N/A</v>
      </c>
      <c r="D149" s="134"/>
      <c r="E149" s="134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4"/>
    </row>
    <row r="150" customFormat="false" ht="15" hidden="false" customHeight="true" outlineLevel="0" collapsed="false">
      <c r="B150" s="143" t="s">
        <v>60</v>
      </c>
      <c r="C150" s="144"/>
      <c r="D150" s="145" t="n">
        <f aca="false">D129-D138</f>
        <v>-2615441.6</v>
      </c>
      <c r="E150" s="133" t="n">
        <f aca="false">E129-E140</f>
        <v>-2615441.6</v>
      </c>
      <c r="F150" s="133" t="n">
        <f aca="false">F129-F140</f>
        <v>-2615441.6</v>
      </c>
      <c r="G150" s="133" t="n">
        <f aca="false">G129-G140</f>
        <v>-2615441.6</v>
      </c>
      <c r="H150" s="133" t="n">
        <f aca="false">H129-H140</f>
        <v>-2615441.6</v>
      </c>
      <c r="I150" s="133" t="n">
        <f aca="false">I129-I140</f>
        <v>-2615441.6</v>
      </c>
      <c r="J150" s="133" t="n">
        <f aca="false">J129-J140</f>
        <v>-2615441.6</v>
      </c>
      <c r="K150" s="133" t="n">
        <f aca="false">K129-K140</f>
        <v>-2615441.6</v>
      </c>
      <c r="L150" s="133" t="n">
        <f aca="false">L129-L140</f>
        <v>-2615441.6</v>
      </c>
      <c r="M150" s="133" t="n">
        <f aca="false">M129-M140</f>
        <v>-2615441.6</v>
      </c>
      <c r="N150" s="133" t="n">
        <f aca="false">N129-N140</f>
        <v>-2406113.6</v>
      </c>
      <c r="O150" s="133" t="n">
        <f aca="false">O129-O140</f>
        <v>-2406113.6</v>
      </c>
      <c r="P150" s="133" t="n">
        <f aca="false">P129-P140</f>
        <v>-2406113.6</v>
      </c>
      <c r="Q150" s="133" t="n">
        <f aca="false">Q129-Q140</f>
        <v>-2406113.6</v>
      </c>
      <c r="R150" s="133" t="n">
        <f aca="false">R129-R140</f>
        <v>-2406113.6</v>
      </c>
      <c r="S150" s="133" t="n">
        <f aca="false">S129-S140</f>
        <v>-2406113.6</v>
      </c>
      <c r="T150" s="133" t="n">
        <f aca="false">T129-T140</f>
        <v>-2406113.6</v>
      </c>
      <c r="U150" s="133" t="n">
        <f aca="false">U129-U140</f>
        <v>-2406113.6</v>
      </c>
      <c r="V150" s="133" t="n">
        <f aca="false">V129-V140</f>
        <v>-2406113.6</v>
      </c>
      <c r="W150" s="133" t="n">
        <f aca="false">W129-W140</f>
        <v>-2406113.6</v>
      </c>
      <c r="X150" s="133"/>
    </row>
    <row r="151" customFormat="false" ht="15" hidden="false" customHeight="true" outlineLevel="0" collapsed="false">
      <c r="B151" s="143" t="s">
        <v>61</v>
      </c>
      <c r="C151" s="146" t="e">
        <f aca="false">IRR(D150:W150)</f>
        <v>#N/A</v>
      </c>
      <c r="D151" s="134"/>
      <c r="E151" s="134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4"/>
    </row>
    <row r="152" customFormat="false" ht="15" hidden="false" customHeight="true" outlineLevel="0" collapsed="false"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</row>
    <row r="153" customFormat="false" ht="15" hidden="false" customHeight="true" outlineLevel="0" collapsed="false">
      <c r="B153" s="130" t="s">
        <v>62</v>
      </c>
      <c r="C153" s="131" t="n">
        <v>0</v>
      </c>
      <c r="D153" s="131" t="n">
        <f aca="false">D136</f>
        <v>0</v>
      </c>
      <c r="E153" s="131" t="n">
        <f aca="false">D153+E137</f>
        <v>0</v>
      </c>
      <c r="F153" s="131" t="n">
        <f aca="false">E153+F137</f>
        <v>0</v>
      </c>
      <c r="G153" s="131" t="n">
        <f aca="false">F153+G137</f>
        <v>0</v>
      </c>
      <c r="H153" s="131" t="n">
        <f aca="false">G153+H137</f>
        <v>0</v>
      </c>
      <c r="I153" s="131" t="n">
        <f aca="false">H153+I137</f>
        <v>0</v>
      </c>
      <c r="J153" s="131" t="n">
        <f aca="false">I153+J137</f>
        <v>0</v>
      </c>
      <c r="K153" s="131" t="n">
        <f aca="false">J153+K137</f>
        <v>0</v>
      </c>
      <c r="L153" s="131" t="n">
        <f aca="false">K153+L137</f>
        <v>0</v>
      </c>
      <c r="M153" s="131" t="n">
        <f aca="false">L153+M137</f>
        <v>0</v>
      </c>
      <c r="N153" s="131" t="n">
        <f aca="false">M153+N137</f>
        <v>0</v>
      </c>
      <c r="O153" s="131" t="n">
        <f aca="false">N153+O137</f>
        <v>0</v>
      </c>
      <c r="P153" s="131" t="n">
        <f aca="false">O153+P137</f>
        <v>0</v>
      </c>
      <c r="Q153" s="131" t="n">
        <f aca="false">P153+Q137</f>
        <v>0</v>
      </c>
      <c r="R153" s="131" t="n">
        <f aca="false">Q153+R137</f>
        <v>0</v>
      </c>
      <c r="S153" s="131" t="n">
        <f aca="false">R153+S137</f>
        <v>0</v>
      </c>
      <c r="T153" s="131" t="n">
        <f aca="false">S153+T137</f>
        <v>0</v>
      </c>
      <c r="U153" s="131" t="n">
        <f aca="false">T153+U137</f>
        <v>0</v>
      </c>
      <c r="V153" s="131" t="n">
        <f aca="false">U153+V137</f>
        <v>0</v>
      </c>
      <c r="W153" s="131" t="n">
        <f aca="false">V153+W137</f>
        <v>0</v>
      </c>
      <c r="X153" s="1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25.47"/>
    <col collapsed="false" customWidth="true" hidden="false" outlineLevel="0" max="2" min="2" style="1" width="24.56"/>
    <col collapsed="false" customWidth="true" hidden="false" outlineLevel="0" max="3" min="3" style="1" width="9.1"/>
    <col collapsed="false" customWidth="true" hidden="false" outlineLevel="0" max="4" min="4" style="1" width="10.01"/>
    <col collapsed="false" customWidth="true" hidden="false" outlineLevel="0" max="5" min="5" style="1" width="45.49"/>
    <col collapsed="false" customWidth="true" hidden="false" outlineLevel="0" max="6" min="6" style="1" width="10.92"/>
    <col collapsed="false" customWidth="true" hidden="false" outlineLevel="0" max="13" min="13" style="1" width="45.49"/>
    <col collapsed="false" customWidth="true" hidden="false" outlineLevel="0" max="14" min="14" style="1" width="10.92"/>
    <col collapsed="false" customWidth="true" hidden="false" outlineLevel="0" max="24" min="24" style="1" width="9.1"/>
    <col collapsed="false" customWidth="true" hidden="false" outlineLevel="0" max="28" min="28" style="1" width="10.01"/>
    <col collapsed="false" customWidth="true" hidden="false" outlineLevel="0" max="35" min="35" style="1" width="29.63"/>
    <col collapsed="false" customWidth="true" hidden="false" outlineLevel="0" max="36" min="36" style="1" width="8.32"/>
  </cols>
  <sheetData>
    <row r="1" customFormat="false" ht="22.5" hidden="false" customHeight="true" outlineLevel="0" collapsed="false">
      <c r="A1" s="147" t="s">
        <v>63</v>
      </c>
      <c r="B1" s="147"/>
      <c r="C1" s="147"/>
      <c r="D1" s="147"/>
      <c r="E1" s="148" t="s">
        <v>64</v>
      </c>
      <c r="O1" s="149" t="n">
        <f aca="false">1-C11</f>
        <v>0.99</v>
      </c>
      <c r="P1" s="149" t="n">
        <f aca="false">O1-$C12</f>
        <v>0.986</v>
      </c>
      <c r="Q1" s="149" t="n">
        <f aca="false">P1-$C12</f>
        <v>0.982</v>
      </c>
      <c r="R1" s="149" t="n">
        <f aca="false">Q1-$C12</f>
        <v>0.978</v>
      </c>
      <c r="S1" s="149" t="n">
        <f aca="false">R1-$C12</f>
        <v>0.974</v>
      </c>
      <c r="T1" s="149" t="n">
        <f aca="false">S1-$C12</f>
        <v>0.97</v>
      </c>
      <c r="U1" s="149" t="n">
        <f aca="false">T1-$C12</f>
        <v>0.966</v>
      </c>
      <c r="V1" s="149" t="n">
        <f aca="false">U1-$C12</f>
        <v>0.962</v>
      </c>
      <c r="W1" s="149" t="n">
        <f aca="false">V1-$C12</f>
        <v>0.958</v>
      </c>
      <c r="X1" s="149" t="n">
        <f aca="false">W1-$C12</f>
        <v>0.954</v>
      </c>
      <c r="Y1" s="149" t="n">
        <f aca="false">X1-$C12</f>
        <v>0.95</v>
      </c>
      <c r="Z1" s="149" t="n">
        <f aca="false">Y1-$C12</f>
        <v>0.946</v>
      </c>
      <c r="AA1" s="149" t="n">
        <f aca="false">Z1-$C12</f>
        <v>0.942</v>
      </c>
      <c r="AB1" s="149" t="n">
        <f aca="false">AA1-$C12</f>
        <v>0.938</v>
      </c>
      <c r="AC1" s="149" t="n">
        <f aca="false">AB1-$C12</f>
        <v>0.934</v>
      </c>
      <c r="AD1" s="149" t="n">
        <f aca="false">AC1-$C12</f>
        <v>0.93</v>
      </c>
      <c r="AE1" s="149" t="n">
        <f aca="false">AD1-$C12</f>
        <v>0.926</v>
      </c>
      <c r="AF1" s="149" t="n">
        <f aca="false">AE1-$C12</f>
        <v>0.922</v>
      </c>
      <c r="AG1" s="149" t="n">
        <f aca="false">AF1-$C12</f>
        <v>0.918</v>
      </c>
      <c r="AH1" s="149" t="n">
        <f aca="false">AG1-$C12</f>
        <v>0.914</v>
      </c>
    </row>
    <row r="2" customFormat="false" ht="21.75" hidden="false" customHeight="true" outlineLevel="0" collapsed="false">
      <c r="A2" s="150" t="s">
        <v>65</v>
      </c>
      <c r="B2" s="151" t="s">
        <v>2</v>
      </c>
      <c r="C2" s="150" t="s">
        <v>2</v>
      </c>
      <c r="D2" s="152" t="s">
        <v>26</v>
      </c>
      <c r="E2" s="153" t="s">
        <v>66</v>
      </c>
    </row>
    <row r="3" customFormat="false" ht="21.75" hidden="false" customHeight="true" outlineLevel="0" collapsed="false">
      <c r="A3" s="154" t="s">
        <v>67</v>
      </c>
      <c r="B3" s="155" t="n">
        <v>20</v>
      </c>
      <c r="C3" s="154" t="n">
        <v>20</v>
      </c>
      <c r="D3" s="156" t="s">
        <v>26</v>
      </c>
      <c r="E3" s="153" t="s">
        <v>68</v>
      </c>
    </row>
    <row r="4" customFormat="false" ht="21.75" hidden="false" customHeight="true" outlineLevel="0" collapsed="false">
      <c r="A4" s="154" t="s">
        <v>69</v>
      </c>
      <c r="B4" s="155" t="n">
        <v>436.1</v>
      </c>
      <c r="C4" s="154" t="n">
        <v>436.1</v>
      </c>
      <c r="D4" s="156" t="s">
        <v>26</v>
      </c>
      <c r="E4" s="153" t="s">
        <v>70</v>
      </c>
      <c r="M4" s="157" t="s">
        <v>71</v>
      </c>
    </row>
    <row r="5" customFormat="false" ht="22.5" hidden="false" customHeight="true" outlineLevel="0" collapsed="false">
      <c r="A5" s="154" t="s">
        <v>72</v>
      </c>
      <c r="B5" s="155" t="n">
        <v>2020</v>
      </c>
      <c r="C5" s="154" t="n">
        <v>2020</v>
      </c>
      <c r="D5" s="156" t="n">
        <f aca="false">B5+B3-1</f>
        <v>2039</v>
      </c>
      <c r="E5" s="153" t="n">
        <v>2039</v>
      </c>
      <c r="M5" s="157" t="s">
        <v>73</v>
      </c>
    </row>
    <row r="6" customFormat="false" ht="20.25" hidden="false" customHeight="true" outlineLevel="0" collapsed="false">
      <c r="A6" s="158"/>
      <c r="B6" s="158"/>
      <c r="C6" s="158"/>
      <c r="D6" s="158"/>
      <c r="E6" s="159"/>
      <c r="M6" s="157" t="s">
        <v>74</v>
      </c>
    </row>
    <row r="7" customFormat="false" ht="22.5" hidden="false" customHeight="true" outlineLevel="0" collapsed="false">
      <c r="A7" s="147" t="s">
        <v>75</v>
      </c>
      <c r="B7" s="147"/>
      <c r="C7" s="147"/>
      <c r="D7" s="147"/>
      <c r="E7" s="159"/>
      <c r="M7" s="157" t="s">
        <v>76</v>
      </c>
    </row>
    <row r="8" customFormat="false" ht="22.5" hidden="false" customHeight="true" outlineLevel="0" collapsed="false">
      <c r="A8" s="160" t="s">
        <v>77</v>
      </c>
      <c r="B8" s="160"/>
      <c r="C8" s="160"/>
      <c r="D8" s="160"/>
      <c r="E8" s="159"/>
      <c r="M8" s="157" t="s">
        <v>78</v>
      </c>
    </row>
    <row r="9" customFormat="false" ht="22.5" hidden="false" customHeight="true" outlineLevel="0" collapsed="false">
      <c r="A9" s="161" t="s">
        <v>79</v>
      </c>
      <c r="B9" s="162" t="s">
        <v>80</v>
      </c>
      <c r="C9" s="162" t="s">
        <v>81</v>
      </c>
      <c r="D9" s="163" t="s">
        <v>82</v>
      </c>
      <c r="E9" s="148" t="s">
        <v>64</v>
      </c>
      <c r="M9" s="157" t="s">
        <v>83</v>
      </c>
    </row>
    <row r="10" customFormat="false" ht="30" hidden="false" customHeight="true" outlineLevel="0" collapsed="false">
      <c r="A10" s="164" t="s">
        <v>84</v>
      </c>
      <c r="B10" s="150" t="s">
        <v>85</v>
      </c>
      <c r="C10" s="165" t="n">
        <v>547002</v>
      </c>
      <c r="D10" s="166" t="n">
        <v>547002</v>
      </c>
      <c r="E10" s="153" t="n">
        <v>20</v>
      </c>
      <c r="M10" s="157" t="s">
        <v>86</v>
      </c>
    </row>
    <row r="11" customFormat="false" ht="30" hidden="false" customHeight="true" outlineLevel="0" collapsed="false">
      <c r="A11" s="164"/>
      <c r="B11" s="154" t="s">
        <v>87</v>
      </c>
      <c r="C11" s="167" t="n">
        <v>0.01</v>
      </c>
      <c r="D11" s="166"/>
      <c r="E11" s="153" t="s">
        <v>88</v>
      </c>
    </row>
    <row r="12" customFormat="false" ht="30" hidden="false" customHeight="true" outlineLevel="0" collapsed="false">
      <c r="A12" s="164"/>
      <c r="B12" s="154" t="s">
        <v>89</v>
      </c>
      <c r="C12" s="168" t="n">
        <v>0.004</v>
      </c>
      <c r="D12" s="166"/>
      <c r="E12" s="153" t="s">
        <v>90</v>
      </c>
    </row>
    <row r="13" customFormat="false" ht="22.5" hidden="false" customHeight="true" outlineLevel="0" collapsed="false">
      <c r="A13" s="164"/>
      <c r="B13" s="169" t="s">
        <v>91</v>
      </c>
      <c r="C13" s="170" t="n">
        <v>4</v>
      </c>
      <c r="D13" s="166"/>
      <c r="E13" s="153" t="s">
        <v>92</v>
      </c>
    </row>
    <row r="14" customFormat="false" ht="22.5" hidden="false" customHeight="true" outlineLevel="0" collapsed="false">
      <c r="A14" s="171" t="s">
        <v>93</v>
      </c>
      <c r="B14" s="171"/>
      <c r="C14" s="171"/>
      <c r="D14" s="171"/>
      <c r="E14" s="159"/>
    </row>
    <row r="15" customFormat="false" ht="22.5" hidden="false" customHeight="true" outlineLevel="0" collapsed="false">
      <c r="A15" s="161" t="s">
        <v>79</v>
      </c>
      <c r="B15" s="162" t="s">
        <v>80</v>
      </c>
      <c r="C15" s="162" t="s">
        <v>81</v>
      </c>
      <c r="D15" s="163" t="s">
        <v>94</v>
      </c>
      <c r="E15" s="148" t="s">
        <v>64</v>
      </c>
    </row>
    <row r="16" customFormat="false" ht="21.75" hidden="false" customHeight="true" outlineLevel="0" collapsed="false">
      <c r="A16" s="150" t="s">
        <v>95</v>
      </c>
      <c r="B16" s="150" t="s">
        <v>96</v>
      </c>
      <c r="C16" s="172" t="n">
        <v>35000</v>
      </c>
      <c r="D16" s="152" t="n">
        <v>31000</v>
      </c>
      <c r="E16" s="153" t="n">
        <v>20</v>
      </c>
    </row>
    <row r="17" customFormat="false" ht="21.75" hidden="false" customHeight="true" outlineLevel="0" collapsed="false">
      <c r="A17" s="150"/>
      <c r="B17" s="154" t="s">
        <v>97</v>
      </c>
      <c r="C17" s="155" t="n">
        <v>0.3</v>
      </c>
      <c r="D17" s="152"/>
      <c r="E17" s="153" t="s">
        <v>98</v>
      </c>
    </row>
    <row r="18" customFormat="false" ht="21.75" hidden="false" customHeight="true" outlineLevel="0" collapsed="false">
      <c r="A18" s="150"/>
      <c r="B18" s="154" t="s">
        <v>99</v>
      </c>
      <c r="C18" s="173" t="n">
        <v>2000</v>
      </c>
      <c r="D18" s="152"/>
      <c r="E18" s="153" t="s">
        <v>100</v>
      </c>
    </row>
    <row r="19" customFormat="false" ht="54" hidden="false" customHeight="true" outlineLevel="0" collapsed="false">
      <c r="A19" s="154" t="s">
        <v>101</v>
      </c>
      <c r="B19" s="174" t="s">
        <v>102</v>
      </c>
      <c r="C19" s="155" t="n">
        <v>1</v>
      </c>
      <c r="D19" s="152" t="n">
        <v>1</v>
      </c>
      <c r="E19" s="153" t="n">
        <v>0</v>
      </c>
    </row>
    <row r="20" customFormat="false" ht="20.25" hidden="false" customHeight="true" outlineLevel="0" collapsed="false">
      <c r="A20" s="154"/>
      <c r="B20" s="175" t="s">
        <v>103</v>
      </c>
      <c r="C20" s="173" t="n">
        <v>290201</v>
      </c>
      <c r="D20" s="152" t="n">
        <v>290201</v>
      </c>
      <c r="E20" s="153" t="n">
        <v>20</v>
      </c>
    </row>
    <row r="21" customFormat="false" ht="30" hidden="false" customHeight="true" outlineLevel="0" collapsed="false">
      <c r="A21" s="154"/>
      <c r="B21" s="154" t="s">
        <v>104</v>
      </c>
      <c r="C21" s="155"/>
      <c r="D21" s="156" t="n">
        <v>0</v>
      </c>
      <c r="E21" s="153" t="n">
        <v>0</v>
      </c>
    </row>
    <row r="22" customFormat="false" ht="30" hidden="false" customHeight="true" outlineLevel="0" collapsed="false">
      <c r="A22" s="154" t="s">
        <v>105</v>
      </c>
      <c r="B22" s="154" t="s">
        <v>106</v>
      </c>
      <c r="C22" s="173" t="n">
        <v>400</v>
      </c>
      <c r="D22" s="156" t="n">
        <v>400</v>
      </c>
      <c r="E22" s="153" t="n">
        <v>20</v>
      </c>
    </row>
    <row r="23" customFormat="false" ht="30" hidden="false" customHeight="true" outlineLevel="0" collapsed="false">
      <c r="A23" s="154" t="s">
        <v>107</v>
      </c>
      <c r="B23" s="154" t="s">
        <v>108</v>
      </c>
      <c r="C23" s="155" t="n">
        <v>0.003</v>
      </c>
      <c r="D23" s="156" t="n">
        <v>0.003</v>
      </c>
      <c r="E23" s="153" t="n">
        <v>20</v>
      </c>
    </row>
    <row r="24" customFormat="false" ht="30" hidden="false" customHeight="true" outlineLevel="0" collapsed="false">
      <c r="A24" s="154" t="s">
        <v>109</v>
      </c>
      <c r="B24" s="154" t="s">
        <v>110</v>
      </c>
      <c r="C24" s="173" t="n">
        <v>1000</v>
      </c>
      <c r="D24" s="176" t="n">
        <v>1000</v>
      </c>
      <c r="E24" s="153" t="n">
        <v>10</v>
      </c>
    </row>
    <row r="25" customFormat="false" ht="30" hidden="false" customHeight="true" outlineLevel="0" collapsed="false">
      <c r="A25" s="154" t="s">
        <v>111</v>
      </c>
      <c r="B25" s="154" t="s">
        <v>112</v>
      </c>
      <c r="C25" s="168" t="n">
        <v>0.0256</v>
      </c>
      <c r="D25" s="156" t="n">
        <v>0.0256</v>
      </c>
      <c r="E25" s="153" t="n">
        <v>0</v>
      </c>
    </row>
    <row r="26" customFormat="false" ht="30" hidden="false" customHeight="true" outlineLevel="0" collapsed="false">
      <c r="A26" s="154" t="s">
        <v>14</v>
      </c>
      <c r="B26" s="154" t="s">
        <v>113</v>
      </c>
      <c r="C26" s="155" t="n">
        <v>0.2</v>
      </c>
      <c r="D26" s="156" t="n">
        <v>0.2</v>
      </c>
      <c r="E26" s="153" t="n">
        <v>0</v>
      </c>
    </row>
    <row r="27" customFormat="false" ht="20.25" hidden="false" customHeight="true" outlineLevel="0" collapsed="false">
      <c r="A27" s="158"/>
      <c r="B27" s="158"/>
      <c r="C27" s="158"/>
      <c r="D27" s="158"/>
      <c r="E27" s="159"/>
    </row>
    <row r="28" customFormat="false" ht="20.25" hidden="false" customHeight="true" outlineLevel="0" collapsed="false">
      <c r="A28" s="158"/>
      <c r="B28" s="158"/>
      <c r="C28" s="158"/>
      <c r="D28" s="158"/>
      <c r="E28" s="159"/>
    </row>
    <row r="29" customFormat="false" ht="22.5" hidden="false" customHeight="true" outlineLevel="0" collapsed="false">
      <c r="A29" s="147" t="s">
        <v>114</v>
      </c>
      <c r="B29" s="147"/>
      <c r="C29" s="147"/>
      <c r="D29" s="158"/>
      <c r="E29" s="159"/>
    </row>
    <row r="30" customFormat="false" ht="22.5" hidden="false" customHeight="true" outlineLevel="0" collapsed="false">
      <c r="A30" s="161" t="s">
        <v>115</v>
      </c>
      <c r="B30" s="162" t="s">
        <v>80</v>
      </c>
      <c r="C30" s="177" t="s">
        <v>81</v>
      </c>
      <c r="D30" s="158"/>
      <c r="E30" s="148" t="s">
        <v>64</v>
      </c>
    </row>
    <row r="31" customFormat="false" ht="30" hidden="false" customHeight="true" outlineLevel="0" collapsed="false">
      <c r="A31" s="150" t="s">
        <v>116</v>
      </c>
      <c r="B31" s="150" t="s">
        <v>117</v>
      </c>
      <c r="C31" s="178" t="n">
        <v>0.8</v>
      </c>
      <c r="D31" s="158" t="n">
        <v>0.8</v>
      </c>
      <c r="E31" s="153" t="s">
        <v>118</v>
      </c>
    </row>
    <row r="32" customFormat="false" ht="18.75" hidden="false" customHeight="true" outlineLevel="0" collapsed="false">
      <c r="A32" s="150" t="s">
        <v>119</v>
      </c>
      <c r="B32" s="150" t="s">
        <v>120</v>
      </c>
      <c r="C32" s="178" t="n">
        <v>15</v>
      </c>
      <c r="D32" s="158" t="n">
        <v>15</v>
      </c>
      <c r="E32" s="153" t="s">
        <v>121</v>
      </c>
    </row>
    <row r="33" customFormat="false" ht="18.75" hidden="false" customHeight="true" outlineLevel="0" collapsed="false">
      <c r="A33" s="154" t="s">
        <v>53</v>
      </c>
      <c r="B33" s="154" t="s">
        <v>122</v>
      </c>
      <c r="C33" s="155" t="n">
        <v>0.9</v>
      </c>
      <c r="D33" s="158" t="n">
        <v>0.9</v>
      </c>
      <c r="E33" s="153" t="s">
        <v>123</v>
      </c>
    </row>
    <row r="34" customFormat="false" ht="30" hidden="false" customHeight="true" outlineLevel="0" collapsed="false">
      <c r="A34" s="154" t="s">
        <v>54</v>
      </c>
      <c r="B34" s="154" t="s">
        <v>120</v>
      </c>
      <c r="C34" s="155" t="n">
        <v>4</v>
      </c>
      <c r="D34" s="158" t="n">
        <v>4</v>
      </c>
      <c r="E34" s="153" t="s">
        <v>124</v>
      </c>
    </row>
    <row r="35" customFormat="false" ht="18.75" hidden="false" customHeight="true" outlineLevel="0" collapsed="false"/>
    <row r="37" customFormat="false" ht="15.75" hidden="false" customHeight="true" outlineLevel="0" collapsed="false">
      <c r="D37" s="157" t="n">
        <v>2020</v>
      </c>
      <c r="E37" s="157" t="n">
        <v>2021</v>
      </c>
      <c r="F37" s="157" t="n">
        <v>2022</v>
      </c>
      <c r="G37" s="157" t="n">
        <v>2023</v>
      </c>
      <c r="H37" s="157" t="n">
        <v>2024</v>
      </c>
      <c r="I37" s="157" t="n">
        <v>2025</v>
      </c>
      <c r="J37" s="157" t="n">
        <v>2026</v>
      </c>
      <c r="K37" s="157" t="n">
        <v>2027</v>
      </c>
      <c r="L37" s="157" t="n">
        <v>2028</v>
      </c>
      <c r="M37" s="157" t="n">
        <v>2029</v>
      </c>
      <c r="N37" s="157" t="n">
        <v>2030</v>
      </c>
      <c r="O37" s="157" t="n">
        <v>2031</v>
      </c>
      <c r="P37" s="157" t="n">
        <v>2032</v>
      </c>
      <c r="Q37" s="157" t="n">
        <v>2033</v>
      </c>
      <c r="R37" s="157" t="n">
        <v>2034</v>
      </c>
      <c r="S37" s="157" t="n">
        <v>2035</v>
      </c>
      <c r="T37" s="157" t="n">
        <v>2036</v>
      </c>
      <c r="U37" s="157" t="n">
        <v>2037</v>
      </c>
      <c r="V37" s="157" t="n">
        <v>2038</v>
      </c>
      <c r="W37" s="157" t="n">
        <v>2039</v>
      </c>
    </row>
    <row r="45" customFormat="false" ht="15.75" hidden="false" customHeight="true" outlineLevel="0" collapsed="false">
      <c r="D45" s="157" t="n">
        <v>-290201</v>
      </c>
      <c r="E45" s="157" t="n">
        <v>-290201</v>
      </c>
      <c r="F45" s="157" t="n">
        <v>-290201</v>
      </c>
      <c r="G45" s="157" t="n">
        <v>-290201</v>
      </c>
      <c r="H45" s="157" t="n">
        <v>-290201</v>
      </c>
      <c r="I45" s="157" t="n">
        <v>-290201</v>
      </c>
      <c r="J45" s="157" t="n">
        <v>-290201</v>
      </c>
      <c r="K45" s="157" t="n">
        <v>-290201</v>
      </c>
      <c r="L45" s="157" t="n">
        <v>-290201</v>
      </c>
      <c r="M45" s="157" t="n">
        <v>-290201</v>
      </c>
      <c r="N45" s="157" t="n">
        <v>-290201</v>
      </c>
      <c r="O45" s="157" t="n">
        <v>-290201</v>
      </c>
      <c r="P45" s="157" t="n">
        <v>-290201</v>
      </c>
      <c r="Q45" s="157" t="n">
        <v>-290201</v>
      </c>
      <c r="R45" s="157" t="n">
        <v>-290201</v>
      </c>
      <c r="S45" s="157" t="n">
        <v>-290201</v>
      </c>
      <c r="T45" s="157" t="n">
        <v>-290201</v>
      </c>
      <c r="U45" s="157" t="n">
        <v>-290201</v>
      </c>
      <c r="V45" s="157" t="n">
        <v>-290201</v>
      </c>
      <c r="W45" s="157" t="n">
        <v>-290201</v>
      </c>
    </row>
    <row r="48" customFormat="false" ht="15.75" hidden="false" customHeight="true" outlineLevel="0" collapsed="false">
      <c r="D48" s="157" t="n">
        <v>-174440</v>
      </c>
      <c r="E48" s="157" t="n">
        <v>-174440</v>
      </c>
      <c r="F48" s="157" t="n">
        <v>-174440</v>
      </c>
      <c r="G48" s="157" t="n">
        <v>-174440</v>
      </c>
      <c r="H48" s="157" t="n">
        <v>-174440</v>
      </c>
      <c r="I48" s="157" t="n">
        <v>-174440</v>
      </c>
      <c r="J48" s="157" t="n">
        <v>-174440</v>
      </c>
      <c r="K48" s="157" t="n">
        <v>-174440</v>
      </c>
      <c r="L48" s="157" t="n">
        <v>-174440</v>
      </c>
      <c r="M48" s="157" t="n">
        <v>-174440</v>
      </c>
      <c r="N48" s="157" t="n">
        <v>-174440</v>
      </c>
      <c r="O48" s="157" t="n">
        <v>-174440</v>
      </c>
      <c r="P48" s="157" t="n">
        <v>-174440</v>
      </c>
      <c r="Q48" s="157" t="n">
        <v>-174440</v>
      </c>
      <c r="R48" s="157" t="n">
        <v>-174440</v>
      </c>
      <c r="S48" s="157" t="n">
        <v>-174440</v>
      </c>
      <c r="T48" s="157" t="n">
        <v>-174440</v>
      </c>
      <c r="U48" s="157" t="n">
        <v>-174440</v>
      </c>
      <c r="V48" s="157" t="n">
        <v>-174440</v>
      </c>
      <c r="W48" s="157" t="n">
        <v>-174440</v>
      </c>
    </row>
    <row r="49" customFormat="false" ht="15.75" hidden="false" customHeight="true" outlineLevel="0" collapsed="false">
      <c r="D49" s="157" t="n">
        <v>-40557.3</v>
      </c>
      <c r="E49" s="157" t="n">
        <v>-40557.3</v>
      </c>
      <c r="F49" s="157" t="n">
        <v>-40557.3</v>
      </c>
      <c r="G49" s="157" t="n">
        <v>-40557.3</v>
      </c>
      <c r="H49" s="157" t="n">
        <v>-40557.3</v>
      </c>
      <c r="I49" s="157" t="n">
        <v>-40557.3</v>
      </c>
      <c r="J49" s="157" t="n">
        <v>-40557.3</v>
      </c>
      <c r="K49" s="157" t="n">
        <v>-40557.3</v>
      </c>
      <c r="L49" s="157" t="n">
        <v>-40557.3</v>
      </c>
      <c r="M49" s="157" t="n">
        <v>-40557.3</v>
      </c>
      <c r="N49" s="157" t="n">
        <v>-40557.3</v>
      </c>
      <c r="O49" s="157" t="n">
        <v>-40557.3</v>
      </c>
      <c r="P49" s="157" t="n">
        <v>-40557.3</v>
      </c>
      <c r="Q49" s="157" t="n">
        <v>-40557.3</v>
      </c>
      <c r="R49" s="157" t="n">
        <v>-40557.3</v>
      </c>
      <c r="S49" s="157" t="n">
        <v>-40557.3</v>
      </c>
      <c r="T49" s="157" t="n">
        <v>-40557.3</v>
      </c>
      <c r="U49" s="157" t="n">
        <v>-40557.3</v>
      </c>
      <c r="V49" s="157" t="n">
        <v>-40557.3</v>
      </c>
      <c r="W49" s="157" t="n">
        <v>-40557.3</v>
      </c>
    </row>
    <row r="50" customFormat="false" ht="15.75" hidden="false" customHeight="true" outlineLevel="0" collapsed="false">
      <c r="D50" s="157" t="n">
        <v>-43610</v>
      </c>
      <c r="E50" s="157" t="n">
        <v>-43610</v>
      </c>
      <c r="F50" s="157" t="n">
        <v>-43610</v>
      </c>
      <c r="G50" s="157" t="n">
        <v>-43610</v>
      </c>
      <c r="H50" s="157" t="n">
        <v>-43610</v>
      </c>
      <c r="I50" s="157" t="n">
        <v>-43610</v>
      </c>
      <c r="J50" s="157" t="n">
        <v>-43610</v>
      </c>
      <c r="K50" s="157" t="n">
        <v>-43610</v>
      </c>
      <c r="L50" s="157" t="n">
        <v>-43610</v>
      </c>
      <c r="M50" s="157" t="n">
        <v>-43610</v>
      </c>
      <c r="N50" s="157" t="n">
        <v>0</v>
      </c>
      <c r="O50" s="157" t="n">
        <v>0</v>
      </c>
      <c r="P50" s="157" t="n">
        <v>0</v>
      </c>
      <c r="Q50" s="157" t="n">
        <v>0</v>
      </c>
      <c r="R50" s="157" t="n">
        <v>0</v>
      </c>
      <c r="S50" s="157" t="n">
        <v>0</v>
      </c>
      <c r="T50" s="157" t="n">
        <v>0</v>
      </c>
      <c r="U50" s="157" t="n">
        <v>0</v>
      </c>
      <c r="V50" s="157" t="n">
        <v>0</v>
      </c>
      <c r="W50" s="157" t="n">
        <v>0</v>
      </c>
    </row>
    <row r="54" customFormat="false" ht="15" hidden="false" customHeight="true" outlineLevel="0" collapsed="false">
      <c r="D54" s="1" t="n">
        <f aca="false">D77</f>
        <v>0</v>
      </c>
      <c r="E54" s="1" t="n">
        <f aca="false">E77</f>
        <v>0</v>
      </c>
      <c r="F54" s="1" t="n">
        <f aca="false">F77</f>
        <v>0</v>
      </c>
      <c r="G54" s="1" t="n">
        <f aca="false">G77</f>
        <v>0</v>
      </c>
      <c r="H54" s="1" t="n">
        <f aca="false">H77</f>
        <v>0</v>
      </c>
      <c r="I54" s="1" t="n">
        <f aca="false">I77</f>
        <v>0</v>
      </c>
      <c r="J54" s="1" t="n">
        <f aca="false">J77</f>
        <v>0</v>
      </c>
      <c r="K54" s="1" t="n">
        <f aca="false">K77</f>
        <v>0</v>
      </c>
      <c r="L54" s="1" t="n">
        <f aca="false">L77</f>
        <v>0</v>
      </c>
      <c r="M54" s="1" t="n">
        <f aca="false">M77</f>
        <v>0</v>
      </c>
      <c r="N54" s="1" t="n">
        <f aca="false">N77</f>
        <v>0</v>
      </c>
      <c r="O54" s="1" t="n">
        <f aca="false">O77</f>
        <v>0</v>
      </c>
      <c r="P54" s="1" t="n">
        <f aca="false">P77</f>
        <v>0</v>
      </c>
      <c r="Q54" s="1" t="n">
        <f aca="false">Q77</f>
        <v>0</v>
      </c>
      <c r="R54" s="1" t="n">
        <f aca="false">R77</f>
        <v>0</v>
      </c>
      <c r="S54" s="1" t="n">
        <f aca="false">S77</f>
        <v>0</v>
      </c>
      <c r="T54" s="1" t="n">
        <f aca="false">T77</f>
        <v>0</v>
      </c>
      <c r="U54" s="1" t="n">
        <f aca="false">U77</f>
        <v>0</v>
      </c>
      <c r="V54" s="1" t="n">
        <f aca="false">V77</f>
        <v>0</v>
      </c>
      <c r="W54" s="1" t="n">
        <f aca="false">W77</f>
        <v>0</v>
      </c>
    </row>
    <row r="70" customFormat="false" ht="15" hidden="false" customHeight="true" outlineLevel="0" collapsed="false"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25.47"/>
    <col collapsed="false" customWidth="true" hidden="false" outlineLevel="0" max="2" min="2" style="1" width="24.56"/>
    <col collapsed="false" customWidth="true" hidden="false" outlineLevel="0" max="3" min="3" style="1" width="9.1"/>
    <col collapsed="false" customWidth="true" hidden="false" outlineLevel="0" max="4" min="4" style="1" width="10.01"/>
    <col collapsed="false" customWidth="true" hidden="false" outlineLevel="0" max="5" min="5" style="1" width="45.49"/>
    <col collapsed="false" customWidth="true" hidden="false" outlineLevel="0" max="6" min="6" style="1" width="10.01"/>
    <col collapsed="false" customWidth="true" hidden="false" outlineLevel="0" max="13" min="13" style="1" width="45.49"/>
    <col collapsed="false" customWidth="true" hidden="false" outlineLevel="0" max="14" min="14" style="1" width="10.01"/>
    <col collapsed="false" customWidth="true" hidden="false" outlineLevel="0" max="24" min="24" style="1" width="9.1"/>
    <col collapsed="false" customWidth="true" hidden="false" outlineLevel="0" max="28" min="28" style="1" width="10.01"/>
    <col collapsed="false" customWidth="true" hidden="false" outlineLevel="0" max="35" min="35" style="1" width="29.63"/>
    <col collapsed="false" customWidth="true" hidden="false" outlineLevel="0" max="36" min="36" style="1" width="8.32"/>
  </cols>
  <sheetData>
    <row r="1" customFormat="false" ht="22.5" hidden="false" customHeight="true" outlineLevel="0" collapsed="false">
      <c r="A1" s="147" t="s">
        <v>63</v>
      </c>
      <c r="B1" s="147"/>
      <c r="C1" s="147"/>
      <c r="D1" s="147"/>
      <c r="E1" s="148" t="s">
        <v>64</v>
      </c>
      <c r="O1" s="149" t="n">
        <f aca="false">1-C11</f>
        <v>0.99</v>
      </c>
      <c r="P1" s="149" t="n">
        <f aca="false">O1-$C12</f>
        <v>0.986</v>
      </c>
      <c r="Q1" s="149" t="n">
        <f aca="false">P1-$C12</f>
        <v>0.982</v>
      </c>
      <c r="R1" s="149" t="n">
        <f aca="false">Q1-$C12</f>
        <v>0.978</v>
      </c>
      <c r="S1" s="149" t="n">
        <f aca="false">R1-$C12</f>
        <v>0.974</v>
      </c>
      <c r="T1" s="149" t="n">
        <f aca="false">S1-$C12</f>
        <v>0.97</v>
      </c>
      <c r="U1" s="149" t="n">
        <f aca="false">T1-$C12</f>
        <v>0.966</v>
      </c>
      <c r="V1" s="149" t="n">
        <f aca="false">U1-$C12</f>
        <v>0.962</v>
      </c>
      <c r="W1" s="149" t="n">
        <f aca="false">V1-$C12</f>
        <v>0.958</v>
      </c>
      <c r="X1" s="149" t="n">
        <f aca="false">W1-$C12</f>
        <v>0.954</v>
      </c>
      <c r="Y1" s="149" t="n">
        <f aca="false">X1-$C12</f>
        <v>0.95</v>
      </c>
      <c r="Z1" s="149" t="n">
        <f aca="false">Y1-$C12</f>
        <v>0.946</v>
      </c>
      <c r="AA1" s="149" t="n">
        <f aca="false">Z1-$C12</f>
        <v>0.942</v>
      </c>
      <c r="AB1" s="149" t="n">
        <f aca="false">AA1-$C12</f>
        <v>0.938</v>
      </c>
      <c r="AC1" s="149" t="n">
        <f aca="false">AB1-$C12</f>
        <v>0.934</v>
      </c>
      <c r="AD1" s="149" t="n">
        <f aca="false">AC1-$C12</f>
        <v>0.93</v>
      </c>
      <c r="AE1" s="149" t="n">
        <f aca="false">AD1-$C12</f>
        <v>0.926</v>
      </c>
      <c r="AF1" s="149" t="n">
        <f aca="false">AE1-$C12</f>
        <v>0.922</v>
      </c>
      <c r="AG1" s="149" t="n">
        <f aca="false">AF1-$C12</f>
        <v>0.918</v>
      </c>
      <c r="AH1" s="149" t="n">
        <f aca="false">AG1-$C12</f>
        <v>0.914</v>
      </c>
    </row>
    <row r="2" customFormat="false" ht="21.75" hidden="false" customHeight="true" outlineLevel="0" collapsed="false">
      <c r="A2" s="150" t="s">
        <v>65</v>
      </c>
      <c r="B2" s="151" t="s">
        <v>2</v>
      </c>
      <c r="C2" s="150" t="s">
        <v>2</v>
      </c>
      <c r="D2" s="152" t="s">
        <v>26</v>
      </c>
      <c r="E2" s="153" t="s">
        <v>66</v>
      </c>
    </row>
    <row r="3" customFormat="false" ht="21.75" hidden="false" customHeight="true" outlineLevel="0" collapsed="false">
      <c r="A3" s="154" t="s">
        <v>67</v>
      </c>
      <c r="B3" s="155" t="n">
        <v>20</v>
      </c>
      <c r="C3" s="154" t="n">
        <v>20</v>
      </c>
      <c r="D3" s="156" t="s">
        <v>26</v>
      </c>
      <c r="E3" s="153" t="s">
        <v>68</v>
      </c>
    </row>
    <row r="4" customFormat="false" ht="21.75" hidden="false" customHeight="true" outlineLevel="0" collapsed="false">
      <c r="A4" s="154" t="s">
        <v>69</v>
      </c>
      <c r="B4" s="155" t="n">
        <v>436.1</v>
      </c>
      <c r="C4" s="154" t="n">
        <v>436.1</v>
      </c>
      <c r="D4" s="156" t="s">
        <v>26</v>
      </c>
      <c r="E4" s="153" t="s">
        <v>70</v>
      </c>
      <c r="M4" s="157" t="s">
        <v>125</v>
      </c>
    </row>
    <row r="5" customFormat="false" ht="22.5" hidden="false" customHeight="true" outlineLevel="0" collapsed="false">
      <c r="A5" s="154" t="s">
        <v>72</v>
      </c>
      <c r="B5" s="155" t="n">
        <v>2020</v>
      </c>
      <c r="C5" s="154" t="n">
        <v>2020</v>
      </c>
      <c r="D5" s="156" t="n">
        <f aca="false">B5+B3-1</f>
        <v>2039</v>
      </c>
      <c r="E5" s="153" t="n">
        <v>2039</v>
      </c>
      <c r="M5" s="157" t="s">
        <v>126</v>
      </c>
    </row>
    <row r="6" customFormat="false" ht="20.25" hidden="false" customHeight="true" outlineLevel="0" collapsed="false">
      <c r="A6" s="158"/>
      <c r="B6" s="158"/>
      <c r="C6" s="158"/>
      <c r="D6" s="158"/>
      <c r="E6" s="159"/>
      <c r="M6" s="157" t="s">
        <v>127</v>
      </c>
    </row>
    <row r="7" customFormat="false" ht="22.5" hidden="false" customHeight="true" outlineLevel="0" collapsed="false">
      <c r="A7" s="147" t="s">
        <v>75</v>
      </c>
      <c r="B7" s="147"/>
      <c r="C7" s="147"/>
      <c r="D7" s="147"/>
      <c r="E7" s="159"/>
      <c r="M7" s="157" t="s">
        <v>128</v>
      </c>
    </row>
    <row r="8" customFormat="false" ht="22.5" hidden="false" customHeight="true" outlineLevel="0" collapsed="false">
      <c r="A8" s="160" t="s">
        <v>77</v>
      </c>
      <c r="B8" s="160"/>
      <c r="C8" s="160"/>
      <c r="D8" s="160"/>
      <c r="E8" s="159"/>
      <c r="M8" s="157" t="s">
        <v>129</v>
      </c>
    </row>
    <row r="9" customFormat="false" ht="22.5" hidden="false" customHeight="true" outlineLevel="0" collapsed="false">
      <c r="A9" s="161" t="s">
        <v>79</v>
      </c>
      <c r="B9" s="162" t="s">
        <v>80</v>
      </c>
      <c r="C9" s="162" t="s">
        <v>81</v>
      </c>
      <c r="D9" s="163" t="s">
        <v>82</v>
      </c>
      <c r="E9" s="148" t="s">
        <v>64</v>
      </c>
      <c r="M9" s="157" t="s">
        <v>83</v>
      </c>
    </row>
    <row r="10" customFormat="false" ht="30" hidden="false" customHeight="true" outlineLevel="0" collapsed="false">
      <c r="A10" s="164" t="s">
        <v>84</v>
      </c>
      <c r="B10" s="150" t="s">
        <v>85</v>
      </c>
      <c r="C10" s="165" t="n">
        <v>547002</v>
      </c>
      <c r="D10" s="166" t="n">
        <v>547002</v>
      </c>
      <c r="E10" s="153" t="n">
        <v>20</v>
      </c>
      <c r="M10" s="157" t="s">
        <v>130</v>
      </c>
    </row>
    <row r="11" customFormat="false" ht="30" hidden="false" customHeight="true" outlineLevel="0" collapsed="false">
      <c r="A11" s="164"/>
      <c r="B11" s="154" t="s">
        <v>87</v>
      </c>
      <c r="C11" s="167" t="n">
        <v>0.01</v>
      </c>
      <c r="D11" s="166"/>
      <c r="E11" s="153" t="s">
        <v>88</v>
      </c>
    </row>
    <row r="12" customFormat="false" ht="30" hidden="false" customHeight="true" outlineLevel="0" collapsed="false">
      <c r="A12" s="164"/>
      <c r="B12" s="154" t="s">
        <v>89</v>
      </c>
      <c r="C12" s="168" t="n">
        <v>0.004</v>
      </c>
      <c r="D12" s="166"/>
      <c r="E12" s="153" t="s">
        <v>90</v>
      </c>
    </row>
    <row r="13" customFormat="false" ht="22.5" hidden="false" customHeight="true" outlineLevel="0" collapsed="false">
      <c r="A13" s="164"/>
      <c r="B13" s="169" t="s">
        <v>91</v>
      </c>
      <c r="C13" s="170" t="n">
        <v>4</v>
      </c>
      <c r="D13" s="166"/>
      <c r="E13" s="153" t="s">
        <v>92</v>
      </c>
    </row>
    <row r="14" customFormat="false" ht="22.5" hidden="false" customHeight="true" outlineLevel="0" collapsed="false">
      <c r="A14" s="171" t="s">
        <v>93</v>
      </c>
      <c r="B14" s="171"/>
      <c r="C14" s="171"/>
      <c r="D14" s="171"/>
      <c r="E14" s="159"/>
    </row>
    <row r="15" customFormat="false" ht="22.5" hidden="false" customHeight="true" outlineLevel="0" collapsed="false">
      <c r="A15" s="161" t="s">
        <v>79</v>
      </c>
      <c r="B15" s="162" t="s">
        <v>80</v>
      </c>
      <c r="C15" s="162" t="s">
        <v>81</v>
      </c>
      <c r="D15" s="163" t="s">
        <v>94</v>
      </c>
      <c r="E15" s="148" t="s">
        <v>64</v>
      </c>
    </row>
    <row r="16" customFormat="false" ht="21.75" hidden="false" customHeight="true" outlineLevel="0" collapsed="false">
      <c r="A16" s="150" t="s">
        <v>95</v>
      </c>
      <c r="B16" s="150" t="s">
        <v>96</v>
      </c>
      <c r="C16" s="172" t="n">
        <v>35000</v>
      </c>
      <c r="D16" s="152" t="n">
        <v>25000</v>
      </c>
      <c r="E16" s="153" t="n">
        <v>20</v>
      </c>
    </row>
    <row r="17" customFormat="false" ht="21.75" hidden="false" customHeight="true" outlineLevel="0" collapsed="false">
      <c r="A17" s="150"/>
      <c r="B17" s="154" t="s">
        <v>97</v>
      </c>
      <c r="C17" s="155" t="n">
        <v>0.3</v>
      </c>
      <c r="D17" s="152"/>
      <c r="E17" s="153" t="s">
        <v>98</v>
      </c>
    </row>
    <row r="18" customFormat="false" ht="21.75" hidden="false" customHeight="true" outlineLevel="0" collapsed="false">
      <c r="A18" s="150"/>
      <c r="B18" s="154" t="s">
        <v>99</v>
      </c>
      <c r="C18" s="173" t="n">
        <v>2000</v>
      </c>
      <c r="D18" s="152"/>
      <c r="E18" s="153" t="s">
        <v>100</v>
      </c>
    </row>
    <row r="19" customFormat="false" ht="54" hidden="false" customHeight="true" outlineLevel="0" collapsed="false">
      <c r="A19" s="154" t="s">
        <v>101</v>
      </c>
      <c r="B19" s="174" t="s">
        <v>102</v>
      </c>
      <c r="C19" s="155" t="n">
        <v>1</v>
      </c>
      <c r="D19" s="152" t="n">
        <v>1</v>
      </c>
      <c r="E19" s="153" t="n">
        <v>0</v>
      </c>
    </row>
    <row r="20" customFormat="false" ht="20.25" hidden="false" customHeight="true" outlineLevel="0" collapsed="false">
      <c r="A20" s="154"/>
      <c r="B20" s="175" t="s">
        <v>103</v>
      </c>
      <c r="C20" s="173" t="n">
        <v>290201</v>
      </c>
      <c r="D20" s="152" t="n">
        <v>290201</v>
      </c>
      <c r="E20" s="153" t="n">
        <v>20</v>
      </c>
    </row>
    <row r="21" customFormat="false" ht="30" hidden="false" customHeight="true" outlineLevel="0" collapsed="false">
      <c r="A21" s="154"/>
      <c r="B21" s="154" t="s">
        <v>104</v>
      </c>
      <c r="C21" s="155"/>
      <c r="D21" s="156" t="n">
        <v>0</v>
      </c>
      <c r="E21" s="153" t="n">
        <v>0</v>
      </c>
    </row>
    <row r="22" customFormat="false" ht="30" hidden="false" customHeight="true" outlineLevel="0" collapsed="false">
      <c r="A22" s="154" t="s">
        <v>105</v>
      </c>
      <c r="B22" s="154" t="s">
        <v>106</v>
      </c>
      <c r="C22" s="173" t="n">
        <v>400</v>
      </c>
      <c r="D22" s="156" t="n">
        <v>400</v>
      </c>
      <c r="E22" s="153" t="n">
        <v>20</v>
      </c>
    </row>
    <row r="23" customFormat="false" ht="30" hidden="false" customHeight="true" outlineLevel="0" collapsed="false">
      <c r="A23" s="154" t="s">
        <v>107</v>
      </c>
      <c r="B23" s="154" t="s">
        <v>108</v>
      </c>
      <c r="C23" s="155" t="n">
        <v>0.003</v>
      </c>
      <c r="D23" s="156" t="n">
        <v>0.003</v>
      </c>
      <c r="E23" s="153" t="n">
        <v>20</v>
      </c>
    </row>
    <row r="24" customFormat="false" ht="30" hidden="false" customHeight="true" outlineLevel="0" collapsed="false">
      <c r="A24" s="154" t="s">
        <v>109</v>
      </c>
      <c r="B24" s="154" t="s">
        <v>110</v>
      </c>
      <c r="C24" s="173" t="n">
        <v>1000</v>
      </c>
      <c r="D24" s="176" t="n">
        <v>1000</v>
      </c>
      <c r="E24" s="153" t="n">
        <v>10</v>
      </c>
    </row>
    <row r="25" customFormat="false" ht="30" hidden="false" customHeight="true" outlineLevel="0" collapsed="false">
      <c r="A25" s="154" t="s">
        <v>111</v>
      </c>
      <c r="B25" s="154" t="s">
        <v>112</v>
      </c>
      <c r="C25" s="168" t="n">
        <v>0.0256</v>
      </c>
      <c r="D25" s="156" t="n">
        <v>0.0256</v>
      </c>
      <c r="E25" s="153" t="n">
        <v>0</v>
      </c>
    </row>
    <row r="26" customFormat="false" ht="30" hidden="false" customHeight="true" outlineLevel="0" collapsed="false">
      <c r="A26" s="154" t="s">
        <v>14</v>
      </c>
      <c r="B26" s="154" t="s">
        <v>113</v>
      </c>
      <c r="C26" s="155" t="n">
        <v>0.2</v>
      </c>
      <c r="D26" s="156" t="n">
        <v>0.2</v>
      </c>
      <c r="E26" s="153" t="n">
        <v>0</v>
      </c>
    </row>
    <row r="27" customFormat="false" ht="20.25" hidden="false" customHeight="true" outlineLevel="0" collapsed="false">
      <c r="A27" s="158"/>
      <c r="B27" s="158"/>
      <c r="C27" s="158"/>
      <c r="D27" s="158"/>
      <c r="E27" s="159"/>
    </row>
    <row r="28" customFormat="false" ht="20.25" hidden="false" customHeight="true" outlineLevel="0" collapsed="false">
      <c r="A28" s="158"/>
      <c r="B28" s="158"/>
      <c r="C28" s="158"/>
      <c r="D28" s="158"/>
      <c r="E28" s="159"/>
    </row>
    <row r="29" customFormat="false" ht="22.5" hidden="false" customHeight="true" outlineLevel="0" collapsed="false">
      <c r="A29" s="147" t="s">
        <v>114</v>
      </c>
      <c r="B29" s="147"/>
      <c r="C29" s="147"/>
      <c r="D29" s="158"/>
      <c r="E29" s="159"/>
    </row>
    <row r="30" customFormat="false" ht="22.5" hidden="false" customHeight="true" outlineLevel="0" collapsed="false">
      <c r="A30" s="161" t="s">
        <v>115</v>
      </c>
      <c r="B30" s="162" t="s">
        <v>80</v>
      </c>
      <c r="C30" s="177" t="s">
        <v>81</v>
      </c>
      <c r="D30" s="158"/>
      <c r="E30" s="148" t="s">
        <v>64</v>
      </c>
    </row>
    <row r="31" customFormat="false" ht="30" hidden="false" customHeight="true" outlineLevel="0" collapsed="false">
      <c r="A31" s="150" t="s">
        <v>116</v>
      </c>
      <c r="B31" s="150" t="s">
        <v>117</v>
      </c>
      <c r="C31" s="178" t="n">
        <v>0.8</v>
      </c>
      <c r="D31" s="158" t="n">
        <v>0.8</v>
      </c>
      <c r="E31" s="153" t="s">
        <v>118</v>
      </c>
    </row>
    <row r="32" customFormat="false" ht="18.75" hidden="false" customHeight="true" outlineLevel="0" collapsed="false">
      <c r="A32" s="150" t="s">
        <v>119</v>
      </c>
      <c r="B32" s="150" t="s">
        <v>120</v>
      </c>
      <c r="C32" s="178" t="n">
        <v>15</v>
      </c>
      <c r="D32" s="158" t="n">
        <v>15</v>
      </c>
      <c r="E32" s="153" t="s">
        <v>121</v>
      </c>
    </row>
    <row r="33" customFormat="false" ht="18.75" hidden="false" customHeight="true" outlineLevel="0" collapsed="false">
      <c r="A33" s="154" t="s">
        <v>53</v>
      </c>
      <c r="B33" s="154" t="s">
        <v>122</v>
      </c>
      <c r="C33" s="155" t="n">
        <v>0.9</v>
      </c>
      <c r="D33" s="158" t="n">
        <v>0.9</v>
      </c>
      <c r="E33" s="153" t="s">
        <v>123</v>
      </c>
    </row>
    <row r="34" customFormat="false" ht="30" hidden="false" customHeight="true" outlineLevel="0" collapsed="false">
      <c r="A34" s="154" t="s">
        <v>54</v>
      </c>
      <c r="B34" s="154" t="s">
        <v>120</v>
      </c>
      <c r="C34" s="155" t="n">
        <v>4</v>
      </c>
      <c r="D34" s="158" t="n">
        <v>4</v>
      </c>
      <c r="E34" s="153" t="s">
        <v>124</v>
      </c>
    </row>
    <row r="35" customFormat="false" ht="18.75" hidden="false" customHeight="true" outlineLevel="0" collapsed="false"/>
    <row r="37" customFormat="false" ht="15.75" hidden="false" customHeight="true" outlineLevel="0" collapsed="false">
      <c r="D37" s="157" t="n">
        <v>2020</v>
      </c>
      <c r="E37" s="157" t="n">
        <v>2021</v>
      </c>
      <c r="F37" s="157" t="n">
        <v>2022</v>
      </c>
      <c r="G37" s="157" t="n">
        <v>2023</v>
      </c>
      <c r="H37" s="157" t="n">
        <v>2024</v>
      </c>
      <c r="I37" s="157" t="n">
        <v>2025</v>
      </c>
      <c r="J37" s="157" t="n">
        <v>2026</v>
      </c>
      <c r="K37" s="157" t="n">
        <v>2027</v>
      </c>
      <c r="L37" s="157" t="n">
        <v>2028</v>
      </c>
      <c r="M37" s="157" t="n">
        <v>2029</v>
      </c>
      <c r="N37" s="157" t="n">
        <v>2030</v>
      </c>
      <c r="O37" s="157" t="n">
        <v>2031</v>
      </c>
      <c r="P37" s="157" t="n">
        <v>2032</v>
      </c>
      <c r="Q37" s="157" t="n">
        <v>2033</v>
      </c>
      <c r="R37" s="157" t="n">
        <v>2034</v>
      </c>
      <c r="S37" s="157" t="n">
        <v>2035</v>
      </c>
      <c r="T37" s="157" t="n">
        <v>2036</v>
      </c>
      <c r="U37" s="157" t="n">
        <v>2037</v>
      </c>
      <c r="V37" s="157" t="n">
        <v>2038</v>
      </c>
      <c r="W37" s="157" t="n">
        <v>2039</v>
      </c>
    </row>
    <row r="45" customFormat="false" ht="15.75" hidden="false" customHeight="true" outlineLevel="0" collapsed="false">
      <c r="D45" s="157" t="n">
        <v>-290201</v>
      </c>
      <c r="E45" s="157" t="n">
        <v>-290201</v>
      </c>
      <c r="F45" s="157" t="n">
        <v>-290201</v>
      </c>
      <c r="G45" s="157" t="n">
        <v>-290201</v>
      </c>
      <c r="H45" s="157" t="n">
        <v>-290201</v>
      </c>
      <c r="I45" s="157" t="n">
        <v>-290201</v>
      </c>
      <c r="J45" s="157" t="n">
        <v>-290201</v>
      </c>
      <c r="K45" s="157" t="n">
        <v>-290201</v>
      </c>
      <c r="L45" s="157" t="n">
        <v>-290201</v>
      </c>
      <c r="M45" s="157" t="n">
        <v>-290201</v>
      </c>
      <c r="N45" s="157" t="n">
        <v>-290201</v>
      </c>
      <c r="O45" s="157" t="n">
        <v>-290201</v>
      </c>
      <c r="P45" s="157" t="n">
        <v>-290201</v>
      </c>
      <c r="Q45" s="157" t="n">
        <v>-290201</v>
      </c>
      <c r="R45" s="157" t="n">
        <v>-290201</v>
      </c>
      <c r="S45" s="157" t="n">
        <v>-290201</v>
      </c>
      <c r="T45" s="157" t="n">
        <v>-290201</v>
      </c>
      <c r="U45" s="157" t="n">
        <v>-290201</v>
      </c>
      <c r="V45" s="157" t="n">
        <v>-290201</v>
      </c>
      <c r="W45" s="157" t="n">
        <v>-290201</v>
      </c>
    </row>
    <row r="48" customFormat="false" ht="15.75" hidden="false" customHeight="true" outlineLevel="0" collapsed="false">
      <c r="D48" s="157" t="n">
        <v>-174440</v>
      </c>
      <c r="E48" s="157" t="n">
        <v>-174440</v>
      </c>
      <c r="F48" s="157" t="n">
        <v>-174440</v>
      </c>
      <c r="G48" s="157" t="n">
        <v>-174440</v>
      </c>
      <c r="H48" s="157" t="n">
        <v>-174440</v>
      </c>
      <c r="I48" s="157" t="n">
        <v>-174440</v>
      </c>
      <c r="J48" s="157" t="n">
        <v>-174440</v>
      </c>
      <c r="K48" s="157" t="n">
        <v>-174440</v>
      </c>
      <c r="L48" s="157" t="n">
        <v>-174440</v>
      </c>
      <c r="M48" s="157" t="n">
        <v>-174440</v>
      </c>
      <c r="N48" s="157" t="n">
        <v>-174440</v>
      </c>
      <c r="O48" s="157" t="n">
        <v>-174440</v>
      </c>
      <c r="P48" s="157" t="n">
        <v>-174440</v>
      </c>
      <c r="Q48" s="157" t="n">
        <v>-174440</v>
      </c>
      <c r="R48" s="157" t="n">
        <v>-174440</v>
      </c>
      <c r="S48" s="157" t="n">
        <v>-174440</v>
      </c>
      <c r="T48" s="157" t="n">
        <v>-174440</v>
      </c>
      <c r="U48" s="157" t="n">
        <v>-174440</v>
      </c>
      <c r="V48" s="157" t="n">
        <v>-174440</v>
      </c>
      <c r="W48" s="157" t="n">
        <v>-174440</v>
      </c>
    </row>
    <row r="49" customFormat="false" ht="15.75" hidden="false" customHeight="true" outlineLevel="0" collapsed="false">
      <c r="D49" s="157" t="n">
        <v>-32707.5</v>
      </c>
      <c r="E49" s="157" t="n">
        <v>-32707.5</v>
      </c>
      <c r="F49" s="157" t="n">
        <v>-32707.5</v>
      </c>
      <c r="G49" s="157" t="n">
        <v>-32707.5</v>
      </c>
      <c r="H49" s="157" t="n">
        <v>-32707.5</v>
      </c>
      <c r="I49" s="157" t="n">
        <v>-32707.5</v>
      </c>
      <c r="J49" s="157" t="n">
        <v>-32707.5</v>
      </c>
      <c r="K49" s="157" t="n">
        <v>-32707.5</v>
      </c>
      <c r="L49" s="157" t="n">
        <v>-32707.5</v>
      </c>
      <c r="M49" s="157" t="n">
        <v>-32707.5</v>
      </c>
      <c r="N49" s="157" t="n">
        <v>-32707.5</v>
      </c>
      <c r="O49" s="157" t="n">
        <v>-32707.5</v>
      </c>
      <c r="P49" s="157" t="n">
        <v>-32707.5</v>
      </c>
      <c r="Q49" s="157" t="n">
        <v>-32707.5</v>
      </c>
      <c r="R49" s="157" t="n">
        <v>-32707.5</v>
      </c>
      <c r="S49" s="157" t="n">
        <v>-32707.5</v>
      </c>
      <c r="T49" s="157" t="n">
        <v>-32707.5</v>
      </c>
      <c r="U49" s="157" t="n">
        <v>-32707.5</v>
      </c>
      <c r="V49" s="157" t="n">
        <v>-32707.5</v>
      </c>
      <c r="W49" s="157" t="n">
        <v>-32707.5</v>
      </c>
    </row>
    <row r="50" customFormat="false" ht="15.75" hidden="false" customHeight="true" outlineLevel="0" collapsed="false">
      <c r="D50" s="157" t="n">
        <v>-43610</v>
      </c>
      <c r="E50" s="157" t="n">
        <v>-43610</v>
      </c>
      <c r="F50" s="157" t="n">
        <v>-43610</v>
      </c>
      <c r="G50" s="157" t="n">
        <v>-43610</v>
      </c>
      <c r="H50" s="157" t="n">
        <v>-43610</v>
      </c>
      <c r="I50" s="157" t="n">
        <v>-43610</v>
      </c>
      <c r="J50" s="157" t="n">
        <v>-43610</v>
      </c>
      <c r="K50" s="157" t="n">
        <v>-43610</v>
      </c>
      <c r="L50" s="157" t="n">
        <v>-43610</v>
      </c>
      <c r="M50" s="157" t="n">
        <v>-43610</v>
      </c>
      <c r="N50" s="157" t="n">
        <v>0</v>
      </c>
      <c r="O50" s="157" t="n">
        <v>0</v>
      </c>
      <c r="P50" s="157" t="n">
        <v>0</v>
      </c>
      <c r="Q50" s="157" t="n">
        <v>0</v>
      </c>
      <c r="R50" s="157" t="n">
        <v>0</v>
      </c>
      <c r="S50" s="157" t="n">
        <v>0</v>
      </c>
      <c r="T50" s="157" t="n">
        <v>0</v>
      </c>
      <c r="U50" s="157" t="n">
        <v>0</v>
      </c>
      <c r="V50" s="157" t="n">
        <v>0</v>
      </c>
      <c r="W50" s="157" t="n">
        <v>0</v>
      </c>
    </row>
    <row r="54" customFormat="false" ht="15" hidden="false" customHeight="true" outlineLevel="0" collapsed="false">
      <c r="D54" s="1" t="n">
        <f aca="false">D77</f>
        <v>0</v>
      </c>
      <c r="E54" s="1" t="n">
        <f aca="false">E77</f>
        <v>0</v>
      </c>
      <c r="F54" s="1" t="n">
        <f aca="false">F77</f>
        <v>0</v>
      </c>
      <c r="G54" s="1" t="n">
        <f aca="false">G77</f>
        <v>0</v>
      </c>
      <c r="H54" s="1" t="n">
        <f aca="false">H77</f>
        <v>0</v>
      </c>
      <c r="I54" s="1" t="n">
        <f aca="false">I77</f>
        <v>0</v>
      </c>
      <c r="J54" s="1" t="n">
        <f aca="false">J77</f>
        <v>0</v>
      </c>
      <c r="K54" s="1" t="n">
        <f aca="false">K77</f>
        <v>0</v>
      </c>
      <c r="L54" s="1" t="n">
        <f aca="false">L77</f>
        <v>0</v>
      </c>
      <c r="M54" s="1" t="n">
        <f aca="false">M77</f>
        <v>0</v>
      </c>
      <c r="N54" s="1" t="n">
        <f aca="false">N77</f>
        <v>0</v>
      </c>
      <c r="O54" s="1" t="n">
        <f aca="false">O77</f>
        <v>0</v>
      </c>
      <c r="P54" s="1" t="n">
        <f aca="false">P77</f>
        <v>0</v>
      </c>
      <c r="Q54" s="1" t="n">
        <f aca="false">Q77</f>
        <v>0</v>
      </c>
      <c r="R54" s="1" t="n">
        <f aca="false">R77</f>
        <v>0</v>
      </c>
      <c r="S54" s="1" t="n">
        <f aca="false">S77</f>
        <v>0</v>
      </c>
      <c r="T54" s="1" t="n">
        <f aca="false">T77</f>
        <v>0</v>
      </c>
      <c r="U54" s="1" t="n">
        <f aca="false">U77</f>
        <v>0</v>
      </c>
      <c r="V54" s="1" t="n">
        <f aca="false">V77</f>
        <v>0</v>
      </c>
      <c r="W54" s="1" t="n">
        <f aca="false">W77</f>
        <v>0</v>
      </c>
    </row>
    <row r="70" customFormat="false" ht="15" hidden="false" customHeight="true" outlineLevel="0" collapsed="false"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25.47"/>
    <col collapsed="false" customWidth="true" hidden="false" outlineLevel="0" max="2" min="2" style="1" width="24.56"/>
    <col collapsed="false" customWidth="true" hidden="false" outlineLevel="0" max="3" min="3" style="1" width="9.1"/>
    <col collapsed="false" customWidth="true" hidden="false" outlineLevel="0" max="4" min="4" style="1" width="10.01"/>
    <col collapsed="false" customWidth="true" hidden="false" outlineLevel="0" max="5" min="5" style="1" width="45.49"/>
    <col collapsed="false" customWidth="true" hidden="false" outlineLevel="0" max="6" min="6" style="1" width="19.11"/>
    <col collapsed="false" customWidth="true" hidden="false" outlineLevel="0" max="13" min="13" style="1" width="45.49"/>
    <col collapsed="false" customWidth="true" hidden="false" outlineLevel="0" max="14" min="14" style="1" width="19.11"/>
    <col collapsed="false" customWidth="true" hidden="false" outlineLevel="0" max="20" min="20" style="1" width="10.01"/>
    <col collapsed="false" customWidth="true" hidden="false" outlineLevel="0" max="24" min="24" style="1" width="9.1"/>
    <col collapsed="false" customWidth="true" hidden="false" outlineLevel="0" max="28" min="28" style="1" width="10.01"/>
    <col collapsed="false" customWidth="true" hidden="false" outlineLevel="0" max="35" min="35" style="1" width="29.63"/>
    <col collapsed="false" customWidth="true" hidden="false" outlineLevel="0" max="36" min="36" style="1" width="8.32"/>
  </cols>
  <sheetData>
    <row r="1" customFormat="false" ht="22.5" hidden="false" customHeight="true" outlineLevel="0" collapsed="false">
      <c r="A1" s="147" t="s">
        <v>63</v>
      </c>
      <c r="B1" s="147"/>
      <c r="C1" s="147"/>
      <c r="D1" s="147"/>
      <c r="E1" s="148" t="s">
        <v>64</v>
      </c>
      <c r="O1" s="149" t="n">
        <f aca="false">1-C11</f>
        <v>0.99</v>
      </c>
      <c r="P1" s="149" t="n">
        <f aca="false">O1-$C12</f>
        <v>0.986</v>
      </c>
      <c r="Q1" s="149" t="n">
        <f aca="false">P1-$C12</f>
        <v>0.982</v>
      </c>
      <c r="R1" s="149" t="n">
        <f aca="false">Q1-$C12</f>
        <v>0.978</v>
      </c>
      <c r="S1" s="149" t="n">
        <f aca="false">R1-$C12</f>
        <v>0.974</v>
      </c>
      <c r="T1" s="149" t="n">
        <f aca="false">S1-$C12</f>
        <v>0.97</v>
      </c>
      <c r="U1" s="149" t="n">
        <f aca="false">T1-$C12</f>
        <v>0.966</v>
      </c>
      <c r="V1" s="149" t="n">
        <f aca="false">U1-$C12</f>
        <v>0.962</v>
      </c>
      <c r="W1" s="149" t="n">
        <f aca="false">V1-$C12</f>
        <v>0.958</v>
      </c>
      <c r="X1" s="149" t="n">
        <f aca="false">W1-$C12</f>
        <v>0.954</v>
      </c>
      <c r="Y1" s="149" t="n">
        <f aca="false">X1-$C12</f>
        <v>0.95</v>
      </c>
      <c r="Z1" s="149" t="n">
        <f aca="false">Y1-$C12</f>
        <v>0.946</v>
      </c>
      <c r="AA1" s="149" t="n">
        <f aca="false">Z1-$C12</f>
        <v>0.942</v>
      </c>
      <c r="AB1" s="149" t="n">
        <f aca="false">AA1-$C12</f>
        <v>0.938</v>
      </c>
      <c r="AC1" s="149" t="n">
        <f aca="false">AB1-$C12</f>
        <v>0.934</v>
      </c>
      <c r="AD1" s="149" t="n">
        <f aca="false">AC1-$C12</f>
        <v>0.93</v>
      </c>
      <c r="AE1" s="149" t="n">
        <f aca="false">AD1-$C12</f>
        <v>0.926</v>
      </c>
      <c r="AF1" s="149" t="n">
        <f aca="false">AE1-$C12</f>
        <v>0.922</v>
      </c>
      <c r="AG1" s="149" t="n">
        <f aca="false">AF1-$C12</f>
        <v>0.918</v>
      </c>
      <c r="AH1" s="149" t="n">
        <f aca="false">AG1-$C12</f>
        <v>0.914</v>
      </c>
    </row>
    <row r="2" customFormat="false" ht="21.75" hidden="false" customHeight="true" outlineLevel="0" collapsed="false">
      <c r="A2" s="150" t="s">
        <v>65</v>
      </c>
      <c r="B2" s="151" t="s">
        <v>2</v>
      </c>
      <c r="C2" s="150" t="s">
        <v>2</v>
      </c>
      <c r="D2" s="152" t="s">
        <v>26</v>
      </c>
      <c r="E2" s="153" t="s">
        <v>66</v>
      </c>
    </row>
    <row r="3" customFormat="false" ht="21.75" hidden="false" customHeight="true" outlineLevel="0" collapsed="false">
      <c r="A3" s="154" t="s">
        <v>67</v>
      </c>
      <c r="B3" s="155" t="n">
        <v>20</v>
      </c>
      <c r="C3" s="154" t="n">
        <v>20</v>
      </c>
      <c r="D3" s="156" t="s">
        <v>26</v>
      </c>
      <c r="E3" s="153" t="s">
        <v>68</v>
      </c>
    </row>
    <row r="4" customFormat="false" ht="21.75" hidden="false" customHeight="true" outlineLevel="0" collapsed="false">
      <c r="A4" s="154" t="s">
        <v>69</v>
      </c>
      <c r="B4" s="155" t="n">
        <v>436.1</v>
      </c>
      <c r="C4" s="154" t="n">
        <v>436.1</v>
      </c>
      <c r="D4" s="156" t="s">
        <v>26</v>
      </c>
      <c r="E4" s="153" t="s">
        <v>70</v>
      </c>
      <c r="M4" s="157" t="s">
        <v>131</v>
      </c>
    </row>
    <row r="5" customFormat="false" ht="22.5" hidden="false" customHeight="true" outlineLevel="0" collapsed="false">
      <c r="A5" s="154" t="s">
        <v>72</v>
      </c>
      <c r="B5" s="155" t="n">
        <v>2020</v>
      </c>
      <c r="C5" s="154" t="n">
        <v>2020</v>
      </c>
      <c r="D5" s="156" t="n">
        <f aca="false">B5+B3-1</f>
        <v>2039</v>
      </c>
      <c r="E5" s="153" t="n">
        <v>2039</v>
      </c>
      <c r="M5" s="157" t="s">
        <v>132</v>
      </c>
    </row>
    <row r="6" customFormat="false" ht="20.25" hidden="false" customHeight="true" outlineLevel="0" collapsed="false">
      <c r="A6" s="158"/>
      <c r="B6" s="158"/>
      <c r="C6" s="158"/>
      <c r="D6" s="158"/>
      <c r="E6" s="159"/>
      <c r="M6" s="157" t="s">
        <v>133</v>
      </c>
    </row>
    <row r="7" customFormat="false" ht="22.5" hidden="false" customHeight="true" outlineLevel="0" collapsed="false">
      <c r="A7" s="147" t="s">
        <v>75</v>
      </c>
      <c r="B7" s="147"/>
      <c r="C7" s="147"/>
      <c r="D7" s="147"/>
      <c r="E7" s="159"/>
      <c r="M7" s="157" t="s">
        <v>134</v>
      </c>
    </row>
    <row r="8" customFormat="false" ht="22.5" hidden="false" customHeight="true" outlineLevel="0" collapsed="false">
      <c r="A8" s="160" t="s">
        <v>77</v>
      </c>
      <c r="B8" s="160"/>
      <c r="C8" s="160"/>
      <c r="D8" s="160"/>
      <c r="E8" s="159"/>
      <c r="M8" s="157" t="s">
        <v>135</v>
      </c>
    </row>
    <row r="9" customFormat="false" ht="22.5" hidden="false" customHeight="true" outlineLevel="0" collapsed="false">
      <c r="A9" s="161" t="s">
        <v>79</v>
      </c>
      <c r="B9" s="162" t="s">
        <v>80</v>
      </c>
      <c r="C9" s="162" t="s">
        <v>81</v>
      </c>
      <c r="D9" s="163" t="s">
        <v>82</v>
      </c>
      <c r="E9" s="148" t="s">
        <v>64</v>
      </c>
      <c r="M9" s="157" t="s">
        <v>83</v>
      </c>
    </row>
    <row r="10" customFormat="false" ht="30" hidden="false" customHeight="true" outlineLevel="0" collapsed="false">
      <c r="A10" s="164" t="s">
        <v>84</v>
      </c>
      <c r="B10" s="150" t="s">
        <v>85</v>
      </c>
      <c r="C10" s="165" t="n">
        <v>547002</v>
      </c>
      <c r="D10" s="166" t="n">
        <v>547002</v>
      </c>
      <c r="E10" s="153" t="n">
        <v>20</v>
      </c>
      <c r="M10" s="157" t="s">
        <v>136</v>
      </c>
    </row>
    <row r="11" customFormat="false" ht="30" hidden="false" customHeight="true" outlineLevel="0" collapsed="false">
      <c r="A11" s="164"/>
      <c r="B11" s="154" t="s">
        <v>87</v>
      </c>
      <c r="C11" s="167" t="n">
        <v>0.01</v>
      </c>
      <c r="D11" s="166"/>
      <c r="E11" s="153" t="s">
        <v>88</v>
      </c>
    </row>
    <row r="12" customFormat="false" ht="30" hidden="false" customHeight="true" outlineLevel="0" collapsed="false">
      <c r="A12" s="164"/>
      <c r="B12" s="154" t="s">
        <v>89</v>
      </c>
      <c r="C12" s="168" t="n">
        <v>0.004</v>
      </c>
      <c r="D12" s="166"/>
      <c r="E12" s="153" t="s">
        <v>90</v>
      </c>
    </row>
    <row r="13" customFormat="false" ht="22.5" hidden="false" customHeight="true" outlineLevel="0" collapsed="false">
      <c r="A13" s="164"/>
      <c r="B13" s="169" t="s">
        <v>91</v>
      </c>
      <c r="C13" s="170" t="n">
        <v>4</v>
      </c>
      <c r="D13" s="166"/>
      <c r="E13" s="153" t="s">
        <v>92</v>
      </c>
    </row>
    <row r="14" customFormat="false" ht="22.5" hidden="false" customHeight="true" outlineLevel="0" collapsed="false">
      <c r="A14" s="171" t="s">
        <v>93</v>
      </c>
      <c r="B14" s="171"/>
      <c r="C14" s="171"/>
      <c r="D14" s="171"/>
      <c r="E14" s="159"/>
    </row>
    <row r="15" customFormat="false" ht="22.5" hidden="false" customHeight="true" outlineLevel="0" collapsed="false">
      <c r="A15" s="161" t="s">
        <v>79</v>
      </c>
      <c r="B15" s="162" t="s">
        <v>80</v>
      </c>
      <c r="C15" s="162" t="s">
        <v>81</v>
      </c>
      <c r="D15" s="163" t="s">
        <v>94</v>
      </c>
      <c r="E15" s="148" t="s">
        <v>64</v>
      </c>
    </row>
    <row r="16" customFormat="false" ht="21.75" hidden="false" customHeight="true" outlineLevel="0" collapsed="false">
      <c r="A16" s="150" t="s">
        <v>95</v>
      </c>
      <c r="B16" s="150" t="s">
        <v>96</v>
      </c>
      <c r="C16" s="172" t="n">
        <v>35000</v>
      </c>
      <c r="D16" s="152" t="n">
        <v>29000</v>
      </c>
      <c r="E16" s="153" t="n">
        <v>20</v>
      </c>
    </row>
    <row r="17" customFormat="false" ht="21.75" hidden="false" customHeight="true" outlineLevel="0" collapsed="false">
      <c r="A17" s="150"/>
      <c r="B17" s="154" t="s">
        <v>97</v>
      </c>
      <c r="C17" s="155" t="n">
        <v>0.3</v>
      </c>
      <c r="D17" s="152"/>
      <c r="E17" s="153" t="s">
        <v>98</v>
      </c>
    </row>
    <row r="18" customFormat="false" ht="21.75" hidden="false" customHeight="true" outlineLevel="0" collapsed="false">
      <c r="A18" s="150"/>
      <c r="B18" s="154" t="s">
        <v>99</v>
      </c>
      <c r="C18" s="173" t="n">
        <v>2000</v>
      </c>
      <c r="D18" s="152"/>
      <c r="E18" s="153" t="s">
        <v>100</v>
      </c>
    </row>
    <row r="19" customFormat="false" ht="54" hidden="false" customHeight="true" outlineLevel="0" collapsed="false">
      <c r="A19" s="154" t="s">
        <v>101</v>
      </c>
      <c r="B19" s="174" t="s">
        <v>102</v>
      </c>
      <c r="C19" s="155" t="n">
        <v>1</v>
      </c>
      <c r="D19" s="152" t="n">
        <v>1</v>
      </c>
      <c r="E19" s="153" t="n">
        <v>0</v>
      </c>
    </row>
    <row r="20" customFormat="false" ht="20.25" hidden="false" customHeight="true" outlineLevel="0" collapsed="false">
      <c r="A20" s="154"/>
      <c r="B20" s="175" t="s">
        <v>103</v>
      </c>
      <c r="C20" s="173" t="n">
        <v>290201</v>
      </c>
      <c r="D20" s="152" t="n">
        <v>290201</v>
      </c>
      <c r="E20" s="153" t="n">
        <v>20</v>
      </c>
    </row>
    <row r="21" customFormat="false" ht="30" hidden="false" customHeight="true" outlineLevel="0" collapsed="false">
      <c r="A21" s="154"/>
      <c r="B21" s="154" t="s">
        <v>104</v>
      </c>
      <c r="C21" s="155"/>
      <c r="D21" s="156" t="n">
        <v>0</v>
      </c>
      <c r="E21" s="153" t="n">
        <v>0</v>
      </c>
    </row>
    <row r="22" customFormat="false" ht="30" hidden="false" customHeight="true" outlineLevel="0" collapsed="false">
      <c r="A22" s="154" t="s">
        <v>105</v>
      </c>
      <c r="B22" s="154" t="s">
        <v>106</v>
      </c>
      <c r="C22" s="173" t="n">
        <v>400</v>
      </c>
      <c r="D22" s="156" t="n">
        <v>400</v>
      </c>
      <c r="E22" s="153" t="n">
        <v>20</v>
      </c>
    </row>
    <row r="23" customFormat="false" ht="30" hidden="false" customHeight="true" outlineLevel="0" collapsed="false">
      <c r="A23" s="154" t="s">
        <v>107</v>
      </c>
      <c r="B23" s="154" t="s">
        <v>108</v>
      </c>
      <c r="C23" s="155" t="n">
        <v>0.003</v>
      </c>
      <c r="D23" s="156" t="n">
        <v>0.003</v>
      </c>
      <c r="E23" s="153" t="n">
        <v>20</v>
      </c>
    </row>
    <row r="24" customFormat="false" ht="30" hidden="false" customHeight="true" outlineLevel="0" collapsed="false">
      <c r="A24" s="154" t="s">
        <v>109</v>
      </c>
      <c r="B24" s="154" t="s">
        <v>110</v>
      </c>
      <c r="C24" s="173" t="n">
        <v>1000</v>
      </c>
      <c r="D24" s="176" t="n">
        <v>1000</v>
      </c>
      <c r="E24" s="153" t="n">
        <v>10</v>
      </c>
    </row>
    <row r="25" customFormat="false" ht="30" hidden="false" customHeight="true" outlineLevel="0" collapsed="false">
      <c r="A25" s="154" t="s">
        <v>111</v>
      </c>
      <c r="B25" s="154" t="s">
        <v>112</v>
      </c>
      <c r="C25" s="168" t="n">
        <v>0.0256</v>
      </c>
      <c r="D25" s="156" t="n">
        <v>0.0256</v>
      </c>
      <c r="E25" s="153" t="n">
        <v>0</v>
      </c>
    </row>
    <row r="26" customFormat="false" ht="30" hidden="false" customHeight="true" outlineLevel="0" collapsed="false">
      <c r="A26" s="154" t="s">
        <v>14</v>
      </c>
      <c r="B26" s="154" t="s">
        <v>113</v>
      </c>
      <c r="C26" s="155" t="n">
        <v>0.2</v>
      </c>
      <c r="D26" s="156" t="n">
        <v>0.2</v>
      </c>
      <c r="E26" s="153" t="n">
        <v>0</v>
      </c>
    </row>
    <row r="27" customFormat="false" ht="20.25" hidden="false" customHeight="true" outlineLevel="0" collapsed="false">
      <c r="A27" s="158"/>
      <c r="B27" s="158"/>
      <c r="C27" s="158"/>
      <c r="D27" s="158"/>
      <c r="E27" s="159"/>
    </row>
    <row r="28" customFormat="false" ht="20.25" hidden="false" customHeight="true" outlineLevel="0" collapsed="false">
      <c r="A28" s="158"/>
      <c r="B28" s="158"/>
      <c r="C28" s="158"/>
      <c r="D28" s="158"/>
      <c r="E28" s="159"/>
    </row>
    <row r="29" customFormat="false" ht="22.5" hidden="false" customHeight="true" outlineLevel="0" collapsed="false">
      <c r="A29" s="147" t="s">
        <v>114</v>
      </c>
      <c r="B29" s="147"/>
      <c r="C29" s="147"/>
      <c r="D29" s="158"/>
      <c r="E29" s="159"/>
    </row>
    <row r="30" customFormat="false" ht="22.5" hidden="false" customHeight="true" outlineLevel="0" collapsed="false">
      <c r="A30" s="161" t="s">
        <v>115</v>
      </c>
      <c r="B30" s="162" t="s">
        <v>80</v>
      </c>
      <c r="C30" s="177" t="s">
        <v>81</v>
      </c>
      <c r="D30" s="158"/>
      <c r="E30" s="148" t="s">
        <v>64</v>
      </c>
    </row>
    <row r="31" customFormat="false" ht="30" hidden="false" customHeight="true" outlineLevel="0" collapsed="false">
      <c r="A31" s="150" t="s">
        <v>116</v>
      </c>
      <c r="B31" s="150" t="s">
        <v>117</v>
      </c>
      <c r="C31" s="178" t="n">
        <v>0.8</v>
      </c>
      <c r="D31" s="158" t="n">
        <v>0.8</v>
      </c>
      <c r="E31" s="153" t="s">
        <v>118</v>
      </c>
    </row>
    <row r="32" customFormat="false" ht="18.75" hidden="false" customHeight="true" outlineLevel="0" collapsed="false">
      <c r="A32" s="150" t="s">
        <v>119</v>
      </c>
      <c r="B32" s="150" t="s">
        <v>120</v>
      </c>
      <c r="C32" s="178" t="n">
        <v>15</v>
      </c>
      <c r="D32" s="158" t="n">
        <v>15</v>
      </c>
      <c r="E32" s="153" t="s">
        <v>121</v>
      </c>
    </row>
    <row r="33" customFormat="false" ht="18.75" hidden="false" customHeight="true" outlineLevel="0" collapsed="false">
      <c r="A33" s="154" t="s">
        <v>53</v>
      </c>
      <c r="B33" s="154" t="s">
        <v>122</v>
      </c>
      <c r="C33" s="155" t="n">
        <v>0.9</v>
      </c>
      <c r="D33" s="158" t="n">
        <v>0.9</v>
      </c>
      <c r="E33" s="153" t="s">
        <v>123</v>
      </c>
    </row>
    <row r="34" customFormat="false" ht="30" hidden="false" customHeight="true" outlineLevel="0" collapsed="false">
      <c r="A34" s="154" t="s">
        <v>54</v>
      </c>
      <c r="B34" s="154" t="s">
        <v>120</v>
      </c>
      <c r="C34" s="155" t="n">
        <v>4</v>
      </c>
      <c r="D34" s="158" t="n">
        <v>4</v>
      </c>
      <c r="E34" s="153" t="s">
        <v>124</v>
      </c>
    </row>
    <row r="35" customFormat="false" ht="18.75" hidden="false" customHeight="true" outlineLevel="0" collapsed="false"/>
    <row r="37" customFormat="false" ht="15.75" hidden="false" customHeight="true" outlineLevel="0" collapsed="false">
      <c r="D37" s="157" t="n">
        <v>2020</v>
      </c>
      <c r="E37" s="157" t="n">
        <v>2021</v>
      </c>
      <c r="F37" s="157" t="n">
        <v>2022</v>
      </c>
      <c r="G37" s="157" t="n">
        <v>2023</v>
      </c>
      <c r="H37" s="157" t="n">
        <v>2024</v>
      </c>
      <c r="I37" s="157" t="n">
        <v>2025</v>
      </c>
      <c r="J37" s="157" t="n">
        <v>2026</v>
      </c>
      <c r="K37" s="157" t="n">
        <v>2027</v>
      </c>
      <c r="L37" s="157" t="n">
        <v>2028</v>
      </c>
      <c r="M37" s="157" t="n">
        <v>2029</v>
      </c>
      <c r="N37" s="157" t="n">
        <v>2030</v>
      </c>
      <c r="O37" s="157" t="n">
        <v>2031</v>
      </c>
      <c r="P37" s="157" t="n">
        <v>2032</v>
      </c>
      <c r="Q37" s="157" t="n">
        <v>2033</v>
      </c>
      <c r="R37" s="157" t="n">
        <v>2034</v>
      </c>
      <c r="S37" s="157" t="n">
        <v>2035</v>
      </c>
      <c r="T37" s="157" t="n">
        <v>2036</v>
      </c>
      <c r="U37" s="157" t="n">
        <v>2037</v>
      </c>
      <c r="V37" s="157" t="n">
        <v>2038</v>
      </c>
      <c r="W37" s="157" t="n">
        <v>2039</v>
      </c>
    </row>
    <row r="45" customFormat="false" ht="15.75" hidden="false" customHeight="true" outlineLevel="0" collapsed="false">
      <c r="D45" s="157" t="n">
        <v>-290201</v>
      </c>
      <c r="E45" s="157" t="n">
        <v>-290201</v>
      </c>
      <c r="F45" s="157" t="n">
        <v>-290201</v>
      </c>
      <c r="G45" s="157" t="n">
        <v>-290201</v>
      </c>
      <c r="H45" s="157" t="n">
        <v>-290201</v>
      </c>
      <c r="I45" s="157" t="n">
        <v>-290201</v>
      </c>
      <c r="J45" s="157" t="n">
        <v>-290201</v>
      </c>
      <c r="K45" s="157" t="n">
        <v>-290201</v>
      </c>
      <c r="L45" s="157" t="n">
        <v>-290201</v>
      </c>
      <c r="M45" s="157" t="n">
        <v>-290201</v>
      </c>
      <c r="N45" s="157" t="n">
        <v>-290201</v>
      </c>
      <c r="O45" s="157" t="n">
        <v>-290201</v>
      </c>
      <c r="P45" s="157" t="n">
        <v>-290201</v>
      </c>
      <c r="Q45" s="157" t="n">
        <v>-290201</v>
      </c>
      <c r="R45" s="157" t="n">
        <v>-290201</v>
      </c>
      <c r="S45" s="157" t="n">
        <v>-290201</v>
      </c>
      <c r="T45" s="157" t="n">
        <v>-290201</v>
      </c>
      <c r="U45" s="157" t="n">
        <v>-290201</v>
      </c>
      <c r="V45" s="157" t="n">
        <v>-290201</v>
      </c>
      <c r="W45" s="157" t="n">
        <v>-290201</v>
      </c>
    </row>
    <row r="48" customFormat="false" ht="15.75" hidden="false" customHeight="true" outlineLevel="0" collapsed="false">
      <c r="D48" s="157" t="n">
        <v>-174440</v>
      </c>
      <c r="E48" s="157" t="n">
        <v>-174440</v>
      </c>
      <c r="F48" s="157" t="n">
        <v>-174440</v>
      </c>
      <c r="G48" s="157" t="n">
        <v>-174440</v>
      </c>
      <c r="H48" s="157" t="n">
        <v>-174440</v>
      </c>
      <c r="I48" s="157" t="n">
        <v>-174440</v>
      </c>
      <c r="J48" s="157" t="n">
        <v>-174440</v>
      </c>
      <c r="K48" s="157" t="n">
        <v>-174440</v>
      </c>
      <c r="L48" s="157" t="n">
        <v>-174440</v>
      </c>
      <c r="M48" s="157" t="n">
        <v>-174440</v>
      </c>
      <c r="N48" s="157" t="n">
        <v>-174440</v>
      </c>
      <c r="O48" s="157" t="n">
        <v>-174440</v>
      </c>
      <c r="P48" s="157" t="n">
        <v>-174440</v>
      </c>
      <c r="Q48" s="157" t="n">
        <v>-174440</v>
      </c>
      <c r="R48" s="157" t="n">
        <v>-174440</v>
      </c>
      <c r="S48" s="157" t="n">
        <v>-174440</v>
      </c>
      <c r="T48" s="157" t="n">
        <v>-174440</v>
      </c>
      <c r="U48" s="157" t="n">
        <v>-174440</v>
      </c>
      <c r="V48" s="157" t="n">
        <v>-174440</v>
      </c>
      <c r="W48" s="157" t="n">
        <v>-174440</v>
      </c>
    </row>
    <row r="49" customFormat="false" ht="15.75" hidden="false" customHeight="true" outlineLevel="0" collapsed="false">
      <c r="D49" s="157" t="n">
        <v>-37940.7</v>
      </c>
      <c r="E49" s="157" t="n">
        <v>-37940.7</v>
      </c>
      <c r="F49" s="157" t="n">
        <v>-37940.7</v>
      </c>
      <c r="G49" s="157" t="n">
        <v>-37940.7</v>
      </c>
      <c r="H49" s="157" t="n">
        <v>-37940.7</v>
      </c>
      <c r="I49" s="157" t="n">
        <v>-37940.7</v>
      </c>
      <c r="J49" s="157" t="n">
        <v>-37940.7</v>
      </c>
      <c r="K49" s="157" t="n">
        <v>-37940.7</v>
      </c>
      <c r="L49" s="157" t="n">
        <v>-37940.7</v>
      </c>
      <c r="M49" s="157" t="n">
        <v>-37940.7</v>
      </c>
      <c r="N49" s="157" t="n">
        <v>-37940.7</v>
      </c>
      <c r="O49" s="157" t="n">
        <v>-37940.7</v>
      </c>
      <c r="P49" s="157" t="n">
        <v>-37940.7</v>
      </c>
      <c r="Q49" s="157" t="n">
        <v>-37940.7</v>
      </c>
      <c r="R49" s="157" t="n">
        <v>-37940.7</v>
      </c>
      <c r="S49" s="157" t="n">
        <v>-37940.7</v>
      </c>
      <c r="T49" s="157" t="n">
        <v>-37940.7</v>
      </c>
      <c r="U49" s="157" t="n">
        <v>-37940.7</v>
      </c>
      <c r="V49" s="157" t="n">
        <v>-37940.7</v>
      </c>
      <c r="W49" s="157" t="n">
        <v>-37940.7</v>
      </c>
    </row>
    <row r="50" customFormat="false" ht="15.75" hidden="false" customHeight="true" outlineLevel="0" collapsed="false">
      <c r="D50" s="157" t="n">
        <v>-43610</v>
      </c>
      <c r="E50" s="157" t="n">
        <v>-43610</v>
      </c>
      <c r="F50" s="157" t="n">
        <v>-43610</v>
      </c>
      <c r="G50" s="157" t="n">
        <v>-43610</v>
      </c>
      <c r="H50" s="157" t="n">
        <v>-43610</v>
      </c>
      <c r="I50" s="157" t="n">
        <v>-43610</v>
      </c>
      <c r="J50" s="157" t="n">
        <v>-43610</v>
      </c>
      <c r="K50" s="157" t="n">
        <v>-43610</v>
      </c>
      <c r="L50" s="157" t="n">
        <v>-43610</v>
      </c>
      <c r="M50" s="157" t="n">
        <v>-43610</v>
      </c>
      <c r="N50" s="157" t="n">
        <v>0</v>
      </c>
      <c r="O50" s="157" t="n">
        <v>0</v>
      </c>
      <c r="P50" s="157" t="n">
        <v>0</v>
      </c>
      <c r="Q50" s="157" t="n">
        <v>0</v>
      </c>
      <c r="R50" s="157" t="n">
        <v>0</v>
      </c>
      <c r="S50" s="157" t="n">
        <v>0</v>
      </c>
      <c r="T50" s="157" t="n">
        <v>0</v>
      </c>
      <c r="U50" s="157" t="n">
        <v>0</v>
      </c>
      <c r="V50" s="157" t="n">
        <v>0</v>
      </c>
      <c r="W50" s="157" t="n">
        <v>0</v>
      </c>
    </row>
    <row r="54" customFormat="false" ht="15" hidden="false" customHeight="true" outlineLevel="0" collapsed="false">
      <c r="D54" s="1" t="n">
        <f aca="false">D77</f>
        <v>0</v>
      </c>
      <c r="E54" s="1" t="n">
        <f aca="false">E77</f>
        <v>0</v>
      </c>
      <c r="F54" s="1" t="n">
        <f aca="false">F77</f>
        <v>0</v>
      </c>
      <c r="G54" s="1" t="n">
        <f aca="false">G77</f>
        <v>0</v>
      </c>
      <c r="H54" s="1" t="n">
        <f aca="false">H77</f>
        <v>0</v>
      </c>
      <c r="I54" s="1" t="n">
        <f aca="false">I77</f>
        <v>0</v>
      </c>
      <c r="J54" s="1" t="n">
        <f aca="false">J77</f>
        <v>0</v>
      </c>
      <c r="K54" s="1" t="n">
        <f aca="false">K77</f>
        <v>0</v>
      </c>
      <c r="L54" s="1" t="n">
        <f aca="false">L77</f>
        <v>0</v>
      </c>
      <c r="M54" s="1" t="n">
        <f aca="false">M77</f>
        <v>0</v>
      </c>
      <c r="N54" s="1" t="n">
        <f aca="false">N77</f>
        <v>0</v>
      </c>
      <c r="O54" s="1" t="n">
        <f aca="false">O77</f>
        <v>0</v>
      </c>
      <c r="P54" s="1" t="n">
        <f aca="false">P77</f>
        <v>0</v>
      </c>
      <c r="Q54" s="1" t="n">
        <f aca="false">Q77</f>
        <v>0</v>
      </c>
      <c r="R54" s="1" t="n">
        <f aca="false">R77</f>
        <v>0</v>
      </c>
      <c r="S54" s="1" t="n">
        <f aca="false">S77</f>
        <v>0</v>
      </c>
      <c r="T54" s="1" t="n">
        <f aca="false">T77</f>
        <v>0</v>
      </c>
      <c r="U54" s="1" t="n">
        <f aca="false">U77</f>
        <v>0</v>
      </c>
      <c r="V54" s="1" t="n">
        <f aca="false">V77</f>
        <v>0</v>
      </c>
      <c r="W54" s="1" t="n">
        <f aca="false">W77</f>
        <v>0</v>
      </c>
    </row>
    <row r="70" customFormat="false" ht="15" hidden="false" customHeight="true" outlineLevel="0" collapsed="false"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1"/>
    <col collapsed="false" customWidth="true" hidden="false" outlineLevel="0" max="13" min="13" style="0" width="50"/>
    <col collapsed="false" customWidth="true" hidden="false" outlineLevel="0" max="14" min="14" style="0" width="21"/>
    <col collapsed="false" customWidth="true" hidden="false" outlineLevel="0" max="20" min="20" style="0" width="11"/>
    <col collapsed="false" customWidth="true" hidden="false" outlineLevel="0" max="24" min="24" style="0" width="10"/>
    <col collapsed="false" customWidth="true" hidden="false" outlineLevel="0" max="28" min="28" style="0" width="11"/>
    <col collapsed="false" customWidth="true" hidden="false" outlineLevel="0" max="35" min="35" style="0" width="32.58"/>
    <col collapsed="false" customWidth="true" hidden="false" outlineLevel="0" max="36" min="36" style="0" width="9.14"/>
  </cols>
  <sheetData>
    <row r="1" customFormat="false" ht="22.5" hidden="false" customHeight="true" outlineLevel="0" collapsed="false">
      <c r="A1" s="147" t="s">
        <v>63</v>
      </c>
      <c r="B1" s="147"/>
      <c r="C1" s="147"/>
      <c r="D1" s="147"/>
      <c r="E1" s="148" t="s">
        <v>64</v>
      </c>
      <c r="O1" s="149" t="n">
        <f aca="false">1-C11</f>
        <v>0.99</v>
      </c>
      <c r="P1" s="149" t="n">
        <f aca="false">O1-$C12</f>
        <v>0.986</v>
      </c>
      <c r="Q1" s="149" t="n">
        <f aca="false">P1-$C12</f>
        <v>0.982</v>
      </c>
      <c r="R1" s="149" t="n">
        <f aca="false">Q1-$C12</f>
        <v>0.978</v>
      </c>
      <c r="S1" s="149" t="n">
        <f aca="false">R1-$C12</f>
        <v>0.974</v>
      </c>
      <c r="T1" s="149" t="n">
        <f aca="false">S1-$C12</f>
        <v>0.97</v>
      </c>
      <c r="U1" s="149" t="n">
        <f aca="false">T1-$C12</f>
        <v>0.966</v>
      </c>
      <c r="V1" s="149" t="n">
        <f aca="false">U1-$C12</f>
        <v>0.962</v>
      </c>
      <c r="W1" s="149" t="n">
        <f aca="false">V1-$C12</f>
        <v>0.958</v>
      </c>
      <c r="X1" s="149" t="n">
        <f aca="false">W1-$C12</f>
        <v>0.954</v>
      </c>
      <c r="Y1" s="149" t="n">
        <f aca="false">X1-$C12</f>
        <v>0.95</v>
      </c>
      <c r="Z1" s="149" t="n">
        <f aca="false">Y1-$C12</f>
        <v>0.946</v>
      </c>
      <c r="AA1" s="149" t="n">
        <f aca="false">Z1-$C12</f>
        <v>0.942</v>
      </c>
      <c r="AB1" s="149" t="n">
        <f aca="false">AA1-$C12</f>
        <v>0.938</v>
      </c>
      <c r="AC1" s="149" t="n">
        <f aca="false">AB1-$C12</f>
        <v>0.934</v>
      </c>
      <c r="AD1" s="149" t="n">
        <f aca="false">AC1-$C12</f>
        <v>0.93</v>
      </c>
      <c r="AE1" s="149" t="n">
        <f aca="false">AD1-$C12</f>
        <v>0.926</v>
      </c>
      <c r="AF1" s="149" t="n">
        <f aca="false">AE1-$C12</f>
        <v>0.922</v>
      </c>
      <c r="AG1" s="149" t="n">
        <f aca="false">AF1-$C12</f>
        <v>0.918</v>
      </c>
      <c r="AH1" s="149" t="n">
        <f aca="false">AG1-$C12</f>
        <v>0.914</v>
      </c>
    </row>
    <row r="2" customFormat="false" ht="21.75" hidden="false" customHeight="true" outlineLevel="0" collapsed="false">
      <c r="A2" s="150" t="s">
        <v>65</v>
      </c>
      <c r="B2" s="151" t="s">
        <v>2</v>
      </c>
      <c r="C2" s="150" t="s">
        <v>2</v>
      </c>
      <c r="D2" s="152" t="s">
        <v>26</v>
      </c>
      <c r="E2" s="153" t="s">
        <v>66</v>
      </c>
    </row>
    <row r="3" customFormat="false" ht="21.75" hidden="false" customHeight="true" outlineLevel="0" collapsed="false">
      <c r="A3" s="154" t="s">
        <v>67</v>
      </c>
      <c r="B3" s="155" t="n">
        <v>20</v>
      </c>
      <c r="C3" s="154" t="n">
        <v>20</v>
      </c>
      <c r="D3" s="156" t="s">
        <v>26</v>
      </c>
      <c r="E3" s="153" t="s">
        <v>68</v>
      </c>
    </row>
    <row r="4" customFormat="false" ht="21.75" hidden="false" customHeight="true" outlineLevel="0" collapsed="false">
      <c r="A4" s="154" t="s">
        <v>69</v>
      </c>
      <c r="B4" s="155" t="n">
        <v>436.1</v>
      </c>
      <c r="C4" s="154" t="n">
        <v>436.1</v>
      </c>
      <c r="D4" s="156" t="s">
        <v>26</v>
      </c>
      <c r="E4" s="153" t="s">
        <v>70</v>
      </c>
      <c r="M4" s="157" t="s">
        <v>131</v>
      </c>
    </row>
    <row r="5" customFormat="false" ht="22.5" hidden="false" customHeight="true" outlineLevel="0" collapsed="false">
      <c r="A5" s="154" t="s">
        <v>72</v>
      </c>
      <c r="B5" s="155" t="n">
        <v>2020</v>
      </c>
      <c r="C5" s="154" t="n">
        <v>2020</v>
      </c>
      <c r="D5" s="156" t="n">
        <f aca="false">B5+B3-1</f>
        <v>2039</v>
      </c>
      <c r="E5" s="153" t="n">
        <v>2039</v>
      </c>
      <c r="M5" s="157" t="s">
        <v>132</v>
      </c>
    </row>
    <row r="6" customFormat="false" ht="20.25" hidden="false" customHeight="true" outlineLevel="0" collapsed="false">
      <c r="A6" s="158"/>
      <c r="B6" s="158"/>
      <c r="C6" s="158"/>
      <c r="D6" s="158"/>
      <c r="E6" s="159"/>
      <c r="M6" s="157" t="s">
        <v>133</v>
      </c>
    </row>
    <row r="7" customFormat="false" ht="22.5" hidden="false" customHeight="true" outlineLevel="0" collapsed="false">
      <c r="A7" s="147" t="s">
        <v>75</v>
      </c>
      <c r="B7" s="147"/>
      <c r="C7" s="147"/>
      <c r="D7" s="147"/>
      <c r="E7" s="159"/>
      <c r="M7" s="157" t="s">
        <v>134</v>
      </c>
    </row>
    <row r="8" customFormat="false" ht="22.5" hidden="false" customHeight="true" outlineLevel="0" collapsed="false">
      <c r="A8" s="160" t="s">
        <v>77</v>
      </c>
      <c r="B8" s="160"/>
      <c r="C8" s="160"/>
      <c r="D8" s="160"/>
      <c r="E8" s="159"/>
      <c r="M8" s="157" t="s">
        <v>135</v>
      </c>
    </row>
    <row r="9" customFormat="false" ht="22.5" hidden="false" customHeight="true" outlineLevel="0" collapsed="false">
      <c r="A9" s="161" t="s">
        <v>79</v>
      </c>
      <c r="B9" s="162" t="s">
        <v>80</v>
      </c>
      <c r="C9" s="162" t="s">
        <v>81</v>
      </c>
      <c r="D9" s="163" t="s">
        <v>82</v>
      </c>
      <c r="E9" s="148" t="s">
        <v>64</v>
      </c>
      <c r="M9" s="157" t="s">
        <v>83</v>
      </c>
    </row>
    <row r="10" customFormat="false" ht="30" hidden="false" customHeight="true" outlineLevel="0" collapsed="false">
      <c r="A10" s="164" t="s">
        <v>84</v>
      </c>
      <c r="B10" s="150" t="s">
        <v>85</v>
      </c>
      <c r="C10" s="165" t="n">
        <v>547002</v>
      </c>
      <c r="D10" s="166" t="n">
        <v>547002</v>
      </c>
      <c r="E10" s="153" t="n">
        <v>20</v>
      </c>
      <c r="M10" s="157" t="s">
        <v>136</v>
      </c>
    </row>
    <row r="11" customFormat="false" ht="30" hidden="false" customHeight="true" outlineLevel="0" collapsed="false">
      <c r="A11" s="164"/>
      <c r="B11" s="154" t="s">
        <v>87</v>
      </c>
      <c r="C11" s="167" t="n">
        <v>0.01</v>
      </c>
      <c r="D11" s="166"/>
      <c r="E11" s="153" t="s">
        <v>88</v>
      </c>
    </row>
    <row r="12" customFormat="false" ht="30" hidden="false" customHeight="true" outlineLevel="0" collapsed="false">
      <c r="A12" s="164"/>
      <c r="B12" s="154" t="s">
        <v>89</v>
      </c>
      <c r="C12" s="168" t="n">
        <v>0.004</v>
      </c>
      <c r="D12" s="166"/>
      <c r="E12" s="153" t="s">
        <v>90</v>
      </c>
    </row>
    <row r="13" customFormat="false" ht="22.5" hidden="false" customHeight="true" outlineLevel="0" collapsed="false">
      <c r="A13" s="164"/>
      <c r="B13" s="169" t="s">
        <v>91</v>
      </c>
      <c r="C13" s="170" t="n">
        <v>4</v>
      </c>
      <c r="D13" s="166"/>
      <c r="E13" s="153" t="s">
        <v>92</v>
      </c>
    </row>
    <row r="14" customFormat="false" ht="22.5" hidden="false" customHeight="true" outlineLevel="0" collapsed="false">
      <c r="A14" s="171" t="s">
        <v>93</v>
      </c>
      <c r="B14" s="171"/>
      <c r="C14" s="171"/>
      <c r="D14" s="171"/>
      <c r="E14" s="159"/>
    </row>
    <row r="15" customFormat="false" ht="22.5" hidden="false" customHeight="true" outlineLevel="0" collapsed="false">
      <c r="A15" s="161" t="s">
        <v>79</v>
      </c>
      <c r="B15" s="162" t="s">
        <v>80</v>
      </c>
      <c r="C15" s="162" t="s">
        <v>81</v>
      </c>
      <c r="D15" s="163" t="s">
        <v>94</v>
      </c>
      <c r="E15" s="148" t="s">
        <v>64</v>
      </c>
    </row>
    <row r="16" customFormat="false" ht="21.75" hidden="false" customHeight="true" outlineLevel="0" collapsed="false">
      <c r="A16" s="150" t="s">
        <v>95</v>
      </c>
      <c r="B16" s="150" t="s">
        <v>96</v>
      </c>
      <c r="C16" s="172" t="n">
        <v>35000</v>
      </c>
      <c r="D16" s="152" t="n">
        <v>29000</v>
      </c>
      <c r="E16" s="153" t="n">
        <v>20</v>
      </c>
    </row>
    <row r="17" customFormat="false" ht="21.75" hidden="false" customHeight="true" outlineLevel="0" collapsed="false">
      <c r="A17" s="150"/>
      <c r="B17" s="154" t="s">
        <v>97</v>
      </c>
      <c r="C17" s="155" t="n">
        <v>0.3</v>
      </c>
      <c r="D17" s="152"/>
      <c r="E17" s="153" t="s">
        <v>98</v>
      </c>
    </row>
    <row r="18" customFormat="false" ht="21.75" hidden="false" customHeight="true" outlineLevel="0" collapsed="false">
      <c r="A18" s="150"/>
      <c r="B18" s="154" t="s">
        <v>99</v>
      </c>
      <c r="C18" s="173" t="n">
        <v>2000</v>
      </c>
      <c r="D18" s="152"/>
      <c r="E18" s="153" t="s">
        <v>100</v>
      </c>
    </row>
    <row r="19" customFormat="false" ht="54" hidden="false" customHeight="true" outlineLevel="0" collapsed="false">
      <c r="A19" s="154" t="s">
        <v>101</v>
      </c>
      <c r="B19" s="174" t="s">
        <v>102</v>
      </c>
      <c r="C19" s="155" t="n">
        <v>1</v>
      </c>
      <c r="D19" s="152" t="n">
        <v>1</v>
      </c>
      <c r="E19" s="153" t="n">
        <v>0</v>
      </c>
    </row>
    <row r="20" customFormat="false" ht="20.25" hidden="false" customHeight="true" outlineLevel="0" collapsed="false">
      <c r="A20" s="154"/>
      <c r="B20" s="175" t="s">
        <v>103</v>
      </c>
      <c r="C20" s="173" t="n">
        <v>290201</v>
      </c>
      <c r="D20" s="152" t="n">
        <v>290201</v>
      </c>
      <c r="E20" s="153" t="n">
        <v>20</v>
      </c>
    </row>
    <row r="21" customFormat="false" ht="30" hidden="false" customHeight="true" outlineLevel="0" collapsed="false">
      <c r="A21" s="154"/>
      <c r="B21" s="154" t="s">
        <v>104</v>
      </c>
      <c r="C21" s="155"/>
      <c r="D21" s="156" t="n">
        <v>0</v>
      </c>
      <c r="E21" s="153" t="n">
        <v>0</v>
      </c>
    </row>
    <row r="22" customFormat="false" ht="30" hidden="false" customHeight="true" outlineLevel="0" collapsed="false">
      <c r="A22" s="154" t="s">
        <v>105</v>
      </c>
      <c r="B22" s="154" t="s">
        <v>106</v>
      </c>
      <c r="C22" s="173" t="n">
        <v>400</v>
      </c>
      <c r="D22" s="156" t="n">
        <v>400</v>
      </c>
      <c r="E22" s="153" t="n">
        <v>20</v>
      </c>
    </row>
    <row r="23" customFormat="false" ht="30" hidden="false" customHeight="true" outlineLevel="0" collapsed="false">
      <c r="A23" s="154" t="s">
        <v>107</v>
      </c>
      <c r="B23" s="154" t="s">
        <v>108</v>
      </c>
      <c r="C23" s="155" t="n">
        <v>0.003</v>
      </c>
      <c r="D23" s="156" t="n">
        <v>0.003</v>
      </c>
      <c r="E23" s="153" t="n">
        <v>20</v>
      </c>
    </row>
    <row r="24" customFormat="false" ht="30" hidden="false" customHeight="true" outlineLevel="0" collapsed="false">
      <c r="A24" s="154" t="s">
        <v>109</v>
      </c>
      <c r="B24" s="154" t="s">
        <v>110</v>
      </c>
      <c r="C24" s="173" t="n">
        <v>1000</v>
      </c>
      <c r="D24" s="176" t="n">
        <v>1000</v>
      </c>
      <c r="E24" s="153" t="n">
        <v>10</v>
      </c>
    </row>
    <row r="25" customFormat="false" ht="30" hidden="false" customHeight="true" outlineLevel="0" collapsed="false">
      <c r="A25" s="154" t="s">
        <v>111</v>
      </c>
      <c r="B25" s="154" t="s">
        <v>112</v>
      </c>
      <c r="C25" s="168" t="n">
        <v>0.0256</v>
      </c>
      <c r="D25" s="156" t="n">
        <v>0.0256</v>
      </c>
      <c r="E25" s="153" t="n">
        <v>0</v>
      </c>
    </row>
    <row r="26" customFormat="false" ht="30" hidden="false" customHeight="true" outlineLevel="0" collapsed="false">
      <c r="A26" s="154" t="s">
        <v>14</v>
      </c>
      <c r="B26" s="154" t="s">
        <v>113</v>
      </c>
      <c r="C26" s="155" t="n">
        <v>0.2</v>
      </c>
      <c r="D26" s="156" t="n">
        <v>0.2</v>
      </c>
      <c r="E26" s="153" t="n">
        <v>0</v>
      </c>
    </row>
    <row r="27" customFormat="false" ht="20.25" hidden="false" customHeight="true" outlineLevel="0" collapsed="false">
      <c r="A27" s="158"/>
      <c r="B27" s="158"/>
      <c r="C27" s="158"/>
      <c r="D27" s="158"/>
      <c r="E27" s="159"/>
    </row>
    <row r="28" customFormat="false" ht="20.25" hidden="false" customHeight="true" outlineLevel="0" collapsed="false">
      <c r="A28" s="158"/>
      <c r="B28" s="158"/>
      <c r="C28" s="158"/>
      <c r="D28" s="158"/>
      <c r="E28" s="159"/>
    </row>
    <row r="29" customFormat="false" ht="22.5" hidden="false" customHeight="true" outlineLevel="0" collapsed="false">
      <c r="A29" s="147" t="s">
        <v>114</v>
      </c>
      <c r="B29" s="147"/>
      <c r="C29" s="147"/>
      <c r="D29" s="158"/>
      <c r="E29" s="159"/>
    </row>
    <row r="30" customFormat="false" ht="22.5" hidden="false" customHeight="true" outlineLevel="0" collapsed="false">
      <c r="A30" s="161" t="s">
        <v>115</v>
      </c>
      <c r="B30" s="162" t="s">
        <v>80</v>
      </c>
      <c r="C30" s="177" t="s">
        <v>81</v>
      </c>
      <c r="D30" s="158"/>
      <c r="E30" s="148" t="s">
        <v>64</v>
      </c>
    </row>
    <row r="31" customFormat="false" ht="30" hidden="false" customHeight="true" outlineLevel="0" collapsed="false">
      <c r="A31" s="150" t="s">
        <v>116</v>
      </c>
      <c r="B31" s="150" t="s">
        <v>117</v>
      </c>
      <c r="C31" s="178" t="n">
        <v>0.8</v>
      </c>
      <c r="D31" s="158" t="n">
        <v>0.8</v>
      </c>
      <c r="E31" s="153" t="s">
        <v>118</v>
      </c>
    </row>
    <row r="32" customFormat="false" ht="18.75" hidden="false" customHeight="true" outlineLevel="0" collapsed="false">
      <c r="A32" s="150" t="s">
        <v>119</v>
      </c>
      <c r="B32" s="150" t="s">
        <v>120</v>
      </c>
      <c r="C32" s="178" t="n">
        <v>15</v>
      </c>
      <c r="D32" s="158" t="n">
        <v>15</v>
      </c>
      <c r="E32" s="153" t="s">
        <v>121</v>
      </c>
    </row>
    <row r="33" customFormat="false" ht="18.75" hidden="false" customHeight="true" outlineLevel="0" collapsed="false">
      <c r="A33" s="154" t="s">
        <v>53</v>
      </c>
      <c r="B33" s="154" t="s">
        <v>122</v>
      </c>
      <c r="C33" s="155" t="n">
        <v>0.9</v>
      </c>
      <c r="D33" s="158" t="n">
        <v>0.9</v>
      </c>
      <c r="E33" s="153" t="s">
        <v>123</v>
      </c>
    </row>
    <row r="34" customFormat="false" ht="30" hidden="false" customHeight="true" outlineLevel="0" collapsed="false">
      <c r="A34" s="154" t="s">
        <v>54</v>
      </c>
      <c r="B34" s="154" t="s">
        <v>120</v>
      </c>
      <c r="C34" s="155" t="n">
        <v>4</v>
      </c>
      <c r="D34" s="158" t="n">
        <v>4</v>
      </c>
      <c r="E34" s="153" t="s">
        <v>124</v>
      </c>
    </row>
    <row r="35" customFormat="false" ht="18.75" hidden="false" customHeight="true" outlineLevel="0" collapsed="false"/>
    <row r="37" customFormat="false" ht="15.75" hidden="false" customHeight="true" outlineLevel="0" collapsed="false">
      <c r="D37" s="157" t="n">
        <v>2020</v>
      </c>
      <c r="E37" s="157" t="n">
        <v>2021</v>
      </c>
      <c r="F37" s="157" t="n">
        <v>2022</v>
      </c>
      <c r="G37" s="157" t="n">
        <v>2023</v>
      </c>
      <c r="H37" s="157" t="n">
        <v>2024</v>
      </c>
      <c r="I37" s="157" t="n">
        <v>2025</v>
      </c>
      <c r="J37" s="157" t="n">
        <v>2026</v>
      </c>
      <c r="K37" s="157" t="n">
        <v>2027</v>
      </c>
      <c r="L37" s="157" t="n">
        <v>2028</v>
      </c>
      <c r="M37" s="157" t="n">
        <v>2029</v>
      </c>
      <c r="N37" s="157" t="n">
        <v>2030</v>
      </c>
      <c r="O37" s="157" t="n">
        <v>2031</v>
      </c>
      <c r="P37" s="157" t="n">
        <v>2032</v>
      </c>
      <c r="Q37" s="157" t="n">
        <v>2033</v>
      </c>
      <c r="R37" s="157" t="n">
        <v>2034</v>
      </c>
      <c r="S37" s="157" t="n">
        <v>2035</v>
      </c>
      <c r="T37" s="157" t="n">
        <v>2036</v>
      </c>
      <c r="U37" s="157" t="n">
        <v>2037</v>
      </c>
      <c r="V37" s="157" t="n">
        <v>2038</v>
      </c>
      <c r="W37" s="157" t="n">
        <v>2039</v>
      </c>
    </row>
    <row r="45" customFormat="false" ht="15.75" hidden="false" customHeight="true" outlineLevel="0" collapsed="false">
      <c r="D45" s="157" t="n">
        <v>-290201</v>
      </c>
      <c r="E45" s="157" t="n">
        <v>-290201</v>
      </c>
      <c r="F45" s="157" t="n">
        <v>-290201</v>
      </c>
      <c r="G45" s="157" t="n">
        <v>-290201</v>
      </c>
      <c r="H45" s="157" t="n">
        <v>-290201</v>
      </c>
      <c r="I45" s="157" t="n">
        <v>-290201</v>
      </c>
      <c r="J45" s="157" t="n">
        <v>-290201</v>
      </c>
      <c r="K45" s="157" t="n">
        <v>-290201</v>
      </c>
      <c r="L45" s="157" t="n">
        <v>-290201</v>
      </c>
      <c r="M45" s="157" t="n">
        <v>-290201</v>
      </c>
      <c r="N45" s="157" t="n">
        <v>-290201</v>
      </c>
      <c r="O45" s="157" t="n">
        <v>-290201</v>
      </c>
      <c r="P45" s="157" t="n">
        <v>-290201</v>
      </c>
      <c r="Q45" s="157" t="n">
        <v>-290201</v>
      </c>
      <c r="R45" s="157" t="n">
        <v>-290201</v>
      </c>
      <c r="S45" s="157" t="n">
        <v>-290201</v>
      </c>
      <c r="T45" s="157" t="n">
        <v>-290201</v>
      </c>
      <c r="U45" s="157" t="n">
        <v>-290201</v>
      </c>
      <c r="V45" s="157" t="n">
        <v>-290201</v>
      </c>
      <c r="W45" s="157" t="n">
        <v>-290201</v>
      </c>
    </row>
    <row r="48" customFormat="false" ht="15.75" hidden="false" customHeight="true" outlineLevel="0" collapsed="false">
      <c r="D48" s="157" t="n">
        <v>-174440</v>
      </c>
      <c r="E48" s="157" t="n">
        <v>-174440</v>
      </c>
      <c r="F48" s="157" t="n">
        <v>-174440</v>
      </c>
      <c r="G48" s="157" t="n">
        <v>-174440</v>
      </c>
      <c r="H48" s="157" t="n">
        <v>-174440</v>
      </c>
      <c r="I48" s="157" t="n">
        <v>-174440</v>
      </c>
      <c r="J48" s="157" t="n">
        <v>-174440</v>
      </c>
      <c r="K48" s="157" t="n">
        <v>-174440</v>
      </c>
      <c r="L48" s="157" t="n">
        <v>-174440</v>
      </c>
      <c r="M48" s="157" t="n">
        <v>-174440</v>
      </c>
      <c r="N48" s="157" t="n">
        <v>-174440</v>
      </c>
      <c r="O48" s="157" t="n">
        <v>-174440</v>
      </c>
      <c r="P48" s="157" t="n">
        <v>-174440</v>
      </c>
      <c r="Q48" s="157" t="n">
        <v>-174440</v>
      </c>
      <c r="R48" s="157" t="n">
        <v>-174440</v>
      </c>
      <c r="S48" s="157" t="n">
        <v>-174440</v>
      </c>
      <c r="T48" s="157" t="n">
        <v>-174440</v>
      </c>
      <c r="U48" s="157" t="n">
        <v>-174440</v>
      </c>
      <c r="V48" s="157" t="n">
        <v>-174440</v>
      </c>
      <c r="W48" s="157" t="n">
        <v>-174440</v>
      </c>
    </row>
    <row r="49" customFormat="false" ht="15.75" hidden="false" customHeight="true" outlineLevel="0" collapsed="false">
      <c r="D49" s="157" t="n">
        <v>-37940.7</v>
      </c>
      <c r="E49" s="157" t="n">
        <v>-37940.7</v>
      </c>
      <c r="F49" s="157" t="n">
        <v>-37940.7</v>
      </c>
      <c r="G49" s="157" t="n">
        <v>-37940.7</v>
      </c>
      <c r="H49" s="157" t="n">
        <v>-37940.7</v>
      </c>
      <c r="I49" s="157" t="n">
        <v>-37940.7</v>
      </c>
      <c r="J49" s="157" t="n">
        <v>-37940.7</v>
      </c>
      <c r="K49" s="157" t="n">
        <v>-37940.7</v>
      </c>
      <c r="L49" s="157" t="n">
        <v>-37940.7</v>
      </c>
      <c r="M49" s="157" t="n">
        <v>-37940.7</v>
      </c>
      <c r="N49" s="157" t="n">
        <v>-37940.7</v>
      </c>
      <c r="O49" s="157" t="n">
        <v>-37940.7</v>
      </c>
      <c r="P49" s="157" t="n">
        <v>-37940.7</v>
      </c>
      <c r="Q49" s="157" t="n">
        <v>-37940.7</v>
      </c>
      <c r="R49" s="157" t="n">
        <v>-37940.7</v>
      </c>
      <c r="S49" s="157" t="n">
        <v>-37940.7</v>
      </c>
      <c r="T49" s="157" t="n">
        <v>-37940.7</v>
      </c>
      <c r="U49" s="157" t="n">
        <v>-37940.7</v>
      </c>
      <c r="V49" s="157" t="n">
        <v>-37940.7</v>
      </c>
      <c r="W49" s="157" t="n">
        <v>-37940.7</v>
      </c>
    </row>
    <row r="50" customFormat="false" ht="15.75" hidden="false" customHeight="true" outlineLevel="0" collapsed="false">
      <c r="D50" s="157" t="n">
        <v>-43610</v>
      </c>
      <c r="E50" s="157" t="n">
        <v>-43610</v>
      </c>
      <c r="F50" s="157" t="n">
        <v>-43610</v>
      </c>
      <c r="G50" s="157" t="n">
        <v>-43610</v>
      </c>
      <c r="H50" s="157" t="n">
        <v>-43610</v>
      </c>
      <c r="I50" s="157" t="n">
        <v>-43610</v>
      </c>
      <c r="J50" s="157" t="n">
        <v>-43610</v>
      </c>
      <c r="K50" s="157" t="n">
        <v>-43610</v>
      </c>
      <c r="L50" s="157" t="n">
        <v>-43610</v>
      </c>
      <c r="M50" s="157" t="n">
        <v>-43610</v>
      </c>
      <c r="N50" s="157" t="n">
        <v>0</v>
      </c>
      <c r="O50" s="157" t="n">
        <v>0</v>
      </c>
      <c r="P50" s="157" t="n">
        <v>0</v>
      </c>
      <c r="Q50" s="157" t="n">
        <v>0</v>
      </c>
      <c r="R50" s="157" t="n">
        <v>0</v>
      </c>
      <c r="S50" s="157" t="n">
        <v>0</v>
      </c>
      <c r="T50" s="157" t="n">
        <v>0</v>
      </c>
      <c r="U50" s="157" t="n">
        <v>0</v>
      </c>
      <c r="V50" s="157" t="n">
        <v>0</v>
      </c>
      <c r="W50" s="157" t="n">
        <v>0</v>
      </c>
    </row>
    <row r="54" customFormat="false" ht="15" hidden="false" customHeight="false" outlineLevel="0" collapsed="false">
      <c r="D54" s="0" t="n">
        <f aca="false">D77</f>
        <v>0</v>
      </c>
      <c r="E54" s="0" t="n">
        <f aca="false">E77</f>
        <v>0</v>
      </c>
      <c r="F54" s="0" t="n">
        <f aca="false">F77</f>
        <v>0</v>
      </c>
      <c r="G54" s="0" t="n">
        <f aca="false">G77</f>
        <v>0</v>
      </c>
      <c r="H54" s="0" t="n">
        <f aca="false">H77</f>
        <v>0</v>
      </c>
      <c r="I54" s="0" t="n">
        <f aca="false">I77</f>
        <v>0</v>
      </c>
      <c r="J54" s="0" t="n">
        <f aca="false">J77</f>
        <v>0</v>
      </c>
      <c r="K54" s="0" t="n">
        <f aca="false">K77</f>
        <v>0</v>
      </c>
      <c r="L54" s="0" t="n">
        <f aca="false">L77</f>
        <v>0</v>
      </c>
      <c r="M54" s="0" t="n">
        <f aca="false">M77</f>
        <v>0</v>
      </c>
      <c r="N54" s="0" t="n">
        <f aca="false">N77</f>
        <v>0</v>
      </c>
      <c r="O54" s="0" t="n">
        <f aca="false">O77</f>
        <v>0</v>
      </c>
      <c r="P54" s="0" t="n">
        <f aca="false">P77</f>
        <v>0</v>
      </c>
      <c r="Q54" s="0" t="n">
        <f aca="false">Q77</f>
        <v>0</v>
      </c>
      <c r="R54" s="0" t="n">
        <f aca="false">R77</f>
        <v>0</v>
      </c>
      <c r="S54" s="0" t="n">
        <f aca="false">S77</f>
        <v>0</v>
      </c>
      <c r="T54" s="0" t="n">
        <f aca="false">T77</f>
        <v>0</v>
      </c>
      <c r="U54" s="0" t="n">
        <f aca="false">U77</f>
        <v>0</v>
      </c>
      <c r="V54" s="0" t="n">
        <f aca="false">V77</f>
        <v>0</v>
      </c>
      <c r="W54" s="0" t="n">
        <f aca="false">W77</f>
        <v>0</v>
      </c>
    </row>
    <row r="70" customFormat="false" ht="15" hidden="false" customHeight="false" outlineLevel="0" collapsed="false"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0</v>
      </c>
      <c r="R70" s="0" t="n">
        <v>0</v>
      </c>
      <c r="S70" s="0" t="n">
        <v>0</v>
      </c>
      <c r="T70" s="0" t="n">
        <v>0</v>
      </c>
      <c r="U70" s="0" t="n">
        <v>0</v>
      </c>
      <c r="V70" s="0" t="n">
        <v>0</v>
      </c>
      <c r="W70" s="0" t="n">
        <v>0</v>
      </c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21"/>
    <col collapsed="false" customWidth="true" hidden="false" outlineLevel="0" max="13" min="13" style="0" width="50"/>
    <col collapsed="false" customWidth="true" hidden="false" outlineLevel="0" max="14" min="14" style="0" width="21"/>
    <col collapsed="false" customWidth="true" hidden="false" outlineLevel="0" max="20" min="20" style="0" width="11"/>
    <col collapsed="false" customWidth="true" hidden="false" outlineLevel="0" max="24" min="24" style="0" width="10"/>
    <col collapsed="false" customWidth="true" hidden="false" outlineLevel="0" max="28" min="28" style="0" width="11"/>
    <col collapsed="false" customWidth="true" hidden="false" outlineLevel="0" max="35" min="35" style="0" width="32.58"/>
    <col collapsed="false" customWidth="true" hidden="false" outlineLevel="0" max="36" min="36" style="0" width="9.14"/>
  </cols>
  <sheetData>
    <row r="1" customFormat="false" ht="22.5" hidden="false" customHeight="true" outlineLevel="0" collapsed="false">
      <c r="A1" s="147" t="s">
        <v>63</v>
      </c>
      <c r="B1" s="147"/>
      <c r="C1" s="147"/>
      <c r="D1" s="147"/>
      <c r="E1" s="148" t="s">
        <v>64</v>
      </c>
      <c r="O1" s="149" t="n">
        <f aca="false">1-C11</f>
        <v>0.99</v>
      </c>
      <c r="P1" s="149" t="n">
        <f aca="false">O1-$C12</f>
        <v>0.986</v>
      </c>
      <c r="Q1" s="149" t="n">
        <f aca="false">P1-$C12</f>
        <v>0.982</v>
      </c>
      <c r="R1" s="149" t="n">
        <f aca="false">Q1-$C12</f>
        <v>0.978</v>
      </c>
      <c r="S1" s="149" t="n">
        <f aca="false">R1-$C12</f>
        <v>0.974</v>
      </c>
      <c r="T1" s="149" t="n">
        <f aca="false">S1-$C12</f>
        <v>0.97</v>
      </c>
      <c r="U1" s="149" t="n">
        <f aca="false">T1-$C12</f>
        <v>0.966</v>
      </c>
      <c r="V1" s="149" t="n">
        <f aca="false">U1-$C12</f>
        <v>0.962</v>
      </c>
      <c r="W1" s="149" t="n">
        <f aca="false">V1-$C12</f>
        <v>0.958</v>
      </c>
      <c r="X1" s="149" t="n">
        <f aca="false">W1-$C12</f>
        <v>0.954</v>
      </c>
      <c r="Y1" s="149" t="n">
        <f aca="false">X1-$C12</f>
        <v>0.95</v>
      </c>
      <c r="Z1" s="149" t="n">
        <f aca="false">Y1-$C12</f>
        <v>0.946</v>
      </c>
      <c r="AA1" s="149" t="n">
        <f aca="false">Z1-$C12</f>
        <v>0.942</v>
      </c>
      <c r="AB1" s="149" t="n">
        <f aca="false">AA1-$C12</f>
        <v>0.938</v>
      </c>
      <c r="AC1" s="149" t="n">
        <f aca="false">AB1-$C12</f>
        <v>0.934</v>
      </c>
      <c r="AD1" s="149" t="n">
        <f aca="false">AC1-$C12</f>
        <v>0.93</v>
      </c>
      <c r="AE1" s="149" t="n">
        <f aca="false">AD1-$C12</f>
        <v>0.926</v>
      </c>
      <c r="AF1" s="149" t="n">
        <f aca="false">AE1-$C12</f>
        <v>0.922</v>
      </c>
      <c r="AG1" s="149" t="n">
        <f aca="false">AF1-$C12</f>
        <v>0.918</v>
      </c>
      <c r="AH1" s="149" t="n">
        <f aca="false">AG1-$C12</f>
        <v>0.914</v>
      </c>
    </row>
    <row r="2" customFormat="false" ht="21.75" hidden="false" customHeight="true" outlineLevel="0" collapsed="false">
      <c r="A2" s="150" t="s">
        <v>65</v>
      </c>
      <c r="B2" s="151" t="s">
        <v>2</v>
      </c>
      <c r="C2" s="150" t="s">
        <v>2</v>
      </c>
      <c r="D2" s="152" t="s">
        <v>26</v>
      </c>
      <c r="E2" s="153" t="s">
        <v>66</v>
      </c>
    </row>
    <row r="3" customFormat="false" ht="21.75" hidden="false" customHeight="true" outlineLevel="0" collapsed="false">
      <c r="A3" s="154" t="s">
        <v>67</v>
      </c>
      <c r="B3" s="155" t="n">
        <v>20</v>
      </c>
      <c r="C3" s="154" t="n">
        <v>20</v>
      </c>
      <c r="D3" s="156" t="s">
        <v>26</v>
      </c>
      <c r="E3" s="153" t="s">
        <v>68</v>
      </c>
    </row>
    <row r="4" customFormat="false" ht="21.75" hidden="false" customHeight="true" outlineLevel="0" collapsed="false">
      <c r="A4" s="154" t="s">
        <v>69</v>
      </c>
      <c r="B4" s="155" t="n">
        <v>436.1</v>
      </c>
      <c r="C4" s="154" t="n">
        <v>436.1</v>
      </c>
      <c r="D4" s="156" t="s">
        <v>26</v>
      </c>
      <c r="E4" s="153" t="s">
        <v>70</v>
      </c>
      <c r="M4" s="157" t="s">
        <v>131</v>
      </c>
    </row>
    <row r="5" customFormat="false" ht="22.5" hidden="false" customHeight="true" outlineLevel="0" collapsed="false">
      <c r="A5" s="154" t="s">
        <v>72</v>
      </c>
      <c r="B5" s="155" t="n">
        <v>2020</v>
      </c>
      <c r="C5" s="154" t="n">
        <v>2020</v>
      </c>
      <c r="D5" s="156" t="n">
        <f aca="false">B5+B3-1</f>
        <v>2039</v>
      </c>
      <c r="E5" s="153" t="n">
        <v>2039</v>
      </c>
      <c r="M5" s="157" t="s">
        <v>132</v>
      </c>
    </row>
    <row r="6" customFormat="false" ht="20.25" hidden="false" customHeight="true" outlineLevel="0" collapsed="false">
      <c r="A6" s="158"/>
      <c r="B6" s="158"/>
      <c r="C6" s="158"/>
      <c r="D6" s="158"/>
      <c r="E6" s="159"/>
      <c r="M6" s="157" t="s">
        <v>133</v>
      </c>
    </row>
    <row r="7" customFormat="false" ht="22.5" hidden="false" customHeight="true" outlineLevel="0" collapsed="false">
      <c r="A7" s="147" t="s">
        <v>75</v>
      </c>
      <c r="B7" s="147"/>
      <c r="C7" s="147"/>
      <c r="D7" s="147"/>
      <c r="E7" s="159"/>
      <c r="M7" s="157" t="s">
        <v>134</v>
      </c>
    </row>
    <row r="8" customFormat="false" ht="22.5" hidden="false" customHeight="true" outlineLevel="0" collapsed="false">
      <c r="A8" s="160" t="s">
        <v>77</v>
      </c>
      <c r="B8" s="160"/>
      <c r="C8" s="160"/>
      <c r="D8" s="160"/>
      <c r="E8" s="159"/>
      <c r="M8" s="157" t="s">
        <v>135</v>
      </c>
    </row>
    <row r="9" customFormat="false" ht="22.5" hidden="false" customHeight="true" outlineLevel="0" collapsed="false">
      <c r="A9" s="161" t="s">
        <v>79</v>
      </c>
      <c r="B9" s="162" t="s">
        <v>80</v>
      </c>
      <c r="C9" s="162" t="s">
        <v>81</v>
      </c>
      <c r="D9" s="163" t="s">
        <v>82</v>
      </c>
      <c r="E9" s="148" t="s">
        <v>64</v>
      </c>
      <c r="M9" s="157" t="s">
        <v>83</v>
      </c>
    </row>
    <row r="10" customFormat="false" ht="30" hidden="false" customHeight="true" outlineLevel="0" collapsed="false">
      <c r="A10" s="164" t="s">
        <v>84</v>
      </c>
      <c r="B10" s="150" t="s">
        <v>85</v>
      </c>
      <c r="C10" s="165" t="n">
        <v>547002</v>
      </c>
      <c r="D10" s="166" t="n">
        <v>547002</v>
      </c>
      <c r="E10" s="153" t="n">
        <v>20</v>
      </c>
      <c r="M10" s="157" t="s">
        <v>136</v>
      </c>
    </row>
    <row r="11" customFormat="false" ht="30" hidden="false" customHeight="true" outlineLevel="0" collapsed="false">
      <c r="A11" s="164"/>
      <c r="B11" s="154" t="s">
        <v>87</v>
      </c>
      <c r="C11" s="167" t="n">
        <v>0.01</v>
      </c>
      <c r="D11" s="166"/>
      <c r="E11" s="153" t="s">
        <v>88</v>
      </c>
    </row>
    <row r="12" customFormat="false" ht="30" hidden="false" customHeight="true" outlineLevel="0" collapsed="false">
      <c r="A12" s="164"/>
      <c r="B12" s="154" t="s">
        <v>89</v>
      </c>
      <c r="C12" s="168" t="n">
        <v>0.004</v>
      </c>
      <c r="D12" s="166"/>
      <c r="E12" s="153" t="s">
        <v>90</v>
      </c>
    </row>
    <row r="13" customFormat="false" ht="22.5" hidden="false" customHeight="true" outlineLevel="0" collapsed="false">
      <c r="A13" s="164"/>
      <c r="B13" s="169" t="s">
        <v>91</v>
      </c>
      <c r="C13" s="170" t="n">
        <v>4</v>
      </c>
      <c r="D13" s="166"/>
      <c r="E13" s="153" t="s">
        <v>92</v>
      </c>
    </row>
    <row r="14" customFormat="false" ht="22.5" hidden="false" customHeight="true" outlineLevel="0" collapsed="false">
      <c r="A14" s="171" t="s">
        <v>93</v>
      </c>
      <c r="B14" s="171"/>
      <c r="C14" s="171"/>
      <c r="D14" s="171"/>
      <c r="E14" s="159"/>
    </row>
    <row r="15" customFormat="false" ht="22.5" hidden="false" customHeight="true" outlineLevel="0" collapsed="false">
      <c r="A15" s="161" t="s">
        <v>79</v>
      </c>
      <c r="B15" s="162" t="s">
        <v>80</v>
      </c>
      <c r="C15" s="162" t="s">
        <v>81</v>
      </c>
      <c r="D15" s="163" t="s">
        <v>94</v>
      </c>
      <c r="E15" s="148" t="s">
        <v>64</v>
      </c>
    </row>
    <row r="16" customFormat="false" ht="21.75" hidden="false" customHeight="true" outlineLevel="0" collapsed="false">
      <c r="A16" s="150" t="s">
        <v>95</v>
      </c>
      <c r="B16" s="150" t="s">
        <v>96</v>
      </c>
      <c r="C16" s="172" t="n">
        <v>35000</v>
      </c>
      <c r="D16" s="152" t="n">
        <v>29000</v>
      </c>
      <c r="E16" s="153" t="n">
        <v>20</v>
      </c>
    </row>
    <row r="17" customFormat="false" ht="21.75" hidden="false" customHeight="true" outlineLevel="0" collapsed="false">
      <c r="A17" s="150"/>
      <c r="B17" s="154" t="s">
        <v>97</v>
      </c>
      <c r="C17" s="155" t="n">
        <v>0.3</v>
      </c>
      <c r="D17" s="152"/>
      <c r="E17" s="153" t="s">
        <v>98</v>
      </c>
    </row>
    <row r="18" customFormat="false" ht="21.75" hidden="false" customHeight="true" outlineLevel="0" collapsed="false">
      <c r="A18" s="150"/>
      <c r="B18" s="154" t="s">
        <v>99</v>
      </c>
      <c r="C18" s="173" t="n">
        <v>2000</v>
      </c>
      <c r="D18" s="152"/>
      <c r="E18" s="153" t="s">
        <v>100</v>
      </c>
    </row>
    <row r="19" customFormat="false" ht="54" hidden="false" customHeight="true" outlineLevel="0" collapsed="false">
      <c r="A19" s="154" t="s">
        <v>101</v>
      </c>
      <c r="B19" s="174" t="s">
        <v>102</v>
      </c>
      <c r="C19" s="155" t="n">
        <v>1</v>
      </c>
      <c r="D19" s="152" t="n">
        <v>1</v>
      </c>
      <c r="E19" s="153" t="n">
        <v>0</v>
      </c>
    </row>
    <row r="20" customFormat="false" ht="20.25" hidden="false" customHeight="true" outlineLevel="0" collapsed="false">
      <c r="A20" s="154"/>
      <c r="B20" s="175" t="s">
        <v>103</v>
      </c>
      <c r="C20" s="173" t="n">
        <v>290201</v>
      </c>
      <c r="D20" s="152" t="n">
        <v>290201</v>
      </c>
      <c r="E20" s="153" t="n">
        <v>20</v>
      </c>
    </row>
    <row r="21" customFormat="false" ht="30" hidden="false" customHeight="true" outlineLevel="0" collapsed="false">
      <c r="A21" s="154"/>
      <c r="B21" s="154" t="s">
        <v>104</v>
      </c>
      <c r="C21" s="155"/>
      <c r="D21" s="156" t="n">
        <v>0</v>
      </c>
      <c r="E21" s="153" t="n">
        <v>0</v>
      </c>
    </row>
    <row r="22" customFormat="false" ht="30" hidden="false" customHeight="true" outlineLevel="0" collapsed="false">
      <c r="A22" s="154" t="s">
        <v>105</v>
      </c>
      <c r="B22" s="154" t="s">
        <v>106</v>
      </c>
      <c r="C22" s="173" t="n">
        <v>400</v>
      </c>
      <c r="D22" s="156" t="n">
        <v>400</v>
      </c>
      <c r="E22" s="153" t="n">
        <v>20</v>
      </c>
    </row>
    <row r="23" customFormat="false" ht="30" hidden="false" customHeight="true" outlineLevel="0" collapsed="false">
      <c r="A23" s="154" t="s">
        <v>107</v>
      </c>
      <c r="B23" s="154" t="s">
        <v>108</v>
      </c>
      <c r="C23" s="155" t="n">
        <v>0.003</v>
      </c>
      <c r="D23" s="156" t="n">
        <v>0.003</v>
      </c>
      <c r="E23" s="153" t="n">
        <v>20</v>
      </c>
    </row>
    <row r="24" customFormat="false" ht="30" hidden="false" customHeight="true" outlineLevel="0" collapsed="false">
      <c r="A24" s="154" t="s">
        <v>109</v>
      </c>
      <c r="B24" s="154" t="s">
        <v>110</v>
      </c>
      <c r="C24" s="173" t="n">
        <v>1000</v>
      </c>
      <c r="D24" s="176" t="n">
        <v>1000</v>
      </c>
      <c r="E24" s="153" t="n">
        <v>10</v>
      </c>
    </row>
    <row r="25" customFormat="false" ht="30" hidden="false" customHeight="true" outlineLevel="0" collapsed="false">
      <c r="A25" s="154" t="s">
        <v>111</v>
      </c>
      <c r="B25" s="154" t="s">
        <v>112</v>
      </c>
      <c r="C25" s="168" t="n">
        <v>0.0256</v>
      </c>
      <c r="D25" s="156" t="n">
        <v>0.0256</v>
      </c>
      <c r="E25" s="153" t="n">
        <v>0</v>
      </c>
    </row>
    <row r="26" customFormat="false" ht="30" hidden="false" customHeight="true" outlineLevel="0" collapsed="false">
      <c r="A26" s="154" t="s">
        <v>14</v>
      </c>
      <c r="B26" s="154" t="s">
        <v>113</v>
      </c>
      <c r="C26" s="155" t="n">
        <v>0.2</v>
      </c>
      <c r="D26" s="156" t="n">
        <v>0.2</v>
      </c>
      <c r="E26" s="153" t="n">
        <v>0</v>
      </c>
    </row>
    <row r="27" customFormat="false" ht="20.25" hidden="false" customHeight="true" outlineLevel="0" collapsed="false">
      <c r="A27" s="158"/>
      <c r="B27" s="158"/>
      <c r="C27" s="158"/>
      <c r="D27" s="158"/>
      <c r="E27" s="159"/>
    </row>
    <row r="28" customFormat="false" ht="20.25" hidden="false" customHeight="true" outlineLevel="0" collapsed="false">
      <c r="A28" s="158"/>
      <c r="B28" s="158"/>
      <c r="C28" s="158"/>
      <c r="D28" s="158"/>
      <c r="E28" s="159"/>
    </row>
    <row r="29" customFormat="false" ht="22.5" hidden="false" customHeight="true" outlineLevel="0" collapsed="false">
      <c r="A29" s="147" t="s">
        <v>114</v>
      </c>
      <c r="B29" s="147"/>
      <c r="C29" s="147"/>
      <c r="D29" s="158"/>
      <c r="E29" s="159"/>
    </row>
    <row r="30" customFormat="false" ht="22.5" hidden="false" customHeight="true" outlineLevel="0" collapsed="false">
      <c r="A30" s="161" t="s">
        <v>115</v>
      </c>
      <c r="B30" s="162" t="s">
        <v>80</v>
      </c>
      <c r="C30" s="177" t="s">
        <v>81</v>
      </c>
      <c r="D30" s="158"/>
      <c r="E30" s="148" t="s">
        <v>64</v>
      </c>
    </row>
    <row r="31" customFormat="false" ht="30" hidden="false" customHeight="true" outlineLevel="0" collapsed="false">
      <c r="A31" s="150" t="s">
        <v>116</v>
      </c>
      <c r="B31" s="150" t="s">
        <v>117</v>
      </c>
      <c r="C31" s="178" t="n">
        <v>0.8</v>
      </c>
      <c r="D31" s="158" t="n">
        <v>0.8</v>
      </c>
      <c r="E31" s="153" t="s">
        <v>118</v>
      </c>
    </row>
    <row r="32" customFormat="false" ht="18.75" hidden="false" customHeight="true" outlineLevel="0" collapsed="false">
      <c r="A32" s="150" t="s">
        <v>119</v>
      </c>
      <c r="B32" s="150" t="s">
        <v>120</v>
      </c>
      <c r="C32" s="178" t="n">
        <v>15</v>
      </c>
      <c r="D32" s="158" t="n">
        <v>15</v>
      </c>
      <c r="E32" s="153" t="s">
        <v>121</v>
      </c>
    </row>
    <row r="33" customFormat="false" ht="18.75" hidden="false" customHeight="true" outlineLevel="0" collapsed="false">
      <c r="A33" s="154" t="s">
        <v>53</v>
      </c>
      <c r="B33" s="154" t="s">
        <v>122</v>
      </c>
      <c r="C33" s="155" t="n">
        <v>0.9</v>
      </c>
      <c r="D33" s="158" t="n">
        <v>0.9</v>
      </c>
      <c r="E33" s="153" t="s">
        <v>123</v>
      </c>
    </row>
    <row r="34" customFormat="false" ht="30" hidden="false" customHeight="true" outlineLevel="0" collapsed="false">
      <c r="A34" s="154" t="s">
        <v>54</v>
      </c>
      <c r="B34" s="154" t="s">
        <v>120</v>
      </c>
      <c r="C34" s="155" t="n">
        <v>4</v>
      </c>
      <c r="D34" s="158" t="n">
        <v>4</v>
      </c>
      <c r="E34" s="153" t="s">
        <v>124</v>
      </c>
    </row>
    <row r="35" customFormat="false" ht="18.75" hidden="false" customHeight="true" outlineLevel="0" collapsed="false"/>
    <row r="37" customFormat="false" ht="15.75" hidden="false" customHeight="true" outlineLevel="0" collapsed="false">
      <c r="D37" s="157" t="n">
        <v>2020</v>
      </c>
      <c r="E37" s="157" t="n">
        <v>2021</v>
      </c>
      <c r="F37" s="157" t="n">
        <v>2022</v>
      </c>
      <c r="G37" s="157" t="n">
        <v>2023</v>
      </c>
      <c r="H37" s="157" t="n">
        <v>2024</v>
      </c>
      <c r="I37" s="157" t="n">
        <v>2025</v>
      </c>
      <c r="J37" s="157" t="n">
        <v>2026</v>
      </c>
      <c r="K37" s="157" t="n">
        <v>2027</v>
      </c>
      <c r="L37" s="157" t="n">
        <v>2028</v>
      </c>
      <c r="M37" s="157" t="n">
        <v>2029</v>
      </c>
      <c r="N37" s="157" t="n">
        <v>2030</v>
      </c>
      <c r="O37" s="157" t="n">
        <v>2031</v>
      </c>
      <c r="P37" s="157" t="n">
        <v>2032</v>
      </c>
      <c r="Q37" s="157" t="n">
        <v>2033</v>
      </c>
      <c r="R37" s="157" t="n">
        <v>2034</v>
      </c>
      <c r="S37" s="157" t="n">
        <v>2035</v>
      </c>
      <c r="T37" s="157" t="n">
        <v>2036</v>
      </c>
      <c r="U37" s="157" t="n">
        <v>2037</v>
      </c>
      <c r="V37" s="157" t="n">
        <v>2038</v>
      </c>
      <c r="W37" s="157" t="n">
        <v>2039</v>
      </c>
    </row>
    <row r="45" customFormat="false" ht="15.75" hidden="false" customHeight="true" outlineLevel="0" collapsed="false">
      <c r="D45" s="157" t="n">
        <v>-290201</v>
      </c>
      <c r="E45" s="157" t="n">
        <v>-290201</v>
      </c>
      <c r="F45" s="157" t="n">
        <v>-290201</v>
      </c>
      <c r="G45" s="157" t="n">
        <v>-290201</v>
      </c>
      <c r="H45" s="157" t="n">
        <v>-290201</v>
      </c>
      <c r="I45" s="157" t="n">
        <v>-290201</v>
      </c>
      <c r="J45" s="157" t="n">
        <v>-290201</v>
      </c>
      <c r="K45" s="157" t="n">
        <v>-290201</v>
      </c>
      <c r="L45" s="157" t="n">
        <v>-290201</v>
      </c>
      <c r="M45" s="157" t="n">
        <v>-290201</v>
      </c>
      <c r="N45" s="157" t="n">
        <v>-290201</v>
      </c>
      <c r="O45" s="157" t="n">
        <v>-290201</v>
      </c>
      <c r="P45" s="157" t="n">
        <v>-290201</v>
      </c>
      <c r="Q45" s="157" t="n">
        <v>-290201</v>
      </c>
      <c r="R45" s="157" t="n">
        <v>-290201</v>
      </c>
      <c r="S45" s="157" t="n">
        <v>-290201</v>
      </c>
      <c r="T45" s="157" t="n">
        <v>-290201</v>
      </c>
      <c r="U45" s="157" t="n">
        <v>-290201</v>
      </c>
      <c r="V45" s="157" t="n">
        <v>-290201</v>
      </c>
      <c r="W45" s="157" t="n">
        <v>-290201</v>
      </c>
    </row>
    <row r="48" customFormat="false" ht="15.75" hidden="false" customHeight="true" outlineLevel="0" collapsed="false">
      <c r="D48" s="157" t="n">
        <v>-174440</v>
      </c>
      <c r="E48" s="157" t="n">
        <v>-174440</v>
      </c>
      <c r="F48" s="157" t="n">
        <v>-174440</v>
      </c>
      <c r="G48" s="157" t="n">
        <v>-174440</v>
      </c>
      <c r="H48" s="157" t="n">
        <v>-174440</v>
      </c>
      <c r="I48" s="157" t="n">
        <v>-174440</v>
      </c>
      <c r="J48" s="157" t="n">
        <v>-174440</v>
      </c>
      <c r="K48" s="157" t="n">
        <v>-174440</v>
      </c>
      <c r="L48" s="157" t="n">
        <v>-174440</v>
      </c>
      <c r="M48" s="157" t="n">
        <v>-174440</v>
      </c>
      <c r="N48" s="157" t="n">
        <v>-174440</v>
      </c>
      <c r="O48" s="157" t="n">
        <v>-174440</v>
      </c>
      <c r="P48" s="157" t="n">
        <v>-174440</v>
      </c>
      <c r="Q48" s="157" t="n">
        <v>-174440</v>
      </c>
      <c r="R48" s="157" t="n">
        <v>-174440</v>
      </c>
      <c r="S48" s="157" t="n">
        <v>-174440</v>
      </c>
      <c r="T48" s="157" t="n">
        <v>-174440</v>
      </c>
      <c r="U48" s="157" t="n">
        <v>-174440</v>
      </c>
      <c r="V48" s="157" t="n">
        <v>-174440</v>
      </c>
      <c r="W48" s="157" t="n">
        <v>-174440</v>
      </c>
    </row>
    <row r="49" customFormat="false" ht="15.75" hidden="false" customHeight="true" outlineLevel="0" collapsed="false">
      <c r="D49" s="157" t="n">
        <v>-37940.7</v>
      </c>
      <c r="E49" s="157" t="n">
        <v>-37940.7</v>
      </c>
      <c r="F49" s="157" t="n">
        <v>-37940.7</v>
      </c>
      <c r="G49" s="157" t="n">
        <v>-37940.7</v>
      </c>
      <c r="H49" s="157" t="n">
        <v>-37940.7</v>
      </c>
      <c r="I49" s="157" t="n">
        <v>-37940.7</v>
      </c>
      <c r="J49" s="157" t="n">
        <v>-37940.7</v>
      </c>
      <c r="K49" s="157" t="n">
        <v>-37940.7</v>
      </c>
      <c r="L49" s="157" t="n">
        <v>-37940.7</v>
      </c>
      <c r="M49" s="157" t="n">
        <v>-37940.7</v>
      </c>
      <c r="N49" s="157" t="n">
        <v>-37940.7</v>
      </c>
      <c r="O49" s="157" t="n">
        <v>-37940.7</v>
      </c>
      <c r="P49" s="157" t="n">
        <v>-37940.7</v>
      </c>
      <c r="Q49" s="157" t="n">
        <v>-37940.7</v>
      </c>
      <c r="R49" s="157" t="n">
        <v>-37940.7</v>
      </c>
      <c r="S49" s="157" t="n">
        <v>-37940.7</v>
      </c>
      <c r="T49" s="157" t="n">
        <v>-37940.7</v>
      </c>
      <c r="U49" s="157" t="n">
        <v>-37940.7</v>
      </c>
      <c r="V49" s="157" t="n">
        <v>-37940.7</v>
      </c>
      <c r="W49" s="157" t="n">
        <v>-37940.7</v>
      </c>
    </row>
    <row r="50" customFormat="false" ht="15.75" hidden="false" customHeight="true" outlineLevel="0" collapsed="false">
      <c r="D50" s="157" t="n">
        <v>-43610</v>
      </c>
      <c r="E50" s="157" t="n">
        <v>-43610</v>
      </c>
      <c r="F50" s="157" t="n">
        <v>-43610</v>
      </c>
      <c r="G50" s="157" t="n">
        <v>-43610</v>
      </c>
      <c r="H50" s="157" t="n">
        <v>-43610</v>
      </c>
      <c r="I50" s="157" t="n">
        <v>-43610</v>
      </c>
      <c r="J50" s="157" t="n">
        <v>-43610</v>
      </c>
      <c r="K50" s="157" t="n">
        <v>-43610</v>
      </c>
      <c r="L50" s="157" t="n">
        <v>-43610</v>
      </c>
      <c r="M50" s="157" t="n">
        <v>-43610</v>
      </c>
      <c r="N50" s="157" t="n">
        <v>0</v>
      </c>
      <c r="O50" s="157" t="n">
        <v>0</v>
      </c>
      <c r="P50" s="157" t="n">
        <v>0</v>
      </c>
      <c r="Q50" s="157" t="n">
        <v>0</v>
      </c>
      <c r="R50" s="157" t="n">
        <v>0</v>
      </c>
      <c r="S50" s="157" t="n">
        <v>0</v>
      </c>
      <c r="T50" s="157" t="n">
        <v>0</v>
      </c>
      <c r="U50" s="157" t="n">
        <v>0</v>
      </c>
      <c r="V50" s="157" t="n">
        <v>0</v>
      </c>
      <c r="W50" s="157" t="n">
        <v>0</v>
      </c>
    </row>
    <row r="54" customFormat="false" ht="15" hidden="false" customHeight="false" outlineLevel="0" collapsed="false">
      <c r="D54" s="0" t="n">
        <f aca="false">D77</f>
        <v>0</v>
      </c>
      <c r="E54" s="0" t="n">
        <f aca="false">E77</f>
        <v>0</v>
      </c>
      <c r="F54" s="0" t="n">
        <f aca="false">F77</f>
        <v>0</v>
      </c>
      <c r="G54" s="0" t="n">
        <f aca="false">G77</f>
        <v>0</v>
      </c>
      <c r="H54" s="0" t="n">
        <f aca="false">H77</f>
        <v>0</v>
      </c>
      <c r="I54" s="0" t="n">
        <f aca="false">I77</f>
        <v>0</v>
      </c>
      <c r="J54" s="0" t="n">
        <f aca="false">J77</f>
        <v>0</v>
      </c>
      <c r="K54" s="0" t="n">
        <f aca="false">K77</f>
        <v>0</v>
      </c>
      <c r="L54" s="0" t="n">
        <f aca="false">L77</f>
        <v>0</v>
      </c>
      <c r="M54" s="0" t="n">
        <f aca="false">M77</f>
        <v>0</v>
      </c>
      <c r="N54" s="0" t="n">
        <f aca="false">N77</f>
        <v>0</v>
      </c>
      <c r="O54" s="0" t="n">
        <f aca="false">O77</f>
        <v>0</v>
      </c>
      <c r="P54" s="0" t="n">
        <f aca="false">P77</f>
        <v>0</v>
      </c>
      <c r="Q54" s="0" t="n">
        <f aca="false">Q77</f>
        <v>0</v>
      </c>
      <c r="R54" s="0" t="n">
        <f aca="false">R77</f>
        <v>0</v>
      </c>
      <c r="S54" s="0" t="n">
        <f aca="false">S77</f>
        <v>0</v>
      </c>
      <c r="T54" s="0" t="n">
        <f aca="false">T77</f>
        <v>0</v>
      </c>
      <c r="U54" s="0" t="n">
        <f aca="false">U77</f>
        <v>0</v>
      </c>
      <c r="V54" s="0" t="n">
        <f aca="false">V77</f>
        <v>0</v>
      </c>
      <c r="W54" s="0" t="n">
        <f aca="false">W77</f>
        <v>0</v>
      </c>
    </row>
    <row r="70" customFormat="false" ht="15" hidden="false" customHeight="false" outlineLevel="0" collapsed="false"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0</v>
      </c>
      <c r="R70" s="0" t="n">
        <v>0</v>
      </c>
      <c r="S70" s="0" t="n">
        <v>0</v>
      </c>
      <c r="T70" s="0" t="n">
        <v>0</v>
      </c>
      <c r="U70" s="0" t="n">
        <v>0</v>
      </c>
      <c r="V70" s="0" t="n">
        <v>0</v>
      </c>
      <c r="W70" s="0" t="n">
        <v>0</v>
      </c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7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11"/>
    <col collapsed="false" customWidth="true" hidden="false" outlineLevel="0" max="13" min="13" style="0" width="50"/>
    <col collapsed="false" customWidth="true" hidden="false" outlineLevel="0" max="14" min="14" style="0" width="11"/>
    <col collapsed="false" customWidth="true" hidden="false" outlineLevel="0" max="24" min="24" style="0" width="10"/>
    <col collapsed="false" customWidth="true" hidden="false" outlineLevel="0" max="28" min="28" style="0" width="11"/>
    <col collapsed="false" customWidth="true" hidden="false" outlineLevel="0" max="35" min="35" style="0" width="32.58"/>
    <col collapsed="false" customWidth="true" hidden="false" outlineLevel="0" max="36" min="36" style="0" width="9.14"/>
  </cols>
  <sheetData>
    <row r="1" customFormat="false" ht="22.5" hidden="false" customHeight="true" outlineLevel="0" collapsed="false">
      <c r="A1" s="147" t="s">
        <v>63</v>
      </c>
      <c r="B1" s="147"/>
      <c r="C1" s="147"/>
      <c r="D1" s="147"/>
      <c r="E1" s="148" t="s">
        <v>64</v>
      </c>
      <c r="O1" s="149" t="n">
        <f aca="false">1-C11</f>
        <v>0.99</v>
      </c>
      <c r="P1" s="149" t="n">
        <f aca="false">O1-$C12</f>
        <v>0.986</v>
      </c>
      <c r="Q1" s="149" t="n">
        <f aca="false">P1-$C12</f>
        <v>0.982</v>
      </c>
      <c r="R1" s="149" t="n">
        <f aca="false">Q1-$C12</f>
        <v>0.978</v>
      </c>
      <c r="S1" s="149" t="n">
        <f aca="false">R1-$C12</f>
        <v>0.974</v>
      </c>
      <c r="T1" s="149" t="n">
        <f aca="false">S1-$C12</f>
        <v>0.97</v>
      </c>
      <c r="U1" s="149" t="n">
        <f aca="false">T1-$C12</f>
        <v>0.966</v>
      </c>
      <c r="V1" s="149" t="n">
        <f aca="false">U1-$C12</f>
        <v>0.962</v>
      </c>
      <c r="W1" s="149" t="n">
        <f aca="false">V1-$C12</f>
        <v>0.958</v>
      </c>
      <c r="X1" s="149" t="n">
        <f aca="false">W1-$C12</f>
        <v>0.954</v>
      </c>
      <c r="Y1" s="149" t="n">
        <f aca="false">X1-$C12</f>
        <v>0.95</v>
      </c>
      <c r="Z1" s="149" t="n">
        <f aca="false">Y1-$C12</f>
        <v>0.946</v>
      </c>
      <c r="AA1" s="149" t="n">
        <f aca="false">Z1-$C12</f>
        <v>0.942</v>
      </c>
      <c r="AB1" s="149" t="n">
        <f aca="false">AA1-$C12</f>
        <v>0.938</v>
      </c>
      <c r="AC1" s="149" t="n">
        <f aca="false">AB1-$C12</f>
        <v>0.934</v>
      </c>
      <c r="AD1" s="149" t="n">
        <f aca="false">AC1-$C12</f>
        <v>0.93</v>
      </c>
      <c r="AE1" s="149" t="n">
        <f aca="false">AD1-$C12</f>
        <v>0.926</v>
      </c>
      <c r="AF1" s="149" t="n">
        <f aca="false">AE1-$C12</f>
        <v>0.922</v>
      </c>
      <c r="AG1" s="149" t="n">
        <f aca="false">AF1-$C12</f>
        <v>0.918</v>
      </c>
      <c r="AH1" s="149" t="n">
        <f aca="false">AG1-$C12</f>
        <v>0.914</v>
      </c>
    </row>
    <row r="2" customFormat="false" ht="21.75" hidden="false" customHeight="true" outlineLevel="0" collapsed="false">
      <c r="A2" s="150" t="s">
        <v>65</v>
      </c>
      <c r="B2" s="151" t="s">
        <v>2</v>
      </c>
      <c r="C2" s="150" t="s">
        <v>2</v>
      </c>
      <c r="D2" s="152" t="s">
        <v>26</v>
      </c>
      <c r="E2" s="153" t="s">
        <v>66</v>
      </c>
    </row>
    <row r="3" customFormat="false" ht="21.75" hidden="false" customHeight="true" outlineLevel="0" collapsed="false">
      <c r="A3" s="154" t="s">
        <v>67</v>
      </c>
      <c r="B3" s="155" t="n">
        <v>20</v>
      </c>
      <c r="C3" s="154" t="n">
        <v>20</v>
      </c>
      <c r="D3" s="156" t="s">
        <v>26</v>
      </c>
      <c r="E3" s="153" t="s">
        <v>68</v>
      </c>
    </row>
    <row r="4" customFormat="false" ht="21.75" hidden="false" customHeight="true" outlineLevel="0" collapsed="false">
      <c r="A4" s="154" t="s">
        <v>69</v>
      </c>
      <c r="B4" s="155" t="n">
        <v>436.1</v>
      </c>
      <c r="C4" s="154" t="n">
        <v>436.1</v>
      </c>
      <c r="D4" s="156" t="s">
        <v>26</v>
      </c>
      <c r="E4" s="153" t="s">
        <v>70</v>
      </c>
      <c r="M4" s="157" t="s">
        <v>125</v>
      </c>
    </row>
    <row r="5" customFormat="false" ht="22.5" hidden="false" customHeight="true" outlineLevel="0" collapsed="false">
      <c r="A5" s="154" t="s">
        <v>72</v>
      </c>
      <c r="B5" s="155" t="n">
        <v>2020</v>
      </c>
      <c r="C5" s="154" t="n">
        <v>2020</v>
      </c>
      <c r="D5" s="156" t="n">
        <f aca="false">B5+B3-1</f>
        <v>2039</v>
      </c>
      <c r="E5" s="153" t="n">
        <v>2039</v>
      </c>
      <c r="M5" s="157" t="s">
        <v>126</v>
      </c>
    </row>
    <row r="6" customFormat="false" ht="20.25" hidden="false" customHeight="true" outlineLevel="0" collapsed="false">
      <c r="A6" s="158"/>
      <c r="B6" s="158"/>
      <c r="C6" s="158"/>
      <c r="D6" s="158"/>
      <c r="E6" s="159"/>
      <c r="M6" s="157" t="s">
        <v>127</v>
      </c>
    </row>
    <row r="7" customFormat="false" ht="22.5" hidden="false" customHeight="true" outlineLevel="0" collapsed="false">
      <c r="A7" s="147" t="s">
        <v>75</v>
      </c>
      <c r="B7" s="147"/>
      <c r="C7" s="147"/>
      <c r="D7" s="147"/>
      <c r="E7" s="159"/>
      <c r="M7" s="157" t="s">
        <v>128</v>
      </c>
    </row>
    <row r="8" customFormat="false" ht="22.5" hidden="false" customHeight="true" outlineLevel="0" collapsed="false">
      <c r="A8" s="160" t="s">
        <v>77</v>
      </c>
      <c r="B8" s="160"/>
      <c r="C8" s="160"/>
      <c r="D8" s="160"/>
      <c r="E8" s="159"/>
      <c r="M8" s="157" t="s">
        <v>129</v>
      </c>
    </row>
    <row r="9" customFormat="false" ht="22.5" hidden="false" customHeight="true" outlineLevel="0" collapsed="false">
      <c r="A9" s="161" t="s">
        <v>79</v>
      </c>
      <c r="B9" s="162" t="s">
        <v>80</v>
      </c>
      <c r="C9" s="162" t="s">
        <v>81</v>
      </c>
      <c r="D9" s="163" t="s">
        <v>82</v>
      </c>
      <c r="E9" s="148" t="s">
        <v>64</v>
      </c>
      <c r="M9" s="157" t="s">
        <v>83</v>
      </c>
    </row>
    <row r="10" customFormat="false" ht="30" hidden="false" customHeight="true" outlineLevel="0" collapsed="false">
      <c r="A10" s="164" t="s">
        <v>84</v>
      </c>
      <c r="B10" s="150" t="s">
        <v>85</v>
      </c>
      <c r="C10" s="165" t="n">
        <v>547002</v>
      </c>
      <c r="D10" s="166" t="n">
        <v>547002</v>
      </c>
      <c r="E10" s="153" t="n">
        <v>20</v>
      </c>
      <c r="M10" s="157" t="s">
        <v>130</v>
      </c>
    </row>
    <row r="11" customFormat="false" ht="30" hidden="false" customHeight="true" outlineLevel="0" collapsed="false">
      <c r="A11" s="164"/>
      <c r="B11" s="154" t="s">
        <v>87</v>
      </c>
      <c r="C11" s="167" t="n">
        <v>0.01</v>
      </c>
      <c r="D11" s="166"/>
      <c r="E11" s="153" t="s">
        <v>88</v>
      </c>
    </row>
    <row r="12" customFormat="false" ht="30" hidden="false" customHeight="true" outlineLevel="0" collapsed="false">
      <c r="A12" s="164"/>
      <c r="B12" s="154" t="s">
        <v>89</v>
      </c>
      <c r="C12" s="168" t="n">
        <v>0.004</v>
      </c>
      <c r="D12" s="166"/>
      <c r="E12" s="153" t="s">
        <v>90</v>
      </c>
    </row>
    <row r="13" customFormat="false" ht="22.5" hidden="false" customHeight="true" outlineLevel="0" collapsed="false">
      <c r="A13" s="164"/>
      <c r="B13" s="169" t="s">
        <v>91</v>
      </c>
      <c r="C13" s="170" t="n">
        <v>4</v>
      </c>
      <c r="D13" s="166"/>
      <c r="E13" s="153" t="s">
        <v>92</v>
      </c>
    </row>
    <row r="14" customFormat="false" ht="22.5" hidden="false" customHeight="true" outlineLevel="0" collapsed="false">
      <c r="A14" s="171" t="s">
        <v>93</v>
      </c>
      <c r="B14" s="171"/>
      <c r="C14" s="171"/>
      <c r="D14" s="171"/>
      <c r="E14" s="159"/>
    </row>
    <row r="15" customFormat="false" ht="22.5" hidden="false" customHeight="true" outlineLevel="0" collapsed="false">
      <c r="A15" s="161" t="s">
        <v>79</v>
      </c>
      <c r="B15" s="162" t="s">
        <v>80</v>
      </c>
      <c r="C15" s="162" t="s">
        <v>81</v>
      </c>
      <c r="D15" s="163" t="s">
        <v>94</v>
      </c>
      <c r="E15" s="148" t="s">
        <v>64</v>
      </c>
    </row>
    <row r="16" customFormat="false" ht="21.75" hidden="false" customHeight="true" outlineLevel="0" collapsed="false">
      <c r="A16" s="150" t="s">
        <v>95</v>
      </c>
      <c r="B16" s="150" t="s">
        <v>96</v>
      </c>
      <c r="C16" s="172" t="n">
        <v>35000</v>
      </c>
      <c r="D16" s="152" t="n">
        <v>25000</v>
      </c>
      <c r="E16" s="153" t="n">
        <v>20</v>
      </c>
    </row>
    <row r="17" customFormat="false" ht="21.75" hidden="false" customHeight="true" outlineLevel="0" collapsed="false">
      <c r="A17" s="150"/>
      <c r="B17" s="154" t="s">
        <v>97</v>
      </c>
      <c r="C17" s="155" t="n">
        <v>0.3</v>
      </c>
      <c r="D17" s="152"/>
      <c r="E17" s="153" t="s">
        <v>98</v>
      </c>
    </row>
    <row r="18" customFormat="false" ht="21.75" hidden="false" customHeight="true" outlineLevel="0" collapsed="false">
      <c r="A18" s="150"/>
      <c r="B18" s="154" t="s">
        <v>99</v>
      </c>
      <c r="C18" s="173" t="n">
        <v>2000</v>
      </c>
      <c r="D18" s="152"/>
      <c r="E18" s="153" t="s">
        <v>100</v>
      </c>
    </row>
    <row r="19" customFormat="false" ht="54" hidden="false" customHeight="true" outlineLevel="0" collapsed="false">
      <c r="A19" s="154" t="s">
        <v>101</v>
      </c>
      <c r="B19" s="174" t="s">
        <v>102</v>
      </c>
      <c r="C19" s="155" t="n">
        <v>1</v>
      </c>
      <c r="D19" s="152" t="n">
        <v>1</v>
      </c>
      <c r="E19" s="153" t="n">
        <v>0</v>
      </c>
    </row>
    <row r="20" customFormat="false" ht="20.25" hidden="false" customHeight="true" outlineLevel="0" collapsed="false">
      <c r="A20" s="154"/>
      <c r="B20" s="175" t="s">
        <v>103</v>
      </c>
      <c r="C20" s="173" t="n">
        <v>290201</v>
      </c>
      <c r="D20" s="152" t="n">
        <v>290201</v>
      </c>
      <c r="E20" s="153" t="n">
        <v>20</v>
      </c>
    </row>
    <row r="21" customFormat="false" ht="30" hidden="false" customHeight="true" outlineLevel="0" collapsed="false">
      <c r="A21" s="154"/>
      <c r="B21" s="154" t="s">
        <v>104</v>
      </c>
      <c r="C21" s="155"/>
      <c r="D21" s="156" t="n">
        <v>0</v>
      </c>
      <c r="E21" s="153" t="n">
        <v>0</v>
      </c>
    </row>
    <row r="22" customFormat="false" ht="30" hidden="false" customHeight="true" outlineLevel="0" collapsed="false">
      <c r="A22" s="154" t="s">
        <v>105</v>
      </c>
      <c r="B22" s="154" t="s">
        <v>106</v>
      </c>
      <c r="C22" s="173" t="n">
        <v>400</v>
      </c>
      <c r="D22" s="156" t="n">
        <v>400</v>
      </c>
      <c r="E22" s="153" t="n">
        <v>20</v>
      </c>
    </row>
    <row r="23" customFormat="false" ht="30" hidden="false" customHeight="true" outlineLevel="0" collapsed="false">
      <c r="A23" s="154" t="s">
        <v>107</v>
      </c>
      <c r="B23" s="154" t="s">
        <v>108</v>
      </c>
      <c r="C23" s="155" t="n">
        <v>0.003</v>
      </c>
      <c r="D23" s="156" t="n">
        <v>0.003</v>
      </c>
      <c r="E23" s="153" t="n">
        <v>20</v>
      </c>
    </row>
    <row r="24" customFormat="false" ht="30" hidden="false" customHeight="true" outlineLevel="0" collapsed="false">
      <c r="A24" s="154" t="s">
        <v>109</v>
      </c>
      <c r="B24" s="154" t="s">
        <v>110</v>
      </c>
      <c r="C24" s="173" t="n">
        <v>1000</v>
      </c>
      <c r="D24" s="176" t="n">
        <v>1000</v>
      </c>
      <c r="E24" s="153" t="n">
        <v>10</v>
      </c>
    </row>
    <row r="25" customFormat="false" ht="30" hidden="false" customHeight="true" outlineLevel="0" collapsed="false">
      <c r="A25" s="154" t="s">
        <v>111</v>
      </c>
      <c r="B25" s="154" t="s">
        <v>112</v>
      </c>
      <c r="C25" s="168" t="n">
        <v>0.0256</v>
      </c>
      <c r="D25" s="156" t="n">
        <v>0.0256</v>
      </c>
      <c r="E25" s="153" t="n">
        <v>0</v>
      </c>
    </row>
    <row r="26" customFormat="false" ht="30" hidden="false" customHeight="true" outlineLevel="0" collapsed="false">
      <c r="A26" s="154" t="s">
        <v>14</v>
      </c>
      <c r="B26" s="154" t="s">
        <v>113</v>
      </c>
      <c r="C26" s="155" t="n">
        <v>0.2</v>
      </c>
      <c r="D26" s="156" t="n">
        <v>0.2</v>
      </c>
      <c r="E26" s="153" t="n">
        <v>0</v>
      </c>
    </row>
    <row r="27" customFormat="false" ht="20.25" hidden="false" customHeight="true" outlineLevel="0" collapsed="false">
      <c r="A27" s="158"/>
      <c r="B27" s="158"/>
      <c r="C27" s="158"/>
      <c r="D27" s="158"/>
      <c r="E27" s="159"/>
    </row>
    <row r="28" customFormat="false" ht="20.25" hidden="false" customHeight="true" outlineLevel="0" collapsed="false">
      <c r="A28" s="158"/>
      <c r="B28" s="158"/>
      <c r="C28" s="158"/>
      <c r="D28" s="158"/>
      <c r="E28" s="159"/>
    </row>
    <row r="29" customFormat="false" ht="22.5" hidden="false" customHeight="true" outlineLevel="0" collapsed="false">
      <c r="A29" s="147" t="s">
        <v>114</v>
      </c>
      <c r="B29" s="147"/>
      <c r="C29" s="147"/>
      <c r="D29" s="158"/>
      <c r="E29" s="159"/>
    </row>
    <row r="30" customFormat="false" ht="22.5" hidden="false" customHeight="true" outlineLevel="0" collapsed="false">
      <c r="A30" s="161" t="s">
        <v>115</v>
      </c>
      <c r="B30" s="162" t="s">
        <v>80</v>
      </c>
      <c r="C30" s="177" t="s">
        <v>81</v>
      </c>
      <c r="D30" s="158"/>
      <c r="E30" s="148" t="s">
        <v>64</v>
      </c>
    </row>
    <row r="31" customFormat="false" ht="30" hidden="false" customHeight="true" outlineLevel="0" collapsed="false">
      <c r="A31" s="150" t="s">
        <v>116</v>
      </c>
      <c r="B31" s="150" t="s">
        <v>117</v>
      </c>
      <c r="C31" s="178" t="n">
        <v>0.8</v>
      </c>
      <c r="D31" s="158" t="n">
        <v>0.8</v>
      </c>
      <c r="E31" s="153" t="s">
        <v>118</v>
      </c>
    </row>
    <row r="32" customFormat="false" ht="18.75" hidden="false" customHeight="true" outlineLevel="0" collapsed="false">
      <c r="A32" s="150" t="s">
        <v>119</v>
      </c>
      <c r="B32" s="150" t="s">
        <v>120</v>
      </c>
      <c r="C32" s="178" t="n">
        <v>15</v>
      </c>
      <c r="D32" s="158" t="n">
        <v>15</v>
      </c>
      <c r="E32" s="153" t="s">
        <v>121</v>
      </c>
    </row>
    <row r="33" customFormat="false" ht="18.75" hidden="false" customHeight="true" outlineLevel="0" collapsed="false">
      <c r="A33" s="154" t="s">
        <v>53</v>
      </c>
      <c r="B33" s="154" t="s">
        <v>122</v>
      </c>
      <c r="C33" s="155" t="n">
        <v>0.9</v>
      </c>
      <c r="D33" s="158" t="n">
        <v>0.9</v>
      </c>
      <c r="E33" s="153" t="s">
        <v>123</v>
      </c>
    </row>
    <row r="34" customFormat="false" ht="30" hidden="false" customHeight="true" outlineLevel="0" collapsed="false">
      <c r="A34" s="154" t="s">
        <v>54</v>
      </c>
      <c r="B34" s="154" t="s">
        <v>120</v>
      </c>
      <c r="C34" s="155" t="n">
        <v>4</v>
      </c>
      <c r="D34" s="158" t="n">
        <v>4</v>
      </c>
      <c r="E34" s="153" t="s">
        <v>124</v>
      </c>
    </row>
    <row r="35" customFormat="false" ht="18.75" hidden="false" customHeight="true" outlineLevel="0" collapsed="false"/>
    <row r="37" customFormat="false" ht="15.75" hidden="false" customHeight="true" outlineLevel="0" collapsed="false">
      <c r="D37" s="157" t="n">
        <v>2020</v>
      </c>
      <c r="E37" s="157" t="n">
        <v>2021</v>
      </c>
      <c r="F37" s="157" t="n">
        <v>2022</v>
      </c>
      <c r="G37" s="157" t="n">
        <v>2023</v>
      </c>
      <c r="H37" s="157" t="n">
        <v>2024</v>
      </c>
      <c r="I37" s="157" t="n">
        <v>2025</v>
      </c>
      <c r="J37" s="157" t="n">
        <v>2026</v>
      </c>
      <c r="K37" s="157" t="n">
        <v>2027</v>
      </c>
      <c r="L37" s="157" t="n">
        <v>2028</v>
      </c>
      <c r="M37" s="157" t="n">
        <v>2029</v>
      </c>
      <c r="N37" s="157" t="n">
        <v>2030</v>
      </c>
      <c r="O37" s="157" t="n">
        <v>2031</v>
      </c>
      <c r="P37" s="157" t="n">
        <v>2032</v>
      </c>
      <c r="Q37" s="157" t="n">
        <v>2033</v>
      </c>
      <c r="R37" s="157" t="n">
        <v>2034</v>
      </c>
      <c r="S37" s="157" t="n">
        <v>2035</v>
      </c>
      <c r="T37" s="157" t="n">
        <v>2036</v>
      </c>
      <c r="U37" s="157" t="n">
        <v>2037</v>
      </c>
      <c r="V37" s="157" t="n">
        <v>2038</v>
      </c>
      <c r="W37" s="157" t="n">
        <v>2039</v>
      </c>
    </row>
    <row r="45" customFormat="false" ht="15.75" hidden="false" customHeight="true" outlineLevel="0" collapsed="false">
      <c r="D45" s="157" t="n">
        <v>-290201</v>
      </c>
      <c r="E45" s="157" t="n">
        <v>-290201</v>
      </c>
      <c r="F45" s="157" t="n">
        <v>-290201</v>
      </c>
      <c r="G45" s="157" t="n">
        <v>-290201</v>
      </c>
      <c r="H45" s="157" t="n">
        <v>-290201</v>
      </c>
      <c r="I45" s="157" t="n">
        <v>-290201</v>
      </c>
      <c r="J45" s="157" t="n">
        <v>-290201</v>
      </c>
      <c r="K45" s="157" t="n">
        <v>-290201</v>
      </c>
      <c r="L45" s="157" t="n">
        <v>-290201</v>
      </c>
      <c r="M45" s="157" t="n">
        <v>-290201</v>
      </c>
      <c r="N45" s="157" t="n">
        <v>-290201</v>
      </c>
      <c r="O45" s="157" t="n">
        <v>-290201</v>
      </c>
      <c r="P45" s="157" t="n">
        <v>-290201</v>
      </c>
      <c r="Q45" s="157" t="n">
        <v>-290201</v>
      </c>
      <c r="R45" s="157" t="n">
        <v>-290201</v>
      </c>
      <c r="S45" s="157" t="n">
        <v>-290201</v>
      </c>
      <c r="T45" s="157" t="n">
        <v>-290201</v>
      </c>
      <c r="U45" s="157" t="n">
        <v>-290201</v>
      </c>
      <c r="V45" s="157" t="n">
        <v>-290201</v>
      </c>
      <c r="W45" s="157" t="n">
        <v>-290201</v>
      </c>
    </row>
    <row r="48" customFormat="false" ht="15.75" hidden="false" customHeight="true" outlineLevel="0" collapsed="false">
      <c r="D48" s="157" t="n">
        <v>-174440</v>
      </c>
      <c r="E48" s="157" t="n">
        <v>-174440</v>
      </c>
      <c r="F48" s="157" t="n">
        <v>-174440</v>
      </c>
      <c r="G48" s="157" t="n">
        <v>-174440</v>
      </c>
      <c r="H48" s="157" t="n">
        <v>-174440</v>
      </c>
      <c r="I48" s="157" t="n">
        <v>-174440</v>
      </c>
      <c r="J48" s="157" t="n">
        <v>-174440</v>
      </c>
      <c r="K48" s="157" t="n">
        <v>-174440</v>
      </c>
      <c r="L48" s="157" t="n">
        <v>-174440</v>
      </c>
      <c r="M48" s="157" t="n">
        <v>-174440</v>
      </c>
      <c r="N48" s="157" t="n">
        <v>-174440</v>
      </c>
      <c r="O48" s="157" t="n">
        <v>-174440</v>
      </c>
      <c r="P48" s="157" t="n">
        <v>-174440</v>
      </c>
      <c r="Q48" s="157" t="n">
        <v>-174440</v>
      </c>
      <c r="R48" s="157" t="n">
        <v>-174440</v>
      </c>
      <c r="S48" s="157" t="n">
        <v>-174440</v>
      </c>
      <c r="T48" s="157" t="n">
        <v>-174440</v>
      </c>
      <c r="U48" s="157" t="n">
        <v>-174440</v>
      </c>
      <c r="V48" s="157" t="n">
        <v>-174440</v>
      </c>
      <c r="W48" s="157" t="n">
        <v>-174440</v>
      </c>
    </row>
    <row r="49" customFormat="false" ht="15.75" hidden="false" customHeight="true" outlineLevel="0" collapsed="false">
      <c r="D49" s="157" t="n">
        <v>-32707.5</v>
      </c>
      <c r="E49" s="157" t="n">
        <v>-32707.5</v>
      </c>
      <c r="F49" s="157" t="n">
        <v>-32707.5</v>
      </c>
      <c r="G49" s="157" t="n">
        <v>-32707.5</v>
      </c>
      <c r="H49" s="157" t="n">
        <v>-32707.5</v>
      </c>
      <c r="I49" s="157" t="n">
        <v>-32707.5</v>
      </c>
      <c r="J49" s="157" t="n">
        <v>-32707.5</v>
      </c>
      <c r="K49" s="157" t="n">
        <v>-32707.5</v>
      </c>
      <c r="L49" s="157" t="n">
        <v>-32707.5</v>
      </c>
      <c r="M49" s="157" t="n">
        <v>-32707.5</v>
      </c>
      <c r="N49" s="157" t="n">
        <v>-32707.5</v>
      </c>
      <c r="O49" s="157" t="n">
        <v>-32707.5</v>
      </c>
      <c r="P49" s="157" t="n">
        <v>-32707.5</v>
      </c>
      <c r="Q49" s="157" t="n">
        <v>-32707.5</v>
      </c>
      <c r="R49" s="157" t="n">
        <v>-32707.5</v>
      </c>
      <c r="S49" s="157" t="n">
        <v>-32707.5</v>
      </c>
      <c r="T49" s="157" t="n">
        <v>-32707.5</v>
      </c>
      <c r="U49" s="157" t="n">
        <v>-32707.5</v>
      </c>
      <c r="V49" s="157" t="n">
        <v>-32707.5</v>
      </c>
      <c r="W49" s="157" t="n">
        <v>-32707.5</v>
      </c>
    </row>
    <row r="50" customFormat="false" ht="15.75" hidden="false" customHeight="true" outlineLevel="0" collapsed="false">
      <c r="D50" s="157" t="n">
        <v>-43610</v>
      </c>
      <c r="E50" s="157" t="n">
        <v>-43610</v>
      </c>
      <c r="F50" s="157" t="n">
        <v>-43610</v>
      </c>
      <c r="G50" s="157" t="n">
        <v>-43610</v>
      </c>
      <c r="H50" s="157" t="n">
        <v>-43610</v>
      </c>
      <c r="I50" s="157" t="n">
        <v>-43610</v>
      </c>
      <c r="J50" s="157" t="n">
        <v>-43610</v>
      </c>
      <c r="K50" s="157" t="n">
        <v>-43610</v>
      </c>
      <c r="L50" s="157" t="n">
        <v>-43610</v>
      </c>
      <c r="M50" s="157" t="n">
        <v>-43610</v>
      </c>
      <c r="N50" s="157" t="n">
        <v>0</v>
      </c>
      <c r="O50" s="157" t="n">
        <v>0</v>
      </c>
      <c r="P50" s="157" t="n">
        <v>0</v>
      </c>
      <c r="Q50" s="157" t="n">
        <v>0</v>
      </c>
      <c r="R50" s="157" t="n">
        <v>0</v>
      </c>
      <c r="S50" s="157" t="n">
        <v>0</v>
      </c>
      <c r="T50" s="157" t="n">
        <v>0</v>
      </c>
      <c r="U50" s="157" t="n">
        <v>0</v>
      </c>
      <c r="V50" s="157" t="n">
        <v>0</v>
      </c>
      <c r="W50" s="157" t="n">
        <v>0</v>
      </c>
    </row>
    <row r="54" customFormat="false" ht="15" hidden="false" customHeight="false" outlineLevel="0" collapsed="false">
      <c r="D54" s="0" t="n">
        <f aca="false">D77</f>
        <v>0</v>
      </c>
      <c r="E54" s="0" t="n">
        <f aca="false">E77</f>
        <v>0</v>
      </c>
      <c r="F54" s="0" t="n">
        <f aca="false">F77</f>
        <v>0</v>
      </c>
      <c r="G54" s="0" t="n">
        <f aca="false">G77</f>
        <v>0</v>
      </c>
      <c r="H54" s="0" t="n">
        <f aca="false">H77</f>
        <v>0</v>
      </c>
      <c r="I54" s="0" t="n">
        <f aca="false">I77</f>
        <v>0</v>
      </c>
      <c r="J54" s="0" t="n">
        <f aca="false">J77</f>
        <v>0</v>
      </c>
      <c r="K54" s="0" t="n">
        <f aca="false">K77</f>
        <v>0</v>
      </c>
      <c r="L54" s="0" t="n">
        <f aca="false">L77</f>
        <v>0</v>
      </c>
      <c r="M54" s="0" t="n">
        <f aca="false">M77</f>
        <v>0</v>
      </c>
      <c r="N54" s="0" t="n">
        <f aca="false">N77</f>
        <v>0</v>
      </c>
      <c r="O54" s="0" t="n">
        <f aca="false">O77</f>
        <v>0</v>
      </c>
      <c r="P54" s="0" t="n">
        <f aca="false">P77</f>
        <v>0</v>
      </c>
      <c r="Q54" s="0" t="n">
        <f aca="false">Q77</f>
        <v>0</v>
      </c>
      <c r="R54" s="0" t="n">
        <f aca="false">R77</f>
        <v>0</v>
      </c>
      <c r="S54" s="0" t="n">
        <f aca="false">S77</f>
        <v>0</v>
      </c>
      <c r="T54" s="0" t="n">
        <f aca="false">T77</f>
        <v>0</v>
      </c>
      <c r="U54" s="0" t="n">
        <f aca="false">U77</f>
        <v>0</v>
      </c>
      <c r="V54" s="0" t="n">
        <f aca="false">V77</f>
        <v>0</v>
      </c>
      <c r="W54" s="0" t="n">
        <f aca="false">W77</f>
        <v>0</v>
      </c>
    </row>
    <row r="70" customFormat="false" ht="15" hidden="false" customHeight="false" outlineLevel="0" collapsed="false"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0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0</v>
      </c>
      <c r="R70" s="0" t="n">
        <v>0</v>
      </c>
      <c r="S70" s="0" t="n">
        <v>0</v>
      </c>
      <c r="T70" s="0" t="n">
        <v>0</v>
      </c>
      <c r="U70" s="0" t="n">
        <v>0</v>
      </c>
      <c r="V70" s="0" t="n">
        <v>0</v>
      </c>
      <c r="W70" s="0" t="n">
        <v>0</v>
      </c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2026-04-13T07:08:02Z</dcterms:created>
  <dc:creator>openpyxl</dc:creator>
  <dc:description/>
  <dc:language>zh-TW</dc:language>
  <cp:lastModifiedBy/>
  <dcterms:modified xsi:type="dcterms:W3CDTF">2026-04-13T07:24:27Z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