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多站彙整" sheetId="1" state="visible" r:id="rId3"/>
    <sheet name="淡江大學_p2" sheetId="2" state="visible" r:id="rId4"/>
    <sheet name="淡江大學_p5" sheetId="3" state="visible" r:id="rId5"/>
    <sheet name="淡江大學_p3" sheetId="4" state="visible" r:id="rId6"/>
    <sheet name="淡江大學_p4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<sst xmlns="http://schemas.openxmlformats.org/spreadsheetml/2006/main" count="892" uniqueCount="156">
  <si>
    <t xml:space="preserve">年份</t>
  </si>
  <si>
    <t xml:space="preserve">預估發電度數</t>
  </si>
  <si>
    <t xml:space="preserve">淡江大學</t>
  </si>
  <si>
    <r>
      <rPr>
        <sz val="11"/>
        <color theme="1"/>
        <rFont val="Noto Sans TC"/>
        <family val="2"/>
        <charset val="136"/>
      </rPr>
      <t xml:space="preserve">預估發電度數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</si>
  <si>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預估收入</t>
  </si>
  <si>
    <r>
      <rPr>
        <sz val="11"/>
        <color theme="1"/>
        <rFont val="Noto Sans TC"/>
        <family val="2"/>
        <charset val="136"/>
      </rPr>
      <t xml:space="preserve">預估收入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</si>
  <si>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租金</t>
  </si>
  <si>
    <r>
      <rPr>
        <sz val="11"/>
        <color theme="1"/>
        <rFont val="Noto Sans TC"/>
        <family val="2"/>
        <charset val="136"/>
      </rPr>
      <t xml:space="preserve">租金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</si>
  <si>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運維</t>
  </si>
  <si>
    <r>
      <rPr>
        <sz val="11"/>
        <color theme="1"/>
        <rFont val="Noto Sans TC"/>
        <family val="2"/>
        <charset val="136"/>
      </rPr>
      <t xml:space="preserve">運維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</si>
  <si>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保險</t>
  </si>
  <si>
    <r>
      <rPr>
        <sz val="11"/>
        <color theme="1"/>
        <rFont val="Noto Sans TC"/>
        <family val="2"/>
        <charset val="136"/>
      </rPr>
      <t xml:space="preserve">保險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</si>
  <si>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模組回收費</t>
  </si>
  <si>
    <r>
      <rPr>
        <sz val="11"/>
        <color theme="1"/>
        <rFont val="Noto Sans TC"/>
        <family val="2"/>
        <charset val="136"/>
      </rPr>
      <t xml:space="preserve">模組回收費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</si>
  <si>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所得稅</t>
  </si>
  <si>
    <r>
      <rPr>
        <sz val="11"/>
        <color theme="1"/>
        <rFont val="Noto Sans TC"/>
        <family val="2"/>
        <charset val="136"/>
      </rPr>
      <t xml:space="preserve">所得稅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</si>
  <si>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設備折舊</t>
  </si>
  <si>
    <r>
      <rPr>
        <sz val="11"/>
        <color theme="1"/>
        <rFont val="Noto Sans TC"/>
        <family val="2"/>
        <charset val="136"/>
      </rPr>
      <t xml:space="preserve">設備折舊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</si>
  <si>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r>
      <rPr>
        <sz val="11"/>
        <color theme="1"/>
        <rFont val="Noto Sans TC"/>
        <family val="2"/>
        <charset val="136"/>
      </rPr>
      <t xml:space="preserve">貸款成數</t>
    </r>
    <r>
      <rPr>
        <sz val="11"/>
        <color theme="1"/>
        <rFont val="Calibri"/>
        <family val="2"/>
        <charset val="1"/>
      </rPr>
      <t xml:space="preserve">(%)</t>
    </r>
  </si>
  <si>
    <t xml:space="preserve">還款期數</t>
  </si>
  <si>
    <r>
      <rPr>
        <sz val="11"/>
        <color theme="1"/>
        <rFont val="Noto Sans TC"/>
        <family val="2"/>
        <charset val="136"/>
      </rPr>
      <t xml:space="preserve">股利比率</t>
    </r>
    <r>
      <rPr>
        <sz val="11"/>
        <color theme="1"/>
        <rFont val="Calibri"/>
        <family val="2"/>
        <charset val="1"/>
      </rPr>
      <t xml:space="preserve">(%)</t>
    </r>
  </si>
  <si>
    <t xml:space="preserve">年底減資攤還期數</t>
  </si>
  <si>
    <r>
      <rPr>
        <sz val="11"/>
        <color theme="1"/>
        <rFont val="Noto Sans TC"/>
        <family val="2"/>
        <charset val="136"/>
      </rPr>
      <t xml:space="preserve">銀行利率</t>
    </r>
    <r>
      <rPr>
        <sz val="11"/>
        <color theme="1"/>
        <rFont val="Calibri"/>
        <family val="2"/>
        <charset val="1"/>
      </rPr>
      <t xml:space="preserve">(%)</t>
    </r>
  </si>
  <si>
    <t xml:space="preserve">(Unit : Currency)</t>
  </si>
  <si>
    <r>
      <rPr>
        <sz val="12"/>
        <color rgb="FF000000"/>
        <rFont val="Noto Sans TC"/>
        <family val="2"/>
        <charset val="136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</si>
  <si>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電費收入</t>
    </r>
  </si>
  <si>
    <t xml:space="preserve">-</t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</si>
  <si>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</si>
  <si>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</si>
  <si>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</si>
  <si>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</si>
  <si>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</si>
  <si>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</si>
  <si>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</si>
  <si>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</si>
  <si>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</si>
  <si>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Noto Sans TC"/>
        <family val="2"/>
        <charset val="136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</si>
  <si>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Noto Sans TC"/>
        <family val="2"/>
        <charset val="136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</si>
  <si>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</si>
  <si>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</si>
  <si>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</si>
  <si>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</si>
  <si>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</si>
  <si>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專案法IRR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</si>
  <si>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</si>
  <si>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設備折舊</t>
    </r>
  </si>
  <si>
    <t xml:space="preserve">稅前淨利</t>
  </si>
  <si>
    <t xml:space="preserve">稅後淨利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</si>
  <si>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</si>
  <si>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</si>
  <si>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</si>
  <si>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</si>
  <si>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</si>
  <si>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現金股利</t>
  </si>
  <si>
    <t xml:space="preserve">年底減資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</si>
  <si>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</si>
  <si>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</si>
  <si>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</si>
  <si>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</si>
  <si>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</si>
  <si>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</si>
  <si>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</si>
  <si>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</si>
  <si>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電站基本資料</t>
  </si>
  <si>
    <t xml:space="preserve">說明</t>
  </si>
  <si>
    <t xml:space="preserve">電站名稱</t>
  </si>
  <si>
    <t xml:space="preserve">填入本案場名稱</t>
  </si>
  <si>
    <t xml:space="preserve">電站壽命</t>
  </si>
  <si>
    <t xml:space="preserve">預設 20 年，代表財務評估年期。若合約年限不同可依實際情況修改</t>
  </si>
  <si>
    <t xml:space="preserve">建置量(kWp)</t>
  </si>
  <si>
    <t xml:space="preserve">填入裝置容量（kWp），通常由設計圖面或報價書取得</t>
  </si>
  <si>
    <t xml:space="preserve">情境編號: 2</t>
  </si>
  <si>
    <t xml:space="preserve">起始年度</t>
  </si>
  <si>
    <t xml:space="preserve">結束年度</t>
  </si>
  <si>
    <t xml:space="preserve">填入電站預計掛表的西元年份（例：2025）。結束年度會自動計算</t>
  </si>
  <si>
    <t xml:space="preserve">第1次滾算摘要</t>
  </si>
  <si>
    <t xml:space="preserve">價金: 33000</t>
  </si>
  <si>
    <t xml:space="preserve">綜合損益表</t>
  </si>
  <si>
    <t xml:space="preserve">專案IRR: 3.16</t>
  </si>
  <si>
    <t xml:space="preserve">收入</t>
  </si>
  <si>
    <t xml:space="preserve">權益法IRR: 6.19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</si>
  <si>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</si>
  <si>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</si>
  <si>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</si>
  <si>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</si>
  <si>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利潤率: 30.00%</t>
  </si>
  <si>
    <t xml:space="preserve">電費收入</t>
  </si>
  <si>
    <t xml:space="preserve">年度AC併網總發電量</t>
  </si>
  <si>
    <t xml:space="preserve">預估年發電量（kWh），通常來自 PVsyst 模擬或估算：裝置容量 × 年日照時數 × 系統效率</t>
  </si>
  <si>
    <t xml:space="preserve">第1次滾算，減少 2000 元 - 現金模式，每次減少 2000 元</t>
  </si>
  <si>
    <t xml:space="preserve">首年衰退率</t>
  </si>
  <si>
    <t xml:space="preserve">第一年發電衰退比率，請填小數（例：1% → 填 0.01）。一般首年衰退約 1~2%(請參考模組規格書)</t>
  </si>
  <si>
    <t xml:space="preserve">次年衰退率</t>
  </si>
  <si>
    <t xml:space="preserve">第二年起每年固定衰退比率，請填小數（例：0.4% → 填 0.004）。一般約 0.4~0.7%(請參考模組規格書)</t>
  </si>
  <si>
    <t xml:space="preserve">躉售費率(FIT) / 綠電費率</t>
  </si>
  <si>
    <t xml:space="preserve">與台電簽訂的躉購費率或綠電合約費率，單位：元/度。請參考台電公告或合約內容</t>
  </si>
  <si>
    <t xml:space="preserve">支出</t>
  </si>
  <si>
    <t xml:space="preserve">攤提年限</t>
  </si>
  <si>
    <t xml:space="preserve">設備費用(價金)</t>
  </si>
  <si>
    <t xml:space="preserve">每kWp設備成本</t>
  </si>
  <si>
    <t xml:space="preserve">每峰瓩設備成本（元/kWp），包含模組、逆變器、支架等硬體，不含工程施工費</t>
  </si>
  <si>
    <t xml:space="preserve">信邦利潤率(ex:20%填0.2)</t>
  </si>
  <si>
    <t xml:space="preserve">公司在設備費用上加計的利潤比率，請填小數（例：20% → 填 0.2）</t>
  </si>
  <si>
    <t xml:space="preserve">開發費</t>
  </si>
  <si>
    <t xml:space="preserve">前期開發費用（元），含可行性評估、申請規費、地主溝通等。若無則填 0</t>
  </si>
  <si>
    <t xml:space="preserve">租金費用</t>
  </si>
  <si>
    <t xml:space="preserve">租金計算方式</t>
  </si>
  <si>
    <t xml:space="preserve">填 1 = 固定年租金（需填方式1參數）；填 2 = 依電費收入抽成（需填方式2參數）</t>
  </si>
  <si>
    <t xml:space="preserve">【方式1參數】每年相同價格</t>
  </si>
  <si>
    <t xml:space="preserve">租金計算方式選「1」時填寫，固定年租金金額（元/年），套用至整個電站壽命期</t>
  </si>
  <si>
    <t xml:space="preserve">【方式2參數】抽成比率</t>
  </si>
  <si>
    <t xml:space="preserve">租金計算方式選「2」時填寫，請填小數（例：10% → 填 0.1）。租金 = 當年電費收入 × 抽成比率</t>
  </si>
  <si>
    <t xml:space="preserve">運維費用</t>
  </si>
  <si>
    <t xml:space="preserve">每kw運維成本</t>
  </si>
  <si>
    <t xml:space="preserve">每峰瓩每年運維費用（元/kWp/年），含清洗、巡檢、維修等。</t>
  </si>
  <si>
    <t xml:space="preserve">保險費用</t>
  </si>
  <si>
    <t xml:space="preserve">占整體設備費用比例</t>
  </si>
  <si>
    <t xml:space="preserve">保險費佔設備總費用比率，填小數（例：0.3% → 填 0.003）。預設 0.003，可依投保條件調整</t>
  </si>
  <si>
    <t xml:space="preserve">模組回收費用</t>
  </si>
  <si>
    <t xml:space="preserve">每kw模組回收成本</t>
  </si>
  <si>
    <t xml:space="preserve">每峰瓩模組廢棄回收費用（元/kWp），於第 1~10 年計提（攤提 10 年）。</t>
  </si>
  <si>
    <t xml:space="preserve">利息費用</t>
  </si>
  <si>
    <t xml:space="preserve">銀行利率</t>
  </si>
  <si>
    <t xml:space="preserve">向銀行貸款的年利率，填小數（例：2.56% → 填 0.0256）。請依銀行核准利率填入</t>
  </si>
  <si>
    <t xml:space="preserve">所得稅率</t>
  </si>
  <si>
    <t xml:space="preserve">公司所得稅率，填小數（例：20% → 填 0.2）。預設 0.2，通常不需更改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</si>
  <si>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</si>
  <si>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</si>
  <si>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</si>
  <si>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</si>
  <si>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貸款佔設備總費用比例，填小數（例：80% → 填 0.8）。預設 0.8 代表貸八成、自備二成</t>
  </si>
  <si>
    <t xml:space="preserve">貸款還款</t>
  </si>
  <si>
    <t xml:space="preserve">攤還期數</t>
  </si>
  <si>
    <t xml:space="preserve">貸款還款年數（年）。預設 15 年，代表分 15 年平均攤還本金</t>
  </si>
  <si>
    <t xml:space="preserve">股利比率</t>
  </si>
  <si>
    <t xml:space="preserve">稅後現金流中分配給股東的比例，填小數（例：90% → 填 0.9）</t>
  </si>
  <si>
    <t xml:space="preserve">年底減資返還股東的年數。預設 4 年，代表 倒數 4 年進行減資，加速資金返還</t>
  </si>
  <si>
    <t xml:space="preserve">發電度數(KWH)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</si>
  <si>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</si>
  <si>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</si>
  <si>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</si>
  <si>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</si>
  <si>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13.45</t>
  </si>
  <si>
    <t xml:space="preserve">第4次滾算，減少 2000 元 - 現金模式，每次減少 2000 元</t>
  </si>
  <si>
    <t xml:space="preserve">情境編號: 3</t>
  </si>
  <si>
    <t xml:space="preserve">第2次滾算摘要</t>
  </si>
  <si>
    <t xml:space="preserve">價金: 31000</t>
  </si>
  <si>
    <t xml:space="preserve">專案IRR: 3.75</t>
  </si>
  <si>
    <t xml:space="preserve">權益法IRR: 8.21</t>
  </si>
  <si>
    <t xml:space="preserve">第2次滾算，減少 2000 元 - 現金模式，每次減少 2000 元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</si>
  <si>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</si>
  <si>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</si>
  <si>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</si>
  <si>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</si>
  <si>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</si>
  <si>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第3次滾算，減少 2000 元 - 現金模式，每次減少 2000 元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</si>
</sst>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0.00_);[RED]\(0.00\)"/>
    <numFmt numFmtId="167" formatCode="0_);[RED]\(0\)"/>
    <numFmt numFmtId="168" formatCode="\$#,##0.00_);[RED]&quot;($&quot;#,##0.00\)"/>
    <numFmt numFmtId="169" formatCode="\$#,##0_);[RED]&quot;($&quot;#,##0\)"/>
    <numFmt numFmtId="170" formatCode="0.00%"/>
    <numFmt numFmtId="171" formatCode="_-\$* #,##0_-;&quot;-$&quot;* #,##0_-;_-\$* \-??_-;_-@_-"/>
    <numFmt numFmtId="172" formatCode="#,##0_ "/>
    <numFmt numFmtId="173" formatCode="0%"/>
    <numFmt numFmtId="174" formatCode="_-* #,##0_-;\-* #,##0_-;_-* \-??_-;_-@_-"/>
    <numFmt numFmtId="175" formatCode="\$#,##0.00_);[RED]&quot;($&quot;#,##0.00\)"/>
    <numFmt numFmtId="176" formatCode="\$#,##0_);[RED]&quot;($&quot;#,##0\)"/>
  </numFmts>
  <fonts count="40">
    <font>
      <sz val="11"/>
      <color theme="1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color rgb="FFFFFFFF"/>
      <name val="Noto Sans TC"/>
      <family val="2"/>
      <charset val="136"/>
    </font>
    <font>
      <sz val="11"/>
      <color theme="1"/>
      <name val="Calibri"/>
      <family val="2"/>
      <charset val="1"/>
    </font>
    <font>
      <sz val="12"/>
      <color theme="1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Noto Sans TC"/>
      <family val="2"/>
      <charset val="136"/>
    </font>
    <font>
      <sz val="12"/>
      <color rgb="FF000000"/>
      <name val="Arial"/>
      <family val="2"/>
      <charset val="1"/>
    </font>
    <font>
      <sz val="12"/>
      <color theme="1"/>
      <name val="Noto Sans TC"/>
      <family val="2"/>
      <charset val="136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sz val="12"/>
      <color rgb="FF000080"/>
      <name val="Noto Sans TC"/>
      <family val="2"/>
      <charset val="136"/>
    </font>
    <font>
      <b val="true"/>
      <sz val="11"/>
      <color theme="1"/>
      <name val="新細明體"/>
      <family val="1"/>
      <charset val="136"/>
    </font>
    <font>
      <b val="true"/>
      <sz val="12"/>
      <color theme="1"/>
      <name val="Noto Sans TC"/>
      <family val="2"/>
      <charset val="136"/>
    </font>
    <font>
      <sz val="12"/>
      <color rgb="FF000000"/>
      <name val="微軟正黑體"/>
      <family val="2"/>
      <charset val="1"/>
    </font>
    <font>
      <b val="true"/>
      <sz val="12"/>
      <color theme="0"/>
      <name val="新細明體"/>
      <family val="2"/>
      <charset val="1"/>
    </font>
    <font>
      <sz val="11"/>
      <color theme="1"/>
      <name val="新細明體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微軟正黑體"/>
      <family val="2"/>
      <charset val="136"/>
    </font>
    <font>
      <sz val="10"/>
      <color rgb="FF404040"/>
      <name val="新細明體"/>
      <family val="2"/>
      <charset val="1"/>
    </font>
    <font>
      <sz val="12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000000"/>
      <name val="新細明體"/>
      <family val="2"/>
      <charset val="1"/>
    </font>
    <font>
      <sz val="12"/>
      <color rgb="FF000080"/>
      <name val="新細明體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99"/>
        <bgColor rgb="FFFFFFCC"/>
      </patternFill>
    </fill>
    <fill>
      <patternFill patternType="solid">
        <fgColor rgb="FFF2DCDB"/>
        <bgColor rgb="FFE6E0EC"/>
      </patternFill>
    </fill>
    <fill>
      <patternFill patternType="solid">
        <fgColor rgb="FFFCD5B5"/>
        <bgColor rgb="FFFFCCCC"/>
      </patternFill>
    </fill>
    <fill>
      <patternFill patternType="solid">
        <fgColor rgb="FFDCE6F1"/>
        <bgColor rgb="FFDCE6F2"/>
      </patternFill>
    </fill>
    <fill>
      <patternFill patternType="solid">
        <fgColor rgb="FFF2F2F2"/>
        <bgColor rgb="FFFFFFFF"/>
      </patternFill>
    </fill>
    <fill>
      <patternFill patternType="solid">
        <fgColor rgb="FFDAEEF3"/>
        <bgColor rgb="FFDCE6F2"/>
      </patternFill>
    </fill>
    <fill>
      <patternFill patternType="solid">
        <fgColor rgb="FF376092"/>
        <bgColor rgb="FF2F75B5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CC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FCD5B5"/>
      </patternFill>
    </fill>
    <fill>
      <patternFill patternType="solid">
        <fgColor rgb="FF9BC2E6"/>
        <bgColor rgb="FFC6C6C6"/>
      </patternFill>
    </fill>
    <fill>
      <patternFill patternType="solid">
        <fgColor rgb="FFFFFFCC"/>
        <bgColor rgb="FFFFFFFF"/>
      </patternFill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1"/>
      </patternFill>
    </fill>
    <fill>
      <patternFill patternType="solid">
        <fgColor theme="4" tint="0.7998"/>
        <bgColor rgb="FFDCE6F1"/>
      </patternFill>
    </fill>
    <fill>
      <patternFill patternType="solid">
        <fgColor theme="5" tint="0.3998"/>
        <bgColor rgb="FF96969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1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1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1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6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1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2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8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8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8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8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8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8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8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8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8" fillId="17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8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1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9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19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3" fillId="19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3" fillId="19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3" fillId="19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9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1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3" fillId="19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3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37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1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19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8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17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4" fillId="1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4" fillId="1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4" fillId="1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4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6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11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3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2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F2DCDB"/>
      <rgbColor rgb="FF993366"/>
      <rgbColor rgb="FFFFFFCC"/>
      <rgbColor rgb="FFDAEEF3"/>
      <rgbColor rgb="FF660066"/>
      <rgbColor rgb="FFD99694"/>
      <rgbColor rgb="FF0070C0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CE6F2"/>
      <rgbColor rgb="FFDCE6F1"/>
      <rgbColor rgb="FFFFFF99"/>
      <rgbColor rgb="FF9BC2E6"/>
      <rgbColor rgb="FFFFCCCC"/>
      <rgbColor rgb="FFE6E0EC"/>
      <rgbColor rgb="FFFCD5B5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X1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30.02"/>
    <col collapsed="false" customWidth="true" hidden="false" outlineLevel="0" max="23" min="3" style="0" width="16.38"/>
  </cols>
  <sheetData>
    <row r="4" customFormat="false" ht="15" hidden="false" customHeight="false" outlineLevel="0" collapsed="false">
      <c r="C4" s="1" t="s">
        <v>0</v>
      </c>
      <c r="D4" s="1" t="n">
        <v>2020</v>
      </c>
      <c r="E4" s="1" t="n">
        <v>2021</v>
      </c>
      <c r="F4" s="1" t="n">
        <v>2022</v>
      </c>
      <c r="G4" s="1" t="n">
        <v>2023</v>
      </c>
      <c r="H4" s="1" t="n">
        <v>2024</v>
      </c>
      <c r="I4" s="1" t="n">
        <v>2025</v>
      </c>
      <c r="J4" s="1" t="n">
        <v>2026</v>
      </c>
      <c r="K4" s="1" t="n">
        <v>2027</v>
      </c>
      <c r="L4" s="1" t="n">
        <v>2028</v>
      </c>
      <c r="M4" s="1" t="n">
        <v>2029</v>
      </c>
      <c r="N4" s="1" t="n">
        <v>2030</v>
      </c>
      <c r="O4" s="1" t="n">
        <v>2031</v>
      </c>
      <c r="P4" s="1" t="n">
        <v>2032</v>
      </c>
      <c r="Q4" s="1" t="n">
        <v>2033</v>
      </c>
      <c r="R4" s="1" t="n">
        <v>2034</v>
      </c>
      <c r="S4" s="1" t="n">
        <v>2035</v>
      </c>
      <c r="T4" s="1" t="n">
        <v>2036</v>
      </c>
      <c r="U4" s="1" t="n">
        <v>2037</v>
      </c>
      <c r="V4" s="1" t="n">
        <v>2038</v>
      </c>
      <c r="W4" s="1" t="n">
        <v>2039</v>
      </c>
    </row>
    <row r="5" customFormat="false" ht="15" hidden="false" customHeight="false" outlineLevel="0" collapsed="false">
      <c r="C5" s="0" t="s">
        <v>1</v>
      </c>
    </row>
    <row r="6" customFormat="false" ht="15" hidden="false" customHeight="false" outlineLevel="0" collapsed="false">
      <c r="B6" s="0" t="s">
        <v>2</v>
      </c>
      <c r="D6" s="2" t="n">
        <f aca="false">ROUND(ABS(淡江大學_p2!D40),0)</f>
        <v>541532</v>
      </c>
      <c r="E6" s="2" t="n">
        <f aca="false">ROUND(ABS(淡江大學_p2!E40),0)</f>
        <v>539344</v>
      </c>
      <c r="F6" s="2" t="n">
        <f aca="false">ROUND(ABS(淡江大學_p2!F40),0)</f>
        <v>537156</v>
      </c>
      <c r="G6" s="2" t="n">
        <f aca="false">ROUND(ABS(淡江大學_p2!G40),0)</f>
        <v>534968</v>
      </c>
      <c r="H6" s="2" t="n">
        <f aca="false">ROUND(ABS(淡江大學_p2!H40),0)</f>
        <v>532780</v>
      </c>
      <c r="I6" s="2" t="n">
        <f aca="false">ROUND(ABS(淡江大學_p2!I40),0)</f>
        <v>530592</v>
      </c>
      <c r="J6" s="2" t="n">
        <f aca="false">ROUND(ABS(淡江大學_p2!J40),0)</f>
        <v>528404</v>
      </c>
      <c r="K6" s="2" t="n">
        <f aca="false">ROUND(ABS(淡江大學_p2!K40),0)</f>
        <v>526216</v>
      </c>
      <c r="L6" s="2" t="n">
        <f aca="false">ROUND(ABS(淡江大學_p2!L40),0)</f>
        <v>524028</v>
      </c>
      <c r="M6" s="2" t="n">
        <f aca="false">ROUND(ABS(淡江大學_p2!M40),0)</f>
        <v>521840</v>
      </c>
      <c r="N6" s="2" t="n">
        <f aca="false">ROUND(ABS(淡江大學_p2!N40),0)</f>
        <v>519652</v>
      </c>
      <c r="O6" s="2" t="n">
        <f aca="false">ROUND(ABS(淡江大學_p2!O40),0)</f>
        <v>517464</v>
      </c>
      <c r="P6" s="2" t="n">
        <f aca="false">ROUND(ABS(淡江大學_p2!P40),0)</f>
        <v>515276</v>
      </c>
      <c r="Q6" s="2" t="n">
        <f aca="false">ROUND(ABS(淡江大學_p2!Q40),0)</f>
        <v>513088</v>
      </c>
      <c r="R6" s="2" t="n">
        <f aca="false">ROUND(ABS(淡江大學_p2!R40),0)</f>
        <v>510900</v>
      </c>
      <c r="S6" s="2" t="n">
        <f aca="false">ROUND(ABS(淡江大學_p2!S40),0)</f>
        <v>508712</v>
      </c>
      <c r="T6" s="2" t="n">
        <f aca="false">ROUND(ABS(淡江大學_p2!T40),0)</f>
        <v>506524</v>
      </c>
      <c r="U6" s="2" t="n">
        <f aca="false">ROUND(ABS(淡江大學_p2!U40),0)</f>
        <v>504336</v>
      </c>
      <c r="V6" s="2" t="n">
        <f aca="false">ROUND(ABS(淡江大學_p2!V40),0)</f>
        <v>502148</v>
      </c>
      <c r="W6" s="2" t="n">
        <f aca="false">ROUND(ABS(淡江大學_p2!W40),0)</f>
        <v>499960</v>
      </c>
    </row>
    <row r="7" customFormat="false" ht="15" hidden="false" customHeight="false" outlineLevel="0" collapsed="false">
      <c r="B7" s="0" t="s">
        <v>2</v>
      </c>
      <c r="D7" s="2" t="n">
        <f aca="false">ROUND(ABS(淡江大學_p5!D40),0)</f>
        <v>541532</v>
      </c>
      <c r="E7" s="2" t="n">
        <f aca="false">ROUND(ABS(淡江大學_p5!E40),0)</f>
        <v>539344</v>
      </c>
      <c r="F7" s="2" t="n">
        <f aca="false">ROUND(ABS(淡江大學_p5!F40),0)</f>
        <v>537156</v>
      </c>
      <c r="G7" s="2" t="n">
        <f aca="false">ROUND(ABS(淡江大學_p5!G40),0)</f>
        <v>534968</v>
      </c>
      <c r="H7" s="2" t="n">
        <f aca="false">ROUND(ABS(淡江大學_p5!H40),0)</f>
        <v>532780</v>
      </c>
      <c r="I7" s="2" t="n">
        <f aca="false">ROUND(ABS(淡江大學_p5!I40),0)</f>
        <v>530592</v>
      </c>
      <c r="J7" s="2" t="n">
        <f aca="false">ROUND(ABS(淡江大學_p5!J40),0)</f>
        <v>528404</v>
      </c>
      <c r="K7" s="2" t="n">
        <f aca="false">ROUND(ABS(淡江大學_p5!K40),0)</f>
        <v>526216</v>
      </c>
      <c r="L7" s="2" t="n">
        <f aca="false">ROUND(ABS(淡江大學_p5!L40),0)</f>
        <v>524028</v>
      </c>
      <c r="M7" s="2" t="n">
        <f aca="false">ROUND(ABS(淡江大學_p5!M40),0)</f>
        <v>521840</v>
      </c>
      <c r="N7" s="2" t="n">
        <f aca="false">ROUND(ABS(淡江大學_p5!N40),0)</f>
        <v>519652</v>
      </c>
      <c r="O7" s="2" t="n">
        <f aca="false">ROUND(ABS(淡江大學_p5!O40),0)</f>
        <v>517464</v>
      </c>
      <c r="P7" s="2" t="n">
        <f aca="false">ROUND(ABS(淡江大學_p5!P40),0)</f>
        <v>515276</v>
      </c>
      <c r="Q7" s="2" t="n">
        <f aca="false">ROUND(ABS(淡江大學_p5!Q40),0)</f>
        <v>513088</v>
      </c>
      <c r="R7" s="2" t="n">
        <f aca="false">ROUND(ABS(淡江大學_p5!R40),0)</f>
        <v>510900</v>
      </c>
      <c r="S7" s="2" t="n">
        <f aca="false">ROUND(ABS(淡江大學_p5!S40),0)</f>
        <v>508712</v>
      </c>
      <c r="T7" s="2" t="n">
        <f aca="false">ROUND(ABS(淡江大學_p5!T40),0)</f>
        <v>506524</v>
      </c>
      <c r="U7" s="2" t="n">
        <f aca="false">ROUND(ABS(淡江大學_p5!U40),0)</f>
        <v>504336</v>
      </c>
      <c r="V7" s="2" t="n">
        <f aca="false">ROUND(ABS(淡江大學_p5!V40),0)</f>
        <v>502148</v>
      </c>
      <c r="W7" s="2" t="n">
        <f aca="false">ROUND(ABS(淡江大學_p5!W40),0)</f>
        <v>499960</v>
      </c>
    </row>
    <row r="8" customFormat="false" ht="15" hidden="false" customHeight="false" outlineLevel="0" collapsed="false">
      <c r="B8" s="0" t="s">
        <v>2</v>
      </c>
      <c r="D8" s="2" t="n">
        <f aca="false">ROUND(ABS(淡江大學_p3!D40),0)</f>
        <v>541532</v>
      </c>
      <c r="E8" s="2" t="n">
        <f aca="false">ROUND(ABS(淡江大學_p3!E40),0)</f>
        <v>539344</v>
      </c>
      <c r="F8" s="2" t="n">
        <f aca="false">ROUND(ABS(淡江大學_p3!F40),0)</f>
        <v>537156</v>
      </c>
      <c r="G8" s="2" t="n">
        <f aca="false">ROUND(ABS(淡江大學_p3!G40),0)</f>
        <v>534968</v>
      </c>
      <c r="H8" s="2" t="n">
        <f aca="false">ROUND(ABS(淡江大學_p3!H40),0)</f>
        <v>532780</v>
      </c>
      <c r="I8" s="2" t="n">
        <f aca="false">ROUND(ABS(淡江大學_p3!I40),0)</f>
        <v>530592</v>
      </c>
      <c r="J8" s="2" t="n">
        <f aca="false">ROUND(ABS(淡江大學_p3!J40),0)</f>
        <v>528404</v>
      </c>
      <c r="K8" s="2" t="n">
        <f aca="false">ROUND(ABS(淡江大學_p3!K40),0)</f>
        <v>526216</v>
      </c>
      <c r="L8" s="2" t="n">
        <f aca="false">ROUND(ABS(淡江大學_p3!L40),0)</f>
        <v>524028</v>
      </c>
      <c r="M8" s="2" t="n">
        <f aca="false">ROUND(ABS(淡江大學_p3!M40),0)</f>
        <v>521840</v>
      </c>
      <c r="N8" s="2" t="n">
        <f aca="false">ROUND(ABS(淡江大學_p3!N40),0)</f>
        <v>519652</v>
      </c>
      <c r="O8" s="2" t="n">
        <f aca="false">ROUND(ABS(淡江大學_p3!O40),0)</f>
        <v>517464</v>
      </c>
      <c r="P8" s="2" t="n">
        <f aca="false">ROUND(ABS(淡江大學_p3!P40),0)</f>
        <v>515276</v>
      </c>
      <c r="Q8" s="2" t="n">
        <f aca="false">ROUND(ABS(淡江大學_p3!Q40),0)</f>
        <v>513088</v>
      </c>
      <c r="R8" s="2" t="n">
        <f aca="false">ROUND(ABS(淡江大學_p3!R40),0)</f>
        <v>510900</v>
      </c>
      <c r="S8" s="2" t="n">
        <f aca="false">ROUND(ABS(淡江大學_p3!S40),0)</f>
        <v>508712</v>
      </c>
      <c r="T8" s="2" t="n">
        <f aca="false">ROUND(ABS(淡江大學_p3!T40),0)</f>
        <v>506524</v>
      </c>
      <c r="U8" s="2" t="n">
        <f aca="false">ROUND(ABS(淡江大學_p3!U40),0)</f>
        <v>504336</v>
      </c>
      <c r="V8" s="2" t="n">
        <f aca="false">ROUND(ABS(淡江大學_p3!V40),0)</f>
        <v>502148</v>
      </c>
      <c r="W8" s="2" t="n">
        <f aca="false">ROUND(ABS(淡江大學_p3!W40),0)</f>
        <v>499960</v>
      </c>
    </row>
    <row r="9" customFormat="false" ht="15" hidden="false" customHeight="false" outlineLevel="0" collapsed="false">
      <c r="B9" s="0" t="s">
        <v>2</v>
      </c>
      <c r="D9" s="2" t="n">
        <f aca="false">ROUND(ABS(淡江大學_p4!D40),0)</f>
        <v>541532</v>
      </c>
      <c r="E9" s="2" t="n">
        <f aca="false">ROUND(ABS(淡江大學_p4!E40),0)</f>
        <v>539344</v>
      </c>
      <c r="F9" s="2" t="n">
        <f aca="false">ROUND(ABS(淡江大學_p4!F40),0)</f>
        <v>537156</v>
      </c>
      <c r="G9" s="2" t="n">
        <f aca="false">ROUND(ABS(淡江大學_p4!G40),0)</f>
        <v>534968</v>
      </c>
      <c r="H9" s="2" t="n">
        <f aca="false">ROUND(ABS(淡江大學_p4!H40),0)</f>
        <v>532780</v>
      </c>
      <c r="I9" s="2" t="n">
        <f aca="false">ROUND(ABS(淡江大學_p4!I40),0)</f>
        <v>530592</v>
      </c>
      <c r="J9" s="2" t="n">
        <f aca="false">ROUND(ABS(淡江大學_p4!J40),0)</f>
        <v>528404</v>
      </c>
      <c r="K9" s="2" t="n">
        <f aca="false">ROUND(ABS(淡江大學_p4!K40),0)</f>
        <v>526216</v>
      </c>
      <c r="L9" s="2" t="n">
        <f aca="false">ROUND(ABS(淡江大學_p4!L40),0)</f>
        <v>524028</v>
      </c>
      <c r="M9" s="2" t="n">
        <f aca="false">ROUND(ABS(淡江大學_p4!M40),0)</f>
        <v>521840</v>
      </c>
      <c r="N9" s="2" t="n">
        <f aca="false">ROUND(ABS(淡江大學_p4!N40),0)</f>
        <v>519652</v>
      </c>
      <c r="O9" s="2" t="n">
        <f aca="false">ROUND(ABS(淡江大學_p4!O40),0)</f>
        <v>517464</v>
      </c>
      <c r="P9" s="2" t="n">
        <f aca="false">ROUND(ABS(淡江大學_p4!P40),0)</f>
        <v>515276</v>
      </c>
      <c r="Q9" s="2" t="n">
        <f aca="false">ROUND(ABS(淡江大學_p4!Q40),0)</f>
        <v>513088</v>
      </c>
      <c r="R9" s="2" t="n">
        <f aca="false">ROUND(ABS(淡江大學_p4!R40),0)</f>
        <v>510900</v>
      </c>
      <c r="S9" s="2" t="n">
        <f aca="false">ROUND(ABS(淡江大學_p4!S40),0)</f>
        <v>508712</v>
      </c>
      <c r="T9" s="2" t="n">
        <f aca="false">ROUND(ABS(淡江大學_p4!T40),0)</f>
        <v>506524</v>
      </c>
      <c r="U9" s="2" t="n">
        <f aca="false">ROUND(ABS(淡江大學_p4!U40),0)</f>
        <v>504336</v>
      </c>
      <c r="V9" s="2" t="n">
        <f aca="false">ROUND(ABS(淡江大學_p4!V40),0)</f>
        <v>502148</v>
      </c>
      <c r="W9" s="2" t="n">
        <f aca="false">ROUND(ABS(淡江大學_p4!W40),0)</f>
        <v>499960</v>
      </c>
    </row>
    <row r="10" customFormat="false" ht="15" hidden="false" customHeight="false" outlineLevel="0" collapsed="false">
      <c r="C10" s="3" t="s">
        <v>3</v>
      </c>
      <c r="D10" s="4" t="n">
        <f aca="false">SUM(D6:D9)</f>
        <v>2166128</v>
      </c>
      <c r="E10" s="4" t="n">
        <f aca="false">SUM(E6:E9)</f>
        <v>2157376</v>
      </c>
      <c r="F10" s="4" t="n">
        <f aca="false">SUM(F6:F9)</f>
        <v>2148624</v>
      </c>
      <c r="G10" s="4" t="n">
        <f aca="false">SUM(G6:G9)</f>
        <v>2139872</v>
      </c>
      <c r="H10" s="4" t="n">
        <f aca="false">SUM(H6:H9)</f>
        <v>2131120</v>
      </c>
      <c r="I10" s="4" t="n">
        <f aca="false">SUM(I6:I9)</f>
        <v>2122368</v>
      </c>
      <c r="J10" s="4" t="n">
        <f aca="false">SUM(J6:J9)</f>
        <v>2113616</v>
      </c>
      <c r="K10" s="4" t="n">
        <f aca="false">SUM(K6:K9)</f>
        <v>2104864</v>
      </c>
      <c r="L10" s="4" t="n">
        <f aca="false">SUM(L6:L9)</f>
        <v>2096112</v>
      </c>
      <c r="M10" s="4" t="n">
        <f aca="false">SUM(M6:M9)</f>
        <v>2087360</v>
      </c>
      <c r="N10" s="4" t="n">
        <f aca="false">SUM(N6:N9)</f>
        <v>2078608</v>
      </c>
      <c r="O10" s="4" t="n">
        <f aca="false">SUM(O6:O9)</f>
        <v>2069856</v>
      </c>
      <c r="P10" s="4" t="n">
        <f aca="false">SUM(P6:P9)</f>
        <v>2061104</v>
      </c>
      <c r="Q10" s="4" t="n">
        <f aca="false">SUM(Q6:Q9)</f>
        <v>2052352</v>
      </c>
      <c r="R10" s="4" t="n">
        <f aca="false">SUM(R6:R9)</f>
        <v>2043600</v>
      </c>
      <c r="S10" s="4" t="n">
        <f aca="false">SUM(S6:S9)</f>
        <v>2034848</v>
      </c>
      <c r="T10" s="4" t="n">
        <f aca="false">SUM(T6:T9)</f>
        <v>2026096</v>
      </c>
      <c r="U10" s="4" t="n">
        <f aca="false">SUM(U6:U9)</f>
        <v>2017344</v>
      </c>
      <c r="V10" s="4" t="n">
        <f aca="false">SUM(V6:V9)</f>
        <v>2008592</v>
      </c>
      <c r="W10" s="4" t="n">
        <f aca="false">SUM(W6:W9)</f>
        <v>1999840</v>
      </c>
    </row>
    <row r="11" customFormat="false" ht="15" hidden="false" customHeight="false" outlineLevel="0" collapsed="false">
      <c r="C11" s="1" t="s">
        <v>0</v>
      </c>
      <c r="D11" s="1" t="n">
        <v>2020</v>
      </c>
      <c r="E11" s="1" t="n">
        <v>2021</v>
      </c>
      <c r="F11" s="1" t="n">
        <v>2022</v>
      </c>
      <c r="G11" s="1" t="n">
        <v>2023</v>
      </c>
      <c r="H11" s="1" t="n">
        <v>2024</v>
      </c>
      <c r="I11" s="1" t="n">
        <v>2025</v>
      </c>
      <c r="J11" s="1" t="n">
        <v>2026</v>
      </c>
      <c r="K11" s="1" t="n">
        <v>2027</v>
      </c>
      <c r="L11" s="1" t="n">
        <v>2028</v>
      </c>
      <c r="M11" s="1" t="n">
        <v>2029</v>
      </c>
      <c r="N11" s="1" t="n">
        <v>2030</v>
      </c>
      <c r="O11" s="1" t="n">
        <v>2031</v>
      </c>
      <c r="P11" s="1" t="n">
        <v>2032</v>
      </c>
      <c r="Q11" s="1" t="n">
        <v>2033</v>
      </c>
      <c r="R11" s="1" t="n">
        <v>2034</v>
      </c>
      <c r="S11" s="1" t="n">
        <v>2035</v>
      </c>
      <c r="T11" s="1" t="n">
        <v>2036</v>
      </c>
      <c r="U11" s="1" t="n">
        <v>2037</v>
      </c>
      <c r="V11" s="1" t="n">
        <v>2038</v>
      </c>
      <c r="W11" s="1" t="n">
        <v>2039</v>
      </c>
    </row>
    <row r="12" customFormat="false" ht="15" hidden="false" customHeight="false" outlineLevel="0" collapsed="false">
      <c r="C12" s="0" t="s">
        <v>4</v>
      </c>
    </row>
    <row r="13" customFormat="false" ht="15" hidden="false" customHeight="false" outlineLevel="0" collapsed="false">
      <c r="B13" s="0" t="s">
        <v>2</v>
      </c>
      <c r="D13" s="2" t="n">
        <f aca="false">ROUND(ABS(淡江大學_p2!D41),0)</f>
        <v>2166128</v>
      </c>
      <c r="E13" s="2" t="n">
        <f aca="false">ROUND(ABS(淡江大學_p2!E41),0)</f>
        <v>2157376</v>
      </c>
      <c r="F13" s="2" t="n">
        <f aca="false">ROUND(ABS(淡江大學_p2!F41),0)</f>
        <v>2148624</v>
      </c>
      <c r="G13" s="2" t="n">
        <f aca="false">ROUND(ABS(淡江大學_p2!G41),0)</f>
        <v>2139872</v>
      </c>
      <c r="H13" s="2" t="n">
        <f aca="false">ROUND(ABS(淡江大學_p2!H41),0)</f>
        <v>2131120</v>
      </c>
      <c r="I13" s="2" t="n">
        <f aca="false">ROUND(ABS(淡江大學_p2!I41),0)</f>
        <v>2122368</v>
      </c>
      <c r="J13" s="2" t="n">
        <f aca="false">ROUND(ABS(淡江大學_p2!J41),0)</f>
        <v>2113616</v>
      </c>
      <c r="K13" s="2" t="n">
        <f aca="false">ROUND(ABS(淡江大學_p2!K41),0)</f>
        <v>2104864</v>
      </c>
      <c r="L13" s="2" t="n">
        <f aca="false">ROUND(ABS(淡江大學_p2!L41),0)</f>
        <v>2096112</v>
      </c>
      <c r="M13" s="2" t="n">
        <f aca="false">ROUND(ABS(淡江大學_p2!M41),0)</f>
        <v>2087360</v>
      </c>
      <c r="N13" s="2" t="n">
        <f aca="false">ROUND(ABS(淡江大學_p2!N41),0)</f>
        <v>2078608</v>
      </c>
      <c r="O13" s="2" t="n">
        <f aca="false">ROUND(ABS(淡江大學_p2!O41),0)</f>
        <v>2069856</v>
      </c>
      <c r="P13" s="2" t="n">
        <f aca="false">ROUND(ABS(淡江大學_p2!P41),0)</f>
        <v>2061104</v>
      </c>
      <c r="Q13" s="2" t="n">
        <f aca="false">ROUND(ABS(淡江大學_p2!Q41),0)</f>
        <v>2052352</v>
      </c>
      <c r="R13" s="2" t="n">
        <f aca="false">ROUND(ABS(淡江大學_p2!R41),0)</f>
        <v>2043599</v>
      </c>
      <c r="S13" s="2" t="n">
        <f aca="false">ROUND(ABS(淡江大學_p2!S41),0)</f>
        <v>2034847</v>
      </c>
      <c r="T13" s="2" t="n">
        <f aca="false">ROUND(ABS(淡江大學_p2!T41),0)</f>
        <v>2026095</v>
      </c>
      <c r="U13" s="2" t="n">
        <f aca="false">ROUND(ABS(淡江大學_p2!U41),0)</f>
        <v>2017343</v>
      </c>
      <c r="V13" s="2" t="n">
        <f aca="false">ROUND(ABS(淡江大學_p2!V41),0)</f>
        <v>2008591</v>
      </c>
      <c r="W13" s="2" t="n">
        <f aca="false">ROUND(ABS(淡江大學_p2!W41),0)</f>
        <v>1999839</v>
      </c>
    </row>
    <row r="14" customFormat="false" ht="15" hidden="false" customHeight="false" outlineLevel="0" collapsed="false">
      <c r="B14" s="0" t="s">
        <v>2</v>
      </c>
      <c r="D14" s="2" t="n">
        <f aca="false">ROUND(ABS(淡江大學_p5!D41),0)</f>
        <v>2166128</v>
      </c>
      <c r="E14" s="2" t="n">
        <f aca="false">ROUND(ABS(淡江大學_p5!E41),0)</f>
        <v>2157376</v>
      </c>
      <c r="F14" s="2" t="n">
        <f aca="false">ROUND(ABS(淡江大學_p5!F41),0)</f>
        <v>2148624</v>
      </c>
      <c r="G14" s="2" t="n">
        <f aca="false">ROUND(ABS(淡江大學_p5!G41),0)</f>
        <v>2139872</v>
      </c>
      <c r="H14" s="2" t="n">
        <f aca="false">ROUND(ABS(淡江大學_p5!H41),0)</f>
        <v>2131120</v>
      </c>
      <c r="I14" s="2" t="n">
        <f aca="false">ROUND(ABS(淡江大學_p5!I41),0)</f>
        <v>2122368</v>
      </c>
      <c r="J14" s="2" t="n">
        <f aca="false">ROUND(ABS(淡江大學_p5!J41),0)</f>
        <v>2113616</v>
      </c>
      <c r="K14" s="2" t="n">
        <f aca="false">ROUND(ABS(淡江大學_p5!K41),0)</f>
        <v>2104864</v>
      </c>
      <c r="L14" s="2" t="n">
        <f aca="false">ROUND(ABS(淡江大學_p5!L41),0)</f>
        <v>2096112</v>
      </c>
      <c r="M14" s="2" t="n">
        <f aca="false">ROUND(ABS(淡江大學_p5!M41),0)</f>
        <v>2087360</v>
      </c>
      <c r="N14" s="2" t="n">
        <f aca="false">ROUND(ABS(淡江大學_p5!N41),0)</f>
        <v>2078608</v>
      </c>
      <c r="O14" s="2" t="n">
        <f aca="false">ROUND(ABS(淡江大學_p5!O41),0)</f>
        <v>2069856</v>
      </c>
      <c r="P14" s="2" t="n">
        <f aca="false">ROUND(ABS(淡江大學_p5!P41),0)</f>
        <v>2061104</v>
      </c>
      <c r="Q14" s="2" t="n">
        <f aca="false">ROUND(ABS(淡江大學_p5!Q41),0)</f>
        <v>2052352</v>
      </c>
      <c r="R14" s="2" t="n">
        <f aca="false">ROUND(ABS(淡江大學_p5!R41),0)</f>
        <v>2043599</v>
      </c>
      <c r="S14" s="2" t="n">
        <f aca="false">ROUND(ABS(淡江大學_p5!S41),0)</f>
        <v>2034847</v>
      </c>
      <c r="T14" s="2" t="n">
        <f aca="false">ROUND(ABS(淡江大學_p5!T41),0)</f>
        <v>2026095</v>
      </c>
      <c r="U14" s="2" t="n">
        <f aca="false">ROUND(ABS(淡江大學_p5!U41),0)</f>
        <v>2017343</v>
      </c>
      <c r="V14" s="2" t="n">
        <f aca="false">ROUND(ABS(淡江大學_p5!V41),0)</f>
        <v>2008591</v>
      </c>
      <c r="W14" s="2" t="n">
        <f aca="false">ROUND(ABS(淡江大學_p5!W41),0)</f>
        <v>1999839</v>
      </c>
    </row>
    <row r="15" customFormat="false" ht="15" hidden="false" customHeight="false" outlineLevel="0" collapsed="false">
      <c r="B15" s="0" t="s">
        <v>2</v>
      </c>
      <c r="D15" s="2" t="n">
        <f aca="false">ROUND(ABS(淡江大學_p3!D41),0)</f>
        <v>2166128</v>
      </c>
      <c r="E15" s="2" t="n">
        <f aca="false">ROUND(ABS(淡江大學_p3!E41),0)</f>
        <v>2157376</v>
      </c>
      <c r="F15" s="2" t="n">
        <f aca="false">ROUND(ABS(淡江大學_p3!F41),0)</f>
        <v>2148624</v>
      </c>
      <c r="G15" s="2" t="n">
        <f aca="false">ROUND(ABS(淡江大學_p3!G41),0)</f>
        <v>2139872</v>
      </c>
      <c r="H15" s="2" t="n">
        <f aca="false">ROUND(ABS(淡江大學_p3!H41),0)</f>
        <v>2131120</v>
      </c>
      <c r="I15" s="2" t="n">
        <f aca="false">ROUND(ABS(淡江大學_p3!I41),0)</f>
        <v>2122368</v>
      </c>
      <c r="J15" s="2" t="n">
        <f aca="false">ROUND(ABS(淡江大學_p3!J41),0)</f>
        <v>2113616</v>
      </c>
      <c r="K15" s="2" t="n">
        <f aca="false">ROUND(ABS(淡江大學_p3!K41),0)</f>
        <v>2104864</v>
      </c>
      <c r="L15" s="2" t="n">
        <f aca="false">ROUND(ABS(淡江大學_p3!L41),0)</f>
        <v>2096112</v>
      </c>
      <c r="M15" s="2" t="n">
        <f aca="false">ROUND(ABS(淡江大學_p3!M41),0)</f>
        <v>2087360</v>
      </c>
      <c r="N15" s="2" t="n">
        <f aca="false">ROUND(ABS(淡江大學_p3!N41),0)</f>
        <v>2078608</v>
      </c>
      <c r="O15" s="2" t="n">
        <f aca="false">ROUND(ABS(淡江大學_p3!O41),0)</f>
        <v>2069856</v>
      </c>
      <c r="P15" s="2" t="n">
        <f aca="false">ROUND(ABS(淡江大學_p3!P41),0)</f>
        <v>2061104</v>
      </c>
      <c r="Q15" s="2" t="n">
        <f aca="false">ROUND(ABS(淡江大學_p3!Q41),0)</f>
        <v>2052352</v>
      </c>
      <c r="R15" s="2" t="n">
        <f aca="false">ROUND(ABS(淡江大學_p3!R41),0)</f>
        <v>2043599</v>
      </c>
      <c r="S15" s="2" t="n">
        <f aca="false">ROUND(ABS(淡江大學_p3!S41),0)</f>
        <v>2034847</v>
      </c>
      <c r="T15" s="2" t="n">
        <f aca="false">ROUND(ABS(淡江大學_p3!T41),0)</f>
        <v>2026095</v>
      </c>
      <c r="U15" s="2" t="n">
        <f aca="false">ROUND(ABS(淡江大學_p3!U41),0)</f>
        <v>2017343</v>
      </c>
      <c r="V15" s="2" t="n">
        <f aca="false">ROUND(ABS(淡江大學_p3!V41),0)</f>
        <v>2008591</v>
      </c>
      <c r="W15" s="2" t="n">
        <f aca="false">ROUND(ABS(淡江大學_p3!W41),0)</f>
        <v>1999839</v>
      </c>
    </row>
    <row r="16" customFormat="false" ht="15" hidden="false" customHeight="false" outlineLevel="0" collapsed="false">
      <c r="B16" s="0" t="s">
        <v>2</v>
      </c>
      <c r="D16" s="2" t="n">
        <f aca="false">ROUND(ABS(淡江大學_p4!D41),0)</f>
        <v>2166128</v>
      </c>
      <c r="E16" s="2" t="n">
        <f aca="false">ROUND(ABS(淡江大學_p4!E41),0)</f>
        <v>2157376</v>
      </c>
      <c r="F16" s="2" t="n">
        <f aca="false">ROUND(ABS(淡江大學_p4!F41),0)</f>
        <v>2148624</v>
      </c>
      <c r="G16" s="2" t="n">
        <f aca="false">ROUND(ABS(淡江大學_p4!G41),0)</f>
        <v>2139872</v>
      </c>
      <c r="H16" s="2" t="n">
        <f aca="false">ROUND(ABS(淡江大學_p4!H41),0)</f>
        <v>2131120</v>
      </c>
      <c r="I16" s="2" t="n">
        <f aca="false">ROUND(ABS(淡江大學_p4!I41),0)</f>
        <v>2122368</v>
      </c>
      <c r="J16" s="2" t="n">
        <f aca="false">ROUND(ABS(淡江大學_p4!J41),0)</f>
        <v>2113616</v>
      </c>
      <c r="K16" s="2" t="n">
        <f aca="false">ROUND(ABS(淡江大學_p4!K41),0)</f>
        <v>2104864</v>
      </c>
      <c r="L16" s="2" t="n">
        <f aca="false">ROUND(ABS(淡江大學_p4!L41),0)</f>
        <v>2096112</v>
      </c>
      <c r="M16" s="2" t="n">
        <f aca="false">ROUND(ABS(淡江大學_p4!M41),0)</f>
        <v>2087360</v>
      </c>
      <c r="N16" s="2" t="n">
        <f aca="false">ROUND(ABS(淡江大學_p4!N41),0)</f>
        <v>2078608</v>
      </c>
      <c r="O16" s="2" t="n">
        <f aca="false">ROUND(ABS(淡江大學_p4!O41),0)</f>
        <v>2069856</v>
      </c>
      <c r="P16" s="2" t="n">
        <f aca="false">ROUND(ABS(淡江大學_p4!P41),0)</f>
        <v>2061104</v>
      </c>
      <c r="Q16" s="2" t="n">
        <f aca="false">ROUND(ABS(淡江大學_p4!Q41),0)</f>
        <v>2052352</v>
      </c>
      <c r="R16" s="2" t="n">
        <f aca="false">ROUND(ABS(淡江大學_p4!R41),0)</f>
        <v>2043599</v>
      </c>
      <c r="S16" s="2" t="n">
        <f aca="false">ROUND(ABS(淡江大學_p4!S41),0)</f>
        <v>2034847</v>
      </c>
      <c r="T16" s="2" t="n">
        <f aca="false">ROUND(ABS(淡江大學_p4!T41),0)</f>
        <v>2026095</v>
      </c>
      <c r="U16" s="2" t="n">
        <f aca="false">ROUND(ABS(淡江大學_p4!U41),0)</f>
        <v>2017343</v>
      </c>
      <c r="V16" s="2" t="n">
        <f aca="false">ROUND(ABS(淡江大學_p4!V41),0)</f>
        <v>2008591</v>
      </c>
      <c r="W16" s="2" t="n">
        <f aca="false">ROUND(ABS(淡江大學_p4!W41),0)</f>
        <v>1999839</v>
      </c>
    </row>
    <row r="17" customFormat="false" ht="15" hidden="false" customHeight="false" outlineLevel="0" collapsed="false">
      <c r="C17" s="5" t="s">
        <v>5</v>
      </c>
      <c r="D17" s="6" t="n">
        <f aca="false">SUM(D13:D16)</f>
        <v>8664512</v>
      </c>
      <c r="E17" s="6" t="n">
        <f aca="false">SUM(E13:E16)</f>
        <v>8629504</v>
      </c>
      <c r="F17" s="6" t="n">
        <f aca="false">SUM(F13:F16)</f>
        <v>8594496</v>
      </c>
      <c r="G17" s="6" t="n">
        <f aca="false">SUM(G13:G16)</f>
        <v>8559488</v>
      </c>
      <c r="H17" s="6" t="n">
        <f aca="false">SUM(H13:H16)</f>
        <v>8524480</v>
      </c>
      <c r="I17" s="6" t="n">
        <f aca="false">SUM(I13:I16)</f>
        <v>8489472</v>
      </c>
      <c r="J17" s="6" t="n">
        <f aca="false">SUM(J13:J16)</f>
        <v>8454464</v>
      </c>
      <c r="K17" s="6" t="n">
        <f aca="false">SUM(K13:K16)</f>
        <v>8419456</v>
      </c>
      <c r="L17" s="6" t="n">
        <f aca="false">SUM(L13:L16)</f>
        <v>8384448</v>
      </c>
      <c r="M17" s="6" t="n">
        <f aca="false">SUM(M13:M16)</f>
        <v>8349440</v>
      </c>
      <c r="N17" s="6" t="n">
        <f aca="false">SUM(N13:N16)</f>
        <v>8314432</v>
      </c>
      <c r="O17" s="6" t="n">
        <f aca="false">SUM(O13:O16)</f>
        <v>8279424</v>
      </c>
      <c r="P17" s="6" t="n">
        <f aca="false">SUM(P13:P16)</f>
        <v>8244416</v>
      </c>
      <c r="Q17" s="6" t="n">
        <f aca="false">SUM(Q13:Q16)</f>
        <v>8209408</v>
      </c>
      <c r="R17" s="6" t="n">
        <f aca="false">SUM(R13:R16)</f>
        <v>8174396</v>
      </c>
      <c r="S17" s="6" t="n">
        <f aca="false">SUM(S13:S16)</f>
        <v>8139388</v>
      </c>
      <c r="T17" s="6" t="n">
        <f aca="false">SUM(T13:T16)</f>
        <v>8104380</v>
      </c>
      <c r="U17" s="6" t="n">
        <f aca="false">SUM(U13:U16)</f>
        <v>8069372</v>
      </c>
      <c r="V17" s="6" t="n">
        <f aca="false">SUM(V13:V16)</f>
        <v>8034364</v>
      </c>
      <c r="W17" s="6" t="n">
        <f aca="false">SUM(W13:W16)</f>
        <v>7999356</v>
      </c>
    </row>
    <row r="18" customFormat="false" ht="15" hidden="false" customHeight="false" outlineLevel="0" collapsed="false">
      <c r="C18" s="1" t="s">
        <v>0</v>
      </c>
      <c r="D18" s="1" t="n">
        <v>2020</v>
      </c>
      <c r="E18" s="1" t="n">
        <v>2021</v>
      </c>
      <c r="F18" s="1" t="n">
        <v>2022</v>
      </c>
      <c r="G18" s="1" t="n">
        <v>2023</v>
      </c>
      <c r="H18" s="1" t="n">
        <v>2024</v>
      </c>
      <c r="I18" s="1" t="n">
        <v>2025</v>
      </c>
      <c r="J18" s="1" t="n">
        <v>2026</v>
      </c>
      <c r="K18" s="1" t="n">
        <v>2027</v>
      </c>
      <c r="L18" s="1" t="n">
        <v>2028</v>
      </c>
      <c r="M18" s="1" t="n">
        <v>2029</v>
      </c>
      <c r="N18" s="1" t="n">
        <v>2030</v>
      </c>
      <c r="O18" s="1" t="n">
        <v>2031</v>
      </c>
      <c r="P18" s="1" t="n">
        <v>2032</v>
      </c>
      <c r="Q18" s="1" t="n">
        <v>2033</v>
      </c>
      <c r="R18" s="1" t="n">
        <v>2034</v>
      </c>
      <c r="S18" s="1" t="n">
        <v>2035</v>
      </c>
      <c r="T18" s="1" t="n">
        <v>2036</v>
      </c>
      <c r="U18" s="1" t="n">
        <v>2037</v>
      </c>
      <c r="V18" s="1" t="n">
        <v>2038</v>
      </c>
      <c r="W18" s="1" t="n">
        <v>2039</v>
      </c>
    </row>
    <row r="19" customFormat="false" ht="15" hidden="false" customHeight="false" outlineLevel="0" collapsed="false">
      <c r="C19" s="0" t="s">
        <v>6</v>
      </c>
    </row>
    <row r="20" customFormat="false" ht="15" hidden="false" customHeight="false" outlineLevel="0" collapsed="false">
      <c r="B20" s="0" t="s">
        <v>2</v>
      </c>
      <c r="D20" s="2" t="n">
        <f aca="false">ROUND(ABS(淡江大學_p2!D45),0)</f>
        <v>290201</v>
      </c>
      <c r="E20" s="2" t="n">
        <f aca="false">ROUND(ABS(淡江大學_p2!E45),0)</f>
        <v>290201</v>
      </c>
      <c r="F20" s="2" t="n">
        <f aca="false">ROUND(ABS(淡江大學_p2!F45),0)</f>
        <v>290201</v>
      </c>
      <c r="G20" s="2" t="n">
        <f aca="false">ROUND(ABS(淡江大學_p2!G45),0)</f>
        <v>290201</v>
      </c>
      <c r="H20" s="2" t="n">
        <f aca="false">ROUND(ABS(淡江大學_p2!H45),0)</f>
        <v>290201</v>
      </c>
      <c r="I20" s="2" t="n">
        <f aca="false">ROUND(ABS(淡江大學_p2!I45),0)</f>
        <v>290201</v>
      </c>
      <c r="J20" s="2" t="n">
        <f aca="false">ROUND(ABS(淡江大學_p2!J45),0)</f>
        <v>290201</v>
      </c>
      <c r="K20" s="2" t="n">
        <f aca="false">ROUND(ABS(淡江大學_p2!K45),0)</f>
        <v>290201</v>
      </c>
      <c r="L20" s="2" t="n">
        <f aca="false">ROUND(ABS(淡江大學_p2!L45),0)</f>
        <v>290201</v>
      </c>
      <c r="M20" s="2" t="n">
        <f aca="false">ROUND(ABS(淡江大學_p2!M45),0)</f>
        <v>290201</v>
      </c>
      <c r="N20" s="2" t="n">
        <f aca="false">ROUND(ABS(淡江大學_p2!N45),0)</f>
        <v>290201</v>
      </c>
      <c r="O20" s="2" t="n">
        <f aca="false">ROUND(ABS(淡江大學_p2!O45),0)</f>
        <v>290201</v>
      </c>
      <c r="P20" s="2" t="n">
        <f aca="false">ROUND(ABS(淡江大學_p2!P45),0)</f>
        <v>290201</v>
      </c>
      <c r="Q20" s="2" t="n">
        <f aca="false">ROUND(ABS(淡江大學_p2!Q45),0)</f>
        <v>290201</v>
      </c>
      <c r="R20" s="2" t="n">
        <f aca="false">ROUND(ABS(淡江大學_p2!R45),0)</f>
        <v>290201</v>
      </c>
      <c r="S20" s="2" t="n">
        <f aca="false">ROUND(ABS(淡江大學_p2!S45),0)</f>
        <v>290201</v>
      </c>
      <c r="T20" s="2" t="n">
        <f aca="false">ROUND(ABS(淡江大學_p2!T45),0)</f>
        <v>290201</v>
      </c>
      <c r="U20" s="2" t="n">
        <f aca="false">ROUND(ABS(淡江大學_p2!U45),0)</f>
        <v>290201</v>
      </c>
      <c r="V20" s="2" t="n">
        <f aca="false">ROUND(ABS(淡江大學_p2!V45),0)</f>
        <v>290201</v>
      </c>
      <c r="W20" s="2" t="n">
        <f aca="false">ROUND(ABS(淡江大學_p2!W45),0)</f>
        <v>290201</v>
      </c>
    </row>
    <row r="21" customFormat="false" ht="15" hidden="false" customHeight="false" outlineLevel="0" collapsed="false">
      <c r="B21" s="0" t="s">
        <v>2</v>
      </c>
      <c r="D21" s="2" t="n">
        <f aca="false">ROUND(ABS(淡江大學_p5!D45),0)</f>
        <v>290201</v>
      </c>
      <c r="E21" s="2" t="n">
        <f aca="false">ROUND(ABS(淡江大學_p5!E45),0)</f>
        <v>290201</v>
      </c>
      <c r="F21" s="2" t="n">
        <f aca="false">ROUND(ABS(淡江大學_p5!F45),0)</f>
        <v>290201</v>
      </c>
      <c r="G21" s="2" t="n">
        <f aca="false">ROUND(ABS(淡江大學_p5!G45),0)</f>
        <v>290201</v>
      </c>
      <c r="H21" s="2" t="n">
        <f aca="false">ROUND(ABS(淡江大學_p5!H45),0)</f>
        <v>290201</v>
      </c>
      <c r="I21" s="2" t="n">
        <f aca="false">ROUND(ABS(淡江大學_p5!I45),0)</f>
        <v>290201</v>
      </c>
      <c r="J21" s="2" t="n">
        <f aca="false">ROUND(ABS(淡江大學_p5!J45),0)</f>
        <v>290201</v>
      </c>
      <c r="K21" s="2" t="n">
        <f aca="false">ROUND(ABS(淡江大學_p5!K45),0)</f>
        <v>290201</v>
      </c>
      <c r="L21" s="2" t="n">
        <f aca="false">ROUND(ABS(淡江大學_p5!L45),0)</f>
        <v>290201</v>
      </c>
      <c r="M21" s="2" t="n">
        <f aca="false">ROUND(ABS(淡江大學_p5!M45),0)</f>
        <v>290201</v>
      </c>
      <c r="N21" s="2" t="n">
        <f aca="false">ROUND(ABS(淡江大學_p5!N45),0)</f>
        <v>290201</v>
      </c>
      <c r="O21" s="2" t="n">
        <f aca="false">ROUND(ABS(淡江大學_p5!O45),0)</f>
        <v>290201</v>
      </c>
      <c r="P21" s="2" t="n">
        <f aca="false">ROUND(ABS(淡江大學_p5!P45),0)</f>
        <v>290201</v>
      </c>
      <c r="Q21" s="2" t="n">
        <f aca="false">ROUND(ABS(淡江大學_p5!Q45),0)</f>
        <v>290201</v>
      </c>
      <c r="R21" s="2" t="n">
        <f aca="false">ROUND(ABS(淡江大學_p5!R45),0)</f>
        <v>290201</v>
      </c>
      <c r="S21" s="2" t="n">
        <f aca="false">ROUND(ABS(淡江大學_p5!S45),0)</f>
        <v>290201</v>
      </c>
      <c r="T21" s="2" t="n">
        <f aca="false">ROUND(ABS(淡江大學_p5!T45),0)</f>
        <v>290201</v>
      </c>
      <c r="U21" s="2" t="n">
        <f aca="false">ROUND(ABS(淡江大學_p5!U45),0)</f>
        <v>290201</v>
      </c>
      <c r="V21" s="2" t="n">
        <f aca="false">ROUND(ABS(淡江大學_p5!V45),0)</f>
        <v>290201</v>
      </c>
      <c r="W21" s="2" t="n">
        <f aca="false">ROUND(ABS(淡江大學_p5!W45),0)</f>
        <v>290201</v>
      </c>
    </row>
    <row r="22" customFormat="false" ht="15" hidden="false" customHeight="false" outlineLevel="0" collapsed="false">
      <c r="B22" s="0" t="s">
        <v>2</v>
      </c>
      <c r="D22" s="2" t="n">
        <f aca="false">ROUND(ABS(淡江大學_p3!D45),0)</f>
        <v>290201</v>
      </c>
      <c r="E22" s="2" t="n">
        <f aca="false">ROUND(ABS(淡江大學_p3!E45),0)</f>
        <v>290201</v>
      </c>
      <c r="F22" s="2" t="n">
        <f aca="false">ROUND(ABS(淡江大學_p3!F45),0)</f>
        <v>290201</v>
      </c>
      <c r="G22" s="2" t="n">
        <f aca="false">ROUND(ABS(淡江大學_p3!G45),0)</f>
        <v>290201</v>
      </c>
      <c r="H22" s="2" t="n">
        <f aca="false">ROUND(ABS(淡江大學_p3!H45),0)</f>
        <v>290201</v>
      </c>
      <c r="I22" s="2" t="n">
        <f aca="false">ROUND(ABS(淡江大學_p3!I45),0)</f>
        <v>290201</v>
      </c>
      <c r="J22" s="2" t="n">
        <f aca="false">ROUND(ABS(淡江大學_p3!J45),0)</f>
        <v>290201</v>
      </c>
      <c r="K22" s="2" t="n">
        <f aca="false">ROUND(ABS(淡江大學_p3!K45),0)</f>
        <v>290201</v>
      </c>
      <c r="L22" s="2" t="n">
        <f aca="false">ROUND(ABS(淡江大學_p3!L45),0)</f>
        <v>290201</v>
      </c>
      <c r="M22" s="2" t="n">
        <f aca="false">ROUND(ABS(淡江大學_p3!M45),0)</f>
        <v>290201</v>
      </c>
      <c r="N22" s="2" t="n">
        <f aca="false">ROUND(ABS(淡江大學_p3!N45),0)</f>
        <v>290201</v>
      </c>
      <c r="O22" s="2" t="n">
        <f aca="false">ROUND(ABS(淡江大學_p3!O45),0)</f>
        <v>290201</v>
      </c>
      <c r="P22" s="2" t="n">
        <f aca="false">ROUND(ABS(淡江大學_p3!P45),0)</f>
        <v>290201</v>
      </c>
      <c r="Q22" s="2" t="n">
        <f aca="false">ROUND(ABS(淡江大學_p3!Q45),0)</f>
        <v>290201</v>
      </c>
      <c r="R22" s="2" t="n">
        <f aca="false">ROUND(ABS(淡江大學_p3!R45),0)</f>
        <v>290201</v>
      </c>
      <c r="S22" s="2" t="n">
        <f aca="false">ROUND(ABS(淡江大學_p3!S45),0)</f>
        <v>290201</v>
      </c>
      <c r="T22" s="2" t="n">
        <f aca="false">ROUND(ABS(淡江大學_p3!T45),0)</f>
        <v>290201</v>
      </c>
      <c r="U22" s="2" t="n">
        <f aca="false">ROUND(ABS(淡江大學_p3!U45),0)</f>
        <v>290201</v>
      </c>
      <c r="V22" s="2" t="n">
        <f aca="false">ROUND(ABS(淡江大學_p3!V45),0)</f>
        <v>290201</v>
      </c>
      <c r="W22" s="2" t="n">
        <f aca="false">ROUND(ABS(淡江大學_p3!W45),0)</f>
        <v>290201</v>
      </c>
    </row>
    <row r="23" customFormat="false" ht="15" hidden="false" customHeight="false" outlineLevel="0" collapsed="false">
      <c r="B23" s="0" t="s">
        <v>2</v>
      </c>
      <c r="D23" s="2" t="n">
        <f aca="false">ROUND(ABS(淡江大學_p4!D45),0)</f>
        <v>290201</v>
      </c>
      <c r="E23" s="2" t="n">
        <f aca="false">ROUND(ABS(淡江大學_p4!E45),0)</f>
        <v>290201</v>
      </c>
      <c r="F23" s="2" t="n">
        <f aca="false">ROUND(ABS(淡江大學_p4!F45),0)</f>
        <v>290201</v>
      </c>
      <c r="G23" s="2" t="n">
        <f aca="false">ROUND(ABS(淡江大學_p4!G45),0)</f>
        <v>290201</v>
      </c>
      <c r="H23" s="2" t="n">
        <f aca="false">ROUND(ABS(淡江大學_p4!H45),0)</f>
        <v>290201</v>
      </c>
      <c r="I23" s="2" t="n">
        <f aca="false">ROUND(ABS(淡江大學_p4!I45),0)</f>
        <v>290201</v>
      </c>
      <c r="J23" s="2" t="n">
        <f aca="false">ROUND(ABS(淡江大學_p4!J45),0)</f>
        <v>290201</v>
      </c>
      <c r="K23" s="2" t="n">
        <f aca="false">ROUND(ABS(淡江大學_p4!K45),0)</f>
        <v>290201</v>
      </c>
      <c r="L23" s="2" t="n">
        <f aca="false">ROUND(ABS(淡江大學_p4!L45),0)</f>
        <v>290201</v>
      </c>
      <c r="M23" s="2" t="n">
        <f aca="false">ROUND(ABS(淡江大學_p4!M45),0)</f>
        <v>290201</v>
      </c>
      <c r="N23" s="2" t="n">
        <f aca="false">ROUND(ABS(淡江大學_p4!N45),0)</f>
        <v>290201</v>
      </c>
      <c r="O23" s="2" t="n">
        <f aca="false">ROUND(ABS(淡江大學_p4!O45),0)</f>
        <v>290201</v>
      </c>
      <c r="P23" s="2" t="n">
        <f aca="false">ROUND(ABS(淡江大學_p4!P45),0)</f>
        <v>290201</v>
      </c>
      <c r="Q23" s="2" t="n">
        <f aca="false">ROUND(ABS(淡江大學_p4!Q45),0)</f>
        <v>290201</v>
      </c>
      <c r="R23" s="2" t="n">
        <f aca="false">ROUND(ABS(淡江大學_p4!R45),0)</f>
        <v>290201</v>
      </c>
      <c r="S23" s="2" t="n">
        <f aca="false">ROUND(ABS(淡江大學_p4!S45),0)</f>
        <v>290201</v>
      </c>
      <c r="T23" s="2" t="n">
        <f aca="false">ROUND(ABS(淡江大學_p4!T45),0)</f>
        <v>290201</v>
      </c>
      <c r="U23" s="2" t="n">
        <f aca="false">ROUND(ABS(淡江大學_p4!U45),0)</f>
        <v>290201</v>
      </c>
      <c r="V23" s="2" t="n">
        <f aca="false">ROUND(ABS(淡江大學_p4!V45),0)</f>
        <v>290201</v>
      </c>
      <c r="W23" s="2" t="n">
        <f aca="false">ROUND(ABS(淡江大學_p4!W45),0)</f>
        <v>290201</v>
      </c>
    </row>
    <row r="24" customFormat="false" ht="15" hidden="false" customHeight="false" outlineLevel="0" collapsed="false">
      <c r="C24" s="7" t="s">
        <v>7</v>
      </c>
      <c r="D24" s="8" t="n">
        <f aca="false">SUM(D20:D23)</f>
        <v>1160804</v>
      </c>
      <c r="E24" s="8" t="n">
        <f aca="false">SUM(E20:E23)</f>
        <v>1160804</v>
      </c>
      <c r="F24" s="8" t="n">
        <f aca="false">SUM(F20:F23)</f>
        <v>1160804</v>
      </c>
      <c r="G24" s="8" t="n">
        <f aca="false">SUM(G20:G23)</f>
        <v>1160804</v>
      </c>
      <c r="H24" s="8" t="n">
        <f aca="false">SUM(H20:H23)</f>
        <v>1160804</v>
      </c>
      <c r="I24" s="8" t="n">
        <f aca="false">SUM(I20:I23)</f>
        <v>1160804</v>
      </c>
      <c r="J24" s="8" t="n">
        <f aca="false">SUM(J20:J23)</f>
        <v>1160804</v>
      </c>
      <c r="K24" s="8" t="n">
        <f aca="false">SUM(K20:K23)</f>
        <v>1160804</v>
      </c>
      <c r="L24" s="8" t="n">
        <f aca="false">SUM(L20:L23)</f>
        <v>1160804</v>
      </c>
      <c r="M24" s="8" t="n">
        <f aca="false">SUM(M20:M23)</f>
        <v>1160804</v>
      </c>
      <c r="N24" s="8" t="n">
        <f aca="false">SUM(N20:N23)</f>
        <v>1160804</v>
      </c>
      <c r="O24" s="8" t="n">
        <f aca="false">SUM(O20:O23)</f>
        <v>1160804</v>
      </c>
      <c r="P24" s="8" t="n">
        <f aca="false">SUM(P20:P23)</f>
        <v>1160804</v>
      </c>
      <c r="Q24" s="8" t="n">
        <f aca="false">SUM(Q20:Q23)</f>
        <v>1160804</v>
      </c>
      <c r="R24" s="8" t="n">
        <f aca="false">SUM(R20:R23)</f>
        <v>1160804</v>
      </c>
      <c r="S24" s="8" t="n">
        <f aca="false">SUM(S20:S23)</f>
        <v>1160804</v>
      </c>
      <c r="T24" s="8" t="n">
        <f aca="false">SUM(T20:T23)</f>
        <v>1160804</v>
      </c>
      <c r="U24" s="8" t="n">
        <f aca="false">SUM(U20:U23)</f>
        <v>1160804</v>
      </c>
      <c r="V24" s="8" t="n">
        <f aca="false">SUM(V20:V23)</f>
        <v>1160804</v>
      </c>
      <c r="W24" s="8" t="n">
        <f aca="false">SUM(W20:W23)</f>
        <v>1160804</v>
      </c>
    </row>
    <row r="25" customFormat="false" ht="15" hidden="false" customHeight="false" outlineLevel="0" collapsed="false">
      <c r="C25" s="1" t="s">
        <v>0</v>
      </c>
      <c r="D25" s="1" t="n">
        <v>2020</v>
      </c>
      <c r="E25" s="1" t="n">
        <v>2021</v>
      </c>
      <c r="F25" s="1" t="n">
        <v>2022</v>
      </c>
      <c r="G25" s="1" t="n">
        <v>2023</v>
      </c>
      <c r="H25" s="1" t="n">
        <v>2024</v>
      </c>
      <c r="I25" s="1" t="n">
        <v>2025</v>
      </c>
      <c r="J25" s="1" t="n">
        <v>2026</v>
      </c>
      <c r="K25" s="1" t="n">
        <v>2027</v>
      </c>
      <c r="L25" s="1" t="n">
        <v>2028</v>
      </c>
      <c r="M25" s="1" t="n">
        <v>2029</v>
      </c>
      <c r="N25" s="1" t="n">
        <v>2030</v>
      </c>
      <c r="O25" s="1" t="n">
        <v>2031</v>
      </c>
      <c r="P25" s="1" t="n">
        <v>2032</v>
      </c>
      <c r="Q25" s="1" t="n">
        <v>2033</v>
      </c>
      <c r="R25" s="1" t="n">
        <v>2034</v>
      </c>
      <c r="S25" s="1" t="n">
        <v>2035</v>
      </c>
      <c r="T25" s="1" t="n">
        <v>2036</v>
      </c>
      <c r="U25" s="1" t="n">
        <v>2037</v>
      </c>
      <c r="V25" s="1" t="n">
        <v>2038</v>
      </c>
      <c r="W25" s="1" t="n">
        <v>2039</v>
      </c>
    </row>
    <row r="26" customFormat="false" ht="15" hidden="false" customHeight="false" outlineLevel="0" collapsed="false">
      <c r="C26" s="0" t="s">
        <v>8</v>
      </c>
    </row>
    <row r="27" customFormat="false" ht="15" hidden="false" customHeight="false" outlineLevel="0" collapsed="false">
      <c r="B27" s="0" t="s">
        <v>2</v>
      </c>
      <c r="D27" s="2" t="n">
        <f aca="false">ROUND(ABS(淡江大學_p2!D48),0)</f>
        <v>174440</v>
      </c>
      <c r="E27" s="2" t="n">
        <f aca="false">ROUND(ABS(淡江大學_p2!E48),0)</f>
        <v>174440</v>
      </c>
      <c r="F27" s="2" t="n">
        <f aca="false">ROUND(ABS(淡江大學_p2!F48),0)</f>
        <v>174440</v>
      </c>
      <c r="G27" s="2" t="n">
        <f aca="false">ROUND(ABS(淡江大學_p2!G48),0)</f>
        <v>174440</v>
      </c>
      <c r="H27" s="2" t="n">
        <f aca="false">ROUND(ABS(淡江大學_p2!H48),0)</f>
        <v>174440</v>
      </c>
      <c r="I27" s="2" t="n">
        <f aca="false">ROUND(ABS(淡江大學_p2!I48),0)</f>
        <v>174440</v>
      </c>
      <c r="J27" s="2" t="n">
        <f aca="false">ROUND(ABS(淡江大學_p2!J48),0)</f>
        <v>174440</v>
      </c>
      <c r="K27" s="2" t="n">
        <f aca="false">ROUND(ABS(淡江大學_p2!K48),0)</f>
        <v>174440</v>
      </c>
      <c r="L27" s="2" t="n">
        <f aca="false">ROUND(ABS(淡江大學_p2!L48),0)</f>
        <v>174440</v>
      </c>
      <c r="M27" s="2" t="n">
        <f aca="false">ROUND(ABS(淡江大學_p2!M48),0)</f>
        <v>174440</v>
      </c>
      <c r="N27" s="2" t="n">
        <f aca="false">ROUND(ABS(淡江大學_p2!N48),0)</f>
        <v>174440</v>
      </c>
      <c r="O27" s="2" t="n">
        <f aca="false">ROUND(ABS(淡江大學_p2!O48),0)</f>
        <v>174440</v>
      </c>
      <c r="P27" s="2" t="n">
        <f aca="false">ROUND(ABS(淡江大學_p2!P48),0)</f>
        <v>174440</v>
      </c>
      <c r="Q27" s="2" t="n">
        <f aca="false">ROUND(ABS(淡江大學_p2!Q48),0)</f>
        <v>174440</v>
      </c>
      <c r="R27" s="2" t="n">
        <f aca="false">ROUND(ABS(淡江大學_p2!R48),0)</f>
        <v>174440</v>
      </c>
      <c r="S27" s="2" t="n">
        <f aca="false">ROUND(ABS(淡江大學_p2!S48),0)</f>
        <v>174440</v>
      </c>
      <c r="T27" s="2" t="n">
        <f aca="false">ROUND(ABS(淡江大學_p2!T48),0)</f>
        <v>174440</v>
      </c>
      <c r="U27" s="2" t="n">
        <f aca="false">ROUND(ABS(淡江大學_p2!U48),0)</f>
        <v>174440</v>
      </c>
      <c r="V27" s="2" t="n">
        <f aca="false">ROUND(ABS(淡江大學_p2!V48),0)</f>
        <v>174440</v>
      </c>
      <c r="W27" s="2" t="n">
        <f aca="false">ROUND(ABS(淡江大學_p2!W48),0)</f>
        <v>174440</v>
      </c>
    </row>
    <row r="28" customFormat="false" ht="15" hidden="false" customHeight="false" outlineLevel="0" collapsed="false">
      <c r="B28" s="0" t="s">
        <v>2</v>
      </c>
      <c r="D28" s="2" t="n">
        <f aca="false">ROUND(ABS(淡江大學_p5!D48),0)</f>
        <v>174440</v>
      </c>
      <c r="E28" s="2" t="n">
        <f aca="false">ROUND(ABS(淡江大學_p5!E48),0)</f>
        <v>174440</v>
      </c>
      <c r="F28" s="2" t="n">
        <f aca="false">ROUND(ABS(淡江大學_p5!F48),0)</f>
        <v>174440</v>
      </c>
      <c r="G28" s="2" t="n">
        <f aca="false">ROUND(ABS(淡江大學_p5!G48),0)</f>
        <v>174440</v>
      </c>
      <c r="H28" s="2" t="n">
        <f aca="false">ROUND(ABS(淡江大學_p5!H48),0)</f>
        <v>174440</v>
      </c>
      <c r="I28" s="2" t="n">
        <f aca="false">ROUND(ABS(淡江大學_p5!I48),0)</f>
        <v>174440</v>
      </c>
      <c r="J28" s="2" t="n">
        <f aca="false">ROUND(ABS(淡江大學_p5!J48),0)</f>
        <v>174440</v>
      </c>
      <c r="K28" s="2" t="n">
        <f aca="false">ROUND(ABS(淡江大學_p5!K48),0)</f>
        <v>174440</v>
      </c>
      <c r="L28" s="2" t="n">
        <f aca="false">ROUND(ABS(淡江大學_p5!L48),0)</f>
        <v>174440</v>
      </c>
      <c r="M28" s="2" t="n">
        <f aca="false">ROUND(ABS(淡江大學_p5!M48),0)</f>
        <v>174440</v>
      </c>
      <c r="N28" s="2" t="n">
        <f aca="false">ROUND(ABS(淡江大學_p5!N48),0)</f>
        <v>174440</v>
      </c>
      <c r="O28" s="2" t="n">
        <f aca="false">ROUND(ABS(淡江大學_p5!O48),0)</f>
        <v>174440</v>
      </c>
      <c r="P28" s="2" t="n">
        <f aca="false">ROUND(ABS(淡江大學_p5!P48),0)</f>
        <v>174440</v>
      </c>
      <c r="Q28" s="2" t="n">
        <f aca="false">ROUND(ABS(淡江大學_p5!Q48),0)</f>
        <v>174440</v>
      </c>
      <c r="R28" s="2" t="n">
        <f aca="false">ROUND(ABS(淡江大學_p5!R48),0)</f>
        <v>174440</v>
      </c>
      <c r="S28" s="2" t="n">
        <f aca="false">ROUND(ABS(淡江大學_p5!S48),0)</f>
        <v>174440</v>
      </c>
      <c r="T28" s="2" t="n">
        <f aca="false">ROUND(ABS(淡江大學_p5!T48),0)</f>
        <v>174440</v>
      </c>
      <c r="U28" s="2" t="n">
        <f aca="false">ROUND(ABS(淡江大學_p5!U48),0)</f>
        <v>174440</v>
      </c>
      <c r="V28" s="2" t="n">
        <f aca="false">ROUND(ABS(淡江大學_p5!V48),0)</f>
        <v>174440</v>
      </c>
      <c r="W28" s="2" t="n">
        <f aca="false">ROUND(ABS(淡江大學_p5!W48),0)</f>
        <v>174440</v>
      </c>
    </row>
    <row r="29" customFormat="false" ht="15" hidden="false" customHeight="false" outlineLevel="0" collapsed="false">
      <c r="B29" s="0" t="s">
        <v>2</v>
      </c>
      <c r="D29" s="2" t="n">
        <f aca="false">ROUND(ABS(淡江大學_p3!D48),0)</f>
        <v>174440</v>
      </c>
      <c r="E29" s="2" t="n">
        <f aca="false">ROUND(ABS(淡江大學_p3!E48),0)</f>
        <v>174440</v>
      </c>
      <c r="F29" s="2" t="n">
        <f aca="false">ROUND(ABS(淡江大學_p3!F48),0)</f>
        <v>174440</v>
      </c>
      <c r="G29" s="2" t="n">
        <f aca="false">ROUND(ABS(淡江大學_p3!G48),0)</f>
        <v>174440</v>
      </c>
      <c r="H29" s="2" t="n">
        <f aca="false">ROUND(ABS(淡江大學_p3!H48),0)</f>
        <v>174440</v>
      </c>
      <c r="I29" s="2" t="n">
        <f aca="false">ROUND(ABS(淡江大學_p3!I48),0)</f>
        <v>174440</v>
      </c>
      <c r="J29" s="2" t="n">
        <f aca="false">ROUND(ABS(淡江大學_p3!J48),0)</f>
        <v>174440</v>
      </c>
      <c r="K29" s="2" t="n">
        <f aca="false">ROUND(ABS(淡江大學_p3!K48),0)</f>
        <v>174440</v>
      </c>
      <c r="L29" s="2" t="n">
        <f aca="false">ROUND(ABS(淡江大學_p3!L48),0)</f>
        <v>174440</v>
      </c>
      <c r="M29" s="2" t="n">
        <f aca="false">ROUND(ABS(淡江大學_p3!M48),0)</f>
        <v>174440</v>
      </c>
      <c r="N29" s="2" t="n">
        <f aca="false">ROUND(ABS(淡江大學_p3!N48),0)</f>
        <v>174440</v>
      </c>
      <c r="O29" s="2" t="n">
        <f aca="false">ROUND(ABS(淡江大學_p3!O48),0)</f>
        <v>174440</v>
      </c>
      <c r="P29" s="2" t="n">
        <f aca="false">ROUND(ABS(淡江大學_p3!P48),0)</f>
        <v>174440</v>
      </c>
      <c r="Q29" s="2" t="n">
        <f aca="false">ROUND(ABS(淡江大學_p3!Q48),0)</f>
        <v>174440</v>
      </c>
      <c r="R29" s="2" t="n">
        <f aca="false">ROUND(ABS(淡江大學_p3!R48),0)</f>
        <v>174440</v>
      </c>
      <c r="S29" s="2" t="n">
        <f aca="false">ROUND(ABS(淡江大學_p3!S48),0)</f>
        <v>174440</v>
      </c>
      <c r="T29" s="2" t="n">
        <f aca="false">ROUND(ABS(淡江大學_p3!T48),0)</f>
        <v>174440</v>
      </c>
      <c r="U29" s="2" t="n">
        <f aca="false">ROUND(ABS(淡江大學_p3!U48),0)</f>
        <v>174440</v>
      </c>
      <c r="V29" s="2" t="n">
        <f aca="false">ROUND(ABS(淡江大學_p3!V48),0)</f>
        <v>174440</v>
      </c>
      <c r="W29" s="2" t="n">
        <f aca="false">ROUND(ABS(淡江大學_p3!W48),0)</f>
        <v>174440</v>
      </c>
    </row>
    <row r="30" customFormat="false" ht="15" hidden="false" customHeight="false" outlineLevel="0" collapsed="false">
      <c r="B30" s="0" t="s">
        <v>2</v>
      </c>
      <c r="D30" s="2" t="n">
        <f aca="false">ROUND(ABS(淡江大學_p4!D48),0)</f>
        <v>174440</v>
      </c>
      <c r="E30" s="2" t="n">
        <f aca="false">ROUND(ABS(淡江大學_p4!E48),0)</f>
        <v>174440</v>
      </c>
      <c r="F30" s="2" t="n">
        <f aca="false">ROUND(ABS(淡江大學_p4!F48),0)</f>
        <v>174440</v>
      </c>
      <c r="G30" s="2" t="n">
        <f aca="false">ROUND(ABS(淡江大學_p4!G48),0)</f>
        <v>174440</v>
      </c>
      <c r="H30" s="2" t="n">
        <f aca="false">ROUND(ABS(淡江大學_p4!H48),0)</f>
        <v>174440</v>
      </c>
      <c r="I30" s="2" t="n">
        <f aca="false">ROUND(ABS(淡江大學_p4!I48),0)</f>
        <v>174440</v>
      </c>
      <c r="J30" s="2" t="n">
        <f aca="false">ROUND(ABS(淡江大學_p4!J48),0)</f>
        <v>174440</v>
      </c>
      <c r="K30" s="2" t="n">
        <f aca="false">ROUND(ABS(淡江大學_p4!K48),0)</f>
        <v>174440</v>
      </c>
      <c r="L30" s="2" t="n">
        <f aca="false">ROUND(ABS(淡江大學_p4!L48),0)</f>
        <v>174440</v>
      </c>
      <c r="M30" s="2" t="n">
        <f aca="false">ROUND(ABS(淡江大學_p4!M48),0)</f>
        <v>174440</v>
      </c>
      <c r="N30" s="2" t="n">
        <f aca="false">ROUND(ABS(淡江大學_p4!N48),0)</f>
        <v>174440</v>
      </c>
      <c r="O30" s="2" t="n">
        <f aca="false">ROUND(ABS(淡江大學_p4!O48),0)</f>
        <v>174440</v>
      </c>
      <c r="P30" s="2" t="n">
        <f aca="false">ROUND(ABS(淡江大學_p4!P48),0)</f>
        <v>174440</v>
      </c>
      <c r="Q30" s="2" t="n">
        <f aca="false">ROUND(ABS(淡江大學_p4!Q48),0)</f>
        <v>174440</v>
      </c>
      <c r="R30" s="2" t="n">
        <f aca="false">ROUND(ABS(淡江大學_p4!R48),0)</f>
        <v>174440</v>
      </c>
      <c r="S30" s="2" t="n">
        <f aca="false">ROUND(ABS(淡江大學_p4!S48),0)</f>
        <v>174440</v>
      </c>
      <c r="T30" s="2" t="n">
        <f aca="false">ROUND(ABS(淡江大學_p4!T48),0)</f>
        <v>174440</v>
      </c>
      <c r="U30" s="2" t="n">
        <f aca="false">ROUND(ABS(淡江大學_p4!U48),0)</f>
        <v>174440</v>
      </c>
      <c r="V30" s="2" t="n">
        <f aca="false">ROUND(ABS(淡江大學_p4!V48),0)</f>
        <v>174440</v>
      </c>
      <c r="W30" s="2" t="n">
        <f aca="false">ROUND(ABS(淡江大學_p4!W48),0)</f>
        <v>174440</v>
      </c>
    </row>
    <row r="31" customFormat="false" ht="15" hidden="false" customHeight="false" outlineLevel="0" collapsed="false">
      <c r="C31" s="9" t="s">
        <v>9</v>
      </c>
      <c r="D31" s="10" t="n">
        <f aca="false">SUM(D27:D30)</f>
        <v>697760</v>
      </c>
      <c r="E31" s="10" t="n">
        <f aca="false">SUM(E27:E30)</f>
        <v>697760</v>
      </c>
      <c r="F31" s="10" t="n">
        <f aca="false">SUM(F27:F30)</f>
        <v>697760</v>
      </c>
      <c r="G31" s="10" t="n">
        <f aca="false">SUM(G27:G30)</f>
        <v>697760</v>
      </c>
      <c r="H31" s="10" t="n">
        <f aca="false">SUM(H27:H30)</f>
        <v>697760</v>
      </c>
      <c r="I31" s="10" t="n">
        <f aca="false">SUM(I27:I30)</f>
        <v>697760</v>
      </c>
      <c r="J31" s="10" t="n">
        <f aca="false">SUM(J27:J30)</f>
        <v>697760</v>
      </c>
      <c r="K31" s="10" t="n">
        <f aca="false">SUM(K27:K30)</f>
        <v>697760</v>
      </c>
      <c r="L31" s="10" t="n">
        <f aca="false">SUM(L27:L30)</f>
        <v>697760</v>
      </c>
      <c r="M31" s="10" t="n">
        <f aca="false">SUM(M27:M30)</f>
        <v>697760</v>
      </c>
      <c r="N31" s="10" t="n">
        <f aca="false">SUM(N27:N30)</f>
        <v>697760</v>
      </c>
      <c r="O31" s="10" t="n">
        <f aca="false">SUM(O27:O30)</f>
        <v>697760</v>
      </c>
      <c r="P31" s="10" t="n">
        <f aca="false">SUM(P27:P30)</f>
        <v>697760</v>
      </c>
      <c r="Q31" s="10" t="n">
        <f aca="false">SUM(Q27:Q30)</f>
        <v>697760</v>
      </c>
      <c r="R31" s="10" t="n">
        <f aca="false">SUM(R27:R30)</f>
        <v>697760</v>
      </c>
      <c r="S31" s="10" t="n">
        <f aca="false">SUM(S27:S30)</f>
        <v>697760</v>
      </c>
      <c r="T31" s="10" t="n">
        <f aca="false">SUM(T27:T30)</f>
        <v>697760</v>
      </c>
      <c r="U31" s="10" t="n">
        <f aca="false">SUM(U27:U30)</f>
        <v>697760</v>
      </c>
      <c r="V31" s="10" t="n">
        <f aca="false">SUM(V27:V30)</f>
        <v>697760</v>
      </c>
      <c r="W31" s="10" t="n">
        <f aca="false">SUM(W27:W30)</f>
        <v>697760</v>
      </c>
    </row>
    <row r="32" customFormat="false" ht="15" hidden="false" customHeight="false" outlineLevel="0" collapsed="false">
      <c r="C32" s="1" t="s">
        <v>0</v>
      </c>
      <c r="D32" s="1" t="n">
        <v>2020</v>
      </c>
      <c r="E32" s="1" t="n">
        <v>2021</v>
      </c>
      <c r="F32" s="1" t="n">
        <v>2022</v>
      </c>
      <c r="G32" s="1" t="n">
        <v>2023</v>
      </c>
      <c r="H32" s="1" t="n">
        <v>2024</v>
      </c>
      <c r="I32" s="1" t="n">
        <v>2025</v>
      </c>
      <c r="J32" s="1" t="n">
        <v>2026</v>
      </c>
      <c r="K32" s="1" t="n">
        <v>2027</v>
      </c>
      <c r="L32" s="1" t="n">
        <v>2028</v>
      </c>
      <c r="M32" s="1" t="n">
        <v>2029</v>
      </c>
      <c r="N32" s="1" t="n">
        <v>2030</v>
      </c>
      <c r="O32" s="1" t="n">
        <v>2031</v>
      </c>
      <c r="P32" s="1" t="n">
        <v>2032</v>
      </c>
      <c r="Q32" s="1" t="n">
        <v>2033</v>
      </c>
      <c r="R32" s="1" t="n">
        <v>2034</v>
      </c>
      <c r="S32" s="1" t="n">
        <v>2035</v>
      </c>
      <c r="T32" s="1" t="n">
        <v>2036</v>
      </c>
      <c r="U32" s="1" t="n">
        <v>2037</v>
      </c>
      <c r="V32" s="1" t="n">
        <v>2038</v>
      </c>
      <c r="W32" s="1" t="n">
        <v>2039</v>
      </c>
    </row>
    <row r="33" customFormat="false" ht="15" hidden="false" customHeight="false" outlineLevel="0" collapsed="false">
      <c r="C33" s="0" t="s">
        <v>10</v>
      </c>
    </row>
    <row r="34" customFormat="false" ht="15" hidden="false" customHeight="false" outlineLevel="0" collapsed="false">
      <c r="B34" s="0" t="s">
        <v>2</v>
      </c>
      <c r="D34" s="2" t="n">
        <f aca="false">ROUND(ABS(淡江大學_p2!D49),0)</f>
        <v>43174</v>
      </c>
      <c r="E34" s="2" t="n">
        <f aca="false">ROUND(ABS(淡江大學_p2!E49),0)</f>
        <v>43174</v>
      </c>
      <c r="F34" s="2" t="n">
        <f aca="false">ROUND(ABS(淡江大學_p2!F49),0)</f>
        <v>43174</v>
      </c>
      <c r="G34" s="2" t="n">
        <f aca="false">ROUND(ABS(淡江大學_p2!G49),0)</f>
        <v>43174</v>
      </c>
      <c r="H34" s="2" t="n">
        <f aca="false">ROUND(ABS(淡江大學_p2!H49),0)</f>
        <v>43174</v>
      </c>
      <c r="I34" s="2" t="n">
        <f aca="false">ROUND(ABS(淡江大學_p2!I49),0)</f>
        <v>43174</v>
      </c>
      <c r="J34" s="2" t="n">
        <f aca="false">ROUND(ABS(淡江大學_p2!J49),0)</f>
        <v>43174</v>
      </c>
      <c r="K34" s="2" t="n">
        <f aca="false">ROUND(ABS(淡江大學_p2!K49),0)</f>
        <v>43174</v>
      </c>
      <c r="L34" s="2" t="n">
        <f aca="false">ROUND(ABS(淡江大學_p2!L49),0)</f>
        <v>43174</v>
      </c>
      <c r="M34" s="2" t="n">
        <f aca="false">ROUND(ABS(淡江大學_p2!M49),0)</f>
        <v>43174</v>
      </c>
      <c r="N34" s="2" t="n">
        <f aca="false">ROUND(ABS(淡江大學_p2!N49),0)</f>
        <v>43174</v>
      </c>
      <c r="O34" s="2" t="n">
        <f aca="false">ROUND(ABS(淡江大學_p2!O49),0)</f>
        <v>43174</v>
      </c>
      <c r="P34" s="2" t="n">
        <f aca="false">ROUND(ABS(淡江大學_p2!P49),0)</f>
        <v>43174</v>
      </c>
      <c r="Q34" s="2" t="n">
        <f aca="false">ROUND(ABS(淡江大學_p2!Q49),0)</f>
        <v>43174</v>
      </c>
      <c r="R34" s="2" t="n">
        <f aca="false">ROUND(ABS(淡江大學_p2!R49),0)</f>
        <v>43174</v>
      </c>
      <c r="S34" s="2" t="n">
        <f aca="false">ROUND(ABS(淡江大學_p2!S49),0)</f>
        <v>43174</v>
      </c>
      <c r="T34" s="2" t="n">
        <f aca="false">ROUND(ABS(淡江大學_p2!T49),0)</f>
        <v>43174</v>
      </c>
      <c r="U34" s="2" t="n">
        <f aca="false">ROUND(ABS(淡江大學_p2!U49),0)</f>
        <v>43174</v>
      </c>
      <c r="V34" s="2" t="n">
        <f aca="false">ROUND(ABS(淡江大學_p2!V49),0)</f>
        <v>43174</v>
      </c>
      <c r="W34" s="2" t="n">
        <f aca="false">ROUND(ABS(淡江大學_p2!W49),0)</f>
        <v>43174</v>
      </c>
    </row>
    <row r="35" customFormat="false" ht="15" hidden="false" customHeight="false" outlineLevel="0" collapsed="false">
      <c r="B35" s="0" t="s">
        <v>2</v>
      </c>
      <c r="D35" s="2" t="n">
        <f aca="false">ROUND(ABS(淡江大學_p5!D49),0)</f>
        <v>35324</v>
      </c>
      <c r="E35" s="2" t="n">
        <f aca="false">ROUND(ABS(淡江大學_p5!E49),0)</f>
        <v>35324</v>
      </c>
      <c r="F35" s="2" t="n">
        <f aca="false">ROUND(ABS(淡江大學_p5!F49),0)</f>
        <v>35324</v>
      </c>
      <c r="G35" s="2" t="n">
        <f aca="false">ROUND(ABS(淡江大學_p5!G49),0)</f>
        <v>35324</v>
      </c>
      <c r="H35" s="2" t="n">
        <f aca="false">ROUND(ABS(淡江大學_p5!H49),0)</f>
        <v>35324</v>
      </c>
      <c r="I35" s="2" t="n">
        <f aca="false">ROUND(ABS(淡江大學_p5!I49),0)</f>
        <v>35324</v>
      </c>
      <c r="J35" s="2" t="n">
        <f aca="false">ROUND(ABS(淡江大學_p5!J49),0)</f>
        <v>35324</v>
      </c>
      <c r="K35" s="2" t="n">
        <f aca="false">ROUND(ABS(淡江大學_p5!K49),0)</f>
        <v>35324</v>
      </c>
      <c r="L35" s="2" t="n">
        <f aca="false">ROUND(ABS(淡江大學_p5!L49),0)</f>
        <v>35324</v>
      </c>
      <c r="M35" s="2" t="n">
        <f aca="false">ROUND(ABS(淡江大學_p5!M49),0)</f>
        <v>35324</v>
      </c>
      <c r="N35" s="2" t="n">
        <f aca="false">ROUND(ABS(淡江大學_p5!N49),0)</f>
        <v>35324</v>
      </c>
      <c r="O35" s="2" t="n">
        <f aca="false">ROUND(ABS(淡江大學_p5!O49),0)</f>
        <v>35324</v>
      </c>
      <c r="P35" s="2" t="n">
        <f aca="false">ROUND(ABS(淡江大學_p5!P49),0)</f>
        <v>35324</v>
      </c>
      <c r="Q35" s="2" t="n">
        <f aca="false">ROUND(ABS(淡江大學_p5!Q49),0)</f>
        <v>35324</v>
      </c>
      <c r="R35" s="2" t="n">
        <f aca="false">ROUND(ABS(淡江大學_p5!R49),0)</f>
        <v>35324</v>
      </c>
      <c r="S35" s="2" t="n">
        <f aca="false">ROUND(ABS(淡江大學_p5!S49),0)</f>
        <v>35324</v>
      </c>
      <c r="T35" s="2" t="n">
        <f aca="false">ROUND(ABS(淡江大學_p5!T49),0)</f>
        <v>35324</v>
      </c>
      <c r="U35" s="2" t="n">
        <f aca="false">ROUND(ABS(淡江大學_p5!U49),0)</f>
        <v>35324</v>
      </c>
      <c r="V35" s="2" t="n">
        <f aca="false">ROUND(ABS(淡江大學_p5!V49),0)</f>
        <v>35324</v>
      </c>
      <c r="W35" s="2" t="n">
        <f aca="false">ROUND(ABS(淡江大學_p5!W49),0)</f>
        <v>35324</v>
      </c>
    </row>
    <row r="36" customFormat="false" ht="15" hidden="false" customHeight="false" outlineLevel="0" collapsed="false">
      <c r="B36" s="0" t="s">
        <v>2</v>
      </c>
      <c r="D36" s="2" t="n">
        <f aca="false">ROUND(ABS(淡江大學_p3!D49),0)</f>
        <v>40557</v>
      </c>
      <c r="E36" s="2" t="n">
        <f aca="false">ROUND(ABS(淡江大學_p3!E49),0)</f>
        <v>40557</v>
      </c>
      <c r="F36" s="2" t="n">
        <f aca="false">ROUND(ABS(淡江大學_p3!F49),0)</f>
        <v>40557</v>
      </c>
      <c r="G36" s="2" t="n">
        <f aca="false">ROUND(ABS(淡江大學_p3!G49),0)</f>
        <v>40557</v>
      </c>
      <c r="H36" s="2" t="n">
        <f aca="false">ROUND(ABS(淡江大學_p3!H49),0)</f>
        <v>40557</v>
      </c>
      <c r="I36" s="2" t="n">
        <f aca="false">ROUND(ABS(淡江大學_p3!I49),0)</f>
        <v>40557</v>
      </c>
      <c r="J36" s="2" t="n">
        <f aca="false">ROUND(ABS(淡江大學_p3!J49),0)</f>
        <v>40557</v>
      </c>
      <c r="K36" s="2" t="n">
        <f aca="false">ROUND(ABS(淡江大學_p3!K49),0)</f>
        <v>40557</v>
      </c>
      <c r="L36" s="2" t="n">
        <f aca="false">ROUND(ABS(淡江大學_p3!L49),0)</f>
        <v>40557</v>
      </c>
      <c r="M36" s="2" t="n">
        <f aca="false">ROUND(ABS(淡江大學_p3!M49),0)</f>
        <v>40557</v>
      </c>
      <c r="N36" s="2" t="n">
        <f aca="false">ROUND(ABS(淡江大學_p3!N49),0)</f>
        <v>40557</v>
      </c>
      <c r="O36" s="2" t="n">
        <f aca="false">ROUND(ABS(淡江大學_p3!O49),0)</f>
        <v>40557</v>
      </c>
      <c r="P36" s="2" t="n">
        <f aca="false">ROUND(ABS(淡江大學_p3!P49),0)</f>
        <v>40557</v>
      </c>
      <c r="Q36" s="2" t="n">
        <f aca="false">ROUND(ABS(淡江大學_p3!Q49),0)</f>
        <v>40557</v>
      </c>
      <c r="R36" s="2" t="n">
        <f aca="false">ROUND(ABS(淡江大學_p3!R49),0)</f>
        <v>40557</v>
      </c>
      <c r="S36" s="2" t="n">
        <f aca="false">ROUND(ABS(淡江大學_p3!S49),0)</f>
        <v>40557</v>
      </c>
      <c r="T36" s="2" t="n">
        <f aca="false">ROUND(ABS(淡江大學_p3!T49),0)</f>
        <v>40557</v>
      </c>
      <c r="U36" s="2" t="n">
        <f aca="false">ROUND(ABS(淡江大學_p3!U49),0)</f>
        <v>40557</v>
      </c>
      <c r="V36" s="2" t="n">
        <f aca="false">ROUND(ABS(淡江大學_p3!V49),0)</f>
        <v>40557</v>
      </c>
      <c r="W36" s="2" t="n">
        <f aca="false">ROUND(ABS(淡江大學_p3!W49),0)</f>
        <v>40557</v>
      </c>
    </row>
    <row r="37" customFormat="false" ht="15" hidden="false" customHeight="false" outlineLevel="0" collapsed="false">
      <c r="B37" s="0" t="s">
        <v>2</v>
      </c>
      <c r="D37" s="2" t="n">
        <f aca="false">ROUND(ABS(淡江大學_p4!D49),0)</f>
        <v>37941</v>
      </c>
      <c r="E37" s="2" t="n">
        <f aca="false">ROUND(ABS(淡江大學_p4!E49),0)</f>
        <v>37941</v>
      </c>
      <c r="F37" s="2" t="n">
        <f aca="false">ROUND(ABS(淡江大學_p4!F49),0)</f>
        <v>37941</v>
      </c>
      <c r="G37" s="2" t="n">
        <f aca="false">ROUND(ABS(淡江大學_p4!G49),0)</f>
        <v>37941</v>
      </c>
      <c r="H37" s="2" t="n">
        <f aca="false">ROUND(ABS(淡江大學_p4!H49),0)</f>
        <v>37941</v>
      </c>
      <c r="I37" s="2" t="n">
        <f aca="false">ROUND(ABS(淡江大學_p4!I49),0)</f>
        <v>37941</v>
      </c>
      <c r="J37" s="2" t="n">
        <f aca="false">ROUND(ABS(淡江大學_p4!J49),0)</f>
        <v>37941</v>
      </c>
      <c r="K37" s="2" t="n">
        <f aca="false">ROUND(ABS(淡江大學_p4!K49),0)</f>
        <v>37941</v>
      </c>
      <c r="L37" s="2" t="n">
        <f aca="false">ROUND(ABS(淡江大學_p4!L49),0)</f>
        <v>37941</v>
      </c>
      <c r="M37" s="2" t="n">
        <f aca="false">ROUND(ABS(淡江大學_p4!M49),0)</f>
        <v>37941</v>
      </c>
      <c r="N37" s="2" t="n">
        <f aca="false">ROUND(ABS(淡江大學_p4!N49),0)</f>
        <v>37941</v>
      </c>
      <c r="O37" s="2" t="n">
        <f aca="false">ROUND(ABS(淡江大學_p4!O49),0)</f>
        <v>37941</v>
      </c>
      <c r="P37" s="2" t="n">
        <f aca="false">ROUND(ABS(淡江大學_p4!P49),0)</f>
        <v>37941</v>
      </c>
      <c r="Q37" s="2" t="n">
        <f aca="false">ROUND(ABS(淡江大學_p4!Q49),0)</f>
        <v>37941</v>
      </c>
      <c r="R37" s="2" t="n">
        <f aca="false">ROUND(ABS(淡江大學_p4!R49),0)</f>
        <v>37941</v>
      </c>
      <c r="S37" s="2" t="n">
        <f aca="false">ROUND(ABS(淡江大學_p4!S49),0)</f>
        <v>37941</v>
      </c>
      <c r="T37" s="2" t="n">
        <f aca="false">ROUND(ABS(淡江大學_p4!T49),0)</f>
        <v>37941</v>
      </c>
      <c r="U37" s="2" t="n">
        <f aca="false">ROUND(ABS(淡江大學_p4!U49),0)</f>
        <v>37941</v>
      </c>
      <c r="V37" s="2" t="n">
        <f aca="false">ROUND(ABS(淡江大學_p4!V49),0)</f>
        <v>37941</v>
      </c>
      <c r="W37" s="2" t="n">
        <f aca="false">ROUND(ABS(淡江大學_p4!W49),0)</f>
        <v>37941</v>
      </c>
    </row>
    <row r="38" customFormat="false" ht="15" hidden="false" customHeight="false" outlineLevel="0" collapsed="false">
      <c r="C38" s="11" t="s">
        <v>11</v>
      </c>
      <c r="D38" s="12" t="n">
        <f aca="false">SUM(D34:D37)</f>
        <v>156996</v>
      </c>
      <c r="E38" s="12" t="n">
        <f aca="false">SUM(E34:E37)</f>
        <v>156996</v>
      </c>
      <c r="F38" s="12" t="n">
        <f aca="false">SUM(F34:F37)</f>
        <v>156996</v>
      </c>
      <c r="G38" s="12" t="n">
        <f aca="false">SUM(G34:G37)</f>
        <v>156996</v>
      </c>
      <c r="H38" s="12" t="n">
        <f aca="false">SUM(H34:H37)</f>
        <v>156996</v>
      </c>
      <c r="I38" s="12" t="n">
        <f aca="false">SUM(I34:I37)</f>
        <v>156996</v>
      </c>
      <c r="J38" s="12" t="n">
        <f aca="false">SUM(J34:J37)</f>
        <v>156996</v>
      </c>
      <c r="K38" s="12" t="n">
        <f aca="false">SUM(K34:K37)</f>
        <v>156996</v>
      </c>
      <c r="L38" s="12" t="n">
        <f aca="false">SUM(L34:L37)</f>
        <v>156996</v>
      </c>
      <c r="M38" s="12" t="n">
        <f aca="false">SUM(M34:M37)</f>
        <v>156996</v>
      </c>
      <c r="N38" s="12" t="n">
        <f aca="false">SUM(N34:N37)</f>
        <v>156996</v>
      </c>
      <c r="O38" s="12" t="n">
        <f aca="false">SUM(O34:O37)</f>
        <v>156996</v>
      </c>
      <c r="P38" s="12" t="n">
        <f aca="false">SUM(P34:P37)</f>
        <v>156996</v>
      </c>
      <c r="Q38" s="12" t="n">
        <f aca="false">SUM(Q34:Q37)</f>
        <v>156996</v>
      </c>
      <c r="R38" s="12" t="n">
        <f aca="false">SUM(R34:R37)</f>
        <v>156996</v>
      </c>
      <c r="S38" s="12" t="n">
        <f aca="false">SUM(S34:S37)</f>
        <v>156996</v>
      </c>
      <c r="T38" s="12" t="n">
        <f aca="false">SUM(T34:T37)</f>
        <v>156996</v>
      </c>
      <c r="U38" s="12" t="n">
        <f aca="false">SUM(U34:U37)</f>
        <v>156996</v>
      </c>
      <c r="V38" s="12" t="n">
        <f aca="false">SUM(V34:V37)</f>
        <v>156996</v>
      </c>
      <c r="W38" s="12" t="n">
        <f aca="false">SUM(W34:W37)</f>
        <v>156996</v>
      </c>
    </row>
    <row r="39" customFormat="false" ht="15" hidden="false" customHeight="false" outlineLevel="0" collapsed="false">
      <c r="C39" s="1" t="s">
        <v>0</v>
      </c>
      <c r="D39" s="1" t="n">
        <v>2020</v>
      </c>
      <c r="E39" s="1" t="n">
        <v>2021</v>
      </c>
      <c r="F39" s="1" t="n">
        <v>2022</v>
      </c>
      <c r="G39" s="1" t="n">
        <v>2023</v>
      </c>
      <c r="H39" s="1" t="n">
        <v>2024</v>
      </c>
      <c r="I39" s="1" t="n">
        <v>2025</v>
      </c>
      <c r="J39" s="1" t="n">
        <v>2026</v>
      </c>
      <c r="K39" s="1" t="n">
        <v>2027</v>
      </c>
      <c r="L39" s="1" t="n">
        <v>2028</v>
      </c>
      <c r="M39" s="1" t="n">
        <v>2029</v>
      </c>
      <c r="N39" s="1" t="n">
        <v>2030</v>
      </c>
      <c r="O39" s="1" t="n">
        <v>2031</v>
      </c>
      <c r="P39" s="1" t="n">
        <v>2032</v>
      </c>
      <c r="Q39" s="1" t="n">
        <v>2033</v>
      </c>
      <c r="R39" s="1" t="n">
        <v>2034</v>
      </c>
      <c r="S39" s="1" t="n">
        <v>2035</v>
      </c>
      <c r="T39" s="1" t="n">
        <v>2036</v>
      </c>
      <c r="U39" s="1" t="n">
        <v>2037</v>
      </c>
      <c r="V39" s="1" t="n">
        <v>2038</v>
      </c>
      <c r="W39" s="1" t="n">
        <v>2039</v>
      </c>
    </row>
    <row r="40" customFormat="false" ht="15" hidden="false" customHeight="false" outlineLevel="0" collapsed="false">
      <c r="C40" s="0" t="s">
        <v>12</v>
      </c>
    </row>
    <row r="41" customFormat="false" ht="15" hidden="false" customHeight="false" outlineLevel="0" collapsed="false">
      <c r="B41" s="0" t="s">
        <v>2</v>
      </c>
      <c r="D41" s="2" t="n">
        <f aca="false">ROUND(ABS(淡江大學_p2!D50),0)</f>
        <v>43610</v>
      </c>
      <c r="E41" s="2" t="n">
        <f aca="false">ROUND(ABS(淡江大學_p2!E50),0)</f>
        <v>43610</v>
      </c>
      <c r="F41" s="2" t="n">
        <f aca="false">ROUND(ABS(淡江大學_p2!F50),0)</f>
        <v>43610</v>
      </c>
      <c r="G41" s="2" t="n">
        <f aca="false">ROUND(ABS(淡江大學_p2!G50),0)</f>
        <v>43610</v>
      </c>
      <c r="H41" s="2" t="n">
        <f aca="false">ROUND(ABS(淡江大學_p2!H50),0)</f>
        <v>43610</v>
      </c>
      <c r="I41" s="2" t="n">
        <f aca="false">ROUND(ABS(淡江大學_p2!I50),0)</f>
        <v>43610</v>
      </c>
      <c r="J41" s="2" t="n">
        <f aca="false">ROUND(ABS(淡江大學_p2!J50),0)</f>
        <v>43610</v>
      </c>
      <c r="K41" s="2" t="n">
        <f aca="false">ROUND(ABS(淡江大學_p2!K50),0)</f>
        <v>43610</v>
      </c>
      <c r="L41" s="2" t="n">
        <f aca="false">ROUND(ABS(淡江大學_p2!L50),0)</f>
        <v>43610</v>
      </c>
      <c r="M41" s="2" t="n">
        <f aca="false">ROUND(ABS(淡江大學_p2!M50),0)</f>
        <v>43610</v>
      </c>
      <c r="N41" s="2" t="n">
        <f aca="false">ROUND(ABS(淡江大學_p2!N50),0)</f>
        <v>0</v>
      </c>
      <c r="O41" s="2" t="n">
        <f aca="false">ROUND(ABS(淡江大學_p2!O50),0)</f>
        <v>0</v>
      </c>
      <c r="P41" s="2" t="n">
        <f aca="false">ROUND(ABS(淡江大學_p2!P50),0)</f>
        <v>0</v>
      </c>
      <c r="Q41" s="2" t="n">
        <f aca="false">ROUND(ABS(淡江大學_p2!Q50),0)</f>
        <v>0</v>
      </c>
      <c r="R41" s="2" t="n">
        <f aca="false">ROUND(ABS(淡江大學_p2!R50),0)</f>
        <v>0</v>
      </c>
      <c r="S41" s="2" t="n">
        <f aca="false">ROUND(ABS(淡江大學_p2!S50),0)</f>
        <v>0</v>
      </c>
      <c r="T41" s="2" t="n">
        <f aca="false">ROUND(ABS(淡江大學_p2!T50),0)</f>
        <v>0</v>
      </c>
      <c r="U41" s="2" t="n">
        <f aca="false">ROUND(ABS(淡江大學_p2!U50),0)</f>
        <v>0</v>
      </c>
      <c r="V41" s="2" t="n">
        <f aca="false">ROUND(ABS(淡江大學_p2!V50),0)</f>
        <v>0</v>
      </c>
      <c r="W41" s="2" t="n">
        <f aca="false">ROUND(ABS(淡江大學_p2!W50),0)</f>
        <v>0</v>
      </c>
    </row>
    <row r="42" customFormat="false" ht="15" hidden="false" customHeight="false" outlineLevel="0" collapsed="false">
      <c r="B42" s="0" t="s">
        <v>2</v>
      </c>
      <c r="D42" s="2" t="n">
        <f aca="false">ROUND(ABS(淡江大學_p5!D50),0)</f>
        <v>43610</v>
      </c>
      <c r="E42" s="2" t="n">
        <f aca="false">ROUND(ABS(淡江大學_p5!E50),0)</f>
        <v>43610</v>
      </c>
      <c r="F42" s="2" t="n">
        <f aca="false">ROUND(ABS(淡江大學_p5!F50),0)</f>
        <v>43610</v>
      </c>
      <c r="G42" s="2" t="n">
        <f aca="false">ROUND(ABS(淡江大學_p5!G50),0)</f>
        <v>43610</v>
      </c>
      <c r="H42" s="2" t="n">
        <f aca="false">ROUND(ABS(淡江大學_p5!H50),0)</f>
        <v>43610</v>
      </c>
      <c r="I42" s="2" t="n">
        <f aca="false">ROUND(ABS(淡江大學_p5!I50),0)</f>
        <v>43610</v>
      </c>
      <c r="J42" s="2" t="n">
        <f aca="false">ROUND(ABS(淡江大學_p5!J50),0)</f>
        <v>43610</v>
      </c>
      <c r="K42" s="2" t="n">
        <f aca="false">ROUND(ABS(淡江大學_p5!K50),0)</f>
        <v>43610</v>
      </c>
      <c r="L42" s="2" t="n">
        <f aca="false">ROUND(ABS(淡江大學_p5!L50),0)</f>
        <v>43610</v>
      </c>
      <c r="M42" s="2" t="n">
        <f aca="false">ROUND(ABS(淡江大學_p5!M50),0)</f>
        <v>43610</v>
      </c>
      <c r="N42" s="2" t="n">
        <f aca="false">ROUND(ABS(淡江大學_p5!N50),0)</f>
        <v>0</v>
      </c>
      <c r="O42" s="2" t="n">
        <f aca="false">ROUND(ABS(淡江大學_p5!O50),0)</f>
        <v>0</v>
      </c>
      <c r="P42" s="2" t="n">
        <f aca="false">ROUND(ABS(淡江大學_p5!P50),0)</f>
        <v>0</v>
      </c>
      <c r="Q42" s="2" t="n">
        <f aca="false">ROUND(ABS(淡江大學_p5!Q50),0)</f>
        <v>0</v>
      </c>
      <c r="R42" s="2" t="n">
        <f aca="false">ROUND(ABS(淡江大學_p5!R50),0)</f>
        <v>0</v>
      </c>
      <c r="S42" s="2" t="n">
        <f aca="false">ROUND(ABS(淡江大學_p5!S50),0)</f>
        <v>0</v>
      </c>
      <c r="T42" s="2" t="n">
        <f aca="false">ROUND(ABS(淡江大學_p5!T50),0)</f>
        <v>0</v>
      </c>
      <c r="U42" s="2" t="n">
        <f aca="false">ROUND(ABS(淡江大學_p5!U50),0)</f>
        <v>0</v>
      </c>
      <c r="V42" s="2" t="n">
        <f aca="false">ROUND(ABS(淡江大學_p5!V50),0)</f>
        <v>0</v>
      </c>
      <c r="W42" s="2" t="n">
        <f aca="false">ROUND(ABS(淡江大學_p5!W50),0)</f>
        <v>0</v>
      </c>
    </row>
    <row r="43" customFormat="false" ht="15" hidden="false" customHeight="false" outlineLevel="0" collapsed="false">
      <c r="B43" s="0" t="s">
        <v>2</v>
      </c>
      <c r="D43" s="2" t="n">
        <f aca="false">ROUND(ABS(淡江大學_p3!D50),0)</f>
        <v>43610</v>
      </c>
      <c r="E43" s="2" t="n">
        <f aca="false">ROUND(ABS(淡江大學_p3!E50),0)</f>
        <v>43610</v>
      </c>
      <c r="F43" s="2" t="n">
        <f aca="false">ROUND(ABS(淡江大學_p3!F50),0)</f>
        <v>43610</v>
      </c>
      <c r="G43" s="2" t="n">
        <f aca="false">ROUND(ABS(淡江大學_p3!G50),0)</f>
        <v>43610</v>
      </c>
      <c r="H43" s="2" t="n">
        <f aca="false">ROUND(ABS(淡江大學_p3!H50),0)</f>
        <v>43610</v>
      </c>
      <c r="I43" s="2" t="n">
        <f aca="false">ROUND(ABS(淡江大學_p3!I50),0)</f>
        <v>43610</v>
      </c>
      <c r="J43" s="2" t="n">
        <f aca="false">ROUND(ABS(淡江大學_p3!J50),0)</f>
        <v>43610</v>
      </c>
      <c r="K43" s="2" t="n">
        <f aca="false">ROUND(ABS(淡江大學_p3!K50),0)</f>
        <v>43610</v>
      </c>
      <c r="L43" s="2" t="n">
        <f aca="false">ROUND(ABS(淡江大學_p3!L50),0)</f>
        <v>43610</v>
      </c>
      <c r="M43" s="2" t="n">
        <f aca="false">ROUND(ABS(淡江大學_p3!M50),0)</f>
        <v>43610</v>
      </c>
      <c r="N43" s="2" t="n">
        <f aca="false">ROUND(ABS(淡江大學_p3!N50),0)</f>
        <v>0</v>
      </c>
      <c r="O43" s="2" t="n">
        <f aca="false">ROUND(ABS(淡江大學_p3!O50),0)</f>
        <v>0</v>
      </c>
      <c r="P43" s="2" t="n">
        <f aca="false">ROUND(ABS(淡江大學_p3!P50),0)</f>
        <v>0</v>
      </c>
      <c r="Q43" s="2" t="n">
        <f aca="false">ROUND(ABS(淡江大學_p3!Q50),0)</f>
        <v>0</v>
      </c>
      <c r="R43" s="2" t="n">
        <f aca="false">ROUND(ABS(淡江大學_p3!R50),0)</f>
        <v>0</v>
      </c>
      <c r="S43" s="2" t="n">
        <f aca="false">ROUND(ABS(淡江大學_p3!S50),0)</f>
        <v>0</v>
      </c>
      <c r="T43" s="2" t="n">
        <f aca="false">ROUND(ABS(淡江大學_p3!T50),0)</f>
        <v>0</v>
      </c>
      <c r="U43" s="2" t="n">
        <f aca="false">ROUND(ABS(淡江大學_p3!U50),0)</f>
        <v>0</v>
      </c>
      <c r="V43" s="2" t="n">
        <f aca="false">ROUND(ABS(淡江大學_p3!V50),0)</f>
        <v>0</v>
      </c>
      <c r="W43" s="2" t="n">
        <f aca="false">ROUND(ABS(淡江大學_p3!W50),0)</f>
        <v>0</v>
      </c>
    </row>
    <row r="44" customFormat="false" ht="15" hidden="false" customHeight="false" outlineLevel="0" collapsed="false">
      <c r="B44" s="0" t="s">
        <v>2</v>
      </c>
      <c r="D44" s="2" t="n">
        <f aca="false">ROUND(ABS(淡江大學_p4!D50),0)</f>
        <v>43610</v>
      </c>
      <c r="E44" s="2" t="n">
        <f aca="false">ROUND(ABS(淡江大學_p4!E50),0)</f>
        <v>43610</v>
      </c>
      <c r="F44" s="2" t="n">
        <f aca="false">ROUND(ABS(淡江大學_p4!F50),0)</f>
        <v>43610</v>
      </c>
      <c r="G44" s="2" t="n">
        <f aca="false">ROUND(ABS(淡江大學_p4!G50),0)</f>
        <v>43610</v>
      </c>
      <c r="H44" s="2" t="n">
        <f aca="false">ROUND(ABS(淡江大學_p4!H50),0)</f>
        <v>43610</v>
      </c>
      <c r="I44" s="2" t="n">
        <f aca="false">ROUND(ABS(淡江大學_p4!I50),0)</f>
        <v>43610</v>
      </c>
      <c r="J44" s="2" t="n">
        <f aca="false">ROUND(ABS(淡江大學_p4!J50),0)</f>
        <v>43610</v>
      </c>
      <c r="K44" s="2" t="n">
        <f aca="false">ROUND(ABS(淡江大學_p4!K50),0)</f>
        <v>43610</v>
      </c>
      <c r="L44" s="2" t="n">
        <f aca="false">ROUND(ABS(淡江大學_p4!L50),0)</f>
        <v>43610</v>
      </c>
      <c r="M44" s="2" t="n">
        <f aca="false">ROUND(ABS(淡江大學_p4!M50),0)</f>
        <v>43610</v>
      </c>
      <c r="N44" s="2" t="n">
        <f aca="false">ROUND(ABS(淡江大學_p4!N50),0)</f>
        <v>0</v>
      </c>
      <c r="O44" s="2" t="n">
        <f aca="false">ROUND(ABS(淡江大學_p4!O50),0)</f>
        <v>0</v>
      </c>
      <c r="P44" s="2" t="n">
        <f aca="false">ROUND(ABS(淡江大學_p4!P50),0)</f>
        <v>0</v>
      </c>
      <c r="Q44" s="2" t="n">
        <f aca="false">ROUND(ABS(淡江大學_p4!Q50),0)</f>
        <v>0</v>
      </c>
      <c r="R44" s="2" t="n">
        <f aca="false">ROUND(ABS(淡江大學_p4!R50),0)</f>
        <v>0</v>
      </c>
      <c r="S44" s="2" t="n">
        <f aca="false">ROUND(ABS(淡江大學_p4!S50),0)</f>
        <v>0</v>
      </c>
      <c r="T44" s="2" t="n">
        <f aca="false">ROUND(ABS(淡江大學_p4!T50),0)</f>
        <v>0</v>
      </c>
      <c r="U44" s="2" t="n">
        <f aca="false">ROUND(ABS(淡江大學_p4!U50),0)</f>
        <v>0</v>
      </c>
      <c r="V44" s="2" t="n">
        <f aca="false">ROUND(ABS(淡江大學_p4!V50),0)</f>
        <v>0</v>
      </c>
      <c r="W44" s="2" t="n">
        <f aca="false">ROUND(ABS(淡江大學_p4!W50),0)</f>
        <v>0</v>
      </c>
    </row>
    <row r="45" customFormat="false" ht="15" hidden="false" customHeight="false" outlineLevel="0" collapsed="false">
      <c r="C45" s="5" t="s">
        <v>13</v>
      </c>
      <c r="D45" s="6" t="n">
        <f aca="false">SUM(D41:D44)</f>
        <v>174440</v>
      </c>
      <c r="E45" s="6" t="n">
        <f aca="false">SUM(E41:E44)</f>
        <v>174440</v>
      </c>
      <c r="F45" s="6" t="n">
        <f aca="false">SUM(F41:F44)</f>
        <v>174440</v>
      </c>
      <c r="G45" s="6" t="n">
        <f aca="false">SUM(G41:G44)</f>
        <v>174440</v>
      </c>
      <c r="H45" s="6" t="n">
        <f aca="false">SUM(H41:H44)</f>
        <v>174440</v>
      </c>
      <c r="I45" s="6" t="n">
        <f aca="false">SUM(I41:I44)</f>
        <v>174440</v>
      </c>
      <c r="J45" s="6" t="n">
        <f aca="false">SUM(J41:J44)</f>
        <v>174440</v>
      </c>
      <c r="K45" s="6" t="n">
        <f aca="false">SUM(K41:K44)</f>
        <v>174440</v>
      </c>
      <c r="L45" s="6" t="n">
        <f aca="false">SUM(L41:L44)</f>
        <v>174440</v>
      </c>
      <c r="M45" s="6" t="n">
        <f aca="false">SUM(M41:M44)</f>
        <v>174440</v>
      </c>
      <c r="N45" s="6" t="n">
        <f aca="false">SUM(N41:N44)</f>
        <v>0</v>
      </c>
      <c r="O45" s="6" t="n">
        <f aca="false">SUM(O41:O44)</f>
        <v>0</v>
      </c>
      <c r="P45" s="6" t="n">
        <f aca="false">SUM(P41:P44)</f>
        <v>0</v>
      </c>
      <c r="Q45" s="6" t="n">
        <f aca="false">SUM(Q41:Q44)</f>
        <v>0</v>
      </c>
      <c r="R45" s="6" t="n">
        <f aca="false">SUM(R41:R44)</f>
        <v>0</v>
      </c>
      <c r="S45" s="6" t="n">
        <f aca="false">SUM(S41:S44)</f>
        <v>0</v>
      </c>
      <c r="T45" s="6" t="n">
        <f aca="false">SUM(T41:T44)</f>
        <v>0</v>
      </c>
      <c r="U45" s="6" t="n">
        <f aca="false">SUM(U41:U44)</f>
        <v>0</v>
      </c>
      <c r="V45" s="6" t="n">
        <f aca="false">SUM(V41:V44)</f>
        <v>0</v>
      </c>
      <c r="W45" s="6" t="n">
        <f aca="false">SUM(W41:W44)</f>
        <v>0</v>
      </c>
    </row>
    <row r="46" customFormat="false" ht="15" hidden="false" customHeight="false" outlineLevel="0" collapsed="false">
      <c r="C46" s="1" t="s">
        <v>0</v>
      </c>
      <c r="D46" s="1" t="n">
        <v>2020</v>
      </c>
      <c r="E46" s="1" t="n">
        <v>2021</v>
      </c>
      <c r="F46" s="1" t="n">
        <v>2022</v>
      </c>
      <c r="G46" s="1" t="n">
        <v>2023</v>
      </c>
      <c r="H46" s="1" t="n">
        <v>2024</v>
      </c>
      <c r="I46" s="1" t="n">
        <v>2025</v>
      </c>
      <c r="J46" s="1" t="n">
        <v>2026</v>
      </c>
      <c r="K46" s="1" t="n">
        <v>2027</v>
      </c>
      <c r="L46" s="1" t="n">
        <v>2028</v>
      </c>
      <c r="M46" s="1" t="n">
        <v>2029</v>
      </c>
      <c r="N46" s="1" t="n">
        <v>2030</v>
      </c>
      <c r="O46" s="1" t="n">
        <v>2031</v>
      </c>
      <c r="P46" s="1" t="n">
        <v>2032</v>
      </c>
      <c r="Q46" s="1" t="n">
        <v>2033</v>
      </c>
      <c r="R46" s="1" t="n">
        <v>2034</v>
      </c>
      <c r="S46" s="1" t="n">
        <v>2035</v>
      </c>
      <c r="T46" s="1" t="n">
        <v>2036</v>
      </c>
      <c r="U46" s="1" t="n">
        <v>2037</v>
      </c>
      <c r="V46" s="1" t="n">
        <v>2038</v>
      </c>
      <c r="W46" s="1" t="n">
        <v>2039</v>
      </c>
    </row>
    <row r="47" customFormat="false" ht="15" hidden="false" customHeight="false" outlineLevel="0" collapsed="false">
      <c r="C47" s="0" t="s">
        <v>14</v>
      </c>
    </row>
    <row r="48" customFormat="false" ht="15" hidden="false" customHeight="false" outlineLevel="0" collapsed="false">
      <c r="B48" s="0" t="s">
        <v>2</v>
      </c>
      <c r="D48" s="2" t="n">
        <f aca="false">ROUND(ABS(淡江大學_p2!D54),0)</f>
        <v>166669</v>
      </c>
      <c r="E48" s="2" t="n">
        <f aca="false">ROUND(ABS(淡江大學_p2!E54),0)</f>
        <v>106878</v>
      </c>
      <c r="F48" s="2" t="n">
        <f aca="false">ROUND(ABS(淡江大學_p2!F54),0)</f>
        <v>105128</v>
      </c>
      <c r="G48" s="2" t="n">
        <f aca="false">ROUND(ABS(淡江大學_p2!G54),0)</f>
        <v>103377</v>
      </c>
      <c r="H48" s="2" t="n">
        <f aca="false">ROUND(ABS(淡江大學_p2!H54),0)</f>
        <v>101627</v>
      </c>
      <c r="I48" s="2" t="n">
        <f aca="false">ROUND(ABS(淡江大學_p2!I54),0)</f>
        <v>99877</v>
      </c>
      <c r="J48" s="2" t="n">
        <f aca="false">ROUND(ABS(淡江大學_p2!J54),0)</f>
        <v>98126</v>
      </c>
      <c r="K48" s="2" t="n">
        <f aca="false">ROUND(ABS(淡江大學_p2!K54),0)</f>
        <v>96376</v>
      </c>
      <c r="L48" s="2" t="n">
        <f aca="false">ROUND(ABS(淡江大學_p2!L54),0)</f>
        <v>94625</v>
      </c>
      <c r="M48" s="2" t="n">
        <f aca="false">ROUND(ABS(淡江大學_p2!M54),0)</f>
        <v>92875</v>
      </c>
      <c r="N48" s="2" t="n">
        <f aca="false">ROUND(ABS(淡江大學_p2!N54),0)</f>
        <v>99847</v>
      </c>
      <c r="O48" s="2" t="n">
        <f aca="false">ROUND(ABS(淡江大學_p2!O54),0)</f>
        <v>98096</v>
      </c>
      <c r="P48" s="2" t="n">
        <f aca="false">ROUND(ABS(淡江大學_p2!P54),0)</f>
        <v>96346</v>
      </c>
      <c r="Q48" s="2" t="n">
        <f aca="false">ROUND(ABS(淡江大學_p2!Q54),0)</f>
        <v>94595</v>
      </c>
      <c r="R48" s="2" t="n">
        <f aca="false">ROUND(ABS(淡江大學_p2!R54),0)</f>
        <v>92845</v>
      </c>
      <c r="S48" s="2" t="n">
        <f aca="false">ROUND(ABS(淡江大學_p2!S54),0)</f>
        <v>91095</v>
      </c>
      <c r="T48" s="2" t="n">
        <f aca="false">ROUND(ABS(淡江大學_p2!T54),0)</f>
        <v>89344</v>
      </c>
      <c r="U48" s="2" t="n">
        <f aca="false">ROUND(ABS(淡江大學_p2!U54),0)</f>
        <v>87594</v>
      </c>
      <c r="V48" s="2" t="n">
        <f aca="false">ROUND(ABS(淡江大學_p2!V54),0)</f>
        <v>85843</v>
      </c>
      <c r="W48" s="2" t="n">
        <f aca="false">ROUND(ABS(淡江大學_p2!W54),0)</f>
        <v>84093</v>
      </c>
    </row>
    <row r="49" customFormat="false" ht="15" hidden="false" customHeight="false" outlineLevel="0" collapsed="false">
      <c r="B49" s="0" t="s">
        <v>2</v>
      </c>
      <c r="D49" s="2" t="n">
        <f aca="false">ROUND(ABS(淡江大學_p5!D54),0)</f>
        <v>205619</v>
      </c>
      <c r="E49" s="2" t="n">
        <f aca="false">ROUND(ABS(淡江大學_p5!E54),0)</f>
        <v>145828</v>
      </c>
      <c r="F49" s="2" t="n">
        <f aca="false">ROUND(ABS(淡江大學_p5!F54),0)</f>
        <v>144078</v>
      </c>
      <c r="G49" s="2" t="n">
        <f aca="false">ROUND(ABS(淡江大學_p5!G54),0)</f>
        <v>142327</v>
      </c>
      <c r="H49" s="2" t="n">
        <f aca="false">ROUND(ABS(淡江大學_p5!H54),0)</f>
        <v>140577</v>
      </c>
      <c r="I49" s="2" t="n">
        <f aca="false">ROUND(ABS(淡江大學_p5!I54),0)</f>
        <v>138827</v>
      </c>
      <c r="J49" s="2" t="n">
        <f aca="false">ROUND(ABS(淡江大學_p5!J54),0)</f>
        <v>137076</v>
      </c>
      <c r="K49" s="2" t="n">
        <f aca="false">ROUND(ABS(淡江大學_p5!K54),0)</f>
        <v>135326</v>
      </c>
      <c r="L49" s="2" t="n">
        <f aca="false">ROUND(ABS(淡江大學_p5!L54),0)</f>
        <v>133575</v>
      </c>
      <c r="M49" s="2" t="n">
        <f aca="false">ROUND(ABS(淡江大學_p5!M54),0)</f>
        <v>131825</v>
      </c>
      <c r="N49" s="2" t="n">
        <f aca="false">ROUND(ABS(淡江大學_p5!N54),0)</f>
        <v>138797</v>
      </c>
      <c r="O49" s="2" t="n">
        <f aca="false">ROUND(ABS(淡江大學_p5!O54),0)</f>
        <v>137046</v>
      </c>
      <c r="P49" s="2" t="n">
        <f aca="false">ROUND(ABS(淡江大學_p5!P54),0)</f>
        <v>135296</v>
      </c>
      <c r="Q49" s="2" t="n">
        <f aca="false">ROUND(ABS(淡江大學_p5!Q54),0)</f>
        <v>133545</v>
      </c>
      <c r="R49" s="2" t="n">
        <f aca="false">ROUND(ABS(淡江大學_p5!R54),0)</f>
        <v>131795</v>
      </c>
      <c r="S49" s="2" t="n">
        <f aca="false">ROUND(ABS(淡江大學_p5!S54),0)</f>
        <v>130044</v>
      </c>
      <c r="T49" s="2" t="n">
        <f aca="false">ROUND(ABS(淡江大學_p5!T54),0)</f>
        <v>128294</v>
      </c>
      <c r="U49" s="2" t="n">
        <f aca="false">ROUND(ABS(淡江大學_p5!U54),0)</f>
        <v>126544</v>
      </c>
      <c r="V49" s="2" t="n">
        <f aca="false">ROUND(ABS(淡江大學_p5!V54),0)</f>
        <v>124793</v>
      </c>
      <c r="W49" s="2" t="n">
        <f aca="false">ROUND(ABS(淡江大學_p5!W54),0)</f>
        <v>123043</v>
      </c>
    </row>
    <row r="50" customFormat="false" ht="15" hidden="false" customHeight="false" outlineLevel="0" collapsed="false">
      <c r="B50" s="0" t="s">
        <v>2</v>
      </c>
      <c r="D50" s="2" t="n">
        <f aca="false">ROUND(ABS(淡江大學_p3!D54),0)</f>
        <v>179652</v>
      </c>
      <c r="E50" s="2" t="n">
        <f aca="false">ROUND(ABS(淡江大學_p3!E54),0)</f>
        <v>119862</v>
      </c>
      <c r="F50" s="2" t="n">
        <f aca="false">ROUND(ABS(淡江大學_p3!F54),0)</f>
        <v>118111</v>
      </c>
      <c r="G50" s="2" t="n">
        <f aca="false">ROUND(ABS(淡江大學_p3!G54),0)</f>
        <v>116361</v>
      </c>
      <c r="H50" s="2" t="n">
        <f aca="false">ROUND(ABS(淡江大學_p3!H54),0)</f>
        <v>114610</v>
      </c>
      <c r="I50" s="2" t="n">
        <f aca="false">ROUND(ABS(淡江大學_p3!I54),0)</f>
        <v>112860</v>
      </c>
      <c r="J50" s="2" t="n">
        <f aca="false">ROUND(ABS(淡江大學_p3!J54),0)</f>
        <v>111109</v>
      </c>
      <c r="K50" s="2" t="n">
        <f aca="false">ROUND(ABS(淡江大學_p3!K54),0)</f>
        <v>109359</v>
      </c>
      <c r="L50" s="2" t="n">
        <f aca="false">ROUND(ABS(淡江大學_p3!L54),0)</f>
        <v>107609</v>
      </c>
      <c r="M50" s="2" t="n">
        <f aca="false">ROUND(ABS(淡江大學_p3!M54),0)</f>
        <v>105858</v>
      </c>
      <c r="N50" s="2" t="n">
        <f aca="false">ROUND(ABS(淡江大學_p3!N54),0)</f>
        <v>112830</v>
      </c>
      <c r="O50" s="2" t="n">
        <f aca="false">ROUND(ABS(淡江大學_p3!O54),0)</f>
        <v>111079</v>
      </c>
      <c r="P50" s="2" t="n">
        <f aca="false">ROUND(ABS(淡江大學_p3!P54),0)</f>
        <v>109329</v>
      </c>
      <c r="Q50" s="2" t="n">
        <f aca="false">ROUND(ABS(淡江大學_p3!Q54),0)</f>
        <v>107579</v>
      </c>
      <c r="R50" s="2" t="n">
        <f aca="false">ROUND(ABS(淡江大學_p3!R54),0)</f>
        <v>105828</v>
      </c>
      <c r="S50" s="2" t="n">
        <f aca="false">ROUND(ABS(淡江大學_p3!S54),0)</f>
        <v>104078</v>
      </c>
      <c r="T50" s="2" t="n">
        <f aca="false">ROUND(ABS(淡江大學_p3!T54),0)</f>
        <v>102327</v>
      </c>
      <c r="U50" s="2" t="n">
        <f aca="false">ROUND(ABS(淡江大學_p3!U54),0)</f>
        <v>100577</v>
      </c>
      <c r="V50" s="2" t="n">
        <f aca="false">ROUND(ABS(淡江大學_p3!V54),0)</f>
        <v>98827</v>
      </c>
      <c r="W50" s="2" t="n">
        <f aca="false">ROUND(ABS(淡江大學_p3!W54),0)</f>
        <v>97076</v>
      </c>
    </row>
    <row r="51" customFormat="false" ht="15" hidden="false" customHeight="false" outlineLevel="0" collapsed="false">
      <c r="B51" s="0" t="s">
        <v>2</v>
      </c>
      <c r="D51" s="2" t="n">
        <f aca="false">ROUND(ABS(淡江大學_p4!D54),0)</f>
        <v>192635</v>
      </c>
      <c r="E51" s="2" t="n">
        <f aca="false">ROUND(ABS(淡江大學_p4!E54),0)</f>
        <v>132845</v>
      </c>
      <c r="F51" s="2" t="n">
        <f aca="false">ROUND(ABS(淡江大學_p4!F54),0)</f>
        <v>131094</v>
      </c>
      <c r="G51" s="2" t="n">
        <f aca="false">ROUND(ABS(淡江大學_p4!G54),0)</f>
        <v>129344</v>
      </c>
      <c r="H51" s="2" t="n">
        <f aca="false">ROUND(ABS(淡江大學_p4!H54),0)</f>
        <v>127594</v>
      </c>
      <c r="I51" s="2" t="n">
        <f aca="false">ROUND(ABS(淡江大學_p4!I54),0)</f>
        <v>125843</v>
      </c>
      <c r="J51" s="2" t="n">
        <f aca="false">ROUND(ABS(淡江大學_p4!J54),0)</f>
        <v>124093</v>
      </c>
      <c r="K51" s="2" t="n">
        <f aca="false">ROUND(ABS(淡江大學_p4!K54),0)</f>
        <v>122342</v>
      </c>
      <c r="L51" s="2" t="n">
        <f aca="false">ROUND(ABS(淡江大學_p4!L54),0)</f>
        <v>120592</v>
      </c>
      <c r="M51" s="2" t="n">
        <f aca="false">ROUND(ABS(淡江大學_p4!M54),0)</f>
        <v>118842</v>
      </c>
      <c r="N51" s="2" t="n">
        <f aca="false">ROUND(ABS(淡江大學_p4!N54),0)</f>
        <v>125813</v>
      </c>
      <c r="O51" s="2" t="n">
        <f aca="false">ROUND(ABS(淡江大學_p4!O54),0)</f>
        <v>124063</v>
      </c>
      <c r="P51" s="2" t="n">
        <f aca="false">ROUND(ABS(淡江大學_p4!P54),0)</f>
        <v>122312</v>
      </c>
      <c r="Q51" s="2" t="n">
        <f aca="false">ROUND(ABS(淡江大學_p4!Q54),0)</f>
        <v>120562</v>
      </c>
      <c r="R51" s="2" t="n">
        <f aca="false">ROUND(ABS(淡江大學_p4!R54),0)</f>
        <v>118812</v>
      </c>
      <c r="S51" s="2" t="n">
        <f aca="false">ROUND(ABS(淡江大學_p4!S54),0)</f>
        <v>117061</v>
      </c>
      <c r="T51" s="2" t="n">
        <f aca="false">ROUND(ABS(淡江大學_p4!T54),0)</f>
        <v>115311</v>
      </c>
      <c r="U51" s="2" t="n">
        <f aca="false">ROUND(ABS(淡江大學_p4!U54),0)</f>
        <v>113560</v>
      </c>
      <c r="V51" s="2" t="n">
        <f aca="false">ROUND(ABS(淡江大學_p4!V54),0)</f>
        <v>111810</v>
      </c>
      <c r="W51" s="2" t="n">
        <f aca="false">ROUND(ABS(淡江大學_p4!W54),0)</f>
        <v>110060</v>
      </c>
    </row>
    <row r="52" customFormat="false" ht="15" hidden="false" customHeight="false" outlineLevel="0" collapsed="false">
      <c r="C52" s="3" t="s">
        <v>15</v>
      </c>
      <c r="D52" s="4" t="n">
        <f aca="false">SUM(D48:D51)</f>
        <v>744575</v>
      </c>
      <c r="E52" s="4" t="n">
        <f aca="false">SUM(E48:E51)</f>
        <v>505413</v>
      </c>
      <c r="F52" s="4" t="n">
        <f aca="false">SUM(F48:F51)</f>
        <v>498411</v>
      </c>
      <c r="G52" s="4" t="n">
        <f aca="false">SUM(G48:G51)</f>
        <v>491409</v>
      </c>
      <c r="H52" s="4" t="n">
        <f aca="false">SUM(H48:H51)</f>
        <v>484408</v>
      </c>
      <c r="I52" s="4" t="n">
        <f aca="false">SUM(I48:I51)</f>
        <v>477407</v>
      </c>
      <c r="J52" s="4" t="n">
        <f aca="false">SUM(J48:J51)</f>
        <v>470404</v>
      </c>
      <c r="K52" s="4" t="n">
        <f aca="false">SUM(K48:K51)</f>
        <v>463403</v>
      </c>
      <c r="L52" s="4" t="n">
        <f aca="false">SUM(L48:L51)</f>
        <v>456401</v>
      </c>
      <c r="M52" s="4" t="n">
        <f aca="false">SUM(M48:M51)</f>
        <v>449400</v>
      </c>
      <c r="N52" s="4" t="n">
        <f aca="false">SUM(N48:N51)</f>
        <v>477287</v>
      </c>
      <c r="O52" s="4" t="n">
        <f aca="false">SUM(O48:O51)</f>
        <v>470284</v>
      </c>
      <c r="P52" s="4" t="n">
        <f aca="false">SUM(P48:P51)</f>
        <v>463283</v>
      </c>
      <c r="Q52" s="4" t="n">
        <f aca="false">SUM(Q48:Q51)</f>
        <v>456281</v>
      </c>
      <c r="R52" s="4" t="n">
        <f aca="false">SUM(R48:R51)</f>
        <v>449280</v>
      </c>
      <c r="S52" s="4" t="n">
        <f aca="false">SUM(S48:S51)</f>
        <v>442278</v>
      </c>
      <c r="T52" s="4" t="n">
        <f aca="false">SUM(T48:T51)</f>
        <v>435276</v>
      </c>
      <c r="U52" s="4" t="n">
        <f aca="false">SUM(U48:U51)</f>
        <v>428275</v>
      </c>
      <c r="V52" s="4" t="n">
        <f aca="false">SUM(V48:V51)</f>
        <v>421273</v>
      </c>
      <c r="W52" s="4" t="n">
        <f aca="false">SUM(W48:W51)</f>
        <v>414272</v>
      </c>
    </row>
    <row r="53" customFormat="false" ht="15" hidden="false" customHeight="false" outlineLevel="0" collapsed="false">
      <c r="C53" s="1" t="s">
        <v>0</v>
      </c>
      <c r="D53" s="1" t="n">
        <v>2020</v>
      </c>
      <c r="E53" s="1" t="n">
        <v>2021</v>
      </c>
      <c r="F53" s="1" t="n">
        <v>2022</v>
      </c>
      <c r="G53" s="1" t="n">
        <v>2023</v>
      </c>
      <c r="H53" s="1" t="n">
        <v>2024</v>
      </c>
      <c r="I53" s="1" t="n">
        <v>2025</v>
      </c>
      <c r="J53" s="1" t="n">
        <v>2026</v>
      </c>
      <c r="K53" s="1" t="n">
        <v>2027</v>
      </c>
      <c r="L53" s="1" t="n">
        <v>2028</v>
      </c>
      <c r="M53" s="1" t="n">
        <v>2029</v>
      </c>
      <c r="N53" s="1" t="n">
        <v>2030</v>
      </c>
      <c r="O53" s="1" t="n">
        <v>2031</v>
      </c>
      <c r="P53" s="1" t="n">
        <v>2032</v>
      </c>
      <c r="Q53" s="1" t="n">
        <v>2033</v>
      </c>
      <c r="R53" s="1" t="n">
        <v>2034</v>
      </c>
      <c r="S53" s="1" t="n">
        <v>2035</v>
      </c>
      <c r="T53" s="1" t="n">
        <v>2036</v>
      </c>
      <c r="U53" s="1" t="n">
        <v>2037</v>
      </c>
      <c r="V53" s="1" t="n">
        <v>2038</v>
      </c>
      <c r="W53" s="1" t="n">
        <v>2039</v>
      </c>
    </row>
    <row r="54" customFormat="false" ht="15" hidden="false" customHeight="false" outlineLevel="0" collapsed="false">
      <c r="C54" s="0" t="s">
        <v>16</v>
      </c>
    </row>
    <row r="55" customFormat="false" ht="15" hidden="false" customHeight="false" outlineLevel="0" collapsed="false">
      <c r="B55" s="0" t="s">
        <v>2</v>
      </c>
      <c r="D55" s="2" t="n">
        <f aca="false">ROUND(ABS(淡江大學_p2!D67),0)</f>
        <v>1071560</v>
      </c>
      <c r="E55" s="2" t="n">
        <f aca="false">ROUND(ABS(淡江大學_p2!E67),0)</f>
        <v>1071560</v>
      </c>
      <c r="F55" s="2" t="n">
        <f aca="false">ROUND(ABS(淡江大學_p2!F67),0)</f>
        <v>1071560</v>
      </c>
      <c r="G55" s="2" t="n">
        <f aca="false">ROUND(ABS(淡江大學_p2!G67),0)</f>
        <v>1071560</v>
      </c>
      <c r="H55" s="2" t="n">
        <f aca="false">ROUND(ABS(淡江大學_p2!H67),0)</f>
        <v>1071560</v>
      </c>
      <c r="I55" s="2" t="n">
        <f aca="false">ROUND(ABS(淡江大學_p2!I67),0)</f>
        <v>1071560</v>
      </c>
      <c r="J55" s="2" t="n">
        <f aca="false">ROUND(ABS(淡江大學_p2!J67),0)</f>
        <v>1071560</v>
      </c>
      <c r="K55" s="2" t="n">
        <f aca="false">ROUND(ABS(淡江大學_p2!K67),0)</f>
        <v>1071560</v>
      </c>
      <c r="L55" s="2" t="n">
        <f aca="false">ROUND(ABS(淡江大學_p2!L67),0)</f>
        <v>1071560</v>
      </c>
      <c r="M55" s="2" t="n">
        <f aca="false">ROUND(ABS(淡江大學_p2!M67),0)</f>
        <v>1071560</v>
      </c>
      <c r="N55" s="2" t="n">
        <f aca="false">ROUND(ABS(淡江大學_p2!N67),0)</f>
        <v>1071560</v>
      </c>
      <c r="O55" s="2" t="n">
        <f aca="false">ROUND(ABS(淡江大學_p2!O67),0)</f>
        <v>1071560</v>
      </c>
      <c r="P55" s="2" t="n">
        <f aca="false">ROUND(ABS(淡江大學_p2!P67),0)</f>
        <v>1071560</v>
      </c>
      <c r="Q55" s="2" t="n">
        <f aca="false">ROUND(ABS(淡江大學_p2!Q67),0)</f>
        <v>1071560</v>
      </c>
      <c r="R55" s="2" t="n">
        <f aca="false">ROUND(ABS(淡江大學_p2!R67),0)</f>
        <v>1071560</v>
      </c>
      <c r="S55" s="2" t="n">
        <f aca="false">ROUND(ABS(淡江大學_p2!S67),0)</f>
        <v>1071560</v>
      </c>
      <c r="T55" s="2" t="n">
        <f aca="false">ROUND(ABS(淡江大學_p2!T67),0)</f>
        <v>1071560</v>
      </c>
      <c r="U55" s="2" t="n">
        <f aca="false">ROUND(ABS(淡江大學_p2!U67),0)</f>
        <v>1071560</v>
      </c>
      <c r="V55" s="2" t="n">
        <f aca="false">ROUND(ABS(淡江大學_p2!V67),0)</f>
        <v>1071560</v>
      </c>
      <c r="W55" s="2" t="n">
        <f aca="false">ROUND(ABS(淡江大學_p2!W67),0)</f>
        <v>1071560</v>
      </c>
    </row>
    <row r="56" customFormat="false" ht="15" hidden="false" customHeight="false" outlineLevel="0" collapsed="false">
      <c r="B56" s="0" t="s">
        <v>2</v>
      </c>
      <c r="D56" s="2" t="n">
        <f aca="false">ROUND(ABS(淡江大學_p5!D67),0)</f>
        <v>884660</v>
      </c>
      <c r="E56" s="2" t="n">
        <f aca="false">ROUND(ABS(淡江大學_p5!E67),0)</f>
        <v>884660</v>
      </c>
      <c r="F56" s="2" t="n">
        <f aca="false">ROUND(ABS(淡江大學_p5!F67),0)</f>
        <v>884660</v>
      </c>
      <c r="G56" s="2" t="n">
        <f aca="false">ROUND(ABS(淡江大學_p5!G67),0)</f>
        <v>884660</v>
      </c>
      <c r="H56" s="2" t="n">
        <f aca="false">ROUND(ABS(淡江大學_p5!H67),0)</f>
        <v>884660</v>
      </c>
      <c r="I56" s="2" t="n">
        <f aca="false">ROUND(ABS(淡江大學_p5!I67),0)</f>
        <v>884660</v>
      </c>
      <c r="J56" s="2" t="n">
        <f aca="false">ROUND(ABS(淡江大學_p5!J67),0)</f>
        <v>884660</v>
      </c>
      <c r="K56" s="2" t="n">
        <f aca="false">ROUND(ABS(淡江大學_p5!K67),0)</f>
        <v>884660</v>
      </c>
      <c r="L56" s="2" t="n">
        <f aca="false">ROUND(ABS(淡江大學_p5!L67),0)</f>
        <v>884660</v>
      </c>
      <c r="M56" s="2" t="n">
        <f aca="false">ROUND(ABS(淡江大學_p5!M67),0)</f>
        <v>884660</v>
      </c>
      <c r="N56" s="2" t="n">
        <f aca="false">ROUND(ABS(淡江大學_p5!N67),0)</f>
        <v>884660</v>
      </c>
      <c r="O56" s="2" t="n">
        <f aca="false">ROUND(ABS(淡江大學_p5!O67),0)</f>
        <v>884660</v>
      </c>
      <c r="P56" s="2" t="n">
        <f aca="false">ROUND(ABS(淡江大學_p5!P67),0)</f>
        <v>884660</v>
      </c>
      <c r="Q56" s="2" t="n">
        <f aca="false">ROUND(ABS(淡江大學_p5!Q67),0)</f>
        <v>884660</v>
      </c>
      <c r="R56" s="2" t="n">
        <f aca="false">ROUND(ABS(淡江大學_p5!R67),0)</f>
        <v>884660</v>
      </c>
      <c r="S56" s="2" t="n">
        <f aca="false">ROUND(ABS(淡江大學_p5!S67),0)</f>
        <v>884660</v>
      </c>
      <c r="T56" s="2" t="n">
        <f aca="false">ROUND(ABS(淡江大學_p5!T67),0)</f>
        <v>884660</v>
      </c>
      <c r="U56" s="2" t="n">
        <f aca="false">ROUND(ABS(淡江大學_p5!U67),0)</f>
        <v>884660</v>
      </c>
      <c r="V56" s="2" t="n">
        <f aca="false">ROUND(ABS(淡江大學_p5!V67),0)</f>
        <v>884660</v>
      </c>
      <c r="W56" s="2" t="n">
        <f aca="false">ROUND(ABS(淡江大學_p5!W67),0)</f>
        <v>884660</v>
      </c>
    </row>
    <row r="57" customFormat="false" ht="15" hidden="false" customHeight="false" outlineLevel="0" collapsed="false">
      <c r="B57" s="0" t="s">
        <v>2</v>
      </c>
      <c r="D57" s="2" t="n">
        <f aca="false">ROUND(ABS(淡江大學_p3!D67),0)</f>
        <v>1009260</v>
      </c>
      <c r="E57" s="2" t="n">
        <f aca="false">ROUND(ABS(淡江大學_p3!E67),0)</f>
        <v>1009260</v>
      </c>
      <c r="F57" s="2" t="n">
        <f aca="false">ROUND(ABS(淡江大學_p3!F67),0)</f>
        <v>1009260</v>
      </c>
      <c r="G57" s="2" t="n">
        <f aca="false">ROUND(ABS(淡江大學_p3!G67),0)</f>
        <v>1009260</v>
      </c>
      <c r="H57" s="2" t="n">
        <f aca="false">ROUND(ABS(淡江大學_p3!H67),0)</f>
        <v>1009260</v>
      </c>
      <c r="I57" s="2" t="n">
        <f aca="false">ROUND(ABS(淡江大學_p3!I67),0)</f>
        <v>1009260</v>
      </c>
      <c r="J57" s="2" t="n">
        <f aca="false">ROUND(ABS(淡江大學_p3!J67),0)</f>
        <v>1009260</v>
      </c>
      <c r="K57" s="2" t="n">
        <f aca="false">ROUND(ABS(淡江大學_p3!K67),0)</f>
        <v>1009260</v>
      </c>
      <c r="L57" s="2" t="n">
        <f aca="false">ROUND(ABS(淡江大學_p3!L67),0)</f>
        <v>1009260</v>
      </c>
      <c r="M57" s="2" t="n">
        <f aca="false">ROUND(ABS(淡江大學_p3!M67),0)</f>
        <v>1009260</v>
      </c>
      <c r="N57" s="2" t="n">
        <f aca="false">ROUND(ABS(淡江大學_p3!N67),0)</f>
        <v>1009260</v>
      </c>
      <c r="O57" s="2" t="n">
        <f aca="false">ROUND(ABS(淡江大學_p3!O67),0)</f>
        <v>1009260</v>
      </c>
      <c r="P57" s="2" t="n">
        <f aca="false">ROUND(ABS(淡江大學_p3!P67),0)</f>
        <v>1009260</v>
      </c>
      <c r="Q57" s="2" t="n">
        <f aca="false">ROUND(ABS(淡江大學_p3!Q67),0)</f>
        <v>1009260</v>
      </c>
      <c r="R57" s="2" t="n">
        <f aca="false">ROUND(ABS(淡江大學_p3!R67),0)</f>
        <v>1009260</v>
      </c>
      <c r="S57" s="2" t="n">
        <f aca="false">ROUND(ABS(淡江大學_p3!S67),0)</f>
        <v>1009260</v>
      </c>
      <c r="T57" s="2" t="n">
        <f aca="false">ROUND(ABS(淡江大學_p3!T67),0)</f>
        <v>1009260</v>
      </c>
      <c r="U57" s="2" t="n">
        <f aca="false">ROUND(ABS(淡江大學_p3!U67),0)</f>
        <v>1009260</v>
      </c>
      <c r="V57" s="2" t="n">
        <f aca="false">ROUND(ABS(淡江大學_p3!V67),0)</f>
        <v>1009260</v>
      </c>
      <c r="W57" s="2" t="n">
        <f aca="false">ROUND(ABS(淡江大學_p3!W67),0)</f>
        <v>1009260</v>
      </c>
    </row>
    <row r="58" customFormat="false" ht="15" hidden="false" customHeight="false" outlineLevel="0" collapsed="false">
      <c r="B58" s="0" t="s">
        <v>2</v>
      </c>
      <c r="D58" s="2" t="n">
        <f aca="false">ROUND(ABS(淡江大學_p4!D67),0)</f>
        <v>946960</v>
      </c>
      <c r="E58" s="2" t="n">
        <f aca="false">ROUND(ABS(淡江大學_p4!E67),0)</f>
        <v>946960</v>
      </c>
      <c r="F58" s="2" t="n">
        <f aca="false">ROUND(ABS(淡江大學_p4!F67),0)</f>
        <v>946960</v>
      </c>
      <c r="G58" s="2" t="n">
        <f aca="false">ROUND(ABS(淡江大學_p4!G67),0)</f>
        <v>946960</v>
      </c>
      <c r="H58" s="2" t="n">
        <f aca="false">ROUND(ABS(淡江大學_p4!H67),0)</f>
        <v>946960</v>
      </c>
      <c r="I58" s="2" t="n">
        <f aca="false">ROUND(ABS(淡江大學_p4!I67),0)</f>
        <v>946960</v>
      </c>
      <c r="J58" s="2" t="n">
        <f aca="false">ROUND(ABS(淡江大學_p4!J67),0)</f>
        <v>946960</v>
      </c>
      <c r="K58" s="2" t="n">
        <f aca="false">ROUND(ABS(淡江大學_p4!K67),0)</f>
        <v>946960</v>
      </c>
      <c r="L58" s="2" t="n">
        <f aca="false">ROUND(ABS(淡江大學_p4!L67),0)</f>
        <v>946960</v>
      </c>
      <c r="M58" s="2" t="n">
        <f aca="false">ROUND(ABS(淡江大學_p4!M67),0)</f>
        <v>946960</v>
      </c>
      <c r="N58" s="2" t="n">
        <f aca="false">ROUND(ABS(淡江大學_p4!N67),0)</f>
        <v>946960</v>
      </c>
      <c r="O58" s="2" t="n">
        <f aca="false">ROUND(ABS(淡江大學_p4!O67),0)</f>
        <v>946960</v>
      </c>
      <c r="P58" s="2" t="n">
        <f aca="false">ROUND(ABS(淡江大學_p4!P67),0)</f>
        <v>946960</v>
      </c>
      <c r="Q58" s="2" t="n">
        <f aca="false">ROUND(ABS(淡江大學_p4!Q67),0)</f>
        <v>946960</v>
      </c>
      <c r="R58" s="2" t="n">
        <f aca="false">ROUND(ABS(淡江大學_p4!R67),0)</f>
        <v>946960</v>
      </c>
      <c r="S58" s="2" t="n">
        <f aca="false">ROUND(ABS(淡江大學_p4!S67),0)</f>
        <v>946960</v>
      </c>
      <c r="T58" s="2" t="n">
        <f aca="false">ROUND(ABS(淡江大學_p4!T67),0)</f>
        <v>946960</v>
      </c>
      <c r="U58" s="2" t="n">
        <f aca="false">ROUND(ABS(淡江大學_p4!U67),0)</f>
        <v>946960</v>
      </c>
      <c r="V58" s="2" t="n">
        <f aca="false">ROUND(ABS(淡江大學_p4!V67),0)</f>
        <v>946960</v>
      </c>
      <c r="W58" s="2" t="n">
        <f aca="false">ROUND(ABS(淡江大學_p4!W67),0)</f>
        <v>946960</v>
      </c>
    </row>
    <row r="59" customFormat="false" ht="15" hidden="false" customHeight="false" outlineLevel="0" collapsed="false">
      <c r="C59" s="13" t="s">
        <v>17</v>
      </c>
      <c r="D59" s="14" t="n">
        <f aca="false">SUM(D55:D58)</f>
        <v>3912440</v>
      </c>
      <c r="E59" s="14" t="n">
        <f aca="false">SUM(E55:E58)</f>
        <v>3912440</v>
      </c>
      <c r="F59" s="14" t="n">
        <f aca="false">SUM(F55:F58)</f>
        <v>3912440</v>
      </c>
      <c r="G59" s="14" t="n">
        <f aca="false">SUM(G55:G58)</f>
        <v>3912440</v>
      </c>
      <c r="H59" s="14" t="n">
        <f aca="false">SUM(H55:H58)</f>
        <v>3912440</v>
      </c>
      <c r="I59" s="14" t="n">
        <f aca="false">SUM(I55:I58)</f>
        <v>3912440</v>
      </c>
      <c r="J59" s="14" t="n">
        <f aca="false">SUM(J55:J58)</f>
        <v>3912440</v>
      </c>
      <c r="K59" s="14" t="n">
        <f aca="false">SUM(K55:K58)</f>
        <v>3912440</v>
      </c>
      <c r="L59" s="14" t="n">
        <f aca="false">SUM(L55:L58)</f>
        <v>3912440</v>
      </c>
      <c r="M59" s="14" t="n">
        <f aca="false">SUM(M55:M58)</f>
        <v>3912440</v>
      </c>
      <c r="N59" s="14" t="n">
        <f aca="false">SUM(N55:N58)</f>
        <v>3912440</v>
      </c>
      <c r="O59" s="14" t="n">
        <f aca="false">SUM(O55:O58)</f>
        <v>3912440</v>
      </c>
      <c r="P59" s="14" t="n">
        <f aca="false">SUM(P55:P58)</f>
        <v>3912440</v>
      </c>
      <c r="Q59" s="14" t="n">
        <f aca="false">SUM(Q55:Q58)</f>
        <v>3912440</v>
      </c>
      <c r="R59" s="14" t="n">
        <f aca="false">SUM(R55:R58)</f>
        <v>3912440</v>
      </c>
      <c r="S59" s="14" t="n">
        <f aca="false">SUM(S55:S58)</f>
        <v>3912440</v>
      </c>
      <c r="T59" s="14" t="n">
        <f aca="false">SUM(T55:T58)</f>
        <v>3912440</v>
      </c>
      <c r="U59" s="14" t="n">
        <f aca="false">SUM(U55:U58)</f>
        <v>3912440</v>
      </c>
      <c r="V59" s="14" t="n">
        <f aca="false">SUM(V55:V58)</f>
        <v>3912440</v>
      </c>
      <c r="W59" s="14" t="n">
        <f aca="false">SUM(W55:W58)</f>
        <v>3912440</v>
      </c>
    </row>
    <row r="61" customFormat="false" ht="15" hidden="false" customHeight="false" outlineLevel="0" collapsed="false">
      <c r="B61" s="0" t="s">
        <v>18</v>
      </c>
      <c r="C61" s="0" t="n">
        <v>80</v>
      </c>
    </row>
    <row r="62" customFormat="false" ht="15" hidden="false" customHeight="false" outlineLevel="0" collapsed="false">
      <c r="B62" s="0" t="s">
        <v>19</v>
      </c>
      <c r="C62" s="0" t="n">
        <v>15</v>
      </c>
    </row>
    <row r="63" customFormat="false" ht="15" hidden="false" customHeight="false" outlineLevel="0" collapsed="false">
      <c r="B63" s="0" t="s">
        <v>20</v>
      </c>
      <c r="C63" s="0" t="n">
        <v>90</v>
      </c>
    </row>
    <row r="64" customFormat="false" ht="15" hidden="false" customHeight="false" outlineLevel="0" collapsed="false">
      <c r="B64" s="0" t="s">
        <v>21</v>
      </c>
      <c r="C64" s="0" t="n">
        <v>4</v>
      </c>
    </row>
    <row r="65" customFormat="false" ht="15" hidden="false" customHeight="false" outlineLevel="0" collapsed="false">
      <c r="B65" s="0" t="s">
        <v>22</v>
      </c>
      <c r="C65" s="0" t="n">
        <v>3</v>
      </c>
    </row>
    <row r="66" customFormat="false" ht="18.75" hidden="false" customHeight="true" outlineLevel="0" collapsed="false">
      <c r="B66" s="15"/>
      <c r="C66" s="16" t="s">
        <v>0</v>
      </c>
      <c r="D66" s="16" t="n">
        <v>2020</v>
      </c>
      <c r="E66" s="16" t="n">
        <v>2021</v>
      </c>
      <c r="F66" s="16" t="n">
        <v>2022</v>
      </c>
      <c r="G66" s="16" t="n">
        <v>2023</v>
      </c>
      <c r="H66" s="16" t="n">
        <v>2024</v>
      </c>
      <c r="I66" s="16" t="n">
        <v>2025</v>
      </c>
      <c r="J66" s="16" t="n">
        <v>2026</v>
      </c>
      <c r="K66" s="16" t="n">
        <v>2027</v>
      </c>
      <c r="L66" s="16" t="n">
        <v>2028</v>
      </c>
      <c r="M66" s="16" t="n">
        <v>2029</v>
      </c>
      <c r="N66" s="16" t="n">
        <v>2030</v>
      </c>
      <c r="O66" s="16" t="n">
        <v>2031</v>
      </c>
      <c r="P66" s="16" t="n">
        <v>2032</v>
      </c>
      <c r="Q66" s="16" t="n">
        <v>2033</v>
      </c>
      <c r="R66" s="16" t="n">
        <v>2034</v>
      </c>
      <c r="S66" s="16" t="n">
        <v>2035</v>
      </c>
      <c r="T66" s="16" t="n">
        <v>2036</v>
      </c>
      <c r="U66" s="16" t="n">
        <v>2037</v>
      </c>
      <c r="V66" s="16" t="n">
        <v>2038</v>
      </c>
      <c r="W66" s="16" t="n">
        <v>2039</v>
      </c>
    </row>
    <row r="67" customFormat="false" ht="18.75" hidden="false" customHeight="true" outlineLevel="0" collapsed="false">
      <c r="B67" s="17" t="n">
        <v>0</v>
      </c>
      <c r="C67" s="18"/>
      <c r="D67" s="19"/>
      <c r="E67" s="19"/>
      <c r="F67" s="20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2"/>
      <c r="U67" s="21"/>
      <c r="V67" s="21"/>
      <c r="W67" s="21"/>
    </row>
    <row r="68" customFormat="false" ht="18.75" hidden="false" customHeight="true" outlineLevel="0" collapsed="false">
      <c r="B68" s="23" t="s">
        <v>23</v>
      </c>
      <c r="C68" s="24" t="n">
        <v>0</v>
      </c>
      <c r="D68" s="25" t="n">
        <v>1</v>
      </c>
      <c r="E68" s="25" t="n">
        <v>2</v>
      </c>
      <c r="F68" s="25" t="n">
        <v>3</v>
      </c>
      <c r="G68" s="25" t="n">
        <v>4</v>
      </c>
      <c r="H68" s="25" t="n">
        <v>5</v>
      </c>
      <c r="I68" s="25" t="n">
        <v>6</v>
      </c>
      <c r="J68" s="25" t="n">
        <v>7</v>
      </c>
      <c r="K68" s="25" t="n">
        <v>8</v>
      </c>
      <c r="L68" s="25" t="n">
        <v>9</v>
      </c>
      <c r="M68" s="25" t="n">
        <v>10</v>
      </c>
      <c r="N68" s="25" t="n">
        <v>11</v>
      </c>
      <c r="O68" s="25" t="n">
        <v>12</v>
      </c>
      <c r="P68" s="25" t="n">
        <v>13</v>
      </c>
      <c r="Q68" s="25" t="n">
        <v>14</v>
      </c>
      <c r="R68" s="25" t="n">
        <v>15</v>
      </c>
      <c r="S68" s="25" t="n">
        <v>16</v>
      </c>
      <c r="T68" s="26" t="n">
        <v>17</v>
      </c>
      <c r="U68" s="25" t="n">
        <v>18</v>
      </c>
      <c r="V68" s="25" t="n">
        <v>19</v>
      </c>
      <c r="W68" s="25" t="n">
        <v>20</v>
      </c>
    </row>
    <row r="69" customFormat="false" ht="18.75" hidden="false" customHeight="true" outlineLevel="0" collapsed="false">
      <c r="B69" s="27" t="s">
        <v>24</v>
      </c>
      <c r="C69" s="28" t="n">
        <v>0</v>
      </c>
      <c r="D69" s="29" t="n">
        <f aca="false">D10</f>
        <v>2166128</v>
      </c>
      <c r="E69" s="29" t="n">
        <f aca="false">E10</f>
        <v>2157376</v>
      </c>
      <c r="F69" s="29" t="n">
        <f aca="false">F10</f>
        <v>2148624</v>
      </c>
      <c r="G69" s="29" t="n">
        <f aca="false">G10</f>
        <v>2139872</v>
      </c>
      <c r="H69" s="29" t="n">
        <f aca="false">H10</f>
        <v>2131120</v>
      </c>
      <c r="I69" s="29" t="n">
        <f aca="false">I10</f>
        <v>2122368</v>
      </c>
      <c r="J69" s="29" t="n">
        <f aca="false">J10</f>
        <v>2113616</v>
      </c>
      <c r="K69" s="29" t="n">
        <f aca="false">K10</f>
        <v>2104864</v>
      </c>
      <c r="L69" s="29" t="n">
        <f aca="false">L10</f>
        <v>2096112</v>
      </c>
      <c r="M69" s="29" t="n">
        <f aca="false">M10</f>
        <v>2087360</v>
      </c>
      <c r="N69" s="29" t="n">
        <f aca="false">N10</f>
        <v>2078608</v>
      </c>
      <c r="O69" s="29" t="n">
        <f aca="false">O10</f>
        <v>2069856</v>
      </c>
      <c r="P69" s="29" t="n">
        <f aca="false">P10</f>
        <v>2061104</v>
      </c>
      <c r="Q69" s="29" t="n">
        <f aca="false">Q10</f>
        <v>2052352</v>
      </c>
      <c r="R69" s="29" t="n">
        <f aca="false">R10</f>
        <v>2043600</v>
      </c>
      <c r="S69" s="29" t="n">
        <f aca="false">S10</f>
        <v>2034848</v>
      </c>
      <c r="T69" s="29" t="n">
        <f aca="false">T10</f>
        <v>2026096</v>
      </c>
      <c r="U69" s="29" t="n">
        <f aca="false">U10</f>
        <v>2017344</v>
      </c>
      <c r="V69" s="29" t="n">
        <f aca="false">V10</f>
        <v>2008592</v>
      </c>
      <c r="W69" s="29" t="n">
        <f aca="false">W10</f>
        <v>1999840</v>
      </c>
    </row>
    <row r="70" customFormat="false" ht="18.75" hidden="false" customHeight="true" outlineLevel="0" collapsed="false">
      <c r="B70" s="30" t="s">
        <v>25</v>
      </c>
      <c r="C70" s="31" t="s">
        <v>26</v>
      </c>
      <c r="D70" s="32" t="n">
        <f aca="false">D17</f>
        <v>8664512</v>
      </c>
      <c r="E70" s="32" t="n">
        <f aca="false">E17</f>
        <v>8629504</v>
      </c>
      <c r="F70" s="32" t="n">
        <f aca="false">F17</f>
        <v>8594496</v>
      </c>
      <c r="G70" s="32" t="n">
        <f aca="false">G17</f>
        <v>8559488</v>
      </c>
      <c r="H70" s="32" t="n">
        <f aca="false">H17</f>
        <v>8524480</v>
      </c>
      <c r="I70" s="32" t="n">
        <f aca="false">I17</f>
        <v>8489472</v>
      </c>
      <c r="J70" s="32" t="n">
        <f aca="false">J17</f>
        <v>8454464</v>
      </c>
      <c r="K70" s="32" t="n">
        <f aca="false">K17</f>
        <v>8419456</v>
      </c>
      <c r="L70" s="32" t="n">
        <f aca="false">L17</f>
        <v>8384448</v>
      </c>
      <c r="M70" s="32" t="n">
        <f aca="false">M17</f>
        <v>8349440</v>
      </c>
      <c r="N70" s="32" t="n">
        <f aca="false">N17</f>
        <v>8314432</v>
      </c>
      <c r="O70" s="32" t="n">
        <f aca="false">O17</f>
        <v>8279424</v>
      </c>
      <c r="P70" s="32" t="n">
        <f aca="false">P17</f>
        <v>8244416</v>
      </c>
      <c r="Q70" s="32" t="n">
        <f aca="false">Q17</f>
        <v>8209408</v>
      </c>
      <c r="R70" s="32" t="n">
        <f aca="false">R17</f>
        <v>8174396</v>
      </c>
      <c r="S70" s="32" t="n">
        <f aca="false">S17</f>
        <v>8139388</v>
      </c>
      <c r="T70" s="32" t="n">
        <f aca="false">T17</f>
        <v>8104380</v>
      </c>
      <c r="U70" s="32" t="n">
        <f aca="false">U17</f>
        <v>8069372</v>
      </c>
      <c r="V70" s="32" t="n">
        <f aca="false">V17</f>
        <v>8034364</v>
      </c>
      <c r="W70" s="32" t="n">
        <f aca="false">W17</f>
        <v>7999356</v>
      </c>
    </row>
    <row r="71" customFormat="false" ht="18.75" hidden="false" customHeight="true" outlineLevel="0" collapsed="false">
      <c r="B71" s="33" t="s">
        <v>27</v>
      </c>
      <c r="C71" s="34" t="s">
        <v>26</v>
      </c>
      <c r="D71" s="35"/>
      <c r="E71" s="35"/>
      <c r="F71" s="35"/>
      <c r="G71" s="36" t="s">
        <v>26</v>
      </c>
      <c r="H71" s="36" t="s">
        <v>26</v>
      </c>
      <c r="I71" s="36" t="s">
        <v>26</v>
      </c>
      <c r="J71" s="36" t="s">
        <v>26</v>
      </c>
      <c r="K71" s="36" t="s">
        <v>26</v>
      </c>
      <c r="L71" s="36" t="s">
        <v>26</v>
      </c>
      <c r="M71" s="36" t="s">
        <v>26</v>
      </c>
      <c r="N71" s="36" t="s">
        <v>26</v>
      </c>
      <c r="O71" s="36" t="s">
        <v>26</v>
      </c>
      <c r="P71" s="36" t="s">
        <v>26</v>
      </c>
      <c r="Q71" s="36" t="s">
        <v>26</v>
      </c>
      <c r="R71" s="36" t="s">
        <v>26</v>
      </c>
      <c r="S71" s="36" t="s">
        <v>26</v>
      </c>
      <c r="T71" s="36" t="s">
        <v>26</v>
      </c>
      <c r="U71" s="36" t="s">
        <v>26</v>
      </c>
      <c r="V71" s="36" t="s">
        <v>26</v>
      </c>
      <c r="W71" s="36" t="s">
        <v>26</v>
      </c>
    </row>
    <row r="72" customFormat="false" ht="18.75" hidden="false" customHeight="true" outlineLevel="0" collapsed="false">
      <c r="B72" s="37" t="s">
        <v>28</v>
      </c>
      <c r="C72" s="38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</row>
    <row r="73" customFormat="false" ht="18.75" hidden="false" customHeight="true" outlineLevel="0" collapsed="false">
      <c r="B73" s="40" t="s">
        <v>29</v>
      </c>
      <c r="C73" s="41" t="n">
        <f aca="false">-SUM(D59:W59)</f>
        <v>-78248800</v>
      </c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</row>
    <row r="74" customFormat="false" ht="18.75" hidden="false" customHeight="true" outlineLevel="0" collapsed="false">
      <c r="B74" s="40" t="s">
        <v>30</v>
      </c>
      <c r="C74" s="34" t="s">
        <v>26</v>
      </c>
      <c r="D74" s="0" t="n">
        <f aca="false">-D24</f>
        <v>-1160804</v>
      </c>
      <c r="E74" s="42" t="n">
        <f aca="false">-E24</f>
        <v>-1160804</v>
      </c>
      <c r="F74" s="42" t="n">
        <f aca="false">-F24</f>
        <v>-1160804</v>
      </c>
      <c r="G74" s="42" t="n">
        <f aca="false">-G24</f>
        <v>-1160804</v>
      </c>
      <c r="H74" s="42" t="n">
        <f aca="false">-H24</f>
        <v>-1160804</v>
      </c>
      <c r="I74" s="42" t="n">
        <f aca="false">-I24</f>
        <v>-1160804</v>
      </c>
      <c r="J74" s="42" t="n">
        <f aca="false">-J24</f>
        <v>-1160804</v>
      </c>
      <c r="K74" s="42" t="n">
        <f aca="false">-K24</f>
        <v>-1160804</v>
      </c>
      <c r="L74" s="42" t="n">
        <f aca="false">-L24</f>
        <v>-1160804</v>
      </c>
      <c r="M74" s="42" t="n">
        <f aca="false">-M24</f>
        <v>-1160804</v>
      </c>
      <c r="N74" s="42" t="n">
        <f aca="false">-N24</f>
        <v>-1160804</v>
      </c>
      <c r="O74" s="42" t="n">
        <f aca="false">-O24</f>
        <v>-1160804</v>
      </c>
      <c r="P74" s="42" t="n">
        <f aca="false">-P24</f>
        <v>-1160804</v>
      </c>
      <c r="Q74" s="42" t="n">
        <f aca="false">-Q24</f>
        <v>-1160804</v>
      </c>
      <c r="R74" s="42" t="n">
        <f aca="false">-R24</f>
        <v>-1160804</v>
      </c>
      <c r="S74" s="42" t="n">
        <f aca="false">-S24</f>
        <v>-1160804</v>
      </c>
      <c r="T74" s="42" t="n">
        <f aca="false">-T24</f>
        <v>-1160804</v>
      </c>
      <c r="U74" s="42" t="n">
        <f aca="false">-U24</f>
        <v>-1160804</v>
      </c>
      <c r="V74" s="42" t="n">
        <f aca="false">-V24</f>
        <v>-1160804</v>
      </c>
      <c r="W74" s="42" t="n">
        <f aca="false">-W24</f>
        <v>-1160804</v>
      </c>
    </row>
    <row r="75" customFormat="false" ht="18.75" hidden="false" customHeight="true" outlineLevel="0" collapsed="false">
      <c r="B75" s="40" t="s">
        <v>31</v>
      </c>
      <c r="C75" s="34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</row>
    <row r="76" customFormat="false" ht="18.75" hidden="false" customHeight="true" outlineLevel="0" collapsed="false">
      <c r="B76" s="40" t="s">
        <v>32</v>
      </c>
      <c r="C76" s="34" t="s">
        <v>26</v>
      </c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</row>
    <row r="77" customFormat="false" ht="18.75" hidden="false" customHeight="true" outlineLevel="0" collapsed="false">
      <c r="B77" s="40" t="s">
        <v>33</v>
      </c>
      <c r="C77" s="34" t="s">
        <v>26</v>
      </c>
      <c r="D77" s="42" t="n">
        <f aca="false">-D31</f>
        <v>-697760</v>
      </c>
      <c r="E77" s="42" t="n">
        <f aca="false">-E31</f>
        <v>-697760</v>
      </c>
      <c r="F77" s="42" t="n">
        <f aca="false">-F31</f>
        <v>-697760</v>
      </c>
      <c r="G77" s="42" t="n">
        <f aca="false">-G31</f>
        <v>-697760</v>
      </c>
      <c r="H77" s="42" t="n">
        <f aca="false">-H31</f>
        <v>-697760</v>
      </c>
      <c r="I77" s="42" t="n">
        <f aca="false">-I31</f>
        <v>-697760</v>
      </c>
      <c r="J77" s="42" t="n">
        <f aca="false">-J31</f>
        <v>-697760</v>
      </c>
      <c r="K77" s="42" t="n">
        <f aca="false">-K31</f>
        <v>-697760</v>
      </c>
      <c r="L77" s="42" t="n">
        <f aca="false">-L31</f>
        <v>-697760</v>
      </c>
      <c r="M77" s="42" t="n">
        <f aca="false">-M31</f>
        <v>-697760</v>
      </c>
      <c r="N77" s="42" t="n">
        <f aca="false">-N31</f>
        <v>-697760</v>
      </c>
      <c r="O77" s="42" t="n">
        <f aca="false">-O31</f>
        <v>-697760</v>
      </c>
      <c r="P77" s="42" t="n">
        <f aca="false">-P31</f>
        <v>-697760</v>
      </c>
      <c r="Q77" s="42" t="n">
        <f aca="false">-Q31</f>
        <v>-697760</v>
      </c>
      <c r="R77" s="42" t="n">
        <f aca="false">-R31</f>
        <v>-697760</v>
      </c>
      <c r="S77" s="42" t="n">
        <f aca="false">-S31</f>
        <v>-697760</v>
      </c>
      <c r="T77" s="42" t="n">
        <f aca="false">-T31</f>
        <v>-697760</v>
      </c>
      <c r="U77" s="42" t="n">
        <f aca="false">-U31</f>
        <v>-697760</v>
      </c>
      <c r="V77" s="42" t="n">
        <f aca="false">-V31</f>
        <v>-697760</v>
      </c>
      <c r="W77" s="42" t="n">
        <f aca="false">-W31</f>
        <v>-697760</v>
      </c>
    </row>
    <row r="78" customFormat="false" ht="18.75" hidden="false" customHeight="true" outlineLevel="0" collapsed="false">
      <c r="B78" s="40" t="s">
        <v>34</v>
      </c>
      <c r="C78" s="34" t="s">
        <v>26</v>
      </c>
      <c r="D78" s="42" t="n">
        <f aca="false">-D38</f>
        <v>-156996</v>
      </c>
      <c r="E78" s="42" t="n">
        <f aca="false">-E38</f>
        <v>-156996</v>
      </c>
      <c r="F78" s="42" t="n">
        <f aca="false">-F38</f>
        <v>-156996</v>
      </c>
      <c r="G78" s="42" t="n">
        <f aca="false">-G38</f>
        <v>-156996</v>
      </c>
      <c r="H78" s="42" t="n">
        <f aca="false">-H38</f>
        <v>-156996</v>
      </c>
      <c r="I78" s="42" t="n">
        <f aca="false">-I38</f>
        <v>-156996</v>
      </c>
      <c r="J78" s="42" t="n">
        <f aca="false">-J38</f>
        <v>-156996</v>
      </c>
      <c r="K78" s="42" t="n">
        <f aca="false">-K38</f>
        <v>-156996</v>
      </c>
      <c r="L78" s="42" t="n">
        <f aca="false">-L38</f>
        <v>-156996</v>
      </c>
      <c r="M78" s="42" t="n">
        <f aca="false">-M38</f>
        <v>-156996</v>
      </c>
      <c r="N78" s="42" t="n">
        <f aca="false">-N38</f>
        <v>-156996</v>
      </c>
      <c r="O78" s="42" t="n">
        <f aca="false">-O38</f>
        <v>-156996</v>
      </c>
      <c r="P78" s="42" t="n">
        <f aca="false">-P38</f>
        <v>-156996</v>
      </c>
      <c r="Q78" s="42" t="n">
        <f aca="false">-Q38</f>
        <v>-156996</v>
      </c>
      <c r="R78" s="42" t="n">
        <f aca="false">-R38</f>
        <v>-156996</v>
      </c>
      <c r="S78" s="42" t="n">
        <f aca="false">-S38</f>
        <v>-156996</v>
      </c>
      <c r="T78" s="42" t="n">
        <f aca="false">-T38</f>
        <v>-156996</v>
      </c>
      <c r="U78" s="42" t="n">
        <f aca="false">-U38</f>
        <v>-156996</v>
      </c>
      <c r="V78" s="42" t="n">
        <f aca="false">-V38</f>
        <v>-156996</v>
      </c>
      <c r="W78" s="42" t="n">
        <f aca="false">-W38</f>
        <v>-156996</v>
      </c>
    </row>
    <row r="79" customFormat="false" ht="18.75" hidden="false" customHeight="true" outlineLevel="0" collapsed="false">
      <c r="B79" s="40" t="s">
        <v>35</v>
      </c>
      <c r="C79" s="34"/>
      <c r="D79" s="42" t="n">
        <f aca="false">-D45</f>
        <v>-174440</v>
      </c>
      <c r="E79" s="42" t="n">
        <f aca="false">-E45</f>
        <v>-174440</v>
      </c>
      <c r="F79" s="42" t="n">
        <f aca="false">-F45</f>
        <v>-174440</v>
      </c>
      <c r="G79" s="42" t="n">
        <f aca="false">-G45</f>
        <v>-174440</v>
      </c>
      <c r="H79" s="42" t="n">
        <f aca="false">-H45</f>
        <v>-174440</v>
      </c>
      <c r="I79" s="42" t="n">
        <f aca="false">-I45</f>
        <v>-174440</v>
      </c>
      <c r="J79" s="42" t="n">
        <f aca="false">-J45</f>
        <v>-174440</v>
      </c>
      <c r="K79" s="42" t="n">
        <f aca="false">-K45</f>
        <v>-174440</v>
      </c>
      <c r="L79" s="42" t="n">
        <f aca="false">-L45</f>
        <v>-174440</v>
      </c>
      <c r="M79" s="42" t="n">
        <f aca="false">-M45</f>
        <v>-174440</v>
      </c>
      <c r="N79" s="42" t="n">
        <f aca="false">-N45</f>
        <v>-0</v>
      </c>
      <c r="O79" s="42" t="n">
        <f aca="false">-O45</f>
        <v>-0</v>
      </c>
      <c r="P79" s="42" t="n">
        <f aca="false">-P45</f>
        <v>-0</v>
      </c>
      <c r="Q79" s="42" t="n">
        <f aca="false">-Q45</f>
        <v>-0</v>
      </c>
      <c r="R79" s="42" t="n">
        <f aca="false">-R45</f>
        <v>-0</v>
      </c>
      <c r="S79" s="42" t="n">
        <f aca="false">-S45</f>
        <v>-0</v>
      </c>
      <c r="T79" s="42" t="n">
        <f aca="false">-T45</f>
        <v>-0</v>
      </c>
      <c r="U79" s="42" t="n">
        <f aca="false">-U45</f>
        <v>-0</v>
      </c>
      <c r="V79" s="42" t="n">
        <f aca="false">-V45</f>
        <v>-0</v>
      </c>
      <c r="W79" s="42" t="n">
        <f aca="false">-W45</f>
        <v>-0</v>
      </c>
    </row>
    <row r="80" customFormat="false" ht="18.75" hidden="false" customHeight="true" outlineLevel="0" collapsed="false">
      <c r="B80" s="40" t="s">
        <v>36</v>
      </c>
      <c r="C80" s="43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</row>
    <row r="81" customFormat="false" ht="18.75" hidden="false" customHeight="true" outlineLevel="0" collapsed="false">
      <c r="B81" s="40" t="s">
        <v>37</v>
      </c>
      <c r="C81" s="43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</row>
    <row r="82" customFormat="false" ht="18.75" hidden="false" customHeight="true" outlineLevel="0" collapsed="false">
      <c r="B82" s="44" t="s">
        <v>38</v>
      </c>
      <c r="C82" s="43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</row>
    <row r="83" customFormat="false" ht="18.75" hidden="false" customHeight="true" outlineLevel="0" collapsed="false">
      <c r="B83" s="44" t="s">
        <v>39</v>
      </c>
      <c r="C83" s="43"/>
      <c r="D83" s="42" t="n">
        <f aca="false">-D106</f>
        <v>-136820.16</v>
      </c>
      <c r="E83" s="42" t="n">
        <f aca="false">-E106</f>
        <v>-154858.176</v>
      </c>
      <c r="F83" s="42" t="n">
        <f aca="false">-F106</f>
        <v>-172896.192</v>
      </c>
      <c r="G83" s="42" t="n">
        <f aca="false">-G106</f>
        <v>-190934.208</v>
      </c>
      <c r="H83" s="42" t="n">
        <f aca="false">-H106</f>
        <v>-208972.224</v>
      </c>
      <c r="I83" s="42" t="n">
        <f aca="false">-I106</f>
        <v>-227010.24</v>
      </c>
      <c r="J83" s="42" t="n">
        <f aca="false">-J106</f>
        <v>-245048.256</v>
      </c>
      <c r="K83" s="42" t="n">
        <f aca="false">-K106</f>
        <v>-263086.272</v>
      </c>
      <c r="L83" s="42" t="n">
        <f aca="false">-L106</f>
        <v>-281124.288</v>
      </c>
      <c r="M83" s="42" t="n">
        <f aca="false">-M106</f>
        <v>-299162.304</v>
      </c>
      <c r="N83" s="42" t="n">
        <f aca="false">-N106</f>
        <v>-352088.32</v>
      </c>
      <c r="O83" s="42" t="n">
        <f aca="false">-O106</f>
        <v>-370126.336</v>
      </c>
      <c r="P83" s="42" t="n">
        <f aca="false">-P106</f>
        <v>-388164.352</v>
      </c>
      <c r="Q83" s="42" t="n">
        <f aca="false">-Q106</f>
        <v>-406202.368</v>
      </c>
      <c r="R83" s="42" t="n">
        <f aca="false">-R106</f>
        <v>-424239.584</v>
      </c>
      <c r="S83" s="42" t="n">
        <f aca="false">-S106</f>
        <v>-442277.6</v>
      </c>
      <c r="T83" s="42" t="n">
        <f aca="false">-T106</f>
        <v>-435276</v>
      </c>
      <c r="U83" s="42" t="n">
        <f aca="false">-U106</f>
        <v>-428274.4</v>
      </c>
      <c r="V83" s="42" t="n">
        <f aca="false">-V106</f>
        <v>-421272.8</v>
      </c>
      <c r="W83" s="42" t="n">
        <f aca="false">-W106</f>
        <v>-414271.2</v>
      </c>
    </row>
    <row r="84" customFormat="false" ht="18.75" hidden="false" customHeight="true" outlineLevel="0" collapsed="false">
      <c r="B84" s="45" t="s">
        <v>40</v>
      </c>
      <c r="C84" s="46" t="n">
        <f aca="false">C73</f>
        <v>-78248800</v>
      </c>
      <c r="D84" s="47" t="n">
        <f aca="false">SUM(D70:D83)</f>
        <v>6337691.84</v>
      </c>
      <c r="E84" s="47" t="n">
        <f aca="false">SUM(E70:E83)</f>
        <v>6284645.824</v>
      </c>
      <c r="F84" s="47" t="n">
        <f aca="false">SUM(F70:F83)</f>
        <v>6231599.808</v>
      </c>
      <c r="G84" s="47" t="n">
        <f aca="false">SUM(G70:G83)</f>
        <v>6178553.792</v>
      </c>
      <c r="H84" s="47" t="n">
        <f aca="false">SUM(H70:H83)</f>
        <v>6125507.776</v>
      </c>
      <c r="I84" s="47" t="n">
        <f aca="false">SUM(I70:I83)</f>
        <v>6072461.76</v>
      </c>
      <c r="J84" s="47" t="n">
        <f aca="false">SUM(J70:J83)</f>
        <v>6019415.744</v>
      </c>
      <c r="K84" s="47" t="n">
        <f aca="false">SUM(K70:K83)</f>
        <v>5966369.728</v>
      </c>
      <c r="L84" s="47" t="n">
        <f aca="false">SUM(L70:L83)</f>
        <v>5913323.712</v>
      </c>
      <c r="M84" s="47" t="n">
        <f aca="false">SUM(M70:M83)</f>
        <v>5860277.696</v>
      </c>
      <c r="N84" s="47" t="n">
        <f aca="false">SUM(N70:N83)</f>
        <v>5946783.68</v>
      </c>
      <c r="O84" s="47" t="n">
        <f aca="false">SUM(O70:O83)</f>
        <v>5893737.664</v>
      </c>
      <c r="P84" s="47" t="n">
        <f aca="false">SUM(P70:P83)</f>
        <v>5840691.648</v>
      </c>
      <c r="Q84" s="47" t="n">
        <f aca="false">SUM(Q70:Q83)</f>
        <v>5787645.632</v>
      </c>
      <c r="R84" s="47" t="n">
        <f aca="false">SUM(R70:R83)</f>
        <v>5734596.416</v>
      </c>
      <c r="S84" s="47" t="n">
        <f aca="false">SUM(S70:S83)</f>
        <v>5681550.4</v>
      </c>
      <c r="T84" s="47" t="n">
        <f aca="false">SUM(T70:T83)</f>
        <v>5653544</v>
      </c>
      <c r="U84" s="47" t="n">
        <f aca="false">SUM(U70:U83)</f>
        <v>5625537.6</v>
      </c>
      <c r="V84" s="47" t="n">
        <f aca="false">SUM(V70:V83)</f>
        <v>5597531.2</v>
      </c>
      <c r="W84" s="47" t="n">
        <f aca="false">SUM(W70:W83)</f>
        <v>5569524.8</v>
      </c>
    </row>
    <row r="85" customFormat="false" ht="18.75" hidden="false" customHeight="true" outlineLevel="0" collapsed="false">
      <c r="B85" s="48" t="s">
        <v>41</v>
      </c>
      <c r="D85" s="49" t="n">
        <f aca="false">C55+D55</f>
        <v>1071560</v>
      </c>
      <c r="E85" s="49" t="n">
        <f aca="false">D56+E55</f>
        <v>1956220</v>
      </c>
      <c r="F85" s="49" t="n">
        <f aca="false">E56+F55</f>
        <v>1956220</v>
      </c>
      <c r="G85" s="49" t="n">
        <f aca="false">F56+G55</f>
        <v>1956220</v>
      </c>
      <c r="H85" s="49" t="n">
        <f aca="false">G56+H55</f>
        <v>1956220</v>
      </c>
      <c r="I85" s="49" t="n">
        <f aca="false">H56+I55</f>
        <v>1956220</v>
      </c>
      <c r="J85" s="49" t="n">
        <f aca="false">I56+J55</f>
        <v>1956220</v>
      </c>
      <c r="K85" s="49" t="n">
        <f aca="false">J56+K55</f>
        <v>1956220</v>
      </c>
      <c r="L85" s="49" t="n">
        <f aca="false">K56+L55</f>
        <v>1956220</v>
      </c>
      <c r="M85" s="49" t="n">
        <f aca="false">L56+M55</f>
        <v>1956220</v>
      </c>
      <c r="N85" s="49" t="n">
        <f aca="false">M56+N55</f>
        <v>1956220</v>
      </c>
      <c r="O85" s="49" t="n">
        <f aca="false">N56+O55</f>
        <v>1956220</v>
      </c>
      <c r="P85" s="49" t="n">
        <f aca="false">O56+P55</f>
        <v>1956220</v>
      </c>
      <c r="Q85" s="49" t="n">
        <f aca="false">P56+Q55</f>
        <v>1956220</v>
      </c>
      <c r="R85" s="49" t="n">
        <f aca="false">Q56+R55</f>
        <v>1956220</v>
      </c>
      <c r="S85" s="49" t="n">
        <f aca="false">R56+S55</f>
        <v>1956220</v>
      </c>
      <c r="T85" s="49" t="n">
        <f aca="false">S56+T55</f>
        <v>1956220</v>
      </c>
      <c r="U85" s="49" t="n">
        <f aca="false">T56+U55</f>
        <v>1956220</v>
      </c>
      <c r="V85" s="49" t="n">
        <f aca="false">U56+V55</f>
        <v>1956220</v>
      </c>
      <c r="W85" s="49" t="n">
        <f aca="false">V56+W55</f>
        <v>1956220</v>
      </c>
    </row>
    <row r="86" customFormat="false" ht="18.75" hidden="false" customHeight="true" outlineLevel="0" collapsed="false">
      <c r="B86" s="50" t="s">
        <v>42</v>
      </c>
      <c r="C86" s="51"/>
      <c r="D86" s="52" t="str">
        <f aca="false">IF((D56)&gt;0,"回收","未回收")</f>
        <v>回收</v>
      </c>
      <c r="E86" s="53" t="str">
        <f aca="false">IF((E56)&gt;0,"回收","未回收")</f>
        <v>回收</v>
      </c>
      <c r="F86" s="53" t="str">
        <f aca="false">IF((F56)&gt;0,"回收","未回收")</f>
        <v>回收</v>
      </c>
      <c r="G86" s="53" t="str">
        <f aca="false">IF((G56)&gt;0,"回收","未回收")</f>
        <v>回收</v>
      </c>
      <c r="H86" s="53" t="str">
        <f aca="false">IF((H56)&gt;0,"回收","未回收")</f>
        <v>回收</v>
      </c>
      <c r="I86" s="53" t="str">
        <f aca="false">IF((I56)&gt;0,"回收","未回收")</f>
        <v>回收</v>
      </c>
      <c r="J86" s="53" t="str">
        <f aca="false">IF((J56)&gt;0,"回收","未回收")</f>
        <v>回收</v>
      </c>
      <c r="K86" s="53" t="str">
        <f aca="false">IF((K56)&gt;0,"回收","未回收")</f>
        <v>回收</v>
      </c>
      <c r="L86" s="53" t="str">
        <f aca="false">IF((L56)&gt;0,"回收","未回收")</f>
        <v>回收</v>
      </c>
      <c r="M86" s="53" t="str">
        <f aca="false">IF((M56)&gt;0,"回收","未回收")</f>
        <v>回收</v>
      </c>
      <c r="N86" s="53" t="str">
        <f aca="false">IF((N56)&gt;0,"回收","未回收")</f>
        <v>回收</v>
      </c>
      <c r="O86" s="53" t="str">
        <f aca="false">IF((O56)&gt;0,"回收","未回收")</f>
        <v>回收</v>
      </c>
      <c r="P86" s="53" t="str">
        <f aca="false">IF((P56)&gt;0,"回收","未回收")</f>
        <v>回收</v>
      </c>
      <c r="Q86" s="53" t="str">
        <f aca="false">IF((Q56)&gt;0,"回收","未回收")</f>
        <v>回收</v>
      </c>
      <c r="R86" s="53" t="str">
        <f aca="false">IF((R56)&gt;0,"回收","未回收")</f>
        <v>回收</v>
      </c>
      <c r="S86" s="53" t="str">
        <f aca="false">IF((S56)&gt;0,"回收","未回收")</f>
        <v>回收</v>
      </c>
      <c r="T86" s="53" t="str">
        <f aca="false">IF((T56)&gt;0,"回收","未回收")</f>
        <v>回收</v>
      </c>
      <c r="U86" s="53" t="str">
        <f aca="false">IF((U56)&gt;0,"回收","未回收")</f>
        <v>回收</v>
      </c>
      <c r="V86" s="53" t="str">
        <f aca="false">IF((V56)&gt;0,"回收","未回收")</f>
        <v>回收</v>
      </c>
      <c r="W86" s="53" t="str">
        <f aca="false">IF((W56)&gt;0,"回收","未回收")</f>
        <v>回收</v>
      </c>
    </row>
    <row r="87" customFormat="false" ht="18.75" hidden="false" customHeight="true" outlineLevel="0" collapsed="false">
      <c r="B87" s="54" t="s">
        <v>43</v>
      </c>
      <c r="C87" s="55" t="n">
        <f aca="false">IRR(C84:W84)</f>
        <v>0.0441722683679709</v>
      </c>
      <c r="D87" s="56"/>
      <c r="E87" s="56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</row>
    <row r="88" customFormat="false" ht="18.75" hidden="false" customHeight="true" outlineLevel="0" collapsed="false">
      <c r="B88" s="57"/>
      <c r="C88" s="56"/>
      <c r="D88" s="56"/>
      <c r="E88" s="56"/>
      <c r="F88" s="57"/>
      <c r="G88" s="57"/>
      <c r="H88" s="57"/>
      <c r="I88" s="57"/>
      <c r="J88" s="57"/>
      <c r="K88" s="57"/>
      <c r="L88" s="57"/>
      <c r="M88" s="56"/>
      <c r="N88" s="57"/>
      <c r="O88" s="57"/>
      <c r="P88" s="57"/>
      <c r="Q88" s="57"/>
      <c r="R88" s="57"/>
      <c r="S88" s="57"/>
      <c r="T88" s="57"/>
      <c r="U88" s="57"/>
      <c r="V88" s="57"/>
      <c r="W88" s="57"/>
    </row>
    <row r="89" customFormat="false" ht="18.75" hidden="false" customHeight="true" outlineLevel="0" collapsed="false">
      <c r="B89" s="15"/>
      <c r="C89" s="16" t="s">
        <v>0</v>
      </c>
      <c r="D89" s="16" t="n">
        <v>2020</v>
      </c>
      <c r="E89" s="16" t="n">
        <v>2021</v>
      </c>
      <c r="F89" s="16" t="n">
        <v>2022</v>
      </c>
      <c r="G89" s="16" t="n">
        <v>2023</v>
      </c>
      <c r="H89" s="16" t="n">
        <v>2024</v>
      </c>
      <c r="I89" s="16" t="n">
        <v>2025</v>
      </c>
      <c r="J89" s="16" t="n">
        <v>2026</v>
      </c>
      <c r="K89" s="16" t="n">
        <v>2027</v>
      </c>
      <c r="L89" s="16" t="n">
        <v>2028</v>
      </c>
      <c r="M89" s="16" t="n">
        <v>2029</v>
      </c>
      <c r="N89" s="16" t="n">
        <v>2030</v>
      </c>
      <c r="O89" s="16" t="n">
        <v>2031</v>
      </c>
      <c r="P89" s="16" t="n">
        <v>2032</v>
      </c>
      <c r="Q89" s="16" t="n">
        <v>2033</v>
      </c>
      <c r="R89" s="16" t="n">
        <v>2034</v>
      </c>
      <c r="S89" s="16" t="n">
        <v>2035</v>
      </c>
      <c r="T89" s="16" t="n">
        <v>2036</v>
      </c>
      <c r="U89" s="16" t="n">
        <v>2037</v>
      </c>
      <c r="V89" s="16" t="n">
        <v>2038</v>
      </c>
      <c r="W89" s="16" t="n">
        <v>2039</v>
      </c>
    </row>
    <row r="90" customFormat="false" ht="18.75" hidden="false" customHeight="true" outlineLevel="0" collapsed="false">
      <c r="B90" s="17" t="n">
        <v>0</v>
      </c>
      <c r="C90" s="18"/>
      <c r="D90" s="19"/>
      <c r="E90" s="19"/>
      <c r="F90" s="20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58" t="s">
        <v>44</v>
      </c>
      <c r="U90" s="21"/>
      <c r="V90" s="21"/>
      <c r="W90" s="21"/>
    </row>
    <row r="91" customFormat="false" ht="18.75" hidden="false" customHeight="true" outlineLevel="0" collapsed="false">
      <c r="B91" s="23" t="s">
        <v>23</v>
      </c>
      <c r="C91" s="24" t="n">
        <v>0</v>
      </c>
      <c r="D91" s="25" t="n">
        <v>1</v>
      </c>
      <c r="E91" s="25" t="n">
        <v>2</v>
      </c>
      <c r="F91" s="25" t="n">
        <v>3</v>
      </c>
      <c r="G91" s="25" t="n">
        <v>4</v>
      </c>
      <c r="H91" s="25" t="n">
        <v>5</v>
      </c>
      <c r="I91" s="25" t="n">
        <v>6</v>
      </c>
      <c r="J91" s="25" t="n">
        <v>7</v>
      </c>
      <c r="K91" s="25" t="n">
        <v>8</v>
      </c>
      <c r="L91" s="25" t="n">
        <v>9</v>
      </c>
      <c r="M91" s="25" t="n">
        <v>10</v>
      </c>
      <c r="N91" s="25" t="n">
        <v>11</v>
      </c>
      <c r="O91" s="25" t="n">
        <v>12</v>
      </c>
      <c r="P91" s="25" t="n">
        <v>13</v>
      </c>
      <c r="Q91" s="25" t="n">
        <v>14</v>
      </c>
      <c r="R91" s="25" t="n">
        <v>15</v>
      </c>
      <c r="S91" s="25" t="n">
        <v>16</v>
      </c>
      <c r="T91" s="59" t="n">
        <v>17</v>
      </c>
      <c r="U91" s="25" t="n">
        <v>18</v>
      </c>
      <c r="V91" s="25" t="n">
        <v>19</v>
      </c>
      <c r="W91" s="25" t="n">
        <v>20</v>
      </c>
    </row>
    <row r="92" customFormat="false" ht="18.75" hidden="false" customHeight="true" outlineLevel="0" collapsed="false">
      <c r="B92" s="27" t="s">
        <v>24</v>
      </c>
      <c r="C92" s="28" t="n">
        <v>0</v>
      </c>
      <c r="D92" s="29" t="n">
        <f aca="false">D10</f>
        <v>2166128</v>
      </c>
      <c r="E92" s="29" t="n">
        <f aca="false">E10</f>
        <v>2157376</v>
      </c>
      <c r="F92" s="29" t="n">
        <f aca="false">F10</f>
        <v>2148624</v>
      </c>
      <c r="G92" s="29" t="n">
        <f aca="false">G10</f>
        <v>2139872</v>
      </c>
      <c r="H92" s="29" t="n">
        <f aca="false">H10</f>
        <v>2131120</v>
      </c>
      <c r="I92" s="29" t="n">
        <f aca="false">I10</f>
        <v>2122368</v>
      </c>
      <c r="J92" s="29" t="n">
        <f aca="false">J10</f>
        <v>2113616</v>
      </c>
      <c r="K92" s="29" t="n">
        <f aca="false">K10</f>
        <v>2104864</v>
      </c>
      <c r="L92" s="29" t="n">
        <f aca="false">L10</f>
        <v>2096112</v>
      </c>
      <c r="M92" s="29" t="n">
        <f aca="false">M10</f>
        <v>2087360</v>
      </c>
      <c r="N92" s="29" t="n">
        <f aca="false">N10</f>
        <v>2078608</v>
      </c>
      <c r="O92" s="29" t="n">
        <f aca="false">O10</f>
        <v>2069856</v>
      </c>
      <c r="P92" s="29" t="n">
        <f aca="false">P10</f>
        <v>2061104</v>
      </c>
      <c r="Q92" s="29" t="n">
        <f aca="false">Q10</f>
        <v>2052352</v>
      </c>
      <c r="R92" s="29" t="n">
        <f aca="false">R10</f>
        <v>2043600</v>
      </c>
      <c r="S92" s="29" t="n">
        <f aca="false">S10</f>
        <v>2034848</v>
      </c>
      <c r="T92" s="29" t="n">
        <f aca="false">T10</f>
        <v>2026096</v>
      </c>
      <c r="U92" s="29" t="n">
        <f aca="false">U10</f>
        <v>2017344</v>
      </c>
      <c r="V92" s="29" t="n">
        <f aca="false">V10</f>
        <v>2008592</v>
      </c>
      <c r="W92" s="29" t="n">
        <f aca="false">W10</f>
        <v>1999840</v>
      </c>
    </row>
    <row r="93" customFormat="false" ht="18.75" hidden="false" customHeight="true" outlineLevel="0" collapsed="false">
      <c r="B93" s="30" t="s">
        <v>25</v>
      </c>
      <c r="C93" s="31" t="s">
        <v>26</v>
      </c>
      <c r="D93" s="32" t="n">
        <f aca="false">D17</f>
        <v>8664512</v>
      </c>
      <c r="E93" s="32" t="n">
        <f aca="false">E17</f>
        <v>8629504</v>
      </c>
      <c r="F93" s="32" t="n">
        <f aca="false">F17</f>
        <v>8594496</v>
      </c>
      <c r="G93" s="32" t="n">
        <f aca="false">G17</f>
        <v>8559488</v>
      </c>
      <c r="H93" s="32" t="n">
        <f aca="false">H17</f>
        <v>8524480</v>
      </c>
      <c r="I93" s="32" t="n">
        <f aca="false">I17</f>
        <v>8489472</v>
      </c>
      <c r="J93" s="32" t="n">
        <f aca="false">J17</f>
        <v>8454464</v>
      </c>
      <c r="K93" s="32" t="n">
        <f aca="false">K17</f>
        <v>8419456</v>
      </c>
      <c r="L93" s="32" t="n">
        <f aca="false">L17</f>
        <v>8384448</v>
      </c>
      <c r="M93" s="32" t="n">
        <f aca="false">M17</f>
        <v>8349440</v>
      </c>
      <c r="N93" s="32" t="n">
        <f aca="false">N17</f>
        <v>8314432</v>
      </c>
      <c r="O93" s="32" t="n">
        <f aca="false">O17</f>
        <v>8279424</v>
      </c>
      <c r="P93" s="32" t="n">
        <f aca="false">P17</f>
        <v>8244416</v>
      </c>
      <c r="Q93" s="32" t="n">
        <f aca="false">Q17</f>
        <v>8209408</v>
      </c>
      <c r="R93" s="32" t="n">
        <f aca="false">R17</f>
        <v>8174396</v>
      </c>
      <c r="S93" s="32" t="n">
        <f aca="false">S17</f>
        <v>8139388</v>
      </c>
      <c r="T93" s="32" t="n">
        <f aca="false">T17</f>
        <v>8104380</v>
      </c>
      <c r="U93" s="32" t="n">
        <f aca="false">U17</f>
        <v>8069372</v>
      </c>
      <c r="V93" s="32" t="n">
        <f aca="false">V17</f>
        <v>8034364</v>
      </c>
      <c r="W93" s="32" t="n">
        <f aca="false">W17</f>
        <v>7999356</v>
      </c>
    </row>
    <row r="94" customFormat="false" ht="18.75" hidden="false" customHeight="true" outlineLevel="0" collapsed="false">
      <c r="B94" s="33" t="s">
        <v>27</v>
      </c>
      <c r="C94" s="34" t="s">
        <v>26</v>
      </c>
      <c r="D94" s="36"/>
      <c r="E94" s="36"/>
      <c r="F94" s="36"/>
      <c r="G94" s="36" t="s">
        <v>26</v>
      </c>
      <c r="H94" s="36" t="s">
        <v>26</v>
      </c>
      <c r="I94" s="36" t="s">
        <v>26</v>
      </c>
      <c r="J94" s="36" t="s">
        <v>26</v>
      </c>
      <c r="K94" s="36" t="s">
        <v>26</v>
      </c>
      <c r="L94" s="36" t="s">
        <v>26</v>
      </c>
      <c r="M94" s="36" t="s">
        <v>26</v>
      </c>
      <c r="N94" s="36" t="s">
        <v>26</v>
      </c>
      <c r="O94" s="36" t="s">
        <v>26</v>
      </c>
      <c r="P94" s="36" t="s">
        <v>26</v>
      </c>
      <c r="Q94" s="36" t="s">
        <v>26</v>
      </c>
      <c r="R94" s="36" t="s">
        <v>26</v>
      </c>
      <c r="S94" s="36" t="s">
        <v>26</v>
      </c>
      <c r="T94" s="36" t="s">
        <v>26</v>
      </c>
      <c r="U94" s="36" t="s">
        <v>26</v>
      </c>
      <c r="V94" s="36" t="s">
        <v>26</v>
      </c>
      <c r="W94" s="36" t="s">
        <v>26</v>
      </c>
    </row>
    <row r="95" customFormat="false" ht="18.75" hidden="false" customHeight="true" outlineLevel="0" collapsed="false">
      <c r="B95" s="37" t="s">
        <v>28</v>
      </c>
      <c r="C95" s="38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</row>
    <row r="96" customFormat="false" ht="18.75" hidden="false" customHeight="true" outlineLevel="0" collapsed="false">
      <c r="B96" s="40" t="s">
        <v>45</v>
      </c>
      <c r="C96" s="34"/>
      <c r="D96" s="60" t="n">
        <f aca="false">-D59</f>
        <v>-3912440</v>
      </c>
      <c r="E96" s="60" t="n">
        <f aca="false">-E59</f>
        <v>-3912440</v>
      </c>
      <c r="F96" s="60" t="n">
        <f aca="false">-F59</f>
        <v>-3912440</v>
      </c>
      <c r="G96" s="60" t="n">
        <f aca="false">-G59</f>
        <v>-3912440</v>
      </c>
      <c r="H96" s="60" t="n">
        <f aca="false">-H59</f>
        <v>-3912440</v>
      </c>
      <c r="I96" s="60" t="n">
        <f aca="false">-I59</f>
        <v>-3912440</v>
      </c>
      <c r="J96" s="60" t="n">
        <f aca="false">-J59</f>
        <v>-3912440</v>
      </c>
      <c r="K96" s="60" t="n">
        <f aca="false">-K59</f>
        <v>-3912440</v>
      </c>
      <c r="L96" s="60" t="n">
        <f aca="false">-L59</f>
        <v>-3912440</v>
      </c>
      <c r="M96" s="60" t="n">
        <f aca="false">-M59</f>
        <v>-3912440</v>
      </c>
      <c r="N96" s="60" t="n">
        <f aca="false">-N59</f>
        <v>-3912440</v>
      </c>
      <c r="O96" s="60" t="n">
        <f aca="false">-O59</f>
        <v>-3912440</v>
      </c>
      <c r="P96" s="60" t="n">
        <f aca="false">-P59</f>
        <v>-3912440</v>
      </c>
      <c r="Q96" s="60" t="n">
        <f aca="false">-Q59</f>
        <v>-3912440</v>
      </c>
      <c r="R96" s="60" t="n">
        <f aca="false">-R59</f>
        <v>-3912440</v>
      </c>
      <c r="S96" s="60" t="n">
        <f aca="false">-S59</f>
        <v>-3912440</v>
      </c>
      <c r="T96" s="60" t="n">
        <f aca="false">-T59</f>
        <v>-3912440</v>
      </c>
      <c r="U96" s="60" t="n">
        <f aca="false">-U59</f>
        <v>-3912440</v>
      </c>
      <c r="V96" s="60" t="n">
        <f aca="false">-V59</f>
        <v>-3912440</v>
      </c>
      <c r="W96" s="60" t="n">
        <f aca="false">-W59</f>
        <v>-3912440</v>
      </c>
    </row>
    <row r="97" customFormat="false" ht="18.75" hidden="false" customHeight="true" outlineLevel="0" collapsed="false">
      <c r="B97" s="40" t="s">
        <v>30</v>
      </c>
      <c r="C97" s="34" t="s">
        <v>26</v>
      </c>
      <c r="D97" s="42" t="n">
        <f aca="false">-D24</f>
        <v>-1160804</v>
      </c>
      <c r="E97" s="42" t="n">
        <f aca="false">-E24</f>
        <v>-1160804</v>
      </c>
      <c r="F97" s="42" t="n">
        <f aca="false">-F24</f>
        <v>-1160804</v>
      </c>
      <c r="G97" s="42" t="n">
        <f aca="false">-G24</f>
        <v>-1160804</v>
      </c>
      <c r="H97" s="42" t="n">
        <f aca="false">-H24</f>
        <v>-1160804</v>
      </c>
      <c r="I97" s="42" t="n">
        <f aca="false">-I24</f>
        <v>-1160804</v>
      </c>
      <c r="J97" s="42" t="n">
        <f aca="false">-J24</f>
        <v>-1160804</v>
      </c>
      <c r="K97" s="42" t="n">
        <f aca="false">-K24</f>
        <v>-1160804</v>
      </c>
      <c r="L97" s="42" t="n">
        <f aca="false">-L24</f>
        <v>-1160804</v>
      </c>
      <c r="M97" s="42" t="n">
        <f aca="false">-M24</f>
        <v>-1160804</v>
      </c>
      <c r="N97" s="42" t="n">
        <f aca="false">-N24</f>
        <v>-1160804</v>
      </c>
      <c r="O97" s="42" t="n">
        <f aca="false">-O24</f>
        <v>-1160804</v>
      </c>
      <c r="P97" s="42" t="n">
        <f aca="false">-P24</f>
        <v>-1160804</v>
      </c>
      <c r="Q97" s="42" t="n">
        <f aca="false">-Q24</f>
        <v>-1160804</v>
      </c>
      <c r="R97" s="42" t="n">
        <f aca="false">-R24</f>
        <v>-1160804</v>
      </c>
      <c r="S97" s="42" t="n">
        <f aca="false">-S24</f>
        <v>-1160804</v>
      </c>
      <c r="T97" s="42" t="n">
        <f aca="false">-T24</f>
        <v>-1160804</v>
      </c>
      <c r="U97" s="42" t="n">
        <f aca="false">-U24</f>
        <v>-1160804</v>
      </c>
      <c r="V97" s="42" t="n">
        <f aca="false">-V24</f>
        <v>-1160804</v>
      </c>
      <c r="W97" s="42" t="n">
        <f aca="false">-W24</f>
        <v>-1160804</v>
      </c>
    </row>
    <row r="98" customFormat="false" ht="18.75" hidden="false" customHeight="true" outlineLevel="0" collapsed="false">
      <c r="B98" s="40" t="s">
        <v>31</v>
      </c>
      <c r="C98" s="34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</row>
    <row r="99" customFormat="false" ht="18.75" hidden="false" customHeight="true" outlineLevel="0" collapsed="false">
      <c r="B99" s="40" t="s">
        <v>32</v>
      </c>
      <c r="C99" s="34" t="s">
        <v>26</v>
      </c>
      <c r="D99" s="42" t="n">
        <f aca="false">-D137*C65/100</f>
        <v>-1877971.2</v>
      </c>
      <c r="E99" s="42" t="n">
        <f aca="false">-E137*C65/100</f>
        <v>-1752773.12</v>
      </c>
      <c r="F99" s="42" t="n">
        <f aca="false">-F137*C65/100</f>
        <v>-1627575.04</v>
      </c>
      <c r="G99" s="42" t="n">
        <f aca="false">-G137*C65/100</f>
        <v>-1502376.96</v>
      </c>
      <c r="H99" s="42" t="n">
        <f aca="false">-H137*C65/100</f>
        <v>-1377178.88</v>
      </c>
      <c r="I99" s="42" t="n">
        <f aca="false">-I137*C65/100</f>
        <v>-1251980.8</v>
      </c>
      <c r="J99" s="42" t="n">
        <f aca="false">-J137*C65/100</f>
        <v>-1126782.72</v>
      </c>
      <c r="K99" s="42" t="n">
        <f aca="false">-K137*C65/100</f>
        <v>-1001584.64</v>
      </c>
      <c r="L99" s="42" t="n">
        <f aca="false">-L137*C65/100</f>
        <v>-876386.56</v>
      </c>
      <c r="M99" s="42" t="n">
        <f aca="false">-M137*C65/100</f>
        <v>-751188.48</v>
      </c>
      <c r="N99" s="42" t="n">
        <f aca="false">-N137*C65/100</f>
        <v>-625990.4</v>
      </c>
      <c r="O99" s="42" t="n">
        <f aca="false">-O137*C65/100</f>
        <v>-500792.32</v>
      </c>
      <c r="P99" s="42" t="n">
        <f aca="false">-P137*C65/100</f>
        <v>-375594.24</v>
      </c>
      <c r="Q99" s="42" t="n">
        <f aca="false">-Q137*C65/100</f>
        <v>-250396.16</v>
      </c>
      <c r="R99" s="42" t="n">
        <f aca="false">-R137*C65/100</f>
        <v>-125198.08</v>
      </c>
      <c r="S99" s="42" t="n">
        <f aca="false">-S137*C65/100</f>
        <v>-0</v>
      </c>
      <c r="T99" s="42" t="n">
        <f aca="false">-T137*C65/100</f>
        <v>-0</v>
      </c>
      <c r="U99" s="42" t="n">
        <f aca="false">-U137*C65/100</f>
        <v>-0</v>
      </c>
      <c r="V99" s="42" t="n">
        <f aca="false">-V137*C65/100</f>
        <v>-0</v>
      </c>
      <c r="W99" s="42" t="n">
        <f aca="false">-W137*C65/100</f>
        <v>-0</v>
      </c>
    </row>
    <row r="100" customFormat="false" ht="18.75" hidden="false" customHeight="true" outlineLevel="0" collapsed="false">
      <c r="B100" s="40" t="s">
        <v>33</v>
      </c>
      <c r="C100" s="34" t="s">
        <v>26</v>
      </c>
      <c r="D100" s="42" t="n">
        <f aca="false">-D31</f>
        <v>-697760</v>
      </c>
      <c r="E100" s="42" t="n">
        <f aca="false">-E31</f>
        <v>-697760</v>
      </c>
      <c r="F100" s="42" t="n">
        <f aca="false">-F31</f>
        <v>-697760</v>
      </c>
      <c r="G100" s="42" t="n">
        <f aca="false">-G31</f>
        <v>-697760</v>
      </c>
      <c r="H100" s="42" t="n">
        <f aca="false">-H31</f>
        <v>-697760</v>
      </c>
      <c r="I100" s="42" t="n">
        <f aca="false">-I31</f>
        <v>-697760</v>
      </c>
      <c r="J100" s="42" t="n">
        <f aca="false">-J31</f>
        <v>-697760</v>
      </c>
      <c r="K100" s="42" t="n">
        <f aca="false">-K31</f>
        <v>-697760</v>
      </c>
      <c r="L100" s="42" t="n">
        <f aca="false">-L31</f>
        <v>-697760</v>
      </c>
      <c r="M100" s="42" t="n">
        <f aca="false">-M31</f>
        <v>-697760</v>
      </c>
      <c r="N100" s="42" t="n">
        <f aca="false">-N31</f>
        <v>-697760</v>
      </c>
      <c r="O100" s="42" t="n">
        <f aca="false">-O31</f>
        <v>-697760</v>
      </c>
      <c r="P100" s="42" t="n">
        <f aca="false">-P31</f>
        <v>-697760</v>
      </c>
      <c r="Q100" s="42" t="n">
        <f aca="false">-Q31</f>
        <v>-697760</v>
      </c>
      <c r="R100" s="42" t="n">
        <f aca="false">-R31</f>
        <v>-697760</v>
      </c>
      <c r="S100" s="42" t="n">
        <f aca="false">-S31</f>
        <v>-697760</v>
      </c>
      <c r="T100" s="42" t="n">
        <f aca="false">-T31</f>
        <v>-697760</v>
      </c>
      <c r="U100" s="42" t="n">
        <f aca="false">-U31</f>
        <v>-697760</v>
      </c>
      <c r="V100" s="42" t="n">
        <f aca="false">-V31</f>
        <v>-697760</v>
      </c>
      <c r="W100" s="42" t="n">
        <f aca="false">-W31</f>
        <v>-697760</v>
      </c>
    </row>
    <row r="101" customFormat="false" ht="18.75" hidden="false" customHeight="true" outlineLevel="0" collapsed="false">
      <c r="B101" s="40" t="s">
        <v>34</v>
      </c>
      <c r="C101" s="34" t="s">
        <v>26</v>
      </c>
      <c r="D101" s="42" t="n">
        <f aca="false">-D38</f>
        <v>-156996</v>
      </c>
      <c r="E101" s="42" t="n">
        <f aca="false">-E38</f>
        <v>-156996</v>
      </c>
      <c r="F101" s="42" t="n">
        <f aca="false">-F38</f>
        <v>-156996</v>
      </c>
      <c r="G101" s="42" t="n">
        <f aca="false">-G38</f>
        <v>-156996</v>
      </c>
      <c r="H101" s="42" t="n">
        <f aca="false">-H38</f>
        <v>-156996</v>
      </c>
      <c r="I101" s="42" t="n">
        <f aca="false">-I38</f>
        <v>-156996</v>
      </c>
      <c r="J101" s="42" t="n">
        <f aca="false">-J38</f>
        <v>-156996</v>
      </c>
      <c r="K101" s="42" t="n">
        <f aca="false">-K38</f>
        <v>-156996</v>
      </c>
      <c r="L101" s="42" t="n">
        <f aca="false">-L38</f>
        <v>-156996</v>
      </c>
      <c r="M101" s="42" t="n">
        <f aca="false">-M38</f>
        <v>-156996</v>
      </c>
      <c r="N101" s="42" t="n">
        <f aca="false">-N38</f>
        <v>-156996</v>
      </c>
      <c r="O101" s="42" t="n">
        <f aca="false">-O38</f>
        <v>-156996</v>
      </c>
      <c r="P101" s="42" t="n">
        <f aca="false">-P38</f>
        <v>-156996</v>
      </c>
      <c r="Q101" s="42" t="n">
        <f aca="false">-Q38</f>
        <v>-156996</v>
      </c>
      <c r="R101" s="42" t="n">
        <f aca="false">-R38</f>
        <v>-156996</v>
      </c>
      <c r="S101" s="42" t="n">
        <f aca="false">-S38</f>
        <v>-156996</v>
      </c>
      <c r="T101" s="42" t="n">
        <f aca="false">-T38</f>
        <v>-156996</v>
      </c>
      <c r="U101" s="42" t="n">
        <f aca="false">-U38</f>
        <v>-156996</v>
      </c>
      <c r="V101" s="42" t="n">
        <f aca="false">-V38</f>
        <v>-156996</v>
      </c>
      <c r="W101" s="42" t="n">
        <f aca="false">-W38</f>
        <v>-156996</v>
      </c>
    </row>
    <row r="102" customFormat="false" ht="18.75" hidden="false" customHeight="true" outlineLevel="0" collapsed="false">
      <c r="B102" s="40" t="s">
        <v>35</v>
      </c>
      <c r="C102" s="34"/>
      <c r="D102" s="42" t="n">
        <f aca="false">-D45</f>
        <v>-174440</v>
      </c>
      <c r="E102" s="42" t="n">
        <f aca="false">-E45</f>
        <v>-174440</v>
      </c>
      <c r="F102" s="42" t="n">
        <f aca="false">-F45</f>
        <v>-174440</v>
      </c>
      <c r="G102" s="42" t="n">
        <f aca="false">-G45</f>
        <v>-174440</v>
      </c>
      <c r="H102" s="42" t="n">
        <f aca="false">-H45</f>
        <v>-174440</v>
      </c>
      <c r="I102" s="42" t="n">
        <f aca="false">-I45</f>
        <v>-174440</v>
      </c>
      <c r="J102" s="42" t="n">
        <f aca="false">-J45</f>
        <v>-174440</v>
      </c>
      <c r="K102" s="42" t="n">
        <f aca="false">-K45</f>
        <v>-174440</v>
      </c>
      <c r="L102" s="42" t="n">
        <f aca="false">-L45</f>
        <v>-174440</v>
      </c>
      <c r="M102" s="42" t="n">
        <f aca="false">-M45</f>
        <v>-174440</v>
      </c>
      <c r="N102" s="42" t="n">
        <f aca="false">-N45</f>
        <v>-0</v>
      </c>
      <c r="O102" s="42" t="n">
        <f aca="false">-O45</f>
        <v>-0</v>
      </c>
      <c r="P102" s="42" t="n">
        <f aca="false">-P45</f>
        <v>-0</v>
      </c>
      <c r="Q102" s="42" t="n">
        <f aca="false">-Q45</f>
        <v>-0</v>
      </c>
      <c r="R102" s="42" t="n">
        <f aca="false">-R45</f>
        <v>-0</v>
      </c>
      <c r="S102" s="42" t="n">
        <f aca="false">-S45</f>
        <v>-0</v>
      </c>
      <c r="T102" s="42" t="n">
        <f aca="false">-T45</f>
        <v>-0</v>
      </c>
      <c r="U102" s="42" t="n">
        <f aca="false">-U45</f>
        <v>-0</v>
      </c>
      <c r="V102" s="42" t="n">
        <f aca="false">-V45</f>
        <v>-0</v>
      </c>
      <c r="W102" s="42" t="n">
        <f aca="false">-W45</f>
        <v>-0</v>
      </c>
    </row>
    <row r="103" customFormat="false" ht="18.75" hidden="false" customHeight="true" outlineLevel="0" collapsed="false">
      <c r="B103" s="40" t="s">
        <v>36</v>
      </c>
      <c r="C103" s="43"/>
      <c r="D103" s="61"/>
      <c r="E103" s="62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</row>
    <row r="104" customFormat="false" ht="18.75" hidden="false" customHeight="true" outlineLevel="0" collapsed="false">
      <c r="B104" s="40" t="s">
        <v>37</v>
      </c>
      <c r="C104" s="43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</row>
    <row r="105" customFormat="false" ht="18.75" hidden="false" customHeight="true" outlineLevel="0" collapsed="false">
      <c r="B105" s="45" t="s">
        <v>46</v>
      </c>
      <c r="C105" s="63"/>
      <c r="D105" s="47" t="n">
        <f aca="false">SUM(D93:D104)</f>
        <v>684100.8</v>
      </c>
      <c r="E105" s="47" t="n">
        <f aca="false">SUM(E93:E104)</f>
        <v>774290.88</v>
      </c>
      <c r="F105" s="47" t="n">
        <f aca="false">SUM(F93:F104)</f>
        <v>864480.96</v>
      </c>
      <c r="G105" s="47" t="n">
        <f aca="false">SUM(G93:G104)</f>
        <v>954671.04</v>
      </c>
      <c r="H105" s="47" t="n">
        <f aca="false">SUM(H93:H104)</f>
        <v>1044861.12</v>
      </c>
      <c r="I105" s="47" t="n">
        <f aca="false">SUM(I93:I104)</f>
        <v>1135051.2</v>
      </c>
      <c r="J105" s="47" t="n">
        <f aca="false">SUM(J93:J104)</f>
        <v>1225241.28</v>
      </c>
      <c r="K105" s="47" t="n">
        <f aca="false">SUM(K93:K104)</f>
        <v>1315431.36</v>
      </c>
      <c r="L105" s="47" t="n">
        <f aca="false">SUM(L93:L104)</f>
        <v>1405621.44</v>
      </c>
      <c r="M105" s="47" t="n">
        <f aca="false">SUM(M93:M104)</f>
        <v>1495811.52</v>
      </c>
      <c r="N105" s="47" t="n">
        <f aca="false">SUM(N93:N104)</f>
        <v>1760441.6</v>
      </c>
      <c r="O105" s="47" t="n">
        <f aca="false">SUM(O93:O104)</f>
        <v>1850631.68</v>
      </c>
      <c r="P105" s="47" t="n">
        <f aca="false">SUM(P93:P104)</f>
        <v>1940821.76</v>
      </c>
      <c r="Q105" s="47" t="n">
        <f aca="false">SUM(Q93:Q104)</f>
        <v>2031011.84</v>
      </c>
      <c r="R105" s="47" t="n">
        <f aca="false">SUM(R93:R104)</f>
        <v>2121197.92</v>
      </c>
      <c r="S105" s="47" t="n">
        <f aca="false">SUM(S93:S104)</f>
        <v>2211388</v>
      </c>
      <c r="T105" s="47" t="n">
        <f aca="false">SUM(T93:T104)</f>
        <v>2176380</v>
      </c>
      <c r="U105" s="47" t="n">
        <f aca="false">SUM(U93:U104)</f>
        <v>2141372</v>
      </c>
      <c r="V105" s="47" t="n">
        <f aca="false">SUM(V93:V104)</f>
        <v>2106364</v>
      </c>
      <c r="W105" s="47" t="n">
        <f aca="false">SUM(W93:W104)</f>
        <v>2071356</v>
      </c>
    </row>
    <row r="106" customFormat="false" ht="18.75" hidden="false" customHeight="true" outlineLevel="0" collapsed="false">
      <c r="B106" s="44" t="s">
        <v>39</v>
      </c>
      <c r="C106" s="43"/>
      <c r="D106" s="42" t="n">
        <f aca="false">D105*0.2</f>
        <v>136820.16</v>
      </c>
      <c r="E106" s="42" t="n">
        <f aca="false">E105*0.2</f>
        <v>154858.176</v>
      </c>
      <c r="F106" s="42" t="n">
        <f aca="false">F105*0.2</f>
        <v>172896.192</v>
      </c>
      <c r="G106" s="42" t="n">
        <f aca="false">G105*0.2</f>
        <v>190934.208</v>
      </c>
      <c r="H106" s="42" t="n">
        <f aca="false">H105*0.2</f>
        <v>208972.224</v>
      </c>
      <c r="I106" s="42" t="n">
        <f aca="false">I105*0.2</f>
        <v>227010.24</v>
      </c>
      <c r="J106" s="42" t="n">
        <f aca="false">J105*0.2</f>
        <v>245048.256</v>
      </c>
      <c r="K106" s="42" t="n">
        <f aca="false">K105*0.2</f>
        <v>263086.272</v>
      </c>
      <c r="L106" s="42" t="n">
        <f aca="false">L105*0.2</f>
        <v>281124.288</v>
      </c>
      <c r="M106" s="42" t="n">
        <f aca="false">M105*0.2</f>
        <v>299162.304</v>
      </c>
      <c r="N106" s="42" t="n">
        <f aca="false">N105*0.2</f>
        <v>352088.32</v>
      </c>
      <c r="O106" s="42" t="n">
        <f aca="false">O105*0.2</f>
        <v>370126.336</v>
      </c>
      <c r="P106" s="42" t="n">
        <f aca="false">P105*0.2</f>
        <v>388164.352</v>
      </c>
      <c r="Q106" s="42" t="n">
        <f aca="false">Q105*0.2</f>
        <v>406202.368</v>
      </c>
      <c r="R106" s="42" t="n">
        <f aca="false">R105*0.2</f>
        <v>424239.584</v>
      </c>
      <c r="S106" s="42" t="n">
        <f aca="false">S105*0.2</f>
        <v>442277.6</v>
      </c>
      <c r="T106" s="42" t="n">
        <f aca="false">T105*0.2</f>
        <v>435276</v>
      </c>
      <c r="U106" s="42" t="n">
        <f aca="false">U105*0.2</f>
        <v>428274.4</v>
      </c>
      <c r="V106" s="42" t="n">
        <f aca="false">V105*0.2</f>
        <v>421272.8</v>
      </c>
      <c r="W106" s="42" t="n">
        <f aca="false">W105*0.2</f>
        <v>414271.2</v>
      </c>
    </row>
    <row r="107" customFormat="false" ht="15.75" hidden="false" customHeight="true" outlineLevel="0" collapsed="false">
      <c r="B107" s="64" t="s">
        <v>47</v>
      </c>
      <c r="D107" s="42" t="n">
        <f aca="false">D105-D106</f>
        <v>547280.64</v>
      </c>
      <c r="E107" s="42" t="n">
        <f aca="false">E105-E106</f>
        <v>619432.704</v>
      </c>
      <c r="F107" s="42" t="n">
        <f aca="false">F105-F106</f>
        <v>691584.768</v>
      </c>
      <c r="G107" s="42" t="n">
        <f aca="false">G105-G106</f>
        <v>763736.832</v>
      </c>
      <c r="H107" s="42" t="n">
        <f aca="false">H105-H106</f>
        <v>835888.896</v>
      </c>
      <c r="I107" s="42" t="n">
        <f aca="false">I105-I106</f>
        <v>908040.96</v>
      </c>
      <c r="J107" s="42" t="n">
        <f aca="false">J105-J106</f>
        <v>980193.024</v>
      </c>
      <c r="K107" s="42" t="n">
        <f aca="false">K105-K106</f>
        <v>1052345.088</v>
      </c>
      <c r="L107" s="42" t="n">
        <f aca="false">L105-L106</f>
        <v>1124497.152</v>
      </c>
      <c r="M107" s="42" t="n">
        <f aca="false">M105-M106</f>
        <v>1196649.216</v>
      </c>
      <c r="N107" s="42" t="n">
        <f aca="false">N105-N106</f>
        <v>1408353.28</v>
      </c>
      <c r="O107" s="42" t="n">
        <f aca="false">O105-O106</f>
        <v>1480505.344</v>
      </c>
      <c r="P107" s="42" t="n">
        <f aca="false">P105-P106</f>
        <v>1552657.408</v>
      </c>
      <c r="Q107" s="42" t="n">
        <f aca="false">Q105-Q106</f>
        <v>1624809.472</v>
      </c>
      <c r="R107" s="42" t="n">
        <f aca="false">R105-R106</f>
        <v>1696958.336</v>
      </c>
      <c r="S107" s="42" t="n">
        <f aca="false">S105-S106</f>
        <v>1769110.4</v>
      </c>
      <c r="T107" s="42" t="n">
        <f aca="false">T105-T106</f>
        <v>1741104</v>
      </c>
      <c r="U107" s="42" t="n">
        <f aca="false">U105-U106</f>
        <v>1713097.6</v>
      </c>
      <c r="V107" s="42" t="n">
        <f aca="false">V105-V106</f>
        <v>1685091.2</v>
      </c>
      <c r="W107" s="42" t="n">
        <f aca="false">W105-W106</f>
        <v>1657084.8</v>
      </c>
    </row>
    <row r="108" customFormat="false" ht="18.75" hidden="false" customHeight="true" outlineLevel="0" collapsed="false">
      <c r="B108" s="48" t="s">
        <v>41</v>
      </c>
      <c r="C108" s="65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</row>
    <row r="109" customFormat="false" ht="18.75" hidden="false" customHeight="true" outlineLevel="0" collapsed="false">
      <c r="B109" s="67" t="s">
        <v>42</v>
      </c>
      <c r="C109" s="68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</row>
    <row r="110" customFormat="false" ht="18.75" hidden="false" customHeight="true" outlineLevel="0" collapsed="false">
      <c r="C110" s="70" t="s">
        <v>0</v>
      </c>
      <c r="D110" s="71" t="n">
        <v>2020</v>
      </c>
      <c r="E110" s="71" t="n">
        <v>2021</v>
      </c>
      <c r="F110" s="71" t="n">
        <v>2022</v>
      </c>
      <c r="G110" s="71" t="n">
        <v>2023</v>
      </c>
      <c r="H110" s="71" t="n">
        <v>2024</v>
      </c>
      <c r="I110" s="71" t="n">
        <v>2025</v>
      </c>
      <c r="J110" s="71" t="n">
        <v>2026</v>
      </c>
      <c r="K110" s="71" t="n">
        <v>2027</v>
      </c>
      <c r="L110" s="71" t="n">
        <v>2028</v>
      </c>
      <c r="M110" s="71" t="n">
        <v>2029</v>
      </c>
      <c r="N110" s="71" t="n">
        <v>2030</v>
      </c>
      <c r="O110" s="71" t="n">
        <v>2031</v>
      </c>
      <c r="P110" s="71" t="n">
        <v>2032</v>
      </c>
      <c r="Q110" s="71" t="n">
        <v>2033</v>
      </c>
      <c r="R110" s="71" t="n">
        <v>2034</v>
      </c>
      <c r="S110" s="71" t="n">
        <v>2035</v>
      </c>
      <c r="T110" s="71" t="n">
        <v>2036</v>
      </c>
      <c r="U110" s="71" t="n">
        <v>2037</v>
      </c>
      <c r="V110" s="71" t="n">
        <v>2038</v>
      </c>
      <c r="W110" s="71" t="n">
        <v>2039</v>
      </c>
      <c r="X110" s="71"/>
    </row>
    <row r="111" customFormat="false" ht="18.75" hidden="false" customHeight="true" outlineLevel="0" collapsed="false"/>
    <row r="112" customFormat="false" ht="18.75" hidden="false" customHeight="true" outlineLevel="0" collapsed="false">
      <c r="B112" s="72" t="s">
        <v>23</v>
      </c>
      <c r="C112" s="72" t="n">
        <v>0</v>
      </c>
      <c r="D112" s="72" t="n">
        <v>1</v>
      </c>
      <c r="E112" s="72" t="n">
        <v>2</v>
      </c>
      <c r="F112" s="72" t="n">
        <v>3</v>
      </c>
      <c r="G112" s="72" t="n">
        <v>4</v>
      </c>
      <c r="H112" s="72" t="n">
        <v>5</v>
      </c>
      <c r="I112" s="72" t="n">
        <v>6</v>
      </c>
      <c r="J112" s="72" t="n">
        <v>7</v>
      </c>
      <c r="K112" s="72" t="n">
        <v>8</v>
      </c>
      <c r="L112" s="72" t="n">
        <v>9</v>
      </c>
      <c r="M112" s="72" t="n">
        <v>10</v>
      </c>
      <c r="N112" s="72" t="n">
        <v>11</v>
      </c>
      <c r="O112" s="72" t="n">
        <v>12</v>
      </c>
      <c r="P112" s="72" t="n">
        <v>13</v>
      </c>
      <c r="Q112" s="72" t="n">
        <v>14</v>
      </c>
      <c r="R112" s="72" t="n">
        <v>15</v>
      </c>
      <c r="S112" s="72" t="n">
        <v>16</v>
      </c>
      <c r="T112" s="72" t="n">
        <v>17</v>
      </c>
      <c r="U112" s="72" t="n">
        <v>18</v>
      </c>
      <c r="V112" s="72" t="n">
        <v>19</v>
      </c>
      <c r="W112" s="72" t="n">
        <v>20</v>
      </c>
      <c r="X112" s="72"/>
    </row>
    <row r="113" customFormat="false" ht="18.75" hidden="false" customHeight="true" outlineLevel="0" collapsed="false">
      <c r="B113" s="73" t="s">
        <v>47</v>
      </c>
      <c r="C113" s="73"/>
      <c r="D113" s="74" t="n">
        <f aca="false">D107</f>
        <v>547280.64</v>
      </c>
      <c r="E113" s="74" t="n">
        <f aca="false">E107</f>
        <v>619432.704</v>
      </c>
      <c r="F113" s="74" t="n">
        <f aca="false">F107</f>
        <v>691584.768</v>
      </c>
      <c r="G113" s="74" t="n">
        <f aca="false">G107</f>
        <v>763736.832</v>
      </c>
      <c r="H113" s="74" t="n">
        <f aca="false">H107</f>
        <v>835888.896</v>
      </c>
      <c r="I113" s="74" t="n">
        <f aca="false">I107</f>
        <v>908040.96</v>
      </c>
      <c r="J113" s="74" t="n">
        <f aca="false">J107</f>
        <v>980193.024</v>
      </c>
      <c r="K113" s="74" t="n">
        <f aca="false">K107</f>
        <v>1052345.088</v>
      </c>
      <c r="L113" s="74" t="n">
        <f aca="false">L107</f>
        <v>1124497.152</v>
      </c>
      <c r="M113" s="74" t="n">
        <f aca="false">M107</f>
        <v>1196649.216</v>
      </c>
      <c r="N113" s="74" t="n">
        <f aca="false">N107</f>
        <v>1408353.28</v>
      </c>
      <c r="O113" s="74" t="n">
        <f aca="false">O107</f>
        <v>1480505.344</v>
      </c>
      <c r="P113" s="74" t="n">
        <f aca="false">P107</f>
        <v>1552657.408</v>
      </c>
      <c r="Q113" s="74" t="n">
        <f aca="false">Q107</f>
        <v>1624809.472</v>
      </c>
      <c r="R113" s="74" t="n">
        <f aca="false">R107</f>
        <v>1696958.336</v>
      </c>
      <c r="S113" s="74" t="n">
        <f aca="false">S107</f>
        <v>1769110.4</v>
      </c>
      <c r="T113" s="74" t="n">
        <f aca="false">T107</f>
        <v>1741104</v>
      </c>
      <c r="U113" s="74" t="n">
        <f aca="false">U107</f>
        <v>1713097.6</v>
      </c>
      <c r="V113" s="74" t="n">
        <f aca="false">V107</f>
        <v>1685091.2</v>
      </c>
      <c r="W113" s="74" t="n">
        <f aca="false">W107</f>
        <v>1657084.8</v>
      </c>
      <c r="X113" s="74"/>
    </row>
    <row r="114" customFormat="false" ht="15.75" hidden="false" customHeight="true" outlineLevel="0" collapsed="false">
      <c r="B114" s="73" t="s">
        <v>16</v>
      </c>
      <c r="C114" s="73"/>
      <c r="D114" s="75" t="n">
        <f aca="false">D59</f>
        <v>3912440</v>
      </c>
      <c r="E114" s="75" t="n">
        <f aca="false">E59</f>
        <v>3912440</v>
      </c>
      <c r="F114" s="75" t="n">
        <f aca="false">F59</f>
        <v>3912440</v>
      </c>
      <c r="G114" s="75" t="n">
        <f aca="false">G59</f>
        <v>3912440</v>
      </c>
      <c r="H114" s="75" t="n">
        <f aca="false">H59</f>
        <v>3912440</v>
      </c>
      <c r="I114" s="75" t="n">
        <f aca="false">I59</f>
        <v>3912440</v>
      </c>
      <c r="J114" s="75" t="n">
        <f aca="false">J59</f>
        <v>3912440</v>
      </c>
      <c r="K114" s="75" t="n">
        <f aca="false">K59</f>
        <v>3912440</v>
      </c>
      <c r="L114" s="75" t="n">
        <f aca="false">L59</f>
        <v>3912440</v>
      </c>
      <c r="M114" s="75" t="n">
        <f aca="false">M59</f>
        <v>3912440</v>
      </c>
      <c r="N114" s="75" t="n">
        <f aca="false">N59</f>
        <v>3912440</v>
      </c>
      <c r="O114" s="75" t="n">
        <f aca="false">O59</f>
        <v>3912440</v>
      </c>
      <c r="P114" s="75" t="n">
        <f aca="false">P59</f>
        <v>3912440</v>
      </c>
      <c r="Q114" s="75" t="n">
        <f aca="false">Q59</f>
        <v>3912440</v>
      </c>
      <c r="R114" s="75" t="n">
        <f aca="false">R59</f>
        <v>3912440</v>
      </c>
      <c r="S114" s="75" t="n">
        <f aca="false">S59</f>
        <v>3912440</v>
      </c>
      <c r="T114" s="75" t="n">
        <f aca="false">T59</f>
        <v>3912440</v>
      </c>
      <c r="U114" s="75" t="n">
        <f aca="false">U59</f>
        <v>3912440</v>
      </c>
      <c r="V114" s="75" t="n">
        <f aca="false">V59</f>
        <v>3912440</v>
      </c>
      <c r="W114" s="75" t="n">
        <f aca="false">W59</f>
        <v>3912440</v>
      </c>
      <c r="X114" s="75"/>
    </row>
    <row r="115" customFormat="false" ht="15.75" hidden="false" customHeight="true" outlineLevel="0" collapsed="false">
      <c r="B115" s="73" t="s">
        <v>48</v>
      </c>
      <c r="C115" s="73"/>
      <c r="D115" s="76" t="n">
        <f aca="false">D113+D114</f>
        <v>4459720.64</v>
      </c>
      <c r="E115" s="76" t="n">
        <f aca="false">E113+E114</f>
        <v>4531872.704</v>
      </c>
      <c r="F115" s="76" t="n">
        <f aca="false">F113+F114</f>
        <v>4604024.768</v>
      </c>
      <c r="G115" s="76" t="n">
        <f aca="false">G113+G114</f>
        <v>4676176.832</v>
      </c>
      <c r="H115" s="76" t="n">
        <f aca="false">H113+H114</f>
        <v>4748328.896</v>
      </c>
      <c r="I115" s="76" t="n">
        <f aca="false">I113+I114</f>
        <v>4820480.96</v>
      </c>
      <c r="J115" s="76" t="n">
        <f aca="false">J113+J114</f>
        <v>4892633.024</v>
      </c>
      <c r="K115" s="76" t="n">
        <f aca="false">K113+K114</f>
        <v>4964785.088</v>
      </c>
      <c r="L115" s="76" t="n">
        <f aca="false">L113+L114</f>
        <v>5036937.152</v>
      </c>
      <c r="M115" s="76" t="n">
        <f aca="false">M113+M114</f>
        <v>5109089.216</v>
      </c>
      <c r="N115" s="76" t="n">
        <f aca="false">N113+N114</f>
        <v>5320793.28</v>
      </c>
      <c r="O115" s="76" t="n">
        <f aca="false">O113+O114</f>
        <v>5392945.344</v>
      </c>
      <c r="P115" s="76" t="n">
        <f aca="false">P113+P114</f>
        <v>5465097.408</v>
      </c>
      <c r="Q115" s="76" t="n">
        <f aca="false">Q113+Q114</f>
        <v>5537249.472</v>
      </c>
      <c r="R115" s="76" t="n">
        <f aca="false">R113+R114</f>
        <v>5609398.336</v>
      </c>
      <c r="S115" s="76" t="n">
        <f aca="false">S113+S114</f>
        <v>5681550.4</v>
      </c>
      <c r="T115" s="76" t="n">
        <f aca="false">T113+T114</f>
        <v>5653544</v>
      </c>
      <c r="U115" s="76" t="n">
        <f aca="false">U113+U114</f>
        <v>5625537.6</v>
      </c>
      <c r="V115" s="76" t="n">
        <f aca="false">V113+V114</f>
        <v>5597531.2</v>
      </c>
      <c r="W115" s="76" t="n">
        <f aca="false">W113+W114</f>
        <v>5569524.8</v>
      </c>
      <c r="X115" s="76"/>
    </row>
    <row r="116" customFormat="false" ht="15.75" hidden="false" customHeight="true" outlineLevel="0" collapsed="false">
      <c r="B116" s="73"/>
      <c r="C116" s="73"/>
      <c r="D116" s="73"/>
      <c r="E116" s="73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3"/>
    </row>
    <row r="117" customFormat="false" ht="15.75" hidden="false" customHeight="true" outlineLevel="0" collapsed="false">
      <c r="B117" s="78" t="s">
        <v>49</v>
      </c>
      <c r="C117" s="79"/>
      <c r="D117" s="80" t="n">
        <f aca="false">C73</f>
        <v>-78248800</v>
      </c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</row>
    <row r="118" customFormat="false" ht="15.75" hidden="false" customHeight="true" outlineLevel="0" collapsed="false">
      <c r="B118" s="73"/>
      <c r="C118" s="73"/>
      <c r="D118" s="73"/>
      <c r="E118" s="73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3"/>
    </row>
    <row r="119" customFormat="false" ht="15.75" hidden="false" customHeight="true" outlineLevel="0" collapsed="false">
      <c r="B119" s="73"/>
      <c r="C119" s="73"/>
      <c r="D119" s="73"/>
      <c r="E119" s="73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3"/>
    </row>
    <row r="120" customFormat="false" ht="15.75" hidden="false" customHeight="true" outlineLevel="0" collapsed="false">
      <c r="B120" s="78" t="s">
        <v>50</v>
      </c>
      <c r="C120" s="79"/>
      <c r="D120" s="80" t="n">
        <f aca="false">-D117*C61/100</f>
        <v>62599040</v>
      </c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</row>
    <row r="121" customFormat="false" ht="15.75" hidden="false" customHeight="true" outlineLevel="0" collapsed="false">
      <c r="B121" s="73" t="s">
        <v>51</v>
      </c>
      <c r="C121" s="73"/>
      <c r="D121" s="81"/>
      <c r="E121" s="81" t="n">
        <f aca="false">-D120/C62</f>
        <v>-4173269.33333333</v>
      </c>
      <c r="F121" s="81" t="n">
        <f aca="false">-D120/C62</f>
        <v>-4173269.33333333</v>
      </c>
      <c r="G121" s="81" t="n">
        <f aca="false">-D120/C62</f>
        <v>-4173269.33333333</v>
      </c>
      <c r="H121" s="81" t="n">
        <f aca="false">-D120/C62</f>
        <v>-4173269.33333333</v>
      </c>
      <c r="I121" s="81" t="n">
        <f aca="false">-D120/C62</f>
        <v>-4173269.33333333</v>
      </c>
      <c r="J121" s="81" t="n">
        <f aca="false">-D120/C62</f>
        <v>-4173269.33333333</v>
      </c>
      <c r="K121" s="81" t="n">
        <f aca="false">-D120/C62</f>
        <v>-4173269.33333333</v>
      </c>
      <c r="L121" s="81" t="n">
        <f aca="false">-D120/C62</f>
        <v>-4173269.33333333</v>
      </c>
      <c r="M121" s="81" t="n">
        <f aca="false">-D120/C62</f>
        <v>-4173269.33333333</v>
      </c>
      <c r="N121" s="81" t="n">
        <f aca="false">-D120/C62</f>
        <v>-4173269.33333333</v>
      </c>
      <c r="O121" s="81" t="n">
        <f aca="false">-D120/C62</f>
        <v>-4173269.33333333</v>
      </c>
      <c r="P121" s="81" t="n">
        <f aca="false">-D120/C62</f>
        <v>-4173269.33333333</v>
      </c>
      <c r="Q121" s="81" t="n">
        <f aca="false">-D120/C62</f>
        <v>-4173269.33333333</v>
      </c>
      <c r="R121" s="81" t="n">
        <f aca="false">-D120/C62</f>
        <v>-4173269.33333333</v>
      </c>
      <c r="S121" s="81" t="n">
        <f aca="false">-D120/C62</f>
        <v>-4173269.33333333</v>
      </c>
      <c r="T121" s="81"/>
      <c r="U121" s="81"/>
      <c r="V121" s="81"/>
      <c r="W121" s="81"/>
      <c r="X121" s="81"/>
    </row>
    <row r="122" customFormat="false" ht="15.75" hidden="false" customHeight="true" outlineLevel="0" collapsed="false">
      <c r="B122" s="73" t="s">
        <v>52</v>
      </c>
      <c r="C122" s="77"/>
      <c r="D122" s="74" t="n">
        <f aca="false">-D117*(1-C61/100)</f>
        <v>15649760</v>
      </c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</row>
    <row r="123" customFormat="false" ht="15.75" hidden="false" customHeight="true" outlineLevel="0" collapsed="false">
      <c r="B123" s="73" t="s">
        <v>53</v>
      </c>
      <c r="C123" s="77"/>
      <c r="D123" s="77"/>
      <c r="E123" s="82" t="n">
        <f aca="false">-D113*C63/100</f>
        <v>-492552.576</v>
      </c>
      <c r="F123" s="82" t="n">
        <f aca="false">-E113*C63/100</f>
        <v>-557489.4336</v>
      </c>
      <c r="G123" s="82" t="n">
        <f aca="false">-F113*C63/100</f>
        <v>-622426.2912</v>
      </c>
      <c r="H123" s="82" t="n">
        <f aca="false">-G113*C63/100</f>
        <v>-687363.1488</v>
      </c>
      <c r="I123" s="82" t="n">
        <f aca="false">-H113*C63/100</f>
        <v>-752300.0064</v>
      </c>
      <c r="J123" s="82" t="n">
        <f aca="false">-I113*C63/100</f>
        <v>-817236.864</v>
      </c>
      <c r="K123" s="82" t="n">
        <f aca="false">-J113*C63/100</f>
        <v>-882173.7216</v>
      </c>
      <c r="L123" s="82" t="n">
        <f aca="false">-K113*C63/100</f>
        <v>-947110.5792</v>
      </c>
      <c r="M123" s="82" t="n">
        <f aca="false">-L113*C63/100</f>
        <v>-1012047.4368</v>
      </c>
      <c r="N123" s="82" t="n">
        <f aca="false">-M113*C63/100</f>
        <v>-1076984.2944</v>
      </c>
      <c r="O123" s="82" t="n">
        <f aca="false">-N113*C63/100</f>
        <v>-1267517.952</v>
      </c>
      <c r="P123" s="82" t="n">
        <f aca="false">-O113*C63/100</f>
        <v>-1332454.8096</v>
      </c>
      <c r="Q123" s="82" t="n">
        <f aca="false">-P113*C63/100</f>
        <v>-1397391.6672</v>
      </c>
      <c r="R123" s="82" t="n">
        <f aca="false">-Q113*C63/100</f>
        <v>-1462328.5248</v>
      </c>
      <c r="S123" s="82" t="n">
        <f aca="false">-R113*C63/100</f>
        <v>-1527262.5024</v>
      </c>
      <c r="T123" s="82" t="n">
        <f aca="false">-S113*C63/100</f>
        <v>-1592199.36</v>
      </c>
      <c r="U123" s="82" t="n">
        <f aca="false">-T113*C63/100</f>
        <v>-1566993.6</v>
      </c>
      <c r="V123" s="82" t="n">
        <f aca="false">-U113*C63/100</f>
        <v>-1541787.84</v>
      </c>
      <c r="W123" s="82" t="n">
        <f aca="false">-V113*C63/100</f>
        <v>-1516582.08</v>
      </c>
      <c r="X123" s="82"/>
    </row>
    <row r="124" customFormat="false" ht="15.75" hidden="false" customHeight="true" outlineLevel="0" collapsed="false">
      <c r="B124" s="83" t="s">
        <v>54</v>
      </c>
      <c r="C124" s="84"/>
      <c r="D124" s="84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 t="n">
        <f aca="false">-D122/C64</f>
        <v>-3912440</v>
      </c>
      <c r="U124" s="85" t="n">
        <f aca="false">-D122/C64</f>
        <v>-3912440</v>
      </c>
      <c r="V124" s="85" t="n">
        <f aca="false">-D122/C64</f>
        <v>-3912440</v>
      </c>
      <c r="W124" s="85" t="n">
        <f aca="false">-D122/C64</f>
        <v>-3912440</v>
      </c>
      <c r="X124" s="85"/>
    </row>
    <row r="125" customFormat="false" ht="15.75" hidden="false" customHeight="true" outlineLevel="0" collapsed="false"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</row>
    <row r="126" customFormat="false" ht="15.75" hidden="false" customHeight="true" outlineLevel="0" collapsed="false"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</row>
    <row r="127" customFormat="false" ht="15.75" hidden="false" customHeight="true" outlineLevel="0" collapsed="false">
      <c r="B127" s="73" t="s">
        <v>55</v>
      </c>
      <c r="C127" s="74" t="n">
        <v>0</v>
      </c>
      <c r="D127" s="74" t="n">
        <f aca="false">SUM(D115:D124)</f>
        <v>4459720.64</v>
      </c>
      <c r="E127" s="74" t="n">
        <f aca="false">SUM(E115:E124)</f>
        <v>-133949.205333334</v>
      </c>
      <c r="F127" s="74" t="n">
        <f aca="false">SUM(F115:F124)</f>
        <v>-126733.998933333</v>
      </c>
      <c r="G127" s="74" t="n">
        <f aca="false">SUM(G115:G124)</f>
        <v>-119518.792533333</v>
      </c>
      <c r="H127" s="74" t="n">
        <f aca="false">SUM(H115:H124)</f>
        <v>-112303.586133333</v>
      </c>
      <c r="I127" s="74" t="n">
        <f aca="false">SUM(I115:I124)</f>
        <v>-105088.379733334</v>
      </c>
      <c r="J127" s="74" t="n">
        <f aca="false">SUM(J115:J124)</f>
        <v>-97873.1733333335</v>
      </c>
      <c r="K127" s="74" t="n">
        <f aca="false">SUM(K115:K124)</f>
        <v>-90657.9669333334</v>
      </c>
      <c r="L127" s="74" t="n">
        <f aca="false">SUM(L115:L124)</f>
        <v>-83442.7605333329</v>
      </c>
      <c r="M127" s="74" t="n">
        <f aca="false">SUM(M115:M124)</f>
        <v>-76227.5541333337</v>
      </c>
      <c r="N127" s="74" t="n">
        <f aca="false">SUM(N115:N124)</f>
        <v>70539.6522666665</v>
      </c>
      <c r="O127" s="74" t="n">
        <f aca="false">SUM(O115:O124)</f>
        <v>-47841.9413333333</v>
      </c>
      <c r="P127" s="74" t="n">
        <f aca="false">SUM(P115:P124)</f>
        <v>-40626.7349333337</v>
      </c>
      <c r="Q127" s="74" t="n">
        <f aca="false">SUM(Q115:Q124)</f>
        <v>-33411.5285333337</v>
      </c>
      <c r="R127" s="74" t="n">
        <f aca="false">SUM(R115:R124)</f>
        <v>-26199.5221333336</v>
      </c>
      <c r="S127" s="74" t="n">
        <f aca="false">SUM(S115:S124)</f>
        <v>-18981.4357333335</v>
      </c>
      <c r="T127" s="74" t="n">
        <f aca="false">SUM(T115:T124)</f>
        <v>148904.640000001</v>
      </c>
      <c r="U127" s="74" t="n">
        <f aca="false">SUM(U115:U124)</f>
        <v>146104</v>
      </c>
      <c r="V127" s="74" t="n">
        <f aca="false">SUM(V115:V124)</f>
        <v>143303.360000001</v>
      </c>
      <c r="W127" s="74" t="n">
        <f aca="false">SUM(W115:W124)</f>
        <v>140502.720000001</v>
      </c>
      <c r="X127" s="74"/>
    </row>
    <row r="128" customFormat="false" ht="15.75" hidden="false" customHeight="true" outlineLevel="0" collapsed="false">
      <c r="B128" s="73" t="s">
        <v>56</v>
      </c>
      <c r="C128" s="74" t="n">
        <v>0</v>
      </c>
      <c r="D128" s="74" t="n">
        <v>0</v>
      </c>
      <c r="E128" s="74" t="n">
        <f aca="false">D129</f>
        <v>4459720.64</v>
      </c>
      <c r="F128" s="74" t="n">
        <f aca="false">E129</f>
        <v>4325771.43466666</v>
      </c>
      <c r="G128" s="74" t="n">
        <f aca="false">F129</f>
        <v>4199037.43573333</v>
      </c>
      <c r="H128" s="74" t="n">
        <f aca="false">G129</f>
        <v>4079518.6432</v>
      </c>
      <c r="I128" s="74" t="n">
        <f aca="false">H129</f>
        <v>3967215.05706666</v>
      </c>
      <c r="J128" s="74" t="n">
        <f aca="false">I129</f>
        <v>3862126.67733333</v>
      </c>
      <c r="K128" s="74" t="n">
        <f aca="false">J129</f>
        <v>3764253.504</v>
      </c>
      <c r="L128" s="74" t="n">
        <f aca="false">K129</f>
        <v>3673595.53706666</v>
      </c>
      <c r="M128" s="74" t="n">
        <f aca="false">L129</f>
        <v>3590152.77653333</v>
      </c>
      <c r="N128" s="74" t="n">
        <f aca="false">M129</f>
        <v>3513925.2224</v>
      </c>
      <c r="O128" s="74" t="n">
        <f aca="false">N129</f>
        <v>3584464.87466666</v>
      </c>
      <c r="P128" s="74" t="n">
        <f aca="false">O129</f>
        <v>3536622.93333333</v>
      </c>
      <c r="Q128" s="74" t="n">
        <f aca="false">P129</f>
        <v>3495996.1984</v>
      </c>
      <c r="R128" s="74" t="n">
        <f aca="false">Q129</f>
        <v>3462584.66986666</v>
      </c>
      <c r="S128" s="74" t="n">
        <f aca="false">R129</f>
        <v>3436385.14773333</v>
      </c>
      <c r="T128" s="74" t="n">
        <f aca="false">S129</f>
        <v>3417403.712</v>
      </c>
      <c r="U128" s="74" t="n">
        <f aca="false">T129</f>
        <v>3566308.352</v>
      </c>
      <c r="V128" s="74" t="n">
        <f aca="false">U129</f>
        <v>3712412.352</v>
      </c>
      <c r="W128" s="74" t="n">
        <f aca="false">V129</f>
        <v>3855715.712</v>
      </c>
      <c r="X128" s="74"/>
    </row>
    <row r="129" customFormat="false" ht="15.75" hidden="false" customHeight="true" outlineLevel="0" collapsed="false">
      <c r="B129" s="73" t="s">
        <v>57</v>
      </c>
      <c r="C129" s="74" t="n">
        <v>0</v>
      </c>
      <c r="D129" s="74" t="n">
        <f aca="false">D127+D128</f>
        <v>4459720.64</v>
      </c>
      <c r="E129" s="74" t="n">
        <f aca="false">E127+E128</f>
        <v>4325771.43466666</v>
      </c>
      <c r="F129" s="74" t="n">
        <f aca="false">F127+F128</f>
        <v>4199037.43573333</v>
      </c>
      <c r="G129" s="74" t="n">
        <f aca="false">G127+G128</f>
        <v>4079518.6432</v>
      </c>
      <c r="H129" s="74" t="n">
        <f aca="false">H127+H128</f>
        <v>3967215.05706666</v>
      </c>
      <c r="I129" s="74" t="n">
        <f aca="false">I127+I128</f>
        <v>3862126.67733333</v>
      </c>
      <c r="J129" s="74" t="n">
        <f aca="false">J127+J128</f>
        <v>3764253.504</v>
      </c>
      <c r="K129" s="74" t="n">
        <f aca="false">K127+K128</f>
        <v>3673595.53706666</v>
      </c>
      <c r="L129" s="74" t="n">
        <f aca="false">L127+L128</f>
        <v>3590152.77653333</v>
      </c>
      <c r="M129" s="74" t="n">
        <f aca="false">M127+M128</f>
        <v>3513925.2224</v>
      </c>
      <c r="N129" s="74" t="n">
        <f aca="false">N127+N128</f>
        <v>3584464.87466666</v>
      </c>
      <c r="O129" s="74" t="n">
        <f aca="false">O127+O128</f>
        <v>3536622.93333333</v>
      </c>
      <c r="P129" s="74" t="n">
        <f aca="false">P127+P128</f>
        <v>3495996.1984</v>
      </c>
      <c r="Q129" s="74" t="n">
        <f aca="false">Q127+Q128</f>
        <v>3462584.66986666</v>
      </c>
      <c r="R129" s="74" t="n">
        <f aca="false">R127+R128</f>
        <v>3436385.14773333</v>
      </c>
      <c r="S129" s="74" t="n">
        <f aca="false">S127+S128</f>
        <v>3417403.712</v>
      </c>
      <c r="T129" s="74" t="n">
        <f aca="false">T127+T128</f>
        <v>3566308.352</v>
      </c>
      <c r="U129" s="74" t="n">
        <f aca="false">U127+U128</f>
        <v>3712412.352</v>
      </c>
      <c r="V129" s="74" t="n">
        <f aca="false">V127+V128</f>
        <v>3855715.712</v>
      </c>
      <c r="W129" s="74" t="n">
        <f aca="false">W127+W128</f>
        <v>3996218.432</v>
      </c>
      <c r="X129" s="74"/>
    </row>
    <row r="130" customFormat="false" ht="15.75" hidden="false" customHeight="true" outlineLevel="0" collapsed="false"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</row>
    <row r="131" customFormat="false" ht="15.75" hidden="false" customHeight="true" outlineLevel="0" collapsed="false">
      <c r="B131" s="73"/>
      <c r="C131" s="73"/>
      <c r="D131" s="73"/>
      <c r="E131" s="73"/>
      <c r="F131" s="77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</row>
    <row r="132" customFormat="false" ht="15.75" hidden="false" customHeight="true" outlineLevel="0" collapsed="false">
      <c r="B132" s="86" t="s">
        <v>58</v>
      </c>
      <c r="C132" s="87"/>
      <c r="D132" s="88" t="n">
        <f aca="false">-D122</f>
        <v>-15649760</v>
      </c>
      <c r="E132" s="76" t="n">
        <f aca="false">-E123-E124</f>
        <v>492552.576</v>
      </c>
      <c r="F132" s="76" t="n">
        <f aca="false">-F123-F124</f>
        <v>557489.4336</v>
      </c>
      <c r="G132" s="76" t="n">
        <f aca="false">-G123-G124</f>
        <v>622426.2912</v>
      </c>
      <c r="H132" s="76" t="n">
        <f aca="false">-H123-H124</f>
        <v>687363.1488</v>
      </c>
      <c r="I132" s="76" t="n">
        <f aca="false">-I123-I124</f>
        <v>752300.0064</v>
      </c>
      <c r="J132" s="76" t="n">
        <f aca="false">-J123-J124</f>
        <v>817236.864</v>
      </c>
      <c r="K132" s="76" t="n">
        <f aca="false">-K123-K124</f>
        <v>882173.7216</v>
      </c>
      <c r="L132" s="76" t="n">
        <f aca="false">-L123-L124</f>
        <v>947110.5792</v>
      </c>
      <c r="M132" s="76" t="n">
        <f aca="false">-M123-M124</f>
        <v>1012047.4368</v>
      </c>
      <c r="N132" s="76" t="n">
        <f aca="false">-N123-N124</f>
        <v>1076984.2944</v>
      </c>
      <c r="O132" s="76" t="n">
        <f aca="false">-O123-O124</f>
        <v>1267517.952</v>
      </c>
      <c r="P132" s="76" t="n">
        <f aca="false">-P123-P124</f>
        <v>1332454.8096</v>
      </c>
      <c r="Q132" s="76" t="n">
        <f aca="false">-Q123-Q124</f>
        <v>1397391.6672</v>
      </c>
      <c r="R132" s="76" t="n">
        <f aca="false">-R123-R124</f>
        <v>1462328.5248</v>
      </c>
      <c r="S132" s="76" t="n">
        <f aca="false">-S123-S124</f>
        <v>1527262.5024</v>
      </c>
      <c r="T132" s="76" t="n">
        <f aca="false">-T123-T124</f>
        <v>5504639.36</v>
      </c>
      <c r="U132" s="76" t="n">
        <f aca="false">-U123-U124</f>
        <v>5479433.6</v>
      </c>
      <c r="V132" s="76" t="n">
        <f aca="false">-V123-V124</f>
        <v>5454227.84</v>
      </c>
      <c r="W132" s="76" t="n">
        <f aca="false">-W123-W124</f>
        <v>5429022.08</v>
      </c>
      <c r="X132" s="76"/>
    </row>
    <row r="133" customFormat="false" ht="15.75" hidden="false" customHeight="true" outlineLevel="0" collapsed="false">
      <c r="B133" s="73" t="s">
        <v>59</v>
      </c>
      <c r="C133" s="89" t="n">
        <f aca="false">IRR(D132:W132)</f>
        <v>0.0656019138311076</v>
      </c>
      <c r="D133" s="77"/>
      <c r="E133" s="77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7"/>
    </row>
    <row r="134" customFormat="false" ht="15.75" hidden="false" customHeight="true" outlineLevel="0" collapsed="false">
      <c r="B134" s="86" t="s">
        <v>60</v>
      </c>
      <c r="C134" s="87"/>
      <c r="D134" s="88" t="n">
        <f aca="false">D113-D122</f>
        <v>-15102479.36</v>
      </c>
      <c r="E134" s="76" t="n">
        <f aca="false">E113-E124</f>
        <v>619432.704</v>
      </c>
      <c r="F134" s="76" t="n">
        <f aca="false">F113-F124</f>
        <v>691584.768</v>
      </c>
      <c r="G134" s="76" t="n">
        <f aca="false">G113-G124</f>
        <v>763736.832</v>
      </c>
      <c r="H134" s="76" t="n">
        <f aca="false">H113-H124</f>
        <v>835888.896</v>
      </c>
      <c r="I134" s="76" t="n">
        <f aca="false">I113-I124</f>
        <v>908040.96</v>
      </c>
      <c r="J134" s="76" t="n">
        <f aca="false">J113-J124</f>
        <v>980193.024</v>
      </c>
      <c r="K134" s="76" t="n">
        <f aca="false">K113-K124</f>
        <v>1052345.088</v>
      </c>
      <c r="L134" s="76" t="n">
        <f aca="false">L113-L124</f>
        <v>1124497.152</v>
      </c>
      <c r="M134" s="76" t="n">
        <f aca="false">M113-M124</f>
        <v>1196649.216</v>
      </c>
      <c r="N134" s="76" t="n">
        <f aca="false">N113-N124</f>
        <v>1408353.28</v>
      </c>
      <c r="O134" s="76" t="n">
        <f aca="false">O113-O124</f>
        <v>1480505.344</v>
      </c>
      <c r="P134" s="76" t="n">
        <f aca="false">P113-P124</f>
        <v>1552657.408</v>
      </c>
      <c r="Q134" s="76" t="n">
        <f aca="false">Q113-Q124</f>
        <v>1624809.472</v>
      </c>
      <c r="R134" s="76" t="n">
        <f aca="false">R113-R124</f>
        <v>1696958.336</v>
      </c>
      <c r="S134" s="76" t="n">
        <f aca="false">S113-S124</f>
        <v>1769110.4</v>
      </c>
      <c r="T134" s="76" t="n">
        <f aca="false">T113-T124</f>
        <v>5653544</v>
      </c>
      <c r="U134" s="76" t="n">
        <f aca="false">U113-U124</f>
        <v>5625537.6</v>
      </c>
      <c r="V134" s="76" t="n">
        <f aca="false">V113-V124</f>
        <v>5597531.2</v>
      </c>
      <c r="W134" s="76" t="n">
        <f aca="false">W113-W124</f>
        <v>5569524.8</v>
      </c>
      <c r="X134" s="76"/>
    </row>
    <row r="135" customFormat="false" ht="15.75" hidden="false" customHeight="true" outlineLevel="0" collapsed="false">
      <c r="B135" s="86" t="s">
        <v>61</v>
      </c>
      <c r="C135" s="89" t="n">
        <f aca="false">IRR(D134:W134)</f>
        <v>0.0790120261460476</v>
      </c>
      <c r="D135" s="77"/>
      <c r="E135" s="77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7"/>
    </row>
    <row r="136" customFormat="false" ht="15.75" hidden="false" customHeight="true" outlineLevel="0" collapsed="false"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</row>
    <row r="137" customFormat="false" ht="15.75" hidden="false" customHeight="true" outlineLevel="0" collapsed="false">
      <c r="B137" s="73" t="s">
        <v>62</v>
      </c>
      <c r="C137" s="74" t="n">
        <v>0</v>
      </c>
      <c r="D137" s="74" t="n">
        <f aca="false">D120</f>
        <v>62599040</v>
      </c>
      <c r="E137" s="74" t="n">
        <f aca="false">D137+E121</f>
        <v>58425770.6666667</v>
      </c>
      <c r="F137" s="74" t="n">
        <f aca="false">E137+F121</f>
        <v>54252501.3333333</v>
      </c>
      <c r="G137" s="74" t="n">
        <f aca="false">F137+G121</f>
        <v>50079232</v>
      </c>
      <c r="H137" s="74" t="n">
        <f aca="false">G137+H121</f>
        <v>45905962.6666667</v>
      </c>
      <c r="I137" s="74" t="n">
        <f aca="false">H137+I121</f>
        <v>41732693.3333333</v>
      </c>
      <c r="J137" s="74" t="n">
        <f aca="false">I137+J121</f>
        <v>37559424</v>
      </c>
      <c r="K137" s="74" t="n">
        <f aca="false">J137+K121</f>
        <v>33386154.6666667</v>
      </c>
      <c r="L137" s="74" t="n">
        <f aca="false">K137+L121</f>
        <v>29212885.3333333</v>
      </c>
      <c r="M137" s="74" t="n">
        <f aca="false">L137+M121</f>
        <v>25039616</v>
      </c>
      <c r="N137" s="74" t="n">
        <f aca="false">M137+N121</f>
        <v>20866346.6666667</v>
      </c>
      <c r="O137" s="74" t="n">
        <f aca="false">N137+O121</f>
        <v>16693077.3333333</v>
      </c>
      <c r="P137" s="74" t="n">
        <f aca="false">O137+P121</f>
        <v>12519808</v>
      </c>
      <c r="Q137" s="74" t="n">
        <f aca="false">P137+Q121</f>
        <v>8346538.66666666</v>
      </c>
      <c r="R137" s="74" t="n">
        <f aca="false">Q137+R121</f>
        <v>4173269.33333332</v>
      </c>
      <c r="S137" s="74" t="n">
        <f aca="false">R137+S121</f>
        <v>0</v>
      </c>
      <c r="T137" s="74" t="n">
        <f aca="false">S137+T121</f>
        <v>0</v>
      </c>
      <c r="U137" s="74" t="n">
        <f aca="false">T137+U121</f>
        <v>0</v>
      </c>
      <c r="V137" s="74" t="n">
        <f aca="false">U137+V121</f>
        <v>0</v>
      </c>
      <c r="W137" s="74" t="n">
        <f aca="false">V137+W121</f>
        <v>0</v>
      </c>
      <c r="X137" s="7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30.93"/>
    <col collapsed="false" customWidth="true" hidden="false" outlineLevel="0" max="3" min="3" style="0" width="24.56"/>
    <col collapsed="false" customWidth="true" hidden="false" outlineLevel="0" max="4" min="4" style="0" width="33.66"/>
    <col collapsed="false" customWidth="true" hidden="false" outlineLevel="0" max="6" min="6" style="0" width="45.49"/>
    <col collapsed="false" customWidth="true" hidden="false" outlineLevel="0" max="7" min="7" style="0" width="33.66"/>
    <col collapsed="false" customWidth="true" hidden="false" outlineLevel="0" max="13" min="13" style="0" width="45.49"/>
    <col collapsed="false" customWidth="true" hidden="false" outlineLevel="0" max="14" min="14" style="0" width="33.66"/>
    <col collapsed="false" customWidth="true" hidden="false" outlineLevel="0" max="24" min="24" style="0" width="27.3"/>
    <col collapsed="false" customWidth="true" hidden="false" outlineLevel="0" max="25" min="25" style="0" width="9.1"/>
    <col collapsed="false" customWidth="true" hidden="false" outlineLevel="0" max="28" min="28" style="0" width="10.01"/>
    <col collapsed="false" customWidth="true" hidden="false" outlineLevel="0" max="36" min="36" style="0" width="7.28"/>
    <col collapsed="false" customWidth="true" hidden="false" outlineLevel="0" max="37" min="37" style="0" width="8.32"/>
  </cols>
  <sheetData>
    <row r="1" customFormat="false" ht="22.5" hidden="false" customHeight="true" outlineLevel="0" collapsed="false">
      <c r="B1" s="90" t="s">
        <v>63</v>
      </c>
      <c r="C1" s="91"/>
      <c r="D1" s="91"/>
      <c r="E1" s="92"/>
      <c r="F1" s="93" t="s">
        <v>64</v>
      </c>
      <c r="P1" s="94" t="n">
        <f aca="false">1-D11</f>
        <v>0.99</v>
      </c>
      <c r="Q1" s="94" t="n">
        <f aca="false">P1-$D12</f>
        <v>0.986</v>
      </c>
      <c r="R1" s="94" t="n">
        <f aca="false">Q1-$D12</f>
        <v>0.982</v>
      </c>
      <c r="S1" s="94" t="n">
        <f aca="false">R1-$D12</f>
        <v>0.978</v>
      </c>
      <c r="T1" s="94" t="n">
        <f aca="false">S1-$D12</f>
        <v>0.974</v>
      </c>
      <c r="U1" s="94" t="n">
        <f aca="false">T1-$D12</f>
        <v>0.97</v>
      </c>
      <c r="V1" s="94" t="n">
        <f aca="false">U1-$D12</f>
        <v>0.966</v>
      </c>
      <c r="W1" s="94" t="n">
        <f aca="false">V1-$D12</f>
        <v>0.962</v>
      </c>
      <c r="X1" s="94" t="n">
        <f aca="false">W1-$D12</f>
        <v>0.958</v>
      </c>
      <c r="Y1" s="94" t="n">
        <f aca="false">X1-$D12</f>
        <v>0.954</v>
      </c>
      <c r="Z1" s="94" t="n">
        <f aca="false">Y1-$D12</f>
        <v>0.95</v>
      </c>
      <c r="AA1" s="94" t="n">
        <f aca="false">Z1-$D12</f>
        <v>0.946</v>
      </c>
      <c r="AB1" s="94" t="n">
        <f aca="false">AA1-$D12</f>
        <v>0.942</v>
      </c>
      <c r="AC1" s="94" t="n">
        <f aca="false">AB1-$D12</f>
        <v>0.938</v>
      </c>
      <c r="AD1" s="94" t="n">
        <f aca="false">AC1-$D12</f>
        <v>0.934</v>
      </c>
      <c r="AE1" s="94" t="n">
        <f aca="false">AD1-$D12</f>
        <v>0.93</v>
      </c>
      <c r="AF1" s="94" t="n">
        <f aca="false">AE1-$D12</f>
        <v>0.926</v>
      </c>
      <c r="AG1" s="94" t="n">
        <f aca="false">AF1-$D12</f>
        <v>0.922</v>
      </c>
      <c r="AH1" s="94" t="n">
        <f aca="false">AG1-$D12</f>
        <v>0.918</v>
      </c>
      <c r="AI1" s="94" t="n">
        <f aca="false">AH1-$D12</f>
        <v>0.914</v>
      </c>
    </row>
    <row r="2" customFormat="false" ht="21.75" hidden="false" customHeight="true" outlineLevel="0" collapsed="false">
      <c r="B2" s="95" t="s">
        <v>65</v>
      </c>
      <c r="C2" s="96" t="s">
        <v>2</v>
      </c>
      <c r="D2" s="97" t="s">
        <v>26</v>
      </c>
      <c r="E2" s="98" t="s">
        <v>26</v>
      </c>
      <c r="F2" s="99" t="s">
        <v>66</v>
      </c>
    </row>
    <row r="3" customFormat="false" ht="21.75" hidden="false" customHeight="true" outlineLevel="0" collapsed="false">
      <c r="B3" s="100" t="s">
        <v>67</v>
      </c>
      <c r="C3" s="101" t="n">
        <v>20</v>
      </c>
      <c r="D3" s="102" t="s">
        <v>26</v>
      </c>
      <c r="E3" s="103" t="s">
        <v>26</v>
      </c>
      <c r="F3" s="104" t="s">
        <v>68</v>
      </c>
    </row>
    <row r="4" customFormat="false" ht="21.75" hidden="false" customHeight="true" outlineLevel="0" collapsed="false">
      <c r="B4" s="100" t="s">
        <v>69</v>
      </c>
      <c r="C4" s="101" t="n">
        <v>436.1</v>
      </c>
      <c r="D4" s="102" t="s">
        <v>26</v>
      </c>
      <c r="E4" s="103" t="s">
        <v>26</v>
      </c>
      <c r="F4" s="104" t="s">
        <v>70</v>
      </c>
      <c r="M4" s="105" t="s">
        <v>71</v>
      </c>
    </row>
    <row r="5" customFormat="false" ht="22.5" hidden="false" customHeight="true" outlineLevel="0" collapsed="false">
      <c r="B5" s="106" t="s">
        <v>72</v>
      </c>
      <c r="C5" s="101" t="n">
        <v>2020</v>
      </c>
      <c r="D5" s="106" t="s">
        <v>73</v>
      </c>
      <c r="E5" s="107" t="n">
        <v>2039</v>
      </c>
      <c r="F5" s="104" t="s">
        <v>74</v>
      </c>
      <c r="M5" s="105" t="s">
        <v>75</v>
      </c>
    </row>
    <row r="6" customFormat="false" ht="20.25" hidden="false" customHeight="true" outlineLevel="0" collapsed="false">
      <c r="B6" s="108"/>
      <c r="C6" s="108"/>
      <c r="D6" s="108"/>
      <c r="E6" s="108"/>
      <c r="M6" s="105" t="s">
        <v>76</v>
      </c>
    </row>
    <row r="7" customFormat="false" ht="22.5" hidden="false" customHeight="true" outlineLevel="0" collapsed="false">
      <c r="B7" s="90" t="s">
        <v>77</v>
      </c>
      <c r="C7" s="91"/>
      <c r="D7" s="91"/>
      <c r="E7" s="92"/>
      <c r="M7" s="105" t="s">
        <v>78</v>
      </c>
    </row>
    <row r="8" customFormat="false" ht="22.5" hidden="false" customHeight="true" outlineLevel="0" collapsed="false">
      <c r="B8" s="109" t="s">
        <v>79</v>
      </c>
      <c r="E8" s="110"/>
      <c r="M8" s="105" t="s">
        <v>80</v>
      </c>
    </row>
    <row r="9" customFormat="false" ht="22.5" hidden="false" customHeight="true" outlineLevel="0" collapsed="false">
      <c r="B9" s="111" t="s">
        <v>81</v>
      </c>
      <c r="C9" s="112" t="s">
        <v>82</v>
      </c>
      <c r="D9" s="112" t="s">
        <v>83</v>
      </c>
      <c r="E9" s="113" t="s">
        <v>84</v>
      </c>
      <c r="F9" s="93" t="s">
        <v>64</v>
      </c>
      <c r="M9" s="105" t="s">
        <v>85</v>
      </c>
    </row>
    <row r="10" customFormat="false" ht="30" hidden="false" customHeight="true" outlineLevel="0" collapsed="false">
      <c r="B10" s="114" t="s">
        <v>86</v>
      </c>
      <c r="C10" s="115" t="s">
        <v>87</v>
      </c>
      <c r="D10" s="116" t="n">
        <v>547002</v>
      </c>
      <c r="E10" s="117" t="n">
        <v>20</v>
      </c>
      <c r="F10" s="104" t="s">
        <v>88</v>
      </c>
      <c r="M10" s="105" t="s">
        <v>89</v>
      </c>
    </row>
    <row r="11" customFormat="false" ht="30" hidden="false" customHeight="true" outlineLevel="0" collapsed="false">
      <c r="B11" s="118"/>
      <c r="C11" s="106" t="s">
        <v>90</v>
      </c>
      <c r="D11" s="119" t="n">
        <v>0.01</v>
      </c>
      <c r="E11" s="120"/>
      <c r="F11" s="104" t="s">
        <v>91</v>
      </c>
    </row>
    <row r="12" customFormat="false" ht="30" hidden="false" customHeight="true" outlineLevel="0" collapsed="false">
      <c r="B12" s="118"/>
      <c r="C12" s="106" t="s">
        <v>92</v>
      </c>
      <c r="D12" s="121" t="n">
        <v>0.004</v>
      </c>
      <c r="E12" s="120"/>
      <c r="F12" s="104" t="s">
        <v>93</v>
      </c>
    </row>
    <row r="13" customFormat="false" ht="22.5" hidden="false" customHeight="true" outlineLevel="0" collapsed="false">
      <c r="B13" s="118"/>
      <c r="C13" s="122" t="s">
        <v>94</v>
      </c>
      <c r="D13" s="123" t="n">
        <v>4</v>
      </c>
      <c r="E13" s="120"/>
      <c r="F13" s="104" t="s">
        <v>95</v>
      </c>
    </row>
    <row r="14" customFormat="false" ht="22.5" hidden="false" customHeight="true" outlineLevel="0" collapsed="false">
      <c r="B14" s="124" t="s">
        <v>96</v>
      </c>
      <c r="C14" s="91"/>
      <c r="D14" s="91"/>
      <c r="E14" s="92"/>
    </row>
    <row r="15" customFormat="false" ht="22.5" hidden="false" customHeight="true" outlineLevel="0" collapsed="false">
      <c r="B15" s="111" t="s">
        <v>81</v>
      </c>
      <c r="C15" s="112" t="s">
        <v>82</v>
      </c>
      <c r="D15" s="112" t="s">
        <v>83</v>
      </c>
      <c r="E15" s="113" t="s">
        <v>97</v>
      </c>
      <c r="F15" s="93" t="s">
        <v>64</v>
      </c>
    </row>
    <row r="16" customFormat="false" ht="21.75" hidden="false" customHeight="true" outlineLevel="0" collapsed="false">
      <c r="B16" s="115" t="s">
        <v>98</v>
      </c>
      <c r="C16" s="115" t="s">
        <v>99</v>
      </c>
      <c r="D16" s="125" t="n">
        <v>33000</v>
      </c>
      <c r="E16" s="98" t="n">
        <v>20</v>
      </c>
      <c r="F16" s="104" t="s">
        <v>100</v>
      </c>
    </row>
    <row r="17" customFormat="false" ht="21.75" hidden="false" customHeight="true" outlineLevel="0" collapsed="false">
      <c r="B17" s="118"/>
      <c r="C17" s="106" t="s">
        <v>101</v>
      </c>
      <c r="D17" s="126" t="n">
        <v>0.3</v>
      </c>
      <c r="E17" s="120"/>
      <c r="F17" s="104" t="s">
        <v>102</v>
      </c>
    </row>
    <row r="18" customFormat="false" ht="21.75" hidden="false" customHeight="true" outlineLevel="0" collapsed="false">
      <c r="B18" s="127"/>
      <c r="C18" s="106" t="s">
        <v>103</v>
      </c>
      <c r="D18" s="128" t="n">
        <v>2000</v>
      </c>
      <c r="E18" s="129"/>
      <c r="F18" s="104" t="s">
        <v>104</v>
      </c>
    </row>
    <row r="19" customFormat="false" ht="54" hidden="false" customHeight="true" outlineLevel="0" collapsed="false">
      <c r="B19" s="106" t="s">
        <v>105</v>
      </c>
      <c r="C19" s="130" t="s">
        <v>106</v>
      </c>
      <c r="D19" s="126" t="n">
        <v>1</v>
      </c>
      <c r="E19" s="98" t="n">
        <v>20</v>
      </c>
      <c r="F19" s="104" t="s">
        <v>107</v>
      </c>
    </row>
    <row r="20" customFormat="false" ht="20.25" hidden="false" customHeight="true" outlineLevel="0" collapsed="false">
      <c r="B20" s="118"/>
      <c r="C20" s="131" t="s">
        <v>108</v>
      </c>
      <c r="D20" s="128" t="n">
        <v>290201</v>
      </c>
      <c r="E20" s="98" t="n">
        <v>20</v>
      </c>
      <c r="F20" s="104" t="s">
        <v>109</v>
      </c>
    </row>
    <row r="21" customFormat="false" ht="30" hidden="false" customHeight="true" outlineLevel="0" collapsed="false">
      <c r="B21" s="127"/>
      <c r="C21" s="106" t="s">
        <v>110</v>
      </c>
      <c r="D21" s="126" t="n">
        <v>0</v>
      </c>
      <c r="E21" s="103" t="n">
        <v>20</v>
      </c>
      <c r="F21" s="104" t="s">
        <v>111</v>
      </c>
    </row>
    <row r="22" customFormat="false" ht="30" hidden="false" customHeight="true" outlineLevel="0" collapsed="false">
      <c r="B22" s="106" t="s">
        <v>112</v>
      </c>
      <c r="C22" s="106" t="s">
        <v>113</v>
      </c>
      <c r="D22" s="132" t="n">
        <v>400</v>
      </c>
      <c r="E22" s="103" t="n">
        <v>20</v>
      </c>
      <c r="F22" s="104" t="s">
        <v>114</v>
      </c>
    </row>
    <row r="23" customFormat="false" ht="30" hidden="false" customHeight="true" outlineLevel="0" collapsed="false">
      <c r="B23" s="106" t="s">
        <v>115</v>
      </c>
      <c r="C23" s="106" t="s">
        <v>116</v>
      </c>
      <c r="D23" s="126" t="n">
        <v>0.003</v>
      </c>
      <c r="E23" s="103" t="n">
        <v>20</v>
      </c>
      <c r="F23" s="104" t="s">
        <v>117</v>
      </c>
    </row>
    <row r="24" customFormat="false" ht="30" hidden="false" customHeight="true" outlineLevel="0" collapsed="false">
      <c r="B24" s="106" t="s">
        <v>118</v>
      </c>
      <c r="C24" s="106" t="s">
        <v>119</v>
      </c>
      <c r="D24" s="132" t="n">
        <v>1000</v>
      </c>
      <c r="E24" s="133" t="n">
        <v>10</v>
      </c>
      <c r="F24" s="104" t="s">
        <v>120</v>
      </c>
    </row>
    <row r="25" customFormat="false" ht="30" hidden="false" customHeight="true" outlineLevel="0" collapsed="false">
      <c r="B25" s="106" t="s">
        <v>121</v>
      </c>
      <c r="C25" s="106" t="s">
        <v>122</v>
      </c>
      <c r="D25" s="134" t="n">
        <v>0.0256</v>
      </c>
      <c r="E25" s="103" t="n">
        <v>20</v>
      </c>
      <c r="F25" s="104" t="s">
        <v>123</v>
      </c>
    </row>
    <row r="26" customFormat="false" ht="30" hidden="false" customHeight="true" outlineLevel="0" collapsed="false">
      <c r="B26" s="106" t="s">
        <v>14</v>
      </c>
      <c r="C26" s="106" t="s">
        <v>124</v>
      </c>
      <c r="D26" s="126" t="n">
        <v>0.2</v>
      </c>
      <c r="E26" s="103" t="n">
        <v>20</v>
      </c>
      <c r="F26" s="104" t="s">
        <v>125</v>
      </c>
    </row>
    <row r="27" customFormat="false" ht="20.25" hidden="false" customHeight="true" outlineLevel="0" collapsed="false">
      <c r="B27" s="108"/>
      <c r="C27" s="108"/>
      <c r="D27" s="108"/>
      <c r="E27" s="108"/>
    </row>
    <row r="28" customFormat="false" ht="20.25" hidden="false" customHeight="true" outlineLevel="0" collapsed="false">
      <c r="B28" s="108"/>
      <c r="C28" s="108"/>
      <c r="D28" s="108"/>
      <c r="E28" s="108"/>
    </row>
    <row r="29" customFormat="false" ht="22.5" hidden="false" customHeight="true" outlineLevel="0" collapsed="false">
      <c r="B29" s="90" t="s">
        <v>126</v>
      </c>
      <c r="C29" s="91"/>
      <c r="D29" s="92"/>
      <c r="E29" s="108"/>
    </row>
    <row r="30" customFormat="false" ht="22.5" hidden="false" customHeight="true" outlineLevel="0" collapsed="false">
      <c r="B30" s="111" t="s">
        <v>127</v>
      </c>
      <c r="C30" s="135" t="s">
        <v>82</v>
      </c>
      <c r="D30" s="136" t="s">
        <v>83</v>
      </c>
      <c r="E30" s="108"/>
      <c r="F30" s="93" t="s">
        <v>64</v>
      </c>
    </row>
    <row r="31" customFormat="false" ht="30" hidden="false" customHeight="true" outlineLevel="0" collapsed="false">
      <c r="B31" s="115" t="s">
        <v>128</v>
      </c>
      <c r="C31" s="95" t="s">
        <v>129</v>
      </c>
      <c r="D31" s="137" t="n">
        <v>0.8</v>
      </c>
      <c r="E31" s="108"/>
      <c r="F31" s="104" t="s">
        <v>130</v>
      </c>
    </row>
    <row r="32" customFormat="false" ht="18.75" hidden="false" customHeight="true" outlineLevel="0" collapsed="false">
      <c r="B32" s="115" t="s">
        <v>131</v>
      </c>
      <c r="C32" s="95" t="s">
        <v>132</v>
      </c>
      <c r="D32" s="137" t="n">
        <v>15</v>
      </c>
      <c r="E32" s="108"/>
      <c r="F32" s="104" t="s">
        <v>133</v>
      </c>
    </row>
    <row r="33" customFormat="false" ht="18.75" hidden="false" customHeight="true" outlineLevel="0" collapsed="false">
      <c r="B33" s="106" t="s">
        <v>53</v>
      </c>
      <c r="C33" s="100" t="s">
        <v>134</v>
      </c>
      <c r="D33" s="126" t="n">
        <v>0.9</v>
      </c>
      <c r="E33" s="108"/>
      <c r="F33" s="104" t="s">
        <v>135</v>
      </c>
    </row>
    <row r="34" customFormat="false" ht="30" hidden="false" customHeight="true" outlineLevel="0" collapsed="false">
      <c r="B34" s="106" t="s">
        <v>54</v>
      </c>
      <c r="C34" s="100" t="s">
        <v>132</v>
      </c>
      <c r="D34" s="126" t="n">
        <v>4</v>
      </c>
      <c r="E34" s="108"/>
      <c r="F34" s="104" t="s">
        <v>136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15"/>
      <c r="C37" s="16" t="s">
        <v>0</v>
      </c>
      <c r="D37" s="16" t="n">
        <v>2020</v>
      </c>
      <c r="E37" s="16" t="n">
        <v>2021</v>
      </c>
      <c r="F37" s="16" t="n">
        <v>2022</v>
      </c>
      <c r="G37" s="16" t="n">
        <v>2023</v>
      </c>
      <c r="H37" s="16" t="n">
        <v>2024</v>
      </c>
      <c r="I37" s="16" t="n">
        <v>2025</v>
      </c>
      <c r="J37" s="16" t="n">
        <v>2026</v>
      </c>
      <c r="K37" s="16" t="n">
        <v>2027</v>
      </c>
      <c r="L37" s="16" t="n">
        <v>2028</v>
      </c>
      <c r="M37" s="16" t="n">
        <v>2029</v>
      </c>
      <c r="N37" s="16" t="n">
        <v>2030</v>
      </c>
      <c r="O37" s="16" t="n">
        <v>2031</v>
      </c>
      <c r="P37" s="16" t="n">
        <v>2032</v>
      </c>
      <c r="Q37" s="16" t="n">
        <v>2033</v>
      </c>
      <c r="R37" s="16" t="n">
        <v>2034</v>
      </c>
      <c r="S37" s="16" t="n">
        <v>2035</v>
      </c>
      <c r="T37" s="16" t="n">
        <v>2036</v>
      </c>
      <c r="U37" s="16" t="n">
        <v>2037</v>
      </c>
      <c r="V37" s="16" t="n">
        <v>2038</v>
      </c>
      <c r="W37" s="16" t="n">
        <v>2039</v>
      </c>
      <c r="X37" s="16"/>
    </row>
    <row r="38" customFormat="false" ht="18.75" hidden="false" customHeight="true" outlineLevel="0" collapsed="false">
      <c r="B38" s="17" t="n">
        <v>0</v>
      </c>
      <c r="C38" s="18"/>
      <c r="D38" s="19"/>
      <c r="E38" s="19"/>
      <c r="F38" s="20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2"/>
      <c r="U38" s="21"/>
      <c r="V38" s="21"/>
      <c r="W38" s="21"/>
      <c r="X38" s="138"/>
    </row>
    <row r="39" customFormat="false" ht="18.75" hidden="false" customHeight="true" outlineLevel="0" collapsed="false">
      <c r="B39" s="23" t="s">
        <v>23</v>
      </c>
      <c r="C39" s="24" t="n">
        <v>0</v>
      </c>
      <c r="D39" s="25" t="n">
        <v>1</v>
      </c>
      <c r="E39" s="25" t="n">
        <v>2</v>
      </c>
      <c r="F39" s="25" t="n">
        <v>3</v>
      </c>
      <c r="G39" s="25" t="n">
        <v>4</v>
      </c>
      <c r="H39" s="25" t="n">
        <v>5</v>
      </c>
      <c r="I39" s="25" t="n">
        <v>6</v>
      </c>
      <c r="J39" s="25" t="n">
        <v>7</v>
      </c>
      <c r="K39" s="25" t="n">
        <v>8</v>
      </c>
      <c r="L39" s="25" t="n">
        <v>9</v>
      </c>
      <c r="M39" s="25" t="n">
        <v>10</v>
      </c>
      <c r="N39" s="25" t="n">
        <v>11</v>
      </c>
      <c r="O39" s="25" t="n">
        <v>12</v>
      </c>
      <c r="P39" s="25" t="n">
        <v>13</v>
      </c>
      <c r="Q39" s="25" t="n">
        <v>14</v>
      </c>
      <c r="R39" s="25" t="n">
        <v>15</v>
      </c>
      <c r="S39" s="25" t="n">
        <v>16</v>
      </c>
      <c r="T39" s="26" t="n">
        <v>17</v>
      </c>
      <c r="U39" s="25" t="n">
        <v>18</v>
      </c>
      <c r="V39" s="25" t="n">
        <v>19</v>
      </c>
      <c r="W39" s="25" t="n">
        <v>20</v>
      </c>
      <c r="X39" s="139"/>
    </row>
    <row r="40" customFormat="false" ht="18.75" hidden="false" customHeight="true" outlineLevel="0" collapsed="false">
      <c r="B40" s="140" t="s">
        <v>137</v>
      </c>
      <c r="C40" s="28" t="n">
        <v>0</v>
      </c>
      <c r="D40" s="29" t="n">
        <f aca="false">$D$10*P1</f>
        <v>541531.98</v>
      </c>
      <c r="E40" s="29" t="n">
        <f aca="false">$D$10*Q1</f>
        <v>539343.972</v>
      </c>
      <c r="F40" s="29" t="n">
        <f aca="false">$D$10*R1</f>
        <v>537155.964</v>
      </c>
      <c r="G40" s="29" t="n">
        <f aca="false">$D$10*S1</f>
        <v>534967.956</v>
      </c>
      <c r="H40" s="29" t="n">
        <f aca="false">$D$10*T1</f>
        <v>532779.948</v>
      </c>
      <c r="I40" s="29" t="n">
        <f aca="false">$D$10*U1</f>
        <v>530591.94</v>
      </c>
      <c r="J40" s="29" t="n">
        <f aca="false">$D$10*V1</f>
        <v>528403.932</v>
      </c>
      <c r="K40" s="29" t="n">
        <f aca="false">$D$10*W1</f>
        <v>526215.924</v>
      </c>
      <c r="L40" s="29" t="n">
        <f aca="false">$D$10*X1</f>
        <v>524027.916</v>
      </c>
      <c r="M40" s="29" t="n">
        <f aca="false">$D$10*Y1</f>
        <v>521839.908</v>
      </c>
      <c r="N40" s="29" t="n">
        <f aca="false">$D$10*Z1</f>
        <v>519651.9</v>
      </c>
      <c r="O40" s="29" t="n">
        <f aca="false">$D$10*AA1</f>
        <v>517463.892</v>
      </c>
      <c r="P40" s="29" t="n">
        <f aca="false">$D$10*AB1</f>
        <v>515275.884</v>
      </c>
      <c r="Q40" s="29" t="n">
        <f aca="false">$D$10*AC1</f>
        <v>513087.876</v>
      </c>
      <c r="R40" s="29" t="n">
        <f aca="false">$D$10*AD1</f>
        <v>510899.868</v>
      </c>
      <c r="S40" s="29" t="n">
        <f aca="false">$D$10*AE1</f>
        <v>508711.86</v>
      </c>
      <c r="T40" s="29" t="n">
        <f aca="false">$D$10*AF1</f>
        <v>506523.852</v>
      </c>
      <c r="U40" s="29" t="n">
        <f aca="false">$D$10*AG1</f>
        <v>504335.844</v>
      </c>
      <c r="V40" s="29" t="n">
        <f aca="false">$D$10*AH1</f>
        <v>502147.836</v>
      </c>
      <c r="W40" s="29" t="n">
        <f aca="false">$D$10*AI1</f>
        <v>499959.828</v>
      </c>
      <c r="X40" s="141"/>
    </row>
    <row r="41" customFormat="false" ht="18.75" hidden="false" customHeight="true" outlineLevel="0" collapsed="false">
      <c r="B41" s="142" t="s">
        <v>25</v>
      </c>
      <c r="C41" s="143" t="s">
        <v>26</v>
      </c>
      <c r="D41" s="144" t="n">
        <f aca="false">D40*$D$13</f>
        <v>2166127.92</v>
      </c>
      <c r="E41" s="144" t="n">
        <f aca="false">E40*$D$13</f>
        <v>2157375.888</v>
      </c>
      <c r="F41" s="144" t="n">
        <f aca="false">F40*$D$13</f>
        <v>2148623.856</v>
      </c>
      <c r="G41" s="144" t="n">
        <f aca="false">G40*$D$13</f>
        <v>2139871.824</v>
      </c>
      <c r="H41" s="144" t="n">
        <f aca="false">H40*$D$13</f>
        <v>2131119.792</v>
      </c>
      <c r="I41" s="144" t="n">
        <f aca="false">I40*$D$13</f>
        <v>2122367.76</v>
      </c>
      <c r="J41" s="144" t="n">
        <f aca="false">J40*$D$13</f>
        <v>2113615.728</v>
      </c>
      <c r="K41" s="144" t="n">
        <f aca="false">K40*$D$13</f>
        <v>2104863.696</v>
      </c>
      <c r="L41" s="144" t="n">
        <f aca="false">L40*$D$13</f>
        <v>2096111.664</v>
      </c>
      <c r="M41" s="144" t="n">
        <f aca="false">M40*$D$13</f>
        <v>2087359.632</v>
      </c>
      <c r="N41" s="144" t="n">
        <f aca="false">N40*$D$13</f>
        <v>2078607.6</v>
      </c>
      <c r="O41" s="144" t="n">
        <f aca="false">O40*$D$13</f>
        <v>2069855.568</v>
      </c>
      <c r="P41" s="144" t="n">
        <f aca="false">P40*$D$13</f>
        <v>2061103.536</v>
      </c>
      <c r="Q41" s="144" t="n">
        <f aca="false">Q40*$D$13</f>
        <v>2052351.504</v>
      </c>
      <c r="R41" s="144" t="n">
        <f aca="false">R40*$D$13</f>
        <v>2043599.472</v>
      </c>
      <c r="S41" s="144" t="n">
        <f aca="false">S40*$D$13</f>
        <v>2034847.44</v>
      </c>
      <c r="T41" s="144" t="n">
        <f aca="false">T40*$D$13</f>
        <v>2026095.408</v>
      </c>
      <c r="U41" s="144" t="n">
        <f aca="false">U40*$D$13</f>
        <v>2017343.376</v>
      </c>
      <c r="V41" s="144" t="n">
        <f aca="false">V40*$D$13</f>
        <v>2008591.344</v>
      </c>
      <c r="W41" s="144" t="n">
        <f aca="false">W40*$D$13</f>
        <v>1999839.312</v>
      </c>
      <c r="X41" s="145"/>
    </row>
    <row r="42" customFormat="false" ht="18.75" hidden="false" customHeight="true" outlineLevel="0" collapsed="false">
      <c r="B42" s="146" t="s">
        <v>27</v>
      </c>
      <c r="C42" s="147" t="s">
        <v>26</v>
      </c>
      <c r="D42" s="148"/>
      <c r="E42" s="148"/>
      <c r="F42" s="148"/>
      <c r="G42" s="149" t="s">
        <v>26</v>
      </c>
      <c r="H42" s="149" t="s">
        <v>26</v>
      </c>
      <c r="I42" s="149" t="s">
        <v>26</v>
      </c>
      <c r="J42" s="149" t="s">
        <v>26</v>
      </c>
      <c r="K42" s="149" t="s">
        <v>26</v>
      </c>
      <c r="L42" s="149" t="s">
        <v>26</v>
      </c>
      <c r="M42" s="149" t="s">
        <v>26</v>
      </c>
      <c r="N42" s="149" t="s">
        <v>26</v>
      </c>
      <c r="O42" s="149" t="s">
        <v>26</v>
      </c>
      <c r="P42" s="149" t="s">
        <v>26</v>
      </c>
      <c r="Q42" s="149" t="s">
        <v>26</v>
      </c>
      <c r="R42" s="149" t="s">
        <v>26</v>
      </c>
      <c r="S42" s="149" t="s">
        <v>26</v>
      </c>
      <c r="T42" s="149" t="s">
        <v>26</v>
      </c>
      <c r="U42" s="149" t="s">
        <v>26</v>
      </c>
      <c r="V42" s="149" t="s">
        <v>26</v>
      </c>
      <c r="W42" s="149" t="s">
        <v>26</v>
      </c>
      <c r="X42" s="150"/>
    </row>
    <row r="43" customFormat="false" ht="18.75" hidden="false" customHeight="true" outlineLevel="0" collapsed="false">
      <c r="B43" s="151" t="s">
        <v>28</v>
      </c>
      <c r="C43" s="152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4"/>
    </row>
    <row r="44" customFormat="false" ht="18.75" hidden="false" customHeight="true" outlineLevel="0" collapsed="false">
      <c r="B44" s="155" t="s">
        <v>29</v>
      </c>
      <c r="C44" s="156" t="n">
        <f aca="false">-(D16/(1-D17)+D18)*C4</f>
        <v>-21431200</v>
      </c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</row>
    <row r="45" customFormat="false" ht="18.75" hidden="false" customHeight="true" outlineLevel="0" collapsed="false">
      <c r="B45" s="155" t="s">
        <v>30</v>
      </c>
      <c r="C45" s="147" t="s">
        <v>26</v>
      </c>
      <c r="D45" s="105" t="n">
        <v>-290201</v>
      </c>
      <c r="E45" s="157" t="n">
        <v>-290201</v>
      </c>
      <c r="F45" s="157" t="n">
        <v>-290201</v>
      </c>
      <c r="G45" s="157" t="n">
        <v>-290201</v>
      </c>
      <c r="H45" s="157" t="n">
        <v>-290201</v>
      </c>
      <c r="I45" s="157" t="n">
        <v>-290201</v>
      </c>
      <c r="J45" s="157" t="n">
        <v>-290201</v>
      </c>
      <c r="K45" s="157" t="n">
        <v>-290201</v>
      </c>
      <c r="L45" s="157" t="n">
        <v>-290201</v>
      </c>
      <c r="M45" s="157" t="n">
        <v>-290201</v>
      </c>
      <c r="N45" s="157" t="n">
        <v>-290201</v>
      </c>
      <c r="O45" s="157" t="n">
        <v>-290201</v>
      </c>
      <c r="P45" s="157" t="n">
        <v>-290201</v>
      </c>
      <c r="Q45" s="157" t="n">
        <v>-290201</v>
      </c>
      <c r="R45" s="157" t="n">
        <v>-290201</v>
      </c>
      <c r="S45" s="157" t="n">
        <v>-290201</v>
      </c>
      <c r="T45" s="157" t="n">
        <v>-290201</v>
      </c>
      <c r="U45" s="157" t="n">
        <v>-290201</v>
      </c>
      <c r="V45" s="157" t="n">
        <v>-290201</v>
      </c>
      <c r="W45" s="157" t="n">
        <v>-290201</v>
      </c>
      <c r="X45" s="157"/>
    </row>
    <row r="46" customFormat="false" ht="18.75" hidden="false" customHeight="true" outlineLevel="0" collapsed="false">
      <c r="B46" s="155" t="s">
        <v>31</v>
      </c>
      <c r="C46" s="14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</row>
    <row r="47" customFormat="false" ht="18.75" hidden="false" customHeight="true" outlineLevel="0" collapsed="false">
      <c r="B47" s="155" t="s">
        <v>32</v>
      </c>
      <c r="C47" s="147" t="s">
        <v>26</v>
      </c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</row>
    <row r="48" customFormat="false" ht="18.75" hidden="false" customHeight="true" outlineLevel="0" collapsed="false">
      <c r="B48" s="155" t="s">
        <v>33</v>
      </c>
      <c r="C48" s="147" t="s">
        <v>26</v>
      </c>
      <c r="D48" s="157" t="n">
        <v>-174440</v>
      </c>
      <c r="E48" s="157" t="n">
        <v>-174440</v>
      </c>
      <c r="F48" s="157" t="n">
        <v>-174440</v>
      </c>
      <c r="G48" s="157" t="n">
        <v>-174440</v>
      </c>
      <c r="H48" s="157" t="n">
        <v>-174440</v>
      </c>
      <c r="I48" s="157" t="n">
        <v>-174440</v>
      </c>
      <c r="J48" s="157" t="n">
        <v>-174440</v>
      </c>
      <c r="K48" s="157" t="n">
        <v>-174440</v>
      </c>
      <c r="L48" s="157" t="n">
        <v>-174440</v>
      </c>
      <c r="M48" s="157" t="n">
        <v>-174440</v>
      </c>
      <c r="N48" s="157" t="n">
        <v>-174440</v>
      </c>
      <c r="O48" s="157" t="n">
        <v>-174440</v>
      </c>
      <c r="P48" s="157" t="n">
        <v>-174440</v>
      </c>
      <c r="Q48" s="157" t="n">
        <v>-174440</v>
      </c>
      <c r="R48" s="157" t="n">
        <v>-174440</v>
      </c>
      <c r="S48" s="157" t="n">
        <v>-174440</v>
      </c>
      <c r="T48" s="157" t="n">
        <v>-174440</v>
      </c>
      <c r="U48" s="157" t="n">
        <v>-174440</v>
      </c>
      <c r="V48" s="157" t="n">
        <v>-174440</v>
      </c>
      <c r="W48" s="157" t="n">
        <v>-174440</v>
      </c>
      <c r="X48" s="157"/>
    </row>
    <row r="49" customFormat="false" ht="18.75" hidden="false" customHeight="true" outlineLevel="0" collapsed="false">
      <c r="B49" s="155" t="s">
        <v>34</v>
      </c>
      <c r="C49" s="147" t="s">
        <v>26</v>
      </c>
      <c r="D49" s="157" t="n">
        <v>-43173.9</v>
      </c>
      <c r="E49" s="157" t="n">
        <v>-43173.9</v>
      </c>
      <c r="F49" s="157" t="n">
        <v>-43173.9</v>
      </c>
      <c r="G49" s="157" t="n">
        <v>-43173.9</v>
      </c>
      <c r="H49" s="157" t="n">
        <v>-43173.9</v>
      </c>
      <c r="I49" s="157" t="n">
        <v>-43173.9</v>
      </c>
      <c r="J49" s="157" t="n">
        <v>-43173.9</v>
      </c>
      <c r="K49" s="157" t="n">
        <v>-43173.9</v>
      </c>
      <c r="L49" s="157" t="n">
        <v>-43173.9</v>
      </c>
      <c r="M49" s="157" t="n">
        <v>-43173.9</v>
      </c>
      <c r="N49" s="157" t="n">
        <v>-43173.9</v>
      </c>
      <c r="O49" s="157" t="n">
        <v>-43173.9</v>
      </c>
      <c r="P49" s="157" t="n">
        <v>-43173.9</v>
      </c>
      <c r="Q49" s="157" t="n">
        <v>-43173.9</v>
      </c>
      <c r="R49" s="157" t="n">
        <v>-43173.9</v>
      </c>
      <c r="S49" s="157" t="n">
        <v>-43173.9</v>
      </c>
      <c r="T49" s="157" t="n">
        <v>-43173.9</v>
      </c>
      <c r="U49" s="157" t="n">
        <v>-43173.9</v>
      </c>
      <c r="V49" s="157" t="n">
        <v>-43173.9</v>
      </c>
      <c r="W49" s="157" t="n">
        <v>-43173.9</v>
      </c>
      <c r="X49" s="157"/>
    </row>
    <row r="50" customFormat="false" ht="18.75" hidden="false" customHeight="true" outlineLevel="0" collapsed="false">
      <c r="B50" s="155" t="s">
        <v>35</v>
      </c>
      <c r="C50" s="147"/>
      <c r="D50" s="157" t="n">
        <v>-43610</v>
      </c>
      <c r="E50" s="157" t="n">
        <v>-43610</v>
      </c>
      <c r="F50" s="157" t="n">
        <v>-43610</v>
      </c>
      <c r="G50" s="157" t="n">
        <v>-43610</v>
      </c>
      <c r="H50" s="157" t="n">
        <v>-43610</v>
      </c>
      <c r="I50" s="157" t="n">
        <v>-43610</v>
      </c>
      <c r="J50" s="157" t="n">
        <v>-43610</v>
      </c>
      <c r="K50" s="157" t="n">
        <v>-43610</v>
      </c>
      <c r="L50" s="157" t="n">
        <v>-43610</v>
      </c>
      <c r="M50" s="157" t="n">
        <v>-43610</v>
      </c>
      <c r="N50" s="157" t="n">
        <v>0</v>
      </c>
      <c r="O50" s="157" t="n">
        <v>0</v>
      </c>
      <c r="P50" s="157" t="n">
        <v>0</v>
      </c>
      <c r="Q50" s="157" t="n">
        <v>0</v>
      </c>
      <c r="R50" s="157" t="n">
        <v>0</v>
      </c>
      <c r="S50" s="157" t="n">
        <v>0</v>
      </c>
      <c r="T50" s="157" t="n">
        <v>0</v>
      </c>
      <c r="U50" s="157" t="n">
        <v>0</v>
      </c>
      <c r="V50" s="157" t="n">
        <v>0</v>
      </c>
      <c r="W50" s="157" t="n">
        <v>0</v>
      </c>
      <c r="X50" s="157"/>
    </row>
    <row r="51" customFormat="false" ht="18.75" hidden="false" customHeight="true" outlineLevel="0" collapsed="false">
      <c r="B51" s="155" t="s">
        <v>36</v>
      </c>
      <c r="C51" s="158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</row>
    <row r="52" customFormat="false" ht="18.75" hidden="false" customHeight="true" outlineLevel="0" collapsed="false">
      <c r="B52" s="155" t="s">
        <v>37</v>
      </c>
      <c r="C52" s="158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</row>
    <row r="53" customFormat="false" ht="18.75" hidden="false" customHeight="true" outlineLevel="0" collapsed="false">
      <c r="B53" s="159" t="s">
        <v>38</v>
      </c>
      <c r="C53" s="158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</row>
    <row r="54" customFormat="false" ht="18.75" hidden="false" customHeight="true" outlineLevel="0" collapsed="false">
      <c r="B54" s="159" t="s">
        <v>39</v>
      </c>
      <c r="C54" s="158"/>
      <c r="D54" s="157" t="n">
        <f aca="false">D77</f>
        <v>-166668.804</v>
      </c>
      <c r="E54" s="157" t="n">
        <f aca="false">E77</f>
        <v>-106878.1976</v>
      </c>
      <c r="F54" s="157" t="n">
        <f aca="false">F77</f>
        <v>-105127.7912</v>
      </c>
      <c r="G54" s="157" t="n">
        <f aca="false">G77</f>
        <v>-103377.3848</v>
      </c>
      <c r="H54" s="157" t="n">
        <f aca="false">H77</f>
        <v>-101626.9784</v>
      </c>
      <c r="I54" s="157" t="n">
        <f aca="false">I77</f>
        <v>-99876.5719999999</v>
      </c>
      <c r="J54" s="157" t="n">
        <f aca="false">J77</f>
        <v>-98126.1656</v>
      </c>
      <c r="K54" s="157" t="n">
        <f aca="false">K77</f>
        <v>-96375.7592</v>
      </c>
      <c r="L54" s="157" t="n">
        <f aca="false">L77</f>
        <v>-94625.3527999999</v>
      </c>
      <c r="M54" s="157" t="n">
        <f aca="false">M77</f>
        <v>-92874.9464</v>
      </c>
      <c r="N54" s="157" t="n">
        <f aca="false">N77</f>
        <v>-99846.5399999999</v>
      </c>
      <c r="O54" s="157" t="n">
        <f aca="false">O77</f>
        <v>-98096.1335999999</v>
      </c>
      <c r="P54" s="157" t="n">
        <f aca="false">P77</f>
        <v>-96345.7271999999</v>
      </c>
      <c r="Q54" s="157" t="n">
        <f aca="false">Q77</f>
        <v>-94595.3207999999</v>
      </c>
      <c r="R54" s="157" t="n">
        <f aca="false">R77</f>
        <v>-92844.9143999999</v>
      </c>
      <c r="S54" s="157" t="n">
        <f aca="false">S77</f>
        <v>-91094.5079999999</v>
      </c>
      <c r="T54" s="157" t="n">
        <f aca="false">T77</f>
        <v>-89344.1015999999</v>
      </c>
      <c r="U54" s="157" t="n">
        <f aca="false">U77</f>
        <v>-87593.6951999999</v>
      </c>
      <c r="V54" s="157" t="n">
        <f aca="false">V77</f>
        <v>-85843.2887999999</v>
      </c>
      <c r="W54" s="157" t="n">
        <f aca="false">W77</f>
        <v>-84092.8823999999</v>
      </c>
      <c r="X54" s="148"/>
    </row>
    <row r="55" customFormat="false" ht="18.75" hidden="false" customHeight="true" outlineLevel="0" collapsed="false">
      <c r="B55" s="160" t="s">
        <v>40</v>
      </c>
      <c r="C55" s="161" t="n">
        <f aca="false">C44</f>
        <v>-21431200</v>
      </c>
      <c r="D55" s="162" t="n">
        <f aca="false">SUM(D41:D54)</f>
        <v>1448034.216</v>
      </c>
      <c r="E55" s="162" t="n">
        <f aca="false">SUM(E41:E54)</f>
        <v>1499072.7904</v>
      </c>
      <c r="F55" s="162" t="n">
        <f aca="false">SUM(F41:F54)</f>
        <v>1492071.1648</v>
      </c>
      <c r="G55" s="162" t="n">
        <f aca="false">SUM(G41:G54)</f>
        <v>1485069.5392</v>
      </c>
      <c r="H55" s="162" t="n">
        <f aca="false">SUM(H41:H54)</f>
        <v>1478067.9136</v>
      </c>
      <c r="I55" s="162" t="n">
        <f aca="false">SUM(I41:I54)</f>
        <v>1471066.288</v>
      </c>
      <c r="J55" s="162" t="n">
        <f aca="false">SUM(J41:J54)</f>
        <v>1464064.6624</v>
      </c>
      <c r="K55" s="162" t="n">
        <f aca="false">SUM(K41:K54)</f>
        <v>1457063.0368</v>
      </c>
      <c r="L55" s="162" t="n">
        <f aca="false">SUM(L41:L54)</f>
        <v>1450061.4112</v>
      </c>
      <c r="M55" s="162" t="n">
        <f aca="false">SUM(M41:M54)</f>
        <v>1443059.7856</v>
      </c>
      <c r="N55" s="162" t="n">
        <f aca="false">SUM(N41:N54)</f>
        <v>1470946.16</v>
      </c>
      <c r="O55" s="162" t="n">
        <f aca="false">SUM(O41:O54)</f>
        <v>1463944.5344</v>
      </c>
      <c r="P55" s="162" t="n">
        <f aca="false">SUM(P41:P54)</f>
        <v>1456942.9088</v>
      </c>
      <c r="Q55" s="162" t="n">
        <f aca="false">SUM(Q41:Q54)</f>
        <v>1449941.2832</v>
      </c>
      <c r="R55" s="162" t="n">
        <f aca="false">SUM(R41:R54)</f>
        <v>1442939.6576</v>
      </c>
      <c r="S55" s="162" t="n">
        <f aca="false">SUM(S41:S54)</f>
        <v>1435938.032</v>
      </c>
      <c r="T55" s="162" t="n">
        <f aca="false">SUM(T41:T54)</f>
        <v>1428936.4064</v>
      </c>
      <c r="U55" s="162" t="n">
        <f aca="false">SUM(U41:U54)</f>
        <v>1421934.7808</v>
      </c>
      <c r="V55" s="162" t="n">
        <f aca="false">SUM(V41:V54)</f>
        <v>1414933.1552</v>
      </c>
      <c r="W55" s="162" t="n">
        <f aca="false">SUM(W41:W54)</f>
        <v>1407931.5296</v>
      </c>
      <c r="X55" s="163"/>
      <c r="Y55" s="164"/>
      <c r="Z55" s="165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</row>
    <row r="56" customFormat="false" ht="18.75" hidden="false" customHeight="true" outlineLevel="0" collapsed="false">
      <c r="B56" s="166" t="s">
        <v>41</v>
      </c>
      <c r="D56" s="167" t="n">
        <f aca="false">C55+D55</f>
        <v>-19983165.784</v>
      </c>
      <c r="E56" s="167" t="n">
        <f aca="false">D56+E55</f>
        <v>-18484092.9936</v>
      </c>
      <c r="F56" s="167" t="n">
        <f aca="false">E56+F55</f>
        <v>-16992021.8288</v>
      </c>
      <c r="G56" s="167" t="n">
        <f aca="false">F56+G55</f>
        <v>-15506952.2896</v>
      </c>
      <c r="H56" s="167" t="n">
        <f aca="false">G56+H55</f>
        <v>-14028884.376</v>
      </c>
      <c r="I56" s="167" t="n">
        <f aca="false">H56+I55</f>
        <v>-12557818.088</v>
      </c>
      <c r="J56" s="167" t="n">
        <f aca="false">I56+J55</f>
        <v>-11093753.4256</v>
      </c>
      <c r="K56" s="167" t="n">
        <f aca="false">J56+K55</f>
        <v>-9636690.3888</v>
      </c>
      <c r="L56" s="167" t="n">
        <f aca="false">K56+L55</f>
        <v>-8186628.9776</v>
      </c>
      <c r="M56" s="167" t="n">
        <f aca="false">L56+M55</f>
        <v>-6743569.192</v>
      </c>
      <c r="N56" s="167" t="n">
        <f aca="false">M56+N55</f>
        <v>-5272623.032</v>
      </c>
      <c r="O56" s="167" t="n">
        <f aca="false">N56+O55</f>
        <v>-3808678.4976</v>
      </c>
      <c r="P56" s="167" t="n">
        <f aca="false">O56+P55</f>
        <v>-2351735.5888</v>
      </c>
      <c r="Q56" s="167" t="n">
        <f aca="false">P56+Q55</f>
        <v>-901794.305600002</v>
      </c>
      <c r="R56" s="167" t="n">
        <f aca="false">Q56+R55</f>
        <v>541145.351999998</v>
      </c>
      <c r="S56" s="167" t="n">
        <f aca="false">R56+S55</f>
        <v>1977083.384</v>
      </c>
      <c r="T56" s="167" t="n">
        <f aca="false">S56+T55</f>
        <v>3406019.7904</v>
      </c>
      <c r="U56" s="167" t="n">
        <f aca="false">T56+U55</f>
        <v>4827954.5712</v>
      </c>
      <c r="V56" s="167" t="n">
        <f aca="false">U56+V55</f>
        <v>6242887.7264</v>
      </c>
      <c r="W56" s="167" t="n">
        <f aca="false">V56+W55</f>
        <v>7650819.256</v>
      </c>
      <c r="X56" s="167" t="n">
        <f aca="false">W56+X55</f>
        <v>7650819.256</v>
      </c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</row>
    <row r="57" customFormat="false" ht="18.75" hidden="false" customHeight="true" outlineLevel="0" collapsed="false">
      <c r="B57" s="168" t="s">
        <v>42</v>
      </c>
      <c r="C57" s="169"/>
      <c r="D57" s="170" t="str">
        <f aca="false">IF((D56)&gt;0,"回收","未回收")</f>
        <v>未回收</v>
      </c>
      <c r="E57" s="171" t="str">
        <f aca="false">IF((E56)&gt;0,"回收","未回收")</f>
        <v>未回收</v>
      </c>
      <c r="F57" s="171" t="str">
        <f aca="false">IF((F56)&gt;0,"回收","未回收")</f>
        <v>未回收</v>
      </c>
      <c r="G57" s="171" t="str">
        <f aca="false">IF((G56)&gt;0,"回收","未回收")</f>
        <v>未回收</v>
      </c>
      <c r="H57" s="171" t="str">
        <f aca="false">IF((H56)&gt;0,"回收","未回收")</f>
        <v>未回收</v>
      </c>
      <c r="I57" s="171" t="str">
        <f aca="false">IF((I56)&gt;0,"回收","未回收")</f>
        <v>未回收</v>
      </c>
      <c r="J57" s="171" t="str">
        <f aca="false">IF((J56)&gt;0,"回收","未回收")</f>
        <v>未回收</v>
      </c>
      <c r="K57" s="171" t="str">
        <f aca="false">IF((K56)&gt;0,"回收","未回收")</f>
        <v>未回收</v>
      </c>
      <c r="L57" s="171" t="str">
        <f aca="false">IF((L56)&gt;0,"回收","未回收")</f>
        <v>未回收</v>
      </c>
      <c r="M57" s="171" t="str">
        <f aca="false">IF((M56)&gt;0,"回收","未回收")</f>
        <v>未回收</v>
      </c>
      <c r="N57" s="171" t="str">
        <f aca="false">IF((N56)&gt;0,"回收","未回收")</f>
        <v>未回收</v>
      </c>
      <c r="O57" s="171" t="str">
        <f aca="false">IF((O56)&gt;0,"回收","未回收")</f>
        <v>未回收</v>
      </c>
      <c r="P57" s="171" t="str">
        <f aca="false">IF((P56)&gt;0,"回收","未回收")</f>
        <v>未回收</v>
      </c>
      <c r="Q57" s="171" t="str">
        <f aca="false">IF((Q56)&gt;0,"回收","未回收")</f>
        <v>未回收</v>
      </c>
      <c r="R57" s="171" t="str">
        <f aca="false">IF((R56)&gt;0,"回收","未回收")</f>
        <v>回收</v>
      </c>
      <c r="S57" s="171" t="str">
        <f aca="false">IF((S56)&gt;0,"回收","未回收")</f>
        <v>回收</v>
      </c>
      <c r="T57" s="171" t="str">
        <f aca="false">IF((T56)&gt;0,"回收","未回收")</f>
        <v>回收</v>
      </c>
      <c r="U57" s="171" t="str">
        <f aca="false">IF((U56)&gt;0,"回收","未回收")</f>
        <v>回收</v>
      </c>
      <c r="V57" s="171" t="str">
        <f aca="false">IF((V56)&gt;0,"回收","未回收")</f>
        <v>回收</v>
      </c>
      <c r="W57" s="171" t="str">
        <f aca="false">IF((W56)&gt;0,"回收","未回收")</f>
        <v>回收</v>
      </c>
      <c r="X57" s="171" t="str">
        <f aca="false">IF((X56)&gt;0,"回收","未回收")</f>
        <v>回收</v>
      </c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</row>
    <row r="58" customFormat="false" ht="18.75" hidden="false" customHeight="true" outlineLevel="0" collapsed="false">
      <c r="B58" s="54" t="s">
        <v>43</v>
      </c>
      <c r="C58" s="55" t="n">
        <f aca="false">IRR(C55:W55)</f>
        <v>0.0312815619401761</v>
      </c>
      <c r="D58" s="56"/>
      <c r="E58" s="56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</row>
    <row r="59" customFormat="false" ht="18.75" hidden="false" customHeight="true" outlineLevel="0" collapsed="false">
      <c r="B59" s="57"/>
      <c r="C59" s="56"/>
      <c r="D59" s="56"/>
      <c r="E59" s="56"/>
      <c r="F59" s="57"/>
      <c r="G59" s="57"/>
      <c r="H59" s="57"/>
      <c r="I59" s="57"/>
      <c r="J59" s="57"/>
      <c r="K59" s="57"/>
      <c r="L59" s="57"/>
      <c r="M59" s="56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</row>
    <row r="60" customFormat="false" ht="18.75" hidden="false" customHeight="true" outlineLevel="0" collapsed="false">
      <c r="B60" s="15"/>
      <c r="C60" s="16" t="s">
        <v>0</v>
      </c>
      <c r="D60" s="16" t="n">
        <f aca="false">D37</f>
        <v>2020</v>
      </c>
      <c r="E60" s="16" t="n">
        <f aca="false">E37</f>
        <v>2021</v>
      </c>
      <c r="F60" s="16" t="n">
        <f aca="false">F37</f>
        <v>2022</v>
      </c>
      <c r="G60" s="16" t="n">
        <f aca="false">G37</f>
        <v>2023</v>
      </c>
      <c r="H60" s="16" t="n">
        <f aca="false">H37</f>
        <v>2024</v>
      </c>
      <c r="I60" s="16" t="n">
        <f aca="false">I37</f>
        <v>2025</v>
      </c>
      <c r="J60" s="16" t="n">
        <f aca="false">J37</f>
        <v>2026</v>
      </c>
      <c r="K60" s="16" t="n">
        <f aca="false">K37</f>
        <v>2027</v>
      </c>
      <c r="L60" s="16" t="n">
        <f aca="false">L37</f>
        <v>2028</v>
      </c>
      <c r="M60" s="16" t="n">
        <f aca="false">M37</f>
        <v>2029</v>
      </c>
      <c r="N60" s="16" t="n">
        <f aca="false">N37</f>
        <v>2030</v>
      </c>
      <c r="O60" s="16" t="n">
        <f aca="false">O37</f>
        <v>2031</v>
      </c>
      <c r="P60" s="16" t="n">
        <f aca="false">P37</f>
        <v>2032</v>
      </c>
      <c r="Q60" s="16" t="n">
        <f aca="false">Q37</f>
        <v>2033</v>
      </c>
      <c r="R60" s="16" t="n">
        <f aca="false">R37</f>
        <v>2034</v>
      </c>
      <c r="S60" s="16" t="n">
        <f aca="false">S37</f>
        <v>2035</v>
      </c>
      <c r="T60" s="16" t="n">
        <f aca="false">T37</f>
        <v>2036</v>
      </c>
      <c r="U60" s="16" t="n">
        <f aca="false">U37</f>
        <v>2037</v>
      </c>
      <c r="V60" s="16" t="n">
        <f aca="false">V37</f>
        <v>2038</v>
      </c>
      <c r="W60" s="16" t="n">
        <f aca="false">W37</f>
        <v>2039</v>
      </c>
      <c r="X60" s="16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</row>
    <row r="61" customFormat="false" ht="18.75" hidden="false" customHeight="true" outlineLevel="0" collapsed="false">
      <c r="B61" s="17" t="n">
        <v>0</v>
      </c>
      <c r="C61" s="18"/>
      <c r="D61" s="19"/>
      <c r="E61" s="19"/>
      <c r="F61" s="20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58" t="s">
        <v>44</v>
      </c>
      <c r="U61" s="21"/>
      <c r="V61" s="21"/>
      <c r="W61" s="21"/>
      <c r="X61" s="138"/>
    </row>
    <row r="62" customFormat="false" ht="18.75" hidden="false" customHeight="true" outlineLevel="0" collapsed="false">
      <c r="B62" s="23" t="s">
        <v>23</v>
      </c>
      <c r="C62" s="24" t="n">
        <v>0</v>
      </c>
      <c r="D62" s="25" t="n">
        <v>1</v>
      </c>
      <c r="E62" s="25" t="n">
        <v>2</v>
      </c>
      <c r="F62" s="25" t="n">
        <v>3</v>
      </c>
      <c r="G62" s="25" t="n">
        <v>4</v>
      </c>
      <c r="H62" s="25" t="n">
        <v>5</v>
      </c>
      <c r="I62" s="25" t="n">
        <v>6</v>
      </c>
      <c r="J62" s="25" t="n">
        <v>7</v>
      </c>
      <c r="K62" s="25" t="n">
        <v>8</v>
      </c>
      <c r="L62" s="25" t="n">
        <v>9</v>
      </c>
      <c r="M62" s="25" t="n">
        <v>10</v>
      </c>
      <c r="N62" s="25" t="n">
        <v>11</v>
      </c>
      <c r="O62" s="25" t="n">
        <v>12</v>
      </c>
      <c r="P62" s="25" t="n">
        <v>13</v>
      </c>
      <c r="Q62" s="25" t="n">
        <v>14</v>
      </c>
      <c r="R62" s="25" t="n">
        <v>15</v>
      </c>
      <c r="S62" s="25" t="n">
        <v>16</v>
      </c>
      <c r="T62" s="59" t="n">
        <v>17</v>
      </c>
      <c r="U62" s="25" t="n">
        <v>18</v>
      </c>
      <c r="V62" s="25" t="n">
        <v>19</v>
      </c>
      <c r="W62" s="25" t="n">
        <v>20</v>
      </c>
      <c r="X62" s="139"/>
    </row>
    <row r="63" customFormat="false" ht="18.75" hidden="false" customHeight="true" outlineLevel="0" collapsed="false">
      <c r="B63" s="140" t="s">
        <v>137</v>
      </c>
      <c r="C63" s="28" t="n">
        <v>0</v>
      </c>
      <c r="D63" s="29" t="n">
        <f aca="false">D40</f>
        <v>541531.98</v>
      </c>
      <c r="E63" s="29" t="n">
        <f aca="false">E40</f>
        <v>539343.972</v>
      </c>
      <c r="F63" s="29" t="n">
        <f aca="false">F40</f>
        <v>537155.964</v>
      </c>
      <c r="G63" s="29" t="n">
        <f aca="false">G40</f>
        <v>534967.956</v>
      </c>
      <c r="H63" s="29" t="n">
        <f aca="false">H40</f>
        <v>532779.948</v>
      </c>
      <c r="I63" s="29" t="n">
        <f aca="false">I40</f>
        <v>530591.94</v>
      </c>
      <c r="J63" s="29" t="n">
        <f aca="false">J40</f>
        <v>528403.932</v>
      </c>
      <c r="K63" s="29" t="n">
        <f aca="false">K40</f>
        <v>526215.924</v>
      </c>
      <c r="L63" s="29" t="n">
        <f aca="false">L40</f>
        <v>524027.916</v>
      </c>
      <c r="M63" s="29" t="n">
        <f aca="false">M40</f>
        <v>521839.908</v>
      </c>
      <c r="N63" s="29" t="n">
        <f aca="false">N40</f>
        <v>519651.9</v>
      </c>
      <c r="O63" s="29" t="n">
        <f aca="false">O40</f>
        <v>517463.892</v>
      </c>
      <c r="P63" s="29" t="n">
        <f aca="false">P40</f>
        <v>515275.884</v>
      </c>
      <c r="Q63" s="29" t="n">
        <f aca="false">Q40</f>
        <v>513087.876</v>
      </c>
      <c r="R63" s="29" t="n">
        <f aca="false">R40</f>
        <v>510899.868</v>
      </c>
      <c r="S63" s="29" t="n">
        <f aca="false">S40</f>
        <v>508711.86</v>
      </c>
      <c r="T63" s="29" t="n">
        <f aca="false">T40</f>
        <v>506523.852</v>
      </c>
      <c r="U63" s="29" t="n">
        <f aca="false">U40</f>
        <v>504335.844</v>
      </c>
      <c r="V63" s="29" t="n">
        <f aca="false">V40</f>
        <v>502147.836</v>
      </c>
      <c r="W63" s="29" t="n">
        <f aca="false">W40</f>
        <v>499959.828</v>
      </c>
      <c r="X63" s="141"/>
    </row>
    <row r="64" customFormat="false" ht="18.75" hidden="false" customHeight="true" outlineLevel="0" collapsed="false">
      <c r="B64" s="142" t="s">
        <v>25</v>
      </c>
      <c r="C64" s="143" t="s">
        <v>26</v>
      </c>
      <c r="D64" s="144" t="n">
        <f aca="false">D41</f>
        <v>2166127.92</v>
      </c>
      <c r="E64" s="144" t="n">
        <f aca="false">E41</f>
        <v>2157375.888</v>
      </c>
      <c r="F64" s="144" t="n">
        <f aca="false">F41</f>
        <v>2148623.856</v>
      </c>
      <c r="G64" s="144" t="n">
        <f aca="false">G41</f>
        <v>2139871.824</v>
      </c>
      <c r="H64" s="144" t="n">
        <f aca="false">H41</f>
        <v>2131119.792</v>
      </c>
      <c r="I64" s="144" t="n">
        <f aca="false">I41</f>
        <v>2122367.76</v>
      </c>
      <c r="J64" s="144" t="n">
        <f aca="false">J41</f>
        <v>2113615.728</v>
      </c>
      <c r="K64" s="144" t="n">
        <f aca="false">K41</f>
        <v>2104863.696</v>
      </c>
      <c r="L64" s="144" t="n">
        <f aca="false">L41</f>
        <v>2096111.664</v>
      </c>
      <c r="M64" s="144" t="n">
        <f aca="false">M41</f>
        <v>2087359.632</v>
      </c>
      <c r="N64" s="144" t="n">
        <f aca="false">N41</f>
        <v>2078607.6</v>
      </c>
      <c r="O64" s="144" t="n">
        <f aca="false">O41</f>
        <v>2069855.568</v>
      </c>
      <c r="P64" s="144" t="n">
        <f aca="false">P41</f>
        <v>2061103.536</v>
      </c>
      <c r="Q64" s="144" t="n">
        <f aca="false">Q41</f>
        <v>2052351.504</v>
      </c>
      <c r="R64" s="144" t="n">
        <f aca="false">R41</f>
        <v>2043599.472</v>
      </c>
      <c r="S64" s="144" t="n">
        <f aca="false">S41</f>
        <v>2034847.44</v>
      </c>
      <c r="T64" s="144" t="n">
        <f aca="false">T41</f>
        <v>2026095.408</v>
      </c>
      <c r="U64" s="144" t="n">
        <f aca="false">U41</f>
        <v>2017343.376</v>
      </c>
      <c r="V64" s="144" t="n">
        <f aca="false">V41</f>
        <v>2008591.344</v>
      </c>
      <c r="W64" s="144" t="n">
        <f aca="false">W41</f>
        <v>1999839.312</v>
      </c>
      <c r="X64" s="145"/>
    </row>
    <row r="65" customFormat="false" ht="18.75" hidden="false" customHeight="true" outlineLevel="0" collapsed="false">
      <c r="B65" s="146" t="s">
        <v>27</v>
      </c>
      <c r="C65" s="147" t="s">
        <v>26</v>
      </c>
      <c r="D65" s="148"/>
      <c r="E65" s="148"/>
      <c r="F65" s="148"/>
      <c r="G65" s="149" t="s">
        <v>26</v>
      </c>
      <c r="H65" s="149" t="s">
        <v>26</v>
      </c>
      <c r="I65" s="149" t="s">
        <v>26</v>
      </c>
      <c r="J65" s="149" t="s">
        <v>26</v>
      </c>
      <c r="K65" s="149" t="s">
        <v>26</v>
      </c>
      <c r="L65" s="149" t="s">
        <v>26</v>
      </c>
      <c r="M65" s="149" t="s">
        <v>26</v>
      </c>
      <c r="N65" s="149" t="s">
        <v>26</v>
      </c>
      <c r="O65" s="149" t="s">
        <v>26</v>
      </c>
      <c r="P65" s="149" t="s">
        <v>26</v>
      </c>
      <c r="Q65" s="149" t="s">
        <v>26</v>
      </c>
      <c r="R65" s="149" t="s">
        <v>26</v>
      </c>
      <c r="S65" s="149" t="s">
        <v>26</v>
      </c>
      <c r="T65" s="149" t="s">
        <v>26</v>
      </c>
      <c r="U65" s="149" t="s">
        <v>26</v>
      </c>
      <c r="V65" s="149" t="s">
        <v>26</v>
      </c>
      <c r="W65" s="149" t="s">
        <v>26</v>
      </c>
      <c r="X65" s="150"/>
    </row>
    <row r="66" customFormat="false" ht="18.75" hidden="false" customHeight="true" outlineLevel="0" collapsed="false">
      <c r="B66" s="151" t="s">
        <v>28</v>
      </c>
      <c r="C66" s="152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4"/>
    </row>
    <row r="67" customFormat="false" ht="18.75" hidden="false" customHeight="true" outlineLevel="0" collapsed="false">
      <c r="B67" s="155" t="s">
        <v>45</v>
      </c>
      <c r="C67" s="147"/>
      <c r="D67" s="174" t="n">
        <f aca="false">$C$44/$E$16</f>
        <v>-1071560</v>
      </c>
      <c r="E67" s="174" t="n">
        <f aca="false">$C$44/$E$16</f>
        <v>-1071560</v>
      </c>
      <c r="F67" s="174" t="n">
        <f aca="false">$C$44/$E$16</f>
        <v>-1071560</v>
      </c>
      <c r="G67" s="174" t="n">
        <f aca="false">$C$44/$E$16</f>
        <v>-1071560</v>
      </c>
      <c r="H67" s="174" t="n">
        <f aca="false">$C$44/$E$16</f>
        <v>-1071560</v>
      </c>
      <c r="I67" s="174" t="n">
        <f aca="false">$C$44/$E$16</f>
        <v>-1071560</v>
      </c>
      <c r="J67" s="174" t="n">
        <f aca="false">$C$44/$E$16</f>
        <v>-1071560</v>
      </c>
      <c r="K67" s="174" t="n">
        <f aca="false">$C$44/$E$16</f>
        <v>-1071560</v>
      </c>
      <c r="L67" s="174" t="n">
        <f aca="false">$C$44/$E$16</f>
        <v>-1071560</v>
      </c>
      <c r="M67" s="174" t="n">
        <f aca="false">$C$44/$E$16</f>
        <v>-1071560</v>
      </c>
      <c r="N67" s="174" t="n">
        <f aca="false">$C$44/$E$16</f>
        <v>-1071560</v>
      </c>
      <c r="O67" s="174" t="n">
        <f aca="false">$C$44/$E$16</f>
        <v>-1071560</v>
      </c>
      <c r="P67" s="174" t="n">
        <f aca="false">$C$44/$E$16</f>
        <v>-1071560</v>
      </c>
      <c r="Q67" s="174" t="n">
        <f aca="false">$C$44/$E$16</f>
        <v>-1071560</v>
      </c>
      <c r="R67" s="174" t="n">
        <f aca="false">$C$44/$E$16</f>
        <v>-1071560</v>
      </c>
      <c r="S67" s="174" t="n">
        <f aca="false">$C$44/$E$16</f>
        <v>-1071560</v>
      </c>
      <c r="T67" s="174" t="n">
        <f aca="false">$C$44/$E$16</f>
        <v>-1071560</v>
      </c>
      <c r="U67" s="174" t="n">
        <f aca="false">$C$44/$E$16</f>
        <v>-1071560</v>
      </c>
      <c r="V67" s="174" t="n">
        <f aca="false">$C$44/$E$16</f>
        <v>-1071560</v>
      </c>
      <c r="W67" s="174" t="n">
        <f aca="false">$C$44/$E$16</f>
        <v>-1071560</v>
      </c>
      <c r="X67" s="150"/>
    </row>
    <row r="68" customFormat="false" ht="18.75" hidden="false" customHeight="true" outlineLevel="0" collapsed="false">
      <c r="B68" s="155" t="s">
        <v>30</v>
      </c>
      <c r="C68" s="147" t="s">
        <v>26</v>
      </c>
      <c r="D68" s="157" t="n">
        <f aca="false">D44</f>
        <v>0</v>
      </c>
      <c r="E68" s="157" t="n">
        <f aca="false">E45</f>
        <v>-290201</v>
      </c>
      <c r="F68" s="157" t="n">
        <f aca="false">F45</f>
        <v>-290201</v>
      </c>
      <c r="G68" s="157" t="n">
        <f aca="false">G45</f>
        <v>-290201</v>
      </c>
      <c r="H68" s="157" t="n">
        <f aca="false">H45</f>
        <v>-290201</v>
      </c>
      <c r="I68" s="157" t="n">
        <f aca="false">I45</f>
        <v>-290201</v>
      </c>
      <c r="J68" s="157" t="n">
        <f aca="false">J45</f>
        <v>-290201</v>
      </c>
      <c r="K68" s="157" t="n">
        <f aca="false">K45</f>
        <v>-290201</v>
      </c>
      <c r="L68" s="157" t="n">
        <f aca="false">L45</f>
        <v>-290201</v>
      </c>
      <c r="M68" s="157" t="n">
        <f aca="false">M45</f>
        <v>-290201</v>
      </c>
      <c r="N68" s="157" t="n">
        <f aca="false">N45</f>
        <v>-290201</v>
      </c>
      <c r="O68" s="157" t="n">
        <f aca="false">O45</f>
        <v>-290201</v>
      </c>
      <c r="P68" s="157" t="n">
        <f aca="false">P45</f>
        <v>-290201</v>
      </c>
      <c r="Q68" s="157" t="n">
        <f aca="false">Q45</f>
        <v>-290201</v>
      </c>
      <c r="R68" s="157" t="n">
        <f aca="false">R45</f>
        <v>-290201</v>
      </c>
      <c r="S68" s="157" t="n">
        <f aca="false">S45</f>
        <v>-290201</v>
      </c>
      <c r="T68" s="157" t="n">
        <f aca="false">T45</f>
        <v>-290201</v>
      </c>
      <c r="U68" s="157" t="n">
        <f aca="false">U45</f>
        <v>-290201</v>
      </c>
      <c r="V68" s="157" t="n">
        <f aca="false">V45</f>
        <v>-290201</v>
      </c>
      <c r="W68" s="157" t="n">
        <f aca="false">W45</f>
        <v>-290201</v>
      </c>
      <c r="X68" s="150"/>
    </row>
    <row r="69" customFormat="false" ht="18.75" hidden="false" customHeight="true" outlineLevel="0" collapsed="false">
      <c r="B69" s="155" t="s">
        <v>31</v>
      </c>
      <c r="C69" s="147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50"/>
    </row>
    <row r="70" customFormat="false" ht="18.75" hidden="false" customHeight="true" outlineLevel="0" collapsed="false">
      <c r="B70" s="155" t="s">
        <v>32</v>
      </c>
      <c r="C70" s="147" t="s">
        <v>26</v>
      </c>
      <c r="D70" s="157" t="n">
        <v>0</v>
      </c>
      <c r="E70" s="157" t="n">
        <v>0</v>
      </c>
      <c r="F70" s="157" t="n">
        <v>0</v>
      </c>
      <c r="G70" s="157" t="n">
        <v>0</v>
      </c>
      <c r="H70" s="157" t="n">
        <v>0</v>
      </c>
      <c r="I70" s="157" t="n">
        <v>0</v>
      </c>
      <c r="J70" s="157" t="n">
        <v>0</v>
      </c>
      <c r="K70" s="157" t="n">
        <v>0</v>
      </c>
      <c r="L70" s="157" t="n">
        <v>0</v>
      </c>
      <c r="M70" s="157" t="n">
        <v>0</v>
      </c>
      <c r="N70" s="157" t="n">
        <v>0</v>
      </c>
      <c r="O70" s="157" t="n">
        <v>0</v>
      </c>
      <c r="P70" s="157" t="n">
        <v>0</v>
      </c>
      <c r="Q70" s="157" t="n">
        <v>0</v>
      </c>
      <c r="R70" s="157" t="n">
        <v>0</v>
      </c>
      <c r="S70" s="157" t="n">
        <v>0</v>
      </c>
      <c r="T70" s="157" t="n">
        <v>0</v>
      </c>
      <c r="U70" s="157" t="n">
        <v>0</v>
      </c>
      <c r="V70" s="157" t="n">
        <v>0</v>
      </c>
      <c r="W70" s="157" t="n">
        <v>0</v>
      </c>
      <c r="X70" s="150"/>
    </row>
    <row r="71" customFormat="false" ht="18.75" hidden="false" customHeight="true" outlineLevel="0" collapsed="false">
      <c r="B71" s="155" t="s">
        <v>33</v>
      </c>
      <c r="C71" s="147" t="s">
        <v>26</v>
      </c>
      <c r="D71" s="157" t="n">
        <f aca="false">D48</f>
        <v>-174440</v>
      </c>
      <c r="E71" s="157" t="n">
        <f aca="false">E48</f>
        <v>-174440</v>
      </c>
      <c r="F71" s="157" t="n">
        <f aca="false">F48</f>
        <v>-174440</v>
      </c>
      <c r="G71" s="157" t="n">
        <f aca="false">G48</f>
        <v>-174440</v>
      </c>
      <c r="H71" s="157" t="n">
        <f aca="false">H48</f>
        <v>-174440</v>
      </c>
      <c r="I71" s="157" t="n">
        <f aca="false">I48</f>
        <v>-174440</v>
      </c>
      <c r="J71" s="157" t="n">
        <f aca="false">J48</f>
        <v>-174440</v>
      </c>
      <c r="K71" s="157" t="n">
        <f aca="false">K48</f>
        <v>-174440</v>
      </c>
      <c r="L71" s="157" t="n">
        <f aca="false">L48</f>
        <v>-174440</v>
      </c>
      <c r="M71" s="157" t="n">
        <f aca="false">M48</f>
        <v>-174440</v>
      </c>
      <c r="N71" s="157" t="n">
        <f aca="false">N48</f>
        <v>-174440</v>
      </c>
      <c r="O71" s="157" t="n">
        <f aca="false">O48</f>
        <v>-174440</v>
      </c>
      <c r="P71" s="157" t="n">
        <f aca="false">P48</f>
        <v>-174440</v>
      </c>
      <c r="Q71" s="157" t="n">
        <f aca="false">Q48</f>
        <v>-174440</v>
      </c>
      <c r="R71" s="157" t="n">
        <f aca="false">R48</f>
        <v>-174440</v>
      </c>
      <c r="S71" s="157" t="n">
        <f aca="false">S48</f>
        <v>-174440</v>
      </c>
      <c r="T71" s="157" t="n">
        <f aca="false">T48</f>
        <v>-174440</v>
      </c>
      <c r="U71" s="157" t="n">
        <f aca="false">U48</f>
        <v>-174440</v>
      </c>
      <c r="V71" s="157" t="n">
        <f aca="false">V48</f>
        <v>-174440</v>
      </c>
      <c r="W71" s="157" t="n">
        <f aca="false">W48</f>
        <v>-174440</v>
      </c>
      <c r="X71" s="150"/>
    </row>
    <row r="72" customFormat="false" ht="18.75" hidden="false" customHeight="true" outlineLevel="0" collapsed="false">
      <c r="B72" s="155" t="s">
        <v>34</v>
      </c>
      <c r="C72" s="147" t="s">
        <v>26</v>
      </c>
      <c r="D72" s="157" t="n">
        <f aca="false">D49</f>
        <v>-43173.9</v>
      </c>
      <c r="E72" s="157" t="n">
        <f aca="false">E49</f>
        <v>-43173.9</v>
      </c>
      <c r="F72" s="157" t="n">
        <f aca="false">F49</f>
        <v>-43173.9</v>
      </c>
      <c r="G72" s="157" t="n">
        <f aca="false">G49</f>
        <v>-43173.9</v>
      </c>
      <c r="H72" s="157" t="n">
        <f aca="false">H49</f>
        <v>-43173.9</v>
      </c>
      <c r="I72" s="157" t="n">
        <f aca="false">I49</f>
        <v>-43173.9</v>
      </c>
      <c r="J72" s="157" t="n">
        <f aca="false">J49</f>
        <v>-43173.9</v>
      </c>
      <c r="K72" s="157" t="n">
        <f aca="false">K49</f>
        <v>-43173.9</v>
      </c>
      <c r="L72" s="157" t="n">
        <f aca="false">L49</f>
        <v>-43173.9</v>
      </c>
      <c r="M72" s="157" t="n">
        <f aca="false">M49</f>
        <v>-43173.9</v>
      </c>
      <c r="N72" s="157" t="n">
        <f aca="false">N49</f>
        <v>-43173.9</v>
      </c>
      <c r="O72" s="157" t="n">
        <f aca="false">O49</f>
        <v>-43173.9</v>
      </c>
      <c r="P72" s="157" t="n">
        <f aca="false">P49</f>
        <v>-43173.9</v>
      </c>
      <c r="Q72" s="157" t="n">
        <f aca="false">Q49</f>
        <v>-43173.9</v>
      </c>
      <c r="R72" s="157" t="n">
        <f aca="false">R49</f>
        <v>-43173.9</v>
      </c>
      <c r="S72" s="157" t="n">
        <f aca="false">S49</f>
        <v>-43173.9</v>
      </c>
      <c r="T72" s="157" t="n">
        <f aca="false">T49</f>
        <v>-43173.9</v>
      </c>
      <c r="U72" s="157" t="n">
        <f aca="false">U49</f>
        <v>-43173.9</v>
      </c>
      <c r="V72" s="157" t="n">
        <f aca="false">V49</f>
        <v>-43173.9</v>
      </c>
      <c r="W72" s="157" t="n">
        <f aca="false">W49</f>
        <v>-43173.9</v>
      </c>
      <c r="X72" s="150"/>
    </row>
    <row r="73" customFormat="false" ht="18.75" hidden="false" customHeight="true" outlineLevel="0" collapsed="false">
      <c r="B73" s="155" t="s">
        <v>35</v>
      </c>
      <c r="C73" s="147"/>
      <c r="D73" s="157" t="n">
        <f aca="false">D50</f>
        <v>-43610</v>
      </c>
      <c r="E73" s="157" t="n">
        <f aca="false">E50</f>
        <v>-43610</v>
      </c>
      <c r="F73" s="157" t="n">
        <f aca="false">F50</f>
        <v>-43610</v>
      </c>
      <c r="G73" s="157" t="n">
        <f aca="false">G50</f>
        <v>-43610</v>
      </c>
      <c r="H73" s="157" t="n">
        <f aca="false">H50</f>
        <v>-43610</v>
      </c>
      <c r="I73" s="157" t="n">
        <f aca="false">I50</f>
        <v>-43610</v>
      </c>
      <c r="J73" s="157" t="n">
        <f aca="false">J50</f>
        <v>-43610</v>
      </c>
      <c r="K73" s="157" t="n">
        <f aca="false">K50</f>
        <v>-43610</v>
      </c>
      <c r="L73" s="157" t="n">
        <f aca="false">L50</f>
        <v>-43610</v>
      </c>
      <c r="M73" s="157" t="n">
        <f aca="false">M50</f>
        <v>-43610</v>
      </c>
      <c r="N73" s="157" t="n">
        <f aca="false">N50</f>
        <v>0</v>
      </c>
      <c r="O73" s="157" t="n">
        <f aca="false">O50</f>
        <v>0</v>
      </c>
      <c r="P73" s="157" t="n">
        <f aca="false">P50</f>
        <v>0</v>
      </c>
      <c r="Q73" s="157" t="n">
        <f aca="false">Q50</f>
        <v>0</v>
      </c>
      <c r="R73" s="157" t="n">
        <f aca="false">R50</f>
        <v>0</v>
      </c>
      <c r="S73" s="157" t="n">
        <f aca="false">S50</f>
        <v>0</v>
      </c>
      <c r="T73" s="157" t="n">
        <f aca="false">T50</f>
        <v>0</v>
      </c>
      <c r="U73" s="157" t="n">
        <f aca="false">U50</f>
        <v>0</v>
      </c>
      <c r="V73" s="157" t="n">
        <f aca="false">V50</f>
        <v>0</v>
      </c>
      <c r="W73" s="157" t="n">
        <f aca="false">W50</f>
        <v>0</v>
      </c>
      <c r="X73" s="150"/>
    </row>
    <row r="74" customFormat="false" ht="18.75" hidden="false" customHeight="true" outlineLevel="0" collapsed="false">
      <c r="B74" s="155" t="s">
        <v>36</v>
      </c>
      <c r="C74" s="158"/>
      <c r="D74" s="175"/>
      <c r="E74" s="176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50"/>
    </row>
    <row r="75" customFormat="false" ht="18.75" hidden="false" customHeight="true" outlineLevel="0" collapsed="false">
      <c r="B75" s="155" t="s">
        <v>37</v>
      </c>
      <c r="C75" s="15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50"/>
    </row>
    <row r="76" customFormat="false" ht="18.75" hidden="false" customHeight="true" outlineLevel="0" collapsed="false">
      <c r="B76" s="160" t="s">
        <v>46</v>
      </c>
      <c r="C76" s="177"/>
      <c r="D76" s="162" t="n">
        <f aca="false">SUM(D64:D75)</f>
        <v>833344.02</v>
      </c>
      <c r="E76" s="162" t="n">
        <f aca="false">SUM(E64:E75)</f>
        <v>534390.988</v>
      </c>
      <c r="F76" s="162" t="n">
        <f aca="false">SUM(F64:F75)</f>
        <v>525638.956</v>
      </c>
      <c r="G76" s="162" t="n">
        <f aca="false">SUM(G64:G75)</f>
        <v>516886.924</v>
      </c>
      <c r="H76" s="162" t="n">
        <f aca="false">SUM(H64:H75)</f>
        <v>508134.892</v>
      </c>
      <c r="I76" s="162" t="n">
        <f aca="false">SUM(I64:I75)</f>
        <v>499382.86</v>
      </c>
      <c r="J76" s="162" t="n">
        <f aca="false">SUM(J64:J75)</f>
        <v>490630.828</v>
      </c>
      <c r="K76" s="162" t="n">
        <f aca="false">SUM(K64:K75)</f>
        <v>481878.796</v>
      </c>
      <c r="L76" s="162" t="n">
        <f aca="false">SUM(L64:L75)</f>
        <v>473126.764</v>
      </c>
      <c r="M76" s="162" t="n">
        <f aca="false">SUM(M64:M75)</f>
        <v>464374.732</v>
      </c>
      <c r="N76" s="162" t="n">
        <f aca="false">SUM(N64:N75)</f>
        <v>499232.7</v>
      </c>
      <c r="O76" s="162" t="n">
        <f aca="false">SUM(O64:O75)</f>
        <v>490480.668</v>
      </c>
      <c r="P76" s="162" t="n">
        <f aca="false">SUM(P64:P75)</f>
        <v>481728.636</v>
      </c>
      <c r="Q76" s="162" t="n">
        <f aca="false">SUM(Q64:Q75)</f>
        <v>472976.604</v>
      </c>
      <c r="R76" s="162" t="n">
        <f aca="false">SUM(R64:R75)</f>
        <v>464224.572</v>
      </c>
      <c r="S76" s="162" t="n">
        <f aca="false">SUM(S64:S75)</f>
        <v>455472.54</v>
      </c>
      <c r="T76" s="162" t="n">
        <f aca="false">SUM(T64:T75)</f>
        <v>446720.508</v>
      </c>
      <c r="U76" s="162" t="n">
        <f aca="false">SUM(U64:U75)</f>
        <v>437968.476</v>
      </c>
      <c r="V76" s="162" t="n">
        <f aca="false">SUM(V64:V75)</f>
        <v>429216.444</v>
      </c>
      <c r="W76" s="162" t="n">
        <f aca="false">SUM(W64:W75)</f>
        <v>420464.412</v>
      </c>
      <c r="X76" s="162" t="n">
        <f aca="false">SUM(X64:X75)</f>
        <v>0</v>
      </c>
    </row>
    <row r="77" customFormat="false" ht="18.75" hidden="false" customHeight="true" outlineLevel="0" collapsed="false">
      <c r="B77" s="159" t="s">
        <v>39</v>
      </c>
      <c r="C77" s="158"/>
      <c r="D77" s="157" t="n">
        <f aca="false">-D76*0.2</f>
        <v>-166668.804</v>
      </c>
      <c r="E77" s="157" t="n">
        <f aca="false">-E76*0.2</f>
        <v>-106878.1976</v>
      </c>
      <c r="F77" s="157" t="n">
        <f aca="false">-F76*0.2</f>
        <v>-105127.7912</v>
      </c>
      <c r="G77" s="157" t="n">
        <f aca="false">-G76*0.2</f>
        <v>-103377.3848</v>
      </c>
      <c r="H77" s="157" t="n">
        <f aca="false">-H76*0.2</f>
        <v>-101626.9784</v>
      </c>
      <c r="I77" s="157" t="n">
        <f aca="false">-I76*0.2</f>
        <v>-99876.5719999999</v>
      </c>
      <c r="J77" s="157" t="n">
        <f aca="false">-J76*0.2</f>
        <v>-98126.1656</v>
      </c>
      <c r="K77" s="157" t="n">
        <f aca="false">-K76*0.2</f>
        <v>-96375.7592</v>
      </c>
      <c r="L77" s="157" t="n">
        <f aca="false">-L76*0.2</f>
        <v>-94625.3527999999</v>
      </c>
      <c r="M77" s="157" t="n">
        <f aca="false">-M76*0.2</f>
        <v>-92874.9464</v>
      </c>
      <c r="N77" s="157" t="n">
        <f aca="false">-N76*0.2</f>
        <v>-99846.5399999999</v>
      </c>
      <c r="O77" s="157" t="n">
        <f aca="false">-O76*0.2</f>
        <v>-98096.1335999999</v>
      </c>
      <c r="P77" s="157" t="n">
        <f aca="false">-P76*0.2</f>
        <v>-96345.7271999999</v>
      </c>
      <c r="Q77" s="157" t="n">
        <f aca="false">-Q76*0.2</f>
        <v>-94595.3207999999</v>
      </c>
      <c r="R77" s="157" t="n">
        <f aca="false">-R76*0.2</f>
        <v>-92844.9143999999</v>
      </c>
      <c r="S77" s="157" t="n">
        <f aca="false">-S76*0.2</f>
        <v>-91094.5079999999</v>
      </c>
      <c r="T77" s="157" t="n">
        <f aca="false">-T76*0.2</f>
        <v>-89344.1015999999</v>
      </c>
      <c r="U77" s="157" t="n">
        <f aca="false">-U76*0.2</f>
        <v>-87593.6951999999</v>
      </c>
      <c r="V77" s="157" t="n">
        <f aca="false">-V76*0.2</f>
        <v>-85843.2887999999</v>
      </c>
      <c r="W77" s="157" t="n">
        <f aca="false">-W76*0.2</f>
        <v>-84092.8823999999</v>
      </c>
      <c r="X77" s="157" t="n">
        <f aca="false">-X76*0.2</f>
        <v>-0</v>
      </c>
    </row>
    <row r="78" customFormat="false" ht="15.75" hidden="false" customHeight="true" outlineLevel="0" collapsed="false">
      <c r="B78" s="178" t="s">
        <v>47</v>
      </c>
      <c r="D78" s="157" t="n">
        <f aca="false">SUM(D76:D77)</f>
        <v>666675.216</v>
      </c>
      <c r="E78" s="157" t="n">
        <f aca="false">SUM(E76:E77)</f>
        <v>427512.7904</v>
      </c>
      <c r="F78" s="157" t="n">
        <f aca="false">SUM(F76:F77)</f>
        <v>420511.1648</v>
      </c>
      <c r="G78" s="157" t="n">
        <f aca="false">SUM(G76:G77)</f>
        <v>413509.5392</v>
      </c>
      <c r="H78" s="157" t="n">
        <f aca="false">SUM(H76:H77)</f>
        <v>406507.9136</v>
      </c>
      <c r="I78" s="157" t="n">
        <f aca="false">SUM(I76:I77)</f>
        <v>399506.288</v>
      </c>
      <c r="J78" s="157" t="n">
        <f aca="false">SUM(J76:J77)</f>
        <v>392504.6624</v>
      </c>
      <c r="K78" s="157" t="n">
        <f aca="false">SUM(K76:K77)</f>
        <v>385503.0368</v>
      </c>
      <c r="L78" s="157" t="n">
        <f aca="false">SUM(L76:L77)</f>
        <v>378501.4112</v>
      </c>
      <c r="M78" s="157" t="n">
        <f aca="false">SUM(M76:M77)</f>
        <v>371499.7856</v>
      </c>
      <c r="N78" s="157" t="n">
        <f aca="false">SUM(N76:N77)</f>
        <v>399386.16</v>
      </c>
      <c r="O78" s="157" t="n">
        <f aca="false">SUM(O76:O77)</f>
        <v>392384.5344</v>
      </c>
      <c r="P78" s="157" t="n">
        <f aca="false">SUM(P76:P77)</f>
        <v>385382.9088</v>
      </c>
      <c r="Q78" s="157" t="n">
        <f aca="false">SUM(Q76:Q77)</f>
        <v>378381.2832</v>
      </c>
      <c r="R78" s="157" t="n">
        <f aca="false">SUM(R76:R77)</f>
        <v>371379.6576</v>
      </c>
      <c r="S78" s="157" t="n">
        <f aca="false">SUM(S76:S77)</f>
        <v>364378.032</v>
      </c>
      <c r="T78" s="157" t="n">
        <f aca="false">SUM(T76:T77)</f>
        <v>357376.4064</v>
      </c>
      <c r="U78" s="157" t="n">
        <f aca="false">SUM(U76:U77)</f>
        <v>350374.7808</v>
      </c>
      <c r="V78" s="157" t="n">
        <f aca="false">SUM(V76:V77)</f>
        <v>343373.1552</v>
      </c>
      <c r="W78" s="157" t="n">
        <f aca="false">SUM(W76:W77)</f>
        <v>336371.5296</v>
      </c>
      <c r="X78" s="157" t="n">
        <f aca="false">SUM(X76:X77)</f>
        <v>0</v>
      </c>
    </row>
    <row r="79" customFormat="false" ht="18.75" hidden="false" customHeight="true" outlineLevel="0" collapsed="false">
      <c r="B79" s="166" t="s">
        <v>41</v>
      </c>
      <c r="C79" s="16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80"/>
    </row>
    <row r="80" customFormat="false" ht="18.75" hidden="false" customHeight="true" outlineLevel="0" collapsed="false">
      <c r="B80" s="67" t="s">
        <v>42</v>
      </c>
      <c r="C80" s="68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2"/>
    </row>
    <row r="81" customFormat="false" ht="18.75" hidden="false" customHeight="true" outlineLevel="0" collapsed="false">
      <c r="B81" s="57"/>
      <c r="C81" s="56"/>
      <c r="D81" s="56"/>
      <c r="E81" s="56"/>
      <c r="F81" s="57"/>
      <c r="G81" s="57"/>
      <c r="H81" s="57"/>
      <c r="I81" s="57"/>
      <c r="J81" s="57"/>
      <c r="K81" s="57"/>
      <c r="L81" s="57"/>
      <c r="M81" s="56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30.93"/>
    <col collapsed="false" customWidth="true" hidden="false" outlineLevel="0" max="3" min="3" style="0" width="24.56"/>
    <col collapsed="false" customWidth="true" hidden="false" outlineLevel="0" max="4" min="4" style="0" width="33.66"/>
    <col collapsed="false" customWidth="true" hidden="false" outlineLevel="0" max="6" min="6" style="0" width="45.49"/>
    <col collapsed="false" customWidth="true" hidden="false" outlineLevel="0" max="7" min="7" style="0" width="33.66"/>
    <col collapsed="false" customWidth="true" hidden="false" outlineLevel="0" max="13" min="13" style="0" width="45.49"/>
    <col collapsed="false" customWidth="true" hidden="false" outlineLevel="0" max="14" min="14" style="0" width="33.66"/>
    <col collapsed="false" customWidth="true" hidden="false" outlineLevel="0" max="24" min="24" style="0" width="27.3"/>
    <col collapsed="false" customWidth="true" hidden="false" outlineLevel="0" max="25" min="25" style="0" width="9.1"/>
    <col collapsed="false" customWidth="true" hidden="false" outlineLevel="0" max="28" min="28" style="0" width="10.01"/>
    <col collapsed="false" customWidth="true" hidden="false" outlineLevel="0" max="36" min="36" style="0" width="7.28"/>
    <col collapsed="false" customWidth="true" hidden="false" outlineLevel="0" max="37" min="37" style="0" width="8.32"/>
  </cols>
  <sheetData>
    <row r="1" customFormat="false" ht="22.5" hidden="false" customHeight="true" outlineLevel="0" collapsed="false">
      <c r="B1" s="90" t="s">
        <v>63</v>
      </c>
      <c r="C1" s="91"/>
      <c r="D1" s="91"/>
      <c r="E1" s="92"/>
      <c r="F1" s="93" t="s">
        <v>64</v>
      </c>
      <c r="P1" s="94" t="n">
        <f aca="false">1-D11</f>
        <v>0.99</v>
      </c>
      <c r="Q1" s="94" t="n">
        <f aca="false">P1-$D12</f>
        <v>0.986</v>
      </c>
      <c r="R1" s="94" t="n">
        <f aca="false">Q1-$D12</f>
        <v>0.982</v>
      </c>
      <c r="S1" s="94" t="n">
        <f aca="false">R1-$D12</f>
        <v>0.978</v>
      </c>
      <c r="T1" s="94" t="n">
        <f aca="false">S1-$D12</f>
        <v>0.974</v>
      </c>
      <c r="U1" s="94" t="n">
        <f aca="false">T1-$D12</f>
        <v>0.97</v>
      </c>
      <c r="V1" s="94" t="n">
        <f aca="false">U1-$D12</f>
        <v>0.966</v>
      </c>
      <c r="W1" s="94" t="n">
        <f aca="false">V1-$D12</f>
        <v>0.962</v>
      </c>
      <c r="X1" s="94" t="n">
        <f aca="false">W1-$D12</f>
        <v>0.958</v>
      </c>
      <c r="Y1" s="94" t="n">
        <f aca="false">X1-$D12</f>
        <v>0.954</v>
      </c>
      <c r="Z1" s="94" t="n">
        <f aca="false">Y1-$D12</f>
        <v>0.95</v>
      </c>
      <c r="AA1" s="94" t="n">
        <f aca="false">Z1-$D12</f>
        <v>0.946</v>
      </c>
      <c r="AB1" s="94" t="n">
        <f aca="false">AA1-$D12</f>
        <v>0.942</v>
      </c>
      <c r="AC1" s="94" t="n">
        <f aca="false">AB1-$D12</f>
        <v>0.938</v>
      </c>
      <c r="AD1" s="94" t="n">
        <f aca="false">AC1-$D12</f>
        <v>0.934</v>
      </c>
      <c r="AE1" s="94" t="n">
        <f aca="false">AD1-$D12</f>
        <v>0.93</v>
      </c>
      <c r="AF1" s="94" t="n">
        <f aca="false">AE1-$D12</f>
        <v>0.926</v>
      </c>
      <c r="AG1" s="94" t="n">
        <f aca="false">AF1-$D12</f>
        <v>0.922</v>
      </c>
      <c r="AH1" s="94" t="n">
        <f aca="false">AG1-$D12</f>
        <v>0.918</v>
      </c>
      <c r="AI1" s="94" t="n">
        <f aca="false">AH1-$D12</f>
        <v>0.914</v>
      </c>
    </row>
    <row r="2" customFormat="false" ht="21.75" hidden="false" customHeight="true" outlineLevel="0" collapsed="false">
      <c r="B2" s="95" t="s">
        <v>65</v>
      </c>
      <c r="C2" s="96" t="s">
        <v>2</v>
      </c>
      <c r="D2" s="97" t="s">
        <v>26</v>
      </c>
      <c r="E2" s="98" t="s">
        <v>26</v>
      </c>
      <c r="F2" s="99" t="s">
        <v>66</v>
      </c>
    </row>
    <row r="3" customFormat="false" ht="21.75" hidden="false" customHeight="true" outlineLevel="0" collapsed="false">
      <c r="B3" s="100" t="s">
        <v>67</v>
      </c>
      <c r="C3" s="101" t="n">
        <v>20</v>
      </c>
      <c r="D3" s="102" t="s">
        <v>26</v>
      </c>
      <c r="E3" s="103" t="s">
        <v>26</v>
      </c>
      <c r="F3" s="104" t="s">
        <v>68</v>
      </c>
    </row>
    <row r="4" customFormat="false" ht="21.75" hidden="false" customHeight="true" outlineLevel="0" collapsed="false">
      <c r="B4" s="100" t="s">
        <v>69</v>
      </c>
      <c r="C4" s="101" t="n">
        <v>436.1</v>
      </c>
      <c r="D4" s="102" t="s">
        <v>26</v>
      </c>
      <c r="E4" s="103" t="s">
        <v>26</v>
      </c>
      <c r="F4" s="104" t="s">
        <v>70</v>
      </c>
      <c r="M4" s="105" t="s">
        <v>138</v>
      </c>
    </row>
    <row r="5" customFormat="false" ht="22.5" hidden="false" customHeight="true" outlineLevel="0" collapsed="false">
      <c r="B5" s="106" t="s">
        <v>72</v>
      </c>
      <c r="C5" s="101" t="n">
        <v>2020</v>
      </c>
      <c r="D5" s="106" t="s">
        <v>73</v>
      </c>
      <c r="E5" s="107" t="n">
        <v>2039</v>
      </c>
      <c r="F5" s="104" t="s">
        <v>74</v>
      </c>
      <c r="M5" s="105" t="s">
        <v>139</v>
      </c>
    </row>
    <row r="6" customFormat="false" ht="20.25" hidden="false" customHeight="true" outlineLevel="0" collapsed="false">
      <c r="B6" s="108"/>
      <c r="C6" s="108"/>
      <c r="D6" s="108"/>
      <c r="E6" s="108"/>
      <c r="M6" s="105" t="s">
        <v>140</v>
      </c>
    </row>
    <row r="7" customFormat="false" ht="22.5" hidden="false" customHeight="true" outlineLevel="0" collapsed="false">
      <c r="B7" s="90" t="s">
        <v>77</v>
      </c>
      <c r="C7" s="91"/>
      <c r="D7" s="91"/>
      <c r="E7" s="92"/>
      <c r="M7" s="105" t="s">
        <v>141</v>
      </c>
    </row>
    <row r="8" customFormat="false" ht="22.5" hidden="false" customHeight="true" outlineLevel="0" collapsed="false">
      <c r="B8" s="109" t="s">
        <v>79</v>
      </c>
      <c r="E8" s="110"/>
      <c r="M8" s="105" t="s">
        <v>142</v>
      </c>
    </row>
    <row r="9" customFormat="false" ht="22.5" hidden="false" customHeight="true" outlineLevel="0" collapsed="false">
      <c r="B9" s="111" t="s">
        <v>81</v>
      </c>
      <c r="C9" s="112" t="s">
        <v>82</v>
      </c>
      <c r="D9" s="112" t="s">
        <v>83</v>
      </c>
      <c r="E9" s="113" t="s">
        <v>84</v>
      </c>
      <c r="F9" s="93" t="s">
        <v>64</v>
      </c>
      <c r="M9" s="105" t="s">
        <v>85</v>
      </c>
    </row>
    <row r="10" customFormat="false" ht="30" hidden="false" customHeight="true" outlineLevel="0" collapsed="false">
      <c r="B10" s="114" t="s">
        <v>86</v>
      </c>
      <c r="C10" s="115" t="s">
        <v>87</v>
      </c>
      <c r="D10" s="116" t="n">
        <v>547002</v>
      </c>
      <c r="E10" s="117" t="n">
        <v>20</v>
      </c>
      <c r="F10" s="104" t="s">
        <v>88</v>
      </c>
      <c r="M10" s="105" t="s">
        <v>143</v>
      </c>
    </row>
    <row r="11" customFormat="false" ht="30" hidden="false" customHeight="true" outlineLevel="0" collapsed="false">
      <c r="B11" s="118"/>
      <c r="C11" s="106" t="s">
        <v>90</v>
      </c>
      <c r="D11" s="119" t="n">
        <v>0.01</v>
      </c>
      <c r="E11" s="120"/>
      <c r="F11" s="104" t="s">
        <v>91</v>
      </c>
    </row>
    <row r="12" customFormat="false" ht="30" hidden="false" customHeight="true" outlineLevel="0" collapsed="false">
      <c r="B12" s="118"/>
      <c r="C12" s="106" t="s">
        <v>92</v>
      </c>
      <c r="D12" s="121" t="n">
        <v>0.004</v>
      </c>
      <c r="E12" s="120"/>
      <c r="F12" s="104" t="s">
        <v>93</v>
      </c>
    </row>
    <row r="13" customFormat="false" ht="22.5" hidden="false" customHeight="true" outlineLevel="0" collapsed="false">
      <c r="B13" s="118"/>
      <c r="C13" s="122" t="s">
        <v>94</v>
      </c>
      <c r="D13" s="123" t="n">
        <v>4</v>
      </c>
      <c r="E13" s="120"/>
      <c r="F13" s="104" t="s">
        <v>95</v>
      </c>
    </row>
    <row r="14" customFormat="false" ht="22.5" hidden="false" customHeight="true" outlineLevel="0" collapsed="false">
      <c r="B14" s="124" t="s">
        <v>96</v>
      </c>
      <c r="C14" s="91"/>
      <c r="D14" s="91"/>
      <c r="E14" s="92"/>
    </row>
    <row r="15" customFormat="false" ht="22.5" hidden="false" customHeight="true" outlineLevel="0" collapsed="false">
      <c r="B15" s="111" t="s">
        <v>81</v>
      </c>
      <c r="C15" s="112" t="s">
        <v>82</v>
      </c>
      <c r="D15" s="112" t="s">
        <v>83</v>
      </c>
      <c r="E15" s="113" t="s">
        <v>97</v>
      </c>
      <c r="F15" s="93" t="s">
        <v>64</v>
      </c>
    </row>
    <row r="16" customFormat="false" ht="21.75" hidden="false" customHeight="true" outlineLevel="0" collapsed="false">
      <c r="B16" s="115" t="s">
        <v>98</v>
      </c>
      <c r="C16" s="115" t="s">
        <v>99</v>
      </c>
      <c r="D16" s="125" t="n">
        <v>27000</v>
      </c>
      <c r="E16" s="98" t="n">
        <v>20</v>
      </c>
      <c r="F16" s="104" t="s">
        <v>100</v>
      </c>
    </row>
    <row r="17" customFormat="false" ht="21.75" hidden="false" customHeight="true" outlineLevel="0" collapsed="false">
      <c r="B17" s="118"/>
      <c r="C17" s="106" t="s">
        <v>101</v>
      </c>
      <c r="D17" s="126" t="n">
        <v>0.3</v>
      </c>
      <c r="E17" s="120"/>
      <c r="F17" s="104" t="s">
        <v>102</v>
      </c>
    </row>
    <row r="18" customFormat="false" ht="21.75" hidden="false" customHeight="true" outlineLevel="0" collapsed="false">
      <c r="B18" s="127"/>
      <c r="C18" s="106" t="s">
        <v>103</v>
      </c>
      <c r="D18" s="128" t="n">
        <v>2000</v>
      </c>
      <c r="E18" s="129"/>
      <c r="F18" s="104" t="s">
        <v>104</v>
      </c>
    </row>
    <row r="19" customFormat="false" ht="54" hidden="false" customHeight="true" outlineLevel="0" collapsed="false">
      <c r="B19" s="106" t="s">
        <v>105</v>
      </c>
      <c r="C19" s="130" t="s">
        <v>106</v>
      </c>
      <c r="D19" s="126" t="n">
        <v>1</v>
      </c>
      <c r="E19" s="98" t="n">
        <v>20</v>
      </c>
      <c r="F19" s="104" t="s">
        <v>107</v>
      </c>
    </row>
    <row r="20" customFormat="false" ht="20.25" hidden="false" customHeight="true" outlineLevel="0" collapsed="false">
      <c r="B20" s="118"/>
      <c r="C20" s="131" t="s">
        <v>108</v>
      </c>
      <c r="D20" s="128" t="n">
        <v>290201</v>
      </c>
      <c r="E20" s="98" t="n">
        <v>20</v>
      </c>
      <c r="F20" s="104" t="s">
        <v>109</v>
      </c>
    </row>
    <row r="21" customFormat="false" ht="30" hidden="false" customHeight="true" outlineLevel="0" collapsed="false">
      <c r="B21" s="127"/>
      <c r="C21" s="106" t="s">
        <v>110</v>
      </c>
      <c r="D21" s="126" t="n">
        <v>0</v>
      </c>
      <c r="E21" s="103" t="n">
        <v>20</v>
      </c>
      <c r="F21" s="104" t="s">
        <v>111</v>
      </c>
    </row>
    <row r="22" customFormat="false" ht="30" hidden="false" customHeight="true" outlineLevel="0" collapsed="false">
      <c r="B22" s="106" t="s">
        <v>112</v>
      </c>
      <c r="C22" s="106" t="s">
        <v>113</v>
      </c>
      <c r="D22" s="132" t="n">
        <v>400</v>
      </c>
      <c r="E22" s="103" t="n">
        <v>20</v>
      </c>
      <c r="F22" s="104" t="s">
        <v>114</v>
      </c>
    </row>
    <row r="23" customFormat="false" ht="30" hidden="false" customHeight="true" outlineLevel="0" collapsed="false">
      <c r="B23" s="106" t="s">
        <v>115</v>
      </c>
      <c r="C23" s="106" t="s">
        <v>116</v>
      </c>
      <c r="D23" s="126" t="n">
        <v>0.003</v>
      </c>
      <c r="E23" s="103" t="n">
        <v>20</v>
      </c>
      <c r="F23" s="104" t="s">
        <v>117</v>
      </c>
    </row>
    <row r="24" customFormat="false" ht="30" hidden="false" customHeight="true" outlineLevel="0" collapsed="false">
      <c r="B24" s="106" t="s">
        <v>118</v>
      </c>
      <c r="C24" s="106" t="s">
        <v>119</v>
      </c>
      <c r="D24" s="132" t="n">
        <v>1000</v>
      </c>
      <c r="E24" s="133" t="n">
        <v>10</v>
      </c>
      <c r="F24" s="104" t="s">
        <v>120</v>
      </c>
    </row>
    <row r="25" customFormat="false" ht="30" hidden="false" customHeight="true" outlineLevel="0" collapsed="false">
      <c r="B25" s="106" t="s">
        <v>121</v>
      </c>
      <c r="C25" s="106" t="s">
        <v>122</v>
      </c>
      <c r="D25" s="134" t="n">
        <v>0.0256</v>
      </c>
      <c r="E25" s="103" t="n">
        <v>20</v>
      </c>
      <c r="F25" s="104" t="s">
        <v>123</v>
      </c>
    </row>
    <row r="26" customFormat="false" ht="30" hidden="false" customHeight="true" outlineLevel="0" collapsed="false">
      <c r="B26" s="106" t="s">
        <v>14</v>
      </c>
      <c r="C26" s="106" t="s">
        <v>124</v>
      </c>
      <c r="D26" s="126" t="n">
        <v>0.2</v>
      </c>
      <c r="E26" s="103" t="n">
        <v>20</v>
      </c>
      <c r="F26" s="104" t="s">
        <v>125</v>
      </c>
    </row>
    <row r="27" customFormat="false" ht="20.25" hidden="false" customHeight="true" outlineLevel="0" collapsed="false">
      <c r="B27" s="108"/>
      <c r="C27" s="108"/>
      <c r="D27" s="108"/>
      <c r="E27" s="108"/>
    </row>
    <row r="28" customFormat="false" ht="20.25" hidden="false" customHeight="true" outlineLevel="0" collapsed="false">
      <c r="B28" s="108"/>
      <c r="C28" s="108"/>
      <c r="D28" s="108"/>
      <c r="E28" s="108"/>
    </row>
    <row r="29" customFormat="false" ht="22.5" hidden="false" customHeight="true" outlineLevel="0" collapsed="false">
      <c r="B29" s="90" t="s">
        <v>126</v>
      </c>
      <c r="C29" s="91"/>
      <c r="D29" s="92"/>
      <c r="E29" s="108"/>
    </row>
    <row r="30" customFormat="false" ht="22.5" hidden="false" customHeight="true" outlineLevel="0" collapsed="false">
      <c r="B30" s="111" t="s">
        <v>127</v>
      </c>
      <c r="C30" s="135" t="s">
        <v>82</v>
      </c>
      <c r="D30" s="136" t="s">
        <v>83</v>
      </c>
      <c r="E30" s="108"/>
      <c r="F30" s="93" t="s">
        <v>64</v>
      </c>
    </row>
    <row r="31" customFormat="false" ht="30" hidden="false" customHeight="true" outlineLevel="0" collapsed="false">
      <c r="B31" s="115" t="s">
        <v>128</v>
      </c>
      <c r="C31" s="95" t="s">
        <v>129</v>
      </c>
      <c r="D31" s="137" t="n">
        <v>0.8</v>
      </c>
      <c r="E31" s="108"/>
      <c r="F31" s="104" t="s">
        <v>130</v>
      </c>
    </row>
    <row r="32" customFormat="false" ht="18.75" hidden="false" customHeight="true" outlineLevel="0" collapsed="false">
      <c r="B32" s="115" t="s">
        <v>131</v>
      </c>
      <c r="C32" s="95" t="s">
        <v>132</v>
      </c>
      <c r="D32" s="137" t="n">
        <v>15</v>
      </c>
      <c r="E32" s="108"/>
      <c r="F32" s="104" t="s">
        <v>133</v>
      </c>
    </row>
    <row r="33" customFormat="false" ht="18.75" hidden="false" customHeight="true" outlineLevel="0" collapsed="false">
      <c r="B33" s="106" t="s">
        <v>53</v>
      </c>
      <c r="C33" s="100" t="s">
        <v>134</v>
      </c>
      <c r="D33" s="126" t="n">
        <v>0.9</v>
      </c>
      <c r="E33" s="108"/>
      <c r="F33" s="104" t="s">
        <v>135</v>
      </c>
    </row>
    <row r="34" customFormat="false" ht="30" hidden="false" customHeight="true" outlineLevel="0" collapsed="false">
      <c r="B34" s="106" t="s">
        <v>54</v>
      </c>
      <c r="C34" s="100" t="s">
        <v>132</v>
      </c>
      <c r="D34" s="126" t="n">
        <v>4</v>
      </c>
      <c r="E34" s="108"/>
      <c r="F34" s="104" t="s">
        <v>136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15"/>
      <c r="C37" s="16" t="s">
        <v>0</v>
      </c>
      <c r="D37" s="16" t="n">
        <v>2020</v>
      </c>
      <c r="E37" s="16" t="n">
        <v>2021</v>
      </c>
      <c r="F37" s="16" t="n">
        <v>2022</v>
      </c>
      <c r="G37" s="16" t="n">
        <v>2023</v>
      </c>
      <c r="H37" s="16" t="n">
        <v>2024</v>
      </c>
      <c r="I37" s="16" t="n">
        <v>2025</v>
      </c>
      <c r="J37" s="16" t="n">
        <v>2026</v>
      </c>
      <c r="K37" s="16" t="n">
        <v>2027</v>
      </c>
      <c r="L37" s="16" t="n">
        <v>2028</v>
      </c>
      <c r="M37" s="16" t="n">
        <v>2029</v>
      </c>
      <c r="N37" s="16" t="n">
        <v>2030</v>
      </c>
      <c r="O37" s="16" t="n">
        <v>2031</v>
      </c>
      <c r="P37" s="16" t="n">
        <v>2032</v>
      </c>
      <c r="Q37" s="16" t="n">
        <v>2033</v>
      </c>
      <c r="R37" s="16" t="n">
        <v>2034</v>
      </c>
      <c r="S37" s="16" t="n">
        <v>2035</v>
      </c>
      <c r="T37" s="16" t="n">
        <v>2036</v>
      </c>
      <c r="U37" s="16" t="n">
        <v>2037</v>
      </c>
      <c r="V37" s="16" t="n">
        <v>2038</v>
      </c>
      <c r="W37" s="16" t="n">
        <v>2039</v>
      </c>
      <c r="X37" s="16"/>
    </row>
    <row r="38" customFormat="false" ht="18.75" hidden="false" customHeight="true" outlineLevel="0" collapsed="false">
      <c r="B38" s="17" t="n">
        <v>0</v>
      </c>
      <c r="C38" s="18"/>
      <c r="D38" s="19"/>
      <c r="E38" s="19"/>
      <c r="F38" s="20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2"/>
      <c r="U38" s="21"/>
      <c r="V38" s="21"/>
      <c r="W38" s="21"/>
      <c r="X38" s="138"/>
    </row>
    <row r="39" customFormat="false" ht="18.75" hidden="false" customHeight="true" outlineLevel="0" collapsed="false">
      <c r="B39" s="23" t="s">
        <v>23</v>
      </c>
      <c r="C39" s="24" t="n">
        <v>0</v>
      </c>
      <c r="D39" s="25" t="n">
        <v>1</v>
      </c>
      <c r="E39" s="25" t="n">
        <v>2</v>
      </c>
      <c r="F39" s="25" t="n">
        <v>3</v>
      </c>
      <c r="G39" s="25" t="n">
        <v>4</v>
      </c>
      <c r="H39" s="25" t="n">
        <v>5</v>
      </c>
      <c r="I39" s="25" t="n">
        <v>6</v>
      </c>
      <c r="J39" s="25" t="n">
        <v>7</v>
      </c>
      <c r="K39" s="25" t="n">
        <v>8</v>
      </c>
      <c r="L39" s="25" t="n">
        <v>9</v>
      </c>
      <c r="M39" s="25" t="n">
        <v>10</v>
      </c>
      <c r="N39" s="25" t="n">
        <v>11</v>
      </c>
      <c r="O39" s="25" t="n">
        <v>12</v>
      </c>
      <c r="P39" s="25" t="n">
        <v>13</v>
      </c>
      <c r="Q39" s="25" t="n">
        <v>14</v>
      </c>
      <c r="R39" s="25" t="n">
        <v>15</v>
      </c>
      <c r="S39" s="25" t="n">
        <v>16</v>
      </c>
      <c r="T39" s="26" t="n">
        <v>17</v>
      </c>
      <c r="U39" s="25" t="n">
        <v>18</v>
      </c>
      <c r="V39" s="25" t="n">
        <v>19</v>
      </c>
      <c r="W39" s="25" t="n">
        <v>20</v>
      </c>
      <c r="X39" s="139"/>
    </row>
    <row r="40" customFormat="false" ht="18.75" hidden="false" customHeight="true" outlineLevel="0" collapsed="false">
      <c r="B40" s="140" t="s">
        <v>137</v>
      </c>
      <c r="C40" s="28" t="n">
        <v>0</v>
      </c>
      <c r="D40" s="29" t="n">
        <f aca="false">$D$10*P1</f>
        <v>541531.98</v>
      </c>
      <c r="E40" s="29" t="n">
        <f aca="false">$D$10*Q1</f>
        <v>539343.972</v>
      </c>
      <c r="F40" s="29" t="n">
        <f aca="false">$D$10*R1</f>
        <v>537155.964</v>
      </c>
      <c r="G40" s="29" t="n">
        <f aca="false">$D$10*S1</f>
        <v>534967.956</v>
      </c>
      <c r="H40" s="29" t="n">
        <f aca="false">$D$10*T1</f>
        <v>532779.948</v>
      </c>
      <c r="I40" s="29" t="n">
        <f aca="false">$D$10*U1</f>
        <v>530591.94</v>
      </c>
      <c r="J40" s="29" t="n">
        <f aca="false">$D$10*V1</f>
        <v>528403.932</v>
      </c>
      <c r="K40" s="29" t="n">
        <f aca="false">$D$10*W1</f>
        <v>526215.924</v>
      </c>
      <c r="L40" s="29" t="n">
        <f aca="false">$D$10*X1</f>
        <v>524027.916</v>
      </c>
      <c r="M40" s="29" t="n">
        <f aca="false">$D$10*Y1</f>
        <v>521839.908</v>
      </c>
      <c r="N40" s="29" t="n">
        <f aca="false">$D$10*Z1</f>
        <v>519651.9</v>
      </c>
      <c r="O40" s="29" t="n">
        <f aca="false">$D$10*AA1</f>
        <v>517463.892</v>
      </c>
      <c r="P40" s="29" t="n">
        <f aca="false">$D$10*AB1</f>
        <v>515275.884</v>
      </c>
      <c r="Q40" s="29" t="n">
        <f aca="false">$D$10*AC1</f>
        <v>513087.876</v>
      </c>
      <c r="R40" s="29" t="n">
        <f aca="false">$D$10*AD1</f>
        <v>510899.868</v>
      </c>
      <c r="S40" s="29" t="n">
        <f aca="false">$D$10*AE1</f>
        <v>508711.86</v>
      </c>
      <c r="T40" s="29" t="n">
        <f aca="false">$D$10*AF1</f>
        <v>506523.852</v>
      </c>
      <c r="U40" s="29" t="n">
        <f aca="false">$D$10*AG1</f>
        <v>504335.844</v>
      </c>
      <c r="V40" s="29" t="n">
        <f aca="false">$D$10*AH1</f>
        <v>502147.836</v>
      </c>
      <c r="W40" s="29" t="n">
        <f aca="false">$D$10*AI1</f>
        <v>499959.828</v>
      </c>
      <c r="X40" s="141"/>
    </row>
    <row r="41" customFormat="false" ht="18.75" hidden="false" customHeight="true" outlineLevel="0" collapsed="false">
      <c r="B41" s="142" t="s">
        <v>25</v>
      </c>
      <c r="C41" s="143" t="s">
        <v>26</v>
      </c>
      <c r="D41" s="144" t="n">
        <f aca="false">D40*$D$13</f>
        <v>2166127.92</v>
      </c>
      <c r="E41" s="144" t="n">
        <f aca="false">E40*$D$13</f>
        <v>2157375.888</v>
      </c>
      <c r="F41" s="144" t="n">
        <f aca="false">F40*$D$13</f>
        <v>2148623.856</v>
      </c>
      <c r="G41" s="144" t="n">
        <f aca="false">G40*$D$13</f>
        <v>2139871.824</v>
      </c>
      <c r="H41" s="144" t="n">
        <f aca="false">H40*$D$13</f>
        <v>2131119.792</v>
      </c>
      <c r="I41" s="144" t="n">
        <f aca="false">I40*$D$13</f>
        <v>2122367.76</v>
      </c>
      <c r="J41" s="144" t="n">
        <f aca="false">J40*$D$13</f>
        <v>2113615.728</v>
      </c>
      <c r="K41" s="144" t="n">
        <f aca="false">K40*$D$13</f>
        <v>2104863.696</v>
      </c>
      <c r="L41" s="144" t="n">
        <f aca="false">L40*$D$13</f>
        <v>2096111.664</v>
      </c>
      <c r="M41" s="144" t="n">
        <f aca="false">M40*$D$13</f>
        <v>2087359.632</v>
      </c>
      <c r="N41" s="144" t="n">
        <f aca="false">N40*$D$13</f>
        <v>2078607.6</v>
      </c>
      <c r="O41" s="144" t="n">
        <f aca="false">O40*$D$13</f>
        <v>2069855.568</v>
      </c>
      <c r="P41" s="144" t="n">
        <f aca="false">P40*$D$13</f>
        <v>2061103.536</v>
      </c>
      <c r="Q41" s="144" t="n">
        <f aca="false">Q40*$D$13</f>
        <v>2052351.504</v>
      </c>
      <c r="R41" s="144" t="n">
        <f aca="false">R40*$D$13</f>
        <v>2043599.472</v>
      </c>
      <c r="S41" s="144" t="n">
        <f aca="false">S40*$D$13</f>
        <v>2034847.44</v>
      </c>
      <c r="T41" s="144" t="n">
        <f aca="false">T40*$D$13</f>
        <v>2026095.408</v>
      </c>
      <c r="U41" s="144" t="n">
        <f aca="false">U40*$D$13</f>
        <v>2017343.376</v>
      </c>
      <c r="V41" s="144" t="n">
        <f aca="false">V40*$D$13</f>
        <v>2008591.344</v>
      </c>
      <c r="W41" s="144" t="n">
        <f aca="false">W40*$D$13</f>
        <v>1999839.312</v>
      </c>
      <c r="X41" s="145"/>
    </row>
    <row r="42" customFormat="false" ht="18.75" hidden="false" customHeight="true" outlineLevel="0" collapsed="false">
      <c r="B42" s="146" t="s">
        <v>27</v>
      </c>
      <c r="C42" s="147" t="s">
        <v>26</v>
      </c>
      <c r="D42" s="148"/>
      <c r="E42" s="148"/>
      <c r="F42" s="148"/>
      <c r="G42" s="149" t="s">
        <v>26</v>
      </c>
      <c r="H42" s="149" t="s">
        <v>26</v>
      </c>
      <c r="I42" s="149" t="s">
        <v>26</v>
      </c>
      <c r="J42" s="149" t="s">
        <v>26</v>
      </c>
      <c r="K42" s="149" t="s">
        <v>26</v>
      </c>
      <c r="L42" s="149" t="s">
        <v>26</v>
      </c>
      <c r="M42" s="149" t="s">
        <v>26</v>
      </c>
      <c r="N42" s="149" t="s">
        <v>26</v>
      </c>
      <c r="O42" s="149" t="s">
        <v>26</v>
      </c>
      <c r="P42" s="149" t="s">
        <v>26</v>
      </c>
      <c r="Q42" s="149" t="s">
        <v>26</v>
      </c>
      <c r="R42" s="149" t="s">
        <v>26</v>
      </c>
      <c r="S42" s="149" t="s">
        <v>26</v>
      </c>
      <c r="T42" s="149" t="s">
        <v>26</v>
      </c>
      <c r="U42" s="149" t="s">
        <v>26</v>
      </c>
      <c r="V42" s="149" t="s">
        <v>26</v>
      </c>
      <c r="W42" s="149" t="s">
        <v>26</v>
      </c>
      <c r="X42" s="150"/>
    </row>
    <row r="43" customFormat="false" ht="18.75" hidden="false" customHeight="true" outlineLevel="0" collapsed="false">
      <c r="B43" s="151" t="s">
        <v>28</v>
      </c>
      <c r="C43" s="152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4"/>
    </row>
    <row r="44" customFormat="false" ht="18.75" hidden="false" customHeight="true" outlineLevel="0" collapsed="false">
      <c r="B44" s="155" t="s">
        <v>29</v>
      </c>
      <c r="C44" s="156" t="n">
        <f aca="false">-(D16/(1-D17)+D18)*C4</f>
        <v>-17693200</v>
      </c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</row>
    <row r="45" customFormat="false" ht="18.75" hidden="false" customHeight="true" outlineLevel="0" collapsed="false">
      <c r="B45" s="155" t="s">
        <v>30</v>
      </c>
      <c r="C45" s="147" t="s">
        <v>26</v>
      </c>
      <c r="D45" s="105" t="n">
        <v>-290201</v>
      </c>
      <c r="E45" s="157" t="n">
        <v>-290201</v>
      </c>
      <c r="F45" s="157" t="n">
        <v>-290201</v>
      </c>
      <c r="G45" s="157" t="n">
        <v>-290201</v>
      </c>
      <c r="H45" s="157" t="n">
        <v>-290201</v>
      </c>
      <c r="I45" s="157" t="n">
        <v>-290201</v>
      </c>
      <c r="J45" s="157" t="n">
        <v>-290201</v>
      </c>
      <c r="K45" s="157" t="n">
        <v>-290201</v>
      </c>
      <c r="L45" s="157" t="n">
        <v>-290201</v>
      </c>
      <c r="M45" s="157" t="n">
        <v>-290201</v>
      </c>
      <c r="N45" s="157" t="n">
        <v>-290201</v>
      </c>
      <c r="O45" s="157" t="n">
        <v>-290201</v>
      </c>
      <c r="P45" s="157" t="n">
        <v>-290201</v>
      </c>
      <c r="Q45" s="157" t="n">
        <v>-290201</v>
      </c>
      <c r="R45" s="157" t="n">
        <v>-290201</v>
      </c>
      <c r="S45" s="157" t="n">
        <v>-290201</v>
      </c>
      <c r="T45" s="157" t="n">
        <v>-290201</v>
      </c>
      <c r="U45" s="157" t="n">
        <v>-290201</v>
      </c>
      <c r="V45" s="157" t="n">
        <v>-290201</v>
      </c>
      <c r="W45" s="157" t="n">
        <v>-290201</v>
      </c>
      <c r="X45" s="157"/>
    </row>
    <row r="46" customFormat="false" ht="18.75" hidden="false" customHeight="true" outlineLevel="0" collapsed="false">
      <c r="B46" s="155" t="s">
        <v>31</v>
      </c>
      <c r="C46" s="14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</row>
    <row r="47" customFormat="false" ht="18.75" hidden="false" customHeight="true" outlineLevel="0" collapsed="false">
      <c r="B47" s="155" t="s">
        <v>32</v>
      </c>
      <c r="C47" s="147" t="s">
        <v>26</v>
      </c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</row>
    <row r="48" customFormat="false" ht="18.75" hidden="false" customHeight="true" outlineLevel="0" collapsed="false">
      <c r="B48" s="155" t="s">
        <v>33</v>
      </c>
      <c r="C48" s="147" t="s">
        <v>26</v>
      </c>
      <c r="D48" s="157" t="n">
        <v>-174440</v>
      </c>
      <c r="E48" s="157" t="n">
        <v>-174440</v>
      </c>
      <c r="F48" s="157" t="n">
        <v>-174440</v>
      </c>
      <c r="G48" s="157" t="n">
        <v>-174440</v>
      </c>
      <c r="H48" s="157" t="n">
        <v>-174440</v>
      </c>
      <c r="I48" s="157" t="n">
        <v>-174440</v>
      </c>
      <c r="J48" s="157" t="n">
        <v>-174440</v>
      </c>
      <c r="K48" s="157" t="n">
        <v>-174440</v>
      </c>
      <c r="L48" s="157" t="n">
        <v>-174440</v>
      </c>
      <c r="M48" s="157" t="n">
        <v>-174440</v>
      </c>
      <c r="N48" s="157" t="n">
        <v>-174440</v>
      </c>
      <c r="O48" s="157" t="n">
        <v>-174440</v>
      </c>
      <c r="P48" s="157" t="n">
        <v>-174440</v>
      </c>
      <c r="Q48" s="157" t="n">
        <v>-174440</v>
      </c>
      <c r="R48" s="157" t="n">
        <v>-174440</v>
      </c>
      <c r="S48" s="157" t="n">
        <v>-174440</v>
      </c>
      <c r="T48" s="157" t="n">
        <v>-174440</v>
      </c>
      <c r="U48" s="157" t="n">
        <v>-174440</v>
      </c>
      <c r="V48" s="157" t="n">
        <v>-174440</v>
      </c>
      <c r="W48" s="157" t="n">
        <v>-174440</v>
      </c>
      <c r="X48" s="157"/>
    </row>
    <row r="49" customFormat="false" ht="18.75" hidden="false" customHeight="true" outlineLevel="0" collapsed="false">
      <c r="B49" s="155" t="s">
        <v>34</v>
      </c>
      <c r="C49" s="147" t="s">
        <v>26</v>
      </c>
      <c r="D49" s="157" t="n">
        <v>-35324.1</v>
      </c>
      <c r="E49" s="157" t="n">
        <v>-35324.1</v>
      </c>
      <c r="F49" s="157" t="n">
        <v>-35324.1</v>
      </c>
      <c r="G49" s="157" t="n">
        <v>-35324.1</v>
      </c>
      <c r="H49" s="157" t="n">
        <v>-35324.1</v>
      </c>
      <c r="I49" s="157" t="n">
        <v>-35324.1</v>
      </c>
      <c r="J49" s="157" t="n">
        <v>-35324.1</v>
      </c>
      <c r="K49" s="157" t="n">
        <v>-35324.1</v>
      </c>
      <c r="L49" s="157" t="n">
        <v>-35324.1</v>
      </c>
      <c r="M49" s="157" t="n">
        <v>-35324.1</v>
      </c>
      <c r="N49" s="157" t="n">
        <v>-35324.1</v>
      </c>
      <c r="O49" s="157" t="n">
        <v>-35324.1</v>
      </c>
      <c r="P49" s="157" t="n">
        <v>-35324.1</v>
      </c>
      <c r="Q49" s="157" t="n">
        <v>-35324.1</v>
      </c>
      <c r="R49" s="157" t="n">
        <v>-35324.1</v>
      </c>
      <c r="S49" s="157" t="n">
        <v>-35324.1</v>
      </c>
      <c r="T49" s="157" t="n">
        <v>-35324.1</v>
      </c>
      <c r="U49" s="157" t="n">
        <v>-35324.1</v>
      </c>
      <c r="V49" s="157" t="n">
        <v>-35324.1</v>
      </c>
      <c r="W49" s="157" t="n">
        <v>-35324.1</v>
      </c>
      <c r="X49" s="157"/>
    </row>
    <row r="50" customFormat="false" ht="18.75" hidden="false" customHeight="true" outlineLevel="0" collapsed="false">
      <c r="B50" s="155" t="s">
        <v>35</v>
      </c>
      <c r="C50" s="147"/>
      <c r="D50" s="157" t="n">
        <v>-43610</v>
      </c>
      <c r="E50" s="157" t="n">
        <v>-43610</v>
      </c>
      <c r="F50" s="157" t="n">
        <v>-43610</v>
      </c>
      <c r="G50" s="157" t="n">
        <v>-43610</v>
      </c>
      <c r="H50" s="157" t="n">
        <v>-43610</v>
      </c>
      <c r="I50" s="157" t="n">
        <v>-43610</v>
      </c>
      <c r="J50" s="157" t="n">
        <v>-43610</v>
      </c>
      <c r="K50" s="157" t="n">
        <v>-43610</v>
      </c>
      <c r="L50" s="157" t="n">
        <v>-43610</v>
      </c>
      <c r="M50" s="157" t="n">
        <v>-43610</v>
      </c>
      <c r="N50" s="157" t="n">
        <v>0</v>
      </c>
      <c r="O50" s="157" t="n">
        <v>0</v>
      </c>
      <c r="P50" s="157" t="n">
        <v>0</v>
      </c>
      <c r="Q50" s="157" t="n">
        <v>0</v>
      </c>
      <c r="R50" s="157" t="n">
        <v>0</v>
      </c>
      <c r="S50" s="157" t="n">
        <v>0</v>
      </c>
      <c r="T50" s="157" t="n">
        <v>0</v>
      </c>
      <c r="U50" s="157" t="n">
        <v>0</v>
      </c>
      <c r="V50" s="157" t="n">
        <v>0</v>
      </c>
      <c r="W50" s="157" t="n">
        <v>0</v>
      </c>
      <c r="X50" s="157"/>
    </row>
    <row r="51" customFormat="false" ht="18.75" hidden="false" customHeight="true" outlineLevel="0" collapsed="false">
      <c r="B51" s="155" t="s">
        <v>36</v>
      </c>
      <c r="C51" s="158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</row>
    <row r="52" customFormat="false" ht="18.75" hidden="false" customHeight="true" outlineLevel="0" collapsed="false">
      <c r="B52" s="155" t="s">
        <v>37</v>
      </c>
      <c r="C52" s="158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</row>
    <row r="53" customFormat="false" ht="18.75" hidden="false" customHeight="true" outlineLevel="0" collapsed="false">
      <c r="B53" s="159" t="s">
        <v>38</v>
      </c>
      <c r="C53" s="158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</row>
    <row r="54" customFormat="false" ht="18.75" hidden="false" customHeight="true" outlineLevel="0" collapsed="false">
      <c r="B54" s="159" t="s">
        <v>39</v>
      </c>
      <c r="C54" s="158"/>
      <c r="D54" s="157" t="n">
        <f aca="false">D77</f>
        <v>-205618.764</v>
      </c>
      <c r="E54" s="157" t="n">
        <f aca="false">E77</f>
        <v>-145828.1576</v>
      </c>
      <c r="F54" s="157" t="n">
        <f aca="false">F77</f>
        <v>-144077.7512</v>
      </c>
      <c r="G54" s="157" t="n">
        <f aca="false">G77</f>
        <v>-142327.3448</v>
      </c>
      <c r="H54" s="157" t="n">
        <f aca="false">H77</f>
        <v>-140576.9384</v>
      </c>
      <c r="I54" s="157" t="n">
        <f aca="false">I77</f>
        <v>-138826.532</v>
      </c>
      <c r="J54" s="157" t="n">
        <f aca="false">J77</f>
        <v>-137076.1256</v>
      </c>
      <c r="K54" s="157" t="n">
        <f aca="false">K77</f>
        <v>-135325.7192</v>
      </c>
      <c r="L54" s="157" t="n">
        <f aca="false">L77</f>
        <v>-133575.3128</v>
      </c>
      <c r="M54" s="157" t="n">
        <f aca="false">M77</f>
        <v>-131824.9064</v>
      </c>
      <c r="N54" s="157" t="n">
        <f aca="false">N77</f>
        <v>-138796.5</v>
      </c>
      <c r="O54" s="157" t="n">
        <f aca="false">O77</f>
        <v>-137046.0936</v>
      </c>
      <c r="P54" s="157" t="n">
        <f aca="false">P77</f>
        <v>-135295.6872</v>
      </c>
      <c r="Q54" s="157" t="n">
        <f aca="false">Q77</f>
        <v>-133545.2808</v>
      </c>
      <c r="R54" s="157" t="n">
        <f aca="false">R77</f>
        <v>-131794.8744</v>
      </c>
      <c r="S54" s="157" t="n">
        <f aca="false">S77</f>
        <v>-130044.468</v>
      </c>
      <c r="T54" s="157" t="n">
        <f aca="false">T77</f>
        <v>-128294.0616</v>
      </c>
      <c r="U54" s="157" t="n">
        <f aca="false">U77</f>
        <v>-126543.6552</v>
      </c>
      <c r="V54" s="157" t="n">
        <f aca="false">V77</f>
        <v>-124793.2488</v>
      </c>
      <c r="W54" s="157" t="n">
        <f aca="false">W77</f>
        <v>-123042.8424</v>
      </c>
      <c r="X54" s="148"/>
    </row>
    <row r="55" customFormat="false" ht="18.75" hidden="false" customHeight="true" outlineLevel="0" collapsed="false">
      <c r="B55" s="160" t="s">
        <v>40</v>
      </c>
      <c r="C55" s="161" t="n">
        <f aca="false">C44</f>
        <v>-17693200</v>
      </c>
      <c r="D55" s="162" t="n">
        <f aca="false">SUM(D41:D54)</f>
        <v>1416934.056</v>
      </c>
      <c r="E55" s="162" t="n">
        <f aca="false">SUM(E41:E54)</f>
        <v>1467972.6304</v>
      </c>
      <c r="F55" s="162" t="n">
        <f aca="false">SUM(F41:F54)</f>
        <v>1460971.0048</v>
      </c>
      <c r="G55" s="162" t="n">
        <f aca="false">SUM(G41:G54)</f>
        <v>1453969.3792</v>
      </c>
      <c r="H55" s="162" t="n">
        <f aca="false">SUM(H41:H54)</f>
        <v>1446967.7536</v>
      </c>
      <c r="I55" s="162" t="n">
        <f aca="false">SUM(I41:I54)</f>
        <v>1439966.128</v>
      </c>
      <c r="J55" s="162" t="n">
        <f aca="false">SUM(J41:J54)</f>
        <v>1432964.5024</v>
      </c>
      <c r="K55" s="162" t="n">
        <f aca="false">SUM(K41:K54)</f>
        <v>1425962.8768</v>
      </c>
      <c r="L55" s="162" t="n">
        <f aca="false">SUM(L41:L54)</f>
        <v>1418961.2512</v>
      </c>
      <c r="M55" s="162" t="n">
        <f aca="false">SUM(M41:M54)</f>
        <v>1411959.6256</v>
      </c>
      <c r="N55" s="162" t="n">
        <f aca="false">SUM(N41:N54)</f>
        <v>1439846</v>
      </c>
      <c r="O55" s="162" t="n">
        <f aca="false">SUM(O41:O54)</f>
        <v>1432844.3744</v>
      </c>
      <c r="P55" s="162" t="n">
        <f aca="false">SUM(P41:P54)</f>
        <v>1425842.7488</v>
      </c>
      <c r="Q55" s="162" t="n">
        <f aca="false">SUM(Q41:Q54)</f>
        <v>1418841.1232</v>
      </c>
      <c r="R55" s="162" t="n">
        <f aca="false">SUM(R41:R54)</f>
        <v>1411839.4976</v>
      </c>
      <c r="S55" s="162" t="n">
        <f aca="false">SUM(S41:S54)</f>
        <v>1404837.872</v>
      </c>
      <c r="T55" s="162" t="n">
        <f aca="false">SUM(T41:T54)</f>
        <v>1397836.2464</v>
      </c>
      <c r="U55" s="162" t="n">
        <f aca="false">SUM(U41:U54)</f>
        <v>1390834.6208</v>
      </c>
      <c r="V55" s="162" t="n">
        <f aca="false">SUM(V41:V54)</f>
        <v>1383832.9952</v>
      </c>
      <c r="W55" s="162" t="n">
        <f aca="false">SUM(W41:W54)</f>
        <v>1376831.3696</v>
      </c>
      <c r="X55" s="163"/>
      <c r="Y55" s="164"/>
      <c r="Z55" s="165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</row>
    <row r="56" customFormat="false" ht="18.75" hidden="false" customHeight="true" outlineLevel="0" collapsed="false">
      <c r="B56" s="166" t="s">
        <v>41</v>
      </c>
      <c r="D56" s="167" t="n">
        <f aca="false">C55+D55</f>
        <v>-16276265.944</v>
      </c>
      <c r="E56" s="167" t="n">
        <f aca="false">D56+E55</f>
        <v>-14808293.3136</v>
      </c>
      <c r="F56" s="167" t="n">
        <f aca="false">E56+F55</f>
        <v>-13347322.3088</v>
      </c>
      <c r="G56" s="167" t="n">
        <f aca="false">F56+G55</f>
        <v>-11893352.9296</v>
      </c>
      <c r="H56" s="167" t="n">
        <f aca="false">G56+H55</f>
        <v>-10446385.176</v>
      </c>
      <c r="I56" s="167" t="n">
        <f aca="false">H56+I55</f>
        <v>-9006419.048</v>
      </c>
      <c r="J56" s="167" t="n">
        <f aca="false">I56+J55</f>
        <v>-7573454.5456</v>
      </c>
      <c r="K56" s="167" t="n">
        <f aca="false">J56+K55</f>
        <v>-6147491.6688</v>
      </c>
      <c r="L56" s="167" t="n">
        <f aca="false">K56+L55</f>
        <v>-4728530.4176</v>
      </c>
      <c r="M56" s="167" t="n">
        <f aca="false">L56+M55</f>
        <v>-3316570.792</v>
      </c>
      <c r="N56" s="167" t="n">
        <f aca="false">M56+N55</f>
        <v>-1876724.792</v>
      </c>
      <c r="O56" s="167" t="n">
        <f aca="false">N56+O55</f>
        <v>-443880.417600002</v>
      </c>
      <c r="P56" s="167" t="n">
        <f aca="false">O56+P55</f>
        <v>981962.331199998</v>
      </c>
      <c r="Q56" s="167" t="n">
        <f aca="false">P56+Q55</f>
        <v>2400803.4544</v>
      </c>
      <c r="R56" s="167" t="n">
        <f aca="false">Q56+R55</f>
        <v>3812642.952</v>
      </c>
      <c r="S56" s="167" t="n">
        <f aca="false">R56+S55</f>
        <v>5217480.824</v>
      </c>
      <c r="T56" s="167" t="n">
        <f aca="false">S56+T55</f>
        <v>6615317.0704</v>
      </c>
      <c r="U56" s="167" t="n">
        <f aca="false">T56+U55</f>
        <v>8006151.6912</v>
      </c>
      <c r="V56" s="167" t="n">
        <f aca="false">U56+V55</f>
        <v>9389984.6864</v>
      </c>
      <c r="W56" s="167" t="n">
        <f aca="false">V56+W55</f>
        <v>10766816.056</v>
      </c>
      <c r="X56" s="167" t="n">
        <f aca="false">W56+X55</f>
        <v>10766816.056</v>
      </c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</row>
    <row r="57" customFormat="false" ht="18.75" hidden="false" customHeight="true" outlineLevel="0" collapsed="false">
      <c r="B57" s="168" t="s">
        <v>42</v>
      </c>
      <c r="C57" s="169"/>
      <c r="D57" s="170" t="str">
        <f aca="false">IF((D56)&gt;0,"回收","未回收")</f>
        <v>未回收</v>
      </c>
      <c r="E57" s="171" t="str">
        <f aca="false">IF((E56)&gt;0,"回收","未回收")</f>
        <v>未回收</v>
      </c>
      <c r="F57" s="171" t="str">
        <f aca="false">IF((F56)&gt;0,"回收","未回收")</f>
        <v>未回收</v>
      </c>
      <c r="G57" s="171" t="str">
        <f aca="false">IF((G56)&gt;0,"回收","未回收")</f>
        <v>未回收</v>
      </c>
      <c r="H57" s="171" t="str">
        <f aca="false">IF((H56)&gt;0,"回收","未回收")</f>
        <v>未回收</v>
      </c>
      <c r="I57" s="171" t="str">
        <f aca="false">IF((I56)&gt;0,"回收","未回收")</f>
        <v>未回收</v>
      </c>
      <c r="J57" s="171" t="str">
        <f aca="false">IF((J56)&gt;0,"回收","未回收")</f>
        <v>未回收</v>
      </c>
      <c r="K57" s="171" t="str">
        <f aca="false">IF((K56)&gt;0,"回收","未回收")</f>
        <v>未回收</v>
      </c>
      <c r="L57" s="171" t="str">
        <f aca="false">IF((L56)&gt;0,"回收","未回收")</f>
        <v>未回收</v>
      </c>
      <c r="M57" s="171" t="str">
        <f aca="false">IF((M56)&gt;0,"回收","未回收")</f>
        <v>未回收</v>
      </c>
      <c r="N57" s="171" t="str">
        <f aca="false">IF((N56)&gt;0,"回收","未回收")</f>
        <v>未回收</v>
      </c>
      <c r="O57" s="171" t="str">
        <f aca="false">IF((O56)&gt;0,"回收","未回收")</f>
        <v>未回收</v>
      </c>
      <c r="P57" s="171" t="str">
        <f aca="false">IF((P56)&gt;0,"回收","未回收")</f>
        <v>回收</v>
      </c>
      <c r="Q57" s="171" t="str">
        <f aca="false">IF((Q56)&gt;0,"回收","未回收")</f>
        <v>回收</v>
      </c>
      <c r="R57" s="171" t="str">
        <f aca="false">IF((R56)&gt;0,"回收","未回收")</f>
        <v>回收</v>
      </c>
      <c r="S57" s="171" t="str">
        <f aca="false">IF((S56)&gt;0,"回收","未回收")</f>
        <v>回收</v>
      </c>
      <c r="T57" s="171" t="str">
        <f aca="false">IF((T56)&gt;0,"回收","未回收")</f>
        <v>回收</v>
      </c>
      <c r="U57" s="171" t="str">
        <f aca="false">IF((U56)&gt;0,"回收","未回收")</f>
        <v>回收</v>
      </c>
      <c r="V57" s="171" t="str">
        <f aca="false">IF((V56)&gt;0,"回收","未回收")</f>
        <v>回收</v>
      </c>
      <c r="W57" s="171" t="str">
        <f aca="false">IF((W56)&gt;0,"回收","未回收")</f>
        <v>回收</v>
      </c>
      <c r="X57" s="171" t="str">
        <f aca="false">IF((X56)&gt;0,"回收","未回收")</f>
        <v>回收</v>
      </c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</row>
    <row r="58" customFormat="false" ht="18.75" hidden="false" customHeight="true" outlineLevel="0" collapsed="false">
      <c r="B58" s="54" t="s">
        <v>43</v>
      </c>
      <c r="C58" s="55" t="n">
        <f aca="false">IRR(C55:W55)</f>
        <v>0.050729974712442</v>
      </c>
      <c r="D58" s="56"/>
      <c r="E58" s="56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</row>
    <row r="59" customFormat="false" ht="18.75" hidden="false" customHeight="true" outlineLevel="0" collapsed="false">
      <c r="B59" s="57"/>
      <c r="C59" s="56"/>
      <c r="D59" s="56"/>
      <c r="E59" s="56"/>
      <c r="F59" s="57"/>
      <c r="G59" s="57"/>
      <c r="H59" s="57"/>
      <c r="I59" s="57"/>
      <c r="J59" s="57"/>
      <c r="K59" s="57"/>
      <c r="L59" s="57"/>
      <c r="M59" s="56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</row>
    <row r="60" customFormat="false" ht="18.75" hidden="false" customHeight="true" outlineLevel="0" collapsed="false">
      <c r="B60" s="15"/>
      <c r="C60" s="16" t="s">
        <v>0</v>
      </c>
      <c r="D60" s="16" t="n">
        <f aca="false">D37</f>
        <v>2020</v>
      </c>
      <c r="E60" s="16" t="n">
        <f aca="false">E37</f>
        <v>2021</v>
      </c>
      <c r="F60" s="16" t="n">
        <f aca="false">F37</f>
        <v>2022</v>
      </c>
      <c r="G60" s="16" t="n">
        <f aca="false">G37</f>
        <v>2023</v>
      </c>
      <c r="H60" s="16" t="n">
        <f aca="false">H37</f>
        <v>2024</v>
      </c>
      <c r="I60" s="16" t="n">
        <f aca="false">I37</f>
        <v>2025</v>
      </c>
      <c r="J60" s="16" t="n">
        <f aca="false">J37</f>
        <v>2026</v>
      </c>
      <c r="K60" s="16" t="n">
        <f aca="false">K37</f>
        <v>2027</v>
      </c>
      <c r="L60" s="16" t="n">
        <f aca="false">L37</f>
        <v>2028</v>
      </c>
      <c r="M60" s="16" t="n">
        <f aca="false">M37</f>
        <v>2029</v>
      </c>
      <c r="N60" s="16" t="n">
        <f aca="false">N37</f>
        <v>2030</v>
      </c>
      <c r="O60" s="16" t="n">
        <f aca="false">O37</f>
        <v>2031</v>
      </c>
      <c r="P60" s="16" t="n">
        <f aca="false">P37</f>
        <v>2032</v>
      </c>
      <c r="Q60" s="16" t="n">
        <f aca="false">Q37</f>
        <v>2033</v>
      </c>
      <c r="R60" s="16" t="n">
        <f aca="false">R37</f>
        <v>2034</v>
      </c>
      <c r="S60" s="16" t="n">
        <f aca="false">S37</f>
        <v>2035</v>
      </c>
      <c r="T60" s="16" t="n">
        <f aca="false">T37</f>
        <v>2036</v>
      </c>
      <c r="U60" s="16" t="n">
        <f aca="false">U37</f>
        <v>2037</v>
      </c>
      <c r="V60" s="16" t="n">
        <f aca="false">V37</f>
        <v>2038</v>
      </c>
      <c r="W60" s="16" t="n">
        <f aca="false">W37</f>
        <v>2039</v>
      </c>
      <c r="X60" s="16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</row>
    <row r="61" customFormat="false" ht="18.75" hidden="false" customHeight="true" outlineLevel="0" collapsed="false">
      <c r="B61" s="17" t="n">
        <v>0</v>
      </c>
      <c r="C61" s="18"/>
      <c r="D61" s="19"/>
      <c r="E61" s="19"/>
      <c r="F61" s="20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58" t="s">
        <v>44</v>
      </c>
      <c r="U61" s="21"/>
      <c r="V61" s="21"/>
      <c r="W61" s="21"/>
      <c r="X61" s="138"/>
    </row>
    <row r="62" customFormat="false" ht="18.75" hidden="false" customHeight="true" outlineLevel="0" collapsed="false">
      <c r="B62" s="23" t="s">
        <v>23</v>
      </c>
      <c r="C62" s="24" t="n">
        <v>0</v>
      </c>
      <c r="D62" s="25" t="n">
        <v>1</v>
      </c>
      <c r="E62" s="25" t="n">
        <v>2</v>
      </c>
      <c r="F62" s="25" t="n">
        <v>3</v>
      </c>
      <c r="G62" s="25" t="n">
        <v>4</v>
      </c>
      <c r="H62" s="25" t="n">
        <v>5</v>
      </c>
      <c r="I62" s="25" t="n">
        <v>6</v>
      </c>
      <c r="J62" s="25" t="n">
        <v>7</v>
      </c>
      <c r="K62" s="25" t="n">
        <v>8</v>
      </c>
      <c r="L62" s="25" t="n">
        <v>9</v>
      </c>
      <c r="M62" s="25" t="n">
        <v>10</v>
      </c>
      <c r="N62" s="25" t="n">
        <v>11</v>
      </c>
      <c r="O62" s="25" t="n">
        <v>12</v>
      </c>
      <c r="P62" s="25" t="n">
        <v>13</v>
      </c>
      <c r="Q62" s="25" t="n">
        <v>14</v>
      </c>
      <c r="R62" s="25" t="n">
        <v>15</v>
      </c>
      <c r="S62" s="25" t="n">
        <v>16</v>
      </c>
      <c r="T62" s="59" t="n">
        <v>17</v>
      </c>
      <c r="U62" s="25" t="n">
        <v>18</v>
      </c>
      <c r="V62" s="25" t="n">
        <v>19</v>
      </c>
      <c r="W62" s="25" t="n">
        <v>20</v>
      </c>
      <c r="X62" s="139"/>
    </row>
    <row r="63" customFormat="false" ht="18.75" hidden="false" customHeight="true" outlineLevel="0" collapsed="false">
      <c r="B63" s="140" t="s">
        <v>137</v>
      </c>
      <c r="C63" s="28" t="n">
        <v>0</v>
      </c>
      <c r="D63" s="29" t="n">
        <f aca="false">D40</f>
        <v>541531.98</v>
      </c>
      <c r="E63" s="29" t="n">
        <f aca="false">E40</f>
        <v>539343.972</v>
      </c>
      <c r="F63" s="29" t="n">
        <f aca="false">F40</f>
        <v>537155.964</v>
      </c>
      <c r="G63" s="29" t="n">
        <f aca="false">G40</f>
        <v>534967.956</v>
      </c>
      <c r="H63" s="29" t="n">
        <f aca="false">H40</f>
        <v>532779.948</v>
      </c>
      <c r="I63" s="29" t="n">
        <f aca="false">I40</f>
        <v>530591.94</v>
      </c>
      <c r="J63" s="29" t="n">
        <f aca="false">J40</f>
        <v>528403.932</v>
      </c>
      <c r="K63" s="29" t="n">
        <f aca="false">K40</f>
        <v>526215.924</v>
      </c>
      <c r="L63" s="29" t="n">
        <f aca="false">L40</f>
        <v>524027.916</v>
      </c>
      <c r="M63" s="29" t="n">
        <f aca="false">M40</f>
        <v>521839.908</v>
      </c>
      <c r="N63" s="29" t="n">
        <f aca="false">N40</f>
        <v>519651.9</v>
      </c>
      <c r="O63" s="29" t="n">
        <f aca="false">O40</f>
        <v>517463.892</v>
      </c>
      <c r="P63" s="29" t="n">
        <f aca="false">P40</f>
        <v>515275.884</v>
      </c>
      <c r="Q63" s="29" t="n">
        <f aca="false">Q40</f>
        <v>513087.876</v>
      </c>
      <c r="R63" s="29" t="n">
        <f aca="false">R40</f>
        <v>510899.868</v>
      </c>
      <c r="S63" s="29" t="n">
        <f aca="false">S40</f>
        <v>508711.86</v>
      </c>
      <c r="T63" s="29" t="n">
        <f aca="false">T40</f>
        <v>506523.852</v>
      </c>
      <c r="U63" s="29" t="n">
        <f aca="false">U40</f>
        <v>504335.844</v>
      </c>
      <c r="V63" s="29" t="n">
        <f aca="false">V40</f>
        <v>502147.836</v>
      </c>
      <c r="W63" s="29" t="n">
        <f aca="false">W40</f>
        <v>499959.828</v>
      </c>
      <c r="X63" s="141"/>
    </row>
    <row r="64" customFormat="false" ht="18.75" hidden="false" customHeight="true" outlineLevel="0" collapsed="false">
      <c r="B64" s="142" t="s">
        <v>25</v>
      </c>
      <c r="C64" s="143" t="s">
        <v>26</v>
      </c>
      <c r="D64" s="144" t="n">
        <f aca="false">D41</f>
        <v>2166127.92</v>
      </c>
      <c r="E64" s="144" t="n">
        <f aca="false">E41</f>
        <v>2157375.888</v>
      </c>
      <c r="F64" s="144" t="n">
        <f aca="false">F41</f>
        <v>2148623.856</v>
      </c>
      <c r="G64" s="144" t="n">
        <f aca="false">G41</f>
        <v>2139871.824</v>
      </c>
      <c r="H64" s="144" t="n">
        <f aca="false">H41</f>
        <v>2131119.792</v>
      </c>
      <c r="I64" s="144" t="n">
        <f aca="false">I41</f>
        <v>2122367.76</v>
      </c>
      <c r="J64" s="144" t="n">
        <f aca="false">J41</f>
        <v>2113615.728</v>
      </c>
      <c r="K64" s="144" t="n">
        <f aca="false">K41</f>
        <v>2104863.696</v>
      </c>
      <c r="L64" s="144" t="n">
        <f aca="false">L41</f>
        <v>2096111.664</v>
      </c>
      <c r="M64" s="144" t="n">
        <f aca="false">M41</f>
        <v>2087359.632</v>
      </c>
      <c r="N64" s="144" t="n">
        <f aca="false">N41</f>
        <v>2078607.6</v>
      </c>
      <c r="O64" s="144" t="n">
        <f aca="false">O41</f>
        <v>2069855.568</v>
      </c>
      <c r="P64" s="144" t="n">
        <f aca="false">P41</f>
        <v>2061103.536</v>
      </c>
      <c r="Q64" s="144" t="n">
        <f aca="false">Q41</f>
        <v>2052351.504</v>
      </c>
      <c r="R64" s="144" t="n">
        <f aca="false">R41</f>
        <v>2043599.472</v>
      </c>
      <c r="S64" s="144" t="n">
        <f aca="false">S41</f>
        <v>2034847.44</v>
      </c>
      <c r="T64" s="144" t="n">
        <f aca="false">T41</f>
        <v>2026095.408</v>
      </c>
      <c r="U64" s="144" t="n">
        <f aca="false">U41</f>
        <v>2017343.376</v>
      </c>
      <c r="V64" s="144" t="n">
        <f aca="false">V41</f>
        <v>2008591.344</v>
      </c>
      <c r="W64" s="144" t="n">
        <f aca="false">W41</f>
        <v>1999839.312</v>
      </c>
      <c r="X64" s="145"/>
    </row>
    <row r="65" customFormat="false" ht="18.75" hidden="false" customHeight="true" outlineLevel="0" collapsed="false">
      <c r="B65" s="146" t="s">
        <v>27</v>
      </c>
      <c r="C65" s="147" t="s">
        <v>26</v>
      </c>
      <c r="D65" s="148"/>
      <c r="E65" s="148"/>
      <c r="F65" s="148"/>
      <c r="G65" s="149" t="s">
        <v>26</v>
      </c>
      <c r="H65" s="149" t="s">
        <v>26</v>
      </c>
      <c r="I65" s="149" t="s">
        <v>26</v>
      </c>
      <c r="J65" s="149" t="s">
        <v>26</v>
      </c>
      <c r="K65" s="149" t="s">
        <v>26</v>
      </c>
      <c r="L65" s="149" t="s">
        <v>26</v>
      </c>
      <c r="M65" s="149" t="s">
        <v>26</v>
      </c>
      <c r="N65" s="149" t="s">
        <v>26</v>
      </c>
      <c r="O65" s="149" t="s">
        <v>26</v>
      </c>
      <c r="P65" s="149" t="s">
        <v>26</v>
      </c>
      <c r="Q65" s="149" t="s">
        <v>26</v>
      </c>
      <c r="R65" s="149" t="s">
        <v>26</v>
      </c>
      <c r="S65" s="149" t="s">
        <v>26</v>
      </c>
      <c r="T65" s="149" t="s">
        <v>26</v>
      </c>
      <c r="U65" s="149" t="s">
        <v>26</v>
      </c>
      <c r="V65" s="149" t="s">
        <v>26</v>
      </c>
      <c r="W65" s="149" t="s">
        <v>26</v>
      </c>
      <c r="X65" s="150"/>
    </row>
    <row r="66" customFormat="false" ht="18.75" hidden="false" customHeight="true" outlineLevel="0" collapsed="false">
      <c r="B66" s="151" t="s">
        <v>28</v>
      </c>
      <c r="C66" s="152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4"/>
    </row>
    <row r="67" customFormat="false" ht="18.75" hidden="false" customHeight="true" outlineLevel="0" collapsed="false">
      <c r="B67" s="155" t="s">
        <v>45</v>
      </c>
      <c r="C67" s="147"/>
      <c r="D67" s="174" t="n">
        <f aca="false">$C$44/$E$16</f>
        <v>-884660</v>
      </c>
      <c r="E67" s="174" t="n">
        <f aca="false">$C$44/$E$16</f>
        <v>-884660</v>
      </c>
      <c r="F67" s="174" t="n">
        <f aca="false">$C$44/$E$16</f>
        <v>-884660</v>
      </c>
      <c r="G67" s="174" t="n">
        <f aca="false">$C$44/$E$16</f>
        <v>-884660</v>
      </c>
      <c r="H67" s="174" t="n">
        <f aca="false">$C$44/$E$16</f>
        <v>-884660</v>
      </c>
      <c r="I67" s="174" t="n">
        <f aca="false">$C$44/$E$16</f>
        <v>-884660</v>
      </c>
      <c r="J67" s="174" t="n">
        <f aca="false">$C$44/$E$16</f>
        <v>-884660</v>
      </c>
      <c r="K67" s="174" t="n">
        <f aca="false">$C$44/$E$16</f>
        <v>-884660</v>
      </c>
      <c r="L67" s="174" t="n">
        <f aca="false">$C$44/$E$16</f>
        <v>-884660</v>
      </c>
      <c r="M67" s="174" t="n">
        <f aca="false">$C$44/$E$16</f>
        <v>-884660</v>
      </c>
      <c r="N67" s="174" t="n">
        <f aca="false">$C$44/$E$16</f>
        <v>-884660</v>
      </c>
      <c r="O67" s="174" t="n">
        <f aca="false">$C$44/$E$16</f>
        <v>-884660</v>
      </c>
      <c r="P67" s="174" t="n">
        <f aca="false">$C$44/$E$16</f>
        <v>-884660</v>
      </c>
      <c r="Q67" s="174" t="n">
        <f aca="false">$C$44/$E$16</f>
        <v>-884660</v>
      </c>
      <c r="R67" s="174" t="n">
        <f aca="false">$C$44/$E$16</f>
        <v>-884660</v>
      </c>
      <c r="S67" s="174" t="n">
        <f aca="false">$C$44/$E$16</f>
        <v>-884660</v>
      </c>
      <c r="T67" s="174" t="n">
        <f aca="false">$C$44/$E$16</f>
        <v>-884660</v>
      </c>
      <c r="U67" s="174" t="n">
        <f aca="false">$C$44/$E$16</f>
        <v>-884660</v>
      </c>
      <c r="V67" s="174" t="n">
        <f aca="false">$C$44/$E$16</f>
        <v>-884660</v>
      </c>
      <c r="W67" s="174" t="n">
        <f aca="false">$C$44/$E$16</f>
        <v>-884660</v>
      </c>
      <c r="X67" s="150"/>
    </row>
    <row r="68" customFormat="false" ht="18.75" hidden="false" customHeight="true" outlineLevel="0" collapsed="false">
      <c r="B68" s="155" t="s">
        <v>30</v>
      </c>
      <c r="C68" s="147" t="s">
        <v>26</v>
      </c>
      <c r="D68" s="157" t="n">
        <f aca="false">D44</f>
        <v>0</v>
      </c>
      <c r="E68" s="157" t="n">
        <f aca="false">E45</f>
        <v>-290201</v>
      </c>
      <c r="F68" s="157" t="n">
        <f aca="false">F45</f>
        <v>-290201</v>
      </c>
      <c r="G68" s="157" t="n">
        <f aca="false">G45</f>
        <v>-290201</v>
      </c>
      <c r="H68" s="157" t="n">
        <f aca="false">H45</f>
        <v>-290201</v>
      </c>
      <c r="I68" s="157" t="n">
        <f aca="false">I45</f>
        <v>-290201</v>
      </c>
      <c r="J68" s="157" t="n">
        <f aca="false">J45</f>
        <v>-290201</v>
      </c>
      <c r="K68" s="157" t="n">
        <f aca="false">K45</f>
        <v>-290201</v>
      </c>
      <c r="L68" s="157" t="n">
        <f aca="false">L45</f>
        <v>-290201</v>
      </c>
      <c r="M68" s="157" t="n">
        <f aca="false">M45</f>
        <v>-290201</v>
      </c>
      <c r="N68" s="157" t="n">
        <f aca="false">N45</f>
        <v>-290201</v>
      </c>
      <c r="O68" s="157" t="n">
        <f aca="false">O45</f>
        <v>-290201</v>
      </c>
      <c r="P68" s="157" t="n">
        <f aca="false">P45</f>
        <v>-290201</v>
      </c>
      <c r="Q68" s="157" t="n">
        <f aca="false">Q45</f>
        <v>-290201</v>
      </c>
      <c r="R68" s="157" t="n">
        <f aca="false">R45</f>
        <v>-290201</v>
      </c>
      <c r="S68" s="157" t="n">
        <f aca="false">S45</f>
        <v>-290201</v>
      </c>
      <c r="T68" s="157" t="n">
        <f aca="false">T45</f>
        <v>-290201</v>
      </c>
      <c r="U68" s="157" t="n">
        <f aca="false">U45</f>
        <v>-290201</v>
      </c>
      <c r="V68" s="157" t="n">
        <f aca="false">V45</f>
        <v>-290201</v>
      </c>
      <c r="W68" s="157" t="n">
        <f aca="false">W45</f>
        <v>-290201</v>
      </c>
      <c r="X68" s="150"/>
    </row>
    <row r="69" customFormat="false" ht="18.75" hidden="false" customHeight="true" outlineLevel="0" collapsed="false">
      <c r="B69" s="155" t="s">
        <v>31</v>
      </c>
      <c r="C69" s="147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50"/>
    </row>
    <row r="70" customFormat="false" ht="18.75" hidden="false" customHeight="true" outlineLevel="0" collapsed="false">
      <c r="B70" s="155" t="s">
        <v>32</v>
      </c>
      <c r="C70" s="147" t="s">
        <v>26</v>
      </c>
      <c r="D70" s="157" t="n">
        <v>0</v>
      </c>
      <c r="E70" s="157" t="n">
        <v>0</v>
      </c>
      <c r="F70" s="157" t="n">
        <v>0</v>
      </c>
      <c r="G70" s="157" t="n">
        <v>0</v>
      </c>
      <c r="H70" s="157" t="n">
        <v>0</v>
      </c>
      <c r="I70" s="157" t="n">
        <v>0</v>
      </c>
      <c r="J70" s="157" t="n">
        <v>0</v>
      </c>
      <c r="K70" s="157" t="n">
        <v>0</v>
      </c>
      <c r="L70" s="157" t="n">
        <v>0</v>
      </c>
      <c r="M70" s="157" t="n">
        <v>0</v>
      </c>
      <c r="N70" s="157" t="n">
        <v>0</v>
      </c>
      <c r="O70" s="157" t="n">
        <v>0</v>
      </c>
      <c r="P70" s="157" t="n">
        <v>0</v>
      </c>
      <c r="Q70" s="157" t="n">
        <v>0</v>
      </c>
      <c r="R70" s="157" t="n">
        <v>0</v>
      </c>
      <c r="S70" s="157" t="n">
        <v>0</v>
      </c>
      <c r="T70" s="157" t="n">
        <v>0</v>
      </c>
      <c r="U70" s="157" t="n">
        <v>0</v>
      </c>
      <c r="V70" s="157" t="n">
        <v>0</v>
      </c>
      <c r="W70" s="157" t="n">
        <v>0</v>
      </c>
      <c r="X70" s="150"/>
    </row>
    <row r="71" customFormat="false" ht="18.75" hidden="false" customHeight="true" outlineLevel="0" collapsed="false">
      <c r="B71" s="155" t="s">
        <v>33</v>
      </c>
      <c r="C71" s="147" t="s">
        <v>26</v>
      </c>
      <c r="D71" s="157" t="n">
        <f aca="false">D48</f>
        <v>-174440</v>
      </c>
      <c r="E71" s="157" t="n">
        <f aca="false">E48</f>
        <v>-174440</v>
      </c>
      <c r="F71" s="157" t="n">
        <f aca="false">F48</f>
        <v>-174440</v>
      </c>
      <c r="G71" s="157" t="n">
        <f aca="false">G48</f>
        <v>-174440</v>
      </c>
      <c r="H71" s="157" t="n">
        <f aca="false">H48</f>
        <v>-174440</v>
      </c>
      <c r="I71" s="157" t="n">
        <f aca="false">I48</f>
        <v>-174440</v>
      </c>
      <c r="J71" s="157" t="n">
        <f aca="false">J48</f>
        <v>-174440</v>
      </c>
      <c r="K71" s="157" t="n">
        <f aca="false">K48</f>
        <v>-174440</v>
      </c>
      <c r="L71" s="157" t="n">
        <f aca="false">L48</f>
        <v>-174440</v>
      </c>
      <c r="M71" s="157" t="n">
        <f aca="false">M48</f>
        <v>-174440</v>
      </c>
      <c r="N71" s="157" t="n">
        <f aca="false">N48</f>
        <v>-174440</v>
      </c>
      <c r="O71" s="157" t="n">
        <f aca="false">O48</f>
        <v>-174440</v>
      </c>
      <c r="P71" s="157" t="n">
        <f aca="false">P48</f>
        <v>-174440</v>
      </c>
      <c r="Q71" s="157" t="n">
        <f aca="false">Q48</f>
        <v>-174440</v>
      </c>
      <c r="R71" s="157" t="n">
        <f aca="false">R48</f>
        <v>-174440</v>
      </c>
      <c r="S71" s="157" t="n">
        <f aca="false">S48</f>
        <v>-174440</v>
      </c>
      <c r="T71" s="157" t="n">
        <f aca="false">T48</f>
        <v>-174440</v>
      </c>
      <c r="U71" s="157" t="n">
        <f aca="false">U48</f>
        <v>-174440</v>
      </c>
      <c r="V71" s="157" t="n">
        <f aca="false">V48</f>
        <v>-174440</v>
      </c>
      <c r="W71" s="157" t="n">
        <f aca="false">W48</f>
        <v>-174440</v>
      </c>
      <c r="X71" s="150"/>
    </row>
    <row r="72" customFormat="false" ht="18.75" hidden="false" customHeight="true" outlineLevel="0" collapsed="false">
      <c r="B72" s="155" t="s">
        <v>34</v>
      </c>
      <c r="C72" s="147" t="s">
        <v>26</v>
      </c>
      <c r="D72" s="157" t="n">
        <f aca="false">D49</f>
        <v>-35324.1</v>
      </c>
      <c r="E72" s="157" t="n">
        <f aca="false">E49</f>
        <v>-35324.1</v>
      </c>
      <c r="F72" s="157" t="n">
        <f aca="false">F49</f>
        <v>-35324.1</v>
      </c>
      <c r="G72" s="157" t="n">
        <f aca="false">G49</f>
        <v>-35324.1</v>
      </c>
      <c r="H72" s="157" t="n">
        <f aca="false">H49</f>
        <v>-35324.1</v>
      </c>
      <c r="I72" s="157" t="n">
        <f aca="false">I49</f>
        <v>-35324.1</v>
      </c>
      <c r="J72" s="157" t="n">
        <f aca="false">J49</f>
        <v>-35324.1</v>
      </c>
      <c r="K72" s="157" t="n">
        <f aca="false">K49</f>
        <v>-35324.1</v>
      </c>
      <c r="L72" s="157" t="n">
        <f aca="false">L49</f>
        <v>-35324.1</v>
      </c>
      <c r="M72" s="157" t="n">
        <f aca="false">M49</f>
        <v>-35324.1</v>
      </c>
      <c r="N72" s="157" t="n">
        <f aca="false">N49</f>
        <v>-35324.1</v>
      </c>
      <c r="O72" s="157" t="n">
        <f aca="false">O49</f>
        <v>-35324.1</v>
      </c>
      <c r="P72" s="157" t="n">
        <f aca="false">P49</f>
        <v>-35324.1</v>
      </c>
      <c r="Q72" s="157" t="n">
        <f aca="false">Q49</f>
        <v>-35324.1</v>
      </c>
      <c r="R72" s="157" t="n">
        <f aca="false">R49</f>
        <v>-35324.1</v>
      </c>
      <c r="S72" s="157" t="n">
        <f aca="false">S49</f>
        <v>-35324.1</v>
      </c>
      <c r="T72" s="157" t="n">
        <f aca="false">T49</f>
        <v>-35324.1</v>
      </c>
      <c r="U72" s="157" t="n">
        <f aca="false">U49</f>
        <v>-35324.1</v>
      </c>
      <c r="V72" s="157" t="n">
        <f aca="false">V49</f>
        <v>-35324.1</v>
      </c>
      <c r="W72" s="157" t="n">
        <f aca="false">W49</f>
        <v>-35324.1</v>
      </c>
      <c r="X72" s="150"/>
    </row>
    <row r="73" customFormat="false" ht="18.75" hidden="false" customHeight="true" outlineLevel="0" collapsed="false">
      <c r="B73" s="155" t="s">
        <v>35</v>
      </c>
      <c r="C73" s="147"/>
      <c r="D73" s="157" t="n">
        <f aca="false">D50</f>
        <v>-43610</v>
      </c>
      <c r="E73" s="157" t="n">
        <f aca="false">E50</f>
        <v>-43610</v>
      </c>
      <c r="F73" s="157" t="n">
        <f aca="false">F50</f>
        <v>-43610</v>
      </c>
      <c r="G73" s="157" t="n">
        <f aca="false">G50</f>
        <v>-43610</v>
      </c>
      <c r="H73" s="157" t="n">
        <f aca="false">H50</f>
        <v>-43610</v>
      </c>
      <c r="I73" s="157" t="n">
        <f aca="false">I50</f>
        <v>-43610</v>
      </c>
      <c r="J73" s="157" t="n">
        <f aca="false">J50</f>
        <v>-43610</v>
      </c>
      <c r="K73" s="157" t="n">
        <f aca="false">K50</f>
        <v>-43610</v>
      </c>
      <c r="L73" s="157" t="n">
        <f aca="false">L50</f>
        <v>-43610</v>
      </c>
      <c r="M73" s="157" t="n">
        <f aca="false">M50</f>
        <v>-43610</v>
      </c>
      <c r="N73" s="157" t="n">
        <f aca="false">N50</f>
        <v>0</v>
      </c>
      <c r="O73" s="157" t="n">
        <f aca="false">O50</f>
        <v>0</v>
      </c>
      <c r="P73" s="157" t="n">
        <f aca="false">P50</f>
        <v>0</v>
      </c>
      <c r="Q73" s="157" t="n">
        <f aca="false">Q50</f>
        <v>0</v>
      </c>
      <c r="R73" s="157" t="n">
        <f aca="false">R50</f>
        <v>0</v>
      </c>
      <c r="S73" s="157" t="n">
        <f aca="false">S50</f>
        <v>0</v>
      </c>
      <c r="T73" s="157" t="n">
        <f aca="false">T50</f>
        <v>0</v>
      </c>
      <c r="U73" s="157" t="n">
        <f aca="false">U50</f>
        <v>0</v>
      </c>
      <c r="V73" s="157" t="n">
        <f aca="false">V50</f>
        <v>0</v>
      </c>
      <c r="W73" s="157" t="n">
        <f aca="false">W50</f>
        <v>0</v>
      </c>
      <c r="X73" s="150"/>
    </row>
    <row r="74" customFormat="false" ht="18.75" hidden="false" customHeight="true" outlineLevel="0" collapsed="false">
      <c r="B74" s="155" t="s">
        <v>36</v>
      </c>
      <c r="C74" s="158"/>
      <c r="D74" s="175"/>
      <c r="E74" s="176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50"/>
    </row>
    <row r="75" customFormat="false" ht="18.75" hidden="false" customHeight="true" outlineLevel="0" collapsed="false">
      <c r="B75" s="155" t="s">
        <v>37</v>
      </c>
      <c r="C75" s="15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50"/>
    </row>
    <row r="76" customFormat="false" ht="18.75" hidden="false" customHeight="true" outlineLevel="0" collapsed="false">
      <c r="B76" s="160" t="s">
        <v>46</v>
      </c>
      <c r="C76" s="177"/>
      <c r="D76" s="162" t="n">
        <f aca="false">SUM(D64:D75)</f>
        <v>1028093.82</v>
      </c>
      <c r="E76" s="162" t="n">
        <f aca="false">SUM(E64:E75)</f>
        <v>729140.788</v>
      </c>
      <c r="F76" s="162" t="n">
        <f aca="false">SUM(F64:F75)</f>
        <v>720388.756</v>
      </c>
      <c r="G76" s="162" t="n">
        <f aca="false">SUM(G64:G75)</f>
        <v>711636.724</v>
      </c>
      <c r="H76" s="162" t="n">
        <f aca="false">SUM(H64:H75)</f>
        <v>702884.692</v>
      </c>
      <c r="I76" s="162" t="n">
        <f aca="false">SUM(I64:I75)</f>
        <v>694132.66</v>
      </c>
      <c r="J76" s="162" t="n">
        <f aca="false">SUM(J64:J75)</f>
        <v>685380.628</v>
      </c>
      <c r="K76" s="162" t="n">
        <f aca="false">SUM(K64:K75)</f>
        <v>676628.596</v>
      </c>
      <c r="L76" s="162" t="n">
        <f aca="false">SUM(L64:L75)</f>
        <v>667876.564</v>
      </c>
      <c r="M76" s="162" t="n">
        <f aca="false">SUM(M64:M75)</f>
        <v>659124.532</v>
      </c>
      <c r="N76" s="162" t="n">
        <f aca="false">SUM(N64:N75)</f>
        <v>693982.5</v>
      </c>
      <c r="O76" s="162" t="n">
        <f aca="false">SUM(O64:O75)</f>
        <v>685230.468</v>
      </c>
      <c r="P76" s="162" t="n">
        <f aca="false">SUM(P64:P75)</f>
        <v>676478.436</v>
      </c>
      <c r="Q76" s="162" t="n">
        <f aca="false">SUM(Q64:Q75)</f>
        <v>667726.404</v>
      </c>
      <c r="R76" s="162" t="n">
        <f aca="false">SUM(R64:R75)</f>
        <v>658974.372</v>
      </c>
      <c r="S76" s="162" t="n">
        <f aca="false">SUM(S64:S75)</f>
        <v>650222.34</v>
      </c>
      <c r="T76" s="162" t="n">
        <f aca="false">SUM(T64:T75)</f>
        <v>641470.308</v>
      </c>
      <c r="U76" s="162" t="n">
        <f aca="false">SUM(U64:U75)</f>
        <v>632718.276</v>
      </c>
      <c r="V76" s="162" t="n">
        <f aca="false">SUM(V64:V75)</f>
        <v>623966.244</v>
      </c>
      <c r="W76" s="162" t="n">
        <f aca="false">SUM(W64:W75)</f>
        <v>615214.212</v>
      </c>
      <c r="X76" s="162" t="n">
        <f aca="false">SUM(X64:X75)</f>
        <v>0</v>
      </c>
    </row>
    <row r="77" customFormat="false" ht="18.75" hidden="false" customHeight="true" outlineLevel="0" collapsed="false">
      <c r="B77" s="159" t="s">
        <v>39</v>
      </c>
      <c r="C77" s="158"/>
      <c r="D77" s="157" t="n">
        <f aca="false">-D76*0.2</f>
        <v>-205618.764</v>
      </c>
      <c r="E77" s="157" t="n">
        <f aca="false">-E76*0.2</f>
        <v>-145828.1576</v>
      </c>
      <c r="F77" s="157" t="n">
        <f aca="false">-F76*0.2</f>
        <v>-144077.7512</v>
      </c>
      <c r="G77" s="157" t="n">
        <f aca="false">-G76*0.2</f>
        <v>-142327.3448</v>
      </c>
      <c r="H77" s="157" t="n">
        <f aca="false">-H76*0.2</f>
        <v>-140576.9384</v>
      </c>
      <c r="I77" s="157" t="n">
        <f aca="false">-I76*0.2</f>
        <v>-138826.532</v>
      </c>
      <c r="J77" s="157" t="n">
        <f aca="false">-J76*0.2</f>
        <v>-137076.1256</v>
      </c>
      <c r="K77" s="157" t="n">
        <f aca="false">-K76*0.2</f>
        <v>-135325.7192</v>
      </c>
      <c r="L77" s="157" t="n">
        <f aca="false">-L76*0.2</f>
        <v>-133575.3128</v>
      </c>
      <c r="M77" s="157" t="n">
        <f aca="false">-M76*0.2</f>
        <v>-131824.9064</v>
      </c>
      <c r="N77" s="157" t="n">
        <f aca="false">-N76*0.2</f>
        <v>-138796.5</v>
      </c>
      <c r="O77" s="157" t="n">
        <f aca="false">-O76*0.2</f>
        <v>-137046.0936</v>
      </c>
      <c r="P77" s="157" t="n">
        <f aca="false">-P76*0.2</f>
        <v>-135295.6872</v>
      </c>
      <c r="Q77" s="157" t="n">
        <f aca="false">-Q76*0.2</f>
        <v>-133545.2808</v>
      </c>
      <c r="R77" s="157" t="n">
        <f aca="false">-R76*0.2</f>
        <v>-131794.8744</v>
      </c>
      <c r="S77" s="157" t="n">
        <f aca="false">-S76*0.2</f>
        <v>-130044.468</v>
      </c>
      <c r="T77" s="157" t="n">
        <f aca="false">-T76*0.2</f>
        <v>-128294.0616</v>
      </c>
      <c r="U77" s="157" t="n">
        <f aca="false">-U76*0.2</f>
        <v>-126543.6552</v>
      </c>
      <c r="V77" s="157" t="n">
        <f aca="false">-V76*0.2</f>
        <v>-124793.2488</v>
      </c>
      <c r="W77" s="157" t="n">
        <f aca="false">-W76*0.2</f>
        <v>-123042.8424</v>
      </c>
      <c r="X77" s="157" t="n">
        <f aca="false">-X76*0.2</f>
        <v>-0</v>
      </c>
    </row>
    <row r="78" customFormat="false" ht="15.75" hidden="false" customHeight="true" outlineLevel="0" collapsed="false">
      <c r="B78" s="178" t="s">
        <v>47</v>
      </c>
      <c r="D78" s="157" t="n">
        <f aca="false">SUM(D76:D77)</f>
        <v>822475.056</v>
      </c>
      <c r="E78" s="157" t="n">
        <f aca="false">SUM(E76:E77)</f>
        <v>583312.6304</v>
      </c>
      <c r="F78" s="157" t="n">
        <f aca="false">SUM(F76:F77)</f>
        <v>576311.0048</v>
      </c>
      <c r="G78" s="157" t="n">
        <f aca="false">SUM(G76:G77)</f>
        <v>569309.3792</v>
      </c>
      <c r="H78" s="157" t="n">
        <f aca="false">SUM(H76:H77)</f>
        <v>562307.7536</v>
      </c>
      <c r="I78" s="157" t="n">
        <f aca="false">SUM(I76:I77)</f>
        <v>555306.128</v>
      </c>
      <c r="J78" s="157" t="n">
        <f aca="false">SUM(J76:J77)</f>
        <v>548304.5024</v>
      </c>
      <c r="K78" s="157" t="n">
        <f aca="false">SUM(K76:K77)</f>
        <v>541302.8768</v>
      </c>
      <c r="L78" s="157" t="n">
        <f aca="false">SUM(L76:L77)</f>
        <v>534301.2512</v>
      </c>
      <c r="M78" s="157" t="n">
        <f aca="false">SUM(M76:M77)</f>
        <v>527299.6256</v>
      </c>
      <c r="N78" s="157" t="n">
        <f aca="false">SUM(N76:N77)</f>
        <v>555186</v>
      </c>
      <c r="O78" s="157" t="n">
        <f aca="false">SUM(O76:O77)</f>
        <v>548184.3744</v>
      </c>
      <c r="P78" s="157" t="n">
        <f aca="false">SUM(P76:P77)</f>
        <v>541182.7488</v>
      </c>
      <c r="Q78" s="157" t="n">
        <f aca="false">SUM(Q76:Q77)</f>
        <v>534181.1232</v>
      </c>
      <c r="R78" s="157" t="n">
        <f aca="false">SUM(R76:R77)</f>
        <v>527179.4976</v>
      </c>
      <c r="S78" s="157" t="n">
        <f aca="false">SUM(S76:S77)</f>
        <v>520177.872</v>
      </c>
      <c r="T78" s="157" t="n">
        <f aca="false">SUM(T76:T77)</f>
        <v>513176.2464</v>
      </c>
      <c r="U78" s="157" t="n">
        <f aca="false">SUM(U76:U77)</f>
        <v>506174.6208</v>
      </c>
      <c r="V78" s="157" t="n">
        <f aca="false">SUM(V76:V77)</f>
        <v>499172.9952</v>
      </c>
      <c r="W78" s="157" t="n">
        <f aca="false">SUM(W76:W77)</f>
        <v>492171.3696</v>
      </c>
      <c r="X78" s="157" t="n">
        <f aca="false">SUM(X76:X77)</f>
        <v>0</v>
      </c>
    </row>
    <row r="79" customFormat="false" ht="18.75" hidden="false" customHeight="true" outlineLevel="0" collapsed="false">
      <c r="B79" s="166" t="s">
        <v>41</v>
      </c>
      <c r="C79" s="16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80"/>
    </row>
    <row r="80" customFormat="false" ht="18.75" hidden="false" customHeight="true" outlineLevel="0" collapsed="false">
      <c r="B80" s="67" t="s">
        <v>42</v>
      </c>
      <c r="C80" s="68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2"/>
    </row>
    <row r="81" customFormat="false" ht="18.75" hidden="false" customHeight="true" outlineLevel="0" collapsed="false">
      <c r="B81" s="57"/>
      <c r="C81" s="56"/>
      <c r="D81" s="56"/>
      <c r="E81" s="56"/>
      <c r="F81" s="57"/>
      <c r="G81" s="57"/>
      <c r="H81" s="57"/>
      <c r="I81" s="57"/>
      <c r="J81" s="57"/>
      <c r="K81" s="57"/>
      <c r="L81" s="57"/>
      <c r="M81" s="56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30.93"/>
    <col collapsed="false" customWidth="true" hidden="false" outlineLevel="0" max="3" min="3" style="0" width="24.56"/>
    <col collapsed="false" customWidth="true" hidden="false" outlineLevel="0" max="4" min="4" style="0" width="33.66"/>
    <col collapsed="false" customWidth="true" hidden="false" outlineLevel="0" max="6" min="6" style="0" width="45.49"/>
    <col collapsed="false" customWidth="true" hidden="false" outlineLevel="0" max="7" min="7" style="0" width="33.66"/>
    <col collapsed="false" customWidth="true" hidden="false" outlineLevel="0" max="13" min="13" style="0" width="45.49"/>
    <col collapsed="false" customWidth="true" hidden="false" outlineLevel="0" max="14" min="14" style="0" width="33.66"/>
    <col collapsed="false" customWidth="true" hidden="false" outlineLevel="0" max="24" min="24" style="0" width="27.3"/>
    <col collapsed="false" customWidth="true" hidden="false" outlineLevel="0" max="25" min="25" style="0" width="9.1"/>
    <col collapsed="false" customWidth="true" hidden="false" outlineLevel="0" max="28" min="28" style="0" width="10.01"/>
    <col collapsed="false" customWidth="true" hidden="false" outlineLevel="0" max="36" min="36" style="0" width="7.28"/>
    <col collapsed="false" customWidth="true" hidden="false" outlineLevel="0" max="37" min="37" style="0" width="8.32"/>
  </cols>
  <sheetData>
    <row r="1" customFormat="false" ht="22.5" hidden="false" customHeight="true" outlineLevel="0" collapsed="false">
      <c r="B1" s="90" t="s">
        <v>63</v>
      </c>
      <c r="C1" s="91"/>
      <c r="D1" s="91"/>
      <c r="E1" s="92"/>
      <c r="F1" s="93" t="s">
        <v>64</v>
      </c>
      <c r="P1" s="94" t="n">
        <f aca="false">1-D11</f>
        <v>0.99</v>
      </c>
      <c r="Q1" s="94" t="n">
        <f aca="false">P1-$D12</f>
        <v>0.986</v>
      </c>
      <c r="R1" s="94" t="n">
        <f aca="false">Q1-$D12</f>
        <v>0.982</v>
      </c>
      <c r="S1" s="94" t="n">
        <f aca="false">R1-$D12</f>
        <v>0.978</v>
      </c>
      <c r="T1" s="94" t="n">
        <f aca="false">S1-$D12</f>
        <v>0.974</v>
      </c>
      <c r="U1" s="94" t="n">
        <f aca="false">T1-$D12</f>
        <v>0.97</v>
      </c>
      <c r="V1" s="94" t="n">
        <f aca="false">U1-$D12</f>
        <v>0.966</v>
      </c>
      <c r="W1" s="94" t="n">
        <f aca="false">V1-$D12</f>
        <v>0.962</v>
      </c>
      <c r="X1" s="94" t="n">
        <f aca="false">W1-$D12</f>
        <v>0.958</v>
      </c>
      <c r="Y1" s="94" t="n">
        <f aca="false">X1-$D12</f>
        <v>0.954</v>
      </c>
      <c r="Z1" s="94" t="n">
        <f aca="false">Y1-$D12</f>
        <v>0.95</v>
      </c>
      <c r="AA1" s="94" t="n">
        <f aca="false">Z1-$D12</f>
        <v>0.946</v>
      </c>
      <c r="AB1" s="94" t="n">
        <f aca="false">AA1-$D12</f>
        <v>0.942</v>
      </c>
      <c r="AC1" s="94" t="n">
        <f aca="false">AB1-$D12</f>
        <v>0.938</v>
      </c>
      <c r="AD1" s="94" t="n">
        <f aca="false">AC1-$D12</f>
        <v>0.934</v>
      </c>
      <c r="AE1" s="94" t="n">
        <f aca="false">AD1-$D12</f>
        <v>0.93</v>
      </c>
      <c r="AF1" s="94" t="n">
        <f aca="false">AE1-$D12</f>
        <v>0.926</v>
      </c>
      <c r="AG1" s="94" t="n">
        <f aca="false">AF1-$D12</f>
        <v>0.922</v>
      </c>
      <c r="AH1" s="94" t="n">
        <f aca="false">AG1-$D12</f>
        <v>0.918</v>
      </c>
      <c r="AI1" s="94" t="n">
        <f aca="false">AH1-$D12</f>
        <v>0.914</v>
      </c>
    </row>
    <row r="2" customFormat="false" ht="21.75" hidden="false" customHeight="true" outlineLevel="0" collapsed="false">
      <c r="B2" s="95" t="s">
        <v>65</v>
      </c>
      <c r="C2" s="96" t="s">
        <v>2</v>
      </c>
      <c r="D2" s="97" t="s">
        <v>26</v>
      </c>
      <c r="E2" s="98" t="s">
        <v>26</v>
      </c>
      <c r="F2" s="99" t="s">
        <v>66</v>
      </c>
    </row>
    <row r="3" customFormat="false" ht="21.75" hidden="false" customHeight="true" outlineLevel="0" collapsed="false">
      <c r="B3" s="100" t="s">
        <v>67</v>
      </c>
      <c r="C3" s="101" t="n">
        <v>20</v>
      </c>
      <c r="D3" s="102" t="s">
        <v>26</v>
      </c>
      <c r="E3" s="103" t="s">
        <v>26</v>
      </c>
      <c r="F3" s="104" t="s">
        <v>68</v>
      </c>
    </row>
    <row r="4" customFormat="false" ht="21.75" hidden="false" customHeight="true" outlineLevel="0" collapsed="false">
      <c r="B4" s="100" t="s">
        <v>69</v>
      </c>
      <c r="C4" s="101" t="n">
        <v>436.1</v>
      </c>
      <c r="D4" s="102" t="s">
        <v>26</v>
      </c>
      <c r="E4" s="103" t="s">
        <v>26</v>
      </c>
      <c r="F4" s="104" t="s">
        <v>70</v>
      </c>
      <c r="M4" s="105" t="s">
        <v>144</v>
      </c>
    </row>
    <row r="5" customFormat="false" ht="22.5" hidden="false" customHeight="true" outlineLevel="0" collapsed="false">
      <c r="B5" s="106" t="s">
        <v>72</v>
      </c>
      <c r="C5" s="101" t="n">
        <v>2020</v>
      </c>
      <c r="D5" s="106" t="s">
        <v>73</v>
      </c>
      <c r="E5" s="107" t="n">
        <v>2039</v>
      </c>
      <c r="F5" s="104" t="s">
        <v>74</v>
      </c>
      <c r="M5" s="105" t="s">
        <v>145</v>
      </c>
    </row>
    <row r="6" customFormat="false" ht="20.25" hidden="false" customHeight="true" outlineLevel="0" collapsed="false">
      <c r="B6" s="108"/>
      <c r="C6" s="108"/>
      <c r="D6" s="108"/>
      <c r="E6" s="108"/>
      <c r="M6" s="105" t="s">
        <v>146</v>
      </c>
    </row>
    <row r="7" customFormat="false" ht="22.5" hidden="false" customHeight="true" outlineLevel="0" collapsed="false">
      <c r="B7" s="90" t="s">
        <v>77</v>
      </c>
      <c r="C7" s="91"/>
      <c r="D7" s="91"/>
      <c r="E7" s="92"/>
      <c r="M7" s="105" t="s">
        <v>147</v>
      </c>
    </row>
    <row r="8" customFormat="false" ht="22.5" hidden="false" customHeight="true" outlineLevel="0" collapsed="false">
      <c r="B8" s="109" t="s">
        <v>79</v>
      </c>
      <c r="E8" s="110"/>
      <c r="M8" s="105" t="s">
        <v>148</v>
      </c>
    </row>
    <row r="9" customFormat="false" ht="22.5" hidden="false" customHeight="true" outlineLevel="0" collapsed="false">
      <c r="B9" s="111" t="s">
        <v>81</v>
      </c>
      <c r="C9" s="112" t="s">
        <v>82</v>
      </c>
      <c r="D9" s="112" t="s">
        <v>83</v>
      </c>
      <c r="E9" s="113" t="s">
        <v>84</v>
      </c>
      <c r="F9" s="93" t="s">
        <v>64</v>
      </c>
      <c r="M9" s="105" t="s">
        <v>85</v>
      </c>
    </row>
    <row r="10" customFormat="false" ht="30" hidden="false" customHeight="true" outlineLevel="0" collapsed="false">
      <c r="B10" s="114" t="s">
        <v>86</v>
      </c>
      <c r="C10" s="115" t="s">
        <v>87</v>
      </c>
      <c r="D10" s="116" t="n">
        <v>547002</v>
      </c>
      <c r="E10" s="117" t="n">
        <v>20</v>
      </c>
      <c r="F10" s="104" t="s">
        <v>88</v>
      </c>
      <c r="M10" s="105" t="s">
        <v>149</v>
      </c>
    </row>
    <row r="11" customFormat="false" ht="30" hidden="false" customHeight="true" outlineLevel="0" collapsed="false">
      <c r="B11" s="118"/>
      <c r="C11" s="106" t="s">
        <v>90</v>
      </c>
      <c r="D11" s="119" t="n">
        <v>0.01</v>
      </c>
      <c r="E11" s="120"/>
      <c r="F11" s="104" t="s">
        <v>91</v>
      </c>
    </row>
    <row r="12" customFormat="false" ht="30" hidden="false" customHeight="true" outlineLevel="0" collapsed="false">
      <c r="B12" s="118"/>
      <c r="C12" s="106" t="s">
        <v>92</v>
      </c>
      <c r="D12" s="121" t="n">
        <v>0.004</v>
      </c>
      <c r="E12" s="120"/>
      <c r="F12" s="104" t="s">
        <v>93</v>
      </c>
    </row>
    <row r="13" customFormat="false" ht="22.5" hidden="false" customHeight="true" outlineLevel="0" collapsed="false">
      <c r="B13" s="118"/>
      <c r="C13" s="122" t="s">
        <v>94</v>
      </c>
      <c r="D13" s="123" t="n">
        <v>4</v>
      </c>
      <c r="E13" s="120"/>
      <c r="F13" s="104" t="s">
        <v>95</v>
      </c>
    </row>
    <row r="14" customFormat="false" ht="22.5" hidden="false" customHeight="true" outlineLevel="0" collapsed="false">
      <c r="B14" s="124" t="s">
        <v>96</v>
      </c>
      <c r="C14" s="91"/>
      <c r="D14" s="91"/>
      <c r="E14" s="92"/>
    </row>
    <row r="15" customFormat="false" ht="22.5" hidden="false" customHeight="true" outlineLevel="0" collapsed="false">
      <c r="B15" s="111" t="s">
        <v>81</v>
      </c>
      <c r="C15" s="112" t="s">
        <v>82</v>
      </c>
      <c r="D15" s="112" t="s">
        <v>83</v>
      </c>
      <c r="E15" s="113" t="s">
        <v>97</v>
      </c>
      <c r="F15" s="93" t="s">
        <v>64</v>
      </c>
    </row>
    <row r="16" customFormat="false" ht="21.75" hidden="false" customHeight="true" outlineLevel="0" collapsed="false">
      <c r="B16" s="115" t="s">
        <v>98</v>
      </c>
      <c r="C16" s="115" t="s">
        <v>99</v>
      </c>
      <c r="D16" s="125" t="n">
        <v>31000</v>
      </c>
      <c r="E16" s="98" t="n">
        <v>20</v>
      </c>
      <c r="F16" s="104" t="s">
        <v>100</v>
      </c>
    </row>
    <row r="17" customFormat="false" ht="21.75" hidden="false" customHeight="true" outlineLevel="0" collapsed="false">
      <c r="B17" s="118"/>
      <c r="C17" s="106" t="s">
        <v>101</v>
      </c>
      <c r="D17" s="126" t="n">
        <v>0.3</v>
      </c>
      <c r="E17" s="120"/>
      <c r="F17" s="104" t="s">
        <v>102</v>
      </c>
    </row>
    <row r="18" customFormat="false" ht="21.75" hidden="false" customHeight="true" outlineLevel="0" collapsed="false">
      <c r="B18" s="127"/>
      <c r="C18" s="106" t="s">
        <v>103</v>
      </c>
      <c r="D18" s="128" t="n">
        <v>2000</v>
      </c>
      <c r="E18" s="129"/>
      <c r="F18" s="104" t="s">
        <v>104</v>
      </c>
    </row>
    <row r="19" customFormat="false" ht="54" hidden="false" customHeight="true" outlineLevel="0" collapsed="false">
      <c r="B19" s="106" t="s">
        <v>105</v>
      </c>
      <c r="C19" s="130" t="s">
        <v>106</v>
      </c>
      <c r="D19" s="126" t="n">
        <v>1</v>
      </c>
      <c r="E19" s="98" t="n">
        <v>20</v>
      </c>
      <c r="F19" s="104" t="s">
        <v>107</v>
      </c>
    </row>
    <row r="20" customFormat="false" ht="20.25" hidden="false" customHeight="true" outlineLevel="0" collapsed="false">
      <c r="B20" s="118"/>
      <c r="C20" s="131" t="s">
        <v>108</v>
      </c>
      <c r="D20" s="128" t="n">
        <v>290201</v>
      </c>
      <c r="E20" s="98" t="n">
        <v>20</v>
      </c>
      <c r="F20" s="104" t="s">
        <v>109</v>
      </c>
    </row>
    <row r="21" customFormat="false" ht="30" hidden="false" customHeight="true" outlineLevel="0" collapsed="false">
      <c r="B21" s="127"/>
      <c r="C21" s="106" t="s">
        <v>110</v>
      </c>
      <c r="D21" s="126" t="n">
        <v>0</v>
      </c>
      <c r="E21" s="103" t="n">
        <v>20</v>
      </c>
      <c r="F21" s="104" t="s">
        <v>111</v>
      </c>
    </row>
    <row r="22" customFormat="false" ht="30" hidden="false" customHeight="true" outlineLevel="0" collapsed="false">
      <c r="B22" s="106" t="s">
        <v>112</v>
      </c>
      <c r="C22" s="106" t="s">
        <v>113</v>
      </c>
      <c r="D22" s="132" t="n">
        <v>400</v>
      </c>
      <c r="E22" s="103" t="n">
        <v>20</v>
      </c>
      <c r="F22" s="104" t="s">
        <v>114</v>
      </c>
    </row>
    <row r="23" customFormat="false" ht="30" hidden="false" customHeight="true" outlineLevel="0" collapsed="false">
      <c r="B23" s="106" t="s">
        <v>115</v>
      </c>
      <c r="C23" s="106" t="s">
        <v>116</v>
      </c>
      <c r="D23" s="126" t="n">
        <v>0.003</v>
      </c>
      <c r="E23" s="103" t="n">
        <v>20</v>
      </c>
      <c r="F23" s="104" t="s">
        <v>117</v>
      </c>
    </row>
    <row r="24" customFormat="false" ht="30" hidden="false" customHeight="true" outlineLevel="0" collapsed="false">
      <c r="B24" s="106" t="s">
        <v>118</v>
      </c>
      <c r="C24" s="106" t="s">
        <v>119</v>
      </c>
      <c r="D24" s="132" t="n">
        <v>1000</v>
      </c>
      <c r="E24" s="133" t="n">
        <v>10</v>
      </c>
      <c r="F24" s="104" t="s">
        <v>120</v>
      </c>
    </row>
    <row r="25" customFormat="false" ht="30" hidden="false" customHeight="true" outlineLevel="0" collapsed="false">
      <c r="B25" s="106" t="s">
        <v>121</v>
      </c>
      <c r="C25" s="106" t="s">
        <v>122</v>
      </c>
      <c r="D25" s="134" t="n">
        <v>0.0256</v>
      </c>
      <c r="E25" s="103" t="n">
        <v>20</v>
      </c>
      <c r="F25" s="104" t="s">
        <v>123</v>
      </c>
    </row>
    <row r="26" customFormat="false" ht="30" hidden="false" customHeight="true" outlineLevel="0" collapsed="false">
      <c r="B26" s="106" t="s">
        <v>14</v>
      </c>
      <c r="C26" s="106" t="s">
        <v>124</v>
      </c>
      <c r="D26" s="126" t="n">
        <v>0.2</v>
      </c>
      <c r="E26" s="103" t="n">
        <v>20</v>
      </c>
      <c r="F26" s="104" t="s">
        <v>125</v>
      </c>
    </row>
    <row r="27" customFormat="false" ht="20.25" hidden="false" customHeight="true" outlineLevel="0" collapsed="false">
      <c r="B27" s="108"/>
      <c r="C27" s="108"/>
      <c r="D27" s="108"/>
      <c r="E27" s="108"/>
    </row>
    <row r="28" customFormat="false" ht="20.25" hidden="false" customHeight="true" outlineLevel="0" collapsed="false">
      <c r="B28" s="108"/>
      <c r="C28" s="108"/>
      <c r="D28" s="108"/>
      <c r="E28" s="108"/>
    </row>
    <row r="29" customFormat="false" ht="22.5" hidden="false" customHeight="true" outlineLevel="0" collapsed="false">
      <c r="B29" s="90" t="s">
        <v>126</v>
      </c>
      <c r="C29" s="91"/>
      <c r="D29" s="92"/>
      <c r="E29" s="108"/>
    </row>
    <row r="30" customFormat="false" ht="22.5" hidden="false" customHeight="true" outlineLevel="0" collapsed="false">
      <c r="B30" s="111" t="s">
        <v>127</v>
      </c>
      <c r="C30" s="135" t="s">
        <v>82</v>
      </c>
      <c r="D30" s="136" t="s">
        <v>83</v>
      </c>
      <c r="E30" s="108"/>
      <c r="F30" s="93" t="s">
        <v>64</v>
      </c>
    </row>
    <row r="31" customFormat="false" ht="30" hidden="false" customHeight="true" outlineLevel="0" collapsed="false">
      <c r="B31" s="115" t="s">
        <v>128</v>
      </c>
      <c r="C31" s="95" t="s">
        <v>129</v>
      </c>
      <c r="D31" s="137" t="n">
        <v>0.8</v>
      </c>
      <c r="E31" s="108"/>
      <c r="F31" s="104" t="s">
        <v>130</v>
      </c>
    </row>
    <row r="32" customFormat="false" ht="18.75" hidden="false" customHeight="true" outlineLevel="0" collapsed="false">
      <c r="B32" s="115" t="s">
        <v>131</v>
      </c>
      <c r="C32" s="95" t="s">
        <v>132</v>
      </c>
      <c r="D32" s="137" t="n">
        <v>15</v>
      </c>
      <c r="E32" s="108"/>
      <c r="F32" s="104" t="s">
        <v>133</v>
      </c>
    </row>
    <row r="33" customFormat="false" ht="18.75" hidden="false" customHeight="true" outlineLevel="0" collapsed="false">
      <c r="B33" s="106" t="s">
        <v>53</v>
      </c>
      <c r="C33" s="100" t="s">
        <v>134</v>
      </c>
      <c r="D33" s="126" t="n">
        <v>0.9</v>
      </c>
      <c r="E33" s="108"/>
      <c r="F33" s="104" t="s">
        <v>135</v>
      </c>
    </row>
    <row r="34" customFormat="false" ht="30" hidden="false" customHeight="true" outlineLevel="0" collapsed="false">
      <c r="B34" s="106" t="s">
        <v>54</v>
      </c>
      <c r="C34" s="100" t="s">
        <v>132</v>
      </c>
      <c r="D34" s="126" t="n">
        <v>4</v>
      </c>
      <c r="E34" s="108"/>
      <c r="F34" s="104" t="s">
        <v>136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15"/>
      <c r="C37" s="16" t="s">
        <v>0</v>
      </c>
      <c r="D37" s="16" t="n">
        <v>2020</v>
      </c>
      <c r="E37" s="16" t="n">
        <v>2021</v>
      </c>
      <c r="F37" s="16" t="n">
        <v>2022</v>
      </c>
      <c r="G37" s="16" t="n">
        <v>2023</v>
      </c>
      <c r="H37" s="16" t="n">
        <v>2024</v>
      </c>
      <c r="I37" s="16" t="n">
        <v>2025</v>
      </c>
      <c r="J37" s="16" t="n">
        <v>2026</v>
      </c>
      <c r="K37" s="16" t="n">
        <v>2027</v>
      </c>
      <c r="L37" s="16" t="n">
        <v>2028</v>
      </c>
      <c r="M37" s="16" t="n">
        <v>2029</v>
      </c>
      <c r="N37" s="16" t="n">
        <v>2030</v>
      </c>
      <c r="O37" s="16" t="n">
        <v>2031</v>
      </c>
      <c r="P37" s="16" t="n">
        <v>2032</v>
      </c>
      <c r="Q37" s="16" t="n">
        <v>2033</v>
      </c>
      <c r="R37" s="16" t="n">
        <v>2034</v>
      </c>
      <c r="S37" s="16" t="n">
        <v>2035</v>
      </c>
      <c r="T37" s="16" t="n">
        <v>2036</v>
      </c>
      <c r="U37" s="16" t="n">
        <v>2037</v>
      </c>
      <c r="V37" s="16" t="n">
        <v>2038</v>
      </c>
      <c r="W37" s="16" t="n">
        <v>2039</v>
      </c>
      <c r="X37" s="16"/>
    </row>
    <row r="38" customFormat="false" ht="18.75" hidden="false" customHeight="true" outlineLevel="0" collapsed="false">
      <c r="B38" s="17" t="n">
        <v>0</v>
      </c>
      <c r="C38" s="18"/>
      <c r="D38" s="19"/>
      <c r="E38" s="19"/>
      <c r="F38" s="20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2"/>
      <c r="U38" s="21"/>
      <c r="V38" s="21"/>
      <c r="W38" s="21"/>
      <c r="X38" s="138"/>
    </row>
    <row r="39" customFormat="false" ht="18.75" hidden="false" customHeight="true" outlineLevel="0" collapsed="false">
      <c r="B39" s="23" t="s">
        <v>23</v>
      </c>
      <c r="C39" s="24" t="n">
        <v>0</v>
      </c>
      <c r="D39" s="25" t="n">
        <v>1</v>
      </c>
      <c r="E39" s="25" t="n">
        <v>2</v>
      </c>
      <c r="F39" s="25" t="n">
        <v>3</v>
      </c>
      <c r="G39" s="25" t="n">
        <v>4</v>
      </c>
      <c r="H39" s="25" t="n">
        <v>5</v>
      </c>
      <c r="I39" s="25" t="n">
        <v>6</v>
      </c>
      <c r="J39" s="25" t="n">
        <v>7</v>
      </c>
      <c r="K39" s="25" t="n">
        <v>8</v>
      </c>
      <c r="L39" s="25" t="n">
        <v>9</v>
      </c>
      <c r="M39" s="25" t="n">
        <v>10</v>
      </c>
      <c r="N39" s="25" t="n">
        <v>11</v>
      </c>
      <c r="O39" s="25" t="n">
        <v>12</v>
      </c>
      <c r="P39" s="25" t="n">
        <v>13</v>
      </c>
      <c r="Q39" s="25" t="n">
        <v>14</v>
      </c>
      <c r="R39" s="25" t="n">
        <v>15</v>
      </c>
      <c r="S39" s="25" t="n">
        <v>16</v>
      </c>
      <c r="T39" s="26" t="n">
        <v>17</v>
      </c>
      <c r="U39" s="25" t="n">
        <v>18</v>
      </c>
      <c r="V39" s="25" t="n">
        <v>19</v>
      </c>
      <c r="W39" s="25" t="n">
        <v>20</v>
      </c>
      <c r="X39" s="139"/>
    </row>
    <row r="40" customFormat="false" ht="18.75" hidden="false" customHeight="true" outlineLevel="0" collapsed="false">
      <c r="B40" s="140" t="s">
        <v>137</v>
      </c>
      <c r="C40" s="28" t="n">
        <v>0</v>
      </c>
      <c r="D40" s="29" t="n">
        <f aca="false">$D$10*P1</f>
        <v>541531.98</v>
      </c>
      <c r="E40" s="29" t="n">
        <f aca="false">$D$10*Q1</f>
        <v>539343.972</v>
      </c>
      <c r="F40" s="29" t="n">
        <f aca="false">$D$10*R1</f>
        <v>537155.964</v>
      </c>
      <c r="G40" s="29" t="n">
        <f aca="false">$D$10*S1</f>
        <v>534967.956</v>
      </c>
      <c r="H40" s="29" t="n">
        <f aca="false">$D$10*T1</f>
        <v>532779.948</v>
      </c>
      <c r="I40" s="29" t="n">
        <f aca="false">$D$10*U1</f>
        <v>530591.94</v>
      </c>
      <c r="J40" s="29" t="n">
        <f aca="false">$D$10*V1</f>
        <v>528403.932</v>
      </c>
      <c r="K40" s="29" t="n">
        <f aca="false">$D$10*W1</f>
        <v>526215.924</v>
      </c>
      <c r="L40" s="29" t="n">
        <f aca="false">$D$10*X1</f>
        <v>524027.916</v>
      </c>
      <c r="M40" s="29" t="n">
        <f aca="false">$D$10*Y1</f>
        <v>521839.908</v>
      </c>
      <c r="N40" s="29" t="n">
        <f aca="false">$D$10*Z1</f>
        <v>519651.9</v>
      </c>
      <c r="O40" s="29" t="n">
        <f aca="false">$D$10*AA1</f>
        <v>517463.892</v>
      </c>
      <c r="P40" s="29" t="n">
        <f aca="false">$D$10*AB1</f>
        <v>515275.884</v>
      </c>
      <c r="Q40" s="29" t="n">
        <f aca="false">$D$10*AC1</f>
        <v>513087.876</v>
      </c>
      <c r="R40" s="29" t="n">
        <f aca="false">$D$10*AD1</f>
        <v>510899.868</v>
      </c>
      <c r="S40" s="29" t="n">
        <f aca="false">$D$10*AE1</f>
        <v>508711.86</v>
      </c>
      <c r="T40" s="29" t="n">
        <f aca="false">$D$10*AF1</f>
        <v>506523.852</v>
      </c>
      <c r="U40" s="29" t="n">
        <f aca="false">$D$10*AG1</f>
        <v>504335.844</v>
      </c>
      <c r="V40" s="29" t="n">
        <f aca="false">$D$10*AH1</f>
        <v>502147.836</v>
      </c>
      <c r="W40" s="29" t="n">
        <f aca="false">$D$10*AI1</f>
        <v>499959.828</v>
      </c>
      <c r="X40" s="141"/>
    </row>
    <row r="41" customFormat="false" ht="18.75" hidden="false" customHeight="true" outlineLevel="0" collapsed="false">
      <c r="B41" s="142" t="s">
        <v>25</v>
      </c>
      <c r="C41" s="143" t="s">
        <v>26</v>
      </c>
      <c r="D41" s="144" t="n">
        <f aca="false">D40*$D$13</f>
        <v>2166127.92</v>
      </c>
      <c r="E41" s="144" t="n">
        <f aca="false">E40*$D$13</f>
        <v>2157375.888</v>
      </c>
      <c r="F41" s="144" t="n">
        <f aca="false">F40*$D$13</f>
        <v>2148623.856</v>
      </c>
      <c r="G41" s="144" t="n">
        <f aca="false">G40*$D$13</f>
        <v>2139871.824</v>
      </c>
      <c r="H41" s="144" t="n">
        <f aca="false">H40*$D$13</f>
        <v>2131119.792</v>
      </c>
      <c r="I41" s="144" t="n">
        <f aca="false">I40*$D$13</f>
        <v>2122367.76</v>
      </c>
      <c r="J41" s="144" t="n">
        <f aca="false">J40*$D$13</f>
        <v>2113615.728</v>
      </c>
      <c r="K41" s="144" t="n">
        <f aca="false">K40*$D$13</f>
        <v>2104863.696</v>
      </c>
      <c r="L41" s="144" t="n">
        <f aca="false">L40*$D$13</f>
        <v>2096111.664</v>
      </c>
      <c r="M41" s="144" t="n">
        <f aca="false">M40*$D$13</f>
        <v>2087359.632</v>
      </c>
      <c r="N41" s="144" t="n">
        <f aca="false">N40*$D$13</f>
        <v>2078607.6</v>
      </c>
      <c r="O41" s="144" t="n">
        <f aca="false">O40*$D$13</f>
        <v>2069855.568</v>
      </c>
      <c r="P41" s="144" t="n">
        <f aca="false">P40*$D$13</f>
        <v>2061103.536</v>
      </c>
      <c r="Q41" s="144" t="n">
        <f aca="false">Q40*$D$13</f>
        <v>2052351.504</v>
      </c>
      <c r="R41" s="144" t="n">
        <f aca="false">R40*$D$13</f>
        <v>2043599.472</v>
      </c>
      <c r="S41" s="144" t="n">
        <f aca="false">S40*$D$13</f>
        <v>2034847.44</v>
      </c>
      <c r="T41" s="144" t="n">
        <f aca="false">T40*$D$13</f>
        <v>2026095.408</v>
      </c>
      <c r="U41" s="144" t="n">
        <f aca="false">U40*$D$13</f>
        <v>2017343.376</v>
      </c>
      <c r="V41" s="144" t="n">
        <f aca="false">V40*$D$13</f>
        <v>2008591.344</v>
      </c>
      <c r="W41" s="144" t="n">
        <f aca="false">W40*$D$13</f>
        <v>1999839.312</v>
      </c>
      <c r="X41" s="145"/>
    </row>
    <row r="42" customFormat="false" ht="18.75" hidden="false" customHeight="true" outlineLevel="0" collapsed="false">
      <c r="B42" s="146" t="s">
        <v>27</v>
      </c>
      <c r="C42" s="147" t="s">
        <v>26</v>
      </c>
      <c r="D42" s="148"/>
      <c r="E42" s="148"/>
      <c r="F42" s="148"/>
      <c r="G42" s="149" t="s">
        <v>26</v>
      </c>
      <c r="H42" s="149" t="s">
        <v>26</v>
      </c>
      <c r="I42" s="149" t="s">
        <v>26</v>
      </c>
      <c r="J42" s="149" t="s">
        <v>26</v>
      </c>
      <c r="K42" s="149" t="s">
        <v>26</v>
      </c>
      <c r="L42" s="149" t="s">
        <v>26</v>
      </c>
      <c r="M42" s="149" t="s">
        <v>26</v>
      </c>
      <c r="N42" s="149" t="s">
        <v>26</v>
      </c>
      <c r="O42" s="149" t="s">
        <v>26</v>
      </c>
      <c r="P42" s="149" t="s">
        <v>26</v>
      </c>
      <c r="Q42" s="149" t="s">
        <v>26</v>
      </c>
      <c r="R42" s="149" t="s">
        <v>26</v>
      </c>
      <c r="S42" s="149" t="s">
        <v>26</v>
      </c>
      <c r="T42" s="149" t="s">
        <v>26</v>
      </c>
      <c r="U42" s="149" t="s">
        <v>26</v>
      </c>
      <c r="V42" s="149" t="s">
        <v>26</v>
      </c>
      <c r="W42" s="149" t="s">
        <v>26</v>
      </c>
      <c r="X42" s="150"/>
    </row>
    <row r="43" customFormat="false" ht="18.75" hidden="false" customHeight="true" outlineLevel="0" collapsed="false">
      <c r="B43" s="151" t="s">
        <v>28</v>
      </c>
      <c r="C43" s="152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4"/>
    </row>
    <row r="44" customFormat="false" ht="18.75" hidden="false" customHeight="true" outlineLevel="0" collapsed="false">
      <c r="B44" s="155" t="s">
        <v>29</v>
      </c>
      <c r="C44" s="156" t="n">
        <f aca="false">-(D16/(1-D17)+D18)*C4</f>
        <v>-20185200</v>
      </c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</row>
    <row r="45" customFormat="false" ht="18.75" hidden="false" customHeight="true" outlineLevel="0" collapsed="false">
      <c r="B45" s="155" t="s">
        <v>30</v>
      </c>
      <c r="C45" s="147" t="s">
        <v>26</v>
      </c>
      <c r="D45" s="105" t="n">
        <v>-290201</v>
      </c>
      <c r="E45" s="157" t="n">
        <v>-290201</v>
      </c>
      <c r="F45" s="157" t="n">
        <v>-290201</v>
      </c>
      <c r="G45" s="157" t="n">
        <v>-290201</v>
      </c>
      <c r="H45" s="157" t="n">
        <v>-290201</v>
      </c>
      <c r="I45" s="157" t="n">
        <v>-290201</v>
      </c>
      <c r="J45" s="157" t="n">
        <v>-290201</v>
      </c>
      <c r="K45" s="157" t="n">
        <v>-290201</v>
      </c>
      <c r="L45" s="157" t="n">
        <v>-290201</v>
      </c>
      <c r="M45" s="157" t="n">
        <v>-290201</v>
      </c>
      <c r="N45" s="157" t="n">
        <v>-290201</v>
      </c>
      <c r="O45" s="157" t="n">
        <v>-290201</v>
      </c>
      <c r="P45" s="157" t="n">
        <v>-290201</v>
      </c>
      <c r="Q45" s="157" t="n">
        <v>-290201</v>
      </c>
      <c r="R45" s="157" t="n">
        <v>-290201</v>
      </c>
      <c r="S45" s="157" t="n">
        <v>-290201</v>
      </c>
      <c r="T45" s="157" t="n">
        <v>-290201</v>
      </c>
      <c r="U45" s="157" t="n">
        <v>-290201</v>
      </c>
      <c r="V45" s="157" t="n">
        <v>-290201</v>
      </c>
      <c r="W45" s="157" t="n">
        <v>-290201</v>
      </c>
      <c r="X45" s="157"/>
    </row>
    <row r="46" customFormat="false" ht="18.75" hidden="false" customHeight="true" outlineLevel="0" collapsed="false">
      <c r="B46" s="155" t="s">
        <v>31</v>
      </c>
      <c r="C46" s="14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</row>
    <row r="47" customFormat="false" ht="18.75" hidden="false" customHeight="true" outlineLevel="0" collapsed="false">
      <c r="B47" s="155" t="s">
        <v>32</v>
      </c>
      <c r="C47" s="147" t="s">
        <v>26</v>
      </c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</row>
    <row r="48" customFormat="false" ht="18.75" hidden="false" customHeight="true" outlineLevel="0" collapsed="false">
      <c r="B48" s="155" t="s">
        <v>33</v>
      </c>
      <c r="C48" s="147" t="s">
        <v>26</v>
      </c>
      <c r="D48" s="157" t="n">
        <v>-174440</v>
      </c>
      <c r="E48" s="157" t="n">
        <v>-174440</v>
      </c>
      <c r="F48" s="157" t="n">
        <v>-174440</v>
      </c>
      <c r="G48" s="157" t="n">
        <v>-174440</v>
      </c>
      <c r="H48" s="157" t="n">
        <v>-174440</v>
      </c>
      <c r="I48" s="157" t="n">
        <v>-174440</v>
      </c>
      <c r="J48" s="157" t="n">
        <v>-174440</v>
      </c>
      <c r="K48" s="157" t="n">
        <v>-174440</v>
      </c>
      <c r="L48" s="157" t="n">
        <v>-174440</v>
      </c>
      <c r="M48" s="157" t="n">
        <v>-174440</v>
      </c>
      <c r="N48" s="157" t="n">
        <v>-174440</v>
      </c>
      <c r="O48" s="157" t="n">
        <v>-174440</v>
      </c>
      <c r="P48" s="157" t="n">
        <v>-174440</v>
      </c>
      <c r="Q48" s="157" t="n">
        <v>-174440</v>
      </c>
      <c r="R48" s="157" t="n">
        <v>-174440</v>
      </c>
      <c r="S48" s="157" t="n">
        <v>-174440</v>
      </c>
      <c r="T48" s="157" t="n">
        <v>-174440</v>
      </c>
      <c r="U48" s="157" t="n">
        <v>-174440</v>
      </c>
      <c r="V48" s="157" t="n">
        <v>-174440</v>
      </c>
      <c r="W48" s="157" t="n">
        <v>-174440</v>
      </c>
      <c r="X48" s="157"/>
    </row>
    <row r="49" customFormat="false" ht="18.75" hidden="false" customHeight="true" outlineLevel="0" collapsed="false">
      <c r="B49" s="155" t="s">
        <v>34</v>
      </c>
      <c r="C49" s="147" t="s">
        <v>26</v>
      </c>
      <c r="D49" s="157" t="n">
        <v>-40557.3</v>
      </c>
      <c r="E49" s="157" t="n">
        <v>-40557.3</v>
      </c>
      <c r="F49" s="157" t="n">
        <v>-40557.3</v>
      </c>
      <c r="G49" s="157" t="n">
        <v>-40557.3</v>
      </c>
      <c r="H49" s="157" t="n">
        <v>-40557.3</v>
      </c>
      <c r="I49" s="157" t="n">
        <v>-40557.3</v>
      </c>
      <c r="J49" s="157" t="n">
        <v>-40557.3</v>
      </c>
      <c r="K49" s="157" t="n">
        <v>-40557.3</v>
      </c>
      <c r="L49" s="157" t="n">
        <v>-40557.3</v>
      </c>
      <c r="M49" s="157" t="n">
        <v>-40557.3</v>
      </c>
      <c r="N49" s="157" t="n">
        <v>-40557.3</v>
      </c>
      <c r="O49" s="157" t="n">
        <v>-40557.3</v>
      </c>
      <c r="P49" s="157" t="n">
        <v>-40557.3</v>
      </c>
      <c r="Q49" s="157" t="n">
        <v>-40557.3</v>
      </c>
      <c r="R49" s="157" t="n">
        <v>-40557.3</v>
      </c>
      <c r="S49" s="157" t="n">
        <v>-40557.3</v>
      </c>
      <c r="T49" s="157" t="n">
        <v>-40557.3</v>
      </c>
      <c r="U49" s="157" t="n">
        <v>-40557.3</v>
      </c>
      <c r="V49" s="157" t="n">
        <v>-40557.3</v>
      </c>
      <c r="W49" s="157" t="n">
        <v>-40557.3</v>
      </c>
      <c r="X49" s="157"/>
    </row>
    <row r="50" customFormat="false" ht="18.75" hidden="false" customHeight="true" outlineLevel="0" collapsed="false">
      <c r="B50" s="155" t="s">
        <v>35</v>
      </c>
      <c r="C50" s="147"/>
      <c r="D50" s="157" t="n">
        <v>-43610</v>
      </c>
      <c r="E50" s="157" t="n">
        <v>-43610</v>
      </c>
      <c r="F50" s="157" t="n">
        <v>-43610</v>
      </c>
      <c r="G50" s="157" t="n">
        <v>-43610</v>
      </c>
      <c r="H50" s="157" t="n">
        <v>-43610</v>
      </c>
      <c r="I50" s="157" t="n">
        <v>-43610</v>
      </c>
      <c r="J50" s="157" t="n">
        <v>-43610</v>
      </c>
      <c r="K50" s="157" t="n">
        <v>-43610</v>
      </c>
      <c r="L50" s="157" t="n">
        <v>-43610</v>
      </c>
      <c r="M50" s="157" t="n">
        <v>-43610</v>
      </c>
      <c r="N50" s="157" t="n">
        <v>0</v>
      </c>
      <c r="O50" s="157" t="n">
        <v>0</v>
      </c>
      <c r="P50" s="157" t="n">
        <v>0</v>
      </c>
      <c r="Q50" s="157" t="n">
        <v>0</v>
      </c>
      <c r="R50" s="157" t="n">
        <v>0</v>
      </c>
      <c r="S50" s="157" t="n">
        <v>0</v>
      </c>
      <c r="T50" s="157" t="n">
        <v>0</v>
      </c>
      <c r="U50" s="157" t="n">
        <v>0</v>
      </c>
      <c r="V50" s="157" t="n">
        <v>0</v>
      </c>
      <c r="W50" s="157" t="n">
        <v>0</v>
      </c>
      <c r="X50" s="157"/>
    </row>
    <row r="51" customFormat="false" ht="18.75" hidden="false" customHeight="true" outlineLevel="0" collapsed="false">
      <c r="B51" s="155" t="s">
        <v>36</v>
      </c>
      <c r="C51" s="158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</row>
    <row r="52" customFormat="false" ht="18.75" hidden="false" customHeight="true" outlineLevel="0" collapsed="false">
      <c r="B52" s="155" t="s">
        <v>37</v>
      </c>
      <c r="C52" s="158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</row>
    <row r="53" customFormat="false" ht="18.75" hidden="false" customHeight="true" outlineLevel="0" collapsed="false">
      <c r="B53" s="159" t="s">
        <v>38</v>
      </c>
      <c r="C53" s="158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</row>
    <row r="54" customFormat="false" ht="18.75" hidden="false" customHeight="true" outlineLevel="0" collapsed="false">
      <c r="B54" s="159" t="s">
        <v>39</v>
      </c>
      <c r="C54" s="158"/>
      <c r="D54" s="157" t="n">
        <f aca="false">D77</f>
        <v>-179652.124</v>
      </c>
      <c r="E54" s="157" t="n">
        <f aca="false">E77</f>
        <v>-119861.5176</v>
      </c>
      <c r="F54" s="157" t="n">
        <f aca="false">F77</f>
        <v>-118111.1112</v>
      </c>
      <c r="G54" s="157" t="n">
        <f aca="false">G77</f>
        <v>-116360.7048</v>
      </c>
      <c r="H54" s="157" t="n">
        <f aca="false">H77</f>
        <v>-114610.2984</v>
      </c>
      <c r="I54" s="157" t="n">
        <f aca="false">I77</f>
        <v>-112859.892</v>
      </c>
      <c r="J54" s="157" t="n">
        <f aca="false">J77</f>
        <v>-111109.4856</v>
      </c>
      <c r="K54" s="157" t="n">
        <f aca="false">K77</f>
        <v>-109359.0792</v>
      </c>
      <c r="L54" s="157" t="n">
        <f aca="false">L77</f>
        <v>-107608.6728</v>
      </c>
      <c r="M54" s="157" t="n">
        <f aca="false">M77</f>
        <v>-105858.2664</v>
      </c>
      <c r="N54" s="157" t="n">
        <f aca="false">N77</f>
        <v>-112829.86</v>
      </c>
      <c r="O54" s="157" t="n">
        <f aca="false">O77</f>
        <v>-111079.4536</v>
      </c>
      <c r="P54" s="157" t="n">
        <f aca="false">P77</f>
        <v>-109329.0472</v>
      </c>
      <c r="Q54" s="157" t="n">
        <f aca="false">Q77</f>
        <v>-107578.6408</v>
      </c>
      <c r="R54" s="157" t="n">
        <f aca="false">R77</f>
        <v>-105828.2344</v>
      </c>
      <c r="S54" s="157" t="n">
        <f aca="false">S77</f>
        <v>-104077.828</v>
      </c>
      <c r="T54" s="157" t="n">
        <f aca="false">T77</f>
        <v>-102327.4216</v>
      </c>
      <c r="U54" s="157" t="n">
        <f aca="false">U77</f>
        <v>-100577.0152</v>
      </c>
      <c r="V54" s="157" t="n">
        <f aca="false">V77</f>
        <v>-98826.6087999999</v>
      </c>
      <c r="W54" s="157" t="n">
        <f aca="false">W77</f>
        <v>-97076.2024</v>
      </c>
      <c r="X54" s="148"/>
    </row>
    <row r="55" customFormat="false" ht="18.75" hidden="false" customHeight="true" outlineLevel="0" collapsed="false">
      <c r="B55" s="160" t="s">
        <v>40</v>
      </c>
      <c r="C55" s="161" t="n">
        <f aca="false">C44</f>
        <v>-20185200</v>
      </c>
      <c r="D55" s="162" t="n">
        <f aca="false">SUM(D41:D54)</f>
        <v>1437667.496</v>
      </c>
      <c r="E55" s="162" t="n">
        <f aca="false">SUM(E41:E54)</f>
        <v>1488706.0704</v>
      </c>
      <c r="F55" s="162" t="n">
        <f aca="false">SUM(F41:F54)</f>
        <v>1481704.4448</v>
      </c>
      <c r="G55" s="162" t="n">
        <f aca="false">SUM(G41:G54)</f>
        <v>1474702.8192</v>
      </c>
      <c r="H55" s="162" t="n">
        <f aca="false">SUM(H41:H54)</f>
        <v>1467701.1936</v>
      </c>
      <c r="I55" s="162" t="n">
        <f aca="false">SUM(I41:I54)</f>
        <v>1460699.568</v>
      </c>
      <c r="J55" s="162" t="n">
        <f aca="false">SUM(J41:J54)</f>
        <v>1453697.9424</v>
      </c>
      <c r="K55" s="162" t="n">
        <f aca="false">SUM(K41:K54)</f>
        <v>1446696.3168</v>
      </c>
      <c r="L55" s="162" t="n">
        <f aca="false">SUM(L41:L54)</f>
        <v>1439694.6912</v>
      </c>
      <c r="M55" s="162" t="n">
        <f aca="false">SUM(M41:M54)</f>
        <v>1432693.0656</v>
      </c>
      <c r="N55" s="162" t="n">
        <f aca="false">SUM(N41:N54)</f>
        <v>1460579.44</v>
      </c>
      <c r="O55" s="162" t="n">
        <f aca="false">SUM(O41:O54)</f>
        <v>1453577.8144</v>
      </c>
      <c r="P55" s="162" t="n">
        <f aca="false">SUM(P41:P54)</f>
        <v>1446576.1888</v>
      </c>
      <c r="Q55" s="162" t="n">
        <f aca="false">SUM(Q41:Q54)</f>
        <v>1439574.5632</v>
      </c>
      <c r="R55" s="162" t="n">
        <f aca="false">SUM(R41:R54)</f>
        <v>1432572.9376</v>
      </c>
      <c r="S55" s="162" t="n">
        <f aca="false">SUM(S41:S54)</f>
        <v>1425571.312</v>
      </c>
      <c r="T55" s="162" t="n">
        <f aca="false">SUM(T41:T54)</f>
        <v>1418569.6864</v>
      </c>
      <c r="U55" s="162" t="n">
        <f aca="false">SUM(U41:U54)</f>
        <v>1411568.0608</v>
      </c>
      <c r="V55" s="162" t="n">
        <f aca="false">SUM(V41:V54)</f>
        <v>1404566.4352</v>
      </c>
      <c r="W55" s="162" t="n">
        <f aca="false">SUM(W41:W54)</f>
        <v>1397564.8096</v>
      </c>
      <c r="X55" s="163"/>
      <c r="Y55" s="164"/>
      <c r="Z55" s="165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</row>
    <row r="56" customFormat="false" ht="18.75" hidden="false" customHeight="true" outlineLevel="0" collapsed="false">
      <c r="B56" s="166" t="s">
        <v>41</v>
      </c>
      <c r="D56" s="167" t="n">
        <f aca="false">C55+D55</f>
        <v>-18747532.504</v>
      </c>
      <c r="E56" s="167" t="n">
        <f aca="false">D56+E55</f>
        <v>-17258826.4336</v>
      </c>
      <c r="F56" s="167" t="n">
        <f aca="false">E56+F55</f>
        <v>-15777121.9888</v>
      </c>
      <c r="G56" s="167" t="n">
        <f aca="false">F56+G55</f>
        <v>-14302419.1696</v>
      </c>
      <c r="H56" s="167" t="n">
        <f aca="false">G56+H55</f>
        <v>-12834717.976</v>
      </c>
      <c r="I56" s="167" t="n">
        <f aca="false">H56+I55</f>
        <v>-11374018.408</v>
      </c>
      <c r="J56" s="167" t="n">
        <f aca="false">I56+J55</f>
        <v>-9920320.4656</v>
      </c>
      <c r="K56" s="167" t="n">
        <f aca="false">J56+K55</f>
        <v>-8473624.1488</v>
      </c>
      <c r="L56" s="167" t="n">
        <f aca="false">K56+L55</f>
        <v>-7033929.4576</v>
      </c>
      <c r="M56" s="167" t="n">
        <f aca="false">L56+M55</f>
        <v>-5601236.392</v>
      </c>
      <c r="N56" s="167" t="n">
        <f aca="false">M56+N55</f>
        <v>-4140656.952</v>
      </c>
      <c r="O56" s="167" t="n">
        <f aca="false">N56+O55</f>
        <v>-2687079.1376</v>
      </c>
      <c r="P56" s="167" t="n">
        <f aca="false">O56+P55</f>
        <v>-1240502.9488</v>
      </c>
      <c r="Q56" s="167" t="n">
        <f aca="false">P56+Q55</f>
        <v>199071.614399998</v>
      </c>
      <c r="R56" s="167" t="n">
        <f aca="false">Q56+R55</f>
        <v>1631644.552</v>
      </c>
      <c r="S56" s="167" t="n">
        <f aca="false">R56+S55</f>
        <v>3057215.864</v>
      </c>
      <c r="T56" s="167" t="n">
        <f aca="false">S56+T55</f>
        <v>4475785.5504</v>
      </c>
      <c r="U56" s="167" t="n">
        <f aca="false">T56+U55</f>
        <v>5887353.6112</v>
      </c>
      <c r="V56" s="167" t="n">
        <f aca="false">U56+V55</f>
        <v>7291920.0464</v>
      </c>
      <c r="W56" s="167" t="n">
        <f aca="false">V56+W55</f>
        <v>8689484.856</v>
      </c>
      <c r="X56" s="167" t="n">
        <f aca="false">W56+X55</f>
        <v>8689484.856</v>
      </c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</row>
    <row r="57" customFormat="false" ht="18.75" hidden="false" customHeight="true" outlineLevel="0" collapsed="false">
      <c r="B57" s="168" t="s">
        <v>42</v>
      </c>
      <c r="C57" s="169"/>
      <c r="D57" s="170" t="str">
        <f aca="false">IF((D56)&gt;0,"回收","未回收")</f>
        <v>未回收</v>
      </c>
      <c r="E57" s="171" t="str">
        <f aca="false">IF((E56)&gt;0,"回收","未回收")</f>
        <v>未回收</v>
      </c>
      <c r="F57" s="171" t="str">
        <f aca="false">IF((F56)&gt;0,"回收","未回收")</f>
        <v>未回收</v>
      </c>
      <c r="G57" s="171" t="str">
        <f aca="false">IF((G56)&gt;0,"回收","未回收")</f>
        <v>未回收</v>
      </c>
      <c r="H57" s="171" t="str">
        <f aca="false">IF((H56)&gt;0,"回收","未回收")</f>
        <v>未回收</v>
      </c>
      <c r="I57" s="171" t="str">
        <f aca="false">IF((I56)&gt;0,"回收","未回收")</f>
        <v>未回收</v>
      </c>
      <c r="J57" s="171" t="str">
        <f aca="false">IF((J56)&gt;0,"回收","未回收")</f>
        <v>未回收</v>
      </c>
      <c r="K57" s="171" t="str">
        <f aca="false">IF((K56)&gt;0,"回收","未回收")</f>
        <v>未回收</v>
      </c>
      <c r="L57" s="171" t="str">
        <f aca="false">IF((L56)&gt;0,"回收","未回收")</f>
        <v>未回收</v>
      </c>
      <c r="M57" s="171" t="str">
        <f aca="false">IF((M56)&gt;0,"回收","未回收")</f>
        <v>未回收</v>
      </c>
      <c r="N57" s="171" t="str">
        <f aca="false">IF((N56)&gt;0,"回收","未回收")</f>
        <v>未回收</v>
      </c>
      <c r="O57" s="171" t="str">
        <f aca="false">IF((O56)&gt;0,"回收","未回收")</f>
        <v>未回收</v>
      </c>
      <c r="P57" s="171" t="str">
        <f aca="false">IF((P56)&gt;0,"回收","未回收")</f>
        <v>未回收</v>
      </c>
      <c r="Q57" s="171" t="str">
        <f aca="false">IF((Q56)&gt;0,"回收","未回收")</f>
        <v>回收</v>
      </c>
      <c r="R57" s="171" t="str">
        <f aca="false">IF((R56)&gt;0,"回收","未回收")</f>
        <v>回收</v>
      </c>
      <c r="S57" s="171" t="str">
        <f aca="false">IF((S56)&gt;0,"回收","未回收")</f>
        <v>回收</v>
      </c>
      <c r="T57" s="171" t="str">
        <f aca="false">IF((T56)&gt;0,"回收","未回收")</f>
        <v>回收</v>
      </c>
      <c r="U57" s="171" t="str">
        <f aca="false">IF((U56)&gt;0,"回收","未回收")</f>
        <v>回收</v>
      </c>
      <c r="V57" s="171" t="str">
        <f aca="false">IF((V56)&gt;0,"回收","未回收")</f>
        <v>回收</v>
      </c>
      <c r="W57" s="171" t="str">
        <f aca="false">IF((W56)&gt;0,"回收","未回收")</f>
        <v>回收</v>
      </c>
      <c r="X57" s="171" t="str">
        <f aca="false">IF((X56)&gt;0,"回收","未回收")</f>
        <v>回收</v>
      </c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</row>
    <row r="58" customFormat="false" ht="18.75" hidden="false" customHeight="true" outlineLevel="0" collapsed="false">
      <c r="B58" s="54" t="s">
        <v>43</v>
      </c>
      <c r="C58" s="55" t="n">
        <f aca="false">IRR(C55:W55)</f>
        <v>0.0371399186458842</v>
      </c>
      <c r="D58" s="56"/>
      <c r="E58" s="56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</row>
    <row r="59" customFormat="false" ht="18.75" hidden="false" customHeight="true" outlineLevel="0" collapsed="false">
      <c r="B59" s="57"/>
      <c r="C59" s="56"/>
      <c r="D59" s="56"/>
      <c r="E59" s="56"/>
      <c r="F59" s="57"/>
      <c r="G59" s="57"/>
      <c r="H59" s="57"/>
      <c r="I59" s="57"/>
      <c r="J59" s="57"/>
      <c r="K59" s="57"/>
      <c r="L59" s="57"/>
      <c r="M59" s="56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</row>
    <row r="60" customFormat="false" ht="18.75" hidden="false" customHeight="true" outlineLevel="0" collapsed="false">
      <c r="B60" s="15"/>
      <c r="C60" s="16" t="s">
        <v>0</v>
      </c>
      <c r="D60" s="16" t="n">
        <f aca="false">D37</f>
        <v>2020</v>
      </c>
      <c r="E60" s="16" t="n">
        <f aca="false">E37</f>
        <v>2021</v>
      </c>
      <c r="F60" s="16" t="n">
        <f aca="false">F37</f>
        <v>2022</v>
      </c>
      <c r="G60" s="16" t="n">
        <f aca="false">G37</f>
        <v>2023</v>
      </c>
      <c r="H60" s="16" t="n">
        <f aca="false">H37</f>
        <v>2024</v>
      </c>
      <c r="I60" s="16" t="n">
        <f aca="false">I37</f>
        <v>2025</v>
      </c>
      <c r="J60" s="16" t="n">
        <f aca="false">J37</f>
        <v>2026</v>
      </c>
      <c r="K60" s="16" t="n">
        <f aca="false">K37</f>
        <v>2027</v>
      </c>
      <c r="L60" s="16" t="n">
        <f aca="false">L37</f>
        <v>2028</v>
      </c>
      <c r="M60" s="16" t="n">
        <f aca="false">M37</f>
        <v>2029</v>
      </c>
      <c r="N60" s="16" t="n">
        <f aca="false">N37</f>
        <v>2030</v>
      </c>
      <c r="O60" s="16" t="n">
        <f aca="false">O37</f>
        <v>2031</v>
      </c>
      <c r="P60" s="16" t="n">
        <f aca="false">P37</f>
        <v>2032</v>
      </c>
      <c r="Q60" s="16" t="n">
        <f aca="false">Q37</f>
        <v>2033</v>
      </c>
      <c r="R60" s="16" t="n">
        <f aca="false">R37</f>
        <v>2034</v>
      </c>
      <c r="S60" s="16" t="n">
        <f aca="false">S37</f>
        <v>2035</v>
      </c>
      <c r="T60" s="16" t="n">
        <f aca="false">T37</f>
        <v>2036</v>
      </c>
      <c r="U60" s="16" t="n">
        <f aca="false">U37</f>
        <v>2037</v>
      </c>
      <c r="V60" s="16" t="n">
        <f aca="false">V37</f>
        <v>2038</v>
      </c>
      <c r="W60" s="16" t="n">
        <f aca="false">W37</f>
        <v>2039</v>
      </c>
      <c r="X60" s="16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</row>
    <row r="61" customFormat="false" ht="18.75" hidden="false" customHeight="true" outlineLevel="0" collapsed="false">
      <c r="B61" s="17" t="n">
        <v>0</v>
      </c>
      <c r="C61" s="18"/>
      <c r="D61" s="19"/>
      <c r="E61" s="19"/>
      <c r="F61" s="20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58" t="s">
        <v>44</v>
      </c>
      <c r="U61" s="21"/>
      <c r="V61" s="21"/>
      <c r="W61" s="21"/>
      <c r="X61" s="138"/>
    </row>
    <row r="62" customFormat="false" ht="18.75" hidden="false" customHeight="true" outlineLevel="0" collapsed="false">
      <c r="B62" s="23" t="s">
        <v>23</v>
      </c>
      <c r="C62" s="24" t="n">
        <v>0</v>
      </c>
      <c r="D62" s="25" t="n">
        <v>1</v>
      </c>
      <c r="E62" s="25" t="n">
        <v>2</v>
      </c>
      <c r="F62" s="25" t="n">
        <v>3</v>
      </c>
      <c r="G62" s="25" t="n">
        <v>4</v>
      </c>
      <c r="H62" s="25" t="n">
        <v>5</v>
      </c>
      <c r="I62" s="25" t="n">
        <v>6</v>
      </c>
      <c r="J62" s="25" t="n">
        <v>7</v>
      </c>
      <c r="K62" s="25" t="n">
        <v>8</v>
      </c>
      <c r="L62" s="25" t="n">
        <v>9</v>
      </c>
      <c r="M62" s="25" t="n">
        <v>10</v>
      </c>
      <c r="N62" s="25" t="n">
        <v>11</v>
      </c>
      <c r="O62" s="25" t="n">
        <v>12</v>
      </c>
      <c r="P62" s="25" t="n">
        <v>13</v>
      </c>
      <c r="Q62" s="25" t="n">
        <v>14</v>
      </c>
      <c r="R62" s="25" t="n">
        <v>15</v>
      </c>
      <c r="S62" s="25" t="n">
        <v>16</v>
      </c>
      <c r="T62" s="59" t="n">
        <v>17</v>
      </c>
      <c r="U62" s="25" t="n">
        <v>18</v>
      </c>
      <c r="V62" s="25" t="n">
        <v>19</v>
      </c>
      <c r="W62" s="25" t="n">
        <v>20</v>
      </c>
      <c r="X62" s="139"/>
    </row>
    <row r="63" customFormat="false" ht="18.75" hidden="false" customHeight="true" outlineLevel="0" collapsed="false">
      <c r="B63" s="140" t="s">
        <v>137</v>
      </c>
      <c r="C63" s="28" t="n">
        <v>0</v>
      </c>
      <c r="D63" s="29" t="n">
        <f aca="false">D40</f>
        <v>541531.98</v>
      </c>
      <c r="E63" s="29" t="n">
        <f aca="false">E40</f>
        <v>539343.972</v>
      </c>
      <c r="F63" s="29" t="n">
        <f aca="false">F40</f>
        <v>537155.964</v>
      </c>
      <c r="G63" s="29" t="n">
        <f aca="false">G40</f>
        <v>534967.956</v>
      </c>
      <c r="H63" s="29" t="n">
        <f aca="false">H40</f>
        <v>532779.948</v>
      </c>
      <c r="I63" s="29" t="n">
        <f aca="false">I40</f>
        <v>530591.94</v>
      </c>
      <c r="J63" s="29" t="n">
        <f aca="false">J40</f>
        <v>528403.932</v>
      </c>
      <c r="K63" s="29" t="n">
        <f aca="false">K40</f>
        <v>526215.924</v>
      </c>
      <c r="L63" s="29" t="n">
        <f aca="false">L40</f>
        <v>524027.916</v>
      </c>
      <c r="M63" s="29" t="n">
        <f aca="false">M40</f>
        <v>521839.908</v>
      </c>
      <c r="N63" s="29" t="n">
        <f aca="false">N40</f>
        <v>519651.9</v>
      </c>
      <c r="O63" s="29" t="n">
        <f aca="false">O40</f>
        <v>517463.892</v>
      </c>
      <c r="P63" s="29" t="n">
        <f aca="false">P40</f>
        <v>515275.884</v>
      </c>
      <c r="Q63" s="29" t="n">
        <f aca="false">Q40</f>
        <v>513087.876</v>
      </c>
      <c r="R63" s="29" t="n">
        <f aca="false">R40</f>
        <v>510899.868</v>
      </c>
      <c r="S63" s="29" t="n">
        <f aca="false">S40</f>
        <v>508711.86</v>
      </c>
      <c r="T63" s="29" t="n">
        <f aca="false">T40</f>
        <v>506523.852</v>
      </c>
      <c r="U63" s="29" t="n">
        <f aca="false">U40</f>
        <v>504335.844</v>
      </c>
      <c r="V63" s="29" t="n">
        <f aca="false">V40</f>
        <v>502147.836</v>
      </c>
      <c r="W63" s="29" t="n">
        <f aca="false">W40</f>
        <v>499959.828</v>
      </c>
      <c r="X63" s="141"/>
    </row>
    <row r="64" customFormat="false" ht="18.75" hidden="false" customHeight="true" outlineLevel="0" collapsed="false">
      <c r="B64" s="142" t="s">
        <v>25</v>
      </c>
      <c r="C64" s="143" t="s">
        <v>26</v>
      </c>
      <c r="D64" s="144" t="n">
        <f aca="false">D41</f>
        <v>2166127.92</v>
      </c>
      <c r="E64" s="144" t="n">
        <f aca="false">E41</f>
        <v>2157375.888</v>
      </c>
      <c r="F64" s="144" t="n">
        <f aca="false">F41</f>
        <v>2148623.856</v>
      </c>
      <c r="G64" s="144" t="n">
        <f aca="false">G41</f>
        <v>2139871.824</v>
      </c>
      <c r="H64" s="144" t="n">
        <f aca="false">H41</f>
        <v>2131119.792</v>
      </c>
      <c r="I64" s="144" t="n">
        <f aca="false">I41</f>
        <v>2122367.76</v>
      </c>
      <c r="J64" s="144" t="n">
        <f aca="false">J41</f>
        <v>2113615.728</v>
      </c>
      <c r="K64" s="144" t="n">
        <f aca="false">K41</f>
        <v>2104863.696</v>
      </c>
      <c r="L64" s="144" t="n">
        <f aca="false">L41</f>
        <v>2096111.664</v>
      </c>
      <c r="M64" s="144" t="n">
        <f aca="false">M41</f>
        <v>2087359.632</v>
      </c>
      <c r="N64" s="144" t="n">
        <f aca="false">N41</f>
        <v>2078607.6</v>
      </c>
      <c r="O64" s="144" t="n">
        <f aca="false">O41</f>
        <v>2069855.568</v>
      </c>
      <c r="P64" s="144" t="n">
        <f aca="false">P41</f>
        <v>2061103.536</v>
      </c>
      <c r="Q64" s="144" t="n">
        <f aca="false">Q41</f>
        <v>2052351.504</v>
      </c>
      <c r="R64" s="144" t="n">
        <f aca="false">R41</f>
        <v>2043599.472</v>
      </c>
      <c r="S64" s="144" t="n">
        <f aca="false">S41</f>
        <v>2034847.44</v>
      </c>
      <c r="T64" s="144" t="n">
        <f aca="false">T41</f>
        <v>2026095.408</v>
      </c>
      <c r="U64" s="144" t="n">
        <f aca="false">U41</f>
        <v>2017343.376</v>
      </c>
      <c r="V64" s="144" t="n">
        <f aca="false">V41</f>
        <v>2008591.344</v>
      </c>
      <c r="W64" s="144" t="n">
        <f aca="false">W41</f>
        <v>1999839.312</v>
      </c>
      <c r="X64" s="145"/>
    </row>
    <row r="65" customFormat="false" ht="18.75" hidden="false" customHeight="true" outlineLevel="0" collapsed="false">
      <c r="B65" s="146" t="s">
        <v>27</v>
      </c>
      <c r="C65" s="147" t="s">
        <v>26</v>
      </c>
      <c r="D65" s="148"/>
      <c r="E65" s="148"/>
      <c r="F65" s="148"/>
      <c r="G65" s="149" t="s">
        <v>26</v>
      </c>
      <c r="H65" s="149" t="s">
        <v>26</v>
      </c>
      <c r="I65" s="149" t="s">
        <v>26</v>
      </c>
      <c r="J65" s="149" t="s">
        <v>26</v>
      </c>
      <c r="K65" s="149" t="s">
        <v>26</v>
      </c>
      <c r="L65" s="149" t="s">
        <v>26</v>
      </c>
      <c r="M65" s="149" t="s">
        <v>26</v>
      </c>
      <c r="N65" s="149" t="s">
        <v>26</v>
      </c>
      <c r="O65" s="149" t="s">
        <v>26</v>
      </c>
      <c r="P65" s="149" t="s">
        <v>26</v>
      </c>
      <c r="Q65" s="149" t="s">
        <v>26</v>
      </c>
      <c r="R65" s="149" t="s">
        <v>26</v>
      </c>
      <c r="S65" s="149" t="s">
        <v>26</v>
      </c>
      <c r="T65" s="149" t="s">
        <v>26</v>
      </c>
      <c r="U65" s="149" t="s">
        <v>26</v>
      </c>
      <c r="V65" s="149" t="s">
        <v>26</v>
      </c>
      <c r="W65" s="149" t="s">
        <v>26</v>
      </c>
      <c r="X65" s="150"/>
    </row>
    <row r="66" customFormat="false" ht="18.75" hidden="false" customHeight="true" outlineLevel="0" collapsed="false">
      <c r="B66" s="151" t="s">
        <v>28</v>
      </c>
      <c r="C66" s="152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4"/>
    </row>
    <row r="67" customFormat="false" ht="18.75" hidden="false" customHeight="true" outlineLevel="0" collapsed="false">
      <c r="B67" s="155" t="s">
        <v>45</v>
      </c>
      <c r="C67" s="147"/>
      <c r="D67" s="174" t="n">
        <f aca="false">$C$44/$E$16</f>
        <v>-1009260</v>
      </c>
      <c r="E67" s="174" t="n">
        <f aca="false">$C$44/$E$16</f>
        <v>-1009260</v>
      </c>
      <c r="F67" s="174" t="n">
        <f aca="false">$C$44/$E$16</f>
        <v>-1009260</v>
      </c>
      <c r="G67" s="174" t="n">
        <f aca="false">$C$44/$E$16</f>
        <v>-1009260</v>
      </c>
      <c r="H67" s="174" t="n">
        <f aca="false">$C$44/$E$16</f>
        <v>-1009260</v>
      </c>
      <c r="I67" s="174" t="n">
        <f aca="false">$C$44/$E$16</f>
        <v>-1009260</v>
      </c>
      <c r="J67" s="174" t="n">
        <f aca="false">$C$44/$E$16</f>
        <v>-1009260</v>
      </c>
      <c r="K67" s="174" t="n">
        <f aca="false">$C$44/$E$16</f>
        <v>-1009260</v>
      </c>
      <c r="L67" s="174" t="n">
        <f aca="false">$C$44/$E$16</f>
        <v>-1009260</v>
      </c>
      <c r="M67" s="174" t="n">
        <f aca="false">$C$44/$E$16</f>
        <v>-1009260</v>
      </c>
      <c r="N67" s="174" t="n">
        <f aca="false">$C$44/$E$16</f>
        <v>-1009260</v>
      </c>
      <c r="O67" s="174" t="n">
        <f aca="false">$C$44/$E$16</f>
        <v>-1009260</v>
      </c>
      <c r="P67" s="174" t="n">
        <f aca="false">$C$44/$E$16</f>
        <v>-1009260</v>
      </c>
      <c r="Q67" s="174" t="n">
        <f aca="false">$C$44/$E$16</f>
        <v>-1009260</v>
      </c>
      <c r="R67" s="174" t="n">
        <f aca="false">$C$44/$E$16</f>
        <v>-1009260</v>
      </c>
      <c r="S67" s="174" t="n">
        <f aca="false">$C$44/$E$16</f>
        <v>-1009260</v>
      </c>
      <c r="T67" s="174" t="n">
        <f aca="false">$C$44/$E$16</f>
        <v>-1009260</v>
      </c>
      <c r="U67" s="174" t="n">
        <f aca="false">$C$44/$E$16</f>
        <v>-1009260</v>
      </c>
      <c r="V67" s="174" t="n">
        <f aca="false">$C$44/$E$16</f>
        <v>-1009260</v>
      </c>
      <c r="W67" s="174" t="n">
        <f aca="false">$C$44/$E$16</f>
        <v>-1009260</v>
      </c>
      <c r="X67" s="150"/>
    </row>
    <row r="68" customFormat="false" ht="18.75" hidden="false" customHeight="true" outlineLevel="0" collapsed="false">
      <c r="B68" s="155" t="s">
        <v>30</v>
      </c>
      <c r="C68" s="147" t="s">
        <v>26</v>
      </c>
      <c r="D68" s="157" t="n">
        <f aca="false">D44</f>
        <v>0</v>
      </c>
      <c r="E68" s="157" t="n">
        <f aca="false">E45</f>
        <v>-290201</v>
      </c>
      <c r="F68" s="157" t="n">
        <f aca="false">F45</f>
        <v>-290201</v>
      </c>
      <c r="G68" s="157" t="n">
        <f aca="false">G45</f>
        <v>-290201</v>
      </c>
      <c r="H68" s="157" t="n">
        <f aca="false">H45</f>
        <v>-290201</v>
      </c>
      <c r="I68" s="157" t="n">
        <f aca="false">I45</f>
        <v>-290201</v>
      </c>
      <c r="J68" s="157" t="n">
        <f aca="false">J45</f>
        <v>-290201</v>
      </c>
      <c r="K68" s="157" t="n">
        <f aca="false">K45</f>
        <v>-290201</v>
      </c>
      <c r="L68" s="157" t="n">
        <f aca="false">L45</f>
        <v>-290201</v>
      </c>
      <c r="M68" s="157" t="n">
        <f aca="false">M45</f>
        <v>-290201</v>
      </c>
      <c r="N68" s="157" t="n">
        <f aca="false">N45</f>
        <v>-290201</v>
      </c>
      <c r="O68" s="157" t="n">
        <f aca="false">O45</f>
        <v>-290201</v>
      </c>
      <c r="P68" s="157" t="n">
        <f aca="false">P45</f>
        <v>-290201</v>
      </c>
      <c r="Q68" s="157" t="n">
        <f aca="false">Q45</f>
        <v>-290201</v>
      </c>
      <c r="R68" s="157" t="n">
        <f aca="false">R45</f>
        <v>-290201</v>
      </c>
      <c r="S68" s="157" t="n">
        <f aca="false">S45</f>
        <v>-290201</v>
      </c>
      <c r="T68" s="157" t="n">
        <f aca="false">T45</f>
        <v>-290201</v>
      </c>
      <c r="U68" s="157" t="n">
        <f aca="false">U45</f>
        <v>-290201</v>
      </c>
      <c r="V68" s="157" t="n">
        <f aca="false">V45</f>
        <v>-290201</v>
      </c>
      <c r="W68" s="157" t="n">
        <f aca="false">W45</f>
        <v>-290201</v>
      </c>
      <c r="X68" s="150"/>
    </row>
    <row r="69" customFormat="false" ht="18.75" hidden="false" customHeight="true" outlineLevel="0" collapsed="false">
      <c r="B69" s="155" t="s">
        <v>31</v>
      </c>
      <c r="C69" s="147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50"/>
    </row>
    <row r="70" customFormat="false" ht="18.75" hidden="false" customHeight="true" outlineLevel="0" collapsed="false">
      <c r="B70" s="155" t="s">
        <v>32</v>
      </c>
      <c r="C70" s="147" t="s">
        <v>26</v>
      </c>
      <c r="D70" s="157" t="n">
        <v>0</v>
      </c>
      <c r="E70" s="157" t="n">
        <v>0</v>
      </c>
      <c r="F70" s="157" t="n">
        <v>0</v>
      </c>
      <c r="G70" s="157" t="n">
        <v>0</v>
      </c>
      <c r="H70" s="157" t="n">
        <v>0</v>
      </c>
      <c r="I70" s="157" t="n">
        <v>0</v>
      </c>
      <c r="J70" s="157" t="n">
        <v>0</v>
      </c>
      <c r="K70" s="157" t="n">
        <v>0</v>
      </c>
      <c r="L70" s="157" t="n">
        <v>0</v>
      </c>
      <c r="M70" s="157" t="n">
        <v>0</v>
      </c>
      <c r="N70" s="157" t="n">
        <v>0</v>
      </c>
      <c r="O70" s="157" t="n">
        <v>0</v>
      </c>
      <c r="P70" s="157" t="n">
        <v>0</v>
      </c>
      <c r="Q70" s="157" t="n">
        <v>0</v>
      </c>
      <c r="R70" s="157" t="n">
        <v>0</v>
      </c>
      <c r="S70" s="157" t="n">
        <v>0</v>
      </c>
      <c r="T70" s="157" t="n">
        <v>0</v>
      </c>
      <c r="U70" s="157" t="n">
        <v>0</v>
      </c>
      <c r="V70" s="157" t="n">
        <v>0</v>
      </c>
      <c r="W70" s="157" t="n">
        <v>0</v>
      </c>
      <c r="X70" s="150"/>
    </row>
    <row r="71" customFormat="false" ht="18.75" hidden="false" customHeight="true" outlineLevel="0" collapsed="false">
      <c r="B71" s="155" t="s">
        <v>33</v>
      </c>
      <c r="C71" s="147" t="s">
        <v>26</v>
      </c>
      <c r="D71" s="157" t="n">
        <f aca="false">D48</f>
        <v>-174440</v>
      </c>
      <c r="E71" s="157" t="n">
        <f aca="false">E48</f>
        <v>-174440</v>
      </c>
      <c r="F71" s="157" t="n">
        <f aca="false">F48</f>
        <v>-174440</v>
      </c>
      <c r="G71" s="157" t="n">
        <f aca="false">G48</f>
        <v>-174440</v>
      </c>
      <c r="H71" s="157" t="n">
        <f aca="false">H48</f>
        <v>-174440</v>
      </c>
      <c r="I71" s="157" t="n">
        <f aca="false">I48</f>
        <v>-174440</v>
      </c>
      <c r="J71" s="157" t="n">
        <f aca="false">J48</f>
        <v>-174440</v>
      </c>
      <c r="K71" s="157" t="n">
        <f aca="false">K48</f>
        <v>-174440</v>
      </c>
      <c r="L71" s="157" t="n">
        <f aca="false">L48</f>
        <v>-174440</v>
      </c>
      <c r="M71" s="157" t="n">
        <f aca="false">M48</f>
        <v>-174440</v>
      </c>
      <c r="N71" s="157" t="n">
        <f aca="false">N48</f>
        <v>-174440</v>
      </c>
      <c r="O71" s="157" t="n">
        <f aca="false">O48</f>
        <v>-174440</v>
      </c>
      <c r="P71" s="157" t="n">
        <f aca="false">P48</f>
        <v>-174440</v>
      </c>
      <c r="Q71" s="157" t="n">
        <f aca="false">Q48</f>
        <v>-174440</v>
      </c>
      <c r="R71" s="157" t="n">
        <f aca="false">R48</f>
        <v>-174440</v>
      </c>
      <c r="S71" s="157" t="n">
        <f aca="false">S48</f>
        <v>-174440</v>
      </c>
      <c r="T71" s="157" t="n">
        <f aca="false">T48</f>
        <v>-174440</v>
      </c>
      <c r="U71" s="157" t="n">
        <f aca="false">U48</f>
        <v>-174440</v>
      </c>
      <c r="V71" s="157" t="n">
        <f aca="false">V48</f>
        <v>-174440</v>
      </c>
      <c r="W71" s="157" t="n">
        <f aca="false">W48</f>
        <v>-174440</v>
      </c>
      <c r="X71" s="150"/>
    </row>
    <row r="72" customFormat="false" ht="18.75" hidden="false" customHeight="true" outlineLevel="0" collapsed="false">
      <c r="B72" s="155" t="s">
        <v>34</v>
      </c>
      <c r="C72" s="147" t="s">
        <v>26</v>
      </c>
      <c r="D72" s="157" t="n">
        <f aca="false">D49</f>
        <v>-40557.3</v>
      </c>
      <c r="E72" s="157" t="n">
        <f aca="false">E49</f>
        <v>-40557.3</v>
      </c>
      <c r="F72" s="157" t="n">
        <f aca="false">F49</f>
        <v>-40557.3</v>
      </c>
      <c r="G72" s="157" t="n">
        <f aca="false">G49</f>
        <v>-40557.3</v>
      </c>
      <c r="H72" s="157" t="n">
        <f aca="false">H49</f>
        <v>-40557.3</v>
      </c>
      <c r="I72" s="157" t="n">
        <f aca="false">I49</f>
        <v>-40557.3</v>
      </c>
      <c r="J72" s="157" t="n">
        <f aca="false">J49</f>
        <v>-40557.3</v>
      </c>
      <c r="K72" s="157" t="n">
        <f aca="false">K49</f>
        <v>-40557.3</v>
      </c>
      <c r="L72" s="157" t="n">
        <f aca="false">L49</f>
        <v>-40557.3</v>
      </c>
      <c r="M72" s="157" t="n">
        <f aca="false">M49</f>
        <v>-40557.3</v>
      </c>
      <c r="N72" s="157" t="n">
        <f aca="false">N49</f>
        <v>-40557.3</v>
      </c>
      <c r="O72" s="157" t="n">
        <f aca="false">O49</f>
        <v>-40557.3</v>
      </c>
      <c r="P72" s="157" t="n">
        <f aca="false">P49</f>
        <v>-40557.3</v>
      </c>
      <c r="Q72" s="157" t="n">
        <f aca="false">Q49</f>
        <v>-40557.3</v>
      </c>
      <c r="R72" s="157" t="n">
        <f aca="false">R49</f>
        <v>-40557.3</v>
      </c>
      <c r="S72" s="157" t="n">
        <f aca="false">S49</f>
        <v>-40557.3</v>
      </c>
      <c r="T72" s="157" t="n">
        <f aca="false">T49</f>
        <v>-40557.3</v>
      </c>
      <c r="U72" s="157" t="n">
        <f aca="false">U49</f>
        <v>-40557.3</v>
      </c>
      <c r="V72" s="157" t="n">
        <f aca="false">V49</f>
        <v>-40557.3</v>
      </c>
      <c r="W72" s="157" t="n">
        <f aca="false">W49</f>
        <v>-40557.3</v>
      </c>
      <c r="X72" s="150"/>
    </row>
    <row r="73" customFormat="false" ht="18.75" hidden="false" customHeight="true" outlineLevel="0" collapsed="false">
      <c r="B73" s="155" t="s">
        <v>35</v>
      </c>
      <c r="C73" s="147"/>
      <c r="D73" s="157" t="n">
        <f aca="false">D50</f>
        <v>-43610</v>
      </c>
      <c r="E73" s="157" t="n">
        <f aca="false">E50</f>
        <v>-43610</v>
      </c>
      <c r="F73" s="157" t="n">
        <f aca="false">F50</f>
        <v>-43610</v>
      </c>
      <c r="G73" s="157" t="n">
        <f aca="false">G50</f>
        <v>-43610</v>
      </c>
      <c r="H73" s="157" t="n">
        <f aca="false">H50</f>
        <v>-43610</v>
      </c>
      <c r="I73" s="157" t="n">
        <f aca="false">I50</f>
        <v>-43610</v>
      </c>
      <c r="J73" s="157" t="n">
        <f aca="false">J50</f>
        <v>-43610</v>
      </c>
      <c r="K73" s="157" t="n">
        <f aca="false">K50</f>
        <v>-43610</v>
      </c>
      <c r="L73" s="157" t="n">
        <f aca="false">L50</f>
        <v>-43610</v>
      </c>
      <c r="M73" s="157" t="n">
        <f aca="false">M50</f>
        <v>-43610</v>
      </c>
      <c r="N73" s="157" t="n">
        <f aca="false">N50</f>
        <v>0</v>
      </c>
      <c r="O73" s="157" t="n">
        <f aca="false">O50</f>
        <v>0</v>
      </c>
      <c r="P73" s="157" t="n">
        <f aca="false">P50</f>
        <v>0</v>
      </c>
      <c r="Q73" s="157" t="n">
        <f aca="false">Q50</f>
        <v>0</v>
      </c>
      <c r="R73" s="157" t="n">
        <f aca="false">R50</f>
        <v>0</v>
      </c>
      <c r="S73" s="157" t="n">
        <f aca="false">S50</f>
        <v>0</v>
      </c>
      <c r="T73" s="157" t="n">
        <f aca="false">T50</f>
        <v>0</v>
      </c>
      <c r="U73" s="157" t="n">
        <f aca="false">U50</f>
        <v>0</v>
      </c>
      <c r="V73" s="157" t="n">
        <f aca="false">V50</f>
        <v>0</v>
      </c>
      <c r="W73" s="157" t="n">
        <f aca="false">W50</f>
        <v>0</v>
      </c>
      <c r="X73" s="150"/>
    </row>
    <row r="74" customFormat="false" ht="18.75" hidden="false" customHeight="true" outlineLevel="0" collapsed="false">
      <c r="B74" s="155" t="s">
        <v>36</v>
      </c>
      <c r="C74" s="158"/>
      <c r="D74" s="175"/>
      <c r="E74" s="176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50"/>
    </row>
    <row r="75" customFormat="false" ht="18.75" hidden="false" customHeight="true" outlineLevel="0" collapsed="false">
      <c r="B75" s="155" t="s">
        <v>37</v>
      </c>
      <c r="C75" s="15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50"/>
    </row>
    <row r="76" customFormat="false" ht="18.75" hidden="false" customHeight="true" outlineLevel="0" collapsed="false">
      <c r="B76" s="160" t="s">
        <v>46</v>
      </c>
      <c r="C76" s="177"/>
      <c r="D76" s="162" t="n">
        <f aca="false">SUM(D64:D75)</f>
        <v>898260.62</v>
      </c>
      <c r="E76" s="162" t="n">
        <f aca="false">SUM(E64:E75)</f>
        <v>599307.588</v>
      </c>
      <c r="F76" s="162" t="n">
        <f aca="false">SUM(F64:F75)</f>
        <v>590555.556</v>
      </c>
      <c r="G76" s="162" t="n">
        <f aca="false">SUM(G64:G75)</f>
        <v>581803.524</v>
      </c>
      <c r="H76" s="162" t="n">
        <f aca="false">SUM(H64:H75)</f>
        <v>573051.492</v>
      </c>
      <c r="I76" s="162" t="n">
        <f aca="false">SUM(I64:I75)</f>
        <v>564299.46</v>
      </c>
      <c r="J76" s="162" t="n">
        <f aca="false">SUM(J64:J75)</f>
        <v>555547.428</v>
      </c>
      <c r="K76" s="162" t="n">
        <f aca="false">SUM(K64:K75)</f>
        <v>546795.396</v>
      </c>
      <c r="L76" s="162" t="n">
        <f aca="false">SUM(L64:L75)</f>
        <v>538043.364</v>
      </c>
      <c r="M76" s="162" t="n">
        <f aca="false">SUM(M64:M75)</f>
        <v>529291.332</v>
      </c>
      <c r="N76" s="162" t="n">
        <f aca="false">SUM(N64:N75)</f>
        <v>564149.3</v>
      </c>
      <c r="O76" s="162" t="n">
        <f aca="false">SUM(O64:O75)</f>
        <v>555397.268</v>
      </c>
      <c r="P76" s="162" t="n">
        <f aca="false">SUM(P64:P75)</f>
        <v>546645.236</v>
      </c>
      <c r="Q76" s="162" t="n">
        <f aca="false">SUM(Q64:Q75)</f>
        <v>537893.204</v>
      </c>
      <c r="R76" s="162" t="n">
        <f aca="false">SUM(R64:R75)</f>
        <v>529141.172</v>
      </c>
      <c r="S76" s="162" t="n">
        <f aca="false">SUM(S64:S75)</f>
        <v>520389.14</v>
      </c>
      <c r="T76" s="162" t="n">
        <f aca="false">SUM(T64:T75)</f>
        <v>511637.108</v>
      </c>
      <c r="U76" s="162" t="n">
        <f aca="false">SUM(U64:U75)</f>
        <v>502885.076</v>
      </c>
      <c r="V76" s="162" t="n">
        <f aca="false">SUM(V64:V75)</f>
        <v>494133.044</v>
      </c>
      <c r="W76" s="162" t="n">
        <f aca="false">SUM(W64:W75)</f>
        <v>485381.012</v>
      </c>
      <c r="X76" s="162" t="n">
        <f aca="false">SUM(X64:X75)</f>
        <v>0</v>
      </c>
    </row>
    <row r="77" customFormat="false" ht="18.75" hidden="false" customHeight="true" outlineLevel="0" collapsed="false">
      <c r="B77" s="159" t="s">
        <v>39</v>
      </c>
      <c r="C77" s="158"/>
      <c r="D77" s="157" t="n">
        <f aca="false">-D76*0.2</f>
        <v>-179652.124</v>
      </c>
      <c r="E77" s="157" t="n">
        <f aca="false">-E76*0.2</f>
        <v>-119861.5176</v>
      </c>
      <c r="F77" s="157" t="n">
        <f aca="false">-F76*0.2</f>
        <v>-118111.1112</v>
      </c>
      <c r="G77" s="157" t="n">
        <f aca="false">-G76*0.2</f>
        <v>-116360.7048</v>
      </c>
      <c r="H77" s="157" t="n">
        <f aca="false">-H76*0.2</f>
        <v>-114610.2984</v>
      </c>
      <c r="I77" s="157" t="n">
        <f aca="false">-I76*0.2</f>
        <v>-112859.892</v>
      </c>
      <c r="J77" s="157" t="n">
        <f aca="false">-J76*0.2</f>
        <v>-111109.4856</v>
      </c>
      <c r="K77" s="157" t="n">
        <f aca="false">-K76*0.2</f>
        <v>-109359.0792</v>
      </c>
      <c r="L77" s="157" t="n">
        <f aca="false">-L76*0.2</f>
        <v>-107608.6728</v>
      </c>
      <c r="M77" s="157" t="n">
        <f aca="false">-M76*0.2</f>
        <v>-105858.2664</v>
      </c>
      <c r="N77" s="157" t="n">
        <f aca="false">-N76*0.2</f>
        <v>-112829.86</v>
      </c>
      <c r="O77" s="157" t="n">
        <f aca="false">-O76*0.2</f>
        <v>-111079.4536</v>
      </c>
      <c r="P77" s="157" t="n">
        <f aca="false">-P76*0.2</f>
        <v>-109329.0472</v>
      </c>
      <c r="Q77" s="157" t="n">
        <f aca="false">-Q76*0.2</f>
        <v>-107578.6408</v>
      </c>
      <c r="R77" s="157" t="n">
        <f aca="false">-R76*0.2</f>
        <v>-105828.2344</v>
      </c>
      <c r="S77" s="157" t="n">
        <f aca="false">-S76*0.2</f>
        <v>-104077.828</v>
      </c>
      <c r="T77" s="157" t="n">
        <f aca="false">-T76*0.2</f>
        <v>-102327.4216</v>
      </c>
      <c r="U77" s="157" t="n">
        <f aca="false">-U76*0.2</f>
        <v>-100577.0152</v>
      </c>
      <c r="V77" s="157" t="n">
        <f aca="false">-V76*0.2</f>
        <v>-98826.6087999999</v>
      </c>
      <c r="W77" s="157" t="n">
        <f aca="false">-W76*0.2</f>
        <v>-97076.2024</v>
      </c>
      <c r="X77" s="157" t="n">
        <f aca="false">-X76*0.2</f>
        <v>-0</v>
      </c>
    </row>
    <row r="78" customFormat="false" ht="15.75" hidden="false" customHeight="true" outlineLevel="0" collapsed="false">
      <c r="B78" s="178" t="s">
        <v>47</v>
      </c>
      <c r="D78" s="157" t="n">
        <f aca="false">SUM(D76:D77)</f>
        <v>718608.496</v>
      </c>
      <c r="E78" s="157" t="n">
        <f aca="false">SUM(E76:E77)</f>
        <v>479446.0704</v>
      </c>
      <c r="F78" s="157" t="n">
        <f aca="false">SUM(F76:F77)</f>
        <v>472444.4448</v>
      </c>
      <c r="G78" s="157" t="n">
        <f aca="false">SUM(G76:G77)</f>
        <v>465442.8192</v>
      </c>
      <c r="H78" s="157" t="n">
        <f aca="false">SUM(H76:H77)</f>
        <v>458441.1936</v>
      </c>
      <c r="I78" s="157" t="n">
        <f aca="false">SUM(I76:I77)</f>
        <v>451439.568</v>
      </c>
      <c r="J78" s="157" t="n">
        <f aca="false">SUM(J76:J77)</f>
        <v>444437.9424</v>
      </c>
      <c r="K78" s="157" t="n">
        <f aca="false">SUM(K76:K77)</f>
        <v>437436.3168</v>
      </c>
      <c r="L78" s="157" t="n">
        <f aca="false">SUM(L76:L77)</f>
        <v>430434.6912</v>
      </c>
      <c r="M78" s="157" t="n">
        <f aca="false">SUM(M76:M77)</f>
        <v>423433.0656</v>
      </c>
      <c r="N78" s="157" t="n">
        <f aca="false">SUM(N76:N77)</f>
        <v>451319.44</v>
      </c>
      <c r="O78" s="157" t="n">
        <f aca="false">SUM(O76:O77)</f>
        <v>444317.8144</v>
      </c>
      <c r="P78" s="157" t="n">
        <f aca="false">SUM(P76:P77)</f>
        <v>437316.1888</v>
      </c>
      <c r="Q78" s="157" t="n">
        <f aca="false">SUM(Q76:Q77)</f>
        <v>430314.5632</v>
      </c>
      <c r="R78" s="157" t="n">
        <f aca="false">SUM(R76:R77)</f>
        <v>423312.9376</v>
      </c>
      <c r="S78" s="157" t="n">
        <f aca="false">SUM(S76:S77)</f>
        <v>416311.312</v>
      </c>
      <c r="T78" s="157" t="n">
        <f aca="false">SUM(T76:T77)</f>
        <v>409309.6864</v>
      </c>
      <c r="U78" s="157" t="n">
        <f aca="false">SUM(U76:U77)</f>
        <v>402308.0608</v>
      </c>
      <c r="V78" s="157" t="n">
        <f aca="false">SUM(V76:V77)</f>
        <v>395306.4352</v>
      </c>
      <c r="W78" s="157" t="n">
        <f aca="false">SUM(W76:W77)</f>
        <v>388304.8096</v>
      </c>
      <c r="X78" s="157" t="n">
        <f aca="false">SUM(X76:X77)</f>
        <v>0</v>
      </c>
    </row>
    <row r="79" customFormat="false" ht="18.75" hidden="false" customHeight="true" outlineLevel="0" collapsed="false">
      <c r="B79" s="166" t="s">
        <v>41</v>
      </c>
      <c r="C79" s="16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80"/>
    </row>
    <row r="80" customFormat="false" ht="18.75" hidden="false" customHeight="true" outlineLevel="0" collapsed="false">
      <c r="B80" s="67" t="s">
        <v>42</v>
      </c>
      <c r="C80" s="68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2"/>
    </row>
    <row r="81" customFormat="false" ht="18.75" hidden="false" customHeight="true" outlineLevel="0" collapsed="false">
      <c r="B81" s="57"/>
      <c r="C81" s="56"/>
      <c r="D81" s="56"/>
      <c r="E81" s="56"/>
      <c r="F81" s="57"/>
      <c r="G81" s="57"/>
      <c r="H81" s="57"/>
      <c r="I81" s="57"/>
      <c r="J81" s="57"/>
      <c r="K81" s="57"/>
      <c r="L81" s="57"/>
      <c r="M81" s="56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30.93"/>
    <col collapsed="false" customWidth="true" hidden="false" outlineLevel="0" max="3" min="3" style="0" width="24.56"/>
    <col collapsed="false" customWidth="true" hidden="false" outlineLevel="0" max="4" min="4" style="0" width="33.66"/>
    <col collapsed="false" customWidth="true" hidden="false" outlineLevel="0" max="6" min="6" style="0" width="45.49"/>
    <col collapsed="false" customWidth="true" hidden="false" outlineLevel="0" max="7" min="7" style="0" width="33.66"/>
    <col collapsed="false" customWidth="true" hidden="false" outlineLevel="0" max="13" min="13" style="0" width="45.49"/>
    <col collapsed="false" customWidth="true" hidden="false" outlineLevel="0" max="14" min="14" style="0" width="33.66"/>
    <col collapsed="false" customWidth="true" hidden="false" outlineLevel="0" max="24" min="24" style="0" width="27.3"/>
    <col collapsed="false" customWidth="true" hidden="false" outlineLevel="0" max="25" min="25" style="0" width="9.1"/>
    <col collapsed="false" customWidth="true" hidden="false" outlineLevel="0" max="28" min="28" style="0" width="10.01"/>
    <col collapsed="false" customWidth="true" hidden="false" outlineLevel="0" max="36" min="36" style="0" width="7.28"/>
    <col collapsed="false" customWidth="true" hidden="false" outlineLevel="0" max="37" min="37" style="0" width="8.32"/>
  </cols>
  <sheetData>
    <row r="1" customFormat="false" ht="22.5" hidden="false" customHeight="true" outlineLevel="0" collapsed="false">
      <c r="B1" s="90" t="s">
        <v>63</v>
      </c>
      <c r="C1" s="91"/>
      <c r="D1" s="91"/>
      <c r="E1" s="92"/>
      <c r="F1" s="93" t="s">
        <v>64</v>
      </c>
      <c r="P1" s="94" t="n">
        <f aca="false">1-D11</f>
        <v>0.99</v>
      </c>
      <c r="Q1" s="94" t="n">
        <f aca="false">P1-$D12</f>
        <v>0.986</v>
      </c>
      <c r="R1" s="94" t="n">
        <f aca="false">Q1-$D12</f>
        <v>0.982</v>
      </c>
      <c r="S1" s="94" t="n">
        <f aca="false">R1-$D12</f>
        <v>0.978</v>
      </c>
      <c r="T1" s="94" t="n">
        <f aca="false">S1-$D12</f>
        <v>0.974</v>
      </c>
      <c r="U1" s="94" t="n">
        <f aca="false">T1-$D12</f>
        <v>0.97</v>
      </c>
      <c r="V1" s="94" t="n">
        <f aca="false">U1-$D12</f>
        <v>0.966</v>
      </c>
      <c r="W1" s="94" t="n">
        <f aca="false">V1-$D12</f>
        <v>0.962</v>
      </c>
      <c r="X1" s="94" t="n">
        <f aca="false">W1-$D12</f>
        <v>0.958</v>
      </c>
      <c r="Y1" s="94" t="n">
        <f aca="false">X1-$D12</f>
        <v>0.954</v>
      </c>
      <c r="Z1" s="94" t="n">
        <f aca="false">Y1-$D12</f>
        <v>0.95</v>
      </c>
      <c r="AA1" s="94" t="n">
        <f aca="false">Z1-$D12</f>
        <v>0.946</v>
      </c>
      <c r="AB1" s="94" t="n">
        <f aca="false">AA1-$D12</f>
        <v>0.942</v>
      </c>
      <c r="AC1" s="94" t="n">
        <f aca="false">AB1-$D12</f>
        <v>0.938</v>
      </c>
      <c r="AD1" s="94" t="n">
        <f aca="false">AC1-$D12</f>
        <v>0.934</v>
      </c>
      <c r="AE1" s="94" t="n">
        <f aca="false">AD1-$D12</f>
        <v>0.93</v>
      </c>
      <c r="AF1" s="94" t="n">
        <f aca="false">AE1-$D12</f>
        <v>0.926</v>
      </c>
      <c r="AG1" s="94" t="n">
        <f aca="false">AF1-$D12</f>
        <v>0.922</v>
      </c>
      <c r="AH1" s="94" t="n">
        <f aca="false">AG1-$D12</f>
        <v>0.918</v>
      </c>
      <c r="AI1" s="94" t="n">
        <f aca="false">AH1-$D12</f>
        <v>0.914</v>
      </c>
    </row>
    <row r="2" customFormat="false" ht="21.75" hidden="false" customHeight="true" outlineLevel="0" collapsed="false">
      <c r="B2" s="95" t="s">
        <v>65</v>
      </c>
      <c r="C2" s="96" t="s">
        <v>2</v>
      </c>
      <c r="D2" s="97" t="s">
        <v>26</v>
      </c>
      <c r="E2" s="98" t="s">
        <v>26</v>
      </c>
      <c r="F2" s="99" t="s">
        <v>66</v>
      </c>
    </row>
    <row r="3" customFormat="false" ht="21.75" hidden="false" customHeight="true" outlineLevel="0" collapsed="false">
      <c r="B3" s="100" t="s">
        <v>67</v>
      </c>
      <c r="C3" s="101" t="n">
        <v>20</v>
      </c>
      <c r="D3" s="102" t="s">
        <v>26</v>
      </c>
      <c r="E3" s="103" t="s">
        <v>26</v>
      </c>
      <c r="F3" s="104" t="s">
        <v>68</v>
      </c>
    </row>
    <row r="4" customFormat="false" ht="21.75" hidden="false" customHeight="true" outlineLevel="0" collapsed="false">
      <c r="B4" s="100" t="s">
        <v>69</v>
      </c>
      <c r="C4" s="101" t="n">
        <v>436.1</v>
      </c>
      <c r="D4" s="102" t="s">
        <v>26</v>
      </c>
      <c r="E4" s="103" t="s">
        <v>26</v>
      </c>
      <c r="F4" s="104" t="s">
        <v>70</v>
      </c>
      <c r="M4" s="105" t="s">
        <v>150</v>
      </c>
    </row>
    <row r="5" customFormat="false" ht="22.5" hidden="false" customHeight="true" outlineLevel="0" collapsed="false">
      <c r="B5" s="106" t="s">
        <v>72</v>
      </c>
      <c r="C5" s="101" t="n">
        <v>2020</v>
      </c>
      <c r="D5" s="106" t="s">
        <v>73</v>
      </c>
      <c r="E5" s="107" t="n">
        <v>2039</v>
      </c>
      <c r="F5" s="104" t="s">
        <v>74</v>
      </c>
      <c r="M5" s="105" t="s">
        <v>151</v>
      </c>
    </row>
    <row r="6" customFormat="false" ht="20.25" hidden="false" customHeight="true" outlineLevel="0" collapsed="false">
      <c r="B6" s="108"/>
      <c r="C6" s="108"/>
      <c r="D6" s="108"/>
      <c r="E6" s="108"/>
      <c r="M6" s="105" t="s">
        <v>152</v>
      </c>
    </row>
    <row r="7" customFormat="false" ht="22.5" hidden="false" customHeight="true" outlineLevel="0" collapsed="false">
      <c r="B7" s="90" t="s">
        <v>77</v>
      </c>
      <c r="C7" s="91"/>
      <c r="D7" s="91"/>
      <c r="E7" s="92"/>
      <c r="M7" s="105" t="s">
        <v>153</v>
      </c>
    </row>
    <row r="8" customFormat="false" ht="22.5" hidden="false" customHeight="true" outlineLevel="0" collapsed="false">
      <c r="B8" s="109" t="s">
        <v>79</v>
      </c>
      <c r="E8" s="110"/>
      <c r="M8" s="105" t="s">
        <v>154</v>
      </c>
    </row>
    <row r="9" customFormat="false" ht="22.5" hidden="false" customHeight="true" outlineLevel="0" collapsed="false">
      <c r="B9" s="111" t="s">
        <v>81</v>
      </c>
      <c r="C9" s="112" t="s">
        <v>82</v>
      </c>
      <c r="D9" s="112" t="s">
        <v>83</v>
      </c>
      <c r="E9" s="113" t="s">
        <v>84</v>
      </c>
      <c r="F9" s="93" t="s">
        <v>64</v>
      </c>
      <c r="M9" s="105" t="s">
        <v>85</v>
      </c>
    </row>
    <row r="10" customFormat="false" ht="30" hidden="false" customHeight="true" outlineLevel="0" collapsed="false">
      <c r="B10" s="114" t="s">
        <v>86</v>
      </c>
      <c r="C10" s="115" t="s">
        <v>87</v>
      </c>
      <c r="D10" s="116" t="n">
        <v>547002</v>
      </c>
      <c r="E10" s="117" t="n">
        <v>20</v>
      </c>
      <c r="F10" s="104" t="s">
        <v>88</v>
      </c>
      <c r="M10" s="105" t="s">
        <v>155</v>
      </c>
    </row>
    <row r="11" customFormat="false" ht="30" hidden="false" customHeight="true" outlineLevel="0" collapsed="false">
      <c r="B11" s="118"/>
      <c r="C11" s="106" t="s">
        <v>90</v>
      </c>
      <c r="D11" s="119" t="n">
        <v>0.01</v>
      </c>
      <c r="E11" s="120"/>
      <c r="F11" s="104" t="s">
        <v>91</v>
      </c>
    </row>
    <row r="12" customFormat="false" ht="30" hidden="false" customHeight="true" outlineLevel="0" collapsed="false">
      <c r="B12" s="118"/>
      <c r="C12" s="106" t="s">
        <v>92</v>
      </c>
      <c r="D12" s="121" t="n">
        <v>0.004</v>
      </c>
      <c r="E12" s="120"/>
      <c r="F12" s="104" t="s">
        <v>93</v>
      </c>
    </row>
    <row r="13" customFormat="false" ht="22.5" hidden="false" customHeight="true" outlineLevel="0" collapsed="false">
      <c r="B13" s="118"/>
      <c r="C13" s="122" t="s">
        <v>94</v>
      </c>
      <c r="D13" s="123" t="n">
        <v>4</v>
      </c>
      <c r="E13" s="120"/>
      <c r="F13" s="104" t="s">
        <v>95</v>
      </c>
    </row>
    <row r="14" customFormat="false" ht="22.5" hidden="false" customHeight="true" outlineLevel="0" collapsed="false">
      <c r="B14" s="124" t="s">
        <v>96</v>
      </c>
      <c r="C14" s="91"/>
      <c r="D14" s="91"/>
      <c r="E14" s="92"/>
    </row>
    <row r="15" customFormat="false" ht="22.5" hidden="false" customHeight="true" outlineLevel="0" collapsed="false">
      <c r="B15" s="111" t="s">
        <v>81</v>
      </c>
      <c r="C15" s="112" t="s">
        <v>82</v>
      </c>
      <c r="D15" s="112" t="s">
        <v>83</v>
      </c>
      <c r="E15" s="113" t="s">
        <v>97</v>
      </c>
      <c r="F15" s="93" t="s">
        <v>64</v>
      </c>
    </row>
    <row r="16" customFormat="false" ht="21.75" hidden="false" customHeight="true" outlineLevel="0" collapsed="false">
      <c r="B16" s="115" t="s">
        <v>98</v>
      </c>
      <c r="C16" s="115" t="s">
        <v>99</v>
      </c>
      <c r="D16" s="125" t="n">
        <v>29000</v>
      </c>
      <c r="E16" s="98" t="n">
        <v>20</v>
      </c>
      <c r="F16" s="104" t="s">
        <v>100</v>
      </c>
    </row>
    <row r="17" customFormat="false" ht="21.75" hidden="false" customHeight="true" outlineLevel="0" collapsed="false">
      <c r="B17" s="118"/>
      <c r="C17" s="106" t="s">
        <v>101</v>
      </c>
      <c r="D17" s="126" t="n">
        <v>0.3</v>
      </c>
      <c r="E17" s="120"/>
      <c r="F17" s="104" t="s">
        <v>102</v>
      </c>
    </row>
    <row r="18" customFormat="false" ht="21.75" hidden="false" customHeight="true" outlineLevel="0" collapsed="false">
      <c r="B18" s="127"/>
      <c r="C18" s="106" t="s">
        <v>103</v>
      </c>
      <c r="D18" s="128" t="n">
        <v>2000</v>
      </c>
      <c r="E18" s="129"/>
      <c r="F18" s="104" t="s">
        <v>104</v>
      </c>
    </row>
    <row r="19" customFormat="false" ht="54" hidden="false" customHeight="true" outlineLevel="0" collapsed="false">
      <c r="B19" s="106" t="s">
        <v>105</v>
      </c>
      <c r="C19" s="130" t="s">
        <v>106</v>
      </c>
      <c r="D19" s="126" t="n">
        <v>1</v>
      </c>
      <c r="E19" s="98" t="n">
        <v>20</v>
      </c>
      <c r="F19" s="104" t="s">
        <v>107</v>
      </c>
    </row>
    <row r="20" customFormat="false" ht="20.25" hidden="false" customHeight="true" outlineLevel="0" collapsed="false">
      <c r="B20" s="118"/>
      <c r="C20" s="131" t="s">
        <v>108</v>
      </c>
      <c r="D20" s="128" t="n">
        <v>290201</v>
      </c>
      <c r="E20" s="98" t="n">
        <v>20</v>
      </c>
      <c r="F20" s="104" t="s">
        <v>109</v>
      </c>
    </row>
    <row r="21" customFormat="false" ht="30" hidden="false" customHeight="true" outlineLevel="0" collapsed="false">
      <c r="B21" s="127"/>
      <c r="C21" s="106" t="s">
        <v>110</v>
      </c>
      <c r="D21" s="126" t="n">
        <v>0</v>
      </c>
      <c r="E21" s="103" t="n">
        <v>20</v>
      </c>
      <c r="F21" s="104" t="s">
        <v>111</v>
      </c>
    </row>
    <row r="22" customFormat="false" ht="30" hidden="false" customHeight="true" outlineLevel="0" collapsed="false">
      <c r="B22" s="106" t="s">
        <v>112</v>
      </c>
      <c r="C22" s="106" t="s">
        <v>113</v>
      </c>
      <c r="D22" s="132" t="n">
        <v>400</v>
      </c>
      <c r="E22" s="103" t="n">
        <v>20</v>
      </c>
      <c r="F22" s="104" t="s">
        <v>114</v>
      </c>
    </row>
    <row r="23" customFormat="false" ht="30" hidden="false" customHeight="true" outlineLevel="0" collapsed="false">
      <c r="B23" s="106" t="s">
        <v>115</v>
      </c>
      <c r="C23" s="106" t="s">
        <v>116</v>
      </c>
      <c r="D23" s="126" t="n">
        <v>0.003</v>
      </c>
      <c r="E23" s="103" t="n">
        <v>20</v>
      </c>
      <c r="F23" s="104" t="s">
        <v>117</v>
      </c>
    </row>
    <row r="24" customFormat="false" ht="30" hidden="false" customHeight="true" outlineLevel="0" collapsed="false">
      <c r="B24" s="106" t="s">
        <v>118</v>
      </c>
      <c r="C24" s="106" t="s">
        <v>119</v>
      </c>
      <c r="D24" s="132" t="n">
        <v>1000</v>
      </c>
      <c r="E24" s="133" t="n">
        <v>10</v>
      </c>
      <c r="F24" s="104" t="s">
        <v>120</v>
      </c>
    </row>
    <row r="25" customFormat="false" ht="30" hidden="false" customHeight="true" outlineLevel="0" collapsed="false">
      <c r="B25" s="106" t="s">
        <v>121</v>
      </c>
      <c r="C25" s="106" t="s">
        <v>122</v>
      </c>
      <c r="D25" s="134" t="n">
        <v>0.0256</v>
      </c>
      <c r="E25" s="103" t="n">
        <v>20</v>
      </c>
      <c r="F25" s="104" t="s">
        <v>123</v>
      </c>
    </row>
    <row r="26" customFormat="false" ht="30" hidden="false" customHeight="true" outlineLevel="0" collapsed="false">
      <c r="B26" s="106" t="s">
        <v>14</v>
      </c>
      <c r="C26" s="106" t="s">
        <v>124</v>
      </c>
      <c r="D26" s="126" t="n">
        <v>0.2</v>
      </c>
      <c r="E26" s="103" t="n">
        <v>20</v>
      </c>
      <c r="F26" s="104" t="s">
        <v>125</v>
      </c>
    </row>
    <row r="27" customFormat="false" ht="20.25" hidden="false" customHeight="true" outlineLevel="0" collapsed="false">
      <c r="B27" s="108"/>
      <c r="C27" s="108"/>
      <c r="D27" s="108"/>
      <c r="E27" s="108"/>
    </row>
    <row r="28" customFormat="false" ht="20.25" hidden="false" customHeight="true" outlineLevel="0" collapsed="false">
      <c r="B28" s="108"/>
      <c r="C28" s="108"/>
      <c r="D28" s="108"/>
      <c r="E28" s="108"/>
    </row>
    <row r="29" customFormat="false" ht="22.5" hidden="false" customHeight="true" outlineLevel="0" collapsed="false">
      <c r="B29" s="90" t="s">
        <v>126</v>
      </c>
      <c r="C29" s="91"/>
      <c r="D29" s="92"/>
      <c r="E29" s="108"/>
    </row>
    <row r="30" customFormat="false" ht="22.5" hidden="false" customHeight="true" outlineLevel="0" collapsed="false">
      <c r="B30" s="111" t="s">
        <v>127</v>
      </c>
      <c r="C30" s="135" t="s">
        <v>82</v>
      </c>
      <c r="D30" s="136" t="s">
        <v>83</v>
      </c>
      <c r="E30" s="108"/>
      <c r="F30" s="93" t="s">
        <v>64</v>
      </c>
    </row>
    <row r="31" customFormat="false" ht="30" hidden="false" customHeight="true" outlineLevel="0" collapsed="false">
      <c r="B31" s="115" t="s">
        <v>128</v>
      </c>
      <c r="C31" s="95" t="s">
        <v>129</v>
      </c>
      <c r="D31" s="137" t="n">
        <v>0.8</v>
      </c>
      <c r="E31" s="108"/>
      <c r="F31" s="104" t="s">
        <v>130</v>
      </c>
    </row>
    <row r="32" customFormat="false" ht="18.75" hidden="false" customHeight="true" outlineLevel="0" collapsed="false">
      <c r="B32" s="115" t="s">
        <v>131</v>
      </c>
      <c r="C32" s="95" t="s">
        <v>132</v>
      </c>
      <c r="D32" s="137" t="n">
        <v>15</v>
      </c>
      <c r="E32" s="108"/>
      <c r="F32" s="104" t="s">
        <v>133</v>
      </c>
    </row>
    <row r="33" customFormat="false" ht="18.75" hidden="false" customHeight="true" outlineLevel="0" collapsed="false">
      <c r="B33" s="106" t="s">
        <v>53</v>
      </c>
      <c r="C33" s="100" t="s">
        <v>134</v>
      </c>
      <c r="D33" s="126" t="n">
        <v>0.9</v>
      </c>
      <c r="E33" s="108"/>
      <c r="F33" s="104" t="s">
        <v>135</v>
      </c>
    </row>
    <row r="34" customFormat="false" ht="30" hidden="false" customHeight="true" outlineLevel="0" collapsed="false">
      <c r="B34" s="106" t="s">
        <v>54</v>
      </c>
      <c r="C34" s="100" t="s">
        <v>132</v>
      </c>
      <c r="D34" s="126" t="n">
        <v>4</v>
      </c>
      <c r="E34" s="108"/>
      <c r="F34" s="104" t="s">
        <v>136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15"/>
      <c r="C37" s="16" t="s">
        <v>0</v>
      </c>
      <c r="D37" s="16" t="n">
        <v>2020</v>
      </c>
      <c r="E37" s="16" t="n">
        <v>2021</v>
      </c>
      <c r="F37" s="16" t="n">
        <v>2022</v>
      </c>
      <c r="G37" s="16" t="n">
        <v>2023</v>
      </c>
      <c r="H37" s="16" t="n">
        <v>2024</v>
      </c>
      <c r="I37" s="16" t="n">
        <v>2025</v>
      </c>
      <c r="J37" s="16" t="n">
        <v>2026</v>
      </c>
      <c r="K37" s="16" t="n">
        <v>2027</v>
      </c>
      <c r="L37" s="16" t="n">
        <v>2028</v>
      </c>
      <c r="M37" s="16" t="n">
        <v>2029</v>
      </c>
      <c r="N37" s="16" t="n">
        <v>2030</v>
      </c>
      <c r="O37" s="16" t="n">
        <v>2031</v>
      </c>
      <c r="P37" s="16" t="n">
        <v>2032</v>
      </c>
      <c r="Q37" s="16" t="n">
        <v>2033</v>
      </c>
      <c r="R37" s="16" t="n">
        <v>2034</v>
      </c>
      <c r="S37" s="16" t="n">
        <v>2035</v>
      </c>
      <c r="T37" s="16" t="n">
        <v>2036</v>
      </c>
      <c r="U37" s="16" t="n">
        <v>2037</v>
      </c>
      <c r="V37" s="16" t="n">
        <v>2038</v>
      </c>
      <c r="W37" s="16" t="n">
        <v>2039</v>
      </c>
      <c r="X37" s="16"/>
    </row>
    <row r="38" customFormat="false" ht="18.75" hidden="false" customHeight="true" outlineLevel="0" collapsed="false">
      <c r="B38" s="17" t="n">
        <v>0</v>
      </c>
      <c r="C38" s="18"/>
      <c r="D38" s="19"/>
      <c r="E38" s="19"/>
      <c r="F38" s="20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2"/>
      <c r="U38" s="21"/>
      <c r="V38" s="21"/>
      <c r="W38" s="21"/>
      <c r="X38" s="138"/>
    </row>
    <row r="39" customFormat="false" ht="18.75" hidden="false" customHeight="true" outlineLevel="0" collapsed="false">
      <c r="B39" s="23" t="s">
        <v>23</v>
      </c>
      <c r="C39" s="24" t="n">
        <v>0</v>
      </c>
      <c r="D39" s="25" t="n">
        <v>1</v>
      </c>
      <c r="E39" s="25" t="n">
        <v>2</v>
      </c>
      <c r="F39" s="25" t="n">
        <v>3</v>
      </c>
      <c r="G39" s="25" t="n">
        <v>4</v>
      </c>
      <c r="H39" s="25" t="n">
        <v>5</v>
      </c>
      <c r="I39" s="25" t="n">
        <v>6</v>
      </c>
      <c r="J39" s="25" t="n">
        <v>7</v>
      </c>
      <c r="K39" s="25" t="n">
        <v>8</v>
      </c>
      <c r="L39" s="25" t="n">
        <v>9</v>
      </c>
      <c r="M39" s="25" t="n">
        <v>10</v>
      </c>
      <c r="N39" s="25" t="n">
        <v>11</v>
      </c>
      <c r="O39" s="25" t="n">
        <v>12</v>
      </c>
      <c r="P39" s="25" t="n">
        <v>13</v>
      </c>
      <c r="Q39" s="25" t="n">
        <v>14</v>
      </c>
      <c r="R39" s="25" t="n">
        <v>15</v>
      </c>
      <c r="S39" s="25" t="n">
        <v>16</v>
      </c>
      <c r="T39" s="26" t="n">
        <v>17</v>
      </c>
      <c r="U39" s="25" t="n">
        <v>18</v>
      </c>
      <c r="V39" s="25" t="n">
        <v>19</v>
      </c>
      <c r="W39" s="25" t="n">
        <v>20</v>
      </c>
      <c r="X39" s="139"/>
    </row>
    <row r="40" customFormat="false" ht="18.75" hidden="false" customHeight="true" outlineLevel="0" collapsed="false">
      <c r="B40" s="140" t="s">
        <v>137</v>
      </c>
      <c r="C40" s="28" t="n">
        <v>0</v>
      </c>
      <c r="D40" s="29" t="n">
        <f aca="false">$D$10*P1</f>
        <v>541531.98</v>
      </c>
      <c r="E40" s="29" t="n">
        <f aca="false">$D$10*Q1</f>
        <v>539343.972</v>
      </c>
      <c r="F40" s="29" t="n">
        <f aca="false">$D$10*R1</f>
        <v>537155.964</v>
      </c>
      <c r="G40" s="29" t="n">
        <f aca="false">$D$10*S1</f>
        <v>534967.956</v>
      </c>
      <c r="H40" s="29" t="n">
        <f aca="false">$D$10*T1</f>
        <v>532779.948</v>
      </c>
      <c r="I40" s="29" t="n">
        <f aca="false">$D$10*U1</f>
        <v>530591.94</v>
      </c>
      <c r="J40" s="29" t="n">
        <f aca="false">$D$10*V1</f>
        <v>528403.932</v>
      </c>
      <c r="K40" s="29" t="n">
        <f aca="false">$D$10*W1</f>
        <v>526215.924</v>
      </c>
      <c r="L40" s="29" t="n">
        <f aca="false">$D$10*X1</f>
        <v>524027.916</v>
      </c>
      <c r="M40" s="29" t="n">
        <f aca="false">$D$10*Y1</f>
        <v>521839.908</v>
      </c>
      <c r="N40" s="29" t="n">
        <f aca="false">$D$10*Z1</f>
        <v>519651.9</v>
      </c>
      <c r="O40" s="29" t="n">
        <f aca="false">$D$10*AA1</f>
        <v>517463.892</v>
      </c>
      <c r="P40" s="29" t="n">
        <f aca="false">$D$10*AB1</f>
        <v>515275.884</v>
      </c>
      <c r="Q40" s="29" t="n">
        <f aca="false">$D$10*AC1</f>
        <v>513087.876</v>
      </c>
      <c r="R40" s="29" t="n">
        <f aca="false">$D$10*AD1</f>
        <v>510899.868</v>
      </c>
      <c r="S40" s="29" t="n">
        <f aca="false">$D$10*AE1</f>
        <v>508711.86</v>
      </c>
      <c r="T40" s="29" t="n">
        <f aca="false">$D$10*AF1</f>
        <v>506523.852</v>
      </c>
      <c r="U40" s="29" t="n">
        <f aca="false">$D$10*AG1</f>
        <v>504335.844</v>
      </c>
      <c r="V40" s="29" t="n">
        <f aca="false">$D$10*AH1</f>
        <v>502147.836</v>
      </c>
      <c r="W40" s="29" t="n">
        <f aca="false">$D$10*AI1</f>
        <v>499959.828</v>
      </c>
      <c r="X40" s="141"/>
    </row>
    <row r="41" customFormat="false" ht="18.75" hidden="false" customHeight="true" outlineLevel="0" collapsed="false">
      <c r="B41" s="142" t="s">
        <v>25</v>
      </c>
      <c r="C41" s="143" t="s">
        <v>26</v>
      </c>
      <c r="D41" s="144" t="n">
        <f aca="false">D40*$D$13</f>
        <v>2166127.92</v>
      </c>
      <c r="E41" s="144" t="n">
        <f aca="false">E40*$D$13</f>
        <v>2157375.888</v>
      </c>
      <c r="F41" s="144" t="n">
        <f aca="false">F40*$D$13</f>
        <v>2148623.856</v>
      </c>
      <c r="G41" s="144" t="n">
        <f aca="false">G40*$D$13</f>
        <v>2139871.824</v>
      </c>
      <c r="H41" s="144" t="n">
        <f aca="false">H40*$D$13</f>
        <v>2131119.792</v>
      </c>
      <c r="I41" s="144" t="n">
        <f aca="false">I40*$D$13</f>
        <v>2122367.76</v>
      </c>
      <c r="J41" s="144" t="n">
        <f aca="false">J40*$D$13</f>
        <v>2113615.728</v>
      </c>
      <c r="K41" s="144" t="n">
        <f aca="false">K40*$D$13</f>
        <v>2104863.696</v>
      </c>
      <c r="L41" s="144" t="n">
        <f aca="false">L40*$D$13</f>
        <v>2096111.664</v>
      </c>
      <c r="M41" s="144" t="n">
        <f aca="false">M40*$D$13</f>
        <v>2087359.632</v>
      </c>
      <c r="N41" s="144" t="n">
        <f aca="false">N40*$D$13</f>
        <v>2078607.6</v>
      </c>
      <c r="O41" s="144" t="n">
        <f aca="false">O40*$D$13</f>
        <v>2069855.568</v>
      </c>
      <c r="P41" s="144" t="n">
        <f aca="false">P40*$D$13</f>
        <v>2061103.536</v>
      </c>
      <c r="Q41" s="144" t="n">
        <f aca="false">Q40*$D$13</f>
        <v>2052351.504</v>
      </c>
      <c r="R41" s="144" t="n">
        <f aca="false">R40*$D$13</f>
        <v>2043599.472</v>
      </c>
      <c r="S41" s="144" t="n">
        <f aca="false">S40*$D$13</f>
        <v>2034847.44</v>
      </c>
      <c r="T41" s="144" t="n">
        <f aca="false">T40*$D$13</f>
        <v>2026095.408</v>
      </c>
      <c r="U41" s="144" t="n">
        <f aca="false">U40*$D$13</f>
        <v>2017343.376</v>
      </c>
      <c r="V41" s="144" t="n">
        <f aca="false">V40*$D$13</f>
        <v>2008591.344</v>
      </c>
      <c r="W41" s="144" t="n">
        <f aca="false">W40*$D$13</f>
        <v>1999839.312</v>
      </c>
      <c r="X41" s="145"/>
    </row>
    <row r="42" customFormat="false" ht="18.75" hidden="false" customHeight="true" outlineLevel="0" collapsed="false">
      <c r="B42" s="146" t="s">
        <v>27</v>
      </c>
      <c r="C42" s="147" t="s">
        <v>26</v>
      </c>
      <c r="D42" s="148"/>
      <c r="E42" s="148"/>
      <c r="F42" s="148"/>
      <c r="G42" s="149" t="s">
        <v>26</v>
      </c>
      <c r="H42" s="149" t="s">
        <v>26</v>
      </c>
      <c r="I42" s="149" t="s">
        <v>26</v>
      </c>
      <c r="J42" s="149" t="s">
        <v>26</v>
      </c>
      <c r="K42" s="149" t="s">
        <v>26</v>
      </c>
      <c r="L42" s="149" t="s">
        <v>26</v>
      </c>
      <c r="M42" s="149" t="s">
        <v>26</v>
      </c>
      <c r="N42" s="149" t="s">
        <v>26</v>
      </c>
      <c r="O42" s="149" t="s">
        <v>26</v>
      </c>
      <c r="P42" s="149" t="s">
        <v>26</v>
      </c>
      <c r="Q42" s="149" t="s">
        <v>26</v>
      </c>
      <c r="R42" s="149" t="s">
        <v>26</v>
      </c>
      <c r="S42" s="149" t="s">
        <v>26</v>
      </c>
      <c r="T42" s="149" t="s">
        <v>26</v>
      </c>
      <c r="U42" s="149" t="s">
        <v>26</v>
      </c>
      <c r="V42" s="149" t="s">
        <v>26</v>
      </c>
      <c r="W42" s="149" t="s">
        <v>26</v>
      </c>
      <c r="X42" s="150"/>
    </row>
    <row r="43" customFormat="false" ht="18.75" hidden="false" customHeight="true" outlineLevel="0" collapsed="false">
      <c r="B43" s="151" t="s">
        <v>28</v>
      </c>
      <c r="C43" s="152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4"/>
    </row>
    <row r="44" customFormat="false" ht="18.75" hidden="false" customHeight="true" outlineLevel="0" collapsed="false">
      <c r="B44" s="155" t="s">
        <v>29</v>
      </c>
      <c r="C44" s="156" t="n">
        <f aca="false">-(D16/(1-D17)+D18)*C4</f>
        <v>-18939200</v>
      </c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</row>
    <row r="45" customFormat="false" ht="18.75" hidden="false" customHeight="true" outlineLevel="0" collapsed="false">
      <c r="B45" s="155" t="s">
        <v>30</v>
      </c>
      <c r="C45" s="147" t="s">
        <v>26</v>
      </c>
      <c r="D45" s="105" t="n">
        <v>-290201</v>
      </c>
      <c r="E45" s="157" t="n">
        <v>-290201</v>
      </c>
      <c r="F45" s="157" t="n">
        <v>-290201</v>
      </c>
      <c r="G45" s="157" t="n">
        <v>-290201</v>
      </c>
      <c r="H45" s="157" t="n">
        <v>-290201</v>
      </c>
      <c r="I45" s="157" t="n">
        <v>-290201</v>
      </c>
      <c r="J45" s="157" t="n">
        <v>-290201</v>
      </c>
      <c r="K45" s="157" t="n">
        <v>-290201</v>
      </c>
      <c r="L45" s="157" t="n">
        <v>-290201</v>
      </c>
      <c r="M45" s="157" t="n">
        <v>-290201</v>
      </c>
      <c r="N45" s="157" t="n">
        <v>-290201</v>
      </c>
      <c r="O45" s="157" t="n">
        <v>-290201</v>
      </c>
      <c r="P45" s="157" t="n">
        <v>-290201</v>
      </c>
      <c r="Q45" s="157" t="n">
        <v>-290201</v>
      </c>
      <c r="R45" s="157" t="n">
        <v>-290201</v>
      </c>
      <c r="S45" s="157" t="n">
        <v>-290201</v>
      </c>
      <c r="T45" s="157" t="n">
        <v>-290201</v>
      </c>
      <c r="U45" s="157" t="n">
        <v>-290201</v>
      </c>
      <c r="V45" s="157" t="n">
        <v>-290201</v>
      </c>
      <c r="W45" s="157" t="n">
        <v>-290201</v>
      </c>
      <c r="X45" s="157"/>
    </row>
    <row r="46" customFormat="false" ht="18.75" hidden="false" customHeight="true" outlineLevel="0" collapsed="false">
      <c r="B46" s="155" t="s">
        <v>31</v>
      </c>
      <c r="C46" s="14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</row>
    <row r="47" customFormat="false" ht="18.75" hidden="false" customHeight="true" outlineLevel="0" collapsed="false">
      <c r="B47" s="155" t="s">
        <v>32</v>
      </c>
      <c r="C47" s="147" t="s">
        <v>26</v>
      </c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</row>
    <row r="48" customFormat="false" ht="18.75" hidden="false" customHeight="true" outlineLevel="0" collapsed="false">
      <c r="B48" s="155" t="s">
        <v>33</v>
      </c>
      <c r="C48" s="147" t="s">
        <v>26</v>
      </c>
      <c r="D48" s="157" t="n">
        <v>-174440</v>
      </c>
      <c r="E48" s="157" t="n">
        <v>-174440</v>
      </c>
      <c r="F48" s="157" t="n">
        <v>-174440</v>
      </c>
      <c r="G48" s="157" t="n">
        <v>-174440</v>
      </c>
      <c r="H48" s="157" t="n">
        <v>-174440</v>
      </c>
      <c r="I48" s="157" t="n">
        <v>-174440</v>
      </c>
      <c r="J48" s="157" t="n">
        <v>-174440</v>
      </c>
      <c r="K48" s="157" t="n">
        <v>-174440</v>
      </c>
      <c r="L48" s="157" t="n">
        <v>-174440</v>
      </c>
      <c r="M48" s="157" t="n">
        <v>-174440</v>
      </c>
      <c r="N48" s="157" t="n">
        <v>-174440</v>
      </c>
      <c r="O48" s="157" t="n">
        <v>-174440</v>
      </c>
      <c r="P48" s="157" t="n">
        <v>-174440</v>
      </c>
      <c r="Q48" s="157" t="n">
        <v>-174440</v>
      </c>
      <c r="R48" s="157" t="n">
        <v>-174440</v>
      </c>
      <c r="S48" s="157" t="n">
        <v>-174440</v>
      </c>
      <c r="T48" s="157" t="n">
        <v>-174440</v>
      </c>
      <c r="U48" s="157" t="n">
        <v>-174440</v>
      </c>
      <c r="V48" s="157" t="n">
        <v>-174440</v>
      </c>
      <c r="W48" s="157" t="n">
        <v>-174440</v>
      </c>
      <c r="X48" s="157"/>
    </row>
    <row r="49" customFormat="false" ht="18.75" hidden="false" customHeight="true" outlineLevel="0" collapsed="false">
      <c r="B49" s="155" t="s">
        <v>34</v>
      </c>
      <c r="C49" s="147" t="s">
        <v>26</v>
      </c>
      <c r="D49" s="157" t="n">
        <v>-37940.7</v>
      </c>
      <c r="E49" s="157" t="n">
        <v>-37940.7</v>
      </c>
      <c r="F49" s="157" t="n">
        <v>-37940.7</v>
      </c>
      <c r="G49" s="157" t="n">
        <v>-37940.7</v>
      </c>
      <c r="H49" s="157" t="n">
        <v>-37940.7</v>
      </c>
      <c r="I49" s="157" t="n">
        <v>-37940.7</v>
      </c>
      <c r="J49" s="157" t="n">
        <v>-37940.7</v>
      </c>
      <c r="K49" s="157" t="n">
        <v>-37940.7</v>
      </c>
      <c r="L49" s="157" t="n">
        <v>-37940.7</v>
      </c>
      <c r="M49" s="157" t="n">
        <v>-37940.7</v>
      </c>
      <c r="N49" s="157" t="n">
        <v>-37940.7</v>
      </c>
      <c r="O49" s="157" t="n">
        <v>-37940.7</v>
      </c>
      <c r="P49" s="157" t="n">
        <v>-37940.7</v>
      </c>
      <c r="Q49" s="157" t="n">
        <v>-37940.7</v>
      </c>
      <c r="R49" s="157" t="n">
        <v>-37940.7</v>
      </c>
      <c r="S49" s="157" t="n">
        <v>-37940.7</v>
      </c>
      <c r="T49" s="157" t="n">
        <v>-37940.7</v>
      </c>
      <c r="U49" s="157" t="n">
        <v>-37940.7</v>
      </c>
      <c r="V49" s="157" t="n">
        <v>-37940.7</v>
      </c>
      <c r="W49" s="157" t="n">
        <v>-37940.7</v>
      </c>
      <c r="X49" s="157"/>
    </row>
    <row r="50" customFormat="false" ht="18.75" hidden="false" customHeight="true" outlineLevel="0" collapsed="false">
      <c r="B50" s="155" t="s">
        <v>35</v>
      </c>
      <c r="C50" s="147"/>
      <c r="D50" s="157" t="n">
        <v>-43610</v>
      </c>
      <c r="E50" s="157" t="n">
        <v>-43610</v>
      </c>
      <c r="F50" s="157" t="n">
        <v>-43610</v>
      </c>
      <c r="G50" s="157" t="n">
        <v>-43610</v>
      </c>
      <c r="H50" s="157" t="n">
        <v>-43610</v>
      </c>
      <c r="I50" s="157" t="n">
        <v>-43610</v>
      </c>
      <c r="J50" s="157" t="n">
        <v>-43610</v>
      </c>
      <c r="K50" s="157" t="n">
        <v>-43610</v>
      </c>
      <c r="L50" s="157" t="n">
        <v>-43610</v>
      </c>
      <c r="M50" s="157" t="n">
        <v>-43610</v>
      </c>
      <c r="N50" s="157" t="n">
        <v>0</v>
      </c>
      <c r="O50" s="157" t="n">
        <v>0</v>
      </c>
      <c r="P50" s="157" t="n">
        <v>0</v>
      </c>
      <c r="Q50" s="157" t="n">
        <v>0</v>
      </c>
      <c r="R50" s="157" t="n">
        <v>0</v>
      </c>
      <c r="S50" s="157" t="n">
        <v>0</v>
      </c>
      <c r="T50" s="157" t="n">
        <v>0</v>
      </c>
      <c r="U50" s="157" t="n">
        <v>0</v>
      </c>
      <c r="V50" s="157" t="n">
        <v>0</v>
      </c>
      <c r="W50" s="157" t="n">
        <v>0</v>
      </c>
      <c r="X50" s="157"/>
    </row>
    <row r="51" customFormat="false" ht="18.75" hidden="false" customHeight="true" outlineLevel="0" collapsed="false">
      <c r="B51" s="155" t="s">
        <v>36</v>
      </c>
      <c r="C51" s="158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</row>
    <row r="52" customFormat="false" ht="18.75" hidden="false" customHeight="true" outlineLevel="0" collapsed="false">
      <c r="B52" s="155" t="s">
        <v>37</v>
      </c>
      <c r="C52" s="158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</row>
    <row r="53" customFormat="false" ht="18.75" hidden="false" customHeight="true" outlineLevel="0" collapsed="false">
      <c r="B53" s="159" t="s">
        <v>38</v>
      </c>
      <c r="C53" s="158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</row>
    <row r="54" customFormat="false" ht="18.75" hidden="false" customHeight="true" outlineLevel="0" collapsed="false">
      <c r="B54" s="159" t="s">
        <v>39</v>
      </c>
      <c r="C54" s="158"/>
      <c r="D54" s="157" t="n">
        <f aca="false">D77</f>
        <v>-192635.444</v>
      </c>
      <c r="E54" s="157" t="n">
        <f aca="false">E77</f>
        <v>-132844.8376</v>
      </c>
      <c r="F54" s="157" t="n">
        <f aca="false">F77</f>
        <v>-131094.4312</v>
      </c>
      <c r="G54" s="157" t="n">
        <f aca="false">G77</f>
        <v>-129344.0248</v>
      </c>
      <c r="H54" s="157" t="n">
        <f aca="false">H77</f>
        <v>-127593.6184</v>
      </c>
      <c r="I54" s="157" t="n">
        <f aca="false">I77</f>
        <v>-125843.212</v>
      </c>
      <c r="J54" s="157" t="n">
        <f aca="false">J77</f>
        <v>-124092.8056</v>
      </c>
      <c r="K54" s="157" t="n">
        <f aca="false">K77</f>
        <v>-122342.3992</v>
      </c>
      <c r="L54" s="157" t="n">
        <f aca="false">L77</f>
        <v>-120591.9928</v>
      </c>
      <c r="M54" s="157" t="n">
        <f aca="false">M77</f>
        <v>-118841.5864</v>
      </c>
      <c r="N54" s="157" t="n">
        <f aca="false">N77</f>
        <v>-125813.18</v>
      </c>
      <c r="O54" s="157" t="n">
        <f aca="false">O77</f>
        <v>-124062.7736</v>
      </c>
      <c r="P54" s="157" t="n">
        <f aca="false">P77</f>
        <v>-122312.3672</v>
      </c>
      <c r="Q54" s="157" t="n">
        <f aca="false">Q77</f>
        <v>-120561.9608</v>
      </c>
      <c r="R54" s="157" t="n">
        <f aca="false">R77</f>
        <v>-118811.5544</v>
      </c>
      <c r="S54" s="157" t="n">
        <f aca="false">S77</f>
        <v>-117061.148</v>
      </c>
      <c r="T54" s="157" t="n">
        <f aca="false">T77</f>
        <v>-115310.7416</v>
      </c>
      <c r="U54" s="157" t="n">
        <f aca="false">U77</f>
        <v>-113560.3352</v>
      </c>
      <c r="V54" s="157" t="n">
        <f aca="false">V77</f>
        <v>-111809.9288</v>
      </c>
      <c r="W54" s="157" t="n">
        <f aca="false">W77</f>
        <v>-110059.5224</v>
      </c>
      <c r="X54" s="148"/>
    </row>
    <row r="55" customFormat="false" ht="18.75" hidden="false" customHeight="true" outlineLevel="0" collapsed="false">
      <c r="B55" s="160" t="s">
        <v>40</v>
      </c>
      <c r="C55" s="161" t="n">
        <f aca="false">C44</f>
        <v>-18939200</v>
      </c>
      <c r="D55" s="162" t="n">
        <f aca="false">SUM(D41:D54)</f>
        <v>1427300.776</v>
      </c>
      <c r="E55" s="162" t="n">
        <f aca="false">SUM(E41:E54)</f>
        <v>1478339.3504</v>
      </c>
      <c r="F55" s="162" t="n">
        <f aca="false">SUM(F41:F54)</f>
        <v>1471337.7248</v>
      </c>
      <c r="G55" s="162" t="n">
        <f aca="false">SUM(G41:G54)</f>
        <v>1464336.0992</v>
      </c>
      <c r="H55" s="162" t="n">
        <f aca="false">SUM(H41:H54)</f>
        <v>1457334.4736</v>
      </c>
      <c r="I55" s="162" t="n">
        <f aca="false">SUM(I41:I54)</f>
        <v>1450332.848</v>
      </c>
      <c r="J55" s="162" t="n">
        <f aca="false">SUM(J41:J54)</f>
        <v>1443331.2224</v>
      </c>
      <c r="K55" s="162" t="n">
        <f aca="false">SUM(K41:K54)</f>
        <v>1436329.5968</v>
      </c>
      <c r="L55" s="162" t="n">
        <f aca="false">SUM(L41:L54)</f>
        <v>1429327.9712</v>
      </c>
      <c r="M55" s="162" t="n">
        <f aca="false">SUM(M41:M54)</f>
        <v>1422326.3456</v>
      </c>
      <c r="N55" s="162" t="n">
        <f aca="false">SUM(N41:N54)</f>
        <v>1450212.72</v>
      </c>
      <c r="O55" s="162" t="n">
        <f aca="false">SUM(O41:O54)</f>
        <v>1443211.0944</v>
      </c>
      <c r="P55" s="162" t="n">
        <f aca="false">SUM(P41:P54)</f>
        <v>1436209.4688</v>
      </c>
      <c r="Q55" s="162" t="n">
        <f aca="false">SUM(Q41:Q54)</f>
        <v>1429207.8432</v>
      </c>
      <c r="R55" s="162" t="n">
        <f aca="false">SUM(R41:R54)</f>
        <v>1422206.2176</v>
      </c>
      <c r="S55" s="162" t="n">
        <f aca="false">SUM(S41:S54)</f>
        <v>1415204.592</v>
      </c>
      <c r="T55" s="162" t="n">
        <f aca="false">SUM(T41:T54)</f>
        <v>1408202.9664</v>
      </c>
      <c r="U55" s="162" t="n">
        <f aca="false">SUM(U41:U54)</f>
        <v>1401201.3408</v>
      </c>
      <c r="V55" s="162" t="n">
        <f aca="false">SUM(V41:V54)</f>
        <v>1394199.7152</v>
      </c>
      <c r="W55" s="162" t="n">
        <f aca="false">SUM(W41:W54)</f>
        <v>1387198.0896</v>
      </c>
      <c r="X55" s="163"/>
      <c r="Y55" s="164"/>
      <c r="Z55" s="165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</row>
    <row r="56" customFormat="false" ht="18.75" hidden="false" customHeight="true" outlineLevel="0" collapsed="false">
      <c r="B56" s="166" t="s">
        <v>41</v>
      </c>
      <c r="D56" s="167" t="n">
        <f aca="false">C55+D55</f>
        <v>-17511899.224</v>
      </c>
      <c r="E56" s="167" t="n">
        <f aca="false">D56+E55</f>
        <v>-16033559.8736</v>
      </c>
      <c r="F56" s="167" t="n">
        <f aca="false">E56+F55</f>
        <v>-14562222.1488</v>
      </c>
      <c r="G56" s="167" t="n">
        <f aca="false">F56+G55</f>
        <v>-13097886.0496</v>
      </c>
      <c r="H56" s="167" t="n">
        <f aca="false">G56+H55</f>
        <v>-11640551.576</v>
      </c>
      <c r="I56" s="167" t="n">
        <f aca="false">H56+I55</f>
        <v>-10190218.728</v>
      </c>
      <c r="J56" s="167" t="n">
        <f aca="false">I56+J55</f>
        <v>-8746887.5056</v>
      </c>
      <c r="K56" s="167" t="n">
        <f aca="false">J56+K55</f>
        <v>-7310557.9088</v>
      </c>
      <c r="L56" s="167" t="n">
        <f aca="false">K56+L55</f>
        <v>-5881229.9376</v>
      </c>
      <c r="M56" s="167" t="n">
        <f aca="false">L56+M55</f>
        <v>-4458903.592</v>
      </c>
      <c r="N56" s="167" t="n">
        <f aca="false">M56+N55</f>
        <v>-3008690.872</v>
      </c>
      <c r="O56" s="167" t="n">
        <f aca="false">N56+O55</f>
        <v>-1565479.7776</v>
      </c>
      <c r="P56" s="167" t="n">
        <f aca="false">O56+P55</f>
        <v>-129270.308800002</v>
      </c>
      <c r="Q56" s="167" t="n">
        <f aca="false">P56+Q55</f>
        <v>1299937.5344</v>
      </c>
      <c r="R56" s="167" t="n">
        <f aca="false">Q56+R55</f>
        <v>2722143.752</v>
      </c>
      <c r="S56" s="167" t="n">
        <f aca="false">R56+S55</f>
        <v>4137348.344</v>
      </c>
      <c r="T56" s="167" t="n">
        <f aca="false">S56+T55</f>
        <v>5545551.3104</v>
      </c>
      <c r="U56" s="167" t="n">
        <f aca="false">T56+U55</f>
        <v>6946752.6512</v>
      </c>
      <c r="V56" s="167" t="n">
        <f aca="false">U56+V55</f>
        <v>8340952.3664</v>
      </c>
      <c r="W56" s="167" t="n">
        <f aca="false">V56+W55</f>
        <v>9728150.456</v>
      </c>
      <c r="X56" s="167" t="n">
        <f aca="false">W56+X55</f>
        <v>9728150.456</v>
      </c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</row>
    <row r="57" customFormat="false" ht="18.75" hidden="false" customHeight="true" outlineLevel="0" collapsed="false">
      <c r="B57" s="168" t="s">
        <v>42</v>
      </c>
      <c r="C57" s="169"/>
      <c r="D57" s="170" t="str">
        <f aca="false">IF((D56)&gt;0,"回收","未回收")</f>
        <v>未回收</v>
      </c>
      <c r="E57" s="171" t="str">
        <f aca="false">IF((E56)&gt;0,"回收","未回收")</f>
        <v>未回收</v>
      </c>
      <c r="F57" s="171" t="str">
        <f aca="false">IF((F56)&gt;0,"回收","未回收")</f>
        <v>未回收</v>
      </c>
      <c r="G57" s="171" t="str">
        <f aca="false">IF((G56)&gt;0,"回收","未回收")</f>
        <v>未回收</v>
      </c>
      <c r="H57" s="171" t="str">
        <f aca="false">IF((H56)&gt;0,"回收","未回收")</f>
        <v>未回收</v>
      </c>
      <c r="I57" s="171" t="str">
        <f aca="false">IF((I56)&gt;0,"回收","未回收")</f>
        <v>未回收</v>
      </c>
      <c r="J57" s="171" t="str">
        <f aca="false">IF((J56)&gt;0,"回收","未回收")</f>
        <v>未回收</v>
      </c>
      <c r="K57" s="171" t="str">
        <f aca="false">IF((K56)&gt;0,"回收","未回收")</f>
        <v>未回收</v>
      </c>
      <c r="L57" s="171" t="str">
        <f aca="false">IF((L56)&gt;0,"回收","未回收")</f>
        <v>未回收</v>
      </c>
      <c r="M57" s="171" t="str">
        <f aca="false">IF((M56)&gt;0,"回收","未回收")</f>
        <v>未回收</v>
      </c>
      <c r="N57" s="171" t="str">
        <f aca="false">IF((N56)&gt;0,"回收","未回收")</f>
        <v>未回收</v>
      </c>
      <c r="O57" s="171" t="str">
        <f aca="false">IF((O56)&gt;0,"回收","未回收")</f>
        <v>未回收</v>
      </c>
      <c r="P57" s="171" t="str">
        <f aca="false">IF((P56)&gt;0,"回收","未回收")</f>
        <v>未回收</v>
      </c>
      <c r="Q57" s="171" t="str">
        <f aca="false">IF((Q56)&gt;0,"回收","未回收")</f>
        <v>回收</v>
      </c>
      <c r="R57" s="171" t="str">
        <f aca="false">IF((R56)&gt;0,"回收","未回收")</f>
        <v>回收</v>
      </c>
      <c r="S57" s="171" t="str">
        <f aca="false">IF((S56)&gt;0,"回收","未回收")</f>
        <v>回收</v>
      </c>
      <c r="T57" s="171" t="str">
        <f aca="false">IF((T56)&gt;0,"回收","未回收")</f>
        <v>回收</v>
      </c>
      <c r="U57" s="171" t="str">
        <f aca="false">IF((U56)&gt;0,"回收","未回收")</f>
        <v>回收</v>
      </c>
      <c r="V57" s="171" t="str">
        <f aca="false">IF((V56)&gt;0,"回收","未回收")</f>
        <v>回收</v>
      </c>
      <c r="W57" s="171" t="str">
        <f aca="false">IF((W56)&gt;0,"回收","未回收")</f>
        <v>回收</v>
      </c>
      <c r="X57" s="171" t="str">
        <f aca="false">IF((X56)&gt;0,"回收","未回收")</f>
        <v>回收</v>
      </c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</row>
    <row r="58" customFormat="false" ht="18.75" hidden="false" customHeight="true" outlineLevel="0" collapsed="false">
      <c r="B58" s="54" t="s">
        <v>43</v>
      </c>
      <c r="C58" s="55" t="n">
        <f aca="false">IRR(C55:W55)</f>
        <v>0.0435864672657961</v>
      </c>
      <c r="D58" s="56"/>
      <c r="E58" s="56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</row>
    <row r="59" customFormat="false" ht="18.75" hidden="false" customHeight="true" outlineLevel="0" collapsed="false">
      <c r="B59" s="57"/>
      <c r="C59" s="56"/>
      <c r="D59" s="56"/>
      <c r="E59" s="56"/>
      <c r="F59" s="57"/>
      <c r="G59" s="57"/>
      <c r="H59" s="57"/>
      <c r="I59" s="57"/>
      <c r="J59" s="57"/>
      <c r="K59" s="57"/>
      <c r="L59" s="57"/>
      <c r="M59" s="56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</row>
    <row r="60" customFormat="false" ht="18.75" hidden="false" customHeight="true" outlineLevel="0" collapsed="false">
      <c r="B60" s="15"/>
      <c r="C60" s="16" t="s">
        <v>0</v>
      </c>
      <c r="D60" s="16" t="n">
        <f aca="false">D37</f>
        <v>2020</v>
      </c>
      <c r="E60" s="16" t="n">
        <f aca="false">E37</f>
        <v>2021</v>
      </c>
      <c r="F60" s="16" t="n">
        <f aca="false">F37</f>
        <v>2022</v>
      </c>
      <c r="G60" s="16" t="n">
        <f aca="false">G37</f>
        <v>2023</v>
      </c>
      <c r="H60" s="16" t="n">
        <f aca="false">H37</f>
        <v>2024</v>
      </c>
      <c r="I60" s="16" t="n">
        <f aca="false">I37</f>
        <v>2025</v>
      </c>
      <c r="J60" s="16" t="n">
        <f aca="false">J37</f>
        <v>2026</v>
      </c>
      <c r="K60" s="16" t="n">
        <f aca="false">K37</f>
        <v>2027</v>
      </c>
      <c r="L60" s="16" t="n">
        <f aca="false">L37</f>
        <v>2028</v>
      </c>
      <c r="M60" s="16" t="n">
        <f aca="false">M37</f>
        <v>2029</v>
      </c>
      <c r="N60" s="16" t="n">
        <f aca="false">N37</f>
        <v>2030</v>
      </c>
      <c r="O60" s="16" t="n">
        <f aca="false">O37</f>
        <v>2031</v>
      </c>
      <c r="P60" s="16" t="n">
        <f aca="false">P37</f>
        <v>2032</v>
      </c>
      <c r="Q60" s="16" t="n">
        <f aca="false">Q37</f>
        <v>2033</v>
      </c>
      <c r="R60" s="16" t="n">
        <f aca="false">R37</f>
        <v>2034</v>
      </c>
      <c r="S60" s="16" t="n">
        <f aca="false">S37</f>
        <v>2035</v>
      </c>
      <c r="T60" s="16" t="n">
        <f aca="false">T37</f>
        <v>2036</v>
      </c>
      <c r="U60" s="16" t="n">
        <f aca="false">U37</f>
        <v>2037</v>
      </c>
      <c r="V60" s="16" t="n">
        <f aca="false">V37</f>
        <v>2038</v>
      </c>
      <c r="W60" s="16" t="n">
        <f aca="false">W37</f>
        <v>2039</v>
      </c>
      <c r="X60" s="16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</row>
    <row r="61" customFormat="false" ht="18.75" hidden="false" customHeight="true" outlineLevel="0" collapsed="false">
      <c r="B61" s="17" t="n">
        <v>0</v>
      </c>
      <c r="C61" s="18"/>
      <c r="D61" s="19"/>
      <c r="E61" s="19"/>
      <c r="F61" s="20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58" t="s">
        <v>44</v>
      </c>
      <c r="U61" s="21"/>
      <c r="V61" s="21"/>
      <c r="W61" s="21"/>
      <c r="X61" s="138"/>
    </row>
    <row r="62" customFormat="false" ht="18.75" hidden="false" customHeight="true" outlineLevel="0" collapsed="false">
      <c r="B62" s="23" t="s">
        <v>23</v>
      </c>
      <c r="C62" s="24" t="n">
        <v>0</v>
      </c>
      <c r="D62" s="25" t="n">
        <v>1</v>
      </c>
      <c r="E62" s="25" t="n">
        <v>2</v>
      </c>
      <c r="F62" s="25" t="n">
        <v>3</v>
      </c>
      <c r="G62" s="25" t="n">
        <v>4</v>
      </c>
      <c r="H62" s="25" t="n">
        <v>5</v>
      </c>
      <c r="I62" s="25" t="n">
        <v>6</v>
      </c>
      <c r="J62" s="25" t="n">
        <v>7</v>
      </c>
      <c r="K62" s="25" t="n">
        <v>8</v>
      </c>
      <c r="L62" s="25" t="n">
        <v>9</v>
      </c>
      <c r="M62" s="25" t="n">
        <v>10</v>
      </c>
      <c r="N62" s="25" t="n">
        <v>11</v>
      </c>
      <c r="O62" s="25" t="n">
        <v>12</v>
      </c>
      <c r="P62" s="25" t="n">
        <v>13</v>
      </c>
      <c r="Q62" s="25" t="n">
        <v>14</v>
      </c>
      <c r="R62" s="25" t="n">
        <v>15</v>
      </c>
      <c r="S62" s="25" t="n">
        <v>16</v>
      </c>
      <c r="T62" s="59" t="n">
        <v>17</v>
      </c>
      <c r="U62" s="25" t="n">
        <v>18</v>
      </c>
      <c r="V62" s="25" t="n">
        <v>19</v>
      </c>
      <c r="W62" s="25" t="n">
        <v>20</v>
      </c>
      <c r="X62" s="139"/>
    </row>
    <row r="63" customFormat="false" ht="18.75" hidden="false" customHeight="true" outlineLevel="0" collapsed="false">
      <c r="B63" s="140" t="s">
        <v>137</v>
      </c>
      <c r="C63" s="28" t="n">
        <v>0</v>
      </c>
      <c r="D63" s="29" t="n">
        <f aca="false">D40</f>
        <v>541531.98</v>
      </c>
      <c r="E63" s="29" t="n">
        <f aca="false">E40</f>
        <v>539343.972</v>
      </c>
      <c r="F63" s="29" t="n">
        <f aca="false">F40</f>
        <v>537155.964</v>
      </c>
      <c r="G63" s="29" t="n">
        <f aca="false">G40</f>
        <v>534967.956</v>
      </c>
      <c r="H63" s="29" t="n">
        <f aca="false">H40</f>
        <v>532779.948</v>
      </c>
      <c r="I63" s="29" t="n">
        <f aca="false">I40</f>
        <v>530591.94</v>
      </c>
      <c r="J63" s="29" t="n">
        <f aca="false">J40</f>
        <v>528403.932</v>
      </c>
      <c r="K63" s="29" t="n">
        <f aca="false">K40</f>
        <v>526215.924</v>
      </c>
      <c r="L63" s="29" t="n">
        <f aca="false">L40</f>
        <v>524027.916</v>
      </c>
      <c r="M63" s="29" t="n">
        <f aca="false">M40</f>
        <v>521839.908</v>
      </c>
      <c r="N63" s="29" t="n">
        <f aca="false">N40</f>
        <v>519651.9</v>
      </c>
      <c r="O63" s="29" t="n">
        <f aca="false">O40</f>
        <v>517463.892</v>
      </c>
      <c r="P63" s="29" t="n">
        <f aca="false">P40</f>
        <v>515275.884</v>
      </c>
      <c r="Q63" s="29" t="n">
        <f aca="false">Q40</f>
        <v>513087.876</v>
      </c>
      <c r="R63" s="29" t="n">
        <f aca="false">R40</f>
        <v>510899.868</v>
      </c>
      <c r="S63" s="29" t="n">
        <f aca="false">S40</f>
        <v>508711.86</v>
      </c>
      <c r="T63" s="29" t="n">
        <f aca="false">T40</f>
        <v>506523.852</v>
      </c>
      <c r="U63" s="29" t="n">
        <f aca="false">U40</f>
        <v>504335.844</v>
      </c>
      <c r="V63" s="29" t="n">
        <f aca="false">V40</f>
        <v>502147.836</v>
      </c>
      <c r="W63" s="29" t="n">
        <f aca="false">W40</f>
        <v>499959.828</v>
      </c>
      <c r="X63" s="141"/>
    </row>
    <row r="64" customFormat="false" ht="18.75" hidden="false" customHeight="true" outlineLevel="0" collapsed="false">
      <c r="B64" s="142" t="s">
        <v>25</v>
      </c>
      <c r="C64" s="143" t="s">
        <v>26</v>
      </c>
      <c r="D64" s="144" t="n">
        <f aca="false">D41</f>
        <v>2166127.92</v>
      </c>
      <c r="E64" s="144" t="n">
        <f aca="false">E41</f>
        <v>2157375.888</v>
      </c>
      <c r="F64" s="144" t="n">
        <f aca="false">F41</f>
        <v>2148623.856</v>
      </c>
      <c r="G64" s="144" t="n">
        <f aca="false">G41</f>
        <v>2139871.824</v>
      </c>
      <c r="H64" s="144" t="n">
        <f aca="false">H41</f>
        <v>2131119.792</v>
      </c>
      <c r="I64" s="144" t="n">
        <f aca="false">I41</f>
        <v>2122367.76</v>
      </c>
      <c r="J64" s="144" t="n">
        <f aca="false">J41</f>
        <v>2113615.728</v>
      </c>
      <c r="K64" s="144" t="n">
        <f aca="false">K41</f>
        <v>2104863.696</v>
      </c>
      <c r="L64" s="144" t="n">
        <f aca="false">L41</f>
        <v>2096111.664</v>
      </c>
      <c r="M64" s="144" t="n">
        <f aca="false">M41</f>
        <v>2087359.632</v>
      </c>
      <c r="N64" s="144" t="n">
        <f aca="false">N41</f>
        <v>2078607.6</v>
      </c>
      <c r="O64" s="144" t="n">
        <f aca="false">O41</f>
        <v>2069855.568</v>
      </c>
      <c r="P64" s="144" t="n">
        <f aca="false">P41</f>
        <v>2061103.536</v>
      </c>
      <c r="Q64" s="144" t="n">
        <f aca="false">Q41</f>
        <v>2052351.504</v>
      </c>
      <c r="R64" s="144" t="n">
        <f aca="false">R41</f>
        <v>2043599.472</v>
      </c>
      <c r="S64" s="144" t="n">
        <f aca="false">S41</f>
        <v>2034847.44</v>
      </c>
      <c r="T64" s="144" t="n">
        <f aca="false">T41</f>
        <v>2026095.408</v>
      </c>
      <c r="U64" s="144" t="n">
        <f aca="false">U41</f>
        <v>2017343.376</v>
      </c>
      <c r="V64" s="144" t="n">
        <f aca="false">V41</f>
        <v>2008591.344</v>
      </c>
      <c r="W64" s="144" t="n">
        <f aca="false">W41</f>
        <v>1999839.312</v>
      </c>
      <c r="X64" s="145"/>
    </row>
    <row r="65" customFormat="false" ht="18.75" hidden="false" customHeight="true" outlineLevel="0" collapsed="false">
      <c r="B65" s="146" t="s">
        <v>27</v>
      </c>
      <c r="C65" s="147" t="s">
        <v>26</v>
      </c>
      <c r="D65" s="148"/>
      <c r="E65" s="148"/>
      <c r="F65" s="148"/>
      <c r="G65" s="149" t="s">
        <v>26</v>
      </c>
      <c r="H65" s="149" t="s">
        <v>26</v>
      </c>
      <c r="I65" s="149" t="s">
        <v>26</v>
      </c>
      <c r="J65" s="149" t="s">
        <v>26</v>
      </c>
      <c r="K65" s="149" t="s">
        <v>26</v>
      </c>
      <c r="L65" s="149" t="s">
        <v>26</v>
      </c>
      <c r="M65" s="149" t="s">
        <v>26</v>
      </c>
      <c r="N65" s="149" t="s">
        <v>26</v>
      </c>
      <c r="O65" s="149" t="s">
        <v>26</v>
      </c>
      <c r="P65" s="149" t="s">
        <v>26</v>
      </c>
      <c r="Q65" s="149" t="s">
        <v>26</v>
      </c>
      <c r="R65" s="149" t="s">
        <v>26</v>
      </c>
      <c r="S65" s="149" t="s">
        <v>26</v>
      </c>
      <c r="T65" s="149" t="s">
        <v>26</v>
      </c>
      <c r="U65" s="149" t="s">
        <v>26</v>
      </c>
      <c r="V65" s="149" t="s">
        <v>26</v>
      </c>
      <c r="W65" s="149" t="s">
        <v>26</v>
      </c>
      <c r="X65" s="150"/>
    </row>
    <row r="66" customFormat="false" ht="18.75" hidden="false" customHeight="true" outlineLevel="0" collapsed="false">
      <c r="B66" s="151" t="s">
        <v>28</v>
      </c>
      <c r="C66" s="152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4"/>
    </row>
    <row r="67" customFormat="false" ht="18.75" hidden="false" customHeight="true" outlineLevel="0" collapsed="false">
      <c r="B67" s="155" t="s">
        <v>45</v>
      </c>
      <c r="C67" s="147"/>
      <c r="D67" s="174" t="n">
        <f aca="false">$C$44/$E$16</f>
        <v>-946960</v>
      </c>
      <c r="E67" s="174" t="n">
        <f aca="false">$C$44/$E$16</f>
        <v>-946960</v>
      </c>
      <c r="F67" s="174" t="n">
        <f aca="false">$C$44/$E$16</f>
        <v>-946960</v>
      </c>
      <c r="G67" s="174" t="n">
        <f aca="false">$C$44/$E$16</f>
        <v>-946960</v>
      </c>
      <c r="H67" s="174" t="n">
        <f aca="false">$C$44/$E$16</f>
        <v>-946960</v>
      </c>
      <c r="I67" s="174" t="n">
        <f aca="false">$C$44/$E$16</f>
        <v>-946960</v>
      </c>
      <c r="J67" s="174" t="n">
        <f aca="false">$C$44/$E$16</f>
        <v>-946960</v>
      </c>
      <c r="K67" s="174" t="n">
        <f aca="false">$C$44/$E$16</f>
        <v>-946960</v>
      </c>
      <c r="L67" s="174" t="n">
        <f aca="false">$C$44/$E$16</f>
        <v>-946960</v>
      </c>
      <c r="M67" s="174" t="n">
        <f aca="false">$C$44/$E$16</f>
        <v>-946960</v>
      </c>
      <c r="N67" s="174" t="n">
        <f aca="false">$C$44/$E$16</f>
        <v>-946960</v>
      </c>
      <c r="O67" s="174" t="n">
        <f aca="false">$C$44/$E$16</f>
        <v>-946960</v>
      </c>
      <c r="P67" s="174" t="n">
        <f aca="false">$C$44/$E$16</f>
        <v>-946960</v>
      </c>
      <c r="Q67" s="174" t="n">
        <f aca="false">$C$44/$E$16</f>
        <v>-946960</v>
      </c>
      <c r="R67" s="174" t="n">
        <f aca="false">$C$44/$E$16</f>
        <v>-946960</v>
      </c>
      <c r="S67" s="174" t="n">
        <f aca="false">$C$44/$E$16</f>
        <v>-946960</v>
      </c>
      <c r="T67" s="174" t="n">
        <f aca="false">$C$44/$E$16</f>
        <v>-946960</v>
      </c>
      <c r="U67" s="174" t="n">
        <f aca="false">$C$44/$E$16</f>
        <v>-946960</v>
      </c>
      <c r="V67" s="174" t="n">
        <f aca="false">$C$44/$E$16</f>
        <v>-946960</v>
      </c>
      <c r="W67" s="174" t="n">
        <f aca="false">$C$44/$E$16</f>
        <v>-946960</v>
      </c>
      <c r="X67" s="150"/>
    </row>
    <row r="68" customFormat="false" ht="18.75" hidden="false" customHeight="true" outlineLevel="0" collapsed="false">
      <c r="B68" s="155" t="s">
        <v>30</v>
      </c>
      <c r="C68" s="147" t="s">
        <v>26</v>
      </c>
      <c r="D68" s="157" t="n">
        <f aca="false">D44</f>
        <v>0</v>
      </c>
      <c r="E68" s="157" t="n">
        <f aca="false">E45</f>
        <v>-290201</v>
      </c>
      <c r="F68" s="157" t="n">
        <f aca="false">F45</f>
        <v>-290201</v>
      </c>
      <c r="G68" s="157" t="n">
        <f aca="false">G45</f>
        <v>-290201</v>
      </c>
      <c r="H68" s="157" t="n">
        <f aca="false">H45</f>
        <v>-290201</v>
      </c>
      <c r="I68" s="157" t="n">
        <f aca="false">I45</f>
        <v>-290201</v>
      </c>
      <c r="J68" s="157" t="n">
        <f aca="false">J45</f>
        <v>-290201</v>
      </c>
      <c r="K68" s="157" t="n">
        <f aca="false">K45</f>
        <v>-290201</v>
      </c>
      <c r="L68" s="157" t="n">
        <f aca="false">L45</f>
        <v>-290201</v>
      </c>
      <c r="M68" s="157" t="n">
        <f aca="false">M45</f>
        <v>-290201</v>
      </c>
      <c r="N68" s="157" t="n">
        <f aca="false">N45</f>
        <v>-290201</v>
      </c>
      <c r="O68" s="157" t="n">
        <f aca="false">O45</f>
        <v>-290201</v>
      </c>
      <c r="P68" s="157" t="n">
        <f aca="false">P45</f>
        <v>-290201</v>
      </c>
      <c r="Q68" s="157" t="n">
        <f aca="false">Q45</f>
        <v>-290201</v>
      </c>
      <c r="R68" s="157" t="n">
        <f aca="false">R45</f>
        <v>-290201</v>
      </c>
      <c r="S68" s="157" t="n">
        <f aca="false">S45</f>
        <v>-290201</v>
      </c>
      <c r="T68" s="157" t="n">
        <f aca="false">T45</f>
        <v>-290201</v>
      </c>
      <c r="U68" s="157" t="n">
        <f aca="false">U45</f>
        <v>-290201</v>
      </c>
      <c r="V68" s="157" t="n">
        <f aca="false">V45</f>
        <v>-290201</v>
      </c>
      <c r="W68" s="157" t="n">
        <f aca="false">W45</f>
        <v>-290201</v>
      </c>
      <c r="X68" s="150"/>
    </row>
    <row r="69" customFormat="false" ht="18.75" hidden="false" customHeight="true" outlineLevel="0" collapsed="false">
      <c r="B69" s="155" t="s">
        <v>31</v>
      </c>
      <c r="C69" s="147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50"/>
    </row>
    <row r="70" customFormat="false" ht="18.75" hidden="false" customHeight="true" outlineLevel="0" collapsed="false">
      <c r="B70" s="155" t="s">
        <v>32</v>
      </c>
      <c r="C70" s="147" t="s">
        <v>26</v>
      </c>
      <c r="D70" s="157" t="n">
        <v>0</v>
      </c>
      <c r="E70" s="157" t="n">
        <v>0</v>
      </c>
      <c r="F70" s="157" t="n">
        <v>0</v>
      </c>
      <c r="G70" s="157" t="n">
        <v>0</v>
      </c>
      <c r="H70" s="157" t="n">
        <v>0</v>
      </c>
      <c r="I70" s="157" t="n">
        <v>0</v>
      </c>
      <c r="J70" s="157" t="n">
        <v>0</v>
      </c>
      <c r="K70" s="157" t="n">
        <v>0</v>
      </c>
      <c r="L70" s="157" t="n">
        <v>0</v>
      </c>
      <c r="M70" s="157" t="n">
        <v>0</v>
      </c>
      <c r="N70" s="157" t="n">
        <v>0</v>
      </c>
      <c r="O70" s="157" t="n">
        <v>0</v>
      </c>
      <c r="P70" s="157" t="n">
        <v>0</v>
      </c>
      <c r="Q70" s="157" t="n">
        <v>0</v>
      </c>
      <c r="R70" s="157" t="n">
        <v>0</v>
      </c>
      <c r="S70" s="157" t="n">
        <v>0</v>
      </c>
      <c r="T70" s="157" t="n">
        <v>0</v>
      </c>
      <c r="U70" s="157" t="n">
        <v>0</v>
      </c>
      <c r="V70" s="157" t="n">
        <v>0</v>
      </c>
      <c r="W70" s="157" t="n">
        <v>0</v>
      </c>
      <c r="X70" s="150"/>
    </row>
    <row r="71" customFormat="false" ht="18.75" hidden="false" customHeight="true" outlineLevel="0" collapsed="false">
      <c r="B71" s="155" t="s">
        <v>33</v>
      </c>
      <c r="C71" s="147" t="s">
        <v>26</v>
      </c>
      <c r="D71" s="157" t="n">
        <f aca="false">D48</f>
        <v>-174440</v>
      </c>
      <c r="E71" s="157" t="n">
        <f aca="false">E48</f>
        <v>-174440</v>
      </c>
      <c r="F71" s="157" t="n">
        <f aca="false">F48</f>
        <v>-174440</v>
      </c>
      <c r="G71" s="157" t="n">
        <f aca="false">G48</f>
        <v>-174440</v>
      </c>
      <c r="H71" s="157" t="n">
        <f aca="false">H48</f>
        <v>-174440</v>
      </c>
      <c r="I71" s="157" t="n">
        <f aca="false">I48</f>
        <v>-174440</v>
      </c>
      <c r="J71" s="157" t="n">
        <f aca="false">J48</f>
        <v>-174440</v>
      </c>
      <c r="K71" s="157" t="n">
        <f aca="false">K48</f>
        <v>-174440</v>
      </c>
      <c r="L71" s="157" t="n">
        <f aca="false">L48</f>
        <v>-174440</v>
      </c>
      <c r="M71" s="157" t="n">
        <f aca="false">M48</f>
        <v>-174440</v>
      </c>
      <c r="N71" s="157" t="n">
        <f aca="false">N48</f>
        <v>-174440</v>
      </c>
      <c r="O71" s="157" t="n">
        <f aca="false">O48</f>
        <v>-174440</v>
      </c>
      <c r="P71" s="157" t="n">
        <f aca="false">P48</f>
        <v>-174440</v>
      </c>
      <c r="Q71" s="157" t="n">
        <f aca="false">Q48</f>
        <v>-174440</v>
      </c>
      <c r="R71" s="157" t="n">
        <f aca="false">R48</f>
        <v>-174440</v>
      </c>
      <c r="S71" s="157" t="n">
        <f aca="false">S48</f>
        <v>-174440</v>
      </c>
      <c r="T71" s="157" t="n">
        <f aca="false">T48</f>
        <v>-174440</v>
      </c>
      <c r="U71" s="157" t="n">
        <f aca="false">U48</f>
        <v>-174440</v>
      </c>
      <c r="V71" s="157" t="n">
        <f aca="false">V48</f>
        <v>-174440</v>
      </c>
      <c r="W71" s="157" t="n">
        <f aca="false">W48</f>
        <v>-174440</v>
      </c>
      <c r="X71" s="150"/>
    </row>
    <row r="72" customFormat="false" ht="18.75" hidden="false" customHeight="true" outlineLevel="0" collapsed="false">
      <c r="B72" s="155" t="s">
        <v>34</v>
      </c>
      <c r="C72" s="147" t="s">
        <v>26</v>
      </c>
      <c r="D72" s="157" t="n">
        <f aca="false">D49</f>
        <v>-37940.7</v>
      </c>
      <c r="E72" s="157" t="n">
        <f aca="false">E49</f>
        <v>-37940.7</v>
      </c>
      <c r="F72" s="157" t="n">
        <f aca="false">F49</f>
        <v>-37940.7</v>
      </c>
      <c r="G72" s="157" t="n">
        <f aca="false">G49</f>
        <v>-37940.7</v>
      </c>
      <c r="H72" s="157" t="n">
        <f aca="false">H49</f>
        <v>-37940.7</v>
      </c>
      <c r="I72" s="157" t="n">
        <f aca="false">I49</f>
        <v>-37940.7</v>
      </c>
      <c r="J72" s="157" t="n">
        <f aca="false">J49</f>
        <v>-37940.7</v>
      </c>
      <c r="K72" s="157" t="n">
        <f aca="false">K49</f>
        <v>-37940.7</v>
      </c>
      <c r="L72" s="157" t="n">
        <f aca="false">L49</f>
        <v>-37940.7</v>
      </c>
      <c r="M72" s="157" t="n">
        <f aca="false">M49</f>
        <v>-37940.7</v>
      </c>
      <c r="N72" s="157" t="n">
        <f aca="false">N49</f>
        <v>-37940.7</v>
      </c>
      <c r="O72" s="157" t="n">
        <f aca="false">O49</f>
        <v>-37940.7</v>
      </c>
      <c r="P72" s="157" t="n">
        <f aca="false">P49</f>
        <v>-37940.7</v>
      </c>
      <c r="Q72" s="157" t="n">
        <f aca="false">Q49</f>
        <v>-37940.7</v>
      </c>
      <c r="R72" s="157" t="n">
        <f aca="false">R49</f>
        <v>-37940.7</v>
      </c>
      <c r="S72" s="157" t="n">
        <f aca="false">S49</f>
        <v>-37940.7</v>
      </c>
      <c r="T72" s="157" t="n">
        <f aca="false">T49</f>
        <v>-37940.7</v>
      </c>
      <c r="U72" s="157" t="n">
        <f aca="false">U49</f>
        <v>-37940.7</v>
      </c>
      <c r="V72" s="157" t="n">
        <f aca="false">V49</f>
        <v>-37940.7</v>
      </c>
      <c r="W72" s="157" t="n">
        <f aca="false">W49</f>
        <v>-37940.7</v>
      </c>
      <c r="X72" s="150"/>
    </row>
    <row r="73" customFormat="false" ht="18.75" hidden="false" customHeight="true" outlineLevel="0" collapsed="false">
      <c r="B73" s="155" t="s">
        <v>35</v>
      </c>
      <c r="C73" s="147"/>
      <c r="D73" s="157" t="n">
        <f aca="false">D50</f>
        <v>-43610</v>
      </c>
      <c r="E73" s="157" t="n">
        <f aca="false">E50</f>
        <v>-43610</v>
      </c>
      <c r="F73" s="157" t="n">
        <f aca="false">F50</f>
        <v>-43610</v>
      </c>
      <c r="G73" s="157" t="n">
        <f aca="false">G50</f>
        <v>-43610</v>
      </c>
      <c r="H73" s="157" t="n">
        <f aca="false">H50</f>
        <v>-43610</v>
      </c>
      <c r="I73" s="157" t="n">
        <f aca="false">I50</f>
        <v>-43610</v>
      </c>
      <c r="J73" s="157" t="n">
        <f aca="false">J50</f>
        <v>-43610</v>
      </c>
      <c r="K73" s="157" t="n">
        <f aca="false">K50</f>
        <v>-43610</v>
      </c>
      <c r="L73" s="157" t="n">
        <f aca="false">L50</f>
        <v>-43610</v>
      </c>
      <c r="M73" s="157" t="n">
        <f aca="false">M50</f>
        <v>-43610</v>
      </c>
      <c r="N73" s="157" t="n">
        <f aca="false">N50</f>
        <v>0</v>
      </c>
      <c r="O73" s="157" t="n">
        <f aca="false">O50</f>
        <v>0</v>
      </c>
      <c r="P73" s="157" t="n">
        <f aca="false">P50</f>
        <v>0</v>
      </c>
      <c r="Q73" s="157" t="n">
        <f aca="false">Q50</f>
        <v>0</v>
      </c>
      <c r="R73" s="157" t="n">
        <f aca="false">R50</f>
        <v>0</v>
      </c>
      <c r="S73" s="157" t="n">
        <f aca="false">S50</f>
        <v>0</v>
      </c>
      <c r="T73" s="157" t="n">
        <f aca="false">T50</f>
        <v>0</v>
      </c>
      <c r="U73" s="157" t="n">
        <f aca="false">U50</f>
        <v>0</v>
      </c>
      <c r="V73" s="157" t="n">
        <f aca="false">V50</f>
        <v>0</v>
      </c>
      <c r="W73" s="157" t="n">
        <f aca="false">W50</f>
        <v>0</v>
      </c>
      <c r="X73" s="150"/>
    </row>
    <row r="74" customFormat="false" ht="18.75" hidden="false" customHeight="true" outlineLevel="0" collapsed="false">
      <c r="B74" s="155" t="s">
        <v>36</v>
      </c>
      <c r="C74" s="158"/>
      <c r="D74" s="175"/>
      <c r="E74" s="176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50"/>
    </row>
    <row r="75" customFormat="false" ht="18.75" hidden="false" customHeight="true" outlineLevel="0" collapsed="false">
      <c r="B75" s="155" t="s">
        <v>37</v>
      </c>
      <c r="C75" s="15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50"/>
    </row>
    <row r="76" customFormat="false" ht="18.75" hidden="false" customHeight="true" outlineLevel="0" collapsed="false">
      <c r="B76" s="160" t="s">
        <v>46</v>
      </c>
      <c r="C76" s="177"/>
      <c r="D76" s="162" t="n">
        <f aca="false">SUM(D64:D75)</f>
        <v>963177.22</v>
      </c>
      <c r="E76" s="162" t="n">
        <f aca="false">SUM(E64:E75)</f>
        <v>664224.188</v>
      </c>
      <c r="F76" s="162" t="n">
        <f aca="false">SUM(F64:F75)</f>
        <v>655472.156</v>
      </c>
      <c r="G76" s="162" t="n">
        <f aca="false">SUM(G64:G75)</f>
        <v>646720.124</v>
      </c>
      <c r="H76" s="162" t="n">
        <f aca="false">SUM(H64:H75)</f>
        <v>637968.092</v>
      </c>
      <c r="I76" s="162" t="n">
        <f aca="false">SUM(I64:I75)</f>
        <v>629216.06</v>
      </c>
      <c r="J76" s="162" t="n">
        <f aca="false">SUM(J64:J75)</f>
        <v>620464.028</v>
      </c>
      <c r="K76" s="162" t="n">
        <f aca="false">SUM(K64:K75)</f>
        <v>611711.996</v>
      </c>
      <c r="L76" s="162" t="n">
        <f aca="false">SUM(L64:L75)</f>
        <v>602959.964</v>
      </c>
      <c r="M76" s="162" t="n">
        <f aca="false">SUM(M64:M75)</f>
        <v>594207.932</v>
      </c>
      <c r="N76" s="162" t="n">
        <f aca="false">SUM(N64:N75)</f>
        <v>629065.9</v>
      </c>
      <c r="O76" s="162" t="n">
        <f aca="false">SUM(O64:O75)</f>
        <v>620313.868</v>
      </c>
      <c r="P76" s="162" t="n">
        <f aca="false">SUM(P64:P75)</f>
        <v>611561.836</v>
      </c>
      <c r="Q76" s="162" t="n">
        <f aca="false">SUM(Q64:Q75)</f>
        <v>602809.804</v>
      </c>
      <c r="R76" s="162" t="n">
        <f aca="false">SUM(R64:R75)</f>
        <v>594057.772</v>
      </c>
      <c r="S76" s="162" t="n">
        <f aca="false">SUM(S64:S75)</f>
        <v>585305.74</v>
      </c>
      <c r="T76" s="162" t="n">
        <f aca="false">SUM(T64:T75)</f>
        <v>576553.708</v>
      </c>
      <c r="U76" s="162" t="n">
        <f aca="false">SUM(U64:U75)</f>
        <v>567801.676</v>
      </c>
      <c r="V76" s="162" t="n">
        <f aca="false">SUM(V64:V75)</f>
        <v>559049.644</v>
      </c>
      <c r="W76" s="162" t="n">
        <f aca="false">SUM(W64:W75)</f>
        <v>550297.612</v>
      </c>
      <c r="X76" s="162" t="n">
        <f aca="false">SUM(X64:X75)</f>
        <v>0</v>
      </c>
    </row>
    <row r="77" customFormat="false" ht="18.75" hidden="false" customHeight="true" outlineLevel="0" collapsed="false">
      <c r="B77" s="159" t="s">
        <v>39</v>
      </c>
      <c r="C77" s="158"/>
      <c r="D77" s="157" t="n">
        <f aca="false">-D76*0.2</f>
        <v>-192635.444</v>
      </c>
      <c r="E77" s="157" t="n">
        <f aca="false">-E76*0.2</f>
        <v>-132844.8376</v>
      </c>
      <c r="F77" s="157" t="n">
        <f aca="false">-F76*0.2</f>
        <v>-131094.4312</v>
      </c>
      <c r="G77" s="157" t="n">
        <f aca="false">-G76*0.2</f>
        <v>-129344.0248</v>
      </c>
      <c r="H77" s="157" t="n">
        <f aca="false">-H76*0.2</f>
        <v>-127593.6184</v>
      </c>
      <c r="I77" s="157" t="n">
        <f aca="false">-I76*0.2</f>
        <v>-125843.212</v>
      </c>
      <c r="J77" s="157" t="n">
        <f aca="false">-J76*0.2</f>
        <v>-124092.8056</v>
      </c>
      <c r="K77" s="157" t="n">
        <f aca="false">-K76*0.2</f>
        <v>-122342.3992</v>
      </c>
      <c r="L77" s="157" t="n">
        <f aca="false">-L76*0.2</f>
        <v>-120591.9928</v>
      </c>
      <c r="M77" s="157" t="n">
        <f aca="false">-M76*0.2</f>
        <v>-118841.5864</v>
      </c>
      <c r="N77" s="157" t="n">
        <f aca="false">-N76*0.2</f>
        <v>-125813.18</v>
      </c>
      <c r="O77" s="157" t="n">
        <f aca="false">-O76*0.2</f>
        <v>-124062.7736</v>
      </c>
      <c r="P77" s="157" t="n">
        <f aca="false">-P76*0.2</f>
        <v>-122312.3672</v>
      </c>
      <c r="Q77" s="157" t="n">
        <f aca="false">-Q76*0.2</f>
        <v>-120561.9608</v>
      </c>
      <c r="R77" s="157" t="n">
        <f aca="false">-R76*0.2</f>
        <v>-118811.5544</v>
      </c>
      <c r="S77" s="157" t="n">
        <f aca="false">-S76*0.2</f>
        <v>-117061.148</v>
      </c>
      <c r="T77" s="157" t="n">
        <f aca="false">-T76*0.2</f>
        <v>-115310.7416</v>
      </c>
      <c r="U77" s="157" t="n">
        <f aca="false">-U76*0.2</f>
        <v>-113560.3352</v>
      </c>
      <c r="V77" s="157" t="n">
        <f aca="false">-V76*0.2</f>
        <v>-111809.9288</v>
      </c>
      <c r="W77" s="157" t="n">
        <f aca="false">-W76*0.2</f>
        <v>-110059.5224</v>
      </c>
      <c r="X77" s="157" t="n">
        <f aca="false">-X76*0.2</f>
        <v>-0</v>
      </c>
    </row>
    <row r="78" customFormat="false" ht="15.75" hidden="false" customHeight="true" outlineLevel="0" collapsed="false">
      <c r="B78" s="178" t="s">
        <v>47</v>
      </c>
      <c r="D78" s="157" t="n">
        <f aca="false">SUM(D76:D77)</f>
        <v>770541.776</v>
      </c>
      <c r="E78" s="157" t="n">
        <f aca="false">SUM(E76:E77)</f>
        <v>531379.3504</v>
      </c>
      <c r="F78" s="157" t="n">
        <f aca="false">SUM(F76:F77)</f>
        <v>524377.7248</v>
      </c>
      <c r="G78" s="157" t="n">
        <f aca="false">SUM(G76:G77)</f>
        <v>517376.0992</v>
      </c>
      <c r="H78" s="157" t="n">
        <f aca="false">SUM(H76:H77)</f>
        <v>510374.4736</v>
      </c>
      <c r="I78" s="157" t="n">
        <f aca="false">SUM(I76:I77)</f>
        <v>503372.848</v>
      </c>
      <c r="J78" s="157" t="n">
        <f aca="false">SUM(J76:J77)</f>
        <v>496371.2224</v>
      </c>
      <c r="K78" s="157" t="n">
        <f aca="false">SUM(K76:K77)</f>
        <v>489369.5968</v>
      </c>
      <c r="L78" s="157" t="n">
        <f aca="false">SUM(L76:L77)</f>
        <v>482367.9712</v>
      </c>
      <c r="M78" s="157" t="n">
        <f aca="false">SUM(M76:M77)</f>
        <v>475366.3456</v>
      </c>
      <c r="N78" s="157" t="n">
        <f aca="false">SUM(N76:N77)</f>
        <v>503252.72</v>
      </c>
      <c r="O78" s="157" t="n">
        <f aca="false">SUM(O76:O77)</f>
        <v>496251.0944</v>
      </c>
      <c r="P78" s="157" t="n">
        <f aca="false">SUM(P76:P77)</f>
        <v>489249.4688</v>
      </c>
      <c r="Q78" s="157" t="n">
        <f aca="false">SUM(Q76:Q77)</f>
        <v>482247.8432</v>
      </c>
      <c r="R78" s="157" t="n">
        <f aca="false">SUM(R76:R77)</f>
        <v>475246.2176</v>
      </c>
      <c r="S78" s="157" t="n">
        <f aca="false">SUM(S76:S77)</f>
        <v>468244.592</v>
      </c>
      <c r="T78" s="157" t="n">
        <f aca="false">SUM(T76:T77)</f>
        <v>461242.9664</v>
      </c>
      <c r="U78" s="157" t="n">
        <f aca="false">SUM(U76:U77)</f>
        <v>454241.3408</v>
      </c>
      <c r="V78" s="157" t="n">
        <f aca="false">SUM(V76:V77)</f>
        <v>447239.7152</v>
      </c>
      <c r="W78" s="157" t="n">
        <f aca="false">SUM(W76:W77)</f>
        <v>440238.0896</v>
      </c>
      <c r="X78" s="157" t="n">
        <f aca="false">SUM(X76:X77)</f>
        <v>0</v>
      </c>
    </row>
    <row r="79" customFormat="false" ht="18.75" hidden="false" customHeight="true" outlineLevel="0" collapsed="false">
      <c r="B79" s="166" t="s">
        <v>41</v>
      </c>
      <c r="C79" s="16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80"/>
    </row>
    <row r="80" customFormat="false" ht="18.75" hidden="false" customHeight="true" outlineLevel="0" collapsed="false">
      <c r="B80" s="67" t="s">
        <v>42</v>
      </c>
      <c r="C80" s="68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2"/>
    </row>
    <row r="81" customFormat="false" ht="18.75" hidden="false" customHeight="true" outlineLevel="0" collapsed="false">
      <c r="B81" s="57"/>
      <c r="C81" s="56"/>
      <c r="D81" s="56"/>
      <c r="E81" s="56"/>
      <c r="F81" s="57"/>
      <c r="G81" s="57"/>
      <c r="H81" s="57"/>
      <c r="I81" s="57"/>
      <c r="J81" s="57"/>
      <c r="K81" s="57"/>
      <c r="L81" s="57"/>
      <c r="M81" s="56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2026-04-15T16:33:31Z</dcterms:created>
  <dc:creator>openpyxl</dc:creator>
  <dc:description/>
  <dc:language>zh-TW</dc:language>
  <cp:lastModifiedBy/>
  <dcterms:modified xsi:type="dcterms:W3CDTF">2026-04-15T16:33:36Z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