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工作表1" sheetId="1" state="visible" r:id="rId3"/>
    <sheet name="滾算紀錄單(總紀錄)" sheetId="2" state="visible" r:id="rId4"/>
    <sheet name="p1" sheetId="3" state="visible" r:id="rId5"/>
    <sheet name="p2" sheetId="4" state="visible" r:id="rId6"/>
    <sheet name="p3" sheetId="5" state="visible" r:id="rId7"/>
    <sheet name="p4" sheetId="6" state="visible" r:id="rId8"/>
    <sheet name="p5" sheetId="7" state="visible" r:id="rId9"/>
    <sheet name="p6" sheetId="8" state="visible" r:id="rId10"/>
    <sheet name="p7" sheetId="9" state="visible" r:id="rId11"/>
    <sheet name="p8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<sst xmlns="http://schemas.openxmlformats.org/spreadsheetml/2006/main" count="1765" uniqueCount="180">
  <si>
    <t xml:space="preserve">電站基本資料</t>
  </si>
  <si>
    <t xml:space="preserve">電站名稱</t>
  </si>
  <si>
    <r>
      <rPr>
        <sz val="12"/>
        <color theme="1"/>
        <rFont val="新細明體"/>
        <family val="2"/>
        <charset val="1"/>
      </rPr>
      <t xml:space="preserve">淡江大學</t>
    </r>
    <r>
      <rPr>
        <sz val="12"/>
        <color theme="1"/>
        <rFont val="Calibri"/>
        <family val="2"/>
        <charset val="136"/>
      </rPr>
      <t xml:space="preserve">-</t>
    </r>
    <r>
      <rPr>
        <sz val="12"/>
        <color theme="1"/>
        <rFont val="新細明體"/>
        <family val="2"/>
        <charset val="1"/>
      </rPr>
      <t xml:space="preserve">財務模擬案場</t>
    </r>
  </si>
  <si>
    <t xml:space="preserve">-</t>
  </si>
  <si>
    <t xml:space="preserve">電站壽命</t>
  </si>
  <si>
    <t xml:space="preserve">建置量(kWp)</t>
  </si>
  <si>
    <t xml:space="preserve">起始年度</t>
  </si>
  <si>
    <t xml:space="preserve">結束年度</t>
  </si>
  <si>
    <t xml:space="preserve">綜合損益表</t>
  </si>
  <si>
    <t xml:space="preserve">收入</t>
  </si>
  <si>
    <t xml:space="preserve">收支項目</t>
  </si>
  <si>
    <t xml:space="preserve">相關參數</t>
  </si>
  <si>
    <t xml:space="preserve">參數數值</t>
  </si>
  <si>
    <t xml:space="preserve">年限</t>
  </si>
  <si>
    <t xml:space="preserve">電費收入</t>
  </si>
  <si>
    <r>
      <rPr>
        <sz val="12"/>
        <color theme="1"/>
        <rFont val="新細明體"/>
        <family val="2"/>
        <charset val="1"/>
      </rPr>
      <t xml:space="preserve">年度</t>
    </r>
    <r>
      <rPr>
        <sz val="12"/>
        <color theme="1"/>
        <rFont val="Calibri"/>
        <family val="2"/>
        <charset val="1"/>
      </rPr>
      <t xml:space="preserve">AC</t>
    </r>
    <r>
      <rPr>
        <sz val="12"/>
        <color theme="1"/>
        <rFont val="新細明體"/>
        <family val="2"/>
        <charset val="1"/>
      </rPr>
      <t xml:space="preserve">併網總發電量</t>
    </r>
  </si>
  <si>
    <t xml:space="preserve">首年衰退率</t>
  </si>
  <si>
    <t xml:space="preserve">次年衰退率</t>
  </si>
  <si>
    <r>
      <rPr>
        <sz val="12"/>
        <color theme="1"/>
        <rFont val="新細明體"/>
        <family val="2"/>
        <charset val="1"/>
      </rPr>
      <t xml:space="preserve">躉售費率</t>
    </r>
    <r>
      <rPr>
        <sz val="12"/>
        <color theme="1"/>
        <rFont val="Calibri"/>
        <family val="2"/>
        <charset val="1"/>
      </rPr>
      <t xml:space="preserve">(FIT)</t>
    </r>
  </si>
  <si>
    <t xml:space="preserve">支出</t>
  </si>
  <si>
    <t xml:space="preserve">攤提年限</t>
  </si>
  <si>
    <r>
      <rPr>
        <sz val="12"/>
        <color theme="1"/>
        <rFont val="新細明體"/>
        <family val="2"/>
        <charset val="1"/>
      </rPr>
      <t xml:space="preserve">設備費用</t>
    </r>
    <r>
      <rPr>
        <sz val="12"/>
        <color theme="1"/>
        <rFont val="Calibri"/>
        <family val="2"/>
        <charset val="1"/>
      </rPr>
      <t xml:space="preserve">(</t>
    </r>
    <r>
      <rPr>
        <sz val="12"/>
        <color theme="1"/>
        <rFont val="新細明體"/>
        <family val="2"/>
        <charset val="1"/>
      </rPr>
      <t xml:space="preserve">價金</t>
    </r>
    <r>
      <rPr>
        <sz val="12"/>
        <color theme="1"/>
        <rFont val="Calibri"/>
        <family val="2"/>
        <charset val="1"/>
      </rPr>
      <t xml:space="preserve">)</t>
    </r>
  </si>
  <si>
    <t xml:space="preserve">每kWp設備成本</t>
  </si>
  <si>
    <t xml:space="preserve">信邦利潤率</t>
  </si>
  <si>
    <t xml:space="preserve">開發費</t>
  </si>
  <si>
    <t xml:space="preserve">租金費用</t>
  </si>
  <si>
    <t xml:space="preserve">租金計算方式
(1=固定攤提/2=電費抽成)</t>
  </si>
  <si>
    <t xml:space="preserve">【方式1參數】租金總額</t>
  </si>
  <si>
    <r>
      <rPr>
        <sz val="12"/>
        <color theme="1"/>
        <rFont val="新細明體"/>
        <family val="2"/>
        <charset val="1"/>
      </rPr>
      <t xml:space="preserve">【方式</t>
    </r>
    <r>
      <rPr>
        <sz val="12"/>
        <color theme="1"/>
        <rFont val="Calibri"/>
        <family val="2"/>
        <charset val="136"/>
      </rPr>
      <t xml:space="preserve">2</t>
    </r>
    <r>
      <rPr>
        <sz val="12"/>
        <color theme="1"/>
        <rFont val="新細明體"/>
        <family val="2"/>
        <charset val="1"/>
      </rPr>
      <t xml:space="preserve">參數】抽成比率</t>
    </r>
  </si>
  <si>
    <t xml:space="preserve">運維費用</t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</si>
  <si>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Calibri"/>
        <family val="2"/>
        <charset val="136"/>
      </rPr>
      <t xml:space="preserve">kw</t>
    </r>
    <r>
      <rPr>
        <sz val="12"/>
        <color theme="1"/>
        <rFont val="新細明體"/>
        <family val="2"/>
        <charset val="1"/>
      </rPr>
      <t xml:space="preserve">運維成本</t>
    </r>
  </si>
  <si>
    <t xml:space="preserve">保險費用</t>
  </si>
  <si>
    <t xml:space="preserve">占整體設備費用比例</t>
  </si>
  <si>
    <t xml:space="preserve">模組回收費用</t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</si>
  <si>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Calibri"/>
        <family val="2"/>
        <charset val="136"/>
      </rPr>
      <t xml:space="preserve">kw</t>
    </r>
    <r>
      <rPr>
        <sz val="12"/>
        <color theme="1"/>
        <rFont val="新細明體"/>
        <family val="2"/>
        <charset val="1"/>
      </rPr>
      <t xml:space="preserve">模組回收成本</t>
    </r>
  </si>
  <si>
    <t xml:space="preserve">利息費用</t>
  </si>
  <si>
    <t xml:space="preserve">銀行利率</t>
  </si>
  <si>
    <t xml:space="preserve">所得稅</t>
  </si>
  <si>
    <t xml:space="preserve">所得稅率</t>
  </si>
  <si>
    <t xml:space="preserve">現金流量表</t>
  </si>
  <si>
    <t xml:space="preserve">金流項目</t>
  </si>
  <si>
    <t xml:space="preserve">貸款成數</t>
  </si>
  <si>
    <t xml:space="preserve">占總設備費用比例</t>
  </si>
  <si>
    <t xml:space="preserve">貸款還款</t>
  </si>
  <si>
    <t xml:space="preserve">攤還期數</t>
  </si>
  <si>
    <t xml:space="preserve">現金股利</t>
  </si>
  <si>
    <t xml:space="preserve">股利比率</t>
  </si>
  <si>
    <t xml:space="preserve">年底減資</t>
  </si>
  <si>
    <t xml:space="preserve">年份</t>
  </si>
  <si>
    <t xml:space="preserve">手動計算值</t>
  </si>
  <si>
    <t xml:space="preserve">償還年限</t>
  </si>
  <si>
    <t xml:space="preserve">(Unit : Currency)</t>
  </si>
  <si>
    <r>
      <rPr>
        <sz val="12"/>
        <color rgb="FF000000"/>
        <rFont val="新細明體"/>
        <family val="2"/>
        <charset val="1"/>
      </rPr>
      <t xml:space="preserve">發電度數</t>
    </r>
    <r>
      <rPr>
        <sz val="12"/>
        <color rgb="FF000000"/>
        <rFont val="Arial"/>
        <family val="2"/>
        <charset val="1"/>
      </rPr>
      <t xml:space="preserve">(KWH)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</si>
  <si>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電費收入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</si>
  <si>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政府補助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</si>
  <si>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新細明體"/>
        <family val="2"/>
        <charset val="1"/>
      </rPr>
      <t xml:space="preserve">銀行借款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</si>
  <si>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</si>
  <si>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設備放置區域租金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</si>
  <si>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返還借款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</si>
  <si>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利息費用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</si>
  <si>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維運費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</si>
  <si>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保險費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</si>
  <si>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模組回收費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</si>
  <si>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其它費用</t>
    </r>
    <r>
      <rPr>
        <sz val="12"/>
        <color rgb="FF000000"/>
        <rFont val="Arial"/>
        <family val="2"/>
        <charset val="1"/>
      </rPr>
      <t xml:space="preserve">(</t>
    </r>
    <r>
      <rPr>
        <sz val="12"/>
        <color rgb="FF000000"/>
        <rFont val="新細明體"/>
        <family val="2"/>
        <charset val="1"/>
      </rPr>
      <t xml:space="preserve">人事薪資…等</t>
    </r>
    <r>
      <rPr>
        <sz val="12"/>
        <color rgb="FF000000"/>
        <rFont val="Arial"/>
        <family val="2"/>
        <charset val="1"/>
      </rPr>
      <t xml:space="preserve">)</t>
    </r>
  </si>
  <si>
    <r>
      <rPr>
        <sz val="12"/>
        <color rgb="FF000000"/>
        <rFont val="Arial"/>
        <family val="2"/>
        <charset val="1"/>
      </rPr>
      <t xml:space="preserve">1%</t>
    </r>
    <r>
      <rPr>
        <sz val="12"/>
        <color rgb="FF000000"/>
        <rFont val="新細明體"/>
        <family val="2"/>
        <charset val="1"/>
      </rPr>
      <t xml:space="preserve">管理費</t>
    </r>
  </si>
  <si>
    <t xml:space="preserve">績效獎金</t>
  </si>
  <si>
    <t xml:space="preserve">所得稅20%</t>
  </si>
  <si>
    <t xml:space="preserve">現金流</t>
  </si>
  <si>
    <t xml:space="preserve">累計現金流</t>
  </si>
  <si>
    <t xml:space="preserve">回收年限評估</t>
  </si>
  <si>
    <t xml:space="preserve">預估可建置量</t>
  </si>
  <si>
    <t xml:space="preserve">稅後淨利</t>
  </si>
  <si>
    <t xml:space="preserve">設備折舊</t>
  </si>
  <si>
    <t xml:space="preserve">營運活動現金流量</t>
  </si>
  <si>
    <t xml:space="preserve">投資活動-設備支出</t>
  </si>
  <si>
    <t xml:space="preserve">理財活動-借款</t>
  </si>
  <si>
    <t xml:space="preserve">理財活動-還款</t>
  </si>
  <si>
    <t xml:space="preserve">理財活動-現金增資</t>
  </si>
  <si>
    <t xml:space="preserve">現金淨流入(出 )</t>
  </si>
  <si>
    <t xml:space="preserve">期初淨現金</t>
  </si>
  <si>
    <t xml:space="preserve">期未淨現金</t>
  </si>
  <si>
    <t xml:space="preserve">成本法實際現金流</t>
  </si>
  <si>
    <t xml:space="preserve">成本法IRR</t>
  </si>
  <si>
    <t xml:space="preserve">權益法實際現金流</t>
  </si>
  <si>
    <t xml:space="preserve">權益法IRR</t>
  </si>
  <si>
    <t xml:space="preserve">借款餘額</t>
  </si>
  <si>
    <t xml:space="preserve">編號</t>
  </si>
  <si>
    <t xml:space="preserve">價金每KW</t>
  </si>
  <si>
    <t xml:space="preserve">專案法IRR</t>
  </si>
  <si>
    <t xml:space="preserve">信邦利潤</t>
  </si>
  <si>
    <t xml:space="preserve">每kw信邦利潤</t>
  </si>
  <si>
    <t xml:space="preserve">備註</t>
  </si>
  <si>
    <t xml:space="preserve">初始價金 - 現金模式，每次減少 2000 元，邊界值 20000 元</t>
  </si>
  <si>
    <t xml:space="preserve">第1次滾算，減少 2000 元 - 現金模式，每次減少 2000 元</t>
  </si>
  <si>
    <t xml:space="preserve">第2次滾算，減少 2000 元 - 現金模式，每次減少 2000 元</t>
  </si>
  <si>
    <t xml:space="preserve">第3次滾算，減少 2000 元 - 現金模式，每次減少 2000 元</t>
  </si>
  <si>
    <t xml:space="preserve">第4次滾算，減少 2000 元 - 現金模式，每次減少 2000 元</t>
  </si>
  <si>
    <t xml:space="preserve">第5次滾算，減少 2000 元 - 現金模式，每次減少 2000 元</t>
  </si>
  <si>
    <t xml:space="preserve">第6次滾算，減少 2000 元 - 現金模式，每次減少 2000 元</t>
  </si>
  <si>
    <t xml:space="preserve">第7次滾算，減少 2000 元 - 現金模式，每次減少 2000 元</t>
  </si>
  <si>
    <t xml:space="preserve">說明</t>
  </si>
  <si>
    <r>
      <rPr>
        <sz val="12"/>
        <color theme="1"/>
        <rFont val="新細明體"/>
        <family val="2"/>
        <charset val="1"/>
      </rPr>
      <t xml:space="preserve">淡江大學</t>
    </r>
    <r>
      <rPr>
        <sz val="12"/>
        <color theme="1"/>
        <rFont val="Noto Sans CJK SC"/>
        <family val="2"/>
        <charset val="1"/>
      </rPr>
      <t xml:space="preserve">-</t>
    </r>
    <r>
      <rPr>
        <sz val="12"/>
        <color theme="1"/>
        <rFont val="新細明體"/>
        <family val="2"/>
        <charset val="1"/>
      </rPr>
      <t xml:space="preserve">財務模擬案場</t>
    </r>
  </si>
  <si>
    <t xml:space="preserve">填入本案場名稱</t>
  </si>
  <si>
    <r>
      <rPr>
        <sz val="10"/>
        <color rgb="FF404040"/>
        <rFont val="新細明體"/>
        <family val="2"/>
        <charset val="1"/>
      </rPr>
      <t xml:space="preserve">預設 </t>
    </r>
    <r>
      <rPr>
        <sz val="10"/>
        <color rgb="FF404040"/>
        <rFont val="Noto Sans CJK SC"/>
        <family val="2"/>
        <charset val="1"/>
      </rPr>
      <t xml:space="preserve">20 </t>
    </r>
    <r>
      <rPr>
        <sz val="10"/>
        <color rgb="FF404040"/>
        <rFont val="新細明體"/>
        <family val="2"/>
        <charset val="1"/>
      </rPr>
      <t xml:space="preserve">年，代表財務評估年期。若合約年限不同可依實際情況修改</t>
    </r>
  </si>
  <si>
    <r>
      <rPr>
        <sz val="12"/>
        <color theme="1"/>
        <rFont val="新細明體"/>
        <family val="2"/>
        <charset val="1"/>
      </rPr>
      <t xml:space="preserve">建置量</t>
    </r>
    <r>
      <rPr>
        <sz val="12"/>
        <color theme="1"/>
        <rFont val="Noto Sans CJK SC"/>
        <family val="2"/>
        <charset val="1"/>
      </rPr>
      <t xml:space="preserve">(kWp)</t>
    </r>
  </si>
  <si>
    <r>
      <rPr>
        <sz val="10"/>
        <color rgb="FF404040"/>
        <rFont val="新細明體"/>
        <family val="2"/>
        <charset val="1"/>
      </rPr>
      <t xml:space="preserve">填入裝置容量（</t>
    </r>
    <r>
      <rPr>
        <sz val="10"/>
        <color rgb="FF404040"/>
        <rFont val="Noto Sans CJK SC"/>
        <family val="2"/>
        <charset val="1"/>
      </rPr>
      <t xml:space="preserve">kWp</t>
    </r>
    <r>
      <rPr>
        <sz val="10"/>
        <color rgb="FF404040"/>
        <rFont val="新細明體"/>
        <family val="2"/>
        <charset val="1"/>
      </rPr>
      <t xml:space="preserve">），通常由設計圖面或報價書取得</t>
    </r>
  </si>
  <si>
    <t xml:space="preserve">情境編號: 1</t>
  </si>
  <si>
    <r>
      <rPr>
        <sz val="10"/>
        <color rgb="FF404040"/>
        <rFont val="新細明體"/>
        <family val="2"/>
        <charset val="1"/>
      </rPr>
      <t xml:space="preserve">填入電站預計掛表的西元年份（例：</t>
    </r>
    <r>
      <rPr>
        <sz val="10"/>
        <color rgb="FF404040"/>
        <rFont val="Noto Sans CJK SC"/>
        <family val="2"/>
        <charset val="136"/>
      </rPr>
      <t xml:space="preserve">2025</t>
    </r>
    <r>
      <rPr>
        <sz val="10"/>
        <color rgb="FF404040"/>
        <rFont val="新細明體"/>
        <family val="2"/>
        <charset val="1"/>
      </rPr>
      <t xml:space="preserve">）。結束年度會自動計算</t>
    </r>
  </si>
  <si>
    <t xml:space="preserve">初始價金摘要</t>
  </si>
  <si>
    <t xml:space="preserve">價金: 35000</t>
  </si>
  <si>
    <t xml:space="preserve">專案IRR: 1.73</t>
  </si>
  <si>
    <t xml:space="preserve">權益法IRR: 1.75</t>
  </si>
  <si>
    <t xml:space="preserve">利潤率: 30.00%</t>
  </si>
  <si>
    <r>
      <rPr>
        <sz val="12"/>
        <color theme="1"/>
        <rFont val="新細明體"/>
        <family val="2"/>
        <charset val="1"/>
      </rPr>
      <t xml:space="preserve">年度</t>
    </r>
    <r>
      <rPr>
        <sz val="12"/>
        <color theme="1"/>
        <rFont val="Noto Sans CJK SC"/>
        <family val="2"/>
        <charset val="1"/>
      </rPr>
      <t xml:space="preserve">AC</t>
    </r>
    <r>
      <rPr>
        <sz val="12"/>
        <color theme="1"/>
        <rFont val="新細明體"/>
        <family val="2"/>
        <charset val="1"/>
      </rPr>
      <t xml:space="preserve">併網總發電量</t>
    </r>
  </si>
  <si>
    <r>
      <rPr>
        <sz val="10"/>
        <color rgb="FF404040"/>
        <rFont val="新細明體"/>
        <family val="2"/>
        <charset val="1"/>
      </rPr>
      <t xml:space="preserve">預估年發電量（</t>
    </r>
    <r>
      <rPr>
        <sz val="10"/>
        <color rgb="FF404040"/>
        <rFont val="Noto Sans CJK SC"/>
        <family val="2"/>
        <charset val="1"/>
      </rPr>
      <t xml:space="preserve">kWh</t>
    </r>
    <r>
      <rPr>
        <sz val="10"/>
        <color rgb="FF404040"/>
        <rFont val="新細明體"/>
        <family val="2"/>
        <charset val="1"/>
      </rPr>
      <t xml:space="preserve">），通常來自 </t>
    </r>
    <r>
      <rPr>
        <sz val="10"/>
        <color rgb="FF404040"/>
        <rFont val="Noto Sans CJK SC"/>
        <family val="2"/>
        <charset val="1"/>
      </rPr>
      <t xml:space="preserve">PVsyst </t>
    </r>
    <r>
      <rPr>
        <sz val="10"/>
        <color rgb="FF404040"/>
        <rFont val="新細明體"/>
        <family val="2"/>
        <charset val="1"/>
      </rPr>
      <t xml:space="preserve">模擬或估算：裝置容量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年日照時數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系統效率</t>
    </r>
  </si>
  <si>
    <t xml:space="preserve">初始價金 - 現金模式，每次減少 2000 元</t>
  </si>
  <si>
    <r>
      <rPr>
        <sz val="10"/>
        <color rgb="FF404040"/>
        <rFont val="新細明體"/>
        <family val="2"/>
        <charset val="1"/>
      </rPr>
      <t xml:space="preserve">第一年發電衰退比率，請填小數（例：</t>
    </r>
    <r>
      <rPr>
        <sz val="10"/>
        <color rgb="FF404040"/>
        <rFont val="Noto Sans CJK SC"/>
        <family val="2"/>
        <charset val="136"/>
      </rPr>
      <t xml:space="preserve">1%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36"/>
      </rPr>
      <t xml:space="preserve">0.01</t>
    </r>
    <r>
      <rPr>
        <sz val="10"/>
        <color rgb="FF404040"/>
        <rFont val="新細明體"/>
        <family val="2"/>
        <charset val="1"/>
      </rPr>
      <t xml:space="preserve">）。一般首年衰退約 </t>
    </r>
    <r>
      <rPr>
        <sz val="10"/>
        <color rgb="FF404040"/>
        <rFont val="Noto Sans CJK SC"/>
        <family val="2"/>
        <charset val="136"/>
      </rPr>
      <t xml:space="preserve">1~2%(</t>
    </r>
    <r>
      <rPr>
        <sz val="10"/>
        <color rgb="FF404040"/>
        <rFont val="新細明體"/>
        <family val="2"/>
        <charset val="1"/>
      </rPr>
      <t xml:space="preserve">請參考模組規格書</t>
    </r>
    <r>
      <rPr>
        <sz val="10"/>
        <color rgb="FF404040"/>
        <rFont val="Noto Sans CJK SC"/>
        <family val="2"/>
        <charset val="136"/>
      </rPr>
      <t xml:space="preserve">)</t>
    </r>
  </si>
  <si>
    <r>
      <rPr>
        <sz val="10"/>
        <color rgb="FF404040"/>
        <rFont val="新細明體"/>
        <family val="2"/>
        <charset val="1"/>
      </rPr>
      <t xml:space="preserve">第二年起每年固定衰退比率，請填小數（例：</t>
    </r>
    <r>
      <rPr>
        <sz val="10"/>
        <color rgb="FF404040"/>
        <rFont val="Noto Sans CJK SC"/>
        <family val="2"/>
        <charset val="136"/>
      </rPr>
      <t xml:space="preserve">0.4%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36"/>
      </rPr>
      <t xml:space="preserve">0.004</t>
    </r>
    <r>
      <rPr>
        <sz val="10"/>
        <color rgb="FF404040"/>
        <rFont val="新細明體"/>
        <family val="2"/>
        <charset val="1"/>
      </rPr>
      <t xml:space="preserve">）。一般約 </t>
    </r>
    <r>
      <rPr>
        <sz val="10"/>
        <color rgb="FF404040"/>
        <rFont val="Noto Sans CJK SC"/>
        <family val="2"/>
        <charset val="136"/>
      </rPr>
      <t xml:space="preserve">0.4~0.7%(</t>
    </r>
    <r>
      <rPr>
        <sz val="10"/>
        <color rgb="FF404040"/>
        <rFont val="新細明體"/>
        <family val="2"/>
        <charset val="1"/>
      </rPr>
      <t xml:space="preserve">請參考模組規格書</t>
    </r>
    <r>
      <rPr>
        <sz val="10"/>
        <color rgb="FF404040"/>
        <rFont val="Noto Sans CJK SC"/>
        <family val="2"/>
        <charset val="136"/>
      </rPr>
      <t xml:space="preserve">)</t>
    </r>
  </si>
  <si>
    <r>
      <rPr>
        <sz val="12"/>
        <color theme="1"/>
        <rFont val="新細明體"/>
        <family val="2"/>
        <charset val="1"/>
      </rPr>
      <t xml:space="preserve">躉售費率</t>
    </r>
    <r>
      <rPr>
        <sz val="12"/>
        <color theme="1"/>
        <rFont val="Noto Sans CJK SC"/>
        <family val="2"/>
        <charset val="1"/>
      </rPr>
      <t xml:space="preserve">(FIT) / </t>
    </r>
    <r>
      <rPr>
        <sz val="12"/>
        <color theme="1"/>
        <rFont val="新細明體"/>
        <family val="2"/>
        <charset val="1"/>
      </rPr>
      <t xml:space="preserve">綠電費率</t>
    </r>
  </si>
  <si>
    <r>
      <rPr>
        <sz val="10"/>
        <color rgb="FF404040"/>
        <rFont val="新細明體"/>
        <family val="2"/>
        <charset val="1"/>
      </rPr>
      <t xml:space="preserve">與台電簽訂的躉購費率或綠電合約費率，單位：元</t>
    </r>
    <r>
      <rPr>
        <sz val="10"/>
        <color rgb="FF404040"/>
        <rFont val="Noto Sans CJK SC"/>
        <family val="2"/>
        <charset val="1"/>
      </rPr>
      <t xml:space="preserve">/</t>
    </r>
    <r>
      <rPr>
        <sz val="10"/>
        <color rgb="FF404040"/>
        <rFont val="新細明體"/>
        <family val="2"/>
        <charset val="1"/>
      </rPr>
      <t xml:space="preserve">度。請參考台電公告或合約內容</t>
    </r>
  </si>
  <si>
    <r>
      <rPr>
        <sz val="12"/>
        <color theme="1"/>
        <rFont val="新細明體"/>
        <family val="2"/>
        <charset val="1"/>
      </rPr>
      <t xml:space="preserve">設備費用</t>
    </r>
    <r>
      <rPr>
        <sz val="12"/>
        <color theme="1"/>
        <rFont val="Noto Sans CJK SC"/>
        <family val="2"/>
        <charset val="1"/>
      </rPr>
      <t xml:space="preserve">(</t>
    </r>
    <r>
      <rPr>
        <sz val="12"/>
        <color theme="1"/>
        <rFont val="新細明體"/>
        <family val="2"/>
        <charset val="1"/>
      </rPr>
      <t xml:space="preserve">價金</t>
    </r>
    <r>
      <rPr>
        <sz val="12"/>
        <color theme="1"/>
        <rFont val="Noto Sans CJK SC"/>
        <family val="2"/>
        <charset val="1"/>
      </rPr>
      <t xml:space="preserve">)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</si>
  <si>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kWp</t>
    </r>
    <r>
      <rPr>
        <sz val="12"/>
        <color theme="1"/>
        <rFont val="新細明體"/>
        <family val="2"/>
        <charset val="1"/>
      </rPr>
      <t xml:space="preserve">設備成本</t>
    </r>
  </si>
  <si>
    <r>
      <rPr>
        <sz val="10"/>
        <color rgb="FF404040"/>
        <rFont val="新細明體"/>
        <family val="2"/>
        <charset val="1"/>
      </rPr>
      <t xml:space="preserve">每峰瓩設備成本（元</t>
    </r>
    <r>
      <rPr>
        <sz val="10"/>
        <color rgb="FF404040"/>
        <rFont val="Noto Sans CJK SC"/>
        <family val="2"/>
        <charset val="1"/>
      </rPr>
      <t xml:space="preserve">/kWp</t>
    </r>
    <r>
      <rPr>
        <sz val="10"/>
        <color rgb="FF404040"/>
        <rFont val="新細明體"/>
        <family val="2"/>
        <charset val="1"/>
      </rPr>
      <t xml:space="preserve">），包含模組、逆變器、支架等硬體，不含工程施工費</t>
    </r>
  </si>
  <si>
    <r>
      <rPr>
        <sz val="12"/>
        <color theme="1"/>
        <rFont val="新細明體"/>
        <family val="2"/>
        <charset val="1"/>
      </rPr>
      <t xml:space="preserve">信邦利潤率</t>
    </r>
    <r>
      <rPr>
        <sz val="12"/>
        <color theme="1"/>
        <rFont val="Noto Sans CJK SC"/>
        <family val="2"/>
        <charset val="1"/>
      </rPr>
      <t xml:space="preserve">(ex:20%</t>
    </r>
    <r>
      <rPr>
        <sz val="12"/>
        <color theme="1"/>
        <rFont val="新細明體"/>
        <family val="2"/>
        <charset val="1"/>
      </rPr>
      <t xml:space="preserve">填</t>
    </r>
    <r>
      <rPr>
        <sz val="12"/>
        <color theme="1"/>
        <rFont val="Noto Sans CJK SC"/>
        <family val="2"/>
        <charset val="1"/>
      </rPr>
      <t xml:space="preserve">0.2)</t>
    </r>
  </si>
  <si>
    <r>
      <rPr>
        <sz val="10"/>
        <color rgb="FF404040"/>
        <rFont val="新細明體"/>
        <family val="2"/>
        <charset val="1"/>
      </rPr>
      <t xml:space="preserve">公司在設備費用上加計的利潤比率，請填小數（例：</t>
    </r>
    <r>
      <rPr>
        <sz val="10"/>
        <color rgb="FF404040"/>
        <rFont val="Noto Sans CJK SC"/>
        <family val="2"/>
        <charset val="1"/>
      </rPr>
      <t xml:space="preserve">20%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）</t>
    </r>
  </si>
  <si>
    <r>
      <rPr>
        <sz val="10"/>
        <color rgb="FF404040"/>
        <rFont val="新細明體"/>
        <family val="2"/>
        <charset val="1"/>
      </rPr>
      <t xml:space="preserve">前期開發費用（元），含可行性評估、申請規費、地主溝通等。若無則填 </t>
    </r>
    <r>
      <rPr>
        <sz val="10"/>
        <color rgb="FF404040"/>
        <rFont val="Noto Sans CJK SC"/>
        <family val="2"/>
        <charset val="1"/>
      </rPr>
      <t xml:space="preserve">0</t>
    </r>
  </si>
  <si>
    <t xml:space="preserve">租金計算方式</t>
  </si>
  <si>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1 = </t>
    </r>
    <r>
      <rPr>
        <sz val="10"/>
        <color rgb="FF404040"/>
        <rFont val="新細明體"/>
        <family val="2"/>
        <charset val="1"/>
      </rPr>
      <t xml:space="preserve">固定年租金（需填方式</t>
    </r>
    <r>
      <rPr>
        <sz val="10"/>
        <color rgb="FF404040"/>
        <rFont val="Noto Sans CJK SC"/>
        <family val="2"/>
        <charset val="1"/>
      </rPr>
      <t xml:space="preserve">1</t>
    </r>
    <r>
      <rPr>
        <sz val="10"/>
        <color rgb="FF404040"/>
        <rFont val="新細明體"/>
        <family val="2"/>
        <charset val="1"/>
      </rPr>
      <t xml:space="preserve">參數）；填 </t>
    </r>
    <r>
      <rPr>
        <sz val="10"/>
        <color rgb="FF404040"/>
        <rFont val="Noto Sans CJK SC"/>
        <family val="2"/>
        <charset val="1"/>
      </rPr>
      <t xml:space="preserve">2 = </t>
    </r>
    <r>
      <rPr>
        <sz val="10"/>
        <color rgb="FF404040"/>
        <rFont val="新細明體"/>
        <family val="2"/>
        <charset val="1"/>
      </rPr>
      <t xml:space="preserve">依電費收入抽成（需填方式</t>
    </r>
    <r>
      <rPr>
        <sz val="10"/>
        <color rgb="FF404040"/>
        <rFont val="Noto Sans CJK SC"/>
        <family val="2"/>
        <charset val="1"/>
      </rPr>
      <t xml:space="preserve">2</t>
    </r>
    <r>
      <rPr>
        <sz val="10"/>
        <color rgb="FF404040"/>
        <rFont val="新細明體"/>
        <family val="2"/>
        <charset val="1"/>
      </rPr>
      <t xml:space="preserve">參數）</t>
    </r>
  </si>
  <si>
    <r>
      <rPr>
        <sz val="11"/>
        <color theme="1"/>
        <rFont val="新細明體"/>
        <family val="2"/>
        <charset val="1"/>
      </rPr>
      <t xml:space="preserve">【方式</t>
    </r>
    <r>
      <rPr>
        <sz val="11"/>
        <color theme="1"/>
        <rFont val="Noto Sans CJK SC"/>
        <family val="2"/>
        <charset val="1"/>
      </rPr>
      <t xml:space="preserve">1</t>
    </r>
    <r>
      <rPr>
        <sz val="11"/>
        <color theme="1"/>
        <rFont val="新細明體"/>
        <family val="2"/>
        <charset val="1"/>
      </rPr>
      <t xml:space="preserve">參數】每年相同價格</t>
    </r>
  </si>
  <si>
    <r>
      <rPr>
        <sz val="10"/>
        <color rgb="FF404040"/>
        <rFont val="新細明體"/>
        <family val="2"/>
        <charset val="1"/>
      </rPr>
      <t xml:space="preserve">租金計算方式選「</t>
    </r>
    <r>
      <rPr>
        <sz val="10"/>
        <color rgb="FF404040"/>
        <rFont val="Noto Sans CJK SC"/>
        <family val="2"/>
        <charset val="1"/>
      </rPr>
      <t xml:space="preserve">1</t>
    </r>
    <r>
      <rPr>
        <sz val="10"/>
        <color rgb="FF404040"/>
        <rFont val="新細明體"/>
        <family val="2"/>
        <charset val="1"/>
      </rPr>
      <t xml:space="preserve">」時填寫，固定年租金金額（元</t>
    </r>
    <r>
      <rPr>
        <sz val="10"/>
        <color rgb="FF404040"/>
        <rFont val="Noto Sans CJK SC"/>
        <family val="2"/>
        <charset val="1"/>
      </rPr>
      <t xml:space="preserve">/</t>
    </r>
    <r>
      <rPr>
        <sz val="10"/>
        <color rgb="FF404040"/>
        <rFont val="新細明體"/>
        <family val="2"/>
        <charset val="1"/>
      </rPr>
      <t xml:space="preserve">年），套用至整個電站壽命期</t>
    </r>
  </si>
  <si>
    <r>
      <rPr>
        <sz val="12"/>
        <color theme="1"/>
        <rFont val="新細明體"/>
        <family val="2"/>
        <charset val="1"/>
      </rPr>
      <t xml:space="preserve">【方式</t>
    </r>
    <r>
      <rPr>
        <sz val="12"/>
        <color theme="1"/>
        <rFont val="Noto Sans CJK SC"/>
        <family val="2"/>
        <charset val="1"/>
      </rPr>
      <t xml:space="preserve">2</t>
    </r>
    <r>
      <rPr>
        <sz val="12"/>
        <color theme="1"/>
        <rFont val="新細明體"/>
        <family val="2"/>
        <charset val="1"/>
      </rPr>
      <t xml:space="preserve">參數】抽成比率</t>
    </r>
  </si>
  <si>
    <r>
      <rPr>
        <sz val="10"/>
        <color rgb="FF404040"/>
        <rFont val="新細明體"/>
        <family val="2"/>
        <charset val="1"/>
      </rPr>
      <t xml:space="preserve">租金計算方式選「</t>
    </r>
    <r>
      <rPr>
        <sz val="10"/>
        <color rgb="FF404040"/>
        <rFont val="Noto Sans CJK SC"/>
        <family val="2"/>
        <charset val="1"/>
      </rPr>
      <t xml:space="preserve">2</t>
    </r>
    <r>
      <rPr>
        <sz val="10"/>
        <color rgb="FF404040"/>
        <rFont val="新細明體"/>
        <family val="2"/>
        <charset val="1"/>
      </rPr>
      <t xml:space="preserve">」時填寫，請填小數（例：</t>
    </r>
    <r>
      <rPr>
        <sz val="10"/>
        <color rgb="FF404040"/>
        <rFont val="Noto Sans CJK SC"/>
        <family val="2"/>
        <charset val="1"/>
      </rPr>
      <t xml:space="preserve">10%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0.1</t>
    </r>
    <r>
      <rPr>
        <sz val="10"/>
        <color rgb="FF404040"/>
        <rFont val="新細明體"/>
        <family val="2"/>
        <charset val="1"/>
      </rPr>
      <t xml:space="preserve">）。租金 </t>
    </r>
    <r>
      <rPr>
        <sz val="10"/>
        <color rgb="FF404040"/>
        <rFont val="Noto Sans CJK SC"/>
        <family val="2"/>
        <charset val="1"/>
      </rPr>
      <t xml:space="preserve">= </t>
    </r>
    <r>
      <rPr>
        <sz val="10"/>
        <color rgb="FF404040"/>
        <rFont val="新細明體"/>
        <family val="2"/>
        <charset val="1"/>
      </rPr>
      <t xml:space="preserve">當年電費收入 </t>
    </r>
    <r>
      <rPr>
        <sz val="10"/>
        <color rgb="FF404040"/>
        <rFont val="Noto Sans CJK SC"/>
        <family val="2"/>
        <charset val="1"/>
      </rPr>
      <t xml:space="preserve">× </t>
    </r>
    <r>
      <rPr>
        <sz val="10"/>
        <color rgb="FF404040"/>
        <rFont val="新細明體"/>
        <family val="2"/>
        <charset val="1"/>
      </rPr>
      <t xml:space="preserve">抽成比率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</si>
  <si>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</t>
    </r>
    <r>
      <rPr>
        <sz val="12"/>
        <color theme="1"/>
        <rFont val="新細明體"/>
        <family val="2"/>
        <charset val="1"/>
      </rPr>
      <t xml:space="preserve">運維成本</t>
    </r>
  </si>
  <si>
    <r>
      <rPr>
        <sz val="10"/>
        <color rgb="FF404040"/>
        <rFont val="新細明體"/>
        <family val="2"/>
        <charset val="1"/>
      </rPr>
      <t xml:space="preserve">每峰瓩每年運維費用（元</t>
    </r>
    <r>
      <rPr>
        <sz val="10"/>
        <color rgb="FF404040"/>
        <rFont val="Noto Sans CJK SC"/>
        <family val="2"/>
        <charset val="136"/>
      </rPr>
      <t xml:space="preserve">/kWp/</t>
    </r>
    <r>
      <rPr>
        <sz val="10"/>
        <color rgb="FF404040"/>
        <rFont val="新細明體"/>
        <family val="2"/>
        <charset val="1"/>
      </rPr>
      <t xml:space="preserve">年），含清洗、巡檢、維修等。</t>
    </r>
  </si>
  <si>
    <r>
      <rPr>
        <sz val="10"/>
        <color rgb="FF404040"/>
        <rFont val="新細明體"/>
        <family val="2"/>
        <charset val="1"/>
      </rPr>
      <t xml:space="preserve">保險費佔設備總費用比率，填小數（例：</t>
    </r>
    <r>
      <rPr>
        <sz val="10"/>
        <color rgb="FF404040"/>
        <rFont val="Noto Sans CJK SC"/>
        <family val="2"/>
        <charset val="1"/>
      </rPr>
      <t xml:space="preserve">0.3%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0.003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0.003</t>
    </r>
    <r>
      <rPr>
        <sz val="10"/>
        <color rgb="FF404040"/>
        <rFont val="新細明體"/>
        <family val="2"/>
        <charset val="1"/>
      </rPr>
      <t xml:space="preserve">，可依投保條件調整</t>
    </r>
  </si>
  <si>
    <r>
      <rPr>
        <sz val="12"/>
        <color theme="1"/>
        <rFont val="新細明體"/>
        <family val="2"/>
        <charset val="1"/>
      </rPr>
      <t xml:space="preserve">每</t>
    </r>
    <r>
      <rPr>
        <sz val="12"/>
        <color theme="1"/>
        <rFont val="Noto Sans CJK SC"/>
        <family val="2"/>
        <charset val="1"/>
      </rPr>
      <t xml:space="preserve">kw</t>
    </r>
    <r>
      <rPr>
        <sz val="12"/>
        <color theme="1"/>
        <rFont val="新細明體"/>
        <family val="2"/>
        <charset val="1"/>
      </rPr>
      <t xml:space="preserve">模組回收成本</t>
    </r>
  </si>
  <si>
    <r>
      <rPr>
        <sz val="10"/>
        <color rgb="FF404040"/>
        <rFont val="新細明體"/>
        <family val="2"/>
        <charset val="1"/>
      </rPr>
      <t xml:space="preserve">每峰瓩模組廢棄回收費用（元</t>
    </r>
    <r>
      <rPr>
        <sz val="10"/>
        <color rgb="FF404040"/>
        <rFont val="Noto Sans CJK SC"/>
        <family val="2"/>
        <charset val="136"/>
      </rPr>
      <t xml:space="preserve">/kWp</t>
    </r>
    <r>
      <rPr>
        <sz val="10"/>
        <color rgb="FF404040"/>
        <rFont val="新細明體"/>
        <family val="2"/>
        <charset val="1"/>
      </rPr>
      <t xml:space="preserve">），於第 </t>
    </r>
    <r>
      <rPr>
        <sz val="10"/>
        <color rgb="FF404040"/>
        <rFont val="Noto Sans CJK SC"/>
        <family val="2"/>
        <charset val="136"/>
      </rPr>
      <t xml:space="preserve">1~10 </t>
    </r>
    <r>
      <rPr>
        <sz val="10"/>
        <color rgb="FF404040"/>
        <rFont val="新細明體"/>
        <family val="2"/>
        <charset val="1"/>
      </rPr>
      <t xml:space="preserve">年計提（攤提 </t>
    </r>
    <r>
      <rPr>
        <sz val="10"/>
        <color rgb="FF404040"/>
        <rFont val="Noto Sans CJK SC"/>
        <family val="2"/>
        <charset val="136"/>
      </rPr>
      <t xml:space="preserve">10 </t>
    </r>
    <r>
      <rPr>
        <sz val="10"/>
        <color rgb="FF404040"/>
        <rFont val="新細明體"/>
        <family val="2"/>
        <charset val="1"/>
      </rPr>
      <t xml:space="preserve">年）。</t>
    </r>
  </si>
  <si>
    <r>
      <rPr>
        <sz val="10"/>
        <color rgb="FF404040"/>
        <rFont val="新細明體"/>
        <family val="2"/>
        <charset val="1"/>
      </rPr>
      <t xml:space="preserve">向銀行貸款的年利率，填小數（例：</t>
    </r>
    <r>
      <rPr>
        <sz val="10"/>
        <color rgb="FF404040"/>
        <rFont val="Noto Sans CJK SC"/>
        <family val="2"/>
        <charset val="1"/>
      </rPr>
      <t xml:space="preserve">2.56%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0.0256</t>
    </r>
    <r>
      <rPr>
        <sz val="10"/>
        <color rgb="FF404040"/>
        <rFont val="新細明體"/>
        <family val="2"/>
        <charset val="1"/>
      </rPr>
      <t xml:space="preserve">）。請依銀行核准利率填入</t>
    </r>
  </si>
  <si>
    <r>
      <rPr>
        <sz val="10"/>
        <color rgb="FF404040"/>
        <rFont val="新細明體"/>
        <family val="2"/>
        <charset val="1"/>
      </rPr>
      <t xml:space="preserve">公司所得稅率，填小數（例：</t>
    </r>
    <r>
      <rPr>
        <sz val="10"/>
        <color rgb="FF404040"/>
        <rFont val="Noto Sans CJK SC"/>
        <family val="2"/>
        <charset val="1"/>
      </rPr>
      <t xml:space="preserve">20%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0.2</t>
    </r>
    <r>
      <rPr>
        <sz val="10"/>
        <color rgb="FF404040"/>
        <rFont val="新細明體"/>
        <family val="2"/>
        <charset val="1"/>
      </rPr>
      <t xml:space="preserve">，通常不需更改</t>
    </r>
  </si>
  <si>
    <r>
      <rPr>
        <sz val="10"/>
        <color rgb="FF404040"/>
        <rFont val="新細明體"/>
        <family val="2"/>
        <charset val="1"/>
      </rPr>
      <t xml:space="preserve">貸款佔設備總費用比例，填小數（例：</t>
    </r>
    <r>
      <rPr>
        <sz val="10"/>
        <color rgb="FF404040"/>
        <rFont val="Noto Sans CJK SC"/>
        <family val="2"/>
        <charset val="1"/>
      </rPr>
      <t xml:space="preserve">80%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0.8</t>
    </r>
    <r>
      <rPr>
        <sz val="10"/>
        <color rgb="FF404040"/>
        <rFont val="新細明體"/>
        <family val="2"/>
        <charset val="1"/>
      </rPr>
      <t xml:space="preserve">）。預設 </t>
    </r>
    <r>
      <rPr>
        <sz val="10"/>
        <color rgb="FF404040"/>
        <rFont val="Noto Sans CJK SC"/>
        <family val="2"/>
        <charset val="1"/>
      </rPr>
      <t xml:space="preserve">0.8 </t>
    </r>
    <r>
      <rPr>
        <sz val="10"/>
        <color rgb="FF404040"/>
        <rFont val="新細明體"/>
        <family val="2"/>
        <charset val="1"/>
      </rPr>
      <t xml:space="preserve">代表貸八成、自備二成</t>
    </r>
  </si>
  <si>
    <r>
      <rPr>
        <sz val="10"/>
        <color rgb="FF404040"/>
        <rFont val="新細明體"/>
        <family val="2"/>
        <charset val="1"/>
      </rPr>
      <t xml:space="preserve">貸款還款年數（年）。預設 </t>
    </r>
    <r>
      <rPr>
        <sz val="10"/>
        <color rgb="FF404040"/>
        <rFont val="Noto Sans CJK SC"/>
        <family val="2"/>
        <charset val="1"/>
      </rPr>
      <t xml:space="preserve">15 </t>
    </r>
    <r>
      <rPr>
        <sz val="10"/>
        <color rgb="FF404040"/>
        <rFont val="新細明體"/>
        <family val="2"/>
        <charset val="1"/>
      </rPr>
      <t xml:space="preserve">年，代表分 </t>
    </r>
    <r>
      <rPr>
        <sz val="10"/>
        <color rgb="FF404040"/>
        <rFont val="Noto Sans CJK SC"/>
        <family val="2"/>
        <charset val="1"/>
      </rPr>
      <t xml:space="preserve">15 </t>
    </r>
    <r>
      <rPr>
        <sz val="10"/>
        <color rgb="FF404040"/>
        <rFont val="新細明體"/>
        <family val="2"/>
        <charset val="1"/>
      </rPr>
      <t xml:space="preserve">年平均攤還本金</t>
    </r>
  </si>
  <si>
    <r>
      <rPr>
        <sz val="10"/>
        <color rgb="FF404040"/>
        <rFont val="新細明體"/>
        <family val="2"/>
        <charset val="1"/>
      </rPr>
      <t xml:space="preserve">稅後現金流中分配給股東的比例，填小數（例：</t>
    </r>
    <r>
      <rPr>
        <sz val="10"/>
        <color rgb="FF404040"/>
        <rFont val="Noto Sans CJK SC"/>
        <family val="2"/>
        <charset val="1"/>
      </rPr>
      <t xml:space="preserve">90% → </t>
    </r>
    <r>
      <rPr>
        <sz val="10"/>
        <color rgb="FF404040"/>
        <rFont val="新細明體"/>
        <family val="2"/>
        <charset val="1"/>
      </rPr>
      <t xml:space="preserve">填 </t>
    </r>
    <r>
      <rPr>
        <sz val="10"/>
        <color rgb="FF404040"/>
        <rFont val="Noto Sans CJK SC"/>
        <family val="2"/>
        <charset val="1"/>
      </rPr>
      <t xml:space="preserve">0.9</t>
    </r>
    <r>
      <rPr>
        <sz val="10"/>
        <color rgb="FF404040"/>
        <rFont val="新細明體"/>
        <family val="2"/>
        <charset val="1"/>
      </rPr>
      <t xml:space="preserve">）</t>
    </r>
  </si>
  <si>
    <r>
      <rPr>
        <sz val="10"/>
        <color rgb="FF404040"/>
        <rFont val="新細明體"/>
        <family val="2"/>
        <charset val="1"/>
      </rPr>
      <t xml:space="preserve">年底減資返還股東的年數。預設 </t>
    </r>
    <r>
      <rPr>
        <sz val="10"/>
        <color rgb="FF404040"/>
        <rFont val="Noto Sans CJK SC"/>
        <family val="2"/>
        <charset val="136"/>
      </rPr>
      <t xml:space="preserve">4 </t>
    </r>
    <r>
      <rPr>
        <sz val="10"/>
        <color rgb="FF404040"/>
        <rFont val="新細明體"/>
        <family val="2"/>
        <charset val="1"/>
      </rPr>
      <t xml:space="preserve">年，代表 倒數 </t>
    </r>
    <r>
      <rPr>
        <sz val="10"/>
        <color rgb="FF404040"/>
        <rFont val="Noto Sans CJK SC"/>
        <family val="2"/>
        <charset val="136"/>
      </rPr>
      <t xml:space="preserve">4 </t>
    </r>
    <r>
      <rPr>
        <sz val="10"/>
        <color rgb="FF404040"/>
        <rFont val="新細明體"/>
        <family val="2"/>
        <charset val="1"/>
      </rPr>
      <t xml:space="preserve">年進行減資，加速資金返還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</si>
  <si>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新細明體"/>
        <family val="2"/>
        <charset val="1"/>
      </rPr>
      <t xml:space="preserve">設備折舊</t>
    </r>
  </si>
  <si>
    <t xml:space="preserve">稅前淨利</t>
  </si>
  <si>
    <t xml:space="preserve">情境編號: 2</t>
  </si>
  <si>
    <t xml:space="preserve">第1次滾算摘要</t>
  </si>
  <si>
    <t xml:space="preserve">價金: 33000</t>
  </si>
  <si>
    <t xml:space="preserve">專案IRR: 2.24</t>
  </si>
  <si>
    <t xml:space="preserve">權益法IRR: 3.29</t>
  </si>
  <si>
    <t xml:space="preserve">情境編號: 3</t>
  </si>
  <si>
    <t xml:space="preserve">第2次滾算摘要</t>
  </si>
  <si>
    <t xml:space="preserve">價金: 31000</t>
  </si>
  <si>
    <t xml:space="preserve">專案IRR: 2.8</t>
  </si>
  <si>
    <t xml:space="preserve">權益法IRR: 5.06</t>
  </si>
  <si>
    <t xml:space="preserve">情境編號: 4</t>
  </si>
  <si>
    <t xml:space="preserve">第3次滾算摘要</t>
  </si>
  <si>
    <t xml:space="preserve">價金: 29000</t>
  </si>
  <si>
    <t xml:space="preserve">專案IRR: 3.41</t>
  </si>
  <si>
    <t xml:space="preserve">權益法IRR: 7.11</t>
  </si>
  <si>
    <t xml:space="preserve">情境編號: 5</t>
  </si>
  <si>
    <t xml:space="preserve">第4次滾算摘要</t>
  </si>
  <si>
    <t xml:space="preserve">價金: 27000</t>
  </si>
  <si>
    <t xml:space="preserve">專案IRR: 4.09</t>
  </si>
  <si>
    <t xml:space="preserve">權益法IRR: 9.53</t>
  </si>
  <si>
    <t xml:space="preserve">情境編號: 6</t>
  </si>
  <si>
    <t xml:space="preserve">第5次滾算摘要</t>
  </si>
  <si>
    <t xml:space="preserve">價金: 25000</t>
  </si>
  <si>
    <t xml:space="preserve">專案IRR: 4.85</t>
  </si>
  <si>
    <t xml:space="preserve">權益法IRR: 12.47</t>
  </si>
  <si>
    <t xml:space="preserve">情境編號: 7</t>
  </si>
  <si>
    <t xml:space="preserve">第6次滾算摘要</t>
  </si>
  <si>
    <t xml:space="preserve">價金: 23000</t>
  </si>
  <si>
    <t xml:space="preserve">專案IRR: 5.7</t>
  </si>
  <si>
    <t xml:space="preserve">權益法IRR: 16.16</t>
  </si>
  <si>
    <t xml:space="preserve">情境編號: 8</t>
  </si>
  <si>
    <t xml:space="preserve">第7次滾算摘要</t>
  </si>
  <si>
    <t xml:space="preserve">價金: 21000</t>
  </si>
  <si>
    <t xml:space="preserve">專案IRR: 6.68</t>
  </si>
  <si>
    <t xml:space="preserve">權益法IRR: 20.96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</si>
</sst>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"/>
    <numFmt numFmtId="167" formatCode="0%"/>
    <numFmt numFmtId="168" formatCode="0.00%"/>
    <numFmt numFmtId="169" formatCode="#,##0.000"/>
    <numFmt numFmtId="170" formatCode="#,##0.00%"/>
    <numFmt numFmtId="171" formatCode="0.00_);[RED]\(0.00\)"/>
    <numFmt numFmtId="172" formatCode="#,##0_ "/>
    <numFmt numFmtId="173" formatCode="_-* #,##0_-;\-* #,##0_-;_-* \-??_-;_-@_-"/>
    <numFmt numFmtId="174" formatCode="0_);[RED]\(0\)"/>
    <numFmt numFmtId="175" formatCode="\$#,##0.00_);[RED]&quot;($&quot;#,##0.00\)"/>
    <numFmt numFmtId="176" formatCode="\$#,##0_);[RED]&quot;($&quot;#,##0\)"/>
    <numFmt numFmtId="177" formatCode="_-\$* #,##0_-;&quot;-$&quot;* #,##0_-;_-\$* \-??_-;_-@_-"/>
  </numFmts>
  <fonts count="40">
    <font>
      <sz val="11"/>
      <color theme="1"/>
      <name val="新細明體"/>
      <family val="2"/>
      <charset val="1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2"/>
      <color theme="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"/>
    </font>
    <font>
      <sz val="12"/>
      <color theme="1"/>
      <name val="Calibri"/>
      <family val="2"/>
      <charset val="136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0"/>
      <name val="新細明體"/>
      <family val="2"/>
      <charset val="1"/>
    </font>
    <font>
      <sz val="12"/>
      <color rgb="FFFFFFFF"/>
      <name val="新細明體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4"/>
      <color theme="1"/>
      <name val="微軟正黑體"/>
      <family val="2"/>
      <charset val="1"/>
    </font>
    <font>
      <sz val="12"/>
      <color theme="1"/>
      <name val="微軟正黑體"/>
      <family val="2"/>
      <charset val="1"/>
    </font>
    <font>
      <sz val="12"/>
      <color theme="1"/>
      <name val="Arial"/>
      <family val="2"/>
      <charset val="1"/>
    </font>
    <font>
      <b val="true"/>
      <sz val="12"/>
      <color rgb="FFFF0000"/>
      <name val="Arial"/>
      <family val="2"/>
      <charset val="1"/>
    </font>
    <font>
      <sz val="12"/>
      <color rgb="FF000000"/>
      <name val="新細明體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細明體"/>
      <family val="2"/>
      <charset val="1"/>
    </font>
    <font>
      <sz val="12"/>
      <color rgb="FF000080"/>
      <name val="Arial"/>
      <family val="2"/>
      <charset val="1"/>
    </font>
    <font>
      <sz val="12"/>
      <color rgb="FF000080"/>
      <name val="新細明體"/>
      <family val="2"/>
      <charset val="1"/>
    </font>
    <font>
      <b val="true"/>
      <sz val="12"/>
      <color rgb="FF000000"/>
      <name val="細明體"/>
      <family val="2"/>
      <charset val="1"/>
    </font>
    <font>
      <b val="true"/>
      <sz val="12"/>
      <color theme="1"/>
      <name val="新細明體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2"/>
      <color theme="1"/>
      <name val="細明體"/>
      <family val="2"/>
      <charset val="1"/>
    </font>
    <font>
      <sz val="12"/>
      <color rgb="FF000000"/>
      <name val="微軟正黑體"/>
      <family val="2"/>
      <charset val="1"/>
    </font>
    <font>
      <sz val="10"/>
      <color rgb="FF000000"/>
      <name val="新細明體"/>
      <family val="2"/>
      <charset val="1"/>
    </font>
    <font>
      <b val="true"/>
      <sz val="12"/>
      <name val="新細明體"/>
      <family val="2"/>
      <charset val="1"/>
    </font>
    <font>
      <sz val="11"/>
      <color theme="0" tint="-0.15"/>
      <name val="新細明體"/>
      <family val="2"/>
      <charset val="1"/>
    </font>
    <font>
      <sz val="12"/>
      <color theme="1"/>
      <name val="Noto Sans CJK SC"/>
      <family val="2"/>
      <charset val="1"/>
    </font>
    <font>
      <sz val="10"/>
      <color rgb="FF404040"/>
      <name val="微軟正黑體"/>
      <family val="2"/>
      <charset val="136"/>
    </font>
    <font>
      <sz val="10"/>
      <color rgb="FF404040"/>
      <name val="新細明體"/>
      <family val="2"/>
      <charset val="1"/>
    </font>
    <font>
      <sz val="10"/>
      <color rgb="FF404040"/>
      <name val="Noto Sans CJK SC"/>
      <family val="2"/>
      <charset val="1"/>
    </font>
    <font>
      <sz val="10"/>
      <color rgb="FF404040"/>
      <name val="Noto Sans CJK SC"/>
      <family val="2"/>
      <charset val="136"/>
    </font>
    <font>
      <sz val="11"/>
      <color theme="1"/>
      <name val="Noto Sans CJK SC"/>
      <family val="2"/>
      <charset val="1"/>
    </font>
    <font>
      <sz val="12"/>
      <name val="Arial"/>
      <family val="2"/>
      <charset val="1"/>
    </font>
    <font>
      <b val="true"/>
      <sz val="12"/>
      <color rgb="FF000000"/>
      <name val="細明體"/>
      <family val="3"/>
      <charset val="136"/>
    </font>
    <font>
      <b val="true"/>
      <sz val="12"/>
      <color theme="1"/>
      <name val="新細明體"/>
      <family val="1"/>
      <charset val="136"/>
    </font>
    <font>
      <b val="true"/>
      <sz val="11"/>
      <color theme="1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theme="4" tint="0.7999"/>
        <bgColor rgb="FFD9D9D9"/>
      </patternFill>
    </fill>
    <fill>
      <patternFill patternType="solid">
        <fgColor theme="5" tint="0.3999"/>
        <bgColor rgb="FFFFCCCC"/>
      </patternFill>
    </fill>
    <fill>
      <patternFill patternType="solid">
        <fgColor rgb="FF376092"/>
        <bgColor rgb="FF2F75B5"/>
      </patternFill>
    </fill>
    <fill>
      <patternFill patternType="solid">
        <fgColor rgb="FFFFFF00"/>
        <bgColor rgb="FFFFFF00"/>
      </patternFill>
    </fill>
    <fill>
      <patternFill patternType="solid">
        <fgColor rgb="FFFFCC00"/>
        <bgColor rgb="FFFFFF00"/>
      </patternFill>
    </fill>
    <fill>
      <patternFill patternType="solid">
        <fgColor rgb="FFFFFFCC"/>
        <bgColor rgb="FFFFF2CC"/>
      </patternFill>
    </fill>
    <fill>
      <patternFill patternType="solid">
        <fgColor rgb="FF00CCFF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2F75B5"/>
        <bgColor rgb="FF376092"/>
      </patternFill>
    </fill>
    <fill>
      <patternFill patternType="solid">
        <fgColor rgb="FFFFCCCC"/>
        <bgColor rgb="FFD9D9D9"/>
      </patternFill>
    </fill>
    <fill>
      <patternFill patternType="solid">
        <fgColor rgb="FF9BC2E6"/>
        <bgColor rgb="FFC6C6C6"/>
      </patternFill>
    </fill>
    <fill>
      <patternFill patternType="solid">
        <fgColor theme="7" tint="0.7998"/>
        <bgColor rgb="FFFFFFCC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C6C6C6"/>
      </left>
      <right style="thin">
        <color rgb="FFC6C6C6"/>
      </right>
      <top style="medium"/>
      <bottom style="thin">
        <color rgb="FFC6C6C6"/>
      </bottom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>
        <color rgb="FFC6C6C6"/>
      </left>
      <right style="medium"/>
      <top style="thin">
        <color rgb="FFC6C6C6"/>
      </top>
      <bottom style="medium"/>
      <diagonal/>
    </border>
    <border diagonalUp="false" diagonalDown="false">
      <left style="medium"/>
      <right style="thin"/>
      <top style="medium"/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1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3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4" fillId="6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9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9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7" fillId="10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11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1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12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6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6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13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6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0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6" fillId="8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6" fillId="6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8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8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5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4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2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4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8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9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9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9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6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8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6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19" fillId="10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37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1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2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5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4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4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6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5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1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3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3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5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3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11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6" fillId="1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26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6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6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6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26" fillId="1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0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6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6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6" fillId="0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6" fillId="0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6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6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DEEB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BC2E6"/>
      <rgbColor rgb="FFF4B183"/>
      <rgbColor rgb="FFCC99FF"/>
      <rgbColor rgb="FFFFCCCC"/>
      <rgbColor rgb="FF2F75B5"/>
      <rgbColor rgb="FF33CCCC"/>
      <rgbColor rgb="FF99CC00"/>
      <rgbColor rgb="FFFFCC00"/>
      <rgbColor rgb="FFFF9900"/>
      <rgbColor rgb="FFFF6600"/>
      <rgbColor rgb="FF37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8.73046875" defaultRowHeight="15.7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2" width="38"/>
    <col collapsed="false" customWidth="true" hidden="false" outlineLevel="0" max="22" min="3" style="2" width="50"/>
    <col collapsed="false" customWidth="true" hidden="false" outlineLevel="0" max="35" min="23" style="0" width="8"/>
  </cols>
  <sheetData>
    <row r="1" customFormat="false" ht="22.5" hidden="false" customHeight="true" outlineLevel="0" collapsed="false">
      <c r="A1" s="3" t="s">
        <v>0</v>
      </c>
      <c r="B1" s="3"/>
      <c r="C1" s="3"/>
      <c r="D1" s="3"/>
    </row>
    <row r="2" customFormat="false" ht="21.75" hidden="false" customHeight="true" outlineLevel="0" collapsed="false">
      <c r="A2" s="4" t="s">
        <v>1</v>
      </c>
      <c r="B2" s="5" t="s">
        <v>2</v>
      </c>
      <c r="C2" s="6" t="s">
        <v>3</v>
      </c>
      <c r="D2" s="6" t="s">
        <v>3</v>
      </c>
    </row>
    <row r="3" customFormat="false" ht="21.75" hidden="false" customHeight="true" outlineLevel="0" collapsed="false">
      <c r="A3" s="7" t="s">
        <v>4</v>
      </c>
      <c r="B3" s="8" t="n">
        <v>20</v>
      </c>
      <c r="C3" s="9" t="s">
        <v>3</v>
      </c>
      <c r="D3" s="9" t="s">
        <v>3</v>
      </c>
    </row>
    <row r="4" customFormat="false" ht="21.75" hidden="false" customHeight="true" outlineLevel="0" collapsed="false">
      <c r="A4" s="7" t="s">
        <v>5</v>
      </c>
      <c r="B4" s="8" t="n">
        <v>436.1</v>
      </c>
      <c r="C4" s="9" t="s">
        <v>3</v>
      </c>
      <c r="D4" s="9" t="s">
        <v>3</v>
      </c>
    </row>
    <row r="5" customFormat="false" ht="22.5" hidden="false" customHeight="true" outlineLevel="0" collapsed="false">
      <c r="A5" s="10" t="s">
        <v>6</v>
      </c>
      <c r="B5" s="11" t="n">
        <v>2020</v>
      </c>
      <c r="C5" s="10" t="s">
        <v>7</v>
      </c>
      <c r="D5" s="10" t="n">
        <v>2039</v>
      </c>
    </row>
    <row r="6" customFormat="false" ht="20.25" hidden="false" customHeight="true" outlineLevel="0" collapsed="false">
      <c r="A6" s="12"/>
      <c r="B6" s="12"/>
      <c r="C6" s="12"/>
      <c r="D6" s="12"/>
    </row>
    <row r="7" customFormat="false" ht="22.5" hidden="false" customHeight="true" outlineLevel="0" collapsed="false">
      <c r="A7" s="13" t="s">
        <v>8</v>
      </c>
      <c r="B7" s="13"/>
      <c r="C7" s="13"/>
      <c r="D7" s="13"/>
    </row>
    <row r="8" customFormat="false" ht="22.5" hidden="false" customHeight="true" outlineLevel="0" collapsed="false">
      <c r="A8" s="14" t="s">
        <v>9</v>
      </c>
      <c r="B8" s="14"/>
      <c r="C8" s="14"/>
      <c r="D8" s="14"/>
    </row>
    <row r="9" customFormat="false" ht="22.5" hidden="false" customHeight="true" outlineLevel="0" collapsed="false">
      <c r="A9" s="15" t="s">
        <v>10</v>
      </c>
      <c r="B9" s="16" t="s">
        <v>11</v>
      </c>
      <c r="C9" s="16" t="s">
        <v>12</v>
      </c>
      <c r="D9" s="17" t="s">
        <v>13</v>
      </c>
    </row>
    <row r="10" customFormat="false" ht="21.75" hidden="false" customHeight="true" outlineLevel="0" collapsed="false">
      <c r="A10" s="18" t="s">
        <v>14</v>
      </c>
      <c r="B10" s="19" t="s">
        <v>15</v>
      </c>
      <c r="C10" s="19" t="n">
        <v>547002</v>
      </c>
      <c r="D10" s="18" t="n">
        <v>20</v>
      </c>
    </row>
    <row r="11" customFormat="false" ht="21.75" hidden="false" customHeight="true" outlineLevel="0" collapsed="false">
      <c r="A11" s="18"/>
      <c r="B11" s="10" t="s">
        <v>16</v>
      </c>
      <c r="C11" s="20" t="n">
        <v>0.01</v>
      </c>
      <c r="D11" s="18"/>
    </row>
    <row r="12" customFormat="false" ht="21.75" hidden="false" customHeight="true" outlineLevel="0" collapsed="false">
      <c r="A12" s="18"/>
      <c r="B12" s="10" t="s">
        <v>17</v>
      </c>
      <c r="C12" s="21" t="n">
        <v>0.004</v>
      </c>
      <c r="D12" s="18"/>
    </row>
    <row r="13" customFormat="false" ht="22.5" hidden="false" customHeight="true" outlineLevel="0" collapsed="false">
      <c r="A13" s="18"/>
      <c r="B13" s="22" t="s">
        <v>18</v>
      </c>
      <c r="C13" s="22" t="n">
        <v>3.7152</v>
      </c>
      <c r="D13" s="18"/>
    </row>
    <row r="14" customFormat="false" ht="22.5" hidden="false" customHeight="true" outlineLevel="0" collapsed="false">
      <c r="A14" s="23" t="s">
        <v>19</v>
      </c>
      <c r="B14" s="23"/>
      <c r="C14" s="23"/>
      <c r="D14" s="23"/>
    </row>
    <row r="15" customFormat="false" ht="22.5" hidden="false" customHeight="true" outlineLevel="0" collapsed="false">
      <c r="A15" s="15" t="s">
        <v>10</v>
      </c>
      <c r="B15" s="16" t="s">
        <v>11</v>
      </c>
      <c r="C15" s="16" t="s">
        <v>12</v>
      </c>
      <c r="D15" s="24" t="s">
        <v>20</v>
      </c>
    </row>
    <row r="16" customFormat="false" ht="21.75" hidden="false" customHeight="true" outlineLevel="0" collapsed="false">
      <c r="A16" s="19" t="s">
        <v>21</v>
      </c>
      <c r="B16" s="25" t="s">
        <v>22</v>
      </c>
      <c r="C16" s="19" t="n">
        <v>35000</v>
      </c>
      <c r="D16" s="6" t="n">
        <v>20</v>
      </c>
    </row>
    <row r="17" customFormat="false" ht="21.75" hidden="false" customHeight="true" outlineLevel="0" collapsed="false">
      <c r="A17" s="19"/>
      <c r="B17" s="10" t="s">
        <v>23</v>
      </c>
      <c r="C17" s="8" t="n">
        <v>0.3</v>
      </c>
      <c r="D17" s="6"/>
    </row>
    <row r="18" customFormat="false" ht="21.75" hidden="false" customHeight="true" outlineLevel="0" collapsed="false">
      <c r="A18" s="19"/>
      <c r="B18" s="10" t="s">
        <v>24</v>
      </c>
      <c r="C18" s="8" t="n">
        <v>3000</v>
      </c>
      <c r="D18" s="6"/>
    </row>
    <row r="19" customFormat="false" ht="54" hidden="false" customHeight="true" outlineLevel="0" collapsed="false">
      <c r="A19" s="10" t="s">
        <v>25</v>
      </c>
      <c r="B19" s="26" t="s">
        <v>26</v>
      </c>
      <c r="C19" s="8" t="n">
        <v>1</v>
      </c>
      <c r="D19" s="6" t="s">
        <v>3</v>
      </c>
    </row>
    <row r="20" customFormat="false" ht="20.25" hidden="false" customHeight="true" outlineLevel="0" collapsed="false">
      <c r="A20" s="10"/>
      <c r="B20" s="27" t="s">
        <v>27</v>
      </c>
      <c r="C20" s="8" t="n">
        <v>290201</v>
      </c>
      <c r="D20" s="6" t="n">
        <v>20</v>
      </c>
    </row>
    <row r="21" customFormat="false" ht="21.75" hidden="false" customHeight="true" outlineLevel="0" collapsed="false">
      <c r="A21" s="10"/>
      <c r="B21" s="10" t="s">
        <v>28</v>
      </c>
      <c r="C21" s="8"/>
      <c r="D21" s="9" t="s">
        <v>3</v>
      </c>
    </row>
    <row r="22" customFormat="false" ht="21.75" hidden="false" customHeight="true" outlineLevel="0" collapsed="false">
      <c r="A22" s="10" t="s">
        <v>29</v>
      </c>
      <c r="B22" s="10" t="s">
        <v>30</v>
      </c>
      <c r="C22" s="8" t="n">
        <v>400</v>
      </c>
      <c r="D22" s="9" t="n">
        <v>20</v>
      </c>
    </row>
    <row r="23" customFormat="false" ht="21.75" hidden="false" customHeight="true" outlineLevel="0" collapsed="false">
      <c r="A23" s="10" t="s">
        <v>31</v>
      </c>
      <c r="B23" s="28" t="s">
        <v>32</v>
      </c>
      <c r="C23" s="8" t="n">
        <v>0.003</v>
      </c>
      <c r="D23" s="9" t="n">
        <v>20</v>
      </c>
    </row>
    <row r="24" customFormat="false" ht="21.75" hidden="false" customHeight="true" outlineLevel="0" collapsed="false">
      <c r="A24" s="10" t="s">
        <v>33</v>
      </c>
      <c r="B24" s="10" t="s">
        <v>34</v>
      </c>
      <c r="C24" s="8" t="n">
        <v>1000</v>
      </c>
      <c r="D24" s="9" t="n">
        <v>10</v>
      </c>
    </row>
    <row r="25" customFormat="false" ht="21.75" hidden="false" customHeight="true" outlineLevel="0" collapsed="false">
      <c r="A25" s="10" t="s">
        <v>35</v>
      </c>
      <c r="B25" s="10" t="s">
        <v>36</v>
      </c>
      <c r="C25" s="29" t="n">
        <v>0.025595</v>
      </c>
      <c r="D25" s="9" t="s">
        <v>3</v>
      </c>
    </row>
    <row r="26" customFormat="false" ht="22.5" hidden="false" customHeight="true" outlineLevel="0" collapsed="false">
      <c r="A26" s="10" t="s">
        <v>37</v>
      </c>
      <c r="B26" s="10" t="s">
        <v>38</v>
      </c>
      <c r="C26" s="8" t="n">
        <v>0.2</v>
      </c>
      <c r="D26" s="9" t="s">
        <v>3</v>
      </c>
    </row>
    <row r="27" customFormat="false" ht="20.25" hidden="false" customHeight="true" outlineLevel="0" collapsed="false">
      <c r="A27" s="12"/>
      <c r="B27" s="12"/>
      <c r="C27" s="12"/>
      <c r="D27" s="12"/>
    </row>
    <row r="28" customFormat="false" ht="20.25" hidden="false" customHeight="true" outlineLevel="0" collapsed="false">
      <c r="A28" s="12"/>
      <c r="B28" s="12"/>
      <c r="C28" s="12"/>
      <c r="D28" s="12"/>
    </row>
    <row r="29" customFormat="false" ht="22.5" hidden="false" customHeight="true" outlineLevel="0" collapsed="false">
      <c r="A29" s="13" t="s">
        <v>39</v>
      </c>
      <c r="B29" s="13"/>
      <c r="C29" s="13"/>
      <c r="D29" s="12"/>
    </row>
    <row r="30" customFormat="false" ht="22.5" hidden="false" customHeight="true" outlineLevel="0" collapsed="false">
      <c r="A30" s="15" t="s">
        <v>40</v>
      </c>
      <c r="B30" s="30" t="s">
        <v>11</v>
      </c>
      <c r="C30" s="31" t="s">
        <v>12</v>
      </c>
      <c r="D30" s="12"/>
    </row>
    <row r="31" customFormat="false" ht="18.75" hidden="false" customHeight="true" outlineLevel="0" collapsed="false">
      <c r="A31" s="25" t="s">
        <v>41</v>
      </c>
      <c r="B31" s="4" t="s">
        <v>42</v>
      </c>
      <c r="C31" s="32" t="n">
        <v>0.8</v>
      </c>
      <c r="D31" s="12"/>
    </row>
    <row r="32" customFormat="false" ht="18.75" hidden="false" customHeight="true" outlineLevel="0" collapsed="false">
      <c r="A32" s="19" t="s">
        <v>43</v>
      </c>
      <c r="B32" s="5" t="s">
        <v>44</v>
      </c>
      <c r="C32" s="5" t="n">
        <v>15</v>
      </c>
      <c r="D32" s="12"/>
    </row>
    <row r="33" customFormat="false" ht="18.75" hidden="false" customHeight="true" outlineLevel="0" collapsed="false">
      <c r="A33" s="10" t="s">
        <v>45</v>
      </c>
      <c r="B33" s="33" t="s">
        <v>46</v>
      </c>
      <c r="C33" s="33" t="n">
        <v>0.9</v>
      </c>
      <c r="D33" s="12"/>
    </row>
    <row r="34" customFormat="false" ht="18.75" hidden="false" customHeight="true" outlineLevel="0" collapsed="false">
      <c r="A34" s="10" t="s">
        <v>47</v>
      </c>
      <c r="B34" s="33" t="s">
        <v>44</v>
      </c>
      <c r="C34" s="33" t="n">
        <v>4</v>
      </c>
      <c r="D34" s="12"/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A37" s="34"/>
      <c r="B37" s="35" t="s">
        <v>48</v>
      </c>
      <c r="C37" s="35" t="n">
        <v>2020</v>
      </c>
      <c r="D37" s="35" t="n">
        <v>2021</v>
      </c>
      <c r="E37" s="35" t="n">
        <v>2022</v>
      </c>
      <c r="F37" s="35" t="n">
        <v>2023</v>
      </c>
      <c r="G37" s="35" t="n">
        <v>2024</v>
      </c>
      <c r="H37" s="35" t="n">
        <v>2025</v>
      </c>
      <c r="I37" s="35" t="n">
        <v>2026</v>
      </c>
      <c r="J37" s="35" t="n">
        <v>2027</v>
      </c>
      <c r="K37" s="35" t="n">
        <v>2028</v>
      </c>
      <c r="L37" s="35" t="n">
        <v>2029</v>
      </c>
      <c r="M37" s="35" t="n">
        <v>2030</v>
      </c>
      <c r="N37" s="35" t="n">
        <v>2031</v>
      </c>
      <c r="O37" s="35" t="n">
        <v>2032</v>
      </c>
      <c r="P37" s="35" t="n">
        <v>2033</v>
      </c>
      <c r="Q37" s="35" t="n">
        <v>2034</v>
      </c>
      <c r="R37" s="35" t="n">
        <v>2035</v>
      </c>
      <c r="S37" s="35" t="n">
        <v>2036</v>
      </c>
      <c r="T37" s="35" t="n">
        <v>2037</v>
      </c>
      <c r="U37" s="35" t="n">
        <v>2038</v>
      </c>
      <c r="V37" s="35" t="n">
        <v>2039</v>
      </c>
      <c r="W37" s="36"/>
    </row>
    <row r="38" customFormat="false" ht="18.75" hidden="false" customHeight="true" outlineLevel="0" collapsed="false">
      <c r="A38" s="37" t="n">
        <v>0</v>
      </c>
      <c r="B38" s="38"/>
      <c r="C38" s="39"/>
      <c r="D38" s="39"/>
      <c r="E38" s="40" t="s">
        <v>49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2" t="s">
        <v>50</v>
      </c>
      <c r="T38" s="41"/>
      <c r="U38" s="41"/>
      <c r="V38" s="41"/>
      <c r="W38" s="43"/>
    </row>
    <row r="39" customFormat="false" ht="18.75" hidden="false" customHeight="true" outlineLevel="0" collapsed="false">
      <c r="A39" s="44" t="s">
        <v>51</v>
      </c>
      <c r="B39" s="45" t="n">
        <v>0</v>
      </c>
      <c r="C39" s="46" t="n">
        <v>1</v>
      </c>
      <c r="D39" s="46" t="n">
        <v>2</v>
      </c>
      <c r="E39" s="46" t="n">
        <v>3</v>
      </c>
      <c r="F39" s="46" t="n">
        <v>4</v>
      </c>
      <c r="G39" s="46" t="n">
        <v>5</v>
      </c>
      <c r="H39" s="46" t="n">
        <v>6</v>
      </c>
      <c r="I39" s="46" t="n">
        <v>7</v>
      </c>
      <c r="J39" s="46" t="n">
        <v>8</v>
      </c>
      <c r="K39" s="46" t="n">
        <v>9</v>
      </c>
      <c r="L39" s="46" t="n">
        <v>10</v>
      </c>
      <c r="M39" s="46" t="n">
        <v>11</v>
      </c>
      <c r="N39" s="46" t="n">
        <v>12</v>
      </c>
      <c r="O39" s="46" t="n">
        <v>13</v>
      </c>
      <c r="P39" s="46" t="n">
        <v>14</v>
      </c>
      <c r="Q39" s="46" t="n">
        <v>15</v>
      </c>
      <c r="R39" s="46" t="n">
        <v>16</v>
      </c>
      <c r="S39" s="47" t="n">
        <v>17</v>
      </c>
      <c r="T39" s="46" t="n">
        <v>18</v>
      </c>
      <c r="U39" s="46" t="n">
        <v>19</v>
      </c>
      <c r="V39" s="46" t="n">
        <v>20</v>
      </c>
      <c r="W39" s="48"/>
    </row>
    <row r="40" customFormat="false" ht="18.75" hidden="false" customHeight="true" outlineLevel="0" collapsed="false">
      <c r="A40" s="49" t="s">
        <v>52</v>
      </c>
      <c r="B40" s="45" t="n">
        <v>0</v>
      </c>
      <c r="C40" s="46" t="e">
        <f aca="false">#REF!</f>
        <v>#REF!</v>
      </c>
      <c r="D40" s="46" t="e">
        <f aca="false">#REF!</f>
        <v>#REF!</v>
      </c>
      <c r="E40" s="46" t="e">
        <f aca="false">#REF!</f>
        <v>#REF!</v>
      </c>
      <c r="F40" s="46" t="e">
        <f aca="false">#REF!</f>
        <v>#REF!</v>
      </c>
      <c r="G40" s="46" t="e">
        <f aca="false">#REF!</f>
        <v>#REF!</v>
      </c>
      <c r="H40" s="46" t="e">
        <f aca="false">#REF!</f>
        <v>#REF!</v>
      </c>
      <c r="I40" s="46" t="e">
        <f aca="false">#REF!</f>
        <v>#REF!</v>
      </c>
      <c r="J40" s="46" t="e">
        <f aca="false">#REF!</f>
        <v>#REF!</v>
      </c>
      <c r="K40" s="46" t="e">
        <f aca="false">#REF!</f>
        <v>#REF!</v>
      </c>
      <c r="L40" s="46" t="e">
        <f aca="false">#REF!</f>
        <v>#REF!</v>
      </c>
      <c r="M40" s="46" t="e">
        <f aca="false">#REF!</f>
        <v>#REF!</v>
      </c>
      <c r="N40" s="46" t="e">
        <f aca="false">#REF!</f>
        <v>#REF!</v>
      </c>
      <c r="O40" s="46" t="e">
        <f aca="false">#REF!</f>
        <v>#REF!</v>
      </c>
      <c r="P40" s="46" t="e">
        <f aca="false">#REF!</f>
        <v>#REF!</v>
      </c>
      <c r="Q40" s="46" t="e">
        <f aca="false">#REF!</f>
        <v>#REF!</v>
      </c>
      <c r="R40" s="46" t="e">
        <f aca="false">#REF!</f>
        <v>#REF!</v>
      </c>
      <c r="S40" s="46" t="e">
        <f aca="false">#REF!</f>
        <v>#REF!</v>
      </c>
      <c r="T40" s="46" t="e">
        <f aca="false">#REF!</f>
        <v>#REF!</v>
      </c>
      <c r="U40" s="46" t="e">
        <f aca="false">#REF!</f>
        <v>#REF!</v>
      </c>
      <c r="V40" s="46" t="e">
        <f aca="false">#REF!</f>
        <v>#REF!</v>
      </c>
      <c r="W40" s="50"/>
    </row>
    <row r="41" customFormat="false" ht="18.75" hidden="false" customHeight="true" outlineLevel="0" collapsed="false">
      <c r="A41" s="51" t="s">
        <v>53</v>
      </c>
      <c r="B41" s="52" t="s">
        <v>3</v>
      </c>
      <c r="C41" s="53" t="e">
        <f aca="false">#REF!</f>
        <v>#REF!</v>
      </c>
      <c r="D41" s="53" t="e">
        <f aca="false">#REF!</f>
        <v>#REF!</v>
      </c>
      <c r="E41" s="53" t="e">
        <f aca="false">#REF!</f>
        <v>#REF!</v>
      </c>
      <c r="F41" s="53" t="e">
        <f aca="false">#REF!</f>
        <v>#REF!</v>
      </c>
      <c r="G41" s="53" t="e">
        <f aca="false">#REF!</f>
        <v>#REF!</v>
      </c>
      <c r="H41" s="53" t="e">
        <f aca="false">#REF!</f>
        <v>#REF!</v>
      </c>
      <c r="I41" s="53" t="e">
        <f aca="false">#REF!</f>
        <v>#REF!</v>
      </c>
      <c r="J41" s="53" t="e">
        <f aca="false">#REF!</f>
        <v>#REF!</v>
      </c>
      <c r="K41" s="53" t="e">
        <f aca="false">#REF!</f>
        <v>#REF!</v>
      </c>
      <c r="L41" s="53" t="e">
        <f aca="false">#REF!</f>
        <v>#REF!</v>
      </c>
      <c r="M41" s="53" t="e">
        <f aca="false">#REF!</f>
        <v>#REF!</v>
      </c>
      <c r="N41" s="53" t="e">
        <f aca="false">#REF!</f>
        <v>#REF!</v>
      </c>
      <c r="O41" s="53" t="e">
        <f aca="false">#REF!</f>
        <v>#REF!</v>
      </c>
      <c r="P41" s="53" t="e">
        <f aca="false">#REF!</f>
        <v>#REF!</v>
      </c>
      <c r="Q41" s="53" t="e">
        <f aca="false">#REF!</f>
        <v>#REF!</v>
      </c>
      <c r="R41" s="53" t="e">
        <f aca="false">#REF!</f>
        <v>#REF!</v>
      </c>
      <c r="S41" s="53" t="e">
        <f aca="false">#REF!</f>
        <v>#REF!</v>
      </c>
      <c r="T41" s="53" t="e">
        <f aca="false">#REF!</f>
        <v>#REF!</v>
      </c>
      <c r="U41" s="53" t="e">
        <f aca="false">#REF!</f>
        <v>#REF!</v>
      </c>
      <c r="V41" s="53" t="e">
        <f aca="false">#REF!</f>
        <v>#REF!</v>
      </c>
      <c r="W41" s="54"/>
    </row>
    <row r="42" customFormat="false" ht="18.75" hidden="false" customHeight="true" outlineLevel="0" collapsed="false">
      <c r="A42" s="55" t="s">
        <v>54</v>
      </c>
      <c r="B42" s="45" t="s">
        <v>3</v>
      </c>
      <c r="C42" s="46"/>
      <c r="D42" s="46"/>
      <c r="E42" s="46" t="n">
        <v>0</v>
      </c>
      <c r="F42" s="46" t="s">
        <v>3</v>
      </c>
      <c r="G42" s="46" t="s">
        <v>3</v>
      </c>
      <c r="H42" s="46" t="s">
        <v>3</v>
      </c>
      <c r="I42" s="46" t="s">
        <v>3</v>
      </c>
      <c r="J42" s="46" t="s">
        <v>3</v>
      </c>
      <c r="K42" s="46" t="s">
        <v>3</v>
      </c>
      <c r="L42" s="46" t="s">
        <v>3</v>
      </c>
      <c r="M42" s="46" t="s">
        <v>3</v>
      </c>
      <c r="N42" s="46" t="s">
        <v>3</v>
      </c>
      <c r="O42" s="46" t="s">
        <v>3</v>
      </c>
      <c r="P42" s="46" t="s">
        <v>3</v>
      </c>
      <c r="Q42" s="46" t="s">
        <v>3</v>
      </c>
      <c r="R42" s="46" t="s">
        <v>3</v>
      </c>
      <c r="S42" s="46" t="s">
        <v>3</v>
      </c>
      <c r="T42" s="46" t="s">
        <v>3</v>
      </c>
      <c r="U42" s="46" t="s">
        <v>3</v>
      </c>
      <c r="V42" s="46" t="s">
        <v>3</v>
      </c>
      <c r="W42" s="56"/>
    </row>
    <row r="43" customFormat="false" ht="18.75" hidden="false" customHeight="true" outlineLevel="0" collapsed="false">
      <c r="A43" s="57" t="s">
        <v>55</v>
      </c>
      <c r="B43" s="5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60"/>
    </row>
    <row r="44" customFormat="false" ht="18.75" hidden="false" customHeight="true" outlineLevel="0" collapsed="false">
      <c r="A44" s="61" t="s">
        <v>56</v>
      </c>
      <c r="B44" s="45" t="e">
        <f aca="false">-#REF!</f>
        <v>#REF!</v>
      </c>
      <c r="C44" s="62"/>
      <c r="D44" s="46"/>
      <c r="E44" s="46" t="s">
        <v>3</v>
      </c>
      <c r="F44" s="46" t="s">
        <v>3</v>
      </c>
      <c r="G44" s="46" t="s">
        <v>3</v>
      </c>
      <c r="H44" s="46" t="s">
        <v>3</v>
      </c>
      <c r="I44" s="46" t="s">
        <v>3</v>
      </c>
      <c r="J44" s="46" t="s">
        <v>3</v>
      </c>
      <c r="K44" s="46" t="s">
        <v>3</v>
      </c>
      <c r="L44" s="46" t="s">
        <v>3</v>
      </c>
      <c r="M44" s="46" t="s">
        <v>3</v>
      </c>
      <c r="N44" s="46" t="s">
        <v>3</v>
      </c>
      <c r="O44" s="46" t="s">
        <v>3</v>
      </c>
      <c r="P44" s="46" t="s">
        <v>3</v>
      </c>
      <c r="Q44" s="46" t="s">
        <v>3</v>
      </c>
      <c r="R44" s="46" t="s">
        <v>3</v>
      </c>
      <c r="S44" s="46" t="s">
        <v>3</v>
      </c>
      <c r="T44" s="46" t="s">
        <v>3</v>
      </c>
      <c r="U44" s="46" t="s">
        <v>3</v>
      </c>
      <c r="V44" s="46" t="s">
        <v>3</v>
      </c>
      <c r="W44" s="56"/>
    </row>
    <row r="45" customFormat="false" ht="18.75" hidden="false" customHeight="true" outlineLevel="0" collapsed="false">
      <c r="A45" s="61" t="s">
        <v>57</v>
      </c>
      <c r="B45" s="45" t="s">
        <v>3</v>
      </c>
      <c r="C45" s="46" t="e">
        <f aca="false">-#REF!</f>
        <v>#REF!</v>
      </c>
      <c r="D45" s="46" t="e">
        <f aca="false">-#REF!</f>
        <v>#REF!</v>
      </c>
      <c r="E45" s="46" t="e">
        <f aca="false">-#REF!</f>
        <v>#REF!</v>
      </c>
      <c r="F45" s="46" t="e">
        <f aca="false">-#REF!</f>
        <v>#REF!</v>
      </c>
      <c r="G45" s="46" t="e">
        <f aca="false">-#REF!</f>
        <v>#REF!</v>
      </c>
      <c r="H45" s="46" t="e">
        <f aca="false">-#REF!</f>
        <v>#REF!</v>
      </c>
      <c r="I45" s="46" t="e">
        <f aca="false">-#REF!</f>
        <v>#REF!</v>
      </c>
      <c r="J45" s="46" t="e">
        <f aca="false">-#REF!</f>
        <v>#REF!</v>
      </c>
      <c r="K45" s="46" t="e">
        <f aca="false">-#REF!</f>
        <v>#REF!</v>
      </c>
      <c r="L45" s="46" t="e">
        <f aca="false">-#REF!</f>
        <v>#REF!</v>
      </c>
      <c r="M45" s="46" t="e">
        <f aca="false">-#REF!</f>
        <v>#REF!</v>
      </c>
      <c r="N45" s="46" t="e">
        <f aca="false">-#REF!</f>
        <v>#REF!</v>
      </c>
      <c r="O45" s="46" t="e">
        <f aca="false">-#REF!</f>
        <v>#REF!</v>
      </c>
      <c r="P45" s="46" t="e">
        <f aca="false">-#REF!</f>
        <v>#REF!</v>
      </c>
      <c r="Q45" s="46" t="e">
        <f aca="false">-#REF!</f>
        <v>#REF!</v>
      </c>
      <c r="R45" s="46" t="e">
        <f aca="false">-#REF!</f>
        <v>#REF!</v>
      </c>
      <c r="S45" s="46" t="e">
        <f aca="false">-#REF!</f>
        <v>#REF!</v>
      </c>
      <c r="T45" s="46" t="e">
        <f aca="false">-#REF!</f>
        <v>#REF!</v>
      </c>
      <c r="U45" s="46" t="e">
        <f aca="false">-#REF!</f>
        <v>#REF!</v>
      </c>
      <c r="V45" s="46" t="e">
        <f aca="false">-#REF!</f>
        <v>#REF!</v>
      </c>
      <c r="W45" s="56"/>
    </row>
    <row r="46" customFormat="false" ht="18.75" hidden="false" customHeight="true" outlineLevel="0" collapsed="false">
      <c r="A46" s="61" t="s">
        <v>58</v>
      </c>
      <c r="B46" s="45" t="n">
        <v>0</v>
      </c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 t="n">
        <v>0</v>
      </c>
      <c r="V46" s="46" t="n">
        <v>0</v>
      </c>
      <c r="W46" s="56"/>
    </row>
    <row r="47" customFormat="false" ht="18.75" hidden="false" customHeight="true" outlineLevel="0" collapsed="false">
      <c r="A47" s="61" t="s">
        <v>59</v>
      </c>
      <c r="B47" s="45" t="s">
        <v>3</v>
      </c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56"/>
    </row>
    <row r="48" customFormat="false" ht="18.75" hidden="false" customHeight="true" outlineLevel="0" collapsed="false">
      <c r="A48" s="61" t="s">
        <v>60</v>
      </c>
      <c r="B48" s="45" t="s">
        <v>3</v>
      </c>
      <c r="C48" s="46" t="e">
        <f aca="false">-#REF!</f>
        <v>#REF!</v>
      </c>
      <c r="D48" s="46" t="e">
        <f aca="false">-#REF!</f>
        <v>#REF!</v>
      </c>
      <c r="E48" s="46" t="e">
        <f aca="false">-#REF!</f>
        <v>#REF!</v>
      </c>
      <c r="F48" s="46" t="e">
        <f aca="false">-#REF!</f>
        <v>#REF!</v>
      </c>
      <c r="G48" s="46" t="e">
        <f aca="false">-#REF!</f>
        <v>#REF!</v>
      </c>
      <c r="H48" s="46" t="e">
        <f aca="false">-#REF!</f>
        <v>#REF!</v>
      </c>
      <c r="I48" s="46" t="e">
        <f aca="false">-#REF!</f>
        <v>#REF!</v>
      </c>
      <c r="J48" s="46" t="e">
        <f aca="false">-#REF!</f>
        <v>#REF!</v>
      </c>
      <c r="K48" s="46" t="e">
        <f aca="false">-#REF!</f>
        <v>#REF!</v>
      </c>
      <c r="L48" s="46" t="e">
        <f aca="false">-#REF!</f>
        <v>#REF!</v>
      </c>
      <c r="M48" s="46" t="e">
        <f aca="false">-#REF!</f>
        <v>#REF!</v>
      </c>
      <c r="N48" s="46" t="e">
        <f aca="false">-#REF!</f>
        <v>#REF!</v>
      </c>
      <c r="O48" s="46" t="e">
        <f aca="false">-#REF!</f>
        <v>#REF!</v>
      </c>
      <c r="P48" s="46" t="e">
        <f aca="false">-#REF!</f>
        <v>#REF!</v>
      </c>
      <c r="Q48" s="46" t="e">
        <f aca="false">-#REF!</f>
        <v>#REF!</v>
      </c>
      <c r="R48" s="46" t="e">
        <f aca="false">-#REF!</f>
        <v>#REF!</v>
      </c>
      <c r="S48" s="46" t="e">
        <f aca="false">-#REF!</f>
        <v>#REF!</v>
      </c>
      <c r="T48" s="46" t="e">
        <f aca="false">-#REF!</f>
        <v>#REF!</v>
      </c>
      <c r="U48" s="46" t="e">
        <f aca="false">-#REF!</f>
        <v>#REF!</v>
      </c>
      <c r="V48" s="46" t="e">
        <f aca="false">-#REF!</f>
        <v>#REF!</v>
      </c>
      <c r="W48" s="56"/>
    </row>
    <row r="49" customFormat="false" ht="18.75" hidden="false" customHeight="true" outlineLevel="0" collapsed="false">
      <c r="A49" s="61" t="s">
        <v>61</v>
      </c>
      <c r="B49" s="45" t="s">
        <v>3</v>
      </c>
      <c r="C49" s="46" t="e">
        <f aca="false">-#REF!</f>
        <v>#REF!</v>
      </c>
      <c r="D49" s="46" t="e">
        <f aca="false">-#REF!</f>
        <v>#REF!</v>
      </c>
      <c r="E49" s="46" t="e">
        <f aca="false">-#REF!</f>
        <v>#REF!</v>
      </c>
      <c r="F49" s="46" t="e">
        <f aca="false">-#REF!</f>
        <v>#REF!</v>
      </c>
      <c r="G49" s="46" t="e">
        <f aca="false">-#REF!</f>
        <v>#REF!</v>
      </c>
      <c r="H49" s="46" t="e">
        <f aca="false">-#REF!</f>
        <v>#REF!</v>
      </c>
      <c r="I49" s="46" t="e">
        <f aca="false">-#REF!</f>
        <v>#REF!</v>
      </c>
      <c r="J49" s="46" t="e">
        <f aca="false">-#REF!</f>
        <v>#REF!</v>
      </c>
      <c r="K49" s="46" t="e">
        <f aca="false">-#REF!</f>
        <v>#REF!</v>
      </c>
      <c r="L49" s="46" t="e">
        <f aca="false">-#REF!</f>
        <v>#REF!</v>
      </c>
      <c r="M49" s="46" t="e">
        <f aca="false">-#REF!</f>
        <v>#REF!</v>
      </c>
      <c r="N49" s="46" t="e">
        <f aca="false">-#REF!</f>
        <v>#REF!</v>
      </c>
      <c r="O49" s="46" t="e">
        <f aca="false">-#REF!</f>
        <v>#REF!</v>
      </c>
      <c r="P49" s="46" t="e">
        <f aca="false">-#REF!</f>
        <v>#REF!</v>
      </c>
      <c r="Q49" s="46" t="e">
        <f aca="false">-#REF!</f>
        <v>#REF!</v>
      </c>
      <c r="R49" s="46" t="e">
        <f aca="false">-#REF!</f>
        <v>#REF!</v>
      </c>
      <c r="S49" s="46" t="e">
        <f aca="false">-#REF!</f>
        <v>#REF!</v>
      </c>
      <c r="T49" s="46" t="e">
        <f aca="false">-#REF!</f>
        <v>#REF!</v>
      </c>
      <c r="U49" s="46" t="e">
        <f aca="false">-#REF!</f>
        <v>#REF!</v>
      </c>
      <c r="V49" s="46" t="e">
        <f aca="false">-#REF!</f>
        <v>#REF!</v>
      </c>
      <c r="W49" s="56"/>
    </row>
    <row r="50" customFormat="false" ht="18.75" hidden="false" customHeight="true" outlineLevel="0" collapsed="false">
      <c r="A50" s="61" t="s">
        <v>62</v>
      </c>
      <c r="B50" s="45"/>
      <c r="C50" s="46" t="e">
        <f aca="false">-#REF!</f>
        <v>#REF!</v>
      </c>
      <c r="D50" s="46" t="e">
        <f aca="false">-#REF!</f>
        <v>#REF!</v>
      </c>
      <c r="E50" s="46" t="e">
        <f aca="false">-#REF!</f>
        <v>#REF!</v>
      </c>
      <c r="F50" s="46" t="e">
        <f aca="false">-#REF!</f>
        <v>#REF!</v>
      </c>
      <c r="G50" s="46" t="e">
        <f aca="false">-#REF!</f>
        <v>#REF!</v>
      </c>
      <c r="H50" s="46" t="e">
        <f aca="false">-#REF!</f>
        <v>#REF!</v>
      </c>
      <c r="I50" s="46" t="e">
        <f aca="false">-#REF!</f>
        <v>#REF!</v>
      </c>
      <c r="J50" s="46" t="e">
        <f aca="false">-#REF!</f>
        <v>#REF!</v>
      </c>
      <c r="K50" s="46" t="e">
        <f aca="false">-#REF!</f>
        <v>#REF!</v>
      </c>
      <c r="L50" s="46" t="e">
        <f aca="false">-#REF!</f>
        <v>#REF!</v>
      </c>
      <c r="M50" s="46" t="e">
        <f aca="false">-#REF!</f>
        <v>#REF!</v>
      </c>
      <c r="N50" s="46" t="e">
        <f aca="false">-#REF!</f>
        <v>#REF!</v>
      </c>
      <c r="O50" s="46" t="e">
        <f aca="false">-#REF!</f>
        <v>#REF!</v>
      </c>
      <c r="P50" s="46" t="e">
        <f aca="false">-#REF!</f>
        <v>#REF!</v>
      </c>
      <c r="Q50" s="46" t="e">
        <f aca="false">-#REF!</f>
        <v>#REF!</v>
      </c>
      <c r="R50" s="46" t="e">
        <f aca="false">-#REF!</f>
        <v>#REF!</v>
      </c>
      <c r="S50" s="46" t="e">
        <f aca="false">-#REF!</f>
        <v>#REF!</v>
      </c>
      <c r="T50" s="46" t="e">
        <f aca="false">-#REF!</f>
        <v>#REF!</v>
      </c>
      <c r="U50" s="46" t="e">
        <f aca="false">-#REF!</f>
        <v>#REF!</v>
      </c>
      <c r="V50" s="46" t="e">
        <f aca="false">-#REF!</f>
        <v>#REF!</v>
      </c>
      <c r="W50" s="56"/>
    </row>
    <row r="51" customFormat="false" ht="18.75" hidden="false" customHeight="true" outlineLevel="0" collapsed="false">
      <c r="A51" s="61" t="s">
        <v>63</v>
      </c>
      <c r="B51" s="63"/>
      <c r="C51" s="64"/>
      <c r="D51" s="65"/>
      <c r="E51" s="46" t="e">
        <f aca="false">-(E41*#REF!)</f>
        <v>#REF!</v>
      </c>
      <c r="F51" s="46" t="e">
        <f aca="false">-(F41*#REF!)</f>
        <v>#REF!</v>
      </c>
      <c r="G51" s="46" t="e">
        <f aca="false">-(G41*#REF!)</f>
        <v>#REF!</v>
      </c>
      <c r="H51" s="46" t="e">
        <f aca="false">-(H41*#REF!)</f>
        <v>#REF!</v>
      </c>
      <c r="I51" s="46" t="e">
        <f aca="false">-(I41*#REF!)</f>
        <v>#REF!</v>
      </c>
      <c r="J51" s="46" t="e">
        <f aca="false">-(J41*#REF!)</f>
        <v>#REF!</v>
      </c>
      <c r="K51" s="46" t="e">
        <f aca="false">-(K41*#REF!)</f>
        <v>#REF!</v>
      </c>
      <c r="L51" s="46" t="e">
        <f aca="false">-(L41*#REF!)</f>
        <v>#REF!</v>
      </c>
      <c r="M51" s="46" t="e">
        <f aca="false">-(M41*#REF!)</f>
        <v>#REF!</v>
      </c>
      <c r="N51" s="46" t="e">
        <f aca="false">-(N41*#REF!)</f>
        <v>#REF!</v>
      </c>
      <c r="O51" s="46" t="e">
        <f aca="false">-(O41*#REF!)</f>
        <v>#REF!</v>
      </c>
      <c r="P51" s="46" t="e">
        <f aca="false">-(P41*#REF!)</f>
        <v>#REF!</v>
      </c>
      <c r="Q51" s="46" t="e">
        <f aca="false">-(Q41*#REF!)</f>
        <v>#REF!</v>
      </c>
      <c r="R51" s="46" t="e">
        <f aca="false">-(R41*#REF!)</f>
        <v>#REF!</v>
      </c>
      <c r="S51" s="46" t="e">
        <f aca="false">-(S41*#REF!)</f>
        <v>#REF!</v>
      </c>
      <c r="T51" s="46" t="e">
        <f aca="false">-(T41*#REF!)</f>
        <v>#REF!</v>
      </c>
      <c r="U51" s="46" t="e">
        <f aca="false">-(U41*#REF!)</f>
        <v>#REF!</v>
      </c>
      <c r="V51" s="46" t="e">
        <f aca="false">-(V41*#REF!)</f>
        <v>#REF!</v>
      </c>
      <c r="W51" s="56"/>
    </row>
    <row r="52" customFormat="false" ht="18.75" hidden="false" customHeight="true" outlineLevel="0" collapsed="false">
      <c r="A52" s="61" t="s">
        <v>64</v>
      </c>
      <c r="B52" s="63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56"/>
    </row>
    <row r="53" customFormat="false" ht="18.75" hidden="false" customHeight="true" outlineLevel="0" collapsed="false">
      <c r="A53" s="66" t="s">
        <v>65</v>
      </c>
      <c r="B53" s="63"/>
      <c r="C53" s="67"/>
      <c r="D53" s="67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56"/>
    </row>
    <row r="54" customFormat="false" ht="18.75" hidden="false" customHeight="true" outlineLevel="0" collapsed="false">
      <c r="A54" s="66" t="s">
        <v>66</v>
      </c>
      <c r="B54" s="63"/>
      <c r="C54" s="46" t="e">
        <f aca="false">IF((#REF!+SUM(#REF!+#REF!+#REF!+#REF!+#REF!+#REF!))&gt;0,-(#REF!+SUM(#REF!+#REF!+#REF!+#REF!+#REF!+#REF!))*0.2,0)</f>
        <v>#REF!</v>
      </c>
      <c r="D54" s="46" t="e">
        <f aca="false">IF((#REF!+SUM(#REF!+#REF!+#REF!+#REF!+#REF!+#REF!))&gt;0,-(#REF!+SUM(#REF!+#REF!+#REF!+#REF!+#REF!+#REF!))*0.2,0)</f>
        <v>#REF!</v>
      </c>
      <c r="E54" s="46" t="e">
        <f aca="false">IF((#REF!+SUM(#REF!+#REF!+#REF!+#REF!+#REF!+#REF!))&gt;0,-(#REF!+SUM(#REF!+#REF!+#REF!+#REF!+#REF!+#REF!))*0.2,0)</f>
        <v>#REF!</v>
      </c>
      <c r="F54" s="46" t="e">
        <f aca="false">IF((#REF!+SUM(#REF!+#REF!+#REF!+#REF!+#REF!+#REF!))&gt;0,-(#REF!+SUM(#REF!+#REF!+#REF!+#REF!+#REF!+#REF!))*0.2,0)</f>
        <v>#REF!</v>
      </c>
      <c r="G54" s="46" t="e">
        <f aca="false">IF((#REF!+SUM(#REF!+#REF!+#REF!+#REF!+#REF!+#REF!))&gt;0,-(#REF!+SUM(#REF!+#REF!+#REF!+#REF!+#REF!+#REF!))*0.2,0)</f>
        <v>#REF!</v>
      </c>
      <c r="H54" s="46" t="e">
        <f aca="false">IF((#REF!+SUM(#REF!+#REF!+#REF!+#REF!+#REF!+#REF!))&gt;0,-(#REF!+SUM(#REF!+#REF!+#REF!+#REF!+#REF!+#REF!))*0.2,0)</f>
        <v>#REF!</v>
      </c>
      <c r="I54" s="46" t="e">
        <f aca="false">IF((#REF!+SUM(#REF!+#REF!+#REF!+#REF!+#REF!+#REF!))&gt;0,-(#REF!+SUM(#REF!+#REF!+#REF!+#REF!+#REF!+#REF!))*0.2,0)</f>
        <v>#REF!</v>
      </c>
      <c r="J54" s="46" t="e">
        <f aca="false">IF((#REF!+SUM(#REF!+#REF!+#REF!+#REF!+#REF!+#REF!))&gt;0,-(#REF!+SUM(#REF!+#REF!+#REF!+#REF!+#REF!+#REF!))*0.2,0)</f>
        <v>#REF!</v>
      </c>
      <c r="K54" s="46" t="e">
        <f aca="false">IF((#REF!+SUM(#REF!+#REF!+#REF!+#REF!+#REF!+#REF!))&gt;0,-(#REF!+SUM(#REF!+#REF!+#REF!+#REF!+#REF!+#REF!))*0.2,0)</f>
        <v>#REF!</v>
      </c>
      <c r="L54" s="46" t="e">
        <f aca="false">IF((#REF!+SUM(#REF!+#REF!+#REF!+#REF!+#REF!+#REF!))&gt;0,-(#REF!+SUM(#REF!+#REF!+#REF!+#REF!+#REF!+#REF!))*0.2,0)</f>
        <v>#REF!</v>
      </c>
      <c r="M54" s="46" t="e">
        <f aca="false">IF((#REF!+SUM(#REF!+#REF!+#REF!+#REF!+#REF!+#REF!))&gt;0,-(#REF!+SUM(#REF!+#REF!+#REF!+#REF!+#REF!+#REF!))*0.2,0)</f>
        <v>#REF!</v>
      </c>
      <c r="N54" s="46" t="e">
        <f aca="false">IF((#REF!+SUM(#REF!+#REF!+#REF!+#REF!+#REF!+#REF!))&gt;0,-(#REF!+SUM(#REF!+#REF!+#REF!+#REF!+#REF!+#REF!))*0.2,0)</f>
        <v>#REF!</v>
      </c>
      <c r="O54" s="46" t="e">
        <f aca="false">IF((#REF!+SUM(#REF!+#REF!+#REF!+#REF!+#REF!+#REF!))&gt;0,-(#REF!+SUM(#REF!+#REF!+#REF!+#REF!+#REF!+#REF!))*0.2,0)</f>
        <v>#REF!</v>
      </c>
      <c r="P54" s="46" t="e">
        <f aca="false">IF((#REF!+SUM(#REF!+#REF!+#REF!+#REF!+#REF!+#REF!))&gt;0,-(#REF!+SUM(#REF!+#REF!+#REF!+#REF!+#REF!+#REF!))*0.2,0)</f>
        <v>#REF!</v>
      </c>
      <c r="Q54" s="46" t="e">
        <f aca="false">IF((#REF!+SUM(#REF!+#REF!+#REF!+#REF!+#REF!+#REF!))&gt;0,-(#REF!+SUM(#REF!+#REF!+#REF!+#REF!+#REF!+#REF!))*0.2,0)</f>
        <v>#REF!</v>
      </c>
      <c r="R54" s="46" t="e">
        <f aca="false">IF((#REF!+SUM(#REF!+#REF!+#REF!+#REF!+#REF!+#REF!))&gt;0,-(#REF!+SUM(#REF!+#REF!+#REF!+#REF!+#REF!+#REF!))*0.2,0)</f>
        <v>#REF!</v>
      </c>
      <c r="S54" s="46" t="e">
        <f aca="false">IF((#REF!+SUM(#REF!+#REF!+#REF!+#REF!+#REF!+#REF!))&gt;0,-(#REF!+SUM(#REF!+#REF!+#REF!+#REF!+#REF!+#REF!))*0.2,0)</f>
        <v>#REF!</v>
      </c>
      <c r="T54" s="46" t="e">
        <f aca="false">IF((#REF!+SUM(#REF!+#REF!+#REF!+#REF!+#REF!+#REF!))&gt;0,-(#REF!+SUM(#REF!+#REF!+#REF!+#REF!+#REF!+#REF!))*0.2,0)</f>
        <v>#REF!</v>
      </c>
      <c r="U54" s="46" t="e">
        <f aca="false">IF((#REF!+SUM(#REF!+#REF!+#REF!+#REF!+#REF!+#REF!))&gt;0,-(#REF!+SUM(#REF!+#REF!+#REF!+#REF!+#REF!+#REF!))*0.2,0)</f>
        <v>#REF!</v>
      </c>
      <c r="V54" s="46" t="e">
        <f aca="false">IF((#REF!+SUM(#REF!+#REF!+#REF!+#REF!+#REF!+#REF!))&gt;0,-(#REF!+SUM(#REF!+#REF!+#REF!+#REF!+#REF!+#REF!))*0.2,0)</f>
        <v>#REF!</v>
      </c>
      <c r="W54" s="56"/>
    </row>
    <row r="55" customFormat="false" ht="18.75" hidden="false" customHeight="true" outlineLevel="0" collapsed="false">
      <c r="A55" s="68"/>
      <c r="B55" s="63"/>
      <c r="C55" s="65"/>
      <c r="D55" s="65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48"/>
    </row>
    <row r="56" customFormat="false" ht="18.75" hidden="false" customHeight="true" outlineLevel="0" collapsed="false">
      <c r="A56" s="69" t="s">
        <v>67</v>
      </c>
      <c r="B56" s="70" t="e">
        <f aca="false">B44</f>
        <v>#REF!</v>
      </c>
      <c r="C56" s="71" t="e">
        <f aca="false">SUM(C41:C54)</f>
        <v>#REF!</v>
      </c>
      <c r="D56" s="70" t="e">
        <f aca="false">SUM(D41:D54)</f>
        <v>#REF!</v>
      </c>
      <c r="E56" s="70" t="e">
        <f aca="false">SUM(E41:E54)</f>
        <v>#REF!</v>
      </c>
      <c r="F56" s="70" t="e">
        <f aca="false">SUM(F41:F54)</f>
        <v>#REF!</v>
      </c>
      <c r="G56" s="70" t="e">
        <f aca="false">SUM(G41:G54)</f>
        <v>#REF!</v>
      </c>
      <c r="H56" s="70" t="e">
        <f aca="false">SUM(H41:H54)</f>
        <v>#REF!</v>
      </c>
      <c r="I56" s="70" t="e">
        <f aca="false">SUM(I41:I54)</f>
        <v>#REF!</v>
      </c>
      <c r="J56" s="70" t="e">
        <f aca="false">SUM(J41:J54)</f>
        <v>#REF!</v>
      </c>
      <c r="K56" s="70" t="e">
        <f aca="false">SUM(K41:K54)</f>
        <v>#REF!</v>
      </c>
      <c r="L56" s="70" t="e">
        <f aca="false">SUM(L41:L54)</f>
        <v>#REF!</v>
      </c>
      <c r="M56" s="70" t="e">
        <f aca="false">SUM(M41:M54)</f>
        <v>#REF!</v>
      </c>
      <c r="N56" s="70" t="e">
        <f aca="false">SUM(N41:N54)</f>
        <v>#REF!</v>
      </c>
      <c r="O56" s="70" t="e">
        <f aca="false">SUM(O41:O54)</f>
        <v>#REF!</v>
      </c>
      <c r="P56" s="70" t="e">
        <f aca="false">SUM(P41:P54)</f>
        <v>#REF!</v>
      </c>
      <c r="Q56" s="70" t="e">
        <f aca="false">SUM(Q41:Q54)</f>
        <v>#REF!</v>
      </c>
      <c r="R56" s="70" t="e">
        <f aca="false">SUM(R41:R54)</f>
        <v>#REF!</v>
      </c>
      <c r="S56" s="70" t="e">
        <f aca="false">SUM(S41:S54)</f>
        <v>#REF!</v>
      </c>
      <c r="T56" s="70" t="e">
        <f aca="false">SUM(T41:T54)</f>
        <v>#REF!</v>
      </c>
      <c r="U56" s="70" t="e">
        <f aca="false">SUM(U41:U54)</f>
        <v>#REF!</v>
      </c>
      <c r="V56" s="70" t="e">
        <f aca="false">SUM(V41:V54)</f>
        <v>#REF!</v>
      </c>
      <c r="W56" s="72"/>
      <c r="X56" s="73"/>
      <c r="Y56" s="74"/>
      <c r="Z56" s="73"/>
      <c r="AA56" s="73"/>
      <c r="AB56" s="73"/>
      <c r="AC56" s="73"/>
      <c r="AD56" s="73"/>
      <c r="AE56" s="73"/>
      <c r="AF56" s="73"/>
      <c r="AG56" s="73"/>
      <c r="AH56" s="73"/>
      <c r="AI56" s="73"/>
    </row>
    <row r="57" customFormat="false" ht="15" hidden="false" customHeight="true" outlineLevel="0" collapsed="false">
      <c r="A57" s="75" t="s">
        <v>68</v>
      </c>
      <c r="B57" s="76"/>
      <c r="C57" s="77" t="e">
        <f aca="false">C56+B56</f>
        <v>#REF!</v>
      </c>
      <c r="D57" s="77" t="e">
        <f aca="false">D56+C57</f>
        <v>#REF!</v>
      </c>
      <c r="E57" s="77" t="e">
        <f aca="false">E56+D57</f>
        <v>#REF!</v>
      </c>
      <c r="F57" s="77" t="e">
        <f aca="false">F56+E57</f>
        <v>#REF!</v>
      </c>
      <c r="G57" s="77" t="e">
        <f aca="false">G56+F57</f>
        <v>#REF!</v>
      </c>
      <c r="H57" s="77" t="e">
        <f aca="false">H56+G57</f>
        <v>#REF!</v>
      </c>
      <c r="I57" s="77" t="e">
        <f aca="false">I56+H57</f>
        <v>#REF!</v>
      </c>
      <c r="J57" s="77" t="e">
        <f aca="false">J56+I57</f>
        <v>#REF!</v>
      </c>
      <c r="K57" s="77" t="e">
        <f aca="false">K56+J57</f>
        <v>#REF!</v>
      </c>
      <c r="L57" s="77" t="e">
        <f aca="false">L56+K57</f>
        <v>#REF!</v>
      </c>
      <c r="M57" s="77" t="e">
        <f aca="false">M56+L57</f>
        <v>#REF!</v>
      </c>
      <c r="N57" s="77" t="e">
        <f aca="false">N56+M57</f>
        <v>#REF!</v>
      </c>
      <c r="O57" s="77" t="e">
        <f aca="false">O56+N57</f>
        <v>#REF!</v>
      </c>
      <c r="P57" s="77" t="e">
        <f aca="false">P56+O57</f>
        <v>#REF!</v>
      </c>
      <c r="Q57" s="77" t="e">
        <f aca="false">Q56+P57</f>
        <v>#REF!</v>
      </c>
      <c r="R57" s="77" t="e">
        <f aca="false">R56+Q57</f>
        <v>#REF!</v>
      </c>
      <c r="S57" s="77" t="e">
        <f aca="false">S56+R57</f>
        <v>#REF!</v>
      </c>
      <c r="T57" s="77" t="e">
        <f aca="false">T56+S57</f>
        <v>#REF!</v>
      </c>
      <c r="U57" s="77" t="e">
        <f aca="false">U56+T57</f>
        <v>#REF!</v>
      </c>
      <c r="V57" s="77" t="e">
        <f aca="false">V56+U57</f>
        <v>#REF!</v>
      </c>
      <c r="W57" s="78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</row>
    <row r="58" customFormat="false" ht="18.75" hidden="false" customHeight="true" outlineLevel="0" collapsed="false">
      <c r="A58" s="79" t="s">
        <v>69</v>
      </c>
      <c r="B58" s="76"/>
      <c r="C58" s="80" t="e">
        <f aca="false">IF((C57)&gt;0,"回收","未回收")</f>
        <v>#REF!</v>
      </c>
      <c r="D58" s="80" t="e">
        <f aca="false">IF((D57)&gt;0,"回收","未回收")</f>
        <v>#REF!</v>
      </c>
      <c r="E58" s="80" t="e">
        <f aca="false">IF((E57)&gt;0,"回收","未回收")</f>
        <v>#REF!</v>
      </c>
      <c r="F58" s="80" t="e">
        <f aca="false">IF((F57)&gt;0,"回收","未回收")</f>
        <v>#REF!</v>
      </c>
      <c r="G58" s="80" t="e">
        <f aca="false">IF((G57)&gt;0,"回收","未回收")</f>
        <v>#REF!</v>
      </c>
      <c r="H58" s="80" t="e">
        <f aca="false">IF((H57)&gt;0,"回收","未回收")</f>
        <v>#REF!</v>
      </c>
      <c r="I58" s="80" t="e">
        <f aca="false">IF((I57)&gt;0,"回收","未回收")</f>
        <v>#REF!</v>
      </c>
      <c r="J58" s="80" t="e">
        <f aca="false">IF((J57)&gt;0,"回收","未回收")</f>
        <v>#REF!</v>
      </c>
      <c r="K58" s="80" t="e">
        <f aca="false">IF((K57)&gt;0,"回收","未回收")</f>
        <v>#REF!</v>
      </c>
      <c r="L58" s="80" t="e">
        <f aca="false">IF((L57)&gt;0,"回收","未回收")</f>
        <v>#REF!</v>
      </c>
      <c r="M58" s="80" t="e">
        <f aca="false">IF((M57)&gt;0,"回收","未回收")</f>
        <v>#REF!</v>
      </c>
      <c r="N58" s="80" t="e">
        <f aca="false">IF((N57)&gt;0,"回收","未回收")</f>
        <v>#REF!</v>
      </c>
      <c r="O58" s="80" t="e">
        <f aca="false">IF((O57)&gt;0,"回收","未回收")</f>
        <v>#REF!</v>
      </c>
      <c r="P58" s="80" t="e">
        <f aca="false">IF((P57)&gt;0,"回收","未回收")</f>
        <v>#REF!</v>
      </c>
      <c r="Q58" s="80" t="e">
        <f aca="false">IF((Q57)&gt;0,"回收","未回收")</f>
        <v>#REF!</v>
      </c>
      <c r="R58" s="80" t="e">
        <f aca="false">IF((R57)&gt;0,"回收","未回收")</f>
        <v>#REF!</v>
      </c>
      <c r="S58" s="80" t="e">
        <f aca="false">IF((S57)&gt;0,"回收","未回收")</f>
        <v>#REF!</v>
      </c>
      <c r="T58" s="80" t="e">
        <f aca="false">IF((T57)&gt;0,"回收","未回收")</f>
        <v>#REF!</v>
      </c>
      <c r="U58" s="80" t="e">
        <f aca="false">IF((U57)&gt;0,"回收","未回收")</f>
        <v>#REF!</v>
      </c>
      <c r="V58" s="80" t="e">
        <f aca="false">IF((V57)&gt;0,"回收","未回收")</f>
        <v>#REF!</v>
      </c>
      <c r="W58" s="81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</row>
    <row r="59" customFormat="false" ht="18.75" hidden="false" customHeight="true" outlineLevel="0" collapsed="false">
      <c r="A59" s="34"/>
      <c r="B59" s="82"/>
      <c r="C59" s="82"/>
      <c r="D59" s="82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8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</row>
    <row r="60" customFormat="false" ht="18.75" hidden="false" customHeight="true" outlineLevel="0" collapsed="false">
      <c r="A60" s="34"/>
      <c r="B60" s="82"/>
      <c r="C60" s="82"/>
      <c r="D60" s="82"/>
      <c r="E60" s="65"/>
      <c r="F60" s="65"/>
      <c r="G60" s="65"/>
      <c r="H60" s="65"/>
      <c r="I60" s="65"/>
      <c r="J60" s="65"/>
      <c r="K60" s="65" t="s">
        <v>70</v>
      </c>
      <c r="L60" s="84" t="n">
        <v>0</v>
      </c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8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</row>
    <row r="61" customFormat="false" ht="18.75" hidden="false" customHeight="true" outlineLevel="0" collapsed="false">
      <c r="A61" s="34"/>
      <c r="B61" s="82"/>
      <c r="C61" s="82"/>
      <c r="D61" s="82"/>
      <c r="E61" s="65"/>
      <c r="F61" s="65"/>
      <c r="G61" s="65"/>
      <c r="H61" s="65"/>
      <c r="I61" s="65"/>
      <c r="J61" s="65"/>
      <c r="K61" s="65" t="s">
        <v>70</v>
      </c>
      <c r="L61" s="84" t="n">
        <v>0</v>
      </c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8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</row>
    <row r="62" customFormat="false" ht="18.75" hidden="false" customHeight="true" outlineLevel="0" collapsed="false">
      <c r="B62" s="85" t="s">
        <v>48</v>
      </c>
      <c r="C62" s="86" t="n">
        <v>2020</v>
      </c>
      <c r="D62" s="86" t="n">
        <v>2021</v>
      </c>
      <c r="E62" s="86" t="n">
        <v>2022</v>
      </c>
      <c r="F62" s="86" t="n">
        <v>2023</v>
      </c>
      <c r="G62" s="86" t="n">
        <v>2024</v>
      </c>
      <c r="H62" s="86" t="n">
        <v>2025</v>
      </c>
      <c r="I62" s="86" t="n">
        <v>2026</v>
      </c>
      <c r="J62" s="86" t="n">
        <v>2027</v>
      </c>
      <c r="K62" s="86" t="n">
        <v>2028</v>
      </c>
      <c r="L62" s="86" t="n">
        <v>2029</v>
      </c>
      <c r="M62" s="86" t="n">
        <v>2030</v>
      </c>
      <c r="N62" s="86" t="n">
        <v>2031</v>
      </c>
      <c r="O62" s="86" t="n">
        <v>2032</v>
      </c>
      <c r="P62" s="86" t="n">
        <v>2033</v>
      </c>
      <c r="Q62" s="86" t="n">
        <v>2034</v>
      </c>
      <c r="R62" s="86" t="n">
        <v>2035</v>
      </c>
      <c r="S62" s="86" t="n">
        <v>2036</v>
      </c>
      <c r="T62" s="86" t="n">
        <v>2037</v>
      </c>
      <c r="U62" s="86" t="n">
        <v>2038</v>
      </c>
      <c r="V62" s="86" t="n">
        <v>2039</v>
      </c>
      <c r="W62" s="73"/>
    </row>
    <row r="63" customFormat="false" ht="18.75" hidden="false" customHeight="true" outlineLevel="0" collapsed="false">
      <c r="W63" s="73"/>
    </row>
    <row r="64" customFormat="false" ht="18.75" hidden="false" customHeight="true" outlineLevel="0" collapsed="false">
      <c r="A64" s="87" t="s">
        <v>51</v>
      </c>
      <c r="B64" s="88" t="n">
        <v>0</v>
      </c>
      <c r="C64" s="88" t="n">
        <v>1</v>
      </c>
      <c r="D64" s="88" t="n">
        <v>2</v>
      </c>
      <c r="E64" s="88" t="n">
        <v>3</v>
      </c>
      <c r="F64" s="88" t="n">
        <v>4</v>
      </c>
      <c r="G64" s="88" t="n">
        <v>5</v>
      </c>
      <c r="H64" s="88" t="n">
        <v>6</v>
      </c>
      <c r="I64" s="88" t="n">
        <v>7</v>
      </c>
      <c r="J64" s="88" t="n">
        <v>8</v>
      </c>
      <c r="K64" s="88" t="n">
        <v>9</v>
      </c>
      <c r="L64" s="88" t="n">
        <v>10</v>
      </c>
      <c r="M64" s="88" t="n">
        <v>11</v>
      </c>
      <c r="N64" s="88" t="n">
        <v>12</v>
      </c>
      <c r="O64" s="88" t="n">
        <v>13</v>
      </c>
      <c r="P64" s="88" t="n">
        <v>14</v>
      </c>
      <c r="Q64" s="88" t="n">
        <v>15</v>
      </c>
      <c r="R64" s="88" t="n">
        <v>16</v>
      </c>
      <c r="S64" s="88" t="n">
        <v>17</v>
      </c>
      <c r="T64" s="88" t="n">
        <v>18</v>
      </c>
      <c r="U64" s="88" t="n">
        <v>19</v>
      </c>
      <c r="V64" s="88" t="n">
        <v>20</v>
      </c>
      <c r="W64" s="89"/>
    </row>
    <row r="65" customFormat="false" ht="18.75" hidden="false" customHeight="true" outlineLevel="0" collapsed="false">
      <c r="A65" s="90" t="s">
        <v>71</v>
      </c>
      <c r="B65" s="91"/>
      <c r="C65" s="91" t="e">
        <f aca="false">#REF!</f>
        <v>#REF!</v>
      </c>
      <c r="D65" s="91" t="e">
        <f aca="false">#REF!</f>
        <v>#REF!</v>
      </c>
      <c r="E65" s="91" t="e">
        <f aca="false">#REF!</f>
        <v>#REF!</v>
      </c>
      <c r="F65" s="91" t="e">
        <f aca="false">#REF!</f>
        <v>#REF!</v>
      </c>
      <c r="G65" s="91" t="e">
        <f aca="false">#REF!</f>
        <v>#REF!</v>
      </c>
      <c r="H65" s="91" t="e">
        <f aca="false">#REF!</f>
        <v>#REF!</v>
      </c>
      <c r="I65" s="91" t="e">
        <f aca="false">#REF!</f>
        <v>#REF!</v>
      </c>
      <c r="J65" s="91" t="e">
        <f aca="false">#REF!</f>
        <v>#REF!</v>
      </c>
      <c r="K65" s="91" t="e">
        <f aca="false">#REF!</f>
        <v>#REF!</v>
      </c>
      <c r="L65" s="91" t="e">
        <f aca="false">#REF!</f>
        <v>#REF!</v>
      </c>
      <c r="M65" s="91" t="e">
        <f aca="false">#REF!</f>
        <v>#REF!</v>
      </c>
      <c r="N65" s="91" t="e">
        <f aca="false">#REF!</f>
        <v>#REF!</v>
      </c>
      <c r="O65" s="91" t="e">
        <f aca="false">#REF!</f>
        <v>#REF!</v>
      </c>
      <c r="P65" s="91" t="e">
        <f aca="false">#REF!</f>
        <v>#REF!</v>
      </c>
      <c r="Q65" s="91" t="e">
        <f aca="false">#REF!</f>
        <v>#REF!</v>
      </c>
      <c r="R65" s="91" t="e">
        <f aca="false">#REF!</f>
        <v>#REF!</v>
      </c>
      <c r="S65" s="91" t="e">
        <f aca="false">#REF!</f>
        <v>#REF!</v>
      </c>
      <c r="T65" s="91" t="e">
        <f aca="false">#REF!</f>
        <v>#REF!</v>
      </c>
      <c r="U65" s="91" t="e">
        <f aca="false">#REF!</f>
        <v>#REF!</v>
      </c>
      <c r="V65" s="91" t="e">
        <f aca="false">#REF!</f>
        <v>#REF!</v>
      </c>
      <c r="W65" s="92"/>
    </row>
    <row r="66" customFormat="false" ht="18.75" hidden="false" customHeight="true" outlineLevel="0" collapsed="false">
      <c r="A66" s="90" t="s">
        <v>72</v>
      </c>
      <c r="B66" s="91"/>
      <c r="C66" s="93" t="e">
        <f aca="false">-#REF!</f>
        <v>#REF!</v>
      </c>
      <c r="D66" s="93" t="e">
        <f aca="false">-#REF!</f>
        <v>#REF!</v>
      </c>
      <c r="E66" s="93" t="e">
        <f aca="false">-#REF!</f>
        <v>#REF!</v>
      </c>
      <c r="F66" s="93" t="e">
        <f aca="false">-#REF!</f>
        <v>#REF!</v>
      </c>
      <c r="G66" s="93" t="e">
        <f aca="false">-#REF!</f>
        <v>#REF!</v>
      </c>
      <c r="H66" s="93" t="e">
        <f aca="false">-#REF!</f>
        <v>#REF!</v>
      </c>
      <c r="I66" s="93" t="e">
        <f aca="false">-#REF!</f>
        <v>#REF!</v>
      </c>
      <c r="J66" s="93" t="e">
        <f aca="false">-#REF!</f>
        <v>#REF!</v>
      </c>
      <c r="K66" s="93" t="e">
        <f aca="false">-#REF!</f>
        <v>#REF!</v>
      </c>
      <c r="L66" s="93" t="e">
        <f aca="false">-#REF!</f>
        <v>#REF!</v>
      </c>
      <c r="M66" s="93" t="e">
        <f aca="false">-#REF!</f>
        <v>#REF!</v>
      </c>
      <c r="N66" s="93" t="e">
        <f aca="false">-#REF!</f>
        <v>#REF!</v>
      </c>
      <c r="O66" s="93" t="e">
        <f aca="false">-#REF!</f>
        <v>#REF!</v>
      </c>
      <c r="P66" s="93" t="e">
        <f aca="false">-#REF!</f>
        <v>#REF!</v>
      </c>
      <c r="Q66" s="93" t="e">
        <f aca="false">-#REF!</f>
        <v>#REF!</v>
      </c>
      <c r="R66" s="93" t="e">
        <f aca="false">-#REF!</f>
        <v>#REF!</v>
      </c>
      <c r="S66" s="93" t="e">
        <f aca="false">-#REF!</f>
        <v>#REF!</v>
      </c>
      <c r="T66" s="93" t="e">
        <f aca="false">-#REF!</f>
        <v>#REF!</v>
      </c>
      <c r="U66" s="93" t="e">
        <f aca="false">-#REF!</f>
        <v>#REF!</v>
      </c>
      <c r="V66" s="93" t="e">
        <f aca="false">-#REF!</f>
        <v>#REF!</v>
      </c>
      <c r="W66" s="92"/>
    </row>
    <row r="67" customFormat="false" ht="18.75" hidden="false" customHeight="true" outlineLevel="0" collapsed="false">
      <c r="A67" s="90" t="s">
        <v>73</v>
      </c>
      <c r="B67" s="91"/>
      <c r="C67" s="94" t="e">
        <f aca="false">SUM(C65:C66)</f>
        <v>#REF!</v>
      </c>
      <c r="D67" s="94" t="e">
        <f aca="false">SUM(D65:D66)</f>
        <v>#REF!</v>
      </c>
      <c r="E67" s="94" t="e">
        <f aca="false">SUM(E65:E66)</f>
        <v>#REF!</v>
      </c>
      <c r="F67" s="94" t="e">
        <f aca="false">SUM(F65:F66)</f>
        <v>#REF!</v>
      </c>
      <c r="G67" s="94" t="e">
        <f aca="false">SUM(G65:G66)</f>
        <v>#REF!</v>
      </c>
      <c r="H67" s="94" t="e">
        <f aca="false">SUM(H65:H66)</f>
        <v>#REF!</v>
      </c>
      <c r="I67" s="94" t="e">
        <f aca="false">SUM(I65:I66)</f>
        <v>#REF!</v>
      </c>
      <c r="J67" s="94" t="e">
        <f aca="false">SUM(J65:J66)</f>
        <v>#REF!</v>
      </c>
      <c r="K67" s="94" t="e">
        <f aca="false">SUM(K65:K66)</f>
        <v>#REF!</v>
      </c>
      <c r="L67" s="94" t="e">
        <f aca="false">SUM(L65:L66)</f>
        <v>#REF!</v>
      </c>
      <c r="M67" s="94" t="e">
        <f aca="false">SUM(M65:M66)</f>
        <v>#REF!</v>
      </c>
      <c r="N67" s="94" t="e">
        <f aca="false">SUM(N65:N66)</f>
        <v>#REF!</v>
      </c>
      <c r="O67" s="94" t="e">
        <f aca="false">SUM(O65:O66)</f>
        <v>#REF!</v>
      </c>
      <c r="P67" s="94" t="e">
        <f aca="false">SUM(P65:P66)</f>
        <v>#REF!</v>
      </c>
      <c r="Q67" s="94" t="e">
        <f aca="false">SUM(Q65:Q66)</f>
        <v>#REF!</v>
      </c>
      <c r="R67" s="94" t="e">
        <f aca="false">SUM(R65:R66)</f>
        <v>#REF!</v>
      </c>
      <c r="S67" s="94" t="e">
        <f aca="false">SUM(S65:S66)</f>
        <v>#REF!</v>
      </c>
      <c r="T67" s="94" t="e">
        <f aca="false">SUM(T65:T66)</f>
        <v>#REF!</v>
      </c>
      <c r="U67" s="94" t="e">
        <f aca="false">SUM(U65:U66)</f>
        <v>#REF!</v>
      </c>
      <c r="V67" s="94" t="e">
        <f aca="false">SUM(V65:V66)</f>
        <v>#REF!</v>
      </c>
      <c r="W67" s="74"/>
    </row>
    <row r="68" customFormat="false" ht="18.75" hidden="false" customHeight="true" outlineLevel="0" collapsed="false">
      <c r="A68" s="90"/>
      <c r="B68" s="91"/>
      <c r="C68" s="91"/>
      <c r="D68" s="91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73"/>
    </row>
    <row r="69" customFormat="false" ht="18.75" hidden="false" customHeight="true" outlineLevel="0" collapsed="false">
      <c r="A69" s="96" t="s">
        <v>74</v>
      </c>
      <c r="B69" s="97"/>
      <c r="C69" s="98" t="e">
        <f aca="false">B44</f>
        <v>#REF!</v>
      </c>
      <c r="D69" s="97" t="n">
        <v>0</v>
      </c>
      <c r="E69" s="97"/>
      <c r="F69" s="97" t="n">
        <v>0</v>
      </c>
      <c r="G69" s="97" t="n">
        <v>0</v>
      </c>
      <c r="H69" s="97" t="n">
        <v>0</v>
      </c>
      <c r="I69" s="97" t="n">
        <v>0</v>
      </c>
      <c r="J69" s="97" t="n">
        <v>0</v>
      </c>
      <c r="K69" s="97" t="n">
        <v>0</v>
      </c>
      <c r="L69" s="97" t="n">
        <v>0</v>
      </c>
      <c r="M69" s="97" t="n">
        <v>0</v>
      </c>
      <c r="N69" s="97" t="n">
        <v>0</v>
      </c>
      <c r="O69" s="97" t="n">
        <v>0</v>
      </c>
      <c r="P69" s="97" t="n">
        <v>0</v>
      </c>
      <c r="Q69" s="97" t="n">
        <v>0</v>
      </c>
      <c r="R69" s="97" t="n">
        <v>0</v>
      </c>
      <c r="S69" s="97" t="n">
        <v>0</v>
      </c>
      <c r="T69" s="97" t="n">
        <v>0</v>
      </c>
      <c r="U69" s="97" t="n">
        <v>0</v>
      </c>
      <c r="V69" s="97" t="n">
        <v>0</v>
      </c>
      <c r="W69" s="92"/>
    </row>
    <row r="70" customFormat="false" ht="18.75" hidden="false" customHeight="true" outlineLevel="0" collapsed="false">
      <c r="A70" s="90"/>
      <c r="B70" s="91"/>
      <c r="C70" s="91"/>
      <c r="D70" s="91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73"/>
    </row>
    <row r="71" customFormat="false" ht="18.75" hidden="false" customHeight="true" outlineLevel="0" collapsed="false">
      <c r="A71" s="90"/>
      <c r="B71" s="91"/>
      <c r="C71" s="91"/>
      <c r="D71" s="91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73"/>
    </row>
    <row r="72" customFormat="false" ht="18.75" hidden="false" customHeight="true" outlineLevel="0" collapsed="false">
      <c r="A72" s="96" t="s">
        <v>75</v>
      </c>
      <c r="B72" s="97"/>
      <c r="C72" s="98" t="e">
        <f aca="false">#REF!*0.8</f>
        <v>#REF!</v>
      </c>
      <c r="D72" s="97"/>
      <c r="E72" s="97"/>
      <c r="F72" s="97" t="n">
        <v>0</v>
      </c>
      <c r="G72" s="97" t="n">
        <v>0</v>
      </c>
      <c r="H72" s="97" t="n">
        <v>0</v>
      </c>
      <c r="I72" s="97" t="n">
        <v>0</v>
      </c>
      <c r="J72" s="97" t="n">
        <v>0</v>
      </c>
      <c r="K72" s="97" t="n">
        <v>0</v>
      </c>
      <c r="L72" s="97" t="n">
        <v>0</v>
      </c>
      <c r="M72" s="97" t="n">
        <v>0</v>
      </c>
      <c r="N72" s="97" t="n">
        <v>0</v>
      </c>
      <c r="O72" s="97" t="n">
        <v>0</v>
      </c>
      <c r="P72" s="97" t="n">
        <v>0</v>
      </c>
      <c r="Q72" s="97" t="n">
        <v>0</v>
      </c>
      <c r="R72" s="97" t="n">
        <v>0</v>
      </c>
      <c r="S72" s="97" t="n">
        <v>0</v>
      </c>
      <c r="T72" s="97" t="n">
        <v>0</v>
      </c>
      <c r="U72" s="97" t="n">
        <v>0</v>
      </c>
      <c r="V72" s="97" t="n">
        <v>0</v>
      </c>
      <c r="W72" s="73"/>
    </row>
    <row r="73" customFormat="false" ht="18.75" hidden="false" customHeight="true" outlineLevel="0" collapsed="false">
      <c r="A73" s="90" t="s">
        <v>76</v>
      </c>
      <c r="B73" s="91"/>
      <c r="C73" s="91"/>
      <c r="D73" s="91" t="e">
        <f aca="false">-#REF!</f>
        <v>#REF!</v>
      </c>
      <c r="E73" s="91" t="e">
        <f aca="false">-#REF!</f>
        <v>#REF!</v>
      </c>
      <c r="F73" s="91" t="e">
        <f aca="false">-#REF!</f>
        <v>#REF!</v>
      </c>
      <c r="G73" s="91" t="e">
        <f aca="false">-#REF!</f>
        <v>#REF!</v>
      </c>
      <c r="H73" s="91" t="e">
        <f aca="false">-#REF!</f>
        <v>#REF!</v>
      </c>
      <c r="I73" s="91" t="e">
        <f aca="false">-#REF!</f>
        <v>#REF!</v>
      </c>
      <c r="J73" s="91" t="e">
        <f aca="false">-#REF!</f>
        <v>#REF!</v>
      </c>
      <c r="K73" s="91" t="e">
        <f aca="false">-#REF!</f>
        <v>#REF!</v>
      </c>
      <c r="L73" s="91" t="e">
        <f aca="false">-#REF!</f>
        <v>#REF!</v>
      </c>
      <c r="M73" s="91" t="e">
        <f aca="false">-#REF!</f>
        <v>#REF!</v>
      </c>
      <c r="N73" s="91" t="e">
        <f aca="false">-#REF!</f>
        <v>#REF!</v>
      </c>
      <c r="O73" s="91" t="e">
        <f aca="false">-#REF!</f>
        <v>#REF!</v>
      </c>
      <c r="P73" s="91" t="e">
        <f aca="false">-#REF!</f>
        <v>#REF!</v>
      </c>
      <c r="Q73" s="91" t="e">
        <f aca="false">-#REF!</f>
        <v>#REF!</v>
      </c>
      <c r="R73" s="91" t="e">
        <f aca="false">-#REF!</f>
        <v>#REF!</v>
      </c>
      <c r="S73" s="95"/>
      <c r="T73" s="95"/>
      <c r="U73" s="95"/>
      <c r="V73" s="95"/>
      <c r="W73" s="92"/>
    </row>
    <row r="74" customFormat="false" ht="18.75" hidden="false" customHeight="true" outlineLevel="0" collapsed="false">
      <c r="A74" s="90" t="s">
        <v>77</v>
      </c>
      <c r="B74" s="95"/>
      <c r="C74" s="91" t="e">
        <f aca="false">#REF!*0.2</f>
        <v>#REF!</v>
      </c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74"/>
    </row>
    <row r="75" customFormat="false" ht="18.75" hidden="false" customHeight="true" outlineLevel="0" collapsed="false">
      <c r="A75" s="90" t="s">
        <v>45</v>
      </c>
      <c r="B75" s="95"/>
      <c r="C75" s="95"/>
      <c r="D75" s="99" t="e">
        <f aca="false">-C65*0.9</f>
        <v>#REF!</v>
      </c>
      <c r="E75" s="91" t="e">
        <f aca="false">-D65*0.9</f>
        <v>#REF!</v>
      </c>
      <c r="F75" s="91" t="e">
        <f aca="false">-E65*0.9</f>
        <v>#REF!</v>
      </c>
      <c r="G75" s="91" t="e">
        <f aca="false">-F65*0.9</f>
        <v>#REF!</v>
      </c>
      <c r="H75" s="91" t="e">
        <f aca="false">-G65*0.9</f>
        <v>#REF!</v>
      </c>
      <c r="I75" s="91" t="e">
        <f aca="false">-H65*0.9</f>
        <v>#REF!</v>
      </c>
      <c r="J75" s="91" t="e">
        <f aca="false">-I65*0.9</f>
        <v>#REF!</v>
      </c>
      <c r="K75" s="91" t="e">
        <f aca="false">-J65*0.9</f>
        <v>#REF!</v>
      </c>
      <c r="L75" s="91" t="e">
        <f aca="false">-K65*0.9</f>
        <v>#REF!</v>
      </c>
      <c r="M75" s="91" t="e">
        <f aca="false">-L65*0.9</f>
        <v>#REF!</v>
      </c>
      <c r="N75" s="91" t="e">
        <f aca="false">-M65*0.9</f>
        <v>#REF!</v>
      </c>
      <c r="O75" s="91" t="e">
        <f aca="false">-N65*0.9</f>
        <v>#REF!</v>
      </c>
      <c r="P75" s="91" t="e">
        <f aca="false">-O65*0.9</f>
        <v>#REF!</v>
      </c>
      <c r="Q75" s="91" t="e">
        <f aca="false">-P65*0.9</f>
        <v>#REF!</v>
      </c>
      <c r="R75" s="91" t="e">
        <f aca="false">-Q65*0.9</f>
        <v>#REF!</v>
      </c>
      <c r="S75" s="91" t="e">
        <f aca="false">-R65*0.9</f>
        <v>#REF!</v>
      </c>
      <c r="T75" s="91" t="e">
        <f aca="false">-S65*0.9</f>
        <v>#REF!</v>
      </c>
      <c r="U75" s="95"/>
      <c r="V75" s="91" t="e">
        <f aca="false">-U65*0.9</f>
        <v>#REF!</v>
      </c>
      <c r="W75" s="74"/>
    </row>
    <row r="76" customFormat="false" ht="18.75" hidden="false" customHeight="true" outlineLevel="0" collapsed="false">
      <c r="A76" s="100" t="s">
        <v>47</v>
      </c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2" t="e">
        <f aca="false">-$C$74/4</f>
        <v>#REF!</v>
      </c>
      <c r="R76" s="102" t="e">
        <f aca="false">-$C$74/4</f>
        <v>#REF!</v>
      </c>
      <c r="S76" s="102" t="e">
        <f aca="false">-$C$74/4</f>
        <v>#REF!</v>
      </c>
      <c r="T76" s="102" t="e">
        <f aca="false">-$C$74/4</f>
        <v>#REF!</v>
      </c>
      <c r="U76" s="101"/>
      <c r="V76" s="101"/>
      <c r="W76" s="74"/>
    </row>
    <row r="77" customFormat="false" ht="18.75" hidden="false" customHeight="true" outlineLevel="0" collapsed="false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74"/>
    </row>
    <row r="78" customFormat="false" ht="18.7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74"/>
    </row>
    <row r="79" customFormat="false" ht="18.75" hidden="false" customHeight="true" outlineLevel="0" collapsed="false">
      <c r="A79" s="90" t="s">
        <v>78</v>
      </c>
      <c r="B79" s="95" t="n">
        <f aca="false">SUM(B69:B78)</f>
        <v>0</v>
      </c>
      <c r="C79" s="94" t="e">
        <f aca="false">SUM(C67:C78)</f>
        <v>#REF!</v>
      </c>
      <c r="D79" s="94" t="e">
        <f aca="false">SUM(D67:D78)</f>
        <v>#REF!</v>
      </c>
      <c r="E79" s="94" t="e">
        <f aca="false">SUM(E67:E78)</f>
        <v>#REF!</v>
      </c>
      <c r="F79" s="94" t="e">
        <f aca="false">SUM(F67:F78)</f>
        <v>#REF!</v>
      </c>
      <c r="G79" s="94" t="e">
        <f aca="false">SUM(G67:G78)</f>
        <v>#REF!</v>
      </c>
      <c r="H79" s="94" t="e">
        <f aca="false">SUM(H67:H78)</f>
        <v>#REF!</v>
      </c>
      <c r="I79" s="94" t="e">
        <f aca="false">SUM(I67:I78)</f>
        <v>#REF!</v>
      </c>
      <c r="J79" s="94" t="e">
        <f aca="false">SUM(J67:J78)</f>
        <v>#REF!</v>
      </c>
      <c r="K79" s="94" t="e">
        <f aca="false">SUM(K67:K78)</f>
        <v>#REF!</v>
      </c>
      <c r="L79" s="94" t="e">
        <f aca="false">SUM(L67:L78)</f>
        <v>#REF!</v>
      </c>
      <c r="M79" s="94" t="e">
        <f aca="false">SUM(M67:M78)</f>
        <v>#REF!</v>
      </c>
      <c r="N79" s="94" t="e">
        <f aca="false">SUM(N67:N78)</f>
        <v>#REF!</v>
      </c>
      <c r="O79" s="94" t="e">
        <f aca="false">SUM(O67:O78)</f>
        <v>#REF!</v>
      </c>
      <c r="P79" s="94" t="e">
        <f aca="false">SUM(P67:P78)</f>
        <v>#REF!</v>
      </c>
      <c r="Q79" s="94" t="e">
        <f aca="false">SUM(Q67:Q78)</f>
        <v>#REF!</v>
      </c>
      <c r="R79" s="94" t="e">
        <f aca="false">SUM(R67:R78)</f>
        <v>#REF!</v>
      </c>
      <c r="S79" s="94" t="e">
        <f aca="false">SUM(S67:S78)</f>
        <v>#REF!</v>
      </c>
      <c r="T79" s="94" t="e">
        <f aca="false">SUM(T67:T78)</f>
        <v>#REF!</v>
      </c>
      <c r="U79" s="94" t="e">
        <f aca="false">SUM(U67:U78)</f>
        <v>#REF!</v>
      </c>
      <c r="V79" s="94" t="e">
        <f aca="false">SUM(V67:V78)</f>
        <v>#REF!</v>
      </c>
      <c r="W79" s="74"/>
    </row>
    <row r="80" customFormat="false" ht="18.75" hidden="false" customHeight="true" outlineLevel="0" collapsed="false">
      <c r="A80" s="90" t="s">
        <v>79</v>
      </c>
      <c r="B80" s="95" t="n">
        <v>0</v>
      </c>
      <c r="C80" s="95" t="n">
        <f aca="false">B81</f>
        <v>0</v>
      </c>
      <c r="D80" s="91" t="e">
        <f aca="false">C81</f>
        <v>#REF!</v>
      </c>
      <c r="E80" s="91" t="e">
        <f aca="false">D81</f>
        <v>#REF!</v>
      </c>
      <c r="F80" s="91" t="e">
        <f aca="false">E81</f>
        <v>#REF!</v>
      </c>
      <c r="G80" s="91" t="e">
        <f aca="false">F81</f>
        <v>#REF!</v>
      </c>
      <c r="H80" s="91" t="e">
        <f aca="false">G81</f>
        <v>#REF!</v>
      </c>
      <c r="I80" s="91" t="e">
        <f aca="false">H81</f>
        <v>#REF!</v>
      </c>
      <c r="J80" s="91" t="e">
        <f aca="false">I81</f>
        <v>#REF!</v>
      </c>
      <c r="K80" s="91" t="e">
        <f aca="false">J81</f>
        <v>#REF!</v>
      </c>
      <c r="L80" s="91" t="e">
        <f aca="false">K81</f>
        <v>#REF!</v>
      </c>
      <c r="M80" s="91" t="e">
        <f aca="false">L81</f>
        <v>#REF!</v>
      </c>
      <c r="N80" s="91" t="e">
        <f aca="false">M81</f>
        <v>#REF!</v>
      </c>
      <c r="O80" s="91" t="e">
        <f aca="false">N81</f>
        <v>#REF!</v>
      </c>
      <c r="P80" s="91" t="e">
        <f aca="false">O81</f>
        <v>#REF!</v>
      </c>
      <c r="Q80" s="91" t="e">
        <f aca="false">P81</f>
        <v>#REF!</v>
      </c>
      <c r="R80" s="91" t="e">
        <f aca="false">Q81</f>
        <v>#REF!</v>
      </c>
      <c r="S80" s="91" t="e">
        <f aca="false">R81</f>
        <v>#REF!</v>
      </c>
      <c r="T80" s="91" t="e">
        <f aca="false">S81</f>
        <v>#REF!</v>
      </c>
      <c r="U80" s="95"/>
      <c r="V80" s="95"/>
      <c r="W80" s="73"/>
    </row>
    <row r="81" customFormat="false" ht="18.75" hidden="false" customHeight="true" outlineLevel="0" collapsed="false">
      <c r="A81" s="90" t="s">
        <v>80</v>
      </c>
      <c r="B81" s="95" t="n">
        <f aca="false">B79</f>
        <v>0</v>
      </c>
      <c r="C81" s="91" t="e">
        <f aca="false">C79+C80</f>
        <v>#REF!</v>
      </c>
      <c r="D81" s="91" t="e">
        <f aca="false">D79+D80</f>
        <v>#REF!</v>
      </c>
      <c r="E81" s="91" t="e">
        <f aca="false">E79+E80</f>
        <v>#REF!</v>
      </c>
      <c r="F81" s="91" t="e">
        <f aca="false">F79+F80</f>
        <v>#REF!</v>
      </c>
      <c r="G81" s="91" t="e">
        <f aca="false">G79+G80</f>
        <v>#REF!</v>
      </c>
      <c r="H81" s="91" t="e">
        <f aca="false">H79+H80</f>
        <v>#REF!</v>
      </c>
      <c r="I81" s="91" t="e">
        <f aca="false">I79+I80</f>
        <v>#REF!</v>
      </c>
      <c r="J81" s="91" t="e">
        <f aca="false">J79+J80</f>
        <v>#REF!</v>
      </c>
      <c r="K81" s="91" t="e">
        <f aca="false">K79+K80</f>
        <v>#REF!</v>
      </c>
      <c r="L81" s="91" t="e">
        <f aca="false">L79+L80</f>
        <v>#REF!</v>
      </c>
      <c r="M81" s="91" t="e">
        <f aca="false">M79+M80</f>
        <v>#REF!</v>
      </c>
      <c r="N81" s="91" t="e">
        <f aca="false">N79+N80</f>
        <v>#REF!</v>
      </c>
      <c r="O81" s="91" t="e">
        <f aca="false">O79+O80</f>
        <v>#REF!</v>
      </c>
      <c r="P81" s="91" t="e">
        <f aca="false">P79+P80</f>
        <v>#REF!</v>
      </c>
      <c r="Q81" s="91" t="e">
        <f aca="false">Q79+Q80</f>
        <v>#REF!</v>
      </c>
      <c r="R81" s="91" t="e">
        <f aca="false">R79+R80</f>
        <v>#REF!</v>
      </c>
      <c r="S81" s="91" t="e">
        <f aca="false">S79+S80</f>
        <v>#REF!</v>
      </c>
      <c r="T81" s="91" t="e">
        <f aca="false">T79+T80</f>
        <v>#REF!</v>
      </c>
      <c r="U81" s="95"/>
      <c r="V81" s="95"/>
      <c r="W81" s="73"/>
    </row>
    <row r="82" customFormat="false" ht="18.75" hidden="false" customHeight="true" outlineLevel="0" collapsed="false">
      <c r="A82" s="90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103"/>
    </row>
    <row r="83" customFormat="false" ht="18.75" hidden="false" customHeight="true" outlineLevel="0" collapsed="false">
      <c r="A83" s="90"/>
      <c r="B83" s="91"/>
      <c r="C83" s="91"/>
      <c r="D83" s="91"/>
      <c r="E83" s="95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103"/>
    </row>
    <row r="84" customFormat="false" ht="18.75" hidden="false" customHeight="true" outlineLevel="0" collapsed="false">
      <c r="A84" s="104" t="s">
        <v>81</v>
      </c>
      <c r="B84" s="105"/>
      <c r="C84" s="106" t="e">
        <f aca="false">-C74</f>
        <v>#REF!</v>
      </c>
      <c r="D84" s="94" t="e">
        <f aca="false">-D75-D76</f>
        <v>#REF!</v>
      </c>
      <c r="E84" s="94" t="e">
        <f aca="false">-E75-E76</f>
        <v>#REF!</v>
      </c>
      <c r="F84" s="94" t="e">
        <f aca="false">-F75-F76</f>
        <v>#REF!</v>
      </c>
      <c r="G84" s="94" t="e">
        <f aca="false">-G75-G76</f>
        <v>#REF!</v>
      </c>
      <c r="H84" s="94" t="e">
        <f aca="false">-H75-H76</f>
        <v>#REF!</v>
      </c>
      <c r="I84" s="94" t="e">
        <f aca="false">-I75-I76</f>
        <v>#REF!</v>
      </c>
      <c r="J84" s="94" t="e">
        <f aca="false">-J75-J76</f>
        <v>#REF!</v>
      </c>
      <c r="K84" s="94" t="e">
        <f aca="false">-K75-K76</f>
        <v>#REF!</v>
      </c>
      <c r="L84" s="94" t="e">
        <f aca="false">-L75-L76</f>
        <v>#REF!</v>
      </c>
      <c r="M84" s="94" t="e">
        <f aca="false">-M75-M76</f>
        <v>#REF!</v>
      </c>
      <c r="N84" s="94" t="e">
        <f aca="false">-N75-N76</f>
        <v>#REF!</v>
      </c>
      <c r="O84" s="94" t="e">
        <f aca="false">-O75-O76</f>
        <v>#REF!</v>
      </c>
      <c r="P84" s="94" t="e">
        <f aca="false">-P75-P76</f>
        <v>#REF!</v>
      </c>
      <c r="Q84" s="94" t="e">
        <f aca="false">-Q75-Q76</f>
        <v>#REF!</v>
      </c>
      <c r="R84" s="94" t="e">
        <f aca="false">-R75-R76</f>
        <v>#REF!</v>
      </c>
      <c r="S84" s="94" t="e">
        <f aca="false">-S75-S76</f>
        <v>#REF!</v>
      </c>
      <c r="T84" s="94" t="e">
        <f aca="false">-T75-T76</f>
        <v>#REF!</v>
      </c>
      <c r="U84" s="105" t="n">
        <f aca="false">-U75-U76</f>
        <v>-0</v>
      </c>
      <c r="V84" s="94" t="e">
        <f aca="false">-V75-V76</f>
        <v>#REF!</v>
      </c>
      <c r="W84" s="74"/>
    </row>
    <row r="85" customFormat="false" ht="18.75" hidden="false" customHeight="true" outlineLevel="0" collapsed="false">
      <c r="A85" s="90" t="s">
        <v>82</v>
      </c>
      <c r="B85" s="107" t="e">
        <f aca="false">IRR(C84:V84)</f>
        <v>#REF!</v>
      </c>
      <c r="C85" s="108"/>
      <c r="D85" s="108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103"/>
    </row>
    <row r="86" customFormat="false" ht="18.75" hidden="false" customHeight="true" outlineLevel="0" collapsed="false">
      <c r="A86" s="104" t="s">
        <v>83</v>
      </c>
      <c r="B86" s="105"/>
      <c r="C86" s="106" t="e">
        <f aca="false">#REF!-C74</f>
        <v>#REF!</v>
      </c>
      <c r="D86" s="94" t="e">
        <f aca="false">#REF!</f>
        <v>#REF!</v>
      </c>
      <c r="E86" s="94" t="e">
        <f aca="false">#REF!-E76</f>
        <v>#REF!</v>
      </c>
      <c r="F86" s="94" t="e">
        <f aca="false">#REF!-F76</f>
        <v>#REF!</v>
      </c>
      <c r="G86" s="94" t="e">
        <f aca="false">#REF!-G76</f>
        <v>#REF!</v>
      </c>
      <c r="H86" s="94" t="e">
        <f aca="false">#REF!-H76</f>
        <v>#REF!</v>
      </c>
      <c r="I86" s="94" t="e">
        <f aca="false">#REF!-I76</f>
        <v>#REF!</v>
      </c>
      <c r="J86" s="94" t="e">
        <f aca="false">#REF!-J76</f>
        <v>#REF!</v>
      </c>
      <c r="K86" s="94" t="e">
        <f aca="false">#REF!-K76</f>
        <v>#REF!</v>
      </c>
      <c r="L86" s="94" t="e">
        <f aca="false">#REF!-L76</f>
        <v>#REF!</v>
      </c>
      <c r="M86" s="94" t="e">
        <f aca="false">#REF!-M76</f>
        <v>#REF!</v>
      </c>
      <c r="N86" s="94" t="e">
        <f aca="false">#REF!-N76</f>
        <v>#REF!</v>
      </c>
      <c r="O86" s="94" t="e">
        <f aca="false">#REF!-O76</f>
        <v>#REF!</v>
      </c>
      <c r="P86" s="94" t="e">
        <f aca="false">#REF!-P76</f>
        <v>#REF!</v>
      </c>
      <c r="Q86" s="94" t="e">
        <f aca="false">#REF!-Q76</f>
        <v>#REF!</v>
      </c>
      <c r="R86" s="94" t="e">
        <f aca="false">#REF!-R76</f>
        <v>#REF!</v>
      </c>
      <c r="S86" s="94" t="e">
        <f aca="false">#REF!-S76</f>
        <v>#REF!</v>
      </c>
      <c r="T86" s="94" t="e">
        <f aca="false">#REF!-T76</f>
        <v>#REF!</v>
      </c>
      <c r="U86" s="94" t="e">
        <f aca="false">#REF!-U76</f>
        <v>#REF!</v>
      </c>
      <c r="V86" s="94" t="e">
        <f aca="false">#REF!-V76</f>
        <v>#REF!</v>
      </c>
      <c r="W86" s="92"/>
    </row>
    <row r="87" customFormat="false" ht="18.75" hidden="false" customHeight="true" outlineLevel="0" collapsed="false">
      <c r="A87" s="104" t="s">
        <v>84</v>
      </c>
      <c r="B87" s="107" t="e">
        <f aca="false">IRR(C86:V86)</f>
        <v>#REF!</v>
      </c>
      <c r="C87" s="108"/>
      <c r="D87" s="108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103"/>
    </row>
    <row r="88" customFormat="false" ht="18.75" hidden="false" customHeight="true" outlineLevel="0" collapsed="false">
      <c r="A88" s="90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103"/>
    </row>
    <row r="89" customFormat="false" ht="18.75" hidden="false" customHeight="true" outlineLevel="0" collapsed="false">
      <c r="A89" s="90" t="s">
        <v>85</v>
      </c>
      <c r="B89" s="95" t="n">
        <v>0</v>
      </c>
      <c r="C89" s="91" t="e">
        <f aca="false">C72</f>
        <v>#REF!</v>
      </c>
      <c r="D89" s="91" t="e">
        <f aca="false">C89+D72+D73</f>
        <v>#REF!</v>
      </c>
      <c r="E89" s="91" t="e">
        <f aca="false">D89+E72+E73</f>
        <v>#REF!</v>
      </c>
      <c r="F89" s="91" t="e">
        <f aca="false">E89+F72+F73</f>
        <v>#REF!</v>
      </c>
      <c r="G89" s="91" t="e">
        <f aca="false">F89+G72+G73</f>
        <v>#REF!</v>
      </c>
      <c r="H89" s="91" t="e">
        <f aca="false">G89+H72+H73</f>
        <v>#REF!</v>
      </c>
      <c r="I89" s="91" t="e">
        <f aca="false">H89+I72+I73</f>
        <v>#REF!</v>
      </c>
      <c r="J89" s="91" t="e">
        <f aca="false">I89+J72+J73</f>
        <v>#REF!</v>
      </c>
      <c r="K89" s="91" t="e">
        <f aca="false">J89+K72+K73</f>
        <v>#REF!</v>
      </c>
      <c r="L89" s="91" t="e">
        <f aca="false">K89+L72+L73</f>
        <v>#REF!</v>
      </c>
      <c r="M89" s="91" t="e">
        <f aca="false">L89+M72+M73</f>
        <v>#REF!</v>
      </c>
      <c r="N89" s="91" t="e">
        <f aca="false">M89+N72+N73</f>
        <v>#REF!</v>
      </c>
      <c r="O89" s="91" t="e">
        <f aca="false">N89+O72+O73</f>
        <v>#REF!</v>
      </c>
      <c r="P89" s="91" t="e">
        <f aca="false">O89+P72+P73</f>
        <v>#REF!</v>
      </c>
      <c r="Q89" s="91" t="e">
        <f aca="false">P89+Q72+Q73</f>
        <v>#REF!</v>
      </c>
      <c r="R89" s="91" t="e">
        <f aca="false">Q89+R72+R73</f>
        <v>#REF!</v>
      </c>
      <c r="S89" s="95"/>
      <c r="T89" s="95"/>
      <c r="U89" s="95"/>
      <c r="V89" s="95"/>
      <c r="W89" s="95"/>
    </row>
    <row r="90" customFormat="false" ht="18.75" hidden="false" customHeight="true" outlineLevel="0" collapsed="false"/>
    <row r="91" customFormat="false" ht="18.75" hidden="false" customHeight="true" outlineLevel="0" collapsed="false">
      <c r="A91" s="109"/>
    </row>
    <row r="92" customFormat="false" ht="18.75" hidden="false" customHeight="true" outlineLevel="0" collapsed="false">
      <c r="F92" s="74"/>
    </row>
  </sheetData>
  <mergeCells count="10">
    <mergeCell ref="A1:D1"/>
    <mergeCell ref="A7:D7"/>
    <mergeCell ref="A8:D8"/>
    <mergeCell ref="A10:A13"/>
    <mergeCell ref="D10:D13"/>
    <mergeCell ref="A14:D14"/>
    <mergeCell ref="A16:A18"/>
    <mergeCell ref="D16:D18"/>
    <mergeCell ref="A19:A21"/>
    <mergeCell ref="A29:C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21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9"/>
    <col collapsed="false" customWidth="true" hidden="false" outlineLevel="0" max="8" min="8" style="0" width="14"/>
    <col collapsed="false" customWidth="true" hidden="false" outlineLevel="0" max="9" min="9" style="0" width="8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0" t="s">
        <v>86</v>
      </c>
      <c r="B1" s="0" t="s">
        <v>87</v>
      </c>
      <c r="C1" s="0" t="s">
        <v>88</v>
      </c>
      <c r="D1" s="0" t="s">
        <v>82</v>
      </c>
      <c r="E1" s="0" t="s">
        <v>84</v>
      </c>
      <c r="F1" s="0" t="s">
        <v>23</v>
      </c>
      <c r="G1" s="0" t="s">
        <v>89</v>
      </c>
      <c r="H1" s="0" t="s">
        <v>90</v>
      </c>
      <c r="I1" s="0" t="s">
        <v>24</v>
      </c>
      <c r="J1" s="0" t="s">
        <v>91</v>
      </c>
    </row>
    <row r="2" customFormat="false" ht="15" hidden="false" customHeight="false" outlineLevel="0" collapsed="false">
      <c r="A2" s="0" t="n">
        <v>1</v>
      </c>
      <c r="B2" s="0" t="n">
        <v>35000</v>
      </c>
      <c r="C2" s="110" t="n">
        <v>0.0173</v>
      </c>
      <c r="D2" s="110" t="n">
        <v>0.0171</v>
      </c>
      <c r="E2" s="110" t="n">
        <v>0.0175</v>
      </c>
      <c r="F2" s="110" t="n">
        <v>0.3</v>
      </c>
      <c r="G2" s="0" t="n">
        <v>6541500</v>
      </c>
      <c r="H2" s="0" t="n">
        <v>15000</v>
      </c>
      <c r="I2" s="0" t="n">
        <v>2000</v>
      </c>
      <c r="J2" s="0" t="s">
        <v>92</v>
      </c>
    </row>
    <row r="3" customFormat="false" ht="15" hidden="false" customHeight="false" outlineLevel="0" collapsed="false">
      <c r="A3" s="0" t="n">
        <v>2</v>
      </c>
      <c r="B3" s="0" t="n">
        <v>33000</v>
      </c>
      <c r="C3" s="110" t="n">
        <v>0.0224</v>
      </c>
      <c r="D3" s="110" t="n">
        <v>0.0315</v>
      </c>
      <c r="E3" s="110" t="n">
        <v>0.0329</v>
      </c>
      <c r="F3" s="110" t="n">
        <v>0.3</v>
      </c>
      <c r="G3" s="0" t="n">
        <v>6167762.3</v>
      </c>
      <c r="H3" s="0" t="n">
        <v>14143</v>
      </c>
      <c r="I3" s="0" t="n">
        <v>2000</v>
      </c>
      <c r="J3" s="0" t="s">
        <v>93</v>
      </c>
    </row>
    <row r="4" customFormat="false" ht="15" hidden="false" customHeight="false" outlineLevel="0" collapsed="false">
      <c r="A4" s="0" t="n">
        <v>3</v>
      </c>
      <c r="B4" s="0" t="n">
        <v>31000</v>
      </c>
      <c r="C4" s="110" t="n">
        <v>0.028</v>
      </c>
      <c r="D4" s="110" t="n">
        <v>0.0471</v>
      </c>
      <c r="E4" s="110" t="n">
        <v>0.0506</v>
      </c>
      <c r="F4" s="110" t="n">
        <v>0.3</v>
      </c>
      <c r="G4" s="0" t="n">
        <v>5794024.6</v>
      </c>
      <c r="H4" s="0" t="n">
        <v>13286</v>
      </c>
      <c r="I4" s="0" t="n">
        <v>2000</v>
      </c>
      <c r="J4" s="0" t="s">
        <v>94</v>
      </c>
    </row>
    <row r="5" customFormat="false" ht="15" hidden="false" customHeight="false" outlineLevel="0" collapsed="false">
      <c r="A5" s="0" t="n">
        <v>4</v>
      </c>
      <c r="B5" s="0" t="n">
        <v>29000</v>
      </c>
      <c r="C5" s="110" t="n">
        <v>0.0341</v>
      </c>
      <c r="D5" s="110" t="n">
        <v>0.0643</v>
      </c>
      <c r="E5" s="110" t="n">
        <v>0.0711</v>
      </c>
      <c r="F5" s="110" t="n">
        <v>0.3</v>
      </c>
      <c r="G5" s="0" t="n">
        <v>5420286.9</v>
      </c>
      <c r="H5" s="0" t="n">
        <v>12429</v>
      </c>
      <c r="I5" s="0" t="n">
        <v>2000</v>
      </c>
      <c r="J5" s="0" t="s">
        <v>95</v>
      </c>
    </row>
    <row r="6" customFormat="false" ht="15" hidden="false" customHeight="false" outlineLevel="0" collapsed="false">
      <c r="A6" s="0" t="n">
        <v>5</v>
      </c>
      <c r="B6" s="0" t="n">
        <v>27000</v>
      </c>
      <c r="C6" s="110" t="n">
        <v>0.0409</v>
      </c>
      <c r="D6" s="110" t="n">
        <v>0.0835</v>
      </c>
      <c r="E6" s="110" t="n">
        <v>0.0953</v>
      </c>
      <c r="F6" s="110" t="n">
        <v>0.3</v>
      </c>
      <c r="G6" s="0" t="n">
        <v>5046113.1</v>
      </c>
      <c r="H6" s="0" t="n">
        <v>11571</v>
      </c>
      <c r="I6" s="0" t="n">
        <v>2000</v>
      </c>
      <c r="J6" s="0" t="s">
        <v>96</v>
      </c>
    </row>
    <row r="7" customFormat="false" ht="15" hidden="false" customHeight="false" outlineLevel="0" collapsed="false">
      <c r="A7" s="0" t="n">
        <v>6</v>
      </c>
      <c r="B7" s="0" t="n">
        <v>25000</v>
      </c>
      <c r="C7" s="110" t="n">
        <v>0.0485</v>
      </c>
      <c r="D7" s="110" t="n">
        <v>0.1055</v>
      </c>
      <c r="E7" s="110" t="n">
        <v>0.1247</v>
      </c>
      <c r="F7" s="110" t="n">
        <v>0.3</v>
      </c>
      <c r="G7" s="0" t="n">
        <v>4672375.4</v>
      </c>
      <c r="H7" s="0" t="n">
        <v>10714</v>
      </c>
      <c r="I7" s="0" t="n">
        <v>2000</v>
      </c>
      <c r="J7" s="0" t="s">
        <v>97</v>
      </c>
    </row>
    <row r="8" customFormat="false" ht="15" hidden="false" customHeight="false" outlineLevel="0" collapsed="false">
      <c r="A8" s="0" t="n">
        <v>7</v>
      </c>
      <c r="B8" s="0" t="n">
        <v>23000</v>
      </c>
      <c r="C8" s="110" t="n">
        <v>0.057</v>
      </c>
      <c r="D8" s="110" t="n">
        <v>0.1309</v>
      </c>
      <c r="E8" s="110" t="n">
        <v>0.1616</v>
      </c>
      <c r="F8" s="110" t="n">
        <v>0.3</v>
      </c>
      <c r="G8" s="0" t="n">
        <v>4298637.7</v>
      </c>
      <c r="H8" s="0" t="n">
        <v>9857</v>
      </c>
      <c r="I8" s="0" t="n">
        <v>2000</v>
      </c>
      <c r="J8" s="0" t="s">
        <v>98</v>
      </c>
    </row>
    <row r="9" customFormat="false" ht="15" hidden="false" customHeight="false" outlineLevel="0" collapsed="false">
      <c r="A9" s="0" t="n">
        <v>8</v>
      </c>
      <c r="B9" s="0" t="n">
        <v>21000</v>
      </c>
      <c r="C9" s="110" t="n">
        <v>0.0668</v>
      </c>
      <c r="D9" s="110" t="n">
        <v>0.1612</v>
      </c>
      <c r="E9" s="110" t="n">
        <v>0.2096</v>
      </c>
      <c r="F9" s="110" t="n">
        <v>0.3</v>
      </c>
      <c r="G9" s="0" t="n">
        <v>3924900</v>
      </c>
      <c r="H9" s="0" t="n">
        <v>9000</v>
      </c>
      <c r="I9" s="0" t="n">
        <v>2000</v>
      </c>
      <c r="J9" s="0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39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106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108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109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110</v>
      </c>
    </row>
    <row r="8" customFormat="false" ht="22.5" hidden="false" customHeight="true" outlineLevel="0" collapsed="false">
      <c r="B8" s="14" t="s">
        <v>9</v>
      </c>
      <c r="E8" s="122"/>
      <c r="M8" s="0" t="s">
        <v>111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115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35000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-22677200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-45790.5</v>
      </c>
      <c r="E49" s="171" t="n">
        <v>-45790.5</v>
      </c>
      <c r="F49" s="171" t="n">
        <v>-45790.5</v>
      </c>
      <c r="G49" s="171" t="n">
        <v>-45790.5</v>
      </c>
      <c r="H49" s="171" t="n">
        <v>-45790.5</v>
      </c>
      <c r="I49" s="171" t="n">
        <v>-45790.5</v>
      </c>
      <c r="J49" s="171" t="n">
        <v>-45790.5</v>
      </c>
      <c r="K49" s="171" t="n">
        <v>-45790.5</v>
      </c>
      <c r="L49" s="171" t="n">
        <v>-45790.5</v>
      </c>
      <c r="M49" s="171" t="n">
        <v>-45790.5</v>
      </c>
      <c r="N49" s="171" t="n">
        <v>-45790.5</v>
      </c>
      <c r="O49" s="171" t="n">
        <v>-45790.5</v>
      </c>
      <c r="P49" s="171" t="n">
        <v>-45790.5</v>
      </c>
      <c r="Q49" s="171" t="n">
        <v>-45790.5</v>
      </c>
      <c r="R49" s="171" t="n">
        <v>-45790.5</v>
      </c>
      <c r="S49" s="171" t="n">
        <v>-45790.5</v>
      </c>
      <c r="T49" s="171" t="n">
        <v>-45790.5</v>
      </c>
      <c r="U49" s="171" t="n">
        <v>-45790.5</v>
      </c>
      <c r="V49" s="171" t="n">
        <v>-45790.5</v>
      </c>
      <c r="W49" s="171" t="n">
        <v>-45790.5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-122839.8224192</v>
      </c>
      <c r="E54" s="171" t="n">
        <f aca="false">-(E64+E67+E68+E71+E72+E73+E74)*0.2</f>
        <v>-63173.84495488</v>
      </c>
      <c r="F54" s="171" t="n">
        <f aca="false">-(F64+F67+F68+F71+F72+F73+F74)*0.2</f>
        <v>-61548.06749056</v>
      </c>
      <c r="G54" s="171" t="n">
        <f aca="false">-(G64+G67+G68+G71+G72+G73+G74)*0.2</f>
        <v>-59922.29002624</v>
      </c>
      <c r="H54" s="171" t="n">
        <f aca="false">-(H64+H67+H68+H71+H72+H73+H74)*0.2</f>
        <v>-58296.51256192</v>
      </c>
      <c r="I54" s="171" t="n">
        <f aca="false">-(I64+I67+I68+I71+I72+I73+I74)*0.2</f>
        <v>-56670.7350976</v>
      </c>
      <c r="J54" s="171" t="n">
        <f aca="false">-(J64+J67+J68+J71+J72+J73+J74)*0.2</f>
        <v>-55044.95763328</v>
      </c>
      <c r="K54" s="171" t="n">
        <f aca="false">-(K64+K67+K68+K71+K72+K73+K74)*0.2</f>
        <v>-53419.18016896</v>
      </c>
      <c r="L54" s="171" t="n">
        <f aca="false">-(L64+L67+L68+L71+L72+L73+L74)*0.2</f>
        <v>-51793.40270464</v>
      </c>
      <c r="M54" s="171" t="n">
        <f aca="false">-(M64+M67+M68+M71+M72+M73+M74)*0.2</f>
        <v>-50167.62524032</v>
      </c>
      <c r="N54" s="171" t="n">
        <f aca="false">-(N64+N67+N68+N71+N72+N73+N74)*0.2</f>
        <v>-57263.847776</v>
      </c>
      <c r="O54" s="171" t="n">
        <f aca="false">-(O64+O67+O68+O71+O72+O73+O74)*0.2</f>
        <v>-55638.07031168</v>
      </c>
      <c r="P54" s="171" t="n">
        <f aca="false">-(P64+P67+P68+P71+P72+P73+P74)*0.2</f>
        <v>-54012.29284736</v>
      </c>
      <c r="Q54" s="171" t="n">
        <f aca="false">-(Q64+Q67+Q68+Q71+Q72+Q73+Q74)*0.2</f>
        <v>-52386.51538304</v>
      </c>
      <c r="R54" s="171" t="n">
        <f aca="false">-(R64+R67+R68+R71+R72+R73+R74)*0.2</f>
        <v>-50760.73791872</v>
      </c>
      <c r="S54" s="171" t="n">
        <f aca="false">-(S64+S67+S68+S71+S72+S73+S74)*0.2</f>
        <v>-49134.9604544</v>
      </c>
      <c r="T54" s="171" t="n">
        <f aca="false">-(T64+T67+T68+T71+T72+T73+T74)*0.2</f>
        <v>-47509.1829900799</v>
      </c>
      <c r="U54" s="171" t="n">
        <f aca="false">-(U64+U67+U68+U71+U72+U73+U74)*0.2</f>
        <v>-45883.40552576</v>
      </c>
      <c r="V54" s="171" t="n">
        <f aca="false">-(V64+V67+V68+V71+V72+V73+V74)*0.2</f>
        <v>-44257.6280614399</v>
      </c>
      <c r="W54" s="171" t="n">
        <f aca="false">-(W64+W67+W68+W71+W72+W73+W74)*0.2</f>
        <v>-42631.85059712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-22677200</v>
      </c>
      <c r="D55" s="176" t="n">
        <f aca="false">SUM(D41:D54)</f>
        <v>1335018.2896768</v>
      </c>
      <c r="E55" s="176" t="n">
        <f aca="false">SUM(E41:E54)</f>
        <v>1386555.37981952</v>
      </c>
      <c r="F55" s="176" t="n">
        <f aca="false">SUM(F41:F54)</f>
        <v>1380052.26996224</v>
      </c>
      <c r="G55" s="176" t="n">
        <f aca="false">SUM(G41:G54)</f>
        <v>1373549.16010496</v>
      </c>
      <c r="H55" s="176" t="n">
        <f aca="false">SUM(H41:H54)</f>
        <v>1367046.05024768</v>
      </c>
      <c r="I55" s="176" t="n">
        <f aca="false">SUM(I41:I54)</f>
        <v>1360542.9403904</v>
      </c>
      <c r="J55" s="176" t="n">
        <f aca="false">SUM(J41:J54)</f>
        <v>1354039.83053312</v>
      </c>
      <c r="K55" s="176" t="n">
        <f aca="false">SUM(K41:K54)</f>
        <v>1347536.72067584</v>
      </c>
      <c r="L55" s="176" t="n">
        <f aca="false">SUM(L41:L54)</f>
        <v>1341033.61081856</v>
      </c>
      <c r="M55" s="176" t="n">
        <f aca="false">SUM(M41:M54)</f>
        <v>1334530.50096128</v>
      </c>
      <c r="N55" s="176" t="n">
        <f aca="false">SUM(N41:N54)</f>
        <v>1362915.391104</v>
      </c>
      <c r="O55" s="176" t="n">
        <f aca="false">SUM(O41:O54)</f>
        <v>1356412.28124672</v>
      </c>
      <c r="P55" s="176" t="n">
        <f aca="false">SUM(P41:P54)</f>
        <v>1349909.17138944</v>
      </c>
      <c r="Q55" s="176" t="n">
        <f aca="false">SUM(Q41:Q54)</f>
        <v>1343406.06153216</v>
      </c>
      <c r="R55" s="176" t="n">
        <f aca="false">SUM(R41:R54)</f>
        <v>1336902.95167488</v>
      </c>
      <c r="S55" s="176" t="n">
        <f aca="false">SUM(S41:S54)</f>
        <v>1330399.8418176</v>
      </c>
      <c r="T55" s="176" t="n">
        <f aca="false">SUM(T41:T54)</f>
        <v>1323896.73196032</v>
      </c>
      <c r="U55" s="176" t="n">
        <f aca="false">SUM(U41:U54)</f>
        <v>1317393.62210304</v>
      </c>
      <c r="V55" s="176" t="n">
        <f aca="false">SUM(V41:V54)</f>
        <v>1310890.51224576</v>
      </c>
      <c r="W55" s="176" t="n">
        <f aca="false">SUM(W41:W54)</f>
        <v>1304387.40238848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-21342181.7103232</v>
      </c>
      <c r="E56" s="181" t="n">
        <f aca="false">D56+E55</f>
        <v>-19955626.3305037</v>
      </c>
      <c r="F56" s="181" t="n">
        <f aca="false">E56+F55</f>
        <v>-18575574.0605414</v>
      </c>
      <c r="G56" s="181" t="n">
        <f aca="false">F56+G55</f>
        <v>-17202024.9004365</v>
      </c>
      <c r="H56" s="181" t="n">
        <f aca="false">G56+H55</f>
        <v>-15834978.8501888</v>
      </c>
      <c r="I56" s="181" t="n">
        <f aca="false">H56+I55</f>
        <v>-14474435.9097984</v>
      </c>
      <c r="J56" s="181" t="n">
        <f aca="false">I56+J55</f>
        <v>-13120396.0792653</v>
      </c>
      <c r="K56" s="181" t="n">
        <f aca="false">J56+K55</f>
        <v>-11772859.3585894</v>
      </c>
      <c r="L56" s="181" t="n">
        <f aca="false">K56+L55</f>
        <v>-10431825.7477709</v>
      </c>
      <c r="M56" s="181" t="n">
        <f aca="false">L56+M55</f>
        <v>-9097295.2468096</v>
      </c>
      <c r="N56" s="181" t="n">
        <f aca="false">M56+N55</f>
        <v>-7734379.8557056</v>
      </c>
      <c r="O56" s="181" t="n">
        <f aca="false">N56+O55</f>
        <v>-6377967.57445888</v>
      </c>
      <c r="P56" s="181" t="n">
        <f aca="false">O56+P55</f>
        <v>-5028058.40306944</v>
      </c>
      <c r="Q56" s="181" t="n">
        <f aca="false">P56+Q55</f>
        <v>-3684652.34153728</v>
      </c>
      <c r="R56" s="181" t="n">
        <f aca="false">Q56+R55</f>
        <v>-2347749.3898624</v>
      </c>
      <c r="S56" s="181" t="n">
        <f aca="false">R56+S55</f>
        <v>-1017349.5480448</v>
      </c>
      <c r="T56" s="181" t="n">
        <f aca="false">S56+T55</f>
        <v>306547.183915519</v>
      </c>
      <c r="U56" s="181" t="n">
        <f aca="false">T56+U55</f>
        <v>1623940.80601856</v>
      </c>
      <c r="V56" s="181" t="n">
        <f aca="false">U56+V55</f>
        <v>2934831.31826432</v>
      </c>
      <c r="W56" s="181" t="n">
        <f aca="false">V56+W55</f>
        <v>4239218.7206528</v>
      </c>
      <c r="X56" s="181" t="n">
        <f aca="false">W56+X55</f>
        <v>4239218.7206528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未回收</v>
      </c>
      <c r="Q57" s="185" t="str">
        <f aca="false">IF((Q56)&gt;0,"回收","未回收")</f>
        <v>未回收</v>
      </c>
      <c r="R57" s="185" t="str">
        <f aca="false">IF((R56)&gt;0,"回收","未回收")</f>
        <v>未回收</v>
      </c>
      <c r="S57" s="185" t="str">
        <f aca="false">IF((S56)&gt;0,"回收","未回收")</f>
        <v>未回收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0.0170357056170383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-1133860</v>
      </c>
      <c r="E67" s="193" t="n">
        <f aca="false">$C$44/$E$16</f>
        <v>-1133860</v>
      </c>
      <c r="F67" s="193" t="n">
        <f aca="false">$C$44/$E$16</f>
        <v>-1133860</v>
      </c>
      <c r="G67" s="193" t="n">
        <f aca="false">$C$44/$E$16</f>
        <v>-1133860</v>
      </c>
      <c r="H67" s="193" t="n">
        <f aca="false">$C$44/$E$16</f>
        <v>-1133860</v>
      </c>
      <c r="I67" s="193" t="n">
        <f aca="false">$C$44/$E$16</f>
        <v>-1133860</v>
      </c>
      <c r="J67" s="193" t="n">
        <f aca="false">$C$44/$E$16</f>
        <v>-1133860</v>
      </c>
      <c r="K67" s="193" t="n">
        <f aca="false">$C$44/$E$16</f>
        <v>-1133860</v>
      </c>
      <c r="L67" s="193" t="n">
        <f aca="false">$C$44/$E$16</f>
        <v>-1133860</v>
      </c>
      <c r="M67" s="193" t="n">
        <f aca="false">$C$44/$E$16</f>
        <v>-1133860</v>
      </c>
      <c r="N67" s="193" t="n">
        <f aca="false">$C$44/$E$16</f>
        <v>-1133860</v>
      </c>
      <c r="O67" s="193" t="n">
        <f aca="false">$C$44/$E$16</f>
        <v>-1133860</v>
      </c>
      <c r="P67" s="193" t="n">
        <f aca="false">$C$44/$E$16</f>
        <v>-1133860</v>
      </c>
      <c r="Q67" s="193" t="n">
        <f aca="false">$C$44/$E$16</f>
        <v>-1133860</v>
      </c>
      <c r="R67" s="193" t="n">
        <f aca="false">$C$44/$E$16</f>
        <v>-1133860</v>
      </c>
      <c r="S67" s="193" t="n">
        <f aca="false">$C$44/$E$16</f>
        <v>-1133860</v>
      </c>
      <c r="T67" s="193" t="n">
        <f aca="false">$C$44/$E$16</f>
        <v>-1133860</v>
      </c>
      <c r="U67" s="193" t="n">
        <f aca="false">$C$44/$E$16</f>
        <v>-1133860</v>
      </c>
      <c r="V67" s="193" t="n">
        <f aca="false">$C$44/$E$16</f>
        <v>-1133860</v>
      </c>
      <c r="W67" s="193" t="n">
        <f aca="false">$C$44/$E$16</f>
        <v>-1133860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-464338.3472</v>
      </c>
      <c r="E70" s="171" t="n">
        <f aca="false">-E109*$D25</f>
        <v>-433382.457386667</v>
      </c>
      <c r="F70" s="171" t="n">
        <f aca="false">-F109*$D25</f>
        <v>-402426.567573333</v>
      </c>
      <c r="G70" s="171" t="n">
        <f aca="false">-G109*$D25</f>
        <v>-371470.67776</v>
      </c>
      <c r="H70" s="171" t="n">
        <f aca="false">-H109*$D25</f>
        <v>-340514.787946667</v>
      </c>
      <c r="I70" s="171" t="n">
        <f aca="false">-I109*$D25</f>
        <v>-309558.898133333</v>
      </c>
      <c r="J70" s="171" t="n">
        <f aca="false">-J109*$D25</f>
        <v>-278603.00832</v>
      </c>
      <c r="K70" s="171" t="n">
        <f aca="false">-K109*$D25</f>
        <v>-247647.118506666</v>
      </c>
      <c r="L70" s="171" t="n">
        <f aca="false">-L109*$D25</f>
        <v>-216691.228693333</v>
      </c>
      <c r="M70" s="171" t="n">
        <f aca="false">-M109*$D25</f>
        <v>-185735.33888</v>
      </c>
      <c r="N70" s="171" t="n">
        <f aca="false">-N109*$D25</f>
        <v>-154779.449066666</v>
      </c>
      <c r="O70" s="171" t="n">
        <f aca="false">-O109*$D25</f>
        <v>-123823.559253333</v>
      </c>
      <c r="P70" s="171" t="n">
        <f aca="false">-P109*$D25</f>
        <v>-92867.6694399997</v>
      </c>
      <c r="Q70" s="171" t="n">
        <f aca="false">-Q109*$D25</f>
        <v>-61911.7796266664</v>
      </c>
      <c r="R70" s="171" t="n">
        <f aca="false">-R109*$D25</f>
        <v>-30955.889813333</v>
      </c>
      <c r="S70" s="171" t="n">
        <f aca="false">-S109*$D25</f>
        <v>3.09883616864681E-010</v>
      </c>
      <c r="T70" s="171" t="n">
        <f aca="false">-T109*$D25</f>
        <v>3.09883616864681E-010</v>
      </c>
      <c r="U70" s="171" t="n">
        <f aca="false">-U109*$D25</f>
        <v>3.09883616864681E-010</v>
      </c>
      <c r="V70" s="171" t="n">
        <f aca="false">-V109*$D25</f>
        <v>3.09883616864681E-010</v>
      </c>
      <c r="W70" s="171" t="n">
        <f aca="false">-W109*$D25</f>
        <v>3.09883616864681E-010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-45790.5</v>
      </c>
      <c r="E72" s="171" t="n">
        <f aca="false">E49</f>
        <v>-45790.5</v>
      </c>
      <c r="F72" s="171" t="n">
        <f aca="false">F49</f>
        <v>-45790.5</v>
      </c>
      <c r="G72" s="171" t="n">
        <f aca="false">G49</f>
        <v>-45790.5</v>
      </c>
      <c r="H72" s="171" t="n">
        <f aca="false">H49</f>
        <v>-45790.5</v>
      </c>
      <c r="I72" s="171" t="n">
        <f aca="false">I49</f>
        <v>-45790.5</v>
      </c>
      <c r="J72" s="171" t="n">
        <f aca="false">J49</f>
        <v>-45790.5</v>
      </c>
      <c r="K72" s="171" t="n">
        <f aca="false">K49</f>
        <v>-45790.5</v>
      </c>
      <c r="L72" s="171" t="n">
        <f aca="false">L49</f>
        <v>-45790.5</v>
      </c>
      <c r="M72" s="171" t="n">
        <f aca="false">M49</f>
        <v>-45790.5</v>
      </c>
      <c r="N72" s="171" t="n">
        <f aca="false">N49</f>
        <v>-45790.5</v>
      </c>
      <c r="O72" s="171" t="n">
        <f aca="false">O49</f>
        <v>-45790.5</v>
      </c>
      <c r="P72" s="171" t="n">
        <f aca="false">P49</f>
        <v>-45790.5</v>
      </c>
      <c r="Q72" s="171" t="n">
        <f aca="false">Q49</f>
        <v>-45790.5</v>
      </c>
      <c r="R72" s="171" t="n">
        <f aca="false">R49</f>
        <v>-45790.5</v>
      </c>
      <c r="S72" s="171" t="n">
        <f aca="false">S49</f>
        <v>-45790.5</v>
      </c>
      <c r="T72" s="171" t="n">
        <f aca="false">T49</f>
        <v>-45790.5</v>
      </c>
      <c r="U72" s="171" t="n">
        <f aca="false">U49</f>
        <v>-45790.5</v>
      </c>
      <c r="V72" s="171" t="n">
        <f aca="false">V49</f>
        <v>-45790.5</v>
      </c>
      <c r="W72" s="171" t="n">
        <f aca="false">W49</f>
        <v>-45790.5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149860.764896</v>
      </c>
      <c r="E76" s="176" t="n">
        <f aca="false">SUM(E64:E75)</f>
        <v>-117513.232612267</v>
      </c>
      <c r="F76" s="176" t="n">
        <f aca="false">SUM(F64:F75)</f>
        <v>-94686.2301205333</v>
      </c>
      <c r="G76" s="176" t="n">
        <f aca="false">SUM(G64:G75)</f>
        <v>-71859.2276287999</v>
      </c>
      <c r="H76" s="176" t="n">
        <f aca="false">SUM(H64:H75)</f>
        <v>-49032.2251370667</v>
      </c>
      <c r="I76" s="176" t="n">
        <f aca="false">SUM(I64:I75)</f>
        <v>-26205.2226453334</v>
      </c>
      <c r="J76" s="176" t="n">
        <f aca="false">SUM(J64:J75)</f>
        <v>-3378.22015359974</v>
      </c>
      <c r="K76" s="176" t="n">
        <f aca="false">SUM(K64:K75)</f>
        <v>19448.7823381334</v>
      </c>
      <c r="L76" s="176" t="n">
        <f aca="false">SUM(L64:L75)</f>
        <v>42275.7848298668</v>
      </c>
      <c r="M76" s="176" t="n">
        <f aca="false">SUM(M64:M75)</f>
        <v>65102.7873216001</v>
      </c>
      <c r="N76" s="176" t="n">
        <f aca="false">SUM(N64:N75)</f>
        <v>131539.789813333</v>
      </c>
      <c r="O76" s="176" t="n">
        <f aca="false">SUM(O64:O75)</f>
        <v>154366.792305067</v>
      </c>
      <c r="P76" s="176" t="n">
        <f aca="false">SUM(P64:P75)</f>
        <v>177193.7947968</v>
      </c>
      <c r="Q76" s="176" t="n">
        <f aca="false">SUM(Q64:Q75)</f>
        <v>200020.797288534</v>
      </c>
      <c r="R76" s="176" t="n">
        <f aca="false">SUM(R64:R75)</f>
        <v>222847.799780267</v>
      </c>
      <c r="S76" s="176" t="n">
        <f aca="false">SUM(S64:S75)</f>
        <v>245674.802272</v>
      </c>
      <c r="T76" s="176" t="n">
        <f aca="false">SUM(T64:T75)</f>
        <v>237545.9149504</v>
      </c>
      <c r="U76" s="176" t="n">
        <f aca="false">SUM(U64:U75)</f>
        <v>229417.0276288</v>
      </c>
      <c r="V76" s="176" t="n">
        <f aca="false">SUM(V64:V75)</f>
        <v>221288.1403072</v>
      </c>
      <c r="W76" s="176" t="n">
        <f aca="false">SUM(W64:W75)</f>
        <v>213159.2529856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-29972.1529792</v>
      </c>
      <c r="E77" s="171" t="n">
        <f aca="false">-E76*0.2</f>
        <v>23502.6465224534</v>
      </c>
      <c r="F77" s="171" t="n">
        <f aca="false">-F76*0.2</f>
        <v>18937.2460241067</v>
      </c>
      <c r="G77" s="171" t="n">
        <f aca="false">-G76*0.2</f>
        <v>14371.84552576</v>
      </c>
      <c r="H77" s="171" t="n">
        <f aca="false">-H76*0.2</f>
        <v>9806.44502741335</v>
      </c>
      <c r="I77" s="171" t="n">
        <f aca="false">-I76*0.2</f>
        <v>5241.04452906668</v>
      </c>
      <c r="J77" s="171" t="n">
        <f aca="false">-J76*0.2</f>
        <v>675.644030719949</v>
      </c>
      <c r="K77" s="171" t="n">
        <f aca="false">-K76*0.2</f>
        <v>-3889.75646762667</v>
      </c>
      <c r="L77" s="171" t="n">
        <f aca="false">-L76*0.2</f>
        <v>-8455.15696597335</v>
      </c>
      <c r="M77" s="171" t="n">
        <f aca="false">-M76*0.2</f>
        <v>-13020.55746432</v>
      </c>
      <c r="N77" s="171" t="n">
        <f aca="false">-N76*0.2</f>
        <v>-26307.9579626667</v>
      </c>
      <c r="O77" s="171" t="n">
        <f aca="false">-O76*0.2</f>
        <v>-30873.3584610134</v>
      </c>
      <c r="P77" s="171" t="n">
        <f aca="false">-P76*0.2</f>
        <v>-35438.75895936</v>
      </c>
      <c r="Q77" s="171" t="n">
        <f aca="false">-Q76*0.2</f>
        <v>-40004.1594577067</v>
      </c>
      <c r="R77" s="171" t="n">
        <f aca="false">-R76*0.2</f>
        <v>-44569.5599560534</v>
      </c>
      <c r="S77" s="171" t="n">
        <f aca="false">-S76*0.2</f>
        <v>-49134.9604544</v>
      </c>
      <c r="T77" s="171" t="n">
        <f aca="false">-T76*0.2</f>
        <v>-47509.18299008</v>
      </c>
      <c r="U77" s="171" t="n">
        <f aca="false">-U76*0.2</f>
        <v>-45883.40552576</v>
      </c>
      <c r="V77" s="171" t="n">
        <f aca="false">-V76*0.2</f>
        <v>-44257.62806144</v>
      </c>
      <c r="W77" s="171" t="n">
        <f aca="false">-W76*0.2</f>
        <v>-42631.8505971201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119888.6119168</v>
      </c>
      <c r="E78" s="171" t="n">
        <f aca="false">SUM(E76:E77)</f>
        <v>-94010.5860898135</v>
      </c>
      <c r="F78" s="171" t="n">
        <f aca="false">SUM(F76:F77)</f>
        <v>-75748.9840964266</v>
      </c>
      <c r="G78" s="171" t="n">
        <f aca="false">SUM(G76:G77)</f>
        <v>-57487.3821030399</v>
      </c>
      <c r="H78" s="171" t="n">
        <f aca="false">SUM(H76:H77)</f>
        <v>-39225.7801096534</v>
      </c>
      <c r="I78" s="171" t="n">
        <f aca="false">SUM(I76:I77)</f>
        <v>-20964.1781162667</v>
      </c>
      <c r="J78" s="171" t="n">
        <f aca="false">SUM(J76:J77)</f>
        <v>-2702.5761228798</v>
      </c>
      <c r="K78" s="171" t="n">
        <f aca="false">SUM(K76:K77)</f>
        <v>15559.0258705067</v>
      </c>
      <c r="L78" s="171" t="n">
        <f aca="false">SUM(L76:L77)</f>
        <v>33820.6278638934</v>
      </c>
      <c r="M78" s="171" t="n">
        <f aca="false">SUM(M76:M77)</f>
        <v>52082.2298572801</v>
      </c>
      <c r="N78" s="171" t="n">
        <f aca="false">SUM(N76:N77)</f>
        <v>105231.831850667</v>
      </c>
      <c r="O78" s="171" t="n">
        <f aca="false">SUM(O76:O77)</f>
        <v>123493.433844053</v>
      </c>
      <c r="P78" s="171" t="n">
        <f aca="false">SUM(P76:P77)</f>
        <v>141755.03583744</v>
      </c>
      <c r="Q78" s="171" t="n">
        <f aca="false">SUM(Q76:Q77)</f>
        <v>160016.637830827</v>
      </c>
      <c r="R78" s="171" t="n">
        <f aca="false">SUM(R76:R77)</f>
        <v>178278.239824213</v>
      </c>
      <c r="S78" s="171" t="n">
        <f aca="false">SUM(S76:S77)</f>
        <v>196539.8418176</v>
      </c>
      <c r="T78" s="171" t="n">
        <f aca="false">SUM(T76:T77)</f>
        <v>190036.73196032</v>
      </c>
      <c r="U78" s="171" t="n">
        <f aca="false">SUM(U76:U77)</f>
        <v>183533.62210304</v>
      </c>
      <c r="V78" s="171" t="n">
        <f aca="false">SUM(V76:V77)</f>
        <v>177030.51224576</v>
      </c>
      <c r="W78" s="171" t="n">
        <f aca="false">SUM(W76:W77)</f>
        <v>170527.40238848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119888.6119168</v>
      </c>
      <c r="E85" s="208" t="n">
        <f aca="false">E78</f>
        <v>-94010.5860898135</v>
      </c>
      <c r="F85" s="208" t="n">
        <f aca="false">F78</f>
        <v>-75748.9840964266</v>
      </c>
      <c r="G85" s="208" t="n">
        <f aca="false">G78</f>
        <v>-57487.3821030399</v>
      </c>
      <c r="H85" s="208" t="n">
        <f aca="false">H78</f>
        <v>-39225.7801096534</v>
      </c>
      <c r="I85" s="208" t="n">
        <f aca="false">I78</f>
        <v>-20964.1781162667</v>
      </c>
      <c r="J85" s="208" t="n">
        <f aca="false">J78</f>
        <v>-2702.5761228798</v>
      </c>
      <c r="K85" s="208" t="n">
        <f aca="false">K78</f>
        <v>15559.0258705067</v>
      </c>
      <c r="L85" s="208" t="n">
        <f aca="false">L78</f>
        <v>33820.6278638934</v>
      </c>
      <c r="M85" s="208" t="n">
        <f aca="false">M78</f>
        <v>52082.2298572801</v>
      </c>
      <c r="N85" s="208" t="n">
        <f aca="false">N78</f>
        <v>105231.831850667</v>
      </c>
      <c r="O85" s="208" t="n">
        <f aca="false">O78</f>
        <v>123493.433844053</v>
      </c>
      <c r="P85" s="208" t="n">
        <f aca="false">P78</f>
        <v>141755.03583744</v>
      </c>
      <c r="Q85" s="208" t="n">
        <f aca="false">Q78</f>
        <v>160016.637830827</v>
      </c>
      <c r="R85" s="208" t="n">
        <f aca="false">R78</f>
        <v>178278.239824213</v>
      </c>
      <c r="S85" s="208" t="n">
        <f aca="false">S78</f>
        <v>196539.8418176</v>
      </c>
      <c r="T85" s="208" t="n">
        <f aca="false">T78</f>
        <v>190036.73196032</v>
      </c>
      <c r="U85" s="208" t="n">
        <f aca="false">U78</f>
        <v>183533.62210304</v>
      </c>
      <c r="V85" s="208" t="n">
        <f aca="false">V78</f>
        <v>177030.51224576</v>
      </c>
      <c r="W85" s="208" t="n">
        <f aca="false">W78</f>
        <v>170527.40238848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1133860</v>
      </c>
      <c r="E86" s="209" t="n">
        <f aca="false">-E67</f>
        <v>1133860</v>
      </c>
      <c r="F86" s="209" t="n">
        <f aca="false">-F67</f>
        <v>1133860</v>
      </c>
      <c r="G86" s="209" t="n">
        <f aca="false">-G67</f>
        <v>1133860</v>
      </c>
      <c r="H86" s="209" t="n">
        <f aca="false">-H67</f>
        <v>1133860</v>
      </c>
      <c r="I86" s="209" t="n">
        <f aca="false">-I67</f>
        <v>1133860</v>
      </c>
      <c r="J86" s="209" t="n">
        <f aca="false">-J67</f>
        <v>1133860</v>
      </c>
      <c r="K86" s="209" t="n">
        <f aca="false">-K67</f>
        <v>1133860</v>
      </c>
      <c r="L86" s="209" t="n">
        <f aca="false">-L67</f>
        <v>1133860</v>
      </c>
      <c r="M86" s="209" t="n">
        <f aca="false">-M67</f>
        <v>1133860</v>
      </c>
      <c r="N86" s="209" t="n">
        <f aca="false">-N67</f>
        <v>1133860</v>
      </c>
      <c r="O86" s="209" t="n">
        <f aca="false">-O67</f>
        <v>1133860</v>
      </c>
      <c r="P86" s="209" t="n">
        <f aca="false">-P67</f>
        <v>1133860</v>
      </c>
      <c r="Q86" s="209" t="n">
        <f aca="false">-Q67</f>
        <v>1133860</v>
      </c>
      <c r="R86" s="209" t="n">
        <f aca="false">-R67</f>
        <v>1133860</v>
      </c>
      <c r="S86" s="209" t="n">
        <f aca="false">-S67</f>
        <v>1133860</v>
      </c>
      <c r="T86" s="209" t="n">
        <f aca="false">-T67</f>
        <v>1133860</v>
      </c>
      <c r="U86" s="209" t="n">
        <f aca="false">-U67</f>
        <v>1133860</v>
      </c>
      <c r="V86" s="209" t="n">
        <f aca="false">-V67</f>
        <v>1133860</v>
      </c>
      <c r="W86" s="209" t="n">
        <f aca="false">-W67</f>
        <v>1133860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1253748.6119168</v>
      </c>
      <c r="E87" s="211" t="n">
        <f aca="false">SUM(E85:E86)</f>
        <v>1039849.41391019</v>
      </c>
      <c r="F87" s="211" t="n">
        <f aca="false">SUM(F85:F86)</f>
        <v>1058111.01590357</v>
      </c>
      <c r="G87" s="211" t="n">
        <f aca="false">SUM(G85:G86)</f>
        <v>1076372.61789696</v>
      </c>
      <c r="H87" s="211" t="n">
        <f aca="false">SUM(H85:H86)</f>
        <v>1094634.21989035</v>
      </c>
      <c r="I87" s="211" t="n">
        <f aca="false">SUM(I85:I86)</f>
        <v>1112895.82188373</v>
      </c>
      <c r="J87" s="211" t="n">
        <f aca="false">SUM(J85:J86)</f>
        <v>1131157.42387712</v>
      </c>
      <c r="K87" s="211" t="n">
        <f aca="false">SUM(K85:K86)</f>
        <v>1149419.02587051</v>
      </c>
      <c r="L87" s="211" t="n">
        <f aca="false">SUM(L85:L86)</f>
        <v>1167680.62786389</v>
      </c>
      <c r="M87" s="211" t="n">
        <f aca="false">SUM(M85:M86)</f>
        <v>1185942.22985728</v>
      </c>
      <c r="N87" s="211" t="n">
        <f aca="false">SUM(N85:N86)</f>
        <v>1239091.83185067</v>
      </c>
      <c r="O87" s="211" t="n">
        <f aca="false">SUM(O85:O86)</f>
        <v>1257353.43384405</v>
      </c>
      <c r="P87" s="211" t="n">
        <f aca="false">SUM(P85:P86)</f>
        <v>1275615.03583744</v>
      </c>
      <c r="Q87" s="211" t="n">
        <f aca="false">SUM(Q85:Q86)</f>
        <v>1293876.63783083</v>
      </c>
      <c r="R87" s="211" t="n">
        <f aca="false">SUM(R85:R86)</f>
        <v>1312138.23982421</v>
      </c>
      <c r="S87" s="211" t="n">
        <f aca="false">SUM(S85:S86)</f>
        <v>1330399.8418176</v>
      </c>
      <c r="T87" s="211" t="n">
        <f aca="false">SUM(T85:T86)</f>
        <v>1323896.73196032</v>
      </c>
      <c r="U87" s="211" t="n">
        <f aca="false">SUM(U85:U86)</f>
        <v>1317393.62210304</v>
      </c>
      <c r="V87" s="211" t="n">
        <f aca="false">SUM(V85:V86)</f>
        <v>1310890.51224576</v>
      </c>
      <c r="W87" s="211" t="n">
        <f aca="false">SUM(W85:W86)</f>
        <v>1304387.40238848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-22677200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18141760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-1209450.66666667</v>
      </c>
      <c r="F93" s="217" t="n">
        <v>-1209450.66666667</v>
      </c>
      <c r="G93" s="217" t="n">
        <v>-1209450.66666667</v>
      </c>
      <c r="H93" s="217" t="n">
        <v>-1209450.66666667</v>
      </c>
      <c r="I93" s="217" t="n">
        <v>-1209450.66666667</v>
      </c>
      <c r="J93" s="217" t="n">
        <v>-1209450.66666667</v>
      </c>
      <c r="K93" s="217" t="n">
        <v>-1209450.66666667</v>
      </c>
      <c r="L93" s="217" t="n">
        <v>-1209450.66666667</v>
      </c>
      <c r="M93" s="217" t="n">
        <v>-1209450.66666667</v>
      </c>
      <c r="N93" s="217" t="n">
        <v>-1209450.66666667</v>
      </c>
      <c r="O93" s="217" t="n">
        <v>-1209450.66666667</v>
      </c>
      <c r="P93" s="217" t="n">
        <v>-1209450.66666667</v>
      </c>
      <c r="Q93" s="217" t="n">
        <v>-1209450.66666667</v>
      </c>
      <c r="R93" s="217" t="n">
        <v>-1209450.66666667</v>
      </c>
      <c r="S93" s="217" t="n">
        <v>-1209450.66666667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4535440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-107899.75072512</v>
      </c>
      <c r="F95" s="218" t="n">
        <f aca="false">-E85*$D$33</f>
        <v>84609.5274808321</v>
      </c>
      <c r="G95" s="218" t="n">
        <f aca="false">-F85*$D$33</f>
        <v>68174.085686784</v>
      </c>
      <c r="H95" s="218" t="n">
        <f aca="false">-G85*$D$33</f>
        <v>51738.6438927359</v>
      </c>
      <c r="I95" s="218" t="n">
        <f aca="false">-H85*$D$33</f>
        <v>35303.2020986881</v>
      </c>
      <c r="J95" s="218" t="n">
        <f aca="false">-I85*$D$33</f>
        <v>18867.76030464</v>
      </c>
      <c r="K95" s="218" t="n">
        <f aca="false">-J85*$D$33</f>
        <v>2432.31851059182</v>
      </c>
      <c r="L95" s="218" t="n">
        <f aca="false">-K85*$D$33</f>
        <v>-14003.123283456</v>
      </c>
      <c r="M95" s="218" t="n">
        <f aca="false">-L85*$D$33</f>
        <v>-30438.5650775041</v>
      </c>
      <c r="N95" s="218" t="n">
        <f aca="false">-M85*$D$33</f>
        <v>-46874.0068715521</v>
      </c>
      <c r="O95" s="218" t="n">
        <f aca="false">-N85*$D$33</f>
        <v>-94708.6486656001</v>
      </c>
      <c r="P95" s="218" t="n">
        <f aca="false">-O85*$D$33</f>
        <v>-111144.090459648</v>
      </c>
      <c r="Q95" s="218" t="n">
        <f aca="false">-P85*$D$33</f>
        <v>-127579.532253696</v>
      </c>
      <c r="R95" s="218" t="n">
        <f aca="false">-Q85*$D$33</f>
        <v>-144014.974047744</v>
      </c>
      <c r="S95" s="218" t="n">
        <f aca="false">-R85*$D$33</f>
        <v>-160450.415841792</v>
      </c>
      <c r="T95" s="218" t="n">
        <f aca="false">-S85*$D$33</f>
        <v>-176885.85763584</v>
      </c>
      <c r="U95" s="218" t="n">
        <f aca="false">-T85*$D$33</f>
        <v>-171033.058764288</v>
      </c>
      <c r="V95" s="218" t="n">
        <f aca="false">-U85*$D$33</f>
        <v>-165180.259892736</v>
      </c>
      <c r="W95" s="218" t="n">
        <f aca="false">-V85*$D$33</f>
        <v>-159327.461021184</v>
      </c>
      <c r="X95" s="218" t="n">
        <f aca="false">-W85*$D$33</f>
        <v>-153474.662149632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-1133860</v>
      </c>
      <c r="U96" s="221" t="n">
        <v>-1133860</v>
      </c>
      <c r="V96" s="221" t="n">
        <v>-1133860</v>
      </c>
      <c r="W96" s="221" t="n">
        <v>-1133860</v>
      </c>
      <c r="X96" s="222" t="n">
        <f aca="false">-W101-X95</f>
        <v>-155765.429857275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1253748.6119168</v>
      </c>
      <c r="E99" s="208" t="n">
        <f aca="false">SUM(E87:E96)</f>
        <v>-277501.0034816</v>
      </c>
      <c r="F99" s="208" t="n">
        <f aca="false">SUM(F87:F96)</f>
        <v>-66730.1232822614</v>
      </c>
      <c r="G99" s="208" t="n">
        <f aca="false">SUM(G87:G96)</f>
        <v>-64903.9630829229</v>
      </c>
      <c r="H99" s="208" t="n">
        <f aca="false">SUM(H87:H96)</f>
        <v>-63077.8028835846</v>
      </c>
      <c r="I99" s="208" t="n">
        <f aca="false">SUM(I87:I96)</f>
        <v>-61251.6426842455</v>
      </c>
      <c r="J99" s="208" t="n">
        <f aca="false">SUM(J87:J96)</f>
        <v>-59425.4824849067</v>
      </c>
      <c r="K99" s="208" t="n">
        <f aca="false">SUM(K87:K96)</f>
        <v>-57599.3222855685</v>
      </c>
      <c r="L99" s="208" t="n">
        <f aca="false">SUM(L87:L96)</f>
        <v>-55773.1620862297</v>
      </c>
      <c r="M99" s="208" t="n">
        <f aca="false">SUM(M87:M96)</f>
        <v>-53947.0018868909</v>
      </c>
      <c r="N99" s="208" t="n">
        <f aca="false">SUM(N87:N96)</f>
        <v>-17232.8416875523</v>
      </c>
      <c r="O99" s="208" t="n">
        <f aca="false">SUM(O87:O96)</f>
        <v>-46805.8814882136</v>
      </c>
      <c r="P99" s="208" t="n">
        <f aca="false">SUM(P87:P96)</f>
        <v>-44979.721288875</v>
      </c>
      <c r="Q99" s="208" t="n">
        <f aca="false">SUM(Q87:Q96)</f>
        <v>-43153.5610895362</v>
      </c>
      <c r="R99" s="208" t="n">
        <f aca="false">SUM(R87:R96)</f>
        <v>-41327.4008901976</v>
      </c>
      <c r="S99" s="208" t="n">
        <f aca="false">SUM(S87:S96)</f>
        <v>-39501.2406908589</v>
      </c>
      <c r="T99" s="208" t="n">
        <f aca="false">SUM(T87:T96)</f>
        <v>13150.8743244798</v>
      </c>
      <c r="U99" s="208" t="n">
        <f aca="false">SUM(U87:U96)</f>
        <v>12500.5633387521</v>
      </c>
      <c r="V99" s="208" t="n">
        <f aca="false">SUM(V87:V96)</f>
        <v>11850.252353024</v>
      </c>
      <c r="W99" s="208" t="n">
        <f aca="false">SUM(W87:W96)</f>
        <v>11199.9413672963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1253748.6119168</v>
      </c>
      <c r="F100" s="208" t="n">
        <f aca="false">E101</f>
        <v>976247.608435199</v>
      </c>
      <c r="G100" s="208" t="n">
        <f aca="false">F101</f>
        <v>909517.485152938</v>
      </c>
      <c r="H100" s="208" t="n">
        <f aca="false">G101</f>
        <v>844613.522070015</v>
      </c>
      <c r="I100" s="208" t="n">
        <f aca="false">H101</f>
        <v>781535.71918643</v>
      </c>
      <c r="J100" s="208" t="n">
        <f aca="false">I101</f>
        <v>720284.076502185</v>
      </c>
      <c r="K100" s="208" t="n">
        <f aca="false">J101</f>
        <v>660858.594017278</v>
      </c>
      <c r="L100" s="208" t="n">
        <f aca="false">K101</f>
        <v>603259.27173171</v>
      </c>
      <c r="M100" s="208" t="n">
        <f aca="false">L101</f>
        <v>547486.10964548</v>
      </c>
      <c r="N100" s="208" t="n">
        <f aca="false">M101</f>
        <v>493539.107758589</v>
      </c>
      <c r="O100" s="208" t="n">
        <f aca="false">N101</f>
        <v>476306.266071037</v>
      </c>
      <c r="P100" s="208" t="n">
        <f aca="false">O101</f>
        <v>429500.384582823</v>
      </c>
      <c r="Q100" s="208" t="n">
        <f aca="false">P101</f>
        <v>384520.663293948</v>
      </c>
      <c r="R100" s="208" t="n">
        <f aca="false">Q101</f>
        <v>341367.102204412</v>
      </c>
      <c r="S100" s="208" t="n">
        <f aca="false">R101</f>
        <v>300039.701314214</v>
      </c>
      <c r="T100" s="208" t="n">
        <f aca="false">S101</f>
        <v>260538.460623355</v>
      </c>
      <c r="U100" s="208" t="n">
        <f aca="false">T101</f>
        <v>273689.334947835</v>
      </c>
      <c r="V100" s="208" t="n">
        <f aca="false">U101</f>
        <v>286189.898286587</v>
      </c>
      <c r="W100" s="208" t="n">
        <f aca="false">V101</f>
        <v>298040.150639611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1253748.6119168</v>
      </c>
      <c r="E101" s="208" t="n">
        <f aca="false">E99+E100</f>
        <v>976247.608435199</v>
      </c>
      <c r="F101" s="208" t="n">
        <f aca="false">F99+F100</f>
        <v>909517.485152938</v>
      </c>
      <c r="G101" s="208" t="n">
        <f aca="false">G99+G100</f>
        <v>844613.522070015</v>
      </c>
      <c r="H101" s="208" t="n">
        <f aca="false">H99+H100</f>
        <v>781535.71918643</v>
      </c>
      <c r="I101" s="208" t="n">
        <f aca="false">I99+I100</f>
        <v>720284.076502185</v>
      </c>
      <c r="J101" s="208" t="n">
        <f aca="false">J99+J100</f>
        <v>660858.594017278</v>
      </c>
      <c r="K101" s="208" t="n">
        <f aca="false">K99+K100</f>
        <v>603259.27173171</v>
      </c>
      <c r="L101" s="208" t="n">
        <f aca="false">L99+L100</f>
        <v>547486.10964548</v>
      </c>
      <c r="M101" s="208" t="n">
        <f aca="false">M99+M100</f>
        <v>493539.107758589</v>
      </c>
      <c r="N101" s="208" t="n">
        <f aca="false">N99+N100</f>
        <v>476306.266071037</v>
      </c>
      <c r="O101" s="208" t="n">
        <f aca="false">O99+O100</f>
        <v>429500.384582823</v>
      </c>
      <c r="P101" s="208" t="n">
        <f aca="false">P99+P100</f>
        <v>384520.663293948</v>
      </c>
      <c r="Q101" s="208" t="n">
        <f aca="false">Q99+Q100</f>
        <v>341367.102204412</v>
      </c>
      <c r="R101" s="208" t="n">
        <f aca="false">R99+R100</f>
        <v>300039.701314214</v>
      </c>
      <c r="S101" s="208" t="n">
        <f aca="false">S99+S100</f>
        <v>260538.460623355</v>
      </c>
      <c r="T101" s="208" t="n">
        <f aca="false">T99+T100</f>
        <v>273689.334947835</v>
      </c>
      <c r="U101" s="208" t="n">
        <f aca="false">U99+U100</f>
        <v>286189.898286587</v>
      </c>
      <c r="V101" s="208" t="n">
        <f aca="false">V99+V100</f>
        <v>298040.150639611</v>
      </c>
      <c r="W101" s="208" t="n">
        <f aca="false">W99+W100</f>
        <v>309240.092006907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-4535440</v>
      </c>
      <c r="E104" s="211" t="n">
        <f aca="false">-E95-E96</f>
        <v>107899.75072512</v>
      </c>
      <c r="F104" s="211" t="n">
        <f aca="false">-F95-F96</f>
        <v>-84609.5274808321</v>
      </c>
      <c r="G104" s="211" t="n">
        <f aca="false">-G95-G96</f>
        <v>-68174.085686784</v>
      </c>
      <c r="H104" s="211" t="n">
        <f aca="false">-H95-H96</f>
        <v>-51738.6438927359</v>
      </c>
      <c r="I104" s="211" t="n">
        <f aca="false">-I95-I96</f>
        <v>-35303.2020986881</v>
      </c>
      <c r="J104" s="211" t="n">
        <f aca="false">-J95-J96</f>
        <v>-18867.76030464</v>
      </c>
      <c r="K104" s="211" t="n">
        <f aca="false">-K95-K96</f>
        <v>-2432.31851059182</v>
      </c>
      <c r="L104" s="211" t="n">
        <f aca="false">-L95-L96</f>
        <v>14003.123283456</v>
      </c>
      <c r="M104" s="211" t="n">
        <f aca="false">-M95-M96</f>
        <v>30438.5650775041</v>
      </c>
      <c r="N104" s="211" t="n">
        <f aca="false">-N95-N96</f>
        <v>46874.0068715521</v>
      </c>
      <c r="O104" s="211" t="n">
        <f aca="false">-O95-O96</f>
        <v>94708.6486656001</v>
      </c>
      <c r="P104" s="211" t="n">
        <f aca="false">-P95-P96</f>
        <v>111144.090459648</v>
      </c>
      <c r="Q104" s="211" t="n">
        <f aca="false">-Q95-Q96</f>
        <v>127579.532253696</v>
      </c>
      <c r="R104" s="211" t="n">
        <f aca="false">-R95-R96</f>
        <v>144014.974047744</v>
      </c>
      <c r="S104" s="211" t="n">
        <f aca="false">-S95-S96</f>
        <v>160450.415841792</v>
      </c>
      <c r="T104" s="211" t="n">
        <f aca="false">-T95-T96</f>
        <v>1310745.85763584</v>
      </c>
      <c r="U104" s="211" t="n">
        <f aca="false">-U95-U96</f>
        <v>1304893.05876429</v>
      </c>
      <c r="V104" s="211" t="n">
        <f aca="false">-V95-V96</f>
        <v>1299040.25989274</v>
      </c>
      <c r="W104" s="211" t="n">
        <f aca="false">-W95-W96</f>
        <v>1293187.46102118</v>
      </c>
      <c r="X104" s="211" t="n">
        <f aca="false">-X95-X96</f>
        <v>309240.092006907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0.0171484125825949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-4415551.3880832</v>
      </c>
      <c r="E106" s="211" t="n">
        <f aca="false">E85</f>
        <v>-94010.5860898135</v>
      </c>
      <c r="F106" s="211" t="n">
        <f aca="false">F85-F96</f>
        <v>-75748.9840964266</v>
      </c>
      <c r="G106" s="211" t="n">
        <f aca="false">G85-G96</f>
        <v>-57487.3821030399</v>
      </c>
      <c r="H106" s="211" t="n">
        <f aca="false">H85-H96</f>
        <v>-39225.7801096534</v>
      </c>
      <c r="I106" s="211" t="n">
        <f aca="false">I85-I96</f>
        <v>-20964.1781162667</v>
      </c>
      <c r="J106" s="211" t="n">
        <f aca="false">J85-J96</f>
        <v>-2702.5761228798</v>
      </c>
      <c r="K106" s="211" t="n">
        <f aca="false">K85-K96</f>
        <v>15559.0258705067</v>
      </c>
      <c r="L106" s="211" t="n">
        <f aca="false">L85-L96</f>
        <v>33820.6278638934</v>
      </c>
      <c r="M106" s="211" t="n">
        <f aca="false">M85-M96</f>
        <v>52082.2298572801</v>
      </c>
      <c r="N106" s="211" t="n">
        <f aca="false">N85-N96</f>
        <v>105231.831850667</v>
      </c>
      <c r="O106" s="211" t="n">
        <f aca="false">O85-O96</f>
        <v>123493.433844053</v>
      </c>
      <c r="P106" s="211" t="n">
        <f aca="false">P85-P96</f>
        <v>141755.03583744</v>
      </c>
      <c r="Q106" s="211" t="n">
        <f aca="false">Q85-Q96</f>
        <v>160016.637830827</v>
      </c>
      <c r="R106" s="211" t="n">
        <f aca="false">R85-R96</f>
        <v>178278.239824213</v>
      </c>
      <c r="S106" s="211" t="n">
        <f aca="false">S85-S96</f>
        <v>196539.8418176</v>
      </c>
      <c r="T106" s="211" t="n">
        <f aca="false">T85-T96</f>
        <v>1323896.73196032</v>
      </c>
      <c r="U106" s="211" t="n">
        <f aca="false">U85-U96</f>
        <v>1317393.62210304</v>
      </c>
      <c r="V106" s="211" t="n">
        <f aca="false">V85-V96</f>
        <v>1310890.51224576</v>
      </c>
      <c r="W106" s="211" t="n">
        <f aca="false">W85-W96</f>
        <v>1304387.40238848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0.0174976017715277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18141760</v>
      </c>
      <c r="E109" s="208" t="n">
        <f aca="false">D109+E93</f>
        <v>16932309.3333333</v>
      </c>
      <c r="F109" s="208" t="n">
        <f aca="false">E109+F93</f>
        <v>15722858.6666667</v>
      </c>
      <c r="G109" s="208" t="n">
        <f aca="false">F109+G93</f>
        <v>14513408</v>
      </c>
      <c r="H109" s="208" t="n">
        <f aca="false">G109+H93</f>
        <v>13303957.3333333</v>
      </c>
      <c r="I109" s="208" t="n">
        <f aca="false">H109+I93</f>
        <v>12094506.6666667</v>
      </c>
      <c r="J109" s="208" t="n">
        <f aca="false">I109+J93</f>
        <v>10885056</v>
      </c>
      <c r="K109" s="208" t="n">
        <f aca="false">J109+K93</f>
        <v>9675605.33333333</v>
      </c>
      <c r="L109" s="208" t="n">
        <f aca="false">K109+L93</f>
        <v>8466154.66666666</v>
      </c>
      <c r="M109" s="208" t="n">
        <f aca="false">L109+M93</f>
        <v>7256703.99999999</v>
      </c>
      <c r="N109" s="208" t="n">
        <f aca="false">M109+N93</f>
        <v>6047253.33333332</v>
      </c>
      <c r="O109" s="208" t="n">
        <f aca="false">N109+O93</f>
        <v>4837802.66666666</v>
      </c>
      <c r="P109" s="208" t="n">
        <f aca="false">O109+P93</f>
        <v>3628351.99999999</v>
      </c>
      <c r="Q109" s="208" t="n">
        <f aca="false">P109+Q93</f>
        <v>2418901.33333332</v>
      </c>
      <c r="R109" s="208" t="n">
        <f aca="false">Q109+R93</f>
        <v>1209450.66666665</v>
      </c>
      <c r="S109" s="208" t="n">
        <f aca="false">R109+S93</f>
        <v>-1.21071934700012E-008</v>
      </c>
      <c r="T109" s="208" t="n">
        <f aca="false">S109+T93</f>
        <v>-1.21071934700012E-008</v>
      </c>
      <c r="U109" s="208" t="n">
        <f aca="false">T109+U93</f>
        <v>-1.21071934700012E-008</v>
      </c>
      <c r="V109" s="208" t="n">
        <f aca="false">U109+V93</f>
        <v>-1.21071934700012E-008</v>
      </c>
      <c r="W109" s="208" t="n">
        <f aca="false">V109+W93</f>
        <v>-1.21071934700012E-008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145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146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147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148</v>
      </c>
    </row>
    <row r="8" customFormat="false" ht="22.5" hidden="false" customHeight="true" outlineLevel="0" collapsed="false">
      <c r="B8" s="14" t="s">
        <v>9</v>
      </c>
      <c r="E8" s="122"/>
      <c r="M8" s="0" t="s">
        <v>149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93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33000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-21431200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-43173.9</v>
      </c>
      <c r="E49" s="171" t="n">
        <v>-43173.9</v>
      </c>
      <c r="F49" s="171" t="n">
        <v>-43173.9</v>
      </c>
      <c r="G49" s="171" t="n">
        <v>-43173.9</v>
      </c>
      <c r="H49" s="171" t="n">
        <v>-43173.9</v>
      </c>
      <c r="I49" s="171" t="n">
        <v>-43173.9</v>
      </c>
      <c r="J49" s="171" t="n">
        <v>-43173.9</v>
      </c>
      <c r="K49" s="171" t="n">
        <v>-43173.9</v>
      </c>
      <c r="L49" s="171" t="n">
        <v>-43173.9</v>
      </c>
      <c r="M49" s="171" t="n">
        <v>-43173.9</v>
      </c>
      <c r="N49" s="171" t="n">
        <v>-43173.9</v>
      </c>
      <c r="O49" s="171" t="n">
        <v>-43173.9</v>
      </c>
      <c r="P49" s="171" t="n">
        <v>-43173.9</v>
      </c>
      <c r="Q49" s="171" t="n">
        <v>-43173.9</v>
      </c>
      <c r="R49" s="171" t="n">
        <v>-43173.9</v>
      </c>
      <c r="S49" s="171" t="n">
        <v>-43173.9</v>
      </c>
      <c r="T49" s="171" t="n">
        <v>-43173.9</v>
      </c>
      <c r="U49" s="171" t="n">
        <v>-43173.9</v>
      </c>
      <c r="V49" s="171" t="n">
        <v>-43173.9</v>
      </c>
      <c r="W49" s="171" t="n">
        <v>-43173.9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-135823.1424192</v>
      </c>
      <c r="E54" s="171" t="n">
        <f aca="false">-(E64+E67+E68+E71+E72+E73+E74)*0.2</f>
        <v>-76157.1649548799</v>
      </c>
      <c r="F54" s="171" t="n">
        <f aca="false">-(F64+F67+F68+F71+F72+F73+F74)*0.2</f>
        <v>-74531.38749056</v>
      </c>
      <c r="G54" s="171" t="n">
        <f aca="false">-(G64+G67+G68+G71+G72+G73+G74)*0.2</f>
        <v>-72905.61002624</v>
      </c>
      <c r="H54" s="171" t="n">
        <f aca="false">-(H64+H67+H68+H71+H72+H73+H74)*0.2</f>
        <v>-71279.8325619199</v>
      </c>
      <c r="I54" s="171" t="n">
        <f aca="false">-(I64+I67+I68+I71+I72+I73+I74)*0.2</f>
        <v>-69654.0550975999</v>
      </c>
      <c r="J54" s="171" t="n">
        <f aca="false">-(J64+J67+J68+J71+J72+J73+J74)*0.2</f>
        <v>-68028.27763328</v>
      </c>
      <c r="K54" s="171" t="n">
        <f aca="false">-(K64+K67+K68+K71+K72+K73+K74)*0.2</f>
        <v>-66402.5001689599</v>
      </c>
      <c r="L54" s="171" t="n">
        <f aca="false">-(L64+L67+L68+L71+L72+L73+L74)*0.2</f>
        <v>-64776.7227046399</v>
      </c>
      <c r="M54" s="171" t="n">
        <f aca="false">-(M64+M67+M68+M71+M72+M73+M74)*0.2</f>
        <v>-63150.9452403199</v>
      </c>
      <c r="N54" s="171" t="n">
        <f aca="false">-(N64+N67+N68+N71+N72+N73+N74)*0.2</f>
        <v>-70247.1677759999</v>
      </c>
      <c r="O54" s="171" t="n">
        <f aca="false">-(O64+O67+O68+O71+O72+O73+O74)*0.2</f>
        <v>-68621.3903116799</v>
      </c>
      <c r="P54" s="171" t="n">
        <f aca="false">-(P64+P67+P68+P71+P72+P73+P74)*0.2</f>
        <v>-66995.6128473599</v>
      </c>
      <c r="Q54" s="171" t="n">
        <f aca="false">-(Q64+Q67+Q68+Q71+Q72+Q73+Q74)*0.2</f>
        <v>-65369.8353830399</v>
      </c>
      <c r="R54" s="171" t="n">
        <f aca="false">-(R64+R67+R68+R71+R72+R73+R74)*0.2</f>
        <v>-63744.0579187199</v>
      </c>
      <c r="S54" s="171" t="n">
        <f aca="false">-(S64+S67+S68+S71+S72+S73+S74)*0.2</f>
        <v>-62118.2804543999</v>
      </c>
      <c r="T54" s="171" t="n">
        <f aca="false">-(T64+T67+T68+T71+T72+T73+T74)*0.2</f>
        <v>-60492.5029900799</v>
      </c>
      <c r="U54" s="171" t="n">
        <f aca="false">-(U64+U67+U68+U71+U72+U73+U74)*0.2</f>
        <v>-58866.7255257599</v>
      </c>
      <c r="V54" s="171" t="n">
        <f aca="false">-(V64+V67+V68+V71+V72+V73+V74)*0.2</f>
        <v>-57240.9480614399</v>
      </c>
      <c r="W54" s="171" t="n">
        <f aca="false">-(W64+W67+W68+W71+W72+W73+W74)*0.2</f>
        <v>-55615.1705971199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-21431200</v>
      </c>
      <c r="D55" s="176" t="n">
        <f aca="false">SUM(D41:D54)</f>
        <v>1324651.5696768</v>
      </c>
      <c r="E55" s="176" t="n">
        <f aca="false">SUM(E41:E54)</f>
        <v>1376188.65981952</v>
      </c>
      <c r="F55" s="176" t="n">
        <f aca="false">SUM(F41:F54)</f>
        <v>1369685.54996224</v>
      </c>
      <c r="G55" s="176" t="n">
        <f aca="false">SUM(G41:G54)</f>
        <v>1363182.44010496</v>
      </c>
      <c r="H55" s="176" t="n">
        <f aca="false">SUM(H41:H54)</f>
        <v>1356679.33024768</v>
      </c>
      <c r="I55" s="176" t="n">
        <f aca="false">SUM(I41:I54)</f>
        <v>1350176.2203904</v>
      </c>
      <c r="J55" s="176" t="n">
        <f aca="false">SUM(J41:J54)</f>
        <v>1343673.11053312</v>
      </c>
      <c r="K55" s="176" t="n">
        <f aca="false">SUM(K41:K54)</f>
        <v>1337170.00067584</v>
      </c>
      <c r="L55" s="176" t="n">
        <f aca="false">SUM(L41:L54)</f>
        <v>1330666.89081856</v>
      </c>
      <c r="M55" s="176" t="n">
        <f aca="false">SUM(M41:M54)</f>
        <v>1324163.78096128</v>
      </c>
      <c r="N55" s="176" t="n">
        <f aca="false">SUM(N41:N54)</f>
        <v>1352548.671104</v>
      </c>
      <c r="O55" s="176" t="n">
        <f aca="false">SUM(O41:O54)</f>
        <v>1346045.56124672</v>
      </c>
      <c r="P55" s="176" t="n">
        <f aca="false">SUM(P41:P54)</f>
        <v>1339542.45138944</v>
      </c>
      <c r="Q55" s="176" t="n">
        <f aca="false">SUM(Q41:Q54)</f>
        <v>1333039.34153216</v>
      </c>
      <c r="R55" s="176" t="n">
        <f aca="false">SUM(R41:R54)</f>
        <v>1326536.23167488</v>
      </c>
      <c r="S55" s="176" t="n">
        <f aca="false">SUM(S41:S54)</f>
        <v>1320033.1218176</v>
      </c>
      <c r="T55" s="176" t="n">
        <f aca="false">SUM(T41:T54)</f>
        <v>1313530.01196032</v>
      </c>
      <c r="U55" s="176" t="n">
        <f aca="false">SUM(U41:U54)</f>
        <v>1307026.90210304</v>
      </c>
      <c r="V55" s="176" t="n">
        <f aca="false">SUM(V41:V54)</f>
        <v>1300523.79224576</v>
      </c>
      <c r="W55" s="176" t="n">
        <f aca="false">SUM(W41:W54)</f>
        <v>1294020.68238848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-20106548.4303232</v>
      </c>
      <c r="E56" s="181" t="n">
        <f aca="false">D56+E55</f>
        <v>-18730359.7705037</v>
      </c>
      <c r="F56" s="181" t="n">
        <f aca="false">E56+F55</f>
        <v>-17360674.2205414</v>
      </c>
      <c r="G56" s="181" t="n">
        <f aca="false">F56+G55</f>
        <v>-15997491.7804365</v>
      </c>
      <c r="H56" s="181" t="n">
        <f aca="false">G56+H55</f>
        <v>-14640812.4501888</v>
      </c>
      <c r="I56" s="181" t="n">
        <f aca="false">H56+I55</f>
        <v>-13290636.2297984</v>
      </c>
      <c r="J56" s="181" t="n">
        <f aca="false">I56+J55</f>
        <v>-11946963.1192653</v>
      </c>
      <c r="K56" s="181" t="n">
        <f aca="false">J56+K55</f>
        <v>-10609793.1185894</v>
      </c>
      <c r="L56" s="181" t="n">
        <f aca="false">K56+L55</f>
        <v>-9279126.22777088</v>
      </c>
      <c r="M56" s="181" t="n">
        <f aca="false">L56+M55</f>
        <v>-7954962.4468096</v>
      </c>
      <c r="N56" s="181" t="n">
        <f aca="false">M56+N55</f>
        <v>-6602413.7757056</v>
      </c>
      <c r="O56" s="181" t="n">
        <f aca="false">N56+O55</f>
        <v>-5256368.21445888</v>
      </c>
      <c r="P56" s="181" t="n">
        <f aca="false">O56+P55</f>
        <v>-3916825.76306944</v>
      </c>
      <c r="Q56" s="181" t="n">
        <f aca="false">P56+Q55</f>
        <v>-2583786.42153728</v>
      </c>
      <c r="R56" s="181" t="n">
        <f aca="false">Q56+R55</f>
        <v>-1257250.1898624</v>
      </c>
      <c r="S56" s="181" t="n">
        <f aca="false">R56+S55</f>
        <v>62782.9319552004</v>
      </c>
      <c r="T56" s="181" t="n">
        <f aca="false">S56+T55</f>
        <v>1376312.94391552</v>
      </c>
      <c r="U56" s="181" t="n">
        <f aca="false">T56+U55</f>
        <v>2683339.84601856</v>
      </c>
      <c r="V56" s="181" t="n">
        <f aca="false">U56+V55</f>
        <v>3983863.63826432</v>
      </c>
      <c r="W56" s="181" t="n">
        <f aca="false">V56+W55</f>
        <v>5277884.3206528</v>
      </c>
      <c r="X56" s="181" t="n">
        <f aca="false">W56+X55</f>
        <v>5277884.3206528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未回收</v>
      </c>
      <c r="Q57" s="185" t="str">
        <f aca="false">IF((Q56)&gt;0,"回收","未回收")</f>
        <v>未回收</v>
      </c>
      <c r="R57" s="185" t="str">
        <f aca="false">IF((R56)&gt;0,"回收","未回收")</f>
        <v>未回收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0.0221198635386448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-1071560</v>
      </c>
      <c r="E67" s="193" t="n">
        <f aca="false">$C$44/$E$16</f>
        <v>-1071560</v>
      </c>
      <c r="F67" s="193" t="n">
        <f aca="false">$C$44/$E$16</f>
        <v>-1071560</v>
      </c>
      <c r="G67" s="193" t="n">
        <f aca="false">$C$44/$E$16</f>
        <v>-1071560</v>
      </c>
      <c r="H67" s="193" t="n">
        <f aca="false">$C$44/$E$16</f>
        <v>-1071560</v>
      </c>
      <c r="I67" s="193" t="n">
        <f aca="false">$C$44/$E$16</f>
        <v>-1071560</v>
      </c>
      <c r="J67" s="193" t="n">
        <f aca="false">$C$44/$E$16</f>
        <v>-1071560</v>
      </c>
      <c r="K67" s="193" t="n">
        <f aca="false">$C$44/$E$16</f>
        <v>-1071560</v>
      </c>
      <c r="L67" s="193" t="n">
        <f aca="false">$C$44/$E$16</f>
        <v>-1071560</v>
      </c>
      <c r="M67" s="193" t="n">
        <f aca="false">$C$44/$E$16</f>
        <v>-1071560</v>
      </c>
      <c r="N67" s="193" t="n">
        <f aca="false">$C$44/$E$16</f>
        <v>-1071560</v>
      </c>
      <c r="O67" s="193" t="n">
        <f aca="false">$C$44/$E$16</f>
        <v>-1071560</v>
      </c>
      <c r="P67" s="193" t="n">
        <f aca="false">$C$44/$E$16</f>
        <v>-1071560</v>
      </c>
      <c r="Q67" s="193" t="n">
        <f aca="false">$C$44/$E$16</f>
        <v>-1071560</v>
      </c>
      <c r="R67" s="193" t="n">
        <f aca="false">$C$44/$E$16</f>
        <v>-1071560</v>
      </c>
      <c r="S67" s="193" t="n">
        <f aca="false">$C$44/$E$16</f>
        <v>-1071560</v>
      </c>
      <c r="T67" s="193" t="n">
        <f aca="false">$C$44/$E$16</f>
        <v>-1071560</v>
      </c>
      <c r="U67" s="193" t="n">
        <f aca="false">$C$44/$E$16</f>
        <v>-1071560</v>
      </c>
      <c r="V67" s="193" t="n">
        <f aca="false">$C$44/$E$16</f>
        <v>-1071560</v>
      </c>
      <c r="W67" s="193" t="n">
        <f aca="false">$C$44/$E$16</f>
        <v>-1071560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-438825.2512</v>
      </c>
      <c r="E70" s="171" t="n">
        <f aca="false">-E109*$D25</f>
        <v>-409570.234453334</v>
      </c>
      <c r="F70" s="171" t="n">
        <f aca="false">-F109*$D25</f>
        <v>-380315.217706667</v>
      </c>
      <c r="G70" s="171" t="n">
        <f aca="false">-G109*$D25</f>
        <v>-351060.20096</v>
      </c>
      <c r="H70" s="171" t="n">
        <f aca="false">-H109*$D25</f>
        <v>-321805.184213334</v>
      </c>
      <c r="I70" s="171" t="n">
        <f aca="false">-I109*$D25</f>
        <v>-292550.167466667</v>
      </c>
      <c r="J70" s="171" t="n">
        <f aca="false">-J109*$D25</f>
        <v>-263295.15072</v>
      </c>
      <c r="K70" s="171" t="n">
        <f aca="false">-K109*$D25</f>
        <v>-234040.133973334</v>
      </c>
      <c r="L70" s="171" t="n">
        <f aca="false">-L109*$D25</f>
        <v>-204785.117226667</v>
      </c>
      <c r="M70" s="171" t="n">
        <f aca="false">-M109*$D25</f>
        <v>-175530.10048</v>
      </c>
      <c r="N70" s="171" t="n">
        <f aca="false">-N109*$D25</f>
        <v>-146275.083733334</v>
      </c>
      <c r="O70" s="171" t="n">
        <f aca="false">-O109*$D25</f>
        <v>-117020.066986667</v>
      </c>
      <c r="P70" s="171" t="n">
        <f aca="false">-P109*$D25</f>
        <v>-87765.0502400004</v>
      </c>
      <c r="Q70" s="171" t="n">
        <f aca="false">-Q109*$D25</f>
        <v>-58510.0334933337</v>
      </c>
      <c r="R70" s="171" t="n">
        <f aca="false">-R109*$D25</f>
        <v>-29255.016746667</v>
      </c>
      <c r="S70" s="171" t="n">
        <f aca="false">-S109*$D25</f>
        <v>-3.81395220756531E-010</v>
      </c>
      <c r="T70" s="171" t="n">
        <f aca="false">-T109*$D25</f>
        <v>-3.81395220756531E-010</v>
      </c>
      <c r="U70" s="171" t="n">
        <f aca="false">-U109*$D25</f>
        <v>-3.81395220756531E-010</v>
      </c>
      <c r="V70" s="171" t="n">
        <f aca="false">-V109*$D25</f>
        <v>-3.81395220756531E-010</v>
      </c>
      <c r="W70" s="171" t="n">
        <f aca="false">-W109*$D25</f>
        <v>-3.81395220756531E-010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-43173.9</v>
      </c>
      <c r="E72" s="171" t="n">
        <f aca="false">E49</f>
        <v>-43173.9</v>
      </c>
      <c r="F72" s="171" t="n">
        <f aca="false">F49</f>
        <v>-43173.9</v>
      </c>
      <c r="G72" s="171" t="n">
        <f aca="false">G49</f>
        <v>-43173.9</v>
      </c>
      <c r="H72" s="171" t="n">
        <f aca="false">H49</f>
        <v>-43173.9</v>
      </c>
      <c r="I72" s="171" t="n">
        <f aca="false">I49</f>
        <v>-43173.9</v>
      </c>
      <c r="J72" s="171" t="n">
        <f aca="false">J49</f>
        <v>-43173.9</v>
      </c>
      <c r="K72" s="171" t="n">
        <f aca="false">K49</f>
        <v>-43173.9</v>
      </c>
      <c r="L72" s="171" t="n">
        <f aca="false">L49</f>
        <v>-43173.9</v>
      </c>
      <c r="M72" s="171" t="n">
        <f aca="false">M49</f>
        <v>-43173.9</v>
      </c>
      <c r="N72" s="171" t="n">
        <f aca="false">N49</f>
        <v>-43173.9</v>
      </c>
      <c r="O72" s="171" t="n">
        <f aca="false">O49</f>
        <v>-43173.9</v>
      </c>
      <c r="P72" s="171" t="n">
        <f aca="false">P49</f>
        <v>-43173.9</v>
      </c>
      <c r="Q72" s="171" t="n">
        <f aca="false">Q49</f>
        <v>-43173.9</v>
      </c>
      <c r="R72" s="171" t="n">
        <f aca="false">R49</f>
        <v>-43173.9</v>
      </c>
      <c r="S72" s="171" t="n">
        <f aca="false">S49</f>
        <v>-43173.9</v>
      </c>
      <c r="T72" s="171" t="n">
        <f aca="false">T49</f>
        <v>-43173.9</v>
      </c>
      <c r="U72" s="171" t="n">
        <f aca="false">U49</f>
        <v>-43173.9</v>
      </c>
      <c r="V72" s="171" t="n">
        <f aca="false">V49</f>
        <v>-43173.9</v>
      </c>
      <c r="W72" s="171" t="n">
        <f aca="false">W49</f>
        <v>-43173.9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240290.460895999</v>
      </c>
      <c r="E76" s="176" t="n">
        <f aca="false">SUM(E64:E75)</f>
        <v>-28784.4096789339</v>
      </c>
      <c r="F76" s="176" t="n">
        <f aca="false">SUM(F64:F75)</f>
        <v>-7658.28025386702</v>
      </c>
      <c r="G76" s="176" t="n">
        <f aca="false">SUM(G64:G75)</f>
        <v>13467.8491711996</v>
      </c>
      <c r="H76" s="176" t="n">
        <f aca="false">SUM(H64:H75)</f>
        <v>34593.978596266</v>
      </c>
      <c r="I76" s="176" t="n">
        <f aca="false">SUM(I64:I75)</f>
        <v>55720.1080213327</v>
      </c>
      <c r="J76" s="176" t="n">
        <f aca="false">SUM(J64:J75)</f>
        <v>76846.2374463996</v>
      </c>
      <c r="K76" s="176" t="n">
        <f aca="false">SUM(K64:K75)</f>
        <v>97972.366871466</v>
      </c>
      <c r="L76" s="176" t="n">
        <f aca="false">SUM(L64:L75)</f>
        <v>119098.496296533</v>
      </c>
      <c r="M76" s="176" t="n">
        <f aca="false">SUM(M64:M75)</f>
        <v>140224.625721599</v>
      </c>
      <c r="N76" s="176" t="n">
        <f aca="false">SUM(N64:N75)</f>
        <v>204960.755146666</v>
      </c>
      <c r="O76" s="176" t="n">
        <f aca="false">SUM(O64:O75)</f>
        <v>226086.884571733</v>
      </c>
      <c r="P76" s="176" t="n">
        <f aca="false">SUM(P64:P75)</f>
        <v>247213.013996799</v>
      </c>
      <c r="Q76" s="176" t="n">
        <f aca="false">SUM(Q64:Q75)</f>
        <v>268339.143421866</v>
      </c>
      <c r="R76" s="176" t="n">
        <f aca="false">SUM(R64:R75)</f>
        <v>289465.272846933</v>
      </c>
      <c r="S76" s="176" t="n">
        <f aca="false">SUM(S64:S75)</f>
        <v>310591.402271999</v>
      </c>
      <c r="T76" s="176" t="n">
        <f aca="false">SUM(T64:T75)</f>
        <v>302462.514950399</v>
      </c>
      <c r="U76" s="176" t="n">
        <f aca="false">SUM(U64:U75)</f>
        <v>294333.627628799</v>
      </c>
      <c r="V76" s="176" t="n">
        <f aca="false">SUM(V64:V75)</f>
        <v>286204.740307199</v>
      </c>
      <c r="W76" s="176" t="n">
        <f aca="false">SUM(W64:W75)</f>
        <v>278075.852985599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-48058.0921791999</v>
      </c>
      <c r="E77" s="171" t="n">
        <f aca="false">-E76*0.2</f>
        <v>5756.88193578679</v>
      </c>
      <c r="F77" s="171" t="n">
        <f aca="false">-F76*0.2</f>
        <v>1531.6560507734</v>
      </c>
      <c r="G77" s="171" t="n">
        <f aca="false">-G76*0.2</f>
        <v>-2693.56983423993</v>
      </c>
      <c r="H77" s="171" t="n">
        <f aca="false">-H76*0.2</f>
        <v>-6918.79571925321</v>
      </c>
      <c r="I77" s="171" t="n">
        <f aca="false">-I76*0.2</f>
        <v>-11144.0216042665</v>
      </c>
      <c r="J77" s="171" t="n">
        <f aca="false">-J76*0.2</f>
        <v>-15369.2474892799</v>
      </c>
      <c r="K77" s="171" t="n">
        <f aca="false">-K76*0.2</f>
        <v>-19594.4733742932</v>
      </c>
      <c r="L77" s="171" t="n">
        <f aca="false">-L76*0.2</f>
        <v>-23819.6992593065</v>
      </c>
      <c r="M77" s="171" t="n">
        <f aca="false">-M76*0.2</f>
        <v>-28044.9251443199</v>
      </c>
      <c r="N77" s="171" t="n">
        <f aca="false">-N76*0.2</f>
        <v>-40992.1510293332</v>
      </c>
      <c r="O77" s="171" t="n">
        <f aca="false">-O76*0.2</f>
        <v>-45217.3769143465</v>
      </c>
      <c r="P77" s="171" t="n">
        <f aca="false">-P76*0.2</f>
        <v>-49442.6027993599</v>
      </c>
      <c r="Q77" s="171" t="n">
        <f aca="false">-Q76*0.2</f>
        <v>-53667.8286843732</v>
      </c>
      <c r="R77" s="171" t="n">
        <f aca="false">-R76*0.2</f>
        <v>-57893.0545693865</v>
      </c>
      <c r="S77" s="171" t="n">
        <f aca="false">-S76*0.2</f>
        <v>-62118.2804543999</v>
      </c>
      <c r="T77" s="171" t="n">
        <f aca="false">-T76*0.2</f>
        <v>-60492.5029900798</v>
      </c>
      <c r="U77" s="171" t="n">
        <f aca="false">-U76*0.2</f>
        <v>-58866.7255257599</v>
      </c>
      <c r="V77" s="171" t="n">
        <f aca="false">-V76*0.2</f>
        <v>-57240.9480614398</v>
      </c>
      <c r="W77" s="171" t="n">
        <f aca="false">-W76*0.2</f>
        <v>-55615.1705971199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192232.3687168</v>
      </c>
      <c r="E78" s="171" t="n">
        <f aca="false">SUM(E76:E77)</f>
        <v>-23027.5277431472</v>
      </c>
      <c r="F78" s="171" t="n">
        <f aca="false">SUM(F76:F77)</f>
        <v>-6126.62420309361</v>
      </c>
      <c r="G78" s="171" t="n">
        <f aca="false">SUM(G76:G77)</f>
        <v>10774.2793369597</v>
      </c>
      <c r="H78" s="171" t="n">
        <f aca="false">SUM(H76:H77)</f>
        <v>27675.1828770128</v>
      </c>
      <c r="I78" s="171" t="n">
        <f aca="false">SUM(I76:I77)</f>
        <v>44576.0864170661</v>
      </c>
      <c r="J78" s="171" t="n">
        <f aca="false">SUM(J76:J77)</f>
        <v>61476.9899571196</v>
      </c>
      <c r="K78" s="171" t="n">
        <f aca="false">SUM(K76:K77)</f>
        <v>78377.8934971728</v>
      </c>
      <c r="L78" s="171" t="n">
        <f aca="false">SUM(L76:L77)</f>
        <v>95278.7970372261</v>
      </c>
      <c r="M78" s="171" t="n">
        <f aca="false">SUM(M76:M77)</f>
        <v>112179.700577279</v>
      </c>
      <c r="N78" s="171" t="n">
        <f aca="false">SUM(N76:N77)</f>
        <v>163968.604117333</v>
      </c>
      <c r="O78" s="171" t="n">
        <f aca="false">SUM(O76:O77)</f>
        <v>180869.507657386</v>
      </c>
      <c r="P78" s="171" t="n">
        <f aca="false">SUM(P76:P77)</f>
        <v>197770.411197439</v>
      </c>
      <c r="Q78" s="171" t="n">
        <f aca="false">SUM(Q76:Q77)</f>
        <v>214671.314737493</v>
      </c>
      <c r="R78" s="171" t="n">
        <f aca="false">SUM(R76:R77)</f>
        <v>231572.218277546</v>
      </c>
      <c r="S78" s="171" t="n">
        <f aca="false">SUM(S76:S77)</f>
        <v>248473.121817599</v>
      </c>
      <c r="T78" s="171" t="n">
        <f aca="false">SUM(T76:T77)</f>
        <v>241970.011960319</v>
      </c>
      <c r="U78" s="171" t="n">
        <f aca="false">SUM(U76:U77)</f>
        <v>235466.902103039</v>
      </c>
      <c r="V78" s="171" t="n">
        <f aca="false">SUM(V76:V77)</f>
        <v>228963.792245759</v>
      </c>
      <c r="W78" s="171" t="n">
        <f aca="false">SUM(W76:W77)</f>
        <v>222460.682388479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192232.3687168</v>
      </c>
      <c r="E85" s="208" t="n">
        <f aca="false">E78</f>
        <v>-23027.5277431472</v>
      </c>
      <c r="F85" s="208" t="n">
        <f aca="false">F78</f>
        <v>-6126.62420309361</v>
      </c>
      <c r="G85" s="208" t="n">
        <f aca="false">G78</f>
        <v>10774.2793369597</v>
      </c>
      <c r="H85" s="208" t="n">
        <f aca="false">H78</f>
        <v>27675.1828770128</v>
      </c>
      <c r="I85" s="208" t="n">
        <f aca="false">I78</f>
        <v>44576.0864170661</v>
      </c>
      <c r="J85" s="208" t="n">
        <f aca="false">J78</f>
        <v>61476.9899571196</v>
      </c>
      <c r="K85" s="208" t="n">
        <f aca="false">K78</f>
        <v>78377.8934971728</v>
      </c>
      <c r="L85" s="208" t="n">
        <f aca="false">L78</f>
        <v>95278.7970372261</v>
      </c>
      <c r="M85" s="208" t="n">
        <f aca="false">M78</f>
        <v>112179.700577279</v>
      </c>
      <c r="N85" s="208" t="n">
        <f aca="false">N78</f>
        <v>163968.604117333</v>
      </c>
      <c r="O85" s="208" t="n">
        <f aca="false">O78</f>
        <v>180869.507657386</v>
      </c>
      <c r="P85" s="208" t="n">
        <f aca="false">P78</f>
        <v>197770.411197439</v>
      </c>
      <c r="Q85" s="208" t="n">
        <f aca="false">Q78</f>
        <v>214671.314737493</v>
      </c>
      <c r="R85" s="208" t="n">
        <f aca="false">R78</f>
        <v>231572.218277546</v>
      </c>
      <c r="S85" s="208" t="n">
        <f aca="false">S78</f>
        <v>248473.121817599</v>
      </c>
      <c r="T85" s="208" t="n">
        <f aca="false">T78</f>
        <v>241970.011960319</v>
      </c>
      <c r="U85" s="208" t="n">
        <f aca="false">U78</f>
        <v>235466.902103039</v>
      </c>
      <c r="V85" s="208" t="n">
        <f aca="false">V78</f>
        <v>228963.792245759</v>
      </c>
      <c r="W85" s="208" t="n">
        <f aca="false">W78</f>
        <v>222460.682388479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1071560</v>
      </c>
      <c r="E86" s="209" t="n">
        <f aca="false">-E67</f>
        <v>1071560</v>
      </c>
      <c r="F86" s="209" t="n">
        <f aca="false">-F67</f>
        <v>1071560</v>
      </c>
      <c r="G86" s="209" t="n">
        <f aca="false">-G67</f>
        <v>1071560</v>
      </c>
      <c r="H86" s="209" t="n">
        <f aca="false">-H67</f>
        <v>1071560</v>
      </c>
      <c r="I86" s="209" t="n">
        <f aca="false">-I67</f>
        <v>1071560</v>
      </c>
      <c r="J86" s="209" t="n">
        <f aca="false">-J67</f>
        <v>1071560</v>
      </c>
      <c r="K86" s="209" t="n">
        <f aca="false">-K67</f>
        <v>1071560</v>
      </c>
      <c r="L86" s="209" t="n">
        <f aca="false">-L67</f>
        <v>1071560</v>
      </c>
      <c r="M86" s="209" t="n">
        <f aca="false">-M67</f>
        <v>1071560</v>
      </c>
      <c r="N86" s="209" t="n">
        <f aca="false">-N67</f>
        <v>1071560</v>
      </c>
      <c r="O86" s="209" t="n">
        <f aca="false">-O67</f>
        <v>1071560</v>
      </c>
      <c r="P86" s="209" t="n">
        <f aca="false">-P67</f>
        <v>1071560</v>
      </c>
      <c r="Q86" s="209" t="n">
        <f aca="false">-Q67</f>
        <v>1071560</v>
      </c>
      <c r="R86" s="209" t="n">
        <f aca="false">-R67</f>
        <v>1071560</v>
      </c>
      <c r="S86" s="209" t="n">
        <f aca="false">-S67</f>
        <v>1071560</v>
      </c>
      <c r="T86" s="209" t="n">
        <f aca="false">-T67</f>
        <v>1071560</v>
      </c>
      <c r="U86" s="209" t="n">
        <f aca="false">-U67</f>
        <v>1071560</v>
      </c>
      <c r="V86" s="209" t="n">
        <f aca="false">-V67</f>
        <v>1071560</v>
      </c>
      <c r="W86" s="209" t="n">
        <f aca="false">-W67</f>
        <v>1071560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1263792.3687168</v>
      </c>
      <c r="E87" s="211" t="n">
        <f aca="false">SUM(E85:E86)</f>
        <v>1048532.47225685</v>
      </c>
      <c r="F87" s="211" t="n">
        <f aca="false">SUM(F85:F86)</f>
        <v>1065433.37579691</v>
      </c>
      <c r="G87" s="211" t="n">
        <f aca="false">SUM(G85:G86)</f>
        <v>1082334.27933696</v>
      </c>
      <c r="H87" s="211" t="n">
        <f aca="false">SUM(H85:H86)</f>
        <v>1099235.18287701</v>
      </c>
      <c r="I87" s="211" t="n">
        <f aca="false">SUM(I85:I86)</f>
        <v>1116136.08641707</v>
      </c>
      <c r="J87" s="211" t="n">
        <f aca="false">SUM(J85:J86)</f>
        <v>1133036.98995712</v>
      </c>
      <c r="K87" s="211" t="n">
        <f aca="false">SUM(K85:K86)</f>
        <v>1149937.89349717</v>
      </c>
      <c r="L87" s="211" t="n">
        <f aca="false">SUM(L85:L86)</f>
        <v>1166838.79703723</v>
      </c>
      <c r="M87" s="211" t="n">
        <f aca="false">SUM(M85:M86)</f>
        <v>1183739.70057728</v>
      </c>
      <c r="N87" s="211" t="n">
        <f aca="false">SUM(N85:N86)</f>
        <v>1235528.60411733</v>
      </c>
      <c r="O87" s="211" t="n">
        <f aca="false">SUM(O85:O86)</f>
        <v>1252429.50765739</v>
      </c>
      <c r="P87" s="211" t="n">
        <f aca="false">SUM(P85:P86)</f>
        <v>1269330.41119744</v>
      </c>
      <c r="Q87" s="211" t="n">
        <f aca="false">SUM(Q85:Q86)</f>
        <v>1286231.31473749</v>
      </c>
      <c r="R87" s="211" t="n">
        <f aca="false">SUM(R85:R86)</f>
        <v>1303132.21827755</v>
      </c>
      <c r="S87" s="211" t="n">
        <f aca="false">SUM(S85:S86)</f>
        <v>1320033.1218176</v>
      </c>
      <c r="T87" s="211" t="n">
        <f aca="false">SUM(T85:T86)</f>
        <v>1313530.01196032</v>
      </c>
      <c r="U87" s="211" t="n">
        <f aca="false">SUM(U85:U86)</f>
        <v>1307026.90210304</v>
      </c>
      <c r="V87" s="211" t="n">
        <f aca="false">SUM(V85:V86)</f>
        <v>1300523.79224576</v>
      </c>
      <c r="W87" s="211" t="n">
        <f aca="false">SUM(W85:W86)</f>
        <v>1294020.68238848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-21431200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17144960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-1142997.33333333</v>
      </c>
      <c r="F93" s="217" t="n">
        <v>-1142997.33333333</v>
      </c>
      <c r="G93" s="217" t="n">
        <v>-1142997.33333333</v>
      </c>
      <c r="H93" s="217" t="n">
        <v>-1142997.33333333</v>
      </c>
      <c r="I93" s="217" t="n">
        <v>-1142997.33333333</v>
      </c>
      <c r="J93" s="217" t="n">
        <v>-1142997.33333333</v>
      </c>
      <c r="K93" s="217" t="n">
        <v>-1142997.33333333</v>
      </c>
      <c r="L93" s="217" t="n">
        <v>-1142997.33333333</v>
      </c>
      <c r="M93" s="217" t="n">
        <v>-1142997.33333333</v>
      </c>
      <c r="N93" s="217" t="n">
        <v>-1142997.33333333</v>
      </c>
      <c r="O93" s="217" t="n">
        <v>-1142997.33333333</v>
      </c>
      <c r="P93" s="217" t="n">
        <v>-1142997.33333333</v>
      </c>
      <c r="Q93" s="217" t="n">
        <v>-1142997.33333333</v>
      </c>
      <c r="R93" s="217" t="n">
        <v>-1142997.33333333</v>
      </c>
      <c r="S93" s="217" t="n">
        <v>-1142997.33333333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4286240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-173009.13184512</v>
      </c>
      <c r="F95" s="218" t="n">
        <f aca="false">-E85*$D$33</f>
        <v>20724.7749688324</v>
      </c>
      <c r="G95" s="218" t="n">
        <f aca="false">-F85*$D$33</f>
        <v>5513.96178278425</v>
      </c>
      <c r="H95" s="218" t="n">
        <f aca="false">-G85*$D$33</f>
        <v>-9696.85140326373</v>
      </c>
      <c r="I95" s="218" t="n">
        <f aca="false">-H85*$D$33</f>
        <v>-24907.6645893116</v>
      </c>
      <c r="J95" s="218" t="n">
        <f aca="false">-I85*$D$33</f>
        <v>-40118.4777753595</v>
      </c>
      <c r="K95" s="218" t="n">
        <f aca="false">-J85*$D$33</f>
        <v>-55329.2909614077</v>
      </c>
      <c r="L95" s="218" t="n">
        <f aca="false">-K85*$D$33</f>
        <v>-70540.1041474555</v>
      </c>
      <c r="M95" s="218" t="n">
        <f aca="false">-L85*$D$33</f>
        <v>-85750.9173335035</v>
      </c>
      <c r="N95" s="218" t="n">
        <f aca="false">-M85*$D$33</f>
        <v>-100961.730519551</v>
      </c>
      <c r="O95" s="218" t="n">
        <f aca="false">-N85*$D$33</f>
        <v>-147571.743705599</v>
      </c>
      <c r="P95" s="218" t="n">
        <f aca="false">-O85*$D$33</f>
        <v>-162782.556891648</v>
      </c>
      <c r="Q95" s="218" t="n">
        <f aca="false">-P85*$D$33</f>
        <v>-177993.370077696</v>
      </c>
      <c r="R95" s="218" t="n">
        <f aca="false">-Q85*$D$33</f>
        <v>-193204.183263743</v>
      </c>
      <c r="S95" s="218" t="n">
        <f aca="false">-R85*$D$33</f>
        <v>-208414.996449791</v>
      </c>
      <c r="T95" s="218" t="n">
        <f aca="false">-S85*$D$33</f>
        <v>-223625.809635839</v>
      </c>
      <c r="U95" s="218" t="n">
        <f aca="false">-T85*$D$33</f>
        <v>-217773.010764287</v>
      </c>
      <c r="V95" s="218" t="n">
        <f aca="false">-U85*$D$33</f>
        <v>-211920.211892735</v>
      </c>
      <c r="W95" s="218" t="n">
        <f aca="false">-V85*$D$33</f>
        <v>-206067.413021183</v>
      </c>
      <c r="X95" s="218" t="n">
        <f aca="false">-W85*$D$33</f>
        <v>-200214.614149631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-1071560</v>
      </c>
      <c r="U96" s="221" t="n">
        <v>-1071560</v>
      </c>
      <c r="V96" s="221" t="n">
        <v>-1071560</v>
      </c>
      <c r="W96" s="221" t="n">
        <v>-1071560</v>
      </c>
      <c r="X96" s="222" t="n">
        <f aca="false">-W101-X95</f>
        <v>-275960.371297288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1263792.3687168</v>
      </c>
      <c r="E99" s="208" t="n">
        <f aca="false">SUM(E87:E96)</f>
        <v>-267473.992921599</v>
      </c>
      <c r="F99" s="208" t="n">
        <f aca="false">SUM(F87:F96)</f>
        <v>-56839.1825675939</v>
      </c>
      <c r="G99" s="208" t="n">
        <f aca="false">SUM(G87:G96)</f>
        <v>-55149.092213589</v>
      </c>
      <c r="H99" s="208" t="n">
        <f aca="false">SUM(H87:H96)</f>
        <v>-53459.0018595838</v>
      </c>
      <c r="I99" s="208" t="n">
        <f aca="false">SUM(I87:I96)</f>
        <v>-51768.9115055782</v>
      </c>
      <c r="J99" s="208" t="n">
        <f aca="false">SUM(J87:J96)</f>
        <v>-50078.8211515728</v>
      </c>
      <c r="K99" s="208" t="n">
        <f aca="false">SUM(K87:K96)</f>
        <v>-48388.7307975677</v>
      </c>
      <c r="L99" s="208" t="n">
        <f aca="false">SUM(L87:L96)</f>
        <v>-46698.6404435621</v>
      </c>
      <c r="M99" s="208" t="n">
        <f aca="false">SUM(M87:M96)</f>
        <v>-45008.5500895569</v>
      </c>
      <c r="N99" s="208" t="n">
        <f aca="false">SUM(N87:N96)</f>
        <v>-8430.45973555153</v>
      </c>
      <c r="O99" s="208" t="n">
        <f aca="false">SUM(O87:O96)</f>
        <v>-38139.5693815461</v>
      </c>
      <c r="P99" s="208" t="n">
        <f aca="false">SUM(P87:P96)</f>
        <v>-36449.4790275407</v>
      </c>
      <c r="Q99" s="208" t="n">
        <f aca="false">SUM(Q87:Q96)</f>
        <v>-34759.3886735356</v>
      </c>
      <c r="R99" s="208" t="n">
        <f aca="false">SUM(R87:R96)</f>
        <v>-33069.2983195301</v>
      </c>
      <c r="S99" s="208" t="n">
        <f aca="false">SUM(S87:S96)</f>
        <v>-31379.207965525</v>
      </c>
      <c r="T99" s="208" t="n">
        <f aca="false">SUM(T87:T96)</f>
        <v>18344.2023244801</v>
      </c>
      <c r="U99" s="208" t="n">
        <f aca="false">SUM(U87:U96)</f>
        <v>17693.8913387524</v>
      </c>
      <c r="V99" s="208" t="n">
        <f aca="false">SUM(V87:V96)</f>
        <v>17043.580353024</v>
      </c>
      <c r="W99" s="208" t="n">
        <f aca="false">SUM(W87:W96)</f>
        <v>16393.2693672963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1263792.3687168</v>
      </c>
      <c r="F100" s="208" t="n">
        <f aca="false">E101</f>
        <v>996318.3757952</v>
      </c>
      <c r="G100" s="208" t="n">
        <f aca="false">F101</f>
        <v>939479.193227606</v>
      </c>
      <c r="H100" s="208" t="n">
        <f aca="false">G101</f>
        <v>884330.101014017</v>
      </c>
      <c r="I100" s="208" t="n">
        <f aca="false">H101</f>
        <v>830871.099154434</v>
      </c>
      <c r="J100" s="208" t="n">
        <f aca="false">I101</f>
        <v>779102.187648855</v>
      </c>
      <c r="K100" s="208" t="n">
        <f aca="false">J101</f>
        <v>729023.366497283</v>
      </c>
      <c r="L100" s="208" t="n">
        <f aca="false">K101</f>
        <v>680634.635699715</v>
      </c>
      <c r="M100" s="208" t="n">
        <f aca="false">L101</f>
        <v>633935.995256153</v>
      </c>
      <c r="N100" s="208" t="n">
        <f aca="false">M101</f>
        <v>588927.445166596</v>
      </c>
      <c r="O100" s="208" t="n">
        <f aca="false">N101</f>
        <v>580496.985431044</v>
      </c>
      <c r="P100" s="208" t="n">
        <f aca="false">O101</f>
        <v>542357.416049498</v>
      </c>
      <c r="Q100" s="208" t="n">
        <f aca="false">P101</f>
        <v>505907.937021957</v>
      </c>
      <c r="R100" s="208" t="n">
        <f aca="false">Q101</f>
        <v>471148.548348422</v>
      </c>
      <c r="S100" s="208" t="n">
        <f aca="false">R101</f>
        <v>438079.250028892</v>
      </c>
      <c r="T100" s="208" t="n">
        <f aca="false">S101</f>
        <v>406700.042063367</v>
      </c>
      <c r="U100" s="208" t="n">
        <f aca="false">T101</f>
        <v>425044.244387847</v>
      </c>
      <c r="V100" s="208" t="n">
        <f aca="false">U101</f>
        <v>442738.135726599</v>
      </c>
      <c r="W100" s="208" t="n">
        <f aca="false">V101</f>
        <v>459781.716079623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1263792.3687168</v>
      </c>
      <c r="E101" s="208" t="n">
        <f aca="false">E99+E100</f>
        <v>996318.3757952</v>
      </c>
      <c r="F101" s="208" t="n">
        <f aca="false">F99+F100</f>
        <v>939479.193227606</v>
      </c>
      <c r="G101" s="208" t="n">
        <f aca="false">G99+G100</f>
        <v>884330.101014017</v>
      </c>
      <c r="H101" s="208" t="n">
        <f aca="false">H99+H100</f>
        <v>830871.099154434</v>
      </c>
      <c r="I101" s="208" t="n">
        <f aca="false">I99+I100</f>
        <v>779102.187648855</v>
      </c>
      <c r="J101" s="208" t="n">
        <f aca="false">J99+J100</f>
        <v>729023.366497283</v>
      </c>
      <c r="K101" s="208" t="n">
        <f aca="false">K99+K100</f>
        <v>680634.635699715</v>
      </c>
      <c r="L101" s="208" t="n">
        <f aca="false">L99+L100</f>
        <v>633935.995256153</v>
      </c>
      <c r="M101" s="208" t="n">
        <f aca="false">M99+M100</f>
        <v>588927.445166596</v>
      </c>
      <c r="N101" s="208" t="n">
        <f aca="false">N99+N100</f>
        <v>580496.985431044</v>
      </c>
      <c r="O101" s="208" t="n">
        <f aca="false">O99+O100</f>
        <v>542357.416049498</v>
      </c>
      <c r="P101" s="208" t="n">
        <f aca="false">P99+P100</f>
        <v>505907.937021957</v>
      </c>
      <c r="Q101" s="208" t="n">
        <f aca="false">Q99+Q100</f>
        <v>471148.548348422</v>
      </c>
      <c r="R101" s="208" t="n">
        <f aca="false">R99+R100</f>
        <v>438079.250028892</v>
      </c>
      <c r="S101" s="208" t="n">
        <f aca="false">S99+S100</f>
        <v>406700.042063367</v>
      </c>
      <c r="T101" s="208" t="n">
        <f aca="false">T99+T100</f>
        <v>425044.244387847</v>
      </c>
      <c r="U101" s="208" t="n">
        <f aca="false">U99+U100</f>
        <v>442738.135726599</v>
      </c>
      <c r="V101" s="208" t="n">
        <f aca="false">V99+V100</f>
        <v>459781.716079623</v>
      </c>
      <c r="W101" s="208" t="n">
        <f aca="false">W99+W100</f>
        <v>476174.985446919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-4286240</v>
      </c>
      <c r="E104" s="211" t="n">
        <f aca="false">-E95-E96</f>
        <v>173009.13184512</v>
      </c>
      <c r="F104" s="211" t="n">
        <f aca="false">-F95-F96</f>
        <v>-20724.7749688324</v>
      </c>
      <c r="G104" s="211" t="n">
        <f aca="false">-G95-G96</f>
        <v>-5513.96178278425</v>
      </c>
      <c r="H104" s="211" t="n">
        <f aca="false">-H95-H96</f>
        <v>9696.85140326373</v>
      </c>
      <c r="I104" s="211" t="n">
        <f aca="false">-I95-I96</f>
        <v>24907.6645893116</v>
      </c>
      <c r="J104" s="211" t="n">
        <f aca="false">-J95-J96</f>
        <v>40118.4777753595</v>
      </c>
      <c r="K104" s="211" t="n">
        <f aca="false">-K95-K96</f>
        <v>55329.2909614077</v>
      </c>
      <c r="L104" s="211" t="n">
        <f aca="false">-L95-L96</f>
        <v>70540.1041474555</v>
      </c>
      <c r="M104" s="211" t="n">
        <f aca="false">-M95-M96</f>
        <v>85750.9173335035</v>
      </c>
      <c r="N104" s="211" t="n">
        <f aca="false">-N95-N96</f>
        <v>100961.730519551</v>
      </c>
      <c r="O104" s="211" t="n">
        <f aca="false">-O95-O96</f>
        <v>147571.743705599</v>
      </c>
      <c r="P104" s="211" t="n">
        <f aca="false">-P95-P96</f>
        <v>162782.556891648</v>
      </c>
      <c r="Q104" s="211" t="n">
        <f aca="false">-Q95-Q96</f>
        <v>177993.370077696</v>
      </c>
      <c r="R104" s="211" t="n">
        <f aca="false">-R95-R96</f>
        <v>193204.183263743</v>
      </c>
      <c r="S104" s="211" t="n">
        <f aca="false">-S95-S96</f>
        <v>208414.996449791</v>
      </c>
      <c r="T104" s="211" t="n">
        <f aca="false">-T95-T96</f>
        <v>1295185.80963584</v>
      </c>
      <c r="U104" s="211" t="n">
        <f aca="false">-U95-U96</f>
        <v>1289333.01076429</v>
      </c>
      <c r="V104" s="211" t="n">
        <f aca="false">-V95-V96</f>
        <v>1283480.21189274</v>
      </c>
      <c r="W104" s="211" t="n">
        <f aca="false">-W95-W96</f>
        <v>1277627.41302118</v>
      </c>
      <c r="X104" s="211" t="n">
        <f aca="false">-X95-X96</f>
        <v>476174.985446919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0.0314929817274233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-4094007.6312832</v>
      </c>
      <c r="E106" s="211" t="n">
        <f aca="false">E85</f>
        <v>-23027.5277431472</v>
      </c>
      <c r="F106" s="211" t="n">
        <f aca="false">F85-F96</f>
        <v>-6126.62420309361</v>
      </c>
      <c r="G106" s="211" t="n">
        <f aca="false">G85-G96</f>
        <v>10774.2793369597</v>
      </c>
      <c r="H106" s="211" t="n">
        <f aca="false">H85-H96</f>
        <v>27675.1828770128</v>
      </c>
      <c r="I106" s="211" t="n">
        <f aca="false">I85-I96</f>
        <v>44576.0864170661</v>
      </c>
      <c r="J106" s="211" t="n">
        <f aca="false">J85-J96</f>
        <v>61476.9899571196</v>
      </c>
      <c r="K106" s="211" t="n">
        <f aca="false">K85-K96</f>
        <v>78377.8934971728</v>
      </c>
      <c r="L106" s="211" t="n">
        <f aca="false">L85-L96</f>
        <v>95278.7970372261</v>
      </c>
      <c r="M106" s="211" t="n">
        <f aca="false">M85-M96</f>
        <v>112179.700577279</v>
      </c>
      <c r="N106" s="211" t="n">
        <f aca="false">N85-N96</f>
        <v>163968.604117333</v>
      </c>
      <c r="O106" s="211" t="n">
        <f aca="false">O85-O96</f>
        <v>180869.507657386</v>
      </c>
      <c r="P106" s="211" t="n">
        <f aca="false">P85-P96</f>
        <v>197770.411197439</v>
      </c>
      <c r="Q106" s="211" t="n">
        <f aca="false">Q85-Q96</f>
        <v>214671.314737493</v>
      </c>
      <c r="R106" s="211" t="n">
        <f aca="false">R85-R96</f>
        <v>231572.218277546</v>
      </c>
      <c r="S106" s="211" t="n">
        <f aca="false">S85-S96</f>
        <v>248473.121817599</v>
      </c>
      <c r="T106" s="211" t="n">
        <f aca="false">T85-T96</f>
        <v>1313530.01196032</v>
      </c>
      <c r="U106" s="211" t="n">
        <f aca="false">U85-U96</f>
        <v>1307026.90210304</v>
      </c>
      <c r="V106" s="211" t="n">
        <f aca="false">V85-V96</f>
        <v>1300523.79224576</v>
      </c>
      <c r="W106" s="211" t="n">
        <f aca="false">W85-W96</f>
        <v>1294020.68238848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0.0329495024111617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17144960</v>
      </c>
      <c r="E109" s="208" t="n">
        <f aca="false">D109+E93</f>
        <v>16001962.6666667</v>
      </c>
      <c r="F109" s="208" t="n">
        <f aca="false">E109+F93</f>
        <v>14858965.3333333</v>
      </c>
      <c r="G109" s="208" t="n">
        <f aca="false">F109+G93</f>
        <v>13715968</v>
      </c>
      <c r="H109" s="208" t="n">
        <f aca="false">G109+H93</f>
        <v>12572970.6666667</v>
      </c>
      <c r="I109" s="208" t="n">
        <f aca="false">H109+I93</f>
        <v>11429973.3333333</v>
      </c>
      <c r="J109" s="208" t="n">
        <f aca="false">I109+J93</f>
        <v>10286976</v>
      </c>
      <c r="K109" s="208" t="n">
        <f aca="false">J109+K93</f>
        <v>9143978.66666668</v>
      </c>
      <c r="L109" s="208" t="n">
        <f aca="false">K109+L93</f>
        <v>8000981.33333335</v>
      </c>
      <c r="M109" s="208" t="n">
        <f aca="false">L109+M93</f>
        <v>6857984.00000001</v>
      </c>
      <c r="N109" s="208" t="n">
        <f aca="false">M109+N93</f>
        <v>5714986.66666668</v>
      </c>
      <c r="O109" s="208" t="n">
        <f aca="false">N109+O93</f>
        <v>4571989.33333335</v>
      </c>
      <c r="P109" s="208" t="n">
        <f aca="false">O109+P93</f>
        <v>3428992.00000001</v>
      </c>
      <c r="Q109" s="208" t="n">
        <f aca="false">P109+Q93</f>
        <v>2285994.66666668</v>
      </c>
      <c r="R109" s="208" t="n">
        <f aca="false">Q109+R93</f>
        <v>1142997.33333335</v>
      </c>
      <c r="S109" s="208" t="n">
        <f aca="false">R109+S93</f>
        <v>1.49011611938477E-008</v>
      </c>
      <c r="T109" s="208" t="n">
        <f aca="false">S109+T93</f>
        <v>1.49011611938477E-008</v>
      </c>
      <c r="U109" s="208" t="n">
        <f aca="false">T109+U93</f>
        <v>1.49011611938477E-008</v>
      </c>
      <c r="V109" s="208" t="n">
        <f aca="false">U109+V93</f>
        <v>1.49011611938477E-008</v>
      </c>
      <c r="W109" s="208" t="n">
        <f aca="false">V109+W93</f>
        <v>1.49011611938477E-008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150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151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152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153</v>
      </c>
    </row>
    <row r="8" customFormat="false" ht="22.5" hidden="false" customHeight="true" outlineLevel="0" collapsed="false">
      <c r="B8" s="14" t="s">
        <v>9</v>
      </c>
      <c r="E8" s="122"/>
      <c r="M8" s="0" t="s">
        <v>154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94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31000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-20185200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-40557.3</v>
      </c>
      <c r="E49" s="171" t="n">
        <v>-40557.3</v>
      </c>
      <c r="F49" s="171" t="n">
        <v>-40557.3</v>
      </c>
      <c r="G49" s="171" t="n">
        <v>-40557.3</v>
      </c>
      <c r="H49" s="171" t="n">
        <v>-40557.3</v>
      </c>
      <c r="I49" s="171" t="n">
        <v>-40557.3</v>
      </c>
      <c r="J49" s="171" t="n">
        <v>-40557.3</v>
      </c>
      <c r="K49" s="171" t="n">
        <v>-40557.3</v>
      </c>
      <c r="L49" s="171" t="n">
        <v>-40557.3</v>
      </c>
      <c r="M49" s="171" t="n">
        <v>-40557.3</v>
      </c>
      <c r="N49" s="171" t="n">
        <v>-40557.3</v>
      </c>
      <c r="O49" s="171" t="n">
        <v>-40557.3</v>
      </c>
      <c r="P49" s="171" t="n">
        <v>-40557.3</v>
      </c>
      <c r="Q49" s="171" t="n">
        <v>-40557.3</v>
      </c>
      <c r="R49" s="171" t="n">
        <v>-40557.3</v>
      </c>
      <c r="S49" s="171" t="n">
        <v>-40557.3</v>
      </c>
      <c r="T49" s="171" t="n">
        <v>-40557.3</v>
      </c>
      <c r="U49" s="171" t="n">
        <v>-40557.3</v>
      </c>
      <c r="V49" s="171" t="n">
        <v>-40557.3</v>
      </c>
      <c r="W49" s="171" t="n">
        <v>-40557.3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-148806.4624192</v>
      </c>
      <c r="E54" s="171" t="n">
        <f aca="false">-(E64+E67+E68+E71+E72+E73+E74)*0.2</f>
        <v>-89140.4849548799</v>
      </c>
      <c r="F54" s="171" t="n">
        <f aca="false">-(F64+F67+F68+F71+F72+F73+F74)*0.2</f>
        <v>-87514.70749056</v>
      </c>
      <c r="G54" s="171" t="n">
        <f aca="false">-(G64+G67+G68+G71+G72+G73+G74)*0.2</f>
        <v>-85888.93002624</v>
      </c>
      <c r="H54" s="171" t="n">
        <f aca="false">-(H64+H67+H68+H71+H72+H73+H74)*0.2</f>
        <v>-84263.1525619199</v>
      </c>
      <c r="I54" s="171" t="n">
        <f aca="false">-(I64+I67+I68+I71+I72+I73+I74)*0.2</f>
        <v>-82637.3750975999</v>
      </c>
      <c r="J54" s="171" t="n">
        <f aca="false">-(J64+J67+J68+J71+J72+J73+J74)*0.2</f>
        <v>-81011.59763328</v>
      </c>
      <c r="K54" s="171" t="n">
        <f aca="false">-(K64+K67+K68+K71+K72+K73+K74)*0.2</f>
        <v>-79385.8201689599</v>
      </c>
      <c r="L54" s="171" t="n">
        <f aca="false">-(L64+L67+L68+L71+L72+L73+L74)*0.2</f>
        <v>-77760.0427046399</v>
      </c>
      <c r="M54" s="171" t="n">
        <f aca="false">-(M64+M67+M68+M71+M72+M73+M74)*0.2</f>
        <v>-76134.2652403199</v>
      </c>
      <c r="N54" s="171" t="n">
        <f aca="false">-(N64+N67+N68+N71+N72+N73+N74)*0.2</f>
        <v>-83230.4877759999</v>
      </c>
      <c r="O54" s="171" t="n">
        <f aca="false">-(O64+O67+O68+O71+O72+O73+O74)*0.2</f>
        <v>-81604.7103116799</v>
      </c>
      <c r="P54" s="171" t="n">
        <f aca="false">-(P64+P67+P68+P71+P72+P73+P74)*0.2</f>
        <v>-79978.9328473599</v>
      </c>
      <c r="Q54" s="171" t="n">
        <f aca="false">-(Q64+Q67+Q68+Q71+Q72+Q73+Q74)*0.2</f>
        <v>-78353.1553830399</v>
      </c>
      <c r="R54" s="171" t="n">
        <f aca="false">-(R64+R67+R68+R71+R72+R73+R74)*0.2</f>
        <v>-76727.3779187199</v>
      </c>
      <c r="S54" s="171" t="n">
        <f aca="false">-(S64+S67+S68+S71+S72+S73+S74)*0.2</f>
        <v>-75101.6004543999</v>
      </c>
      <c r="T54" s="171" t="n">
        <f aca="false">-(T64+T67+T68+T71+T72+T73+T74)*0.2</f>
        <v>-73475.8229900799</v>
      </c>
      <c r="U54" s="171" t="n">
        <f aca="false">-(U64+U67+U68+U71+U72+U73+U74)*0.2</f>
        <v>-71850.0455257599</v>
      </c>
      <c r="V54" s="171" t="n">
        <f aca="false">-(V64+V67+V68+V71+V72+V73+V74)*0.2</f>
        <v>-70224.2680614399</v>
      </c>
      <c r="W54" s="171" t="n">
        <f aca="false">-(W64+W67+W68+W71+W72+W73+W74)*0.2</f>
        <v>-68598.49059712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-20185200</v>
      </c>
      <c r="D55" s="176" t="n">
        <f aca="false">SUM(D41:D54)</f>
        <v>1314284.8496768</v>
      </c>
      <c r="E55" s="176" t="n">
        <f aca="false">SUM(E41:E54)</f>
        <v>1365821.93981952</v>
      </c>
      <c r="F55" s="176" t="n">
        <f aca="false">SUM(F41:F54)</f>
        <v>1359318.82996224</v>
      </c>
      <c r="G55" s="176" t="n">
        <f aca="false">SUM(G41:G54)</f>
        <v>1352815.72010496</v>
      </c>
      <c r="H55" s="176" t="n">
        <f aca="false">SUM(H41:H54)</f>
        <v>1346312.61024768</v>
      </c>
      <c r="I55" s="176" t="n">
        <f aca="false">SUM(I41:I54)</f>
        <v>1339809.5003904</v>
      </c>
      <c r="J55" s="176" t="n">
        <f aca="false">SUM(J41:J54)</f>
        <v>1333306.39053312</v>
      </c>
      <c r="K55" s="176" t="n">
        <f aca="false">SUM(K41:K54)</f>
        <v>1326803.28067584</v>
      </c>
      <c r="L55" s="176" t="n">
        <f aca="false">SUM(L41:L54)</f>
        <v>1320300.17081856</v>
      </c>
      <c r="M55" s="176" t="n">
        <f aca="false">SUM(M41:M54)</f>
        <v>1313797.06096128</v>
      </c>
      <c r="N55" s="176" t="n">
        <f aca="false">SUM(N41:N54)</f>
        <v>1342181.951104</v>
      </c>
      <c r="O55" s="176" t="n">
        <f aca="false">SUM(O41:O54)</f>
        <v>1335678.84124672</v>
      </c>
      <c r="P55" s="176" t="n">
        <f aca="false">SUM(P41:P54)</f>
        <v>1329175.73138944</v>
      </c>
      <c r="Q55" s="176" t="n">
        <f aca="false">SUM(Q41:Q54)</f>
        <v>1322672.62153216</v>
      </c>
      <c r="R55" s="176" t="n">
        <f aca="false">SUM(R41:R54)</f>
        <v>1316169.51167488</v>
      </c>
      <c r="S55" s="176" t="n">
        <f aca="false">SUM(S41:S54)</f>
        <v>1309666.4018176</v>
      </c>
      <c r="T55" s="176" t="n">
        <f aca="false">SUM(T41:T54)</f>
        <v>1303163.29196032</v>
      </c>
      <c r="U55" s="176" t="n">
        <f aca="false">SUM(U41:U54)</f>
        <v>1296660.18210304</v>
      </c>
      <c r="V55" s="176" t="n">
        <f aca="false">SUM(V41:V54)</f>
        <v>1290157.07224576</v>
      </c>
      <c r="W55" s="176" t="n">
        <f aca="false">SUM(W41:W54)</f>
        <v>1283653.96238848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-18870915.1503232</v>
      </c>
      <c r="E56" s="181" t="n">
        <f aca="false">D56+E55</f>
        <v>-17505093.2105037</v>
      </c>
      <c r="F56" s="181" t="n">
        <f aca="false">E56+F55</f>
        <v>-16145774.3805414</v>
      </c>
      <c r="G56" s="181" t="n">
        <f aca="false">F56+G55</f>
        <v>-14792958.6604365</v>
      </c>
      <c r="H56" s="181" t="n">
        <f aca="false">G56+H55</f>
        <v>-13446646.0501888</v>
      </c>
      <c r="I56" s="181" t="n">
        <f aca="false">H56+I55</f>
        <v>-12106836.5497984</v>
      </c>
      <c r="J56" s="181" t="n">
        <f aca="false">I56+J55</f>
        <v>-10773530.1592653</v>
      </c>
      <c r="K56" s="181" t="n">
        <f aca="false">J56+K55</f>
        <v>-9446726.87858945</v>
      </c>
      <c r="L56" s="181" t="n">
        <f aca="false">K56+L55</f>
        <v>-8126426.70777089</v>
      </c>
      <c r="M56" s="181" t="n">
        <f aca="false">L56+M55</f>
        <v>-6812629.64680961</v>
      </c>
      <c r="N56" s="181" t="n">
        <f aca="false">M56+N55</f>
        <v>-5470447.69570561</v>
      </c>
      <c r="O56" s="181" t="n">
        <f aca="false">N56+O55</f>
        <v>-4134768.85445889</v>
      </c>
      <c r="P56" s="181" t="n">
        <f aca="false">O56+P55</f>
        <v>-2805593.12306945</v>
      </c>
      <c r="Q56" s="181" t="n">
        <f aca="false">P56+Q55</f>
        <v>-1482920.50153729</v>
      </c>
      <c r="R56" s="181" t="n">
        <f aca="false">Q56+R55</f>
        <v>-166750.989862408</v>
      </c>
      <c r="S56" s="181" t="n">
        <f aca="false">R56+S55</f>
        <v>1142915.41195519</v>
      </c>
      <c r="T56" s="181" t="n">
        <f aca="false">S56+T55</f>
        <v>2446078.70391551</v>
      </c>
      <c r="U56" s="181" t="n">
        <f aca="false">T56+U55</f>
        <v>3742738.88601855</v>
      </c>
      <c r="V56" s="181" t="n">
        <f aca="false">U56+V55</f>
        <v>5032895.95826431</v>
      </c>
      <c r="W56" s="181" t="n">
        <f aca="false">V56+W55</f>
        <v>6316549.92065279</v>
      </c>
      <c r="X56" s="181" t="n">
        <f aca="false">W56+X55</f>
        <v>6316549.92065279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未回收</v>
      </c>
      <c r="Q57" s="185" t="str">
        <f aca="false">IF((Q56)&gt;0,"回收","未回收")</f>
        <v>未回收</v>
      </c>
      <c r="R57" s="185" t="str">
        <f aca="false">IF((R56)&gt;0,"回收","未回收")</f>
        <v>未回收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0.027676288178763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-1009260</v>
      </c>
      <c r="E67" s="193" t="n">
        <f aca="false">$C$44/$E$16</f>
        <v>-1009260</v>
      </c>
      <c r="F67" s="193" t="n">
        <f aca="false">$C$44/$E$16</f>
        <v>-1009260</v>
      </c>
      <c r="G67" s="193" t="n">
        <f aca="false">$C$44/$E$16</f>
        <v>-1009260</v>
      </c>
      <c r="H67" s="193" t="n">
        <f aca="false">$C$44/$E$16</f>
        <v>-1009260</v>
      </c>
      <c r="I67" s="193" t="n">
        <f aca="false">$C$44/$E$16</f>
        <v>-1009260</v>
      </c>
      <c r="J67" s="193" t="n">
        <f aca="false">$C$44/$E$16</f>
        <v>-1009260</v>
      </c>
      <c r="K67" s="193" t="n">
        <f aca="false">$C$44/$E$16</f>
        <v>-1009260</v>
      </c>
      <c r="L67" s="193" t="n">
        <f aca="false">$C$44/$E$16</f>
        <v>-1009260</v>
      </c>
      <c r="M67" s="193" t="n">
        <f aca="false">$C$44/$E$16</f>
        <v>-1009260</v>
      </c>
      <c r="N67" s="193" t="n">
        <f aca="false">$C$44/$E$16</f>
        <v>-1009260</v>
      </c>
      <c r="O67" s="193" t="n">
        <f aca="false">$C$44/$E$16</f>
        <v>-1009260</v>
      </c>
      <c r="P67" s="193" t="n">
        <f aca="false">$C$44/$E$16</f>
        <v>-1009260</v>
      </c>
      <c r="Q67" s="193" t="n">
        <f aca="false">$C$44/$E$16</f>
        <v>-1009260</v>
      </c>
      <c r="R67" s="193" t="n">
        <f aca="false">$C$44/$E$16</f>
        <v>-1009260</v>
      </c>
      <c r="S67" s="193" t="n">
        <f aca="false">$C$44/$E$16</f>
        <v>-1009260</v>
      </c>
      <c r="T67" s="193" t="n">
        <f aca="false">$C$44/$E$16</f>
        <v>-1009260</v>
      </c>
      <c r="U67" s="193" t="n">
        <f aca="false">$C$44/$E$16</f>
        <v>-1009260</v>
      </c>
      <c r="V67" s="193" t="n">
        <f aca="false">$C$44/$E$16</f>
        <v>-1009260</v>
      </c>
      <c r="W67" s="193" t="n">
        <f aca="false">$C$44/$E$16</f>
        <v>-1009260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-413312.1552</v>
      </c>
      <c r="E70" s="171" t="n">
        <f aca="false">-E109*$D25</f>
        <v>-385758.01152</v>
      </c>
      <c r="F70" s="171" t="n">
        <f aca="false">-F109*$D25</f>
        <v>-358203.86784</v>
      </c>
      <c r="G70" s="171" t="n">
        <f aca="false">-G109*$D25</f>
        <v>-330649.72416</v>
      </c>
      <c r="H70" s="171" t="n">
        <f aca="false">-H109*$D25</f>
        <v>-303095.58048</v>
      </c>
      <c r="I70" s="171" t="n">
        <f aca="false">-I109*$D25</f>
        <v>-275541.4368</v>
      </c>
      <c r="J70" s="171" t="n">
        <f aca="false">-J109*$D25</f>
        <v>-247987.29312</v>
      </c>
      <c r="K70" s="171" t="n">
        <f aca="false">-K109*$D25</f>
        <v>-220433.14944</v>
      </c>
      <c r="L70" s="171" t="n">
        <f aca="false">-L109*$D25</f>
        <v>-192879.00576</v>
      </c>
      <c r="M70" s="171" t="n">
        <f aca="false">-M109*$D25</f>
        <v>-165324.86208</v>
      </c>
      <c r="N70" s="171" t="n">
        <f aca="false">-N109*$D25</f>
        <v>-137770.7184</v>
      </c>
      <c r="O70" s="171" t="n">
        <f aca="false">-O109*$D25</f>
        <v>-110216.57472</v>
      </c>
      <c r="P70" s="171" t="n">
        <f aca="false">-P109*$D25</f>
        <v>-82662.4310400001</v>
      </c>
      <c r="Q70" s="171" t="n">
        <f aca="false">-Q109*$D25</f>
        <v>-55108.2873600001</v>
      </c>
      <c r="R70" s="171" t="n">
        <f aca="false">-R109*$D25</f>
        <v>-27554.1436800001</v>
      </c>
      <c r="S70" s="171" t="n">
        <f aca="false">-S109*$D25</f>
        <v>-0</v>
      </c>
      <c r="T70" s="171" t="n">
        <f aca="false">-T109*$D25</f>
        <v>-0</v>
      </c>
      <c r="U70" s="171" t="n">
        <f aca="false">-U109*$D25</f>
        <v>-0</v>
      </c>
      <c r="V70" s="171" t="n">
        <f aca="false">-V109*$D25</f>
        <v>-0</v>
      </c>
      <c r="W70" s="171" t="n">
        <f aca="false">-W109*$D25</f>
        <v>-0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-40557.3</v>
      </c>
      <c r="E72" s="171" t="n">
        <f aca="false">E49</f>
        <v>-40557.3</v>
      </c>
      <c r="F72" s="171" t="n">
        <f aca="false">F49</f>
        <v>-40557.3</v>
      </c>
      <c r="G72" s="171" t="n">
        <f aca="false">G49</f>
        <v>-40557.3</v>
      </c>
      <c r="H72" s="171" t="n">
        <f aca="false">H49</f>
        <v>-40557.3</v>
      </c>
      <c r="I72" s="171" t="n">
        <f aca="false">I49</f>
        <v>-40557.3</v>
      </c>
      <c r="J72" s="171" t="n">
        <f aca="false">J49</f>
        <v>-40557.3</v>
      </c>
      <c r="K72" s="171" t="n">
        <f aca="false">K49</f>
        <v>-40557.3</v>
      </c>
      <c r="L72" s="171" t="n">
        <f aca="false">L49</f>
        <v>-40557.3</v>
      </c>
      <c r="M72" s="171" t="n">
        <f aca="false">M49</f>
        <v>-40557.3</v>
      </c>
      <c r="N72" s="171" t="n">
        <f aca="false">N49</f>
        <v>-40557.3</v>
      </c>
      <c r="O72" s="171" t="n">
        <f aca="false">O49</f>
        <v>-40557.3</v>
      </c>
      <c r="P72" s="171" t="n">
        <f aca="false">P49</f>
        <v>-40557.3</v>
      </c>
      <c r="Q72" s="171" t="n">
        <f aca="false">Q49</f>
        <v>-40557.3</v>
      </c>
      <c r="R72" s="171" t="n">
        <f aca="false">R49</f>
        <v>-40557.3</v>
      </c>
      <c r="S72" s="171" t="n">
        <f aca="false">S49</f>
        <v>-40557.3</v>
      </c>
      <c r="T72" s="171" t="n">
        <f aca="false">T49</f>
        <v>-40557.3</v>
      </c>
      <c r="U72" s="171" t="n">
        <f aca="false">U49</f>
        <v>-40557.3</v>
      </c>
      <c r="V72" s="171" t="n">
        <f aca="false">V49</f>
        <v>-40557.3</v>
      </c>
      <c r="W72" s="171" t="n">
        <f aca="false">W49</f>
        <v>-40557.3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330720.156895999</v>
      </c>
      <c r="E76" s="176" t="n">
        <f aca="false">SUM(E64:E75)</f>
        <v>59944.4132543994</v>
      </c>
      <c r="F76" s="176" t="n">
        <f aca="false">SUM(F64:F75)</f>
        <v>79369.6696127997</v>
      </c>
      <c r="G76" s="176" t="n">
        <f aca="false">SUM(G64:G75)</f>
        <v>98794.9259711997</v>
      </c>
      <c r="H76" s="176" t="n">
        <f aca="false">SUM(H64:H75)</f>
        <v>118220.182329599</v>
      </c>
      <c r="I76" s="176" t="n">
        <f aca="false">SUM(I64:I75)</f>
        <v>137645.438688</v>
      </c>
      <c r="J76" s="176" t="n">
        <f aca="false">SUM(J64:J75)</f>
        <v>157070.6950464</v>
      </c>
      <c r="K76" s="176" t="n">
        <f aca="false">SUM(K64:K75)</f>
        <v>176495.951404799</v>
      </c>
      <c r="L76" s="176" t="n">
        <f aca="false">SUM(L64:L75)</f>
        <v>195921.2077632</v>
      </c>
      <c r="M76" s="176" t="n">
        <f aca="false">SUM(M64:M75)</f>
        <v>215346.4641216</v>
      </c>
      <c r="N76" s="176" t="n">
        <f aca="false">SUM(N64:N75)</f>
        <v>278381.72048</v>
      </c>
      <c r="O76" s="176" t="n">
        <f aca="false">SUM(O64:O75)</f>
        <v>297806.9768384</v>
      </c>
      <c r="P76" s="176" t="n">
        <f aca="false">SUM(P64:P75)</f>
        <v>317232.2331968</v>
      </c>
      <c r="Q76" s="176" t="n">
        <f aca="false">SUM(Q64:Q75)</f>
        <v>336657.4895552</v>
      </c>
      <c r="R76" s="176" t="n">
        <f aca="false">SUM(R64:R75)</f>
        <v>356082.7459136</v>
      </c>
      <c r="S76" s="176" t="n">
        <f aca="false">SUM(S64:S75)</f>
        <v>375508.002272</v>
      </c>
      <c r="T76" s="176" t="n">
        <f aca="false">SUM(T64:T75)</f>
        <v>367379.114950399</v>
      </c>
      <c r="U76" s="176" t="n">
        <f aca="false">SUM(U64:U75)</f>
        <v>359250.2276288</v>
      </c>
      <c r="V76" s="176" t="n">
        <f aca="false">SUM(V64:V75)</f>
        <v>351121.340307199</v>
      </c>
      <c r="W76" s="176" t="n">
        <f aca="false">SUM(W64:W75)</f>
        <v>342992.4529856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-66144.0313791999</v>
      </c>
      <c r="E77" s="171" t="n">
        <f aca="false">-E76*0.2</f>
        <v>-11988.8826508799</v>
      </c>
      <c r="F77" s="171" t="n">
        <f aca="false">-F76*0.2</f>
        <v>-15873.9339225599</v>
      </c>
      <c r="G77" s="171" t="n">
        <f aca="false">-G76*0.2</f>
        <v>-19758.9851942399</v>
      </c>
      <c r="H77" s="171" t="n">
        <f aca="false">-H76*0.2</f>
        <v>-23644.0364659199</v>
      </c>
      <c r="I77" s="171" t="n">
        <f aca="false">-I76*0.2</f>
        <v>-27529.0877375999</v>
      </c>
      <c r="J77" s="171" t="n">
        <f aca="false">-J76*0.2</f>
        <v>-31414.1390092799</v>
      </c>
      <c r="K77" s="171" t="n">
        <f aca="false">-K76*0.2</f>
        <v>-35299.1902809599</v>
      </c>
      <c r="L77" s="171" t="n">
        <f aca="false">-L76*0.2</f>
        <v>-39184.2415526399</v>
      </c>
      <c r="M77" s="171" t="n">
        <f aca="false">-M76*0.2</f>
        <v>-43069.2928243199</v>
      </c>
      <c r="N77" s="171" t="n">
        <f aca="false">-N76*0.2</f>
        <v>-55676.3440959999</v>
      </c>
      <c r="O77" s="171" t="n">
        <f aca="false">-O76*0.2</f>
        <v>-59561.3953676799</v>
      </c>
      <c r="P77" s="171" t="n">
        <f aca="false">-P76*0.2</f>
        <v>-63446.4466393599</v>
      </c>
      <c r="Q77" s="171" t="n">
        <f aca="false">-Q76*0.2</f>
        <v>-67331.4979110399</v>
      </c>
      <c r="R77" s="171" t="n">
        <f aca="false">-R76*0.2</f>
        <v>-71216.5491827199</v>
      </c>
      <c r="S77" s="171" t="n">
        <f aca="false">-S76*0.2</f>
        <v>-75101.6004543999</v>
      </c>
      <c r="T77" s="171" t="n">
        <f aca="false">-T76*0.2</f>
        <v>-73475.8229900799</v>
      </c>
      <c r="U77" s="171" t="n">
        <f aca="false">-U76*0.2</f>
        <v>-71850.0455257599</v>
      </c>
      <c r="V77" s="171" t="n">
        <f aca="false">-V76*0.2</f>
        <v>-70224.2680614399</v>
      </c>
      <c r="W77" s="171" t="n">
        <f aca="false">-W76*0.2</f>
        <v>-68598.49059712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264576.1255168</v>
      </c>
      <c r="E78" s="171" t="n">
        <f aca="false">SUM(E76:E77)</f>
        <v>47955.5306035195</v>
      </c>
      <c r="F78" s="171" t="n">
        <f aca="false">SUM(F76:F77)</f>
        <v>63495.7356902398</v>
      </c>
      <c r="G78" s="171" t="n">
        <f aca="false">SUM(G76:G77)</f>
        <v>79035.9407769598</v>
      </c>
      <c r="H78" s="171" t="n">
        <f aca="false">SUM(H76:H77)</f>
        <v>94576.1458636796</v>
      </c>
      <c r="I78" s="171" t="n">
        <f aca="false">SUM(I76:I77)</f>
        <v>110116.3509504</v>
      </c>
      <c r="J78" s="171" t="n">
        <f aca="false">SUM(J76:J77)</f>
        <v>125656.55603712</v>
      </c>
      <c r="K78" s="171" t="n">
        <f aca="false">SUM(K76:K77)</f>
        <v>141196.76112384</v>
      </c>
      <c r="L78" s="171" t="n">
        <f aca="false">SUM(L76:L77)</f>
        <v>156736.96621056</v>
      </c>
      <c r="M78" s="171" t="n">
        <f aca="false">SUM(M76:M77)</f>
        <v>172277.17129728</v>
      </c>
      <c r="N78" s="171" t="n">
        <f aca="false">SUM(N76:N77)</f>
        <v>222705.376384</v>
      </c>
      <c r="O78" s="171" t="n">
        <f aca="false">SUM(O76:O77)</f>
        <v>238245.58147072</v>
      </c>
      <c r="P78" s="171" t="n">
        <f aca="false">SUM(P76:P77)</f>
        <v>253785.78655744</v>
      </c>
      <c r="Q78" s="171" t="n">
        <f aca="false">SUM(Q76:Q77)</f>
        <v>269325.99164416</v>
      </c>
      <c r="R78" s="171" t="n">
        <f aca="false">SUM(R76:R77)</f>
        <v>284866.19673088</v>
      </c>
      <c r="S78" s="171" t="n">
        <f aca="false">SUM(S76:S77)</f>
        <v>300406.4018176</v>
      </c>
      <c r="T78" s="171" t="n">
        <f aca="false">SUM(T76:T77)</f>
        <v>293903.29196032</v>
      </c>
      <c r="U78" s="171" t="n">
        <f aca="false">SUM(U76:U77)</f>
        <v>287400.18210304</v>
      </c>
      <c r="V78" s="171" t="n">
        <f aca="false">SUM(V76:V77)</f>
        <v>280897.07224576</v>
      </c>
      <c r="W78" s="171" t="n">
        <f aca="false">SUM(W76:W77)</f>
        <v>274393.96238848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264576.1255168</v>
      </c>
      <c r="E85" s="208" t="n">
        <f aca="false">E78</f>
        <v>47955.5306035195</v>
      </c>
      <c r="F85" s="208" t="n">
        <f aca="false">F78</f>
        <v>63495.7356902398</v>
      </c>
      <c r="G85" s="208" t="n">
        <f aca="false">G78</f>
        <v>79035.9407769598</v>
      </c>
      <c r="H85" s="208" t="n">
        <f aca="false">H78</f>
        <v>94576.1458636796</v>
      </c>
      <c r="I85" s="208" t="n">
        <f aca="false">I78</f>
        <v>110116.3509504</v>
      </c>
      <c r="J85" s="208" t="n">
        <f aca="false">J78</f>
        <v>125656.55603712</v>
      </c>
      <c r="K85" s="208" t="n">
        <f aca="false">K78</f>
        <v>141196.76112384</v>
      </c>
      <c r="L85" s="208" t="n">
        <f aca="false">L78</f>
        <v>156736.96621056</v>
      </c>
      <c r="M85" s="208" t="n">
        <f aca="false">M78</f>
        <v>172277.17129728</v>
      </c>
      <c r="N85" s="208" t="n">
        <f aca="false">N78</f>
        <v>222705.376384</v>
      </c>
      <c r="O85" s="208" t="n">
        <f aca="false">O78</f>
        <v>238245.58147072</v>
      </c>
      <c r="P85" s="208" t="n">
        <f aca="false">P78</f>
        <v>253785.78655744</v>
      </c>
      <c r="Q85" s="208" t="n">
        <f aca="false">Q78</f>
        <v>269325.99164416</v>
      </c>
      <c r="R85" s="208" t="n">
        <f aca="false">R78</f>
        <v>284866.19673088</v>
      </c>
      <c r="S85" s="208" t="n">
        <f aca="false">S78</f>
        <v>300406.4018176</v>
      </c>
      <c r="T85" s="208" t="n">
        <f aca="false">T78</f>
        <v>293903.29196032</v>
      </c>
      <c r="U85" s="208" t="n">
        <f aca="false">U78</f>
        <v>287400.18210304</v>
      </c>
      <c r="V85" s="208" t="n">
        <f aca="false">V78</f>
        <v>280897.07224576</v>
      </c>
      <c r="W85" s="208" t="n">
        <f aca="false">W78</f>
        <v>274393.96238848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1009260</v>
      </c>
      <c r="E86" s="209" t="n">
        <f aca="false">-E67</f>
        <v>1009260</v>
      </c>
      <c r="F86" s="209" t="n">
        <f aca="false">-F67</f>
        <v>1009260</v>
      </c>
      <c r="G86" s="209" t="n">
        <f aca="false">-G67</f>
        <v>1009260</v>
      </c>
      <c r="H86" s="209" t="n">
        <f aca="false">-H67</f>
        <v>1009260</v>
      </c>
      <c r="I86" s="209" t="n">
        <f aca="false">-I67</f>
        <v>1009260</v>
      </c>
      <c r="J86" s="209" t="n">
        <f aca="false">-J67</f>
        <v>1009260</v>
      </c>
      <c r="K86" s="209" t="n">
        <f aca="false">-K67</f>
        <v>1009260</v>
      </c>
      <c r="L86" s="209" t="n">
        <f aca="false">-L67</f>
        <v>1009260</v>
      </c>
      <c r="M86" s="209" t="n">
        <f aca="false">-M67</f>
        <v>1009260</v>
      </c>
      <c r="N86" s="209" t="n">
        <f aca="false">-N67</f>
        <v>1009260</v>
      </c>
      <c r="O86" s="209" t="n">
        <f aca="false">-O67</f>
        <v>1009260</v>
      </c>
      <c r="P86" s="209" t="n">
        <f aca="false">-P67</f>
        <v>1009260</v>
      </c>
      <c r="Q86" s="209" t="n">
        <f aca="false">-Q67</f>
        <v>1009260</v>
      </c>
      <c r="R86" s="209" t="n">
        <f aca="false">-R67</f>
        <v>1009260</v>
      </c>
      <c r="S86" s="209" t="n">
        <f aca="false">-S67</f>
        <v>1009260</v>
      </c>
      <c r="T86" s="209" t="n">
        <f aca="false">-T67</f>
        <v>1009260</v>
      </c>
      <c r="U86" s="209" t="n">
        <f aca="false">-U67</f>
        <v>1009260</v>
      </c>
      <c r="V86" s="209" t="n">
        <f aca="false">-V67</f>
        <v>1009260</v>
      </c>
      <c r="W86" s="209" t="n">
        <f aca="false">-W67</f>
        <v>1009260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1273836.1255168</v>
      </c>
      <c r="E87" s="211" t="n">
        <f aca="false">SUM(E85:E86)</f>
        <v>1057215.53060352</v>
      </c>
      <c r="F87" s="211" t="n">
        <f aca="false">SUM(F85:F86)</f>
        <v>1072755.73569024</v>
      </c>
      <c r="G87" s="211" t="n">
        <f aca="false">SUM(G85:G86)</f>
        <v>1088295.94077696</v>
      </c>
      <c r="H87" s="211" t="n">
        <f aca="false">SUM(H85:H86)</f>
        <v>1103836.14586368</v>
      </c>
      <c r="I87" s="211" t="n">
        <f aca="false">SUM(I85:I86)</f>
        <v>1119376.3509504</v>
      </c>
      <c r="J87" s="211" t="n">
        <f aca="false">SUM(J85:J86)</f>
        <v>1134916.55603712</v>
      </c>
      <c r="K87" s="211" t="n">
        <f aca="false">SUM(K85:K86)</f>
        <v>1150456.76112384</v>
      </c>
      <c r="L87" s="211" t="n">
        <f aca="false">SUM(L85:L86)</f>
        <v>1165996.96621056</v>
      </c>
      <c r="M87" s="211" t="n">
        <f aca="false">SUM(M85:M86)</f>
        <v>1181537.17129728</v>
      </c>
      <c r="N87" s="211" t="n">
        <f aca="false">SUM(N85:N86)</f>
        <v>1231965.376384</v>
      </c>
      <c r="O87" s="211" t="n">
        <f aca="false">SUM(O85:O86)</f>
        <v>1247505.58147072</v>
      </c>
      <c r="P87" s="211" t="n">
        <f aca="false">SUM(P85:P86)</f>
        <v>1263045.78655744</v>
      </c>
      <c r="Q87" s="211" t="n">
        <f aca="false">SUM(Q85:Q86)</f>
        <v>1278585.99164416</v>
      </c>
      <c r="R87" s="211" t="n">
        <f aca="false">SUM(R85:R86)</f>
        <v>1294126.19673088</v>
      </c>
      <c r="S87" s="211" t="n">
        <f aca="false">SUM(S85:S86)</f>
        <v>1309666.4018176</v>
      </c>
      <c r="T87" s="211" t="n">
        <f aca="false">SUM(T85:T86)</f>
        <v>1303163.29196032</v>
      </c>
      <c r="U87" s="211" t="n">
        <f aca="false">SUM(U85:U86)</f>
        <v>1296660.18210304</v>
      </c>
      <c r="V87" s="211" t="n">
        <f aca="false">SUM(V85:V86)</f>
        <v>1290157.07224576</v>
      </c>
      <c r="W87" s="211" t="n">
        <f aca="false">SUM(W85:W86)</f>
        <v>1283653.96238848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-20185200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16148160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-1076544</v>
      </c>
      <c r="F93" s="217" t="n">
        <v>-1076544</v>
      </c>
      <c r="G93" s="217" t="n">
        <v>-1076544</v>
      </c>
      <c r="H93" s="217" t="n">
        <v>-1076544</v>
      </c>
      <c r="I93" s="217" t="n">
        <v>-1076544</v>
      </c>
      <c r="J93" s="217" t="n">
        <v>-1076544</v>
      </c>
      <c r="K93" s="217" t="n">
        <v>-1076544</v>
      </c>
      <c r="L93" s="217" t="n">
        <v>-1076544</v>
      </c>
      <c r="M93" s="217" t="n">
        <v>-1076544</v>
      </c>
      <c r="N93" s="217" t="n">
        <v>-1076544</v>
      </c>
      <c r="O93" s="217" t="n">
        <v>-1076544</v>
      </c>
      <c r="P93" s="217" t="n">
        <v>-1076544</v>
      </c>
      <c r="Q93" s="217" t="n">
        <v>-1076544</v>
      </c>
      <c r="R93" s="217" t="n">
        <v>-1076544</v>
      </c>
      <c r="S93" s="217" t="n">
        <v>-1076544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4037040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-238118.51296512</v>
      </c>
      <c r="F95" s="218" t="n">
        <f aca="false">-E85*$D$33</f>
        <v>-43159.9775431676</v>
      </c>
      <c r="G95" s="218" t="n">
        <f aca="false">-F85*$D$33</f>
        <v>-57146.1621212158</v>
      </c>
      <c r="H95" s="218" t="n">
        <f aca="false">-G85*$D$33</f>
        <v>-71132.3466992638</v>
      </c>
      <c r="I95" s="218" t="n">
        <f aca="false">-H85*$D$33</f>
        <v>-85118.5312773116</v>
      </c>
      <c r="J95" s="218" t="n">
        <f aca="false">-I85*$D$33</f>
        <v>-99104.7158553596</v>
      </c>
      <c r="K95" s="218" t="n">
        <f aca="false">-J85*$D$33</f>
        <v>-113090.900433408</v>
      </c>
      <c r="L95" s="218" t="n">
        <f aca="false">-K85*$D$33</f>
        <v>-127077.085011456</v>
      </c>
      <c r="M95" s="218" t="n">
        <f aca="false">-L85*$D$33</f>
        <v>-141063.269589504</v>
      </c>
      <c r="N95" s="218" t="n">
        <f aca="false">-M85*$D$33</f>
        <v>-155049.454167552</v>
      </c>
      <c r="O95" s="218" t="n">
        <f aca="false">-N85*$D$33</f>
        <v>-200434.8387456</v>
      </c>
      <c r="P95" s="218" t="n">
        <f aca="false">-O85*$D$33</f>
        <v>-214421.023323648</v>
      </c>
      <c r="Q95" s="218" t="n">
        <f aca="false">-P85*$D$33</f>
        <v>-228407.207901696</v>
      </c>
      <c r="R95" s="218" t="n">
        <f aca="false">-Q85*$D$33</f>
        <v>-242393.392479744</v>
      </c>
      <c r="S95" s="218" t="n">
        <f aca="false">-R85*$D$33</f>
        <v>-256379.577057792</v>
      </c>
      <c r="T95" s="218" t="n">
        <f aca="false">-S85*$D$33</f>
        <v>-270365.76163584</v>
      </c>
      <c r="U95" s="218" t="n">
        <f aca="false">-T85*$D$33</f>
        <v>-264512.962764288</v>
      </c>
      <c r="V95" s="218" t="n">
        <f aca="false">-U85*$D$33</f>
        <v>-258660.163892736</v>
      </c>
      <c r="W95" s="218" t="n">
        <f aca="false">-V85*$D$33</f>
        <v>-252807.365021184</v>
      </c>
      <c r="X95" s="218" t="n">
        <f aca="false">-W85*$D$33</f>
        <v>-246954.566149632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-1009260</v>
      </c>
      <c r="U96" s="221" t="n">
        <v>-1009260</v>
      </c>
      <c r="V96" s="221" t="n">
        <v>-1009260</v>
      </c>
      <c r="W96" s="221" t="n">
        <v>-1009260</v>
      </c>
      <c r="X96" s="222" t="n">
        <f aca="false">-W101-X95</f>
        <v>-396155.312737284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1273836.1255168</v>
      </c>
      <c r="E99" s="208" t="n">
        <f aca="false">SUM(E87:E96)</f>
        <v>-257446.9823616</v>
      </c>
      <c r="F99" s="208" t="n">
        <f aca="false">SUM(F87:F96)</f>
        <v>-46948.2418529275</v>
      </c>
      <c r="G99" s="208" t="n">
        <f aca="false">SUM(G87:G96)</f>
        <v>-45394.2213442558</v>
      </c>
      <c r="H99" s="208" t="n">
        <f aca="false">SUM(H87:H96)</f>
        <v>-43840.2008355841</v>
      </c>
      <c r="I99" s="208" t="n">
        <f aca="false">SUM(I87:I96)</f>
        <v>-42286.1803269117</v>
      </c>
      <c r="J99" s="208" t="n">
        <f aca="false">SUM(J87:J96)</f>
        <v>-40732.1598182396</v>
      </c>
      <c r="K99" s="208" t="n">
        <f aca="false">SUM(K87:K96)</f>
        <v>-39178.139309568</v>
      </c>
      <c r="L99" s="208" t="n">
        <f aca="false">SUM(L87:L96)</f>
        <v>-37624.1188008957</v>
      </c>
      <c r="M99" s="208" t="n">
        <f aca="false">SUM(M87:M96)</f>
        <v>-36070.0982922238</v>
      </c>
      <c r="N99" s="208" t="n">
        <f aca="false">SUM(N87:N96)</f>
        <v>371.922216448176</v>
      </c>
      <c r="O99" s="208" t="n">
        <f aca="false">SUM(O87:O96)</f>
        <v>-29473.2572748799</v>
      </c>
      <c r="P99" s="208" t="n">
        <f aca="false">SUM(P87:P96)</f>
        <v>-27919.2367662077</v>
      </c>
      <c r="Q99" s="208" t="n">
        <f aca="false">SUM(Q87:Q96)</f>
        <v>-26365.2162575358</v>
      </c>
      <c r="R99" s="208" t="n">
        <f aca="false">SUM(R87:R96)</f>
        <v>-24811.1957488639</v>
      </c>
      <c r="S99" s="208" t="n">
        <f aca="false">SUM(S87:S96)</f>
        <v>-23257.1752401917</v>
      </c>
      <c r="T99" s="208" t="n">
        <f aca="false">SUM(T87:T96)</f>
        <v>23537.53032448</v>
      </c>
      <c r="U99" s="208" t="n">
        <f aca="false">SUM(U87:U96)</f>
        <v>22887.2193387523</v>
      </c>
      <c r="V99" s="208" t="n">
        <f aca="false">SUM(V87:V96)</f>
        <v>22236.9083530242</v>
      </c>
      <c r="W99" s="208" t="n">
        <f aca="false">SUM(W87:W96)</f>
        <v>21586.5973672965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1273836.1255168</v>
      </c>
      <c r="F100" s="208" t="n">
        <f aca="false">E101</f>
        <v>1016389.1431552</v>
      </c>
      <c r="G100" s="208" t="n">
        <f aca="false">F101</f>
        <v>969440.901302273</v>
      </c>
      <c r="H100" s="208" t="n">
        <f aca="false">G101</f>
        <v>924046.679958017</v>
      </c>
      <c r="I100" s="208" t="n">
        <f aca="false">H101</f>
        <v>880206.479122433</v>
      </c>
      <c r="J100" s="208" t="n">
        <f aca="false">I101</f>
        <v>837920.298795521</v>
      </c>
      <c r="K100" s="208" t="n">
        <f aca="false">J101</f>
        <v>797188.138977281</v>
      </c>
      <c r="L100" s="208" t="n">
        <f aca="false">K101</f>
        <v>758009.999667713</v>
      </c>
      <c r="M100" s="208" t="n">
        <f aca="false">L101</f>
        <v>720385.880866817</v>
      </c>
      <c r="N100" s="208" t="n">
        <f aca="false">M101</f>
        <v>684315.782574594</v>
      </c>
      <c r="O100" s="208" t="n">
        <f aca="false">N101</f>
        <v>684687.704791042</v>
      </c>
      <c r="P100" s="208" t="n">
        <f aca="false">O101</f>
        <v>655214.447516162</v>
      </c>
      <c r="Q100" s="208" t="n">
        <f aca="false">P101</f>
        <v>627295.210749954</v>
      </c>
      <c r="R100" s="208" t="n">
        <f aca="false">Q101</f>
        <v>600929.994492419</v>
      </c>
      <c r="S100" s="208" t="n">
        <f aca="false">R101</f>
        <v>576118.798743555</v>
      </c>
      <c r="T100" s="208" t="n">
        <f aca="false">S101</f>
        <v>552861.623503363</v>
      </c>
      <c r="U100" s="208" t="n">
        <f aca="false">T101</f>
        <v>576399.153827843</v>
      </c>
      <c r="V100" s="208" t="n">
        <f aca="false">U101</f>
        <v>599286.373166595</v>
      </c>
      <c r="W100" s="208" t="n">
        <f aca="false">V101</f>
        <v>621523.28151962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1273836.1255168</v>
      </c>
      <c r="E101" s="208" t="n">
        <f aca="false">E99+E100</f>
        <v>1016389.1431552</v>
      </c>
      <c r="F101" s="208" t="n">
        <f aca="false">F99+F100</f>
        <v>969440.901302273</v>
      </c>
      <c r="G101" s="208" t="n">
        <f aca="false">G99+G100</f>
        <v>924046.679958017</v>
      </c>
      <c r="H101" s="208" t="n">
        <f aca="false">H99+H100</f>
        <v>880206.479122433</v>
      </c>
      <c r="I101" s="208" t="n">
        <f aca="false">I99+I100</f>
        <v>837920.298795521</v>
      </c>
      <c r="J101" s="208" t="n">
        <f aca="false">J99+J100</f>
        <v>797188.138977281</v>
      </c>
      <c r="K101" s="208" t="n">
        <f aca="false">K99+K100</f>
        <v>758009.999667713</v>
      </c>
      <c r="L101" s="208" t="n">
        <f aca="false">L99+L100</f>
        <v>720385.880866817</v>
      </c>
      <c r="M101" s="208" t="n">
        <f aca="false">M99+M100</f>
        <v>684315.782574594</v>
      </c>
      <c r="N101" s="208" t="n">
        <f aca="false">N99+N100</f>
        <v>684687.704791042</v>
      </c>
      <c r="O101" s="208" t="n">
        <f aca="false">O99+O100</f>
        <v>655214.447516162</v>
      </c>
      <c r="P101" s="208" t="n">
        <f aca="false">P99+P100</f>
        <v>627295.210749954</v>
      </c>
      <c r="Q101" s="208" t="n">
        <f aca="false">Q99+Q100</f>
        <v>600929.994492419</v>
      </c>
      <c r="R101" s="208" t="n">
        <f aca="false">R99+R100</f>
        <v>576118.798743555</v>
      </c>
      <c r="S101" s="208" t="n">
        <f aca="false">S99+S100</f>
        <v>552861.623503363</v>
      </c>
      <c r="T101" s="208" t="n">
        <f aca="false">T99+T100</f>
        <v>576399.153827843</v>
      </c>
      <c r="U101" s="208" t="n">
        <f aca="false">U99+U100</f>
        <v>599286.373166595</v>
      </c>
      <c r="V101" s="208" t="n">
        <f aca="false">V99+V100</f>
        <v>621523.28151962</v>
      </c>
      <c r="W101" s="208" t="n">
        <f aca="false">W99+W100</f>
        <v>643109.878886916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-4037040</v>
      </c>
      <c r="E104" s="211" t="n">
        <f aca="false">-E95-E96</f>
        <v>238118.51296512</v>
      </c>
      <c r="F104" s="211" t="n">
        <f aca="false">-F95-F96</f>
        <v>43159.9775431676</v>
      </c>
      <c r="G104" s="211" t="n">
        <f aca="false">-G95-G96</f>
        <v>57146.1621212158</v>
      </c>
      <c r="H104" s="211" t="n">
        <f aca="false">-H95-H96</f>
        <v>71132.3466992638</v>
      </c>
      <c r="I104" s="211" t="n">
        <f aca="false">-I95-I96</f>
        <v>85118.5312773116</v>
      </c>
      <c r="J104" s="211" t="n">
        <f aca="false">-J95-J96</f>
        <v>99104.7158553596</v>
      </c>
      <c r="K104" s="211" t="n">
        <f aca="false">-K95-K96</f>
        <v>113090.900433408</v>
      </c>
      <c r="L104" s="211" t="n">
        <f aca="false">-L95-L96</f>
        <v>127077.085011456</v>
      </c>
      <c r="M104" s="211" t="n">
        <f aca="false">-M95-M96</f>
        <v>141063.269589504</v>
      </c>
      <c r="N104" s="211" t="n">
        <f aca="false">-N95-N96</f>
        <v>155049.454167552</v>
      </c>
      <c r="O104" s="211" t="n">
        <f aca="false">-O95-O96</f>
        <v>200434.8387456</v>
      </c>
      <c r="P104" s="211" t="n">
        <f aca="false">-P95-P96</f>
        <v>214421.023323648</v>
      </c>
      <c r="Q104" s="211" t="n">
        <f aca="false">-Q95-Q96</f>
        <v>228407.207901696</v>
      </c>
      <c r="R104" s="211" t="n">
        <f aca="false">-R95-R96</f>
        <v>242393.392479744</v>
      </c>
      <c r="S104" s="211" t="n">
        <f aca="false">-S95-S96</f>
        <v>256379.577057792</v>
      </c>
      <c r="T104" s="211" t="n">
        <f aca="false">-T95-T96</f>
        <v>1279625.76163584</v>
      </c>
      <c r="U104" s="211" t="n">
        <f aca="false">-U95-U96</f>
        <v>1273772.96276429</v>
      </c>
      <c r="V104" s="211" t="n">
        <f aca="false">-V95-V96</f>
        <v>1267920.16389274</v>
      </c>
      <c r="W104" s="211" t="n">
        <f aca="false">-W95-W96</f>
        <v>1262067.36502118</v>
      </c>
      <c r="X104" s="211" t="n">
        <f aca="false">-X95-X96</f>
        <v>643109.878886916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0.0470923690838171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-3772463.8744832</v>
      </c>
      <c r="E106" s="211" t="n">
        <f aca="false">E85</f>
        <v>47955.5306035195</v>
      </c>
      <c r="F106" s="211" t="n">
        <f aca="false">F85-F96</f>
        <v>63495.7356902398</v>
      </c>
      <c r="G106" s="211" t="n">
        <f aca="false">G85-G96</f>
        <v>79035.9407769598</v>
      </c>
      <c r="H106" s="211" t="n">
        <f aca="false">H85-H96</f>
        <v>94576.1458636796</v>
      </c>
      <c r="I106" s="211" t="n">
        <f aca="false">I85-I96</f>
        <v>110116.3509504</v>
      </c>
      <c r="J106" s="211" t="n">
        <f aca="false">J85-J96</f>
        <v>125656.55603712</v>
      </c>
      <c r="K106" s="211" t="n">
        <f aca="false">K85-K96</f>
        <v>141196.76112384</v>
      </c>
      <c r="L106" s="211" t="n">
        <f aca="false">L85-L96</f>
        <v>156736.96621056</v>
      </c>
      <c r="M106" s="211" t="n">
        <f aca="false">M85-M96</f>
        <v>172277.17129728</v>
      </c>
      <c r="N106" s="211" t="n">
        <f aca="false">N85-N96</f>
        <v>222705.376384</v>
      </c>
      <c r="O106" s="211" t="n">
        <f aca="false">O85-O96</f>
        <v>238245.58147072</v>
      </c>
      <c r="P106" s="211" t="n">
        <f aca="false">P85-P96</f>
        <v>253785.78655744</v>
      </c>
      <c r="Q106" s="211" t="n">
        <f aca="false">Q85-Q96</f>
        <v>269325.99164416</v>
      </c>
      <c r="R106" s="211" t="n">
        <f aca="false">R85-R96</f>
        <v>284866.19673088</v>
      </c>
      <c r="S106" s="211" t="n">
        <f aca="false">S85-S96</f>
        <v>300406.4018176</v>
      </c>
      <c r="T106" s="211" t="n">
        <f aca="false">T85-T96</f>
        <v>1303163.29196032</v>
      </c>
      <c r="U106" s="211" t="n">
        <f aca="false">U85-U96</f>
        <v>1296660.18210304</v>
      </c>
      <c r="V106" s="211" t="n">
        <f aca="false">V85-V96</f>
        <v>1290157.07224576</v>
      </c>
      <c r="W106" s="211" t="n">
        <f aca="false">W85-W96</f>
        <v>1283653.96238848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0.050588530066821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16148160</v>
      </c>
      <c r="E109" s="208" t="n">
        <f aca="false">D109+E93</f>
        <v>15071616</v>
      </c>
      <c r="F109" s="208" t="n">
        <f aca="false">E109+F93</f>
        <v>13995072</v>
      </c>
      <c r="G109" s="208" t="n">
        <f aca="false">F109+G93</f>
        <v>12918528</v>
      </c>
      <c r="H109" s="208" t="n">
        <f aca="false">G109+H93</f>
        <v>11841984</v>
      </c>
      <c r="I109" s="208" t="n">
        <f aca="false">H109+I93</f>
        <v>10765440</v>
      </c>
      <c r="J109" s="208" t="n">
        <f aca="false">I109+J93</f>
        <v>9688896</v>
      </c>
      <c r="K109" s="208" t="n">
        <f aca="false">J109+K93</f>
        <v>8612352</v>
      </c>
      <c r="L109" s="208" t="n">
        <f aca="false">K109+L93</f>
        <v>7535808</v>
      </c>
      <c r="M109" s="208" t="n">
        <f aca="false">L109+M93</f>
        <v>6459264</v>
      </c>
      <c r="N109" s="208" t="n">
        <f aca="false">M109+N93</f>
        <v>5382720</v>
      </c>
      <c r="O109" s="208" t="n">
        <f aca="false">N109+O93</f>
        <v>4306176</v>
      </c>
      <c r="P109" s="208" t="n">
        <f aca="false">O109+P93</f>
        <v>3229632</v>
      </c>
      <c r="Q109" s="208" t="n">
        <f aca="false">P109+Q93</f>
        <v>2153088</v>
      </c>
      <c r="R109" s="208" t="n">
        <f aca="false">Q109+R93</f>
        <v>1076544</v>
      </c>
      <c r="S109" s="208" t="n">
        <f aca="false">R109+S93</f>
        <v>0</v>
      </c>
      <c r="T109" s="208" t="n">
        <f aca="false">S109+T93</f>
        <v>0</v>
      </c>
      <c r="U109" s="208" t="n">
        <f aca="false">T109+U93</f>
        <v>0</v>
      </c>
      <c r="V109" s="208" t="n">
        <f aca="false">U109+V93</f>
        <v>0</v>
      </c>
      <c r="W109" s="208" t="n">
        <f aca="false">V109+W93</f>
        <v>0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155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156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157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158</v>
      </c>
    </row>
    <row r="8" customFormat="false" ht="22.5" hidden="false" customHeight="true" outlineLevel="0" collapsed="false">
      <c r="B8" s="14" t="s">
        <v>9</v>
      </c>
      <c r="E8" s="122"/>
      <c r="M8" s="0" t="s">
        <v>159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95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29000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-18939200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-37940.7</v>
      </c>
      <c r="E49" s="171" t="n">
        <v>-37940.7</v>
      </c>
      <c r="F49" s="171" t="n">
        <v>-37940.7</v>
      </c>
      <c r="G49" s="171" t="n">
        <v>-37940.7</v>
      </c>
      <c r="H49" s="171" t="n">
        <v>-37940.7</v>
      </c>
      <c r="I49" s="171" t="n">
        <v>-37940.7</v>
      </c>
      <c r="J49" s="171" t="n">
        <v>-37940.7</v>
      </c>
      <c r="K49" s="171" t="n">
        <v>-37940.7</v>
      </c>
      <c r="L49" s="171" t="n">
        <v>-37940.7</v>
      </c>
      <c r="M49" s="171" t="n">
        <v>-37940.7</v>
      </c>
      <c r="N49" s="171" t="n">
        <v>-37940.7</v>
      </c>
      <c r="O49" s="171" t="n">
        <v>-37940.7</v>
      </c>
      <c r="P49" s="171" t="n">
        <v>-37940.7</v>
      </c>
      <c r="Q49" s="171" t="n">
        <v>-37940.7</v>
      </c>
      <c r="R49" s="171" t="n">
        <v>-37940.7</v>
      </c>
      <c r="S49" s="171" t="n">
        <v>-37940.7</v>
      </c>
      <c r="T49" s="171" t="n">
        <v>-37940.7</v>
      </c>
      <c r="U49" s="171" t="n">
        <v>-37940.7</v>
      </c>
      <c r="V49" s="171" t="n">
        <v>-37940.7</v>
      </c>
      <c r="W49" s="171" t="n">
        <v>-37940.7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-161789.7824192</v>
      </c>
      <c r="E54" s="171" t="n">
        <f aca="false">-(E64+E67+E68+E71+E72+E73+E74)*0.2</f>
        <v>-102123.80495488</v>
      </c>
      <c r="F54" s="171" t="n">
        <f aca="false">-(F64+F67+F68+F71+F72+F73+F74)*0.2</f>
        <v>-100498.02749056</v>
      </c>
      <c r="G54" s="171" t="n">
        <f aca="false">-(G64+G67+G68+G71+G72+G73+G74)*0.2</f>
        <v>-98872.25002624</v>
      </c>
      <c r="H54" s="171" t="n">
        <f aca="false">-(H64+H67+H68+H71+H72+H73+H74)*0.2</f>
        <v>-97246.4725619199</v>
      </c>
      <c r="I54" s="171" t="n">
        <f aca="false">-(I64+I67+I68+I71+I72+I73+I74)*0.2</f>
        <v>-95620.6950975999</v>
      </c>
      <c r="J54" s="171" t="n">
        <f aca="false">-(J64+J67+J68+J71+J72+J73+J74)*0.2</f>
        <v>-93994.91763328</v>
      </c>
      <c r="K54" s="171" t="n">
        <f aca="false">-(K64+K67+K68+K71+K72+K73+K74)*0.2</f>
        <v>-92369.1401689599</v>
      </c>
      <c r="L54" s="171" t="n">
        <f aca="false">-(L64+L67+L68+L71+L72+L73+L74)*0.2</f>
        <v>-90743.3627046399</v>
      </c>
      <c r="M54" s="171" t="n">
        <f aca="false">-(M64+M67+M68+M71+M72+M73+M74)*0.2</f>
        <v>-89117.5852403199</v>
      </c>
      <c r="N54" s="171" t="n">
        <f aca="false">-(N64+N67+N68+N71+N72+N73+N74)*0.2</f>
        <v>-96213.8077759999</v>
      </c>
      <c r="O54" s="171" t="n">
        <f aca="false">-(O64+O67+O68+O71+O72+O73+O74)*0.2</f>
        <v>-94588.0303116799</v>
      </c>
      <c r="P54" s="171" t="n">
        <f aca="false">-(P64+P67+P68+P71+P72+P73+P74)*0.2</f>
        <v>-92962.2528473599</v>
      </c>
      <c r="Q54" s="171" t="n">
        <f aca="false">-(Q64+Q67+Q68+Q71+Q72+Q73+Q74)*0.2</f>
        <v>-91336.4753830399</v>
      </c>
      <c r="R54" s="171" t="n">
        <f aca="false">-(R64+R67+R68+R71+R72+R73+R74)*0.2</f>
        <v>-89710.6979187199</v>
      </c>
      <c r="S54" s="171" t="n">
        <f aca="false">-(S64+S67+S68+S71+S72+S73+S74)*0.2</f>
        <v>-88084.9204543999</v>
      </c>
      <c r="T54" s="171" t="n">
        <f aca="false">-(T64+T67+T68+T71+T72+T73+T74)*0.2</f>
        <v>-86459.1429900799</v>
      </c>
      <c r="U54" s="171" t="n">
        <f aca="false">-(U64+U67+U68+U71+U72+U73+U74)*0.2</f>
        <v>-84833.3655257599</v>
      </c>
      <c r="V54" s="171" t="n">
        <f aca="false">-(V64+V67+V68+V71+V72+V73+V74)*0.2</f>
        <v>-83207.5880614399</v>
      </c>
      <c r="W54" s="171" t="n">
        <f aca="false">-(W64+W67+W68+W71+W72+W73+W74)*0.2</f>
        <v>-81581.8105971199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-18939200</v>
      </c>
      <c r="D55" s="176" t="n">
        <f aca="false">SUM(D41:D54)</f>
        <v>1303918.1296768</v>
      </c>
      <c r="E55" s="176" t="n">
        <f aca="false">SUM(E41:E54)</f>
        <v>1355455.21981952</v>
      </c>
      <c r="F55" s="176" t="n">
        <f aca="false">SUM(F41:F54)</f>
        <v>1348952.10996224</v>
      </c>
      <c r="G55" s="176" t="n">
        <f aca="false">SUM(G41:G54)</f>
        <v>1342449.00010496</v>
      </c>
      <c r="H55" s="176" t="n">
        <f aca="false">SUM(H41:H54)</f>
        <v>1335945.89024768</v>
      </c>
      <c r="I55" s="176" t="n">
        <f aca="false">SUM(I41:I54)</f>
        <v>1329442.7803904</v>
      </c>
      <c r="J55" s="176" t="n">
        <f aca="false">SUM(J41:J54)</f>
        <v>1322939.67053312</v>
      </c>
      <c r="K55" s="176" t="n">
        <f aca="false">SUM(K41:K54)</f>
        <v>1316436.56067584</v>
      </c>
      <c r="L55" s="176" t="n">
        <f aca="false">SUM(L41:L54)</f>
        <v>1309933.45081856</v>
      </c>
      <c r="M55" s="176" t="n">
        <f aca="false">SUM(M41:M54)</f>
        <v>1303430.34096128</v>
      </c>
      <c r="N55" s="176" t="n">
        <f aca="false">SUM(N41:N54)</f>
        <v>1331815.231104</v>
      </c>
      <c r="O55" s="176" t="n">
        <f aca="false">SUM(O41:O54)</f>
        <v>1325312.12124672</v>
      </c>
      <c r="P55" s="176" t="n">
        <f aca="false">SUM(P41:P54)</f>
        <v>1318809.01138944</v>
      </c>
      <c r="Q55" s="176" t="n">
        <f aca="false">SUM(Q41:Q54)</f>
        <v>1312305.90153216</v>
      </c>
      <c r="R55" s="176" t="n">
        <f aca="false">SUM(R41:R54)</f>
        <v>1305802.79167488</v>
      </c>
      <c r="S55" s="176" t="n">
        <f aca="false">SUM(S41:S54)</f>
        <v>1299299.6818176</v>
      </c>
      <c r="T55" s="176" t="n">
        <f aca="false">SUM(T41:T54)</f>
        <v>1292796.57196032</v>
      </c>
      <c r="U55" s="176" t="n">
        <f aca="false">SUM(U41:U54)</f>
        <v>1286293.46210304</v>
      </c>
      <c r="V55" s="176" t="n">
        <f aca="false">SUM(V41:V54)</f>
        <v>1279790.35224576</v>
      </c>
      <c r="W55" s="176" t="n">
        <f aca="false">SUM(W41:W54)</f>
        <v>1273287.24238848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-17635281.8703232</v>
      </c>
      <c r="E56" s="181" t="n">
        <f aca="false">D56+E55</f>
        <v>-16279826.6505037</v>
      </c>
      <c r="F56" s="181" t="n">
        <f aca="false">E56+F55</f>
        <v>-14930874.5405414</v>
      </c>
      <c r="G56" s="181" t="n">
        <f aca="false">F56+G55</f>
        <v>-13588425.5404365</v>
      </c>
      <c r="H56" s="181" t="n">
        <f aca="false">G56+H55</f>
        <v>-12252479.6501888</v>
      </c>
      <c r="I56" s="181" t="n">
        <f aca="false">H56+I55</f>
        <v>-10923036.8697984</v>
      </c>
      <c r="J56" s="181" t="n">
        <f aca="false">I56+J55</f>
        <v>-9600097.19926528</v>
      </c>
      <c r="K56" s="181" t="n">
        <f aca="false">J56+K55</f>
        <v>-8283660.63858944</v>
      </c>
      <c r="L56" s="181" t="n">
        <f aca="false">K56+L55</f>
        <v>-6973727.18777088</v>
      </c>
      <c r="M56" s="181" t="n">
        <f aca="false">L56+M55</f>
        <v>-5670296.8468096</v>
      </c>
      <c r="N56" s="181" t="n">
        <f aca="false">M56+N55</f>
        <v>-4338481.6157056</v>
      </c>
      <c r="O56" s="181" t="n">
        <f aca="false">N56+O55</f>
        <v>-3013169.49445888</v>
      </c>
      <c r="P56" s="181" t="n">
        <f aca="false">O56+P55</f>
        <v>-1694360.48306944</v>
      </c>
      <c r="Q56" s="181" t="n">
        <f aca="false">P56+Q55</f>
        <v>-382054.581537282</v>
      </c>
      <c r="R56" s="181" t="n">
        <f aca="false">Q56+R55</f>
        <v>923748.210137598</v>
      </c>
      <c r="S56" s="181" t="n">
        <f aca="false">R56+S55</f>
        <v>2223047.8919552</v>
      </c>
      <c r="T56" s="181" t="n">
        <f aca="false">S56+T55</f>
        <v>3515844.46391552</v>
      </c>
      <c r="U56" s="181" t="n">
        <f aca="false">T56+U55</f>
        <v>4802137.92601856</v>
      </c>
      <c r="V56" s="181" t="n">
        <f aca="false">U56+V55</f>
        <v>6081928.27826432</v>
      </c>
      <c r="W56" s="181" t="n">
        <f aca="false">V56+W55</f>
        <v>7355215.5206528</v>
      </c>
      <c r="X56" s="181" t="n">
        <f aca="false">W56+X55</f>
        <v>7355215.5206528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未回收</v>
      </c>
      <c r="Q57" s="185" t="str">
        <f aca="false">IF((Q56)&gt;0,"回收","未回收")</f>
        <v>未回收</v>
      </c>
      <c r="R57" s="185" t="str">
        <f aca="false">IF((R56)&gt;0,"回收","未回收")</f>
        <v>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0.0337851432807958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-946960</v>
      </c>
      <c r="E67" s="193" t="n">
        <f aca="false">$C$44/$E$16</f>
        <v>-946960</v>
      </c>
      <c r="F67" s="193" t="n">
        <f aca="false">$C$44/$E$16</f>
        <v>-946960</v>
      </c>
      <c r="G67" s="193" t="n">
        <f aca="false">$C$44/$E$16</f>
        <v>-946960</v>
      </c>
      <c r="H67" s="193" t="n">
        <f aca="false">$C$44/$E$16</f>
        <v>-946960</v>
      </c>
      <c r="I67" s="193" t="n">
        <f aca="false">$C$44/$E$16</f>
        <v>-946960</v>
      </c>
      <c r="J67" s="193" t="n">
        <f aca="false">$C$44/$E$16</f>
        <v>-946960</v>
      </c>
      <c r="K67" s="193" t="n">
        <f aca="false">$C$44/$E$16</f>
        <v>-946960</v>
      </c>
      <c r="L67" s="193" t="n">
        <f aca="false">$C$44/$E$16</f>
        <v>-946960</v>
      </c>
      <c r="M67" s="193" t="n">
        <f aca="false">$C$44/$E$16</f>
        <v>-946960</v>
      </c>
      <c r="N67" s="193" t="n">
        <f aca="false">$C$44/$E$16</f>
        <v>-946960</v>
      </c>
      <c r="O67" s="193" t="n">
        <f aca="false">$C$44/$E$16</f>
        <v>-946960</v>
      </c>
      <c r="P67" s="193" t="n">
        <f aca="false">$C$44/$E$16</f>
        <v>-946960</v>
      </c>
      <c r="Q67" s="193" t="n">
        <f aca="false">$C$44/$E$16</f>
        <v>-946960</v>
      </c>
      <c r="R67" s="193" t="n">
        <f aca="false">$C$44/$E$16</f>
        <v>-946960</v>
      </c>
      <c r="S67" s="193" t="n">
        <f aca="false">$C$44/$E$16</f>
        <v>-946960</v>
      </c>
      <c r="T67" s="193" t="n">
        <f aca="false">$C$44/$E$16</f>
        <v>-946960</v>
      </c>
      <c r="U67" s="193" t="n">
        <f aca="false">$C$44/$E$16</f>
        <v>-946960</v>
      </c>
      <c r="V67" s="193" t="n">
        <f aca="false">$C$44/$E$16</f>
        <v>-946960</v>
      </c>
      <c r="W67" s="193" t="n">
        <f aca="false">$C$44/$E$16</f>
        <v>-946960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-387799.0592</v>
      </c>
      <c r="E70" s="171" t="n">
        <f aca="false">-E109*$D25</f>
        <v>-361945.788586667</v>
      </c>
      <c r="F70" s="171" t="n">
        <f aca="false">-F109*$D25</f>
        <v>-336092.517973333</v>
      </c>
      <c r="G70" s="171" t="n">
        <f aca="false">-G109*$D25</f>
        <v>-310239.24736</v>
      </c>
      <c r="H70" s="171" t="n">
        <f aca="false">-H109*$D25</f>
        <v>-284385.976746667</v>
      </c>
      <c r="I70" s="171" t="n">
        <f aca="false">-I109*$D25</f>
        <v>-258532.706133333</v>
      </c>
      <c r="J70" s="171" t="n">
        <f aca="false">-J109*$D25</f>
        <v>-232679.43552</v>
      </c>
      <c r="K70" s="171" t="n">
        <f aca="false">-K109*$D25</f>
        <v>-206826.164906667</v>
      </c>
      <c r="L70" s="171" t="n">
        <f aca="false">-L109*$D25</f>
        <v>-180972.894293333</v>
      </c>
      <c r="M70" s="171" t="n">
        <f aca="false">-M109*$D25</f>
        <v>-155119.62368</v>
      </c>
      <c r="N70" s="171" t="n">
        <f aca="false">-N109*$D25</f>
        <v>-129266.353066667</v>
      </c>
      <c r="O70" s="171" t="n">
        <f aca="false">-O109*$D25</f>
        <v>-103413.082453333</v>
      </c>
      <c r="P70" s="171" t="n">
        <f aca="false">-P109*$D25</f>
        <v>-77559.8118399999</v>
      </c>
      <c r="Q70" s="171" t="n">
        <f aca="false">-Q109*$D25</f>
        <v>-51706.5412266665</v>
      </c>
      <c r="R70" s="171" t="n">
        <f aca="false">-R109*$D25</f>
        <v>-25853.2706133332</v>
      </c>
      <c r="S70" s="171" t="n">
        <f aca="false">-S109*$D25</f>
        <v>1.66860409080982E-010</v>
      </c>
      <c r="T70" s="171" t="n">
        <f aca="false">-T109*$D25</f>
        <v>1.66860409080982E-010</v>
      </c>
      <c r="U70" s="171" t="n">
        <f aca="false">-U109*$D25</f>
        <v>1.66860409080982E-010</v>
      </c>
      <c r="V70" s="171" t="n">
        <f aca="false">-V109*$D25</f>
        <v>1.66860409080982E-010</v>
      </c>
      <c r="W70" s="171" t="n">
        <f aca="false">-W109*$D25</f>
        <v>1.66860409080982E-010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-37940.7</v>
      </c>
      <c r="E72" s="171" t="n">
        <f aca="false">E49</f>
        <v>-37940.7</v>
      </c>
      <c r="F72" s="171" t="n">
        <f aca="false">F49</f>
        <v>-37940.7</v>
      </c>
      <c r="G72" s="171" t="n">
        <f aca="false">G49</f>
        <v>-37940.7</v>
      </c>
      <c r="H72" s="171" t="n">
        <f aca="false">H49</f>
        <v>-37940.7</v>
      </c>
      <c r="I72" s="171" t="n">
        <f aca="false">I49</f>
        <v>-37940.7</v>
      </c>
      <c r="J72" s="171" t="n">
        <f aca="false">J49</f>
        <v>-37940.7</v>
      </c>
      <c r="K72" s="171" t="n">
        <f aca="false">K49</f>
        <v>-37940.7</v>
      </c>
      <c r="L72" s="171" t="n">
        <f aca="false">L49</f>
        <v>-37940.7</v>
      </c>
      <c r="M72" s="171" t="n">
        <f aca="false">M49</f>
        <v>-37940.7</v>
      </c>
      <c r="N72" s="171" t="n">
        <f aca="false">N49</f>
        <v>-37940.7</v>
      </c>
      <c r="O72" s="171" t="n">
        <f aca="false">O49</f>
        <v>-37940.7</v>
      </c>
      <c r="P72" s="171" t="n">
        <f aca="false">P49</f>
        <v>-37940.7</v>
      </c>
      <c r="Q72" s="171" t="n">
        <f aca="false">Q49</f>
        <v>-37940.7</v>
      </c>
      <c r="R72" s="171" t="n">
        <f aca="false">R49</f>
        <v>-37940.7</v>
      </c>
      <c r="S72" s="171" t="n">
        <f aca="false">S49</f>
        <v>-37940.7</v>
      </c>
      <c r="T72" s="171" t="n">
        <f aca="false">T49</f>
        <v>-37940.7</v>
      </c>
      <c r="U72" s="171" t="n">
        <f aca="false">U49</f>
        <v>-37940.7</v>
      </c>
      <c r="V72" s="171" t="n">
        <f aca="false">V49</f>
        <v>-37940.7</v>
      </c>
      <c r="W72" s="171" t="n">
        <f aca="false">W49</f>
        <v>-37940.7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421149.852895999</v>
      </c>
      <c r="E76" s="176" t="n">
        <f aca="false">SUM(E64:E75)</f>
        <v>148673.236187733</v>
      </c>
      <c r="F76" s="176" t="n">
        <f aca="false">SUM(F64:F75)</f>
        <v>166397.619479466</v>
      </c>
      <c r="G76" s="176" t="n">
        <f aca="false">SUM(G64:G75)</f>
        <v>184122.0027712</v>
      </c>
      <c r="H76" s="176" t="n">
        <f aca="false">SUM(H64:H75)</f>
        <v>201846.386062933</v>
      </c>
      <c r="I76" s="176" t="n">
        <f aca="false">SUM(I64:I75)</f>
        <v>219570.769354666</v>
      </c>
      <c r="J76" s="176" t="n">
        <f aca="false">SUM(J64:J75)</f>
        <v>237295.1526464</v>
      </c>
      <c r="K76" s="176" t="n">
        <f aca="false">SUM(K64:K75)</f>
        <v>255019.535938133</v>
      </c>
      <c r="L76" s="176" t="n">
        <f aca="false">SUM(L64:L75)</f>
        <v>272743.919229866</v>
      </c>
      <c r="M76" s="176" t="n">
        <f aca="false">SUM(M64:M75)</f>
        <v>290468.3025216</v>
      </c>
      <c r="N76" s="176" t="n">
        <f aca="false">SUM(N64:N75)</f>
        <v>351802.685813333</v>
      </c>
      <c r="O76" s="176" t="n">
        <f aca="false">SUM(O64:O75)</f>
        <v>369527.069105066</v>
      </c>
      <c r="P76" s="176" t="n">
        <f aca="false">SUM(P64:P75)</f>
        <v>387251.4523968</v>
      </c>
      <c r="Q76" s="176" t="n">
        <f aca="false">SUM(Q64:Q75)</f>
        <v>404975.835688533</v>
      </c>
      <c r="R76" s="176" t="n">
        <f aca="false">SUM(R64:R75)</f>
        <v>422700.218980267</v>
      </c>
      <c r="S76" s="176" t="n">
        <f aca="false">SUM(S64:S75)</f>
        <v>440424.602272</v>
      </c>
      <c r="T76" s="176" t="n">
        <f aca="false">SUM(T64:T75)</f>
        <v>432295.7149504</v>
      </c>
      <c r="U76" s="176" t="n">
        <f aca="false">SUM(U64:U75)</f>
        <v>424166.8276288</v>
      </c>
      <c r="V76" s="176" t="n">
        <f aca="false">SUM(V64:V75)</f>
        <v>416037.9403072</v>
      </c>
      <c r="W76" s="176" t="n">
        <f aca="false">SUM(W64:W75)</f>
        <v>407909.0529856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-84229.9705791999</v>
      </c>
      <c r="E77" s="171" t="n">
        <f aca="false">-E76*0.2</f>
        <v>-29734.6472375466</v>
      </c>
      <c r="F77" s="171" t="n">
        <f aca="false">-F76*0.2</f>
        <v>-33279.5238958933</v>
      </c>
      <c r="G77" s="171" t="n">
        <f aca="false">-G76*0.2</f>
        <v>-36824.40055424</v>
      </c>
      <c r="H77" s="171" t="n">
        <f aca="false">-H76*0.2</f>
        <v>-40369.2772125866</v>
      </c>
      <c r="I77" s="171" t="n">
        <f aca="false">-I76*0.2</f>
        <v>-43914.1538709333</v>
      </c>
      <c r="J77" s="171" t="n">
        <f aca="false">-J76*0.2</f>
        <v>-47459.03052928</v>
      </c>
      <c r="K77" s="171" t="n">
        <f aca="false">-K76*0.2</f>
        <v>-51003.9071876266</v>
      </c>
      <c r="L77" s="171" t="n">
        <f aca="false">-L76*0.2</f>
        <v>-54548.7838459733</v>
      </c>
      <c r="M77" s="171" t="n">
        <f aca="false">-M76*0.2</f>
        <v>-58093.66050432</v>
      </c>
      <c r="N77" s="171" t="n">
        <f aca="false">-N76*0.2</f>
        <v>-70360.5371626666</v>
      </c>
      <c r="O77" s="171" t="n">
        <f aca="false">-O76*0.2</f>
        <v>-73905.4138210133</v>
      </c>
      <c r="P77" s="171" t="n">
        <f aca="false">-P76*0.2</f>
        <v>-77450.29047936</v>
      </c>
      <c r="Q77" s="171" t="n">
        <f aca="false">-Q76*0.2</f>
        <v>-80995.1671377066</v>
      </c>
      <c r="R77" s="171" t="n">
        <f aca="false">-R76*0.2</f>
        <v>-84540.0437960533</v>
      </c>
      <c r="S77" s="171" t="n">
        <f aca="false">-S76*0.2</f>
        <v>-88084.9204544</v>
      </c>
      <c r="T77" s="171" t="n">
        <f aca="false">-T76*0.2</f>
        <v>-86459.1429900799</v>
      </c>
      <c r="U77" s="171" t="n">
        <f aca="false">-U76*0.2</f>
        <v>-84833.36552576</v>
      </c>
      <c r="V77" s="171" t="n">
        <f aca="false">-V76*0.2</f>
        <v>-83207.5880614399</v>
      </c>
      <c r="W77" s="171" t="n">
        <f aca="false">-W76*0.2</f>
        <v>-81581.81059712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336919.8823168</v>
      </c>
      <c r="E78" s="171" t="n">
        <f aca="false">SUM(E76:E77)</f>
        <v>118938.588950186</v>
      </c>
      <c r="F78" s="171" t="n">
        <f aca="false">SUM(F76:F77)</f>
        <v>133118.095583573</v>
      </c>
      <c r="G78" s="171" t="n">
        <f aca="false">SUM(G76:G77)</f>
        <v>147297.60221696</v>
      </c>
      <c r="H78" s="171" t="n">
        <f aca="false">SUM(H76:H77)</f>
        <v>161477.108850346</v>
      </c>
      <c r="I78" s="171" t="n">
        <f aca="false">SUM(I76:I77)</f>
        <v>175656.615483733</v>
      </c>
      <c r="J78" s="171" t="n">
        <f aca="false">SUM(J76:J77)</f>
        <v>189836.12211712</v>
      </c>
      <c r="K78" s="171" t="n">
        <f aca="false">SUM(K76:K77)</f>
        <v>204015.628750506</v>
      </c>
      <c r="L78" s="171" t="n">
        <f aca="false">SUM(L76:L77)</f>
        <v>218195.135383893</v>
      </c>
      <c r="M78" s="171" t="n">
        <f aca="false">SUM(M76:M77)</f>
        <v>232374.64201728</v>
      </c>
      <c r="N78" s="171" t="n">
        <f aca="false">SUM(N76:N77)</f>
        <v>281442.148650666</v>
      </c>
      <c r="O78" s="171" t="n">
        <f aca="false">SUM(O76:O77)</f>
        <v>295621.655284053</v>
      </c>
      <c r="P78" s="171" t="n">
        <f aca="false">SUM(P76:P77)</f>
        <v>309801.16191744</v>
      </c>
      <c r="Q78" s="171" t="n">
        <f aca="false">SUM(Q76:Q77)</f>
        <v>323980.668550827</v>
      </c>
      <c r="R78" s="171" t="n">
        <f aca="false">SUM(R76:R77)</f>
        <v>338160.175184213</v>
      </c>
      <c r="S78" s="171" t="n">
        <f aca="false">SUM(S76:S77)</f>
        <v>352339.6818176</v>
      </c>
      <c r="T78" s="171" t="n">
        <f aca="false">SUM(T76:T77)</f>
        <v>345836.57196032</v>
      </c>
      <c r="U78" s="171" t="n">
        <f aca="false">SUM(U76:U77)</f>
        <v>339333.46210304</v>
      </c>
      <c r="V78" s="171" t="n">
        <f aca="false">SUM(V76:V77)</f>
        <v>332830.35224576</v>
      </c>
      <c r="W78" s="171" t="n">
        <f aca="false">SUM(W76:W77)</f>
        <v>326327.24238848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336919.8823168</v>
      </c>
      <c r="E85" s="208" t="n">
        <f aca="false">E78</f>
        <v>118938.588950186</v>
      </c>
      <c r="F85" s="208" t="n">
        <f aca="false">F78</f>
        <v>133118.095583573</v>
      </c>
      <c r="G85" s="208" t="n">
        <f aca="false">G78</f>
        <v>147297.60221696</v>
      </c>
      <c r="H85" s="208" t="n">
        <f aca="false">H78</f>
        <v>161477.108850346</v>
      </c>
      <c r="I85" s="208" t="n">
        <f aca="false">I78</f>
        <v>175656.615483733</v>
      </c>
      <c r="J85" s="208" t="n">
        <f aca="false">J78</f>
        <v>189836.12211712</v>
      </c>
      <c r="K85" s="208" t="n">
        <f aca="false">K78</f>
        <v>204015.628750506</v>
      </c>
      <c r="L85" s="208" t="n">
        <f aca="false">L78</f>
        <v>218195.135383893</v>
      </c>
      <c r="M85" s="208" t="n">
        <f aca="false">M78</f>
        <v>232374.64201728</v>
      </c>
      <c r="N85" s="208" t="n">
        <f aca="false">N78</f>
        <v>281442.148650666</v>
      </c>
      <c r="O85" s="208" t="n">
        <f aca="false">O78</f>
        <v>295621.655284053</v>
      </c>
      <c r="P85" s="208" t="n">
        <f aca="false">P78</f>
        <v>309801.16191744</v>
      </c>
      <c r="Q85" s="208" t="n">
        <f aca="false">Q78</f>
        <v>323980.668550827</v>
      </c>
      <c r="R85" s="208" t="n">
        <f aca="false">R78</f>
        <v>338160.175184213</v>
      </c>
      <c r="S85" s="208" t="n">
        <f aca="false">S78</f>
        <v>352339.6818176</v>
      </c>
      <c r="T85" s="208" t="n">
        <f aca="false">T78</f>
        <v>345836.57196032</v>
      </c>
      <c r="U85" s="208" t="n">
        <f aca="false">U78</f>
        <v>339333.46210304</v>
      </c>
      <c r="V85" s="208" t="n">
        <f aca="false">V78</f>
        <v>332830.35224576</v>
      </c>
      <c r="W85" s="208" t="n">
        <f aca="false">W78</f>
        <v>326327.24238848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946960</v>
      </c>
      <c r="E86" s="209" t="n">
        <f aca="false">-E67</f>
        <v>946960</v>
      </c>
      <c r="F86" s="209" t="n">
        <f aca="false">-F67</f>
        <v>946960</v>
      </c>
      <c r="G86" s="209" t="n">
        <f aca="false">-G67</f>
        <v>946960</v>
      </c>
      <c r="H86" s="209" t="n">
        <f aca="false">-H67</f>
        <v>946960</v>
      </c>
      <c r="I86" s="209" t="n">
        <f aca="false">-I67</f>
        <v>946960</v>
      </c>
      <c r="J86" s="209" t="n">
        <f aca="false">-J67</f>
        <v>946960</v>
      </c>
      <c r="K86" s="209" t="n">
        <f aca="false">-K67</f>
        <v>946960</v>
      </c>
      <c r="L86" s="209" t="n">
        <f aca="false">-L67</f>
        <v>946960</v>
      </c>
      <c r="M86" s="209" t="n">
        <f aca="false">-M67</f>
        <v>946960</v>
      </c>
      <c r="N86" s="209" t="n">
        <f aca="false">-N67</f>
        <v>946960</v>
      </c>
      <c r="O86" s="209" t="n">
        <f aca="false">-O67</f>
        <v>946960</v>
      </c>
      <c r="P86" s="209" t="n">
        <f aca="false">-P67</f>
        <v>946960</v>
      </c>
      <c r="Q86" s="209" t="n">
        <f aca="false">-Q67</f>
        <v>946960</v>
      </c>
      <c r="R86" s="209" t="n">
        <f aca="false">-R67</f>
        <v>946960</v>
      </c>
      <c r="S86" s="209" t="n">
        <f aca="false">-S67</f>
        <v>946960</v>
      </c>
      <c r="T86" s="209" t="n">
        <f aca="false">-T67</f>
        <v>946960</v>
      </c>
      <c r="U86" s="209" t="n">
        <f aca="false">-U67</f>
        <v>946960</v>
      </c>
      <c r="V86" s="209" t="n">
        <f aca="false">-V67</f>
        <v>946960</v>
      </c>
      <c r="W86" s="209" t="n">
        <f aca="false">-W67</f>
        <v>946960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1283879.8823168</v>
      </c>
      <c r="E87" s="211" t="n">
        <f aca="false">SUM(E85:E86)</f>
        <v>1065898.58895019</v>
      </c>
      <c r="F87" s="211" t="n">
        <f aca="false">SUM(F85:F86)</f>
        <v>1080078.09558357</v>
      </c>
      <c r="G87" s="211" t="n">
        <f aca="false">SUM(G85:G86)</f>
        <v>1094257.60221696</v>
      </c>
      <c r="H87" s="211" t="n">
        <f aca="false">SUM(H85:H86)</f>
        <v>1108437.10885035</v>
      </c>
      <c r="I87" s="211" t="n">
        <f aca="false">SUM(I85:I86)</f>
        <v>1122616.61548373</v>
      </c>
      <c r="J87" s="211" t="n">
        <f aca="false">SUM(J85:J86)</f>
        <v>1136796.12211712</v>
      </c>
      <c r="K87" s="211" t="n">
        <f aca="false">SUM(K85:K86)</f>
        <v>1150975.62875051</v>
      </c>
      <c r="L87" s="211" t="n">
        <f aca="false">SUM(L85:L86)</f>
        <v>1165155.13538389</v>
      </c>
      <c r="M87" s="211" t="n">
        <f aca="false">SUM(M85:M86)</f>
        <v>1179334.64201728</v>
      </c>
      <c r="N87" s="211" t="n">
        <f aca="false">SUM(N85:N86)</f>
        <v>1228402.14865067</v>
      </c>
      <c r="O87" s="211" t="n">
        <f aca="false">SUM(O85:O86)</f>
        <v>1242581.65528405</v>
      </c>
      <c r="P87" s="211" t="n">
        <f aca="false">SUM(P85:P86)</f>
        <v>1256761.16191744</v>
      </c>
      <c r="Q87" s="211" t="n">
        <f aca="false">SUM(Q85:Q86)</f>
        <v>1270940.66855083</v>
      </c>
      <c r="R87" s="211" t="n">
        <f aca="false">SUM(R85:R86)</f>
        <v>1285120.17518421</v>
      </c>
      <c r="S87" s="211" t="n">
        <f aca="false">SUM(S85:S86)</f>
        <v>1299299.6818176</v>
      </c>
      <c r="T87" s="211" t="n">
        <f aca="false">SUM(T85:T86)</f>
        <v>1292796.57196032</v>
      </c>
      <c r="U87" s="211" t="n">
        <f aca="false">SUM(U85:U86)</f>
        <v>1286293.46210304</v>
      </c>
      <c r="V87" s="211" t="n">
        <f aca="false">SUM(V85:V86)</f>
        <v>1279790.35224576</v>
      </c>
      <c r="W87" s="211" t="n">
        <f aca="false">SUM(W85:W86)</f>
        <v>1273287.24238848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-18939200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15151360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-1010090.66666667</v>
      </c>
      <c r="F93" s="217" t="n">
        <v>-1010090.66666667</v>
      </c>
      <c r="G93" s="217" t="n">
        <v>-1010090.66666667</v>
      </c>
      <c r="H93" s="217" t="n">
        <v>-1010090.66666667</v>
      </c>
      <c r="I93" s="217" t="n">
        <v>-1010090.66666667</v>
      </c>
      <c r="J93" s="217" t="n">
        <v>-1010090.66666667</v>
      </c>
      <c r="K93" s="217" t="n">
        <v>-1010090.66666667</v>
      </c>
      <c r="L93" s="217" t="n">
        <v>-1010090.66666667</v>
      </c>
      <c r="M93" s="217" t="n">
        <v>-1010090.66666667</v>
      </c>
      <c r="N93" s="217" t="n">
        <v>-1010090.66666667</v>
      </c>
      <c r="O93" s="217" t="n">
        <v>-1010090.66666667</v>
      </c>
      <c r="P93" s="217" t="n">
        <v>-1010090.66666667</v>
      </c>
      <c r="Q93" s="217" t="n">
        <v>-1010090.66666667</v>
      </c>
      <c r="R93" s="217" t="n">
        <v>-1010090.66666667</v>
      </c>
      <c r="S93" s="217" t="n">
        <v>-1010090.66666667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3787840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-303227.89408512</v>
      </c>
      <c r="F95" s="218" t="n">
        <f aca="false">-E85*$D$33</f>
        <v>-107044.730055168</v>
      </c>
      <c r="G95" s="218" t="n">
        <f aca="false">-F85*$D$33</f>
        <v>-119806.286025216</v>
      </c>
      <c r="H95" s="218" t="n">
        <f aca="false">-G85*$D$33</f>
        <v>-132567.841995264</v>
      </c>
      <c r="I95" s="218" t="n">
        <f aca="false">-H85*$D$33</f>
        <v>-145329.397965312</v>
      </c>
      <c r="J95" s="218" t="n">
        <f aca="false">-I85*$D$33</f>
        <v>-158090.95393536</v>
      </c>
      <c r="K95" s="218" t="n">
        <f aca="false">-J85*$D$33</f>
        <v>-170852.509905408</v>
      </c>
      <c r="L95" s="218" t="n">
        <f aca="false">-K85*$D$33</f>
        <v>-183614.065875456</v>
      </c>
      <c r="M95" s="218" t="n">
        <f aca="false">-L85*$D$33</f>
        <v>-196375.621845504</v>
      </c>
      <c r="N95" s="218" t="n">
        <f aca="false">-M85*$D$33</f>
        <v>-209137.177815552</v>
      </c>
      <c r="O95" s="218" t="n">
        <f aca="false">-N85*$D$33</f>
        <v>-253297.9337856</v>
      </c>
      <c r="P95" s="218" t="n">
        <f aca="false">-O85*$D$33</f>
        <v>-266059.489755648</v>
      </c>
      <c r="Q95" s="218" t="n">
        <f aca="false">-P85*$D$33</f>
        <v>-278821.045725696</v>
      </c>
      <c r="R95" s="218" t="n">
        <f aca="false">-Q85*$D$33</f>
        <v>-291582.601695744</v>
      </c>
      <c r="S95" s="218" t="n">
        <f aca="false">-R85*$D$33</f>
        <v>-304344.157665792</v>
      </c>
      <c r="T95" s="218" t="n">
        <f aca="false">-S85*$D$33</f>
        <v>-317105.71363584</v>
      </c>
      <c r="U95" s="218" t="n">
        <f aca="false">-T85*$D$33</f>
        <v>-311252.914764288</v>
      </c>
      <c r="V95" s="218" t="n">
        <f aca="false">-U85*$D$33</f>
        <v>-305400.115892736</v>
      </c>
      <c r="W95" s="218" t="n">
        <f aca="false">-V85*$D$33</f>
        <v>-299547.317021184</v>
      </c>
      <c r="X95" s="218" t="n">
        <f aca="false">-W85*$D$33</f>
        <v>-293694.518149632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-946960</v>
      </c>
      <c r="U96" s="221" t="n">
        <v>-946960</v>
      </c>
      <c r="V96" s="221" t="n">
        <v>-946960</v>
      </c>
      <c r="W96" s="221" t="n">
        <v>-946960</v>
      </c>
      <c r="X96" s="222" t="n">
        <f aca="false">-W101-X95</f>
        <v>-516350.25417728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1283879.8823168</v>
      </c>
      <c r="E99" s="208" t="n">
        <f aca="false">SUM(E87:E96)</f>
        <v>-247419.9718016</v>
      </c>
      <c r="F99" s="208" t="n">
        <f aca="false">SUM(F87:F96)</f>
        <v>-37057.3011382611</v>
      </c>
      <c r="G99" s="208" t="n">
        <f aca="false">SUM(G87:G96)</f>
        <v>-35639.3504749226</v>
      </c>
      <c r="H99" s="208" t="n">
        <f aca="false">SUM(H87:H96)</f>
        <v>-34221.3998115842</v>
      </c>
      <c r="I99" s="208" t="n">
        <f aca="false">SUM(I87:I96)</f>
        <v>-32803.4491482453</v>
      </c>
      <c r="J99" s="208" t="n">
        <f aca="false">SUM(J87:J96)</f>
        <v>-31385.4984849067</v>
      </c>
      <c r="K99" s="208" t="n">
        <f aca="false">SUM(K87:K96)</f>
        <v>-29967.5478215684</v>
      </c>
      <c r="L99" s="208" t="n">
        <f aca="false">SUM(L87:L96)</f>
        <v>-28549.5971582295</v>
      </c>
      <c r="M99" s="208" t="n">
        <f aca="false">SUM(M87:M96)</f>
        <v>-27131.6464948908</v>
      </c>
      <c r="N99" s="208" t="n">
        <f aca="false">SUM(N87:N96)</f>
        <v>9174.30416844788</v>
      </c>
      <c r="O99" s="208" t="n">
        <f aca="false">SUM(O87:O96)</f>
        <v>-20806.9451682134</v>
      </c>
      <c r="P99" s="208" t="n">
        <f aca="false">SUM(P87:P96)</f>
        <v>-19388.9945048747</v>
      </c>
      <c r="Q99" s="208" t="n">
        <f aca="false">SUM(Q87:Q96)</f>
        <v>-17971.0438415362</v>
      </c>
      <c r="R99" s="208" t="n">
        <f aca="false">SUM(R87:R96)</f>
        <v>-16553.0931781973</v>
      </c>
      <c r="S99" s="208" t="n">
        <f aca="false">SUM(S87:S96)</f>
        <v>-15135.1425148589</v>
      </c>
      <c r="T99" s="208" t="n">
        <f aca="false">SUM(T87:T96)</f>
        <v>28730.8583244799</v>
      </c>
      <c r="U99" s="208" t="n">
        <f aca="false">SUM(U87:U96)</f>
        <v>28080.5473387523</v>
      </c>
      <c r="V99" s="208" t="n">
        <f aca="false">SUM(V87:V96)</f>
        <v>27430.236353024</v>
      </c>
      <c r="W99" s="208" t="n">
        <f aca="false">SUM(W87:W96)</f>
        <v>26779.9253672964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1283879.8823168</v>
      </c>
      <c r="F100" s="208" t="n">
        <f aca="false">E101</f>
        <v>1036459.9105152</v>
      </c>
      <c r="G100" s="208" t="n">
        <f aca="false">F101</f>
        <v>999402.609376939</v>
      </c>
      <c r="H100" s="208" t="n">
        <f aca="false">G101</f>
        <v>963763.258902016</v>
      </c>
      <c r="I100" s="208" t="n">
        <f aca="false">H101</f>
        <v>929541.859090432</v>
      </c>
      <c r="J100" s="208" t="n">
        <f aca="false">I101</f>
        <v>896738.409942187</v>
      </c>
      <c r="K100" s="208" t="n">
        <f aca="false">J101</f>
        <v>865352.91145728</v>
      </c>
      <c r="L100" s="208" t="n">
        <f aca="false">K101</f>
        <v>835385.363635712</v>
      </c>
      <c r="M100" s="208" t="n">
        <f aca="false">L101</f>
        <v>806835.766477482</v>
      </c>
      <c r="N100" s="208" t="n">
        <f aca="false">M101</f>
        <v>779704.119982592</v>
      </c>
      <c r="O100" s="208" t="n">
        <f aca="false">N101</f>
        <v>788878.424151039</v>
      </c>
      <c r="P100" s="208" t="n">
        <f aca="false">O101</f>
        <v>768071.478982826</v>
      </c>
      <c r="Q100" s="208" t="n">
        <f aca="false">P101</f>
        <v>748682.484477951</v>
      </c>
      <c r="R100" s="208" t="n">
        <f aca="false">Q101</f>
        <v>730711.440636415</v>
      </c>
      <c r="S100" s="208" t="n">
        <f aca="false">R101</f>
        <v>714158.347458218</v>
      </c>
      <c r="T100" s="208" t="n">
        <f aca="false">S101</f>
        <v>699023.204943359</v>
      </c>
      <c r="U100" s="208" t="n">
        <f aca="false">T101</f>
        <v>727754.063267839</v>
      </c>
      <c r="V100" s="208" t="n">
        <f aca="false">U101</f>
        <v>755834.610606591</v>
      </c>
      <c r="W100" s="208" t="n">
        <f aca="false">V101</f>
        <v>783264.846959615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1283879.8823168</v>
      </c>
      <c r="E101" s="208" t="n">
        <f aca="false">E99+E100</f>
        <v>1036459.9105152</v>
      </c>
      <c r="F101" s="208" t="n">
        <f aca="false">F99+F100</f>
        <v>999402.609376939</v>
      </c>
      <c r="G101" s="208" t="n">
        <f aca="false">G99+G100</f>
        <v>963763.258902016</v>
      </c>
      <c r="H101" s="208" t="n">
        <f aca="false">H99+H100</f>
        <v>929541.859090432</v>
      </c>
      <c r="I101" s="208" t="n">
        <f aca="false">I99+I100</f>
        <v>896738.409942187</v>
      </c>
      <c r="J101" s="208" t="n">
        <f aca="false">J99+J100</f>
        <v>865352.91145728</v>
      </c>
      <c r="K101" s="208" t="n">
        <f aca="false">K99+K100</f>
        <v>835385.363635712</v>
      </c>
      <c r="L101" s="208" t="n">
        <f aca="false">L99+L100</f>
        <v>806835.766477482</v>
      </c>
      <c r="M101" s="208" t="n">
        <f aca="false">M99+M100</f>
        <v>779704.119982592</v>
      </c>
      <c r="N101" s="208" t="n">
        <f aca="false">N99+N100</f>
        <v>788878.424151039</v>
      </c>
      <c r="O101" s="208" t="n">
        <f aca="false">O99+O100</f>
        <v>768071.478982826</v>
      </c>
      <c r="P101" s="208" t="n">
        <f aca="false">P99+P100</f>
        <v>748682.484477951</v>
      </c>
      <c r="Q101" s="208" t="n">
        <f aca="false">Q99+Q100</f>
        <v>730711.440636415</v>
      </c>
      <c r="R101" s="208" t="n">
        <f aca="false">R99+R100</f>
        <v>714158.347458218</v>
      </c>
      <c r="S101" s="208" t="n">
        <f aca="false">S99+S100</f>
        <v>699023.204943359</v>
      </c>
      <c r="T101" s="208" t="n">
        <f aca="false">T99+T100</f>
        <v>727754.063267839</v>
      </c>
      <c r="U101" s="208" t="n">
        <f aca="false">U99+U100</f>
        <v>755834.610606591</v>
      </c>
      <c r="V101" s="208" t="n">
        <f aca="false">V99+V100</f>
        <v>783264.846959615</v>
      </c>
      <c r="W101" s="208" t="n">
        <f aca="false">W99+W100</f>
        <v>810044.772326912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-3787840</v>
      </c>
      <c r="E104" s="211" t="n">
        <f aca="false">-E95-E96</f>
        <v>303227.89408512</v>
      </c>
      <c r="F104" s="211" t="n">
        <f aca="false">-F95-F96</f>
        <v>107044.730055168</v>
      </c>
      <c r="G104" s="211" t="n">
        <f aca="false">-G95-G96</f>
        <v>119806.286025216</v>
      </c>
      <c r="H104" s="211" t="n">
        <f aca="false">-H95-H96</f>
        <v>132567.841995264</v>
      </c>
      <c r="I104" s="211" t="n">
        <f aca="false">-I95-I96</f>
        <v>145329.397965312</v>
      </c>
      <c r="J104" s="211" t="n">
        <f aca="false">-J95-J96</f>
        <v>158090.95393536</v>
      </c>
      <c r="K104" s="211" t="n">
        <f aca="false">-K95-K96</f>
        <v>170852.509905408</v>
      </c>
      <c r="L104" s="211" t="n">
        <f aca="false">-L95-L96</f>
        <v>183614.065875456</v>
      </c>
      <c r="M104" s="211" t="n">
        <f aca="false">-M95-M96</f>
        <v>196375.621845504</v>
      </c>
      <c r="N104" s="211" t="n">
        <f aca="false">-N95-N96</f>
        <v>209137.177815552</v>
      </c>
      <c r="O104" s="211" t="n">
        <f aca="false">-O95-O96</f>
        <v>253297.9337856</v>
      </c>
      <c r="P104" s="211" t="n">
        <f aca="false">-P95-P96</f>
        <v>266059.489755648</v>
      </c>
      <c r="Q104" s="211" t="n">
        <f aca="false">-Q95-Q96</f>
        <v>278821.045725696</v>
      </c>
      <c r="R104" s="211" t="n">
        <f aca="false">-R95-R96</f>
        <v>291582.601695744</v>
      </c>
      <c r="S104" s="211" t="n">
        <f aca="false">-S95-S96</f>
        <v>304344.157665792</v>
      </c>
      <c r="T104" s="211" t="n">
        <f aca="false">-T95-T96</f>
        <v>1264065.71363584</v>
      </c>
      <c r="U104" s="211" t="n">
        <f aca="false">-U95-U96</f>
        <v>1258212.91476429</v>
      </c>
      <c r="V104" s="211" t="n">
        <f aca="false">-V95-V96</f>
        <v>1252360.11589274</v>
      </c>
      <c r="W104" s="211" t="n">
        <f aca="false">-W95-W96</f>
        <v>1246507.31702118</v>
      </c>
      <c r="X104" s="211" t="n">
        <f aca="false">-X95-X96</f>
        <v>810044.772326912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0.064289794483146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-3450920.1176832</v>
      </c>
      <c r="E106" s="211" t="n">
        <f aca="false">E85</f>
        <v>118938.588950186</v>
      </c>
      <c r="F106" s="211" t="n">
        <f aca="false">F85-F96</f>
        <v>133118.095583573</v>
      </c>
      <c r="G106" s="211" t="n">
        <f aca="false">G85-G96</f>
        <v>147297.60221696</v>
      </c>
      <c r="H106" s="211" t="n">
        <f aca="false">H85-H96</f>
        <v>161477.108850346</v>
      </c>
      <c r="I106" s="211" t="n">
        <f aca="false">I85-I96</f>
        <v>175656.615483733</v>
      </c>
      <c r="J106" s="211" t="n">
        <f aca="false">J85-J96</f>
        <v>189836.12211712</v>
      </c>
      <c r="K106" s="211" t="n">
        <f aca="false">K85-K96</f>
        <v>204015.628750506</v>
      </c>
      <c r="L106" s="211" t="n">
        <f aca="false">L85-L96</f>
        <v>218195.135383893</v>
      </c>
      <c r="M106" s="211" t="n">
        <f aca="false">M85-M96</f>
        <v>232374.64201728</v>
      </c>
      <c r="N106" s="211" t="n">
        <f aca="false">N85-N96</f>
        <v>281442.148650666</v>
      </c>
      <c r="O106" s="211" t="n">
        <f aca="false">O85-O96</f>
        <v>295621.655284053</v>
      </c>
      <c r="P106" s="211" t="n">
        <f aca="false">P85-P96</f>
        <v>309801.16191744</v>
      </c>
      <c r="Q106" s="211" t="n">
        <f aca="false">Q85-Q96</f>
        <v>323980.668550827</v>
      </c>
      <c r="R106" s="211" t="n">
        <f aca="false">R85-R96</f>
        <v>338160.175184213</v>
      </c>
      <c r="S106" s="211" t="n">
        <f aca="false">S85-S96</f>
        <v>352339.6818176</v>
      </c>
      <c r="T106" s="211" t="n">
        <f aca="false">T85-T96</f>
        <v>1292796.57196032</v>
      </c>
      <c r="U106" s="211" t="n">
        <f aca="false">U85-U96</f>
        <v>1286293.46210304</v>
      </c>
      <c r="V106" s="211" t="n">
        <f aca="false">V85-V96</f>
        <v>1279790.35224576</v>
      </c>
      <c r="W106" s="211" t="n">
        <f aca="false">W85-W96</f>
        <v>1273287.24238848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0.0710567145218965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15151360</v>
      </c>
      <c r="E109" s="208" t="n">
        <f aca="false">D109+E93</f>
        <v>14141269.3333333</v>
      </c>
      <c r="F109" s="208" t="n">
        <f aca="false">E109+F93</f>
        <v>13131178.6666667</v>
      </c>
      <c r="G109" s="208" t="n">
        <f aca="false">F109+G93</f>
        <v>12121088</v>
      </c>
      <c r="H109" s="208" t="n">
        <f aca="false">G109+H93</f>
        <v>11110997.3333333</v>
      </c>
      <c r="I109" s="208" t="n">
        <f aca="false">H109+I93</f>
        <v>10100906.6666667</v>
      </c>
      <c r="J109" s="208" t="n">
        <f aca="false">I109+J93</f>
        <v>9090816</v>
      </c>
      <c r="K109" s="208" t="n">
        <f aca="false">J109+K93</f>
        <v>8080725.33333333</v>
      </c>
      <c r="L109" s="208" t="n">
        <f aca="false">K109+L93</f>
        <v>7070634.66666666</v>
      </c>
      <c r="M109" s="208" t="n">
        <f aca="false">L109+M93</f>
        <v>6060544</v>
      </c>
      <c r="N109" s="208" t="n">
        <f aca="false">M109+N93</f>
        <v>5050453.33333333</v>
      </c>
      <c r="O109" s="208" t="n">
        <f aca="false">N109+O93</f>
        <v>4040362.66666666</v>
      </c>
      <c r="P109" s="208" t="n">
        <f aca="false">O109+P93</f>
        <v>3030271.99999999</v>
      </c>
      <c r="Q109" s="208" t="n">
        <f aca="false">P109+Q93</f>
        <v>2020181.33333333</v>
      </c>
      <c r="R109" s="208" t="n">
        <f aca="false">Q109+R93</f>
        <v>1010090.66666666</v>
      </c>
      <c r="S109" s="208" t="n">
        <f aca="false">R109+S93</f>
        <v>-6.51925802230835E-009</v>
      </c>
      <c r="T109" s="208" t="n">
        <f aca="false">S109+T93</f>
        <v>-6.51925802230835E-009</v>
      </c>
      <c r="U109" s="208" t="n">
        <f aca="false">T109+U93</f>
        <v>-6.51925802230835E-009</v>
      </c>
      <c r="V109" s="208" t="n">
        <f aca="false">U109+V93</f>
        <v>-6.51925802230835E-009</v>
      </c>
      <c r="W109" s="208" t="n">
        <f aca="false">V109+W93</f>
        <v>-6.51925802230835E-009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160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161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162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163</v>
      </c>
    </row>
    <row r="8" customFormat="false" ht="22.5" hidden="false" customHeight="true" outlineLevel="0" collapsed="false">
      <c r="B8" s="14" t="s">
        <v>9</v>
      </c>
      <c r="E8" s="122"/>
      <c r="M8" s="0" t="s">
        <v>164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96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27000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-17693200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-35324.1</v>
      </c>
      <c r="E49" s="171" t="n">
        <v>-35324.1</v>
      </c>
      <c r="F49" s="171" t="n">
        <v>-35324.1</v>
      </c>
      <c r="G49" s="171" t="n">
        <v>-35324.1</v>
      </c>
      <c r="H49" s="171" t="n">
        <v>-35324.1</v>
      </c>
      <c r="I49" s="171" t="n">
        <v>-35324.1</v>
      </c>
      <c r="J49" s="171" t="n">
        <v>-35324.1</v>
      </c>
      <c r="K49" s="171" t="n">
        <v>-35324.1</v>
      </c>
      <c r="L49" s="171" t="n">
        <v>-35324.1</v>
      </c>
      <c r="M49" s="171" t="n">
        <v>-35324.1</v>
      </c>
      <c r="N49" s="171" t="n">
        <v>-35324.1</v>
      </c>
      <c r="O49" s="171" t="n">
        <v>-35324.1</v>
      </c>
      <c r="P49" s="171" t="n">
        <v>-35324.1</v>
      </c>
      <c r="Q49" s="171" t="n">
        <v>-35324.1</v>
      </c>
      <c r="R49" s="171" t="n">
        <v>-35324.1</v>
      </c>
      <c r="S49" s="171" t="n">
        <v>-35324.1</v>
      </c>
      <c r="T49" s="171" t="n">
        <v>-35324.1</v>
      </c>
      <c r="U49" s="171" t="n">
        <v>-35324.1</v>
      </c>
      <c r="V49" s="171" t="n">
        <v>-35324.1</v>
      </c>
      <c r="W49" s="171" t="n">
        <v>-35324.1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-174773.1024192</v>
      </c>
      <c r="E54" s="171" t="n">
        <f aca="false">-(E64+E67+E68+E71+E72+E73+E74)*0.2</f>
        <v>-115107.12495488</v>
      </c>
      <c r="F54" s="171" t="n">
        <f aca="false">-(F64+F67+F68+F71+F72+F73+F74)*0.2</f>
        <v>-113481.34749056</v>
      </c>
      <c r="G54" s="171" t="n">
        <f aca="false">-(G64+G67+G68+G71+G72+G73+G74)*0.2</f>
        <v>-111855.57002624</v>
      </c>
      <c r="H54" s="171" t="n">
        <f aca="false">-(H64+H67+H68+H71+H72+H73+H74)*0.2</f>
        <v>-110229.79256192</v>
      </c>
      <c r="I54" s="171" t="n">
        <f aca="false">-(I64+I67+I68+I71+I72+I73+I74)*0.2</f>
        <v>-108604.0150976</v>
      </c>
      <c r="J54" s="171" t="n">
        <f aca="false">-(J64+J67+J68+J71+J72+J73+J74)*0.2</f>
        <v>-106978.23763328</v>
      </c>
      <c r="K54" s="171" t="n">
        <f aca="false">-(K64+K67+K68+K71+K72+K73+K74)*0.2</f>
        <v>-105352.46016896</v>
      </c>
      <c r="L54" s="171" t="n">
        <f aca="false">-(L64+L67+L68+L71+L72+L73+L74)*0.2</f>
        <v>-103726.68270464</v>
      </c>
      <c r="M54" s="171" t="n">
        <f aca="false">-(M64+M67+M68+M71+M72+M73+M74)*0.2</f>
        <v>-102100.90524032</v>
      </c>
      <c r="N54" s="171" t="n">
        <f aca="false">-(N64+N67+N68+N71+N72+N73+N74)*0.2</f>
        <v>-109197.127776</v>
      </c>
      <c r="O54" s="171" t="n">
        <f aca="false">-(O64+O67+O68+O71+O72+O73+O74)*0.2</f>
        <v>-107571.35031168</v>
      </c>
      <c r="P54" s="171" t="n">
        <f aca="false">-(P64+P67+P68+P71+P72+P73+P74)*0.2</f>
        <v>-105945.57284736</v>
      </c>
      <c r="Q54" s="171" t="n">
        <f aca="false">-(Q64+Q67+Q68+Q71+Q72+Q73+Q74)*0.2</f>
        <v>-104319.79538304</v>
      </c>
      <c r="R54" s="171" t="n">
        <f aca="false">-(R64+R67+R68+R71+R72+R73+R74)*0.2</f>
        <v>-102694.01791872</v>
      </c>
      <c r="S54" s="171" t="n">
        <f aca="false">-(S64+S67+S68+S71+S72+S73+S74)*0.2</f>
        <v>-101068.2404544</v>
      </c>
      <c r="T54" s="171" t="n">
        <f aca="false">-(T64+T67+T68+T71+T72+T73+T74)*0.2</f>
        <v>-99442.46299008</v>
      </c>
      <c r="U54" s="171" t="n">
        <f aca="false">-(U64+U67+U68+U71+U72+U73+U74)*0.2</f>
        <v>-97816.68552576</v>
      </c>
      <c r="V54" s="171" t="n">
        <f aca="false">-(V64+V67+V68+V71+V72+V73+V74)*0.2</f>
        <v>-96190.9080614399</v>
      </c>
      <c r="W54" s="171" t="n">
        <f aca="false">-(W64+W67+W68+W71+W72+W73+W74)*0.2</f>
        <v>-94565.13059712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-17693200</v>
      </c>
      <c r="D55" s="176" t="n">
        <f aca="false">SUM(D41:D54)</f>
        <v>1293551.4096768</v>
      </c>
      <c r="E55" s="176" t="n">
        <f aca="false">SUM(E41:E54)</f>
        <v>1345088.49981952</v>
      </c>
      <c r="F55" s="176" t="n">
        <f aca="false">SUM(F41:F54)</f>
        <v>1338585.38996224</v>
      </c>
      <c r="G55" s="176" t="n">
        <f aca="false">SUM(G41:G54)</f>
        <v>1332082.28010496</v>
      </c>
      <c r="H55" s="176" t="n">
        <f aca="false">SUM(H41:H54)</f>
        <v>1325579.17024768</v>
      </c>
      <c r="I55" s="176" t="n">
        <f aca="false">SUM(I41:I54)</f>
        <v>1319076.0603904</v>
      </c>
      <c r="J55" s="176" t="n">
        <f aca="false">SUM(J41:J54)</f>
        <v>1312572.95053312</v>
      </c>
      <c r="K55" s="176" t="n">
        <f aca="false">SUM(K41:K54)</f>
        <v>1306069.84067584</v>
      </c>
      <c r="L55" s="176" t="n">
        <f aca="false">SUM(L41:L54)</f>
        <v>1299566.73081856</v>
      </c>
      <c r="M55" s="176" t="n">
        <f aca="false">SUM(M41:M54)</f>
        <v>1293063.62096128</v>
      </c>
      <c r="N55" s="176" t="n">
        <f aca="false">SUM(N41:N54)</f>
        <v>1321448.511104</v>
      </c>
      <c r="O55" s="176" t="n">
        <f aca="false">SUM(O41:O54)</f>
        <v>1314945.40124672</v>
      </c>
      <c r="P55" s="176" t="n">
        <f aca="false">SUM(P41:P54)</f>
        <v>1308442.29138944</v>
      </c>
      <c r="Q55" s="176" t="n">
        <f aca="false">SUM(Q41:Q54)</f>
        <v>1301939.18153216</v>
      </c>
      <c r="R55" s="176" t="n">
        <f aca="false">SUM(R41:R54)</f>
        <v>1295436.07167488</v>
      </c>
      <c r="S55" s="176" t="n">
        <f aca="false">SUM(S41:S54)</f>
        <v>1288932.9618176</v>
      </c>
      <c r="T55" s="176" t="n">
        <f aca="false">SUM(T41:T54)</f>
        <v>1282429.85196032</v>
      </c>
      <c r="U55" s="176" t="n">
        <f aca="false">SUM(U41:U54)</f>
        <v>1275926.74210304</v>
      </c>
      <c r="V55" s="176" t="n">
        <f aca="false">SUM(V41:V54)</f>
        <v>1269423.63224576</v>
      </c>
      <c r="W55" s="176" t="n">
        <f aca="false">SUM(W41:W54)</f>
        <v>1262920.52238848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-16399648.5903232</v>
      </c>
      <c r="E56" s="181" t="n">
        <f aca="false">D56+E55</f>
        <v>-15054560.0905037</v>
      </c>
      <c r="F56" s="181" t="n">
        <f aca="false">E56+F55</f>
        <v>-13715974.7005414</v>
      </c>
      <c r="G56" s="181" t="n">
        <f aca="false">F56+G55</f>
        <v>-12383892.4204365</v>
      </c>
      <c r="H56" s="181" t="n">
        <f aca="false">G56+H55</f>
        <v>-11058313.2501888</v>
      </c>
      <c r="I56" s="181" t="n">
        <f aca="false">H56+I55</f>
        <v>-9739237.1897984</v>
      </c>
      <c r="J56" s="181" t="n">
        <f aca="false">I56+J55</f>
        <v>-8426664.23926528</v>
      </c>
      <c r="K56" s="181" t="n">
        <f aca="false">J56+K55</f>
        <v>-7120594.39858944</v>
      </c>
      <c r="L56" s="181" t="n">
        <f aca="false">K56+L55</f>
        <v>-5821027.66777088</v>
      </c>
      <c r="M56" s="181" t="n">
        <f aca="false">L56+M55</f>
        <v>-4527964.0468096</v>
      </c>
      <c r="N56" s="181" t="n">
        <f aca="false">M56+N55</f>
        <v>-3206515.5357056</v>
      </c>
      <c r="O56" s="181" t="n">
        <f aca="false">N56+O55</f>
        <v>-1891570.13445888</v>
      </c>
      <c r="P56" s="181" t="n">
        <f aca="false">O56+P55</f>
        <v>-583127.843069444</v>
      </c>
      <c r="Q56" s="181" t="n">
        <f aca="false">P56+Q55</f>
        <v>718811.338462716</v>
      </c>
      <c r="R56" s="181" t="n">
        <f aca="false">Q56+R55</f>
        <v>2014247.4101376</v>
      </c>
      <c r="S56" s="181" t="n">
        <f aca="false">R56+S55</f>
        <v>3303180.3719552</v>
      </c>
      <c r="T56" s="181" t="n">
        <f aca="false">S56+T55</f>
        <v>4585610.22391552</v>
      </c>
      <c r="U56" s="181" t="n">
        <f aca="false">T56+U55</f>
        <v>5861536.96601856</v>
      </c>
      <c r="V56" s="181" t="n">
        <f aca="false">U56+V55</f>
        <v>7130960.59826432</v>
      </c>
      <c r="W56" s="181" t="n">
        <f aca="false">V56+W55</f>
        <v>8393881.1206528</v>
      </c>
      <c r="X56" s="181" t="n">
        <f aca="false">W56+X55</f>
        <v>8393881.1206528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未回收</v>
      </c>
      <c r="Q57" s="185" t="str">
        <f aca="false">IF((Q56)&gt;0,"回收","未回收")</f>
        <v>回收</v>
      </c>
      <c r="R57" s="185" t="str">
        <f aca="false">IF((R56)&gt;0,"回收","未回收")</f>
        <v>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0.0405474095811589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-884660</v>
      </c>
      <c r="E67" s="193" t="n">
        <f aca="false">$C$44/$E$16</f>
        <v>-884660</v>
      </c>
      <c r="F67" s="193" t="n">
        <f aca="false">$C$44/$E$16</f>
        <v>-884660</v>
      </c>
      <c r="G67" s="193" t="n">
        <f aca="false">$C$44/$E$16</f>
        <v>-884660</v>
      </c>
      <c r="H67" s="193" t="n">
        <f aca="false">$C$44/$E$16</f>
        <v>-884660</v>
      </c>
      <c r="I67" s="193" t="n">
        <f aca="false">$C$44/$E$16</f>
        <v>-884660</v>
      </c>
      <c r="J67" s="193" t="n">
        <f aca="false">$C$44/$E$16</f>
        <v>-884660</v>
      </c>
      <c r="K67" s="193" t="n">
        <f aca="false">$C$44/$E$16</f>
        <v>-884660</v>
      </c>
      <c r="L67" s="193" t="n">
        <f aca="false">$C$44/$E$16</f>
        <v>-884660</v>
      </c>
      <c r="M67" s="193" t="n">
        <f aca="false">$C$44/$E$16</f>
        <v>-884660</v>
      </c>
      <c r="N67" s="193" t="n">
        <f aca="false">$C$44/$E$16</f>
        <v>-884660</v>
      </c>
      <c r="O67" s="193" t="n">
        <f aca="false">$C$44/$E$16</f>
        <v>-884660</v>
      </c>
      <c r="P67" s="193" t="n">
        <f aca="false">$C$44/$E$16</f>
        <v>-884660</v>
      </c>
      <c r="Q67" s="193" t="n">
        <f aca="false">$C$44/$E$16</f>
        <v>-884660</v>
      </c>
      <c r="R67" s="193" t="n">
        <f aca="false">$C$44/$E$16</f>
        <v>-884660</v>
      </c>
      <c r="S67" s="193" t="n">
        <f aca="false">$C$44/$E$16</f>
        <v>-884660</v>
      </c>
      <c r="T67" s="193" t="n">
        <f aca="false">$C$44/$E$16</f>
        <v>-884660</v>
      </c>
      <c r="U67" s="193" t="n">
        <f aca="false">$C$44/$E$16</f>
        <v>-884660</v>
      </c>
      <c r="V67" s="193" t="n">
        <f aca="false">$C$44/$E$16</f>
        <v>-884660</v>
      </c>
      <c r="W67" s="193" t="n">
        <f aca="false">$C$44/$E$16</f>
        <v>-884660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-362285.9632</v>
      </c>
      <c r="E70" s="171" t="n">
        <f aca="false">-E109*$D25</f>
        <v>-338133.565653333</v>
      </c>
      <c r="F70" s="171" t="n">
        <f aca="false">-F109*$D25</f>
        <v>-313981.168106667</v>
      </c>
      <c r="G70" s="171" t="n">
        <f aca="false">-G109*$D25</f>
        <v>-289828.77056</v>
      </c>
      <c r="H70" s="171" t="n">
        <f aca="false">-H109*$D25</f>
        <v>-265676.373013333</v>
      </c>
      <c r="I70" s="171" t="n">
        <f aca="false">-I109*$D25</f>
        <v>-241523.975466667</v>
      </c>
      <c r="J70" s="171" t="n">
        <f aca="false">-J109*$D25</f>
        <v>-217371.57792</v>
      </c>
      <c r="K70" s="171" t="n">
        <f aca="false">-K109*$D25</f>
        <v>-193219.180373333</v>
      </c>
      <c r="L70" s="171" t="n">
        <f aca="false">-L109*$D25</f>
        <v>-169066.782826667</v>
      </c>
      <c r="M70" s="171" t="n">
        <f aca="false">-M109*$D25</f>
        <v>-144914.38528</v>
      </c>
      <c r="N70" s="171" t="n">
        <f aca="false">-N109*$D25</f>
        <v>-120761.987733333</v>
      </c>
      <c r="O70" s="171" t="n">
        <f aca="false">-O109*$D25</f>
        <v>-96609.5901866666</v>
      </c>
      <c r="P70" s="171" t="n">
        <f aca="false">-P109*$D25</f>
        <v>-72457.1926399999</v>
      </c>
      <c r="Q70" s="171" t="n">
        <f aca="false">-Q109*$D25</f>
        <v>-48304.7950933333</v>
      </c>
      <c r="R70" s="171" t="n">
        <f aca="false">-R109*$D25</f>
        <v>-24152.3975466666</v>
      </c>
      <c r="S70" s="171" t="n">
        <f aca="false">-S109*$D25</f>
        <v>-0</v>
      </c>
      <c r="T70" s="171" t="n">
        <f aca="false">-T109*$D25</f>
        <v>-0</v>
      </c>
      <c r="U70" s="171" t="n">
        <f aca="false">-U109*$D25</f>
        <v>-0</v>
      </c>
      <c r="V70" s="171" t="n">
        <f aca="false">-V109*$D25</f>
        <v>-0</v>
      </c>
      <c r="W70" s="171" t="n">
        <f aca="false">-W109*$D25</f>
        <v>-0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-35324.1</v>
      </c>
      <c r="E72" s="171" t="n">
        <f aca="false">E49</f>
        <v>-35324.1</v>
      </c>
      <c r="F72" s="171" t="n">
        <f aca="false">F49</f>
        <v>-35324.1</v>
      </c>
      <c r="G72" s="171" t="n">
        <f aca="false">G49</f>
        <v>-35324.1</v>
      </c>
      <c r="H72" s="171" t="n">
        <f aca="false">H49</f>
        <v>-35324.1</v>
      </c>
      <c r="I72" s="171" t="n">
        <f aca="false">I49</f>
        <v>-35324.1</v>
      </c>
      <c r="J72" s="171" t="n">
        <f aca="false">J49</f>
        <v>-35324.1</v>
      </c>
      <c r="K72" s="171" t="n">
        <f aca="false">K49</f>
        <v>-35324.1</v>
      </c>
      <c r="L72" s="171" t="n">
        <f aca="false">L49</f>
        <v>-35324.1</v>
      </c>
      <c r="M72" s="171" t="n">
        <f aca="false">M49</f>
        <v>-35324.1</v>
      </c>
      <c r="N72" s="171" t="n">
        <f aca="false">N49</f>
        <v>-35324.1</v>
      </c>
      <c r="O72" s="171" t="n">
        <f aca="false">O49</f>
        <v>-35324.1</v>
      </c>
      <c r="P72" s="171" t="n">
        <f aca="false">P49</f>
        <v>-35324.1</v>
      </c>
      <c r="Q72" s="171" t="n">
        <f aca="false">Q49</f>
        <v>-35324.1</v>
      </c>
      <c r="R72" s="171" t="n">
        <f aca="false">R49</f>
        <v>-35324.1</v>
      </c>
      <c r="S72" s="171" t="n">
        <f aca="false">S49</f>
        <v>-35324.1</v>
      </c>
      <c r="T72" s="171" t="n">
        <f aca="false">T49</f>
        <v>-35324.1</v>
      </c>
      <c r="U72" s="171" t="n">
        <f aca="false">U49</f>
        <v>-35324.1</v>
      </c>
      <c r="V72" s="171" t="n">
        <f aca="false">V49</f>
        <v>-35324.1</v>
      </c>
      <c r="W72" s="171" t="n">
        <f aca="false">W49</f>
        <v>-35324.1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511579.548896</v>
      </c>
      <c r="E76" s="176" t="n">
        <f aca="false">SUM(E64:E75)</f>
        <v>237402.059121066</v>
      </c>
      <c r="F76" s="176" t="n">
        <f aca="false">SUM(F64:F75)</f>
        <v>253425.569346133</v>
      </c>
      <c r="G76" s="176" t="n">
        <f aca="false">SUM(G64:G75)</f>
        <v>269449.0795712</v>
      </c>
      <c r="H76" s="176" t="n">
        <f aca="false">SUM(H64:H75)</f>
        <v>285472.589796267</v>
      </c>
      <c r="I76" s="176" t="n">
        <f aca="false">SUM(I64:I75)</f>
        <v>301496.100021333</v>
      </c>
      <c r="J76" s="176" t="n">
        <f aca="false">SUM(J64:J75)</f>
        <v>317519.6102464</v>
      </c>
      <c r="K76" s="176" t="n">
        <f aca="false">SUM(K64:K75)</f>
        <v>333543.120471467</v>
      </c>
      <c r="L76" s="176" t="n">
        <f aca="false">SUM(L64:L75)</f>
        <v>349566.630696533</v>
      </c>
      <c r="M76" s="176" t="n">
        <f aca="false">SUM(M64:M75)</f>
        <v>365590.1409216</v>
      </c>
      <c r="N76" s="176" t="n">
        <f aca="false">SUM(N64:N75)</f>
        <v>425223.651146667</v>
      </c>
      <c r="O76" s="176" t="n">
        <f aca="false">SUM(O64:O75)</f>
        <v>441247.161371733</v>
      </c>
      <c r="P76" s="176" t="n">
        <f aca="false">SUM(P64:P75)</f>
        <v>457270.6715968</v>
      </c>
      <c r="Q76" s="176" t="n">
        <f aca="false">SUM(Q64:Q75)</f>
        <v>473294.181821867</v>
      </c>
      <c r="R76" s="176" t="n">
        <f aca="false">SUM(R64:R75)</f>
        <v>489317.692046933</v>
      </c>
      <c r="S76" s="176" t="n">
        <f aca="false">SUM(S64:S75)</f>
        <v>505341.202272</v>
      </c>
      <c r="T76" s="176" t="n">
        <f aca="false">SUM(T64:T75)</f>
        <v>497212.3149504</v>
      </c>
      <c r="U76" s="176" t="n">
        <f aca="false">SUM(U64:U75)</f>
        <v>489083.4276288</v>
      </c>
      <c r="V76" s="176" t="n">
        <f aca="false">SUM(V64:V75)</f>
        <v>480954.5403072</v>
      </c>
      <c r="W76" s="176" t="n">
        <f aca="false">SUM(W64:W75)</f>
        <v>472825.6529856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-102315.9097792</v>
      </c>
      <c r="E77" s="171" t="n">
        <f aca="false">-E76*0.2</f>
        <v>-47480.4118242133</v>
      </c>
      <c r="F77" s="171" t="n">
        <f aca="false">-F76*0.2</f>
        <v>-50685.1138692267</v>
      </c>
      <c r="G77" s="171" t="n">
        <f aca="false">-G76*0.2</f>
        <v>-53889.81591424</v>
      </c>
      <c r="H77" s="171" t="n">
        <f aca="false">-H76*0.2</f>
        <v>-57094.5179592533</v>
      </c>
      <c r="I77" s="171" t="n">
        <f aca="false">-I76*0.2</f>
        <v>-60299.2200042666</v>
      </c>
      <c r="J77" s="171" t="n">
        <f aca="false">-J76*0.2</f>
        <v>-63503.92204928</v>
      </c>
      <c r="K77" s="171" t="n">
        <f aca="false">-K76*0.2</f>
        <v>-66708.6240942933</v>
      </c>
      <c r="L77" s="171" t="n">
        <f aca="false">-L76*0.2</f>
        <v>-69913.3261393067</v>
      </c>
      <c r="M77" s="171" t="n">
        <f aca="false">-M76*0.2</f>
        <v>-73118.02818432</v>
      </c>
      <c r="N77" s="171" t="n">
        <f aca="false">-N76*0.2</f>
        <v>-85044.7302293333</v>
      </c>
      <c r="O77" s="171" t="n">
        <f aca="false">-O76*0.2</f>
        <v>-88249.4322743467</v>
      </c>
      <c r="P77" s="171" t="n">
        <f aca="false">-P76*0.2</f>
        <v>-91454.13431936</v>
      </c>
      <c r="Q77" s="171" t="n">
        <f aca="false">-Q76*0.2</f>
        <v>-94658.8363643733</v>
      </c>
      <c r="R77" s="171" t="n">
        <f aca="false">-R76*0.2</f>
        <v>-97863.5384093867</v>
      </c>
      <c r="S77" s="171" t="n">
        <f aca="false">-S76*0.2</f>
        <v>-101068.2404544</v>
      </c>
      <c r="T77" s="171" t="n">
        <f aca="false">-T76*0.2</f>
        <v>-99442.46299008</v>
      </c>
      <c r="U77" s="171" t="n">
        <f aca="false">-U76*0.2</f>
        <v>-97816.68552576</v>
      </c>
      <c r="V77" s="171" t="n">
        <f aca="false">-V76*0.2</f>
        <v>-96190.9080614399</v>
      </c>
      <c r="W77" s="171" t="n">
        <f aca="false">-W76*0.2</f>
        <v>-94565.13059712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409263.6391168</v>
      </c>
      <c r="E78" s="171" t="n">
        <f aca="false">SUM(E76:E77)</f>
        <v>189921.647296853</v>
      </c>
      <c r="F78" s="171" t="n">
        <f aca="false">SUM(F76:F77)</f>
        <v>202740.455476907</v>
      </c>
      <c r="G78" s="171" t="n">
        <f aca="false">SUM(G76:G77)</f>
        <v>215559.26365696</v>
      </c>
      <c r="H78" s="171" t="n">
        <f aca="false">SUM(H76:H77)</f>
        <v>228378.071837013</v>
      </c>
      <c r="I78" s="171" t="n">
        <f aca="false">SUM(I76:I77)</f>
        <v>241196.880017067</v>
      </c>
      <c r="J78" s="171" t="n">
        <f aca="false">SUM(J76:J77)</f>
        <v>254015.68819712</v>
      </c>
      <c r="K78" s="171" t="n">
        <f aca="false">SUM(K76:K77)</f>
        <v>266834.496377173</v>
      </c>
      <c r="L78" s="171" t="n">
        <f aca="false">SUM(L76:L77)</f>
        <v>279653.304557227</v>
      </c>
      <c r="M78" s="171" t="n">
        <f aca="false">SUM(M76:M77)</f>
        <v>292472.11273728</v>
      </c>
      <c r="N78" s="171" t="n">
        <f aca="false">SUM(N76:N77)</f>
        <v>340178.920917333</v>
      </c>
      <c r="O78" s="171" t="n">
        <f aca="false">SUM(O76:O77)</f>
        <v>352997.729097387</v>
      </c>
      <c r="P78" s="171" t="n">
        <f aca="false">SUM(P76:P77)</f>
        <v>365816.53727744</v>
      </c>
      <c r="Q78" s="171" t="n">
        <f aca="false">SUM(Q76:Q77)</f>
        <v>378635.345457493</v>
      </c>
      <c r="R78" s="171" t="n">
        <f aca="false">SUM(R76:R77)</f>
        <v>391454.153637547</v>
      </c>
      <c r="S78" s="171" t="n">
        <f aca="false">SUM(S76:S77)</f>
        <v>404272.9618176</v>
      </c>
      <c r="T78" s="171" t="n">
        <f aca="false">SUM(T76:T77)</f>
        <v>397769.85196032</v>
      </c>
      <c r="U78" s="171" t="n">
        <f aca="false">SUM(U76:U77)</f>
        <v>391266.74210304</v>
      </c>
      <c r="V78" s="171" t="n">
        <f aca="false">SUM(V76:V77)</f>
        <v>384763.63224576</v>
      </c>
      <c r="W78" s="171" t="n">
        <f aca="false">SUM(W76:W77)</f>
        <v>378260.52238848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409263.6391168</v>
      </c>
      <c r="E85" s="208" t="n">
        <f aca="false">E78</f>
        <v>189921.647296853</v>
      </c>
      <c r="F85" s="208" t="n">
        <f aca="false">F78</f>
        <v>202740.455476907</v>
      </c>
      <c r="G85" s="208" t="n">
        <f aca="false">G78</f>
        <v>215559.26365696</v>
      </c>
      <c r="H85" s="208" t="n">
        <f aca="false">H78</f>
        <v>228378.071837013</v>
      </c>
      <c r="I85" s="208" t="n">
        <f aca="false">I78</f>
        <v>241196.880017067</v>
      </c>
      <c r="J85" s="208" t="n">
        <f aca="false">J78</f>
        <v>254015.68819712</v>
      </c>
      <c r="K85" s="208" t="n">
        <f aca="false">K78</f>
        <v>266834.496377173</v>
      </c>
      <c r="L85" s="208" t="n">
        <f aca="false">L78</f>
        <v>279653.304557227</v>
      </c>
      <c r="M85" s="208" t="n">
        <f aca="false">M78</f>
        <v>292472.11273728</v>
      </c>
      <c r="N85" s="208" t="n">
        <f aca="false">N78</f>
        <v>340178.920917333</v>
      </c>
      <c r="O85" s="208" t="n">
        <f aca="false">O78</f>
        <v>352997.729097387</v>
      </c>
      <c r="P85" s="208" t="n">
        <f aca="false">P78</f>
        <v>365816.53727744</v>
      </c>
      <c r="Q85" s="208" t="n">
        <f aca="false">Q78</f>
        <v>378635.345457493</v>
      </c>
      <c r="R85" s="208" t="n">
        <f aca="false">R78</f>
        <v>391454.153637547</v>
      </c>
      <c r="S85" s="208" t="n">
        <f aca="false">S78</f>
        <v>404272.9618176</v>
      </c>
      <c r="T85" s="208" t="n">
        <f aca="false">T78</f>
        <v>397769.85196032</v>
      </c>
      <c r="U85" s="208" t="n">
        <f aca="false">U78</f>
        <v>391266.74210304</v>
      </c>
      <c r="V85" s="208" t="n">
        <f aca="false">V78</f>
        <v>384763.63224576</v>
      </c>
      <c r="W85" s="208" t="n">
        <f aca="false">W78</f>
        <v>378260.52238848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884660</v>
      </c>
      <c r="E86" s="209" t="n">
        <f aca="false">-E67</f>
        <v>884660</v>
      </c>
      <c r="F86" s="209" t="n">
        <f aca="false">-F67</f>
        <v>884660</v>
      </c>
      <c r="G86" s="209" t="n">
        <f aca="false">-G67</f>
        <v>884660</v>
      </c>
      <c r="H86" s="209" t="n">
        <f aca="false">-H67</f>
        <v>884660</v>
      </c>
      <c r="I86" s="209" t="n">
        <f aca="false">-I67</f>
        <v>884660</v>
      </c>
      <c r="J86" s="209" t="n">
        <f aca="false">-J67</f>
        <v>884660</v>
      </c>
      <c r="K86" s="209" t="n">
        <f aca="false">-K67</f>
        <v>884660</v>
      </c>
      <c r="L86" s="209" t="n">
        <f aca="false">-L67</f>
        <v>884660</v>
      </c>
      <c r="M86" s="209" t="n">
        <f aca="false">-M67</f>
        <v>884660</v>
      </c>
      <c r="N86" s="209" t="n">
        <f aca="false">-N67</f>
        <v>884660</v>
      </c>
      <c r="O86" s="209" t="n">
        <f aca="false">-O67</f>
        <v>884660</v>
      </c>
      <c r="P86" s="209" t="n">
        <f aca="false">-P67</f>
        <v>884660</v>
      </c>
      <c r="Q86" s="209" t="n">
        <f aca="false">-Q67</f>
        <v>884660</v>
      </c>
      <c r="R86" s="209" t="n">
        <f aca="false">-R67</f>
        <v>884660</v>
      </c>
      <c r="S86" s="209" t="n">
        <f aca="false">-S67</f>
        <v>884660</v>
      </c>
      <c r="T86" s="209" t="n">
        <f aca="false">-T67</f>
        <v>884660</v>
      </c>
      <c r="U86" s="209" t="n">
        <f aca="false">-U67</f>
        <v>884660</v>
      </c>
      <c r="V86" s="209" t="n">
        <f aca="false">-V67</f>
        <v>884660</v>
      </c>
      <c r="W86" s="209" t="n">
        <f aca="false">-W67</f>
        <v>884660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1293923.6391168</v>
      </c>
      <c r="E87" s="211" t="n">
        <f aca="false">SUM(E85:E86)</f>
        <v>1074581.64729685</v>
      </c>
      <c r="F87" s="211" t="n">
        <f aca="false">SUM(F85:F86)</f>
        <v>1087400.45547691</v>
      </c>
      <c r="G87" s="211" t="n">
        <f aca="false">SUM(G85:G86)</f>
        <v>1100219.26365696</v>
      </c>
      <c r="H87" s="211" t="n">
        <f aca="false">SUM(H85:H86)</f>
        <v>1113038.07183701</v>
      </c>
      <c r="I87" s="211" t="n">
        <f aca="false">SUM(I85:I86)</f>
        <v>1125856.88001707</v>
      </c>
      <c r="J87" s="211" t="n">
        <f aca="false">SUM(J85:J86)</f>
        <v>1138675.68819712</v>
      </c>
      <c r="K87" s="211" t="n">
        <f aca="false">SUM(K85:K86)</f>
        <v>1151494.49637717</v>
      </c>
      <c r="L87" s="211" t="n">
        <f aca="false">SUM(L85:L86)</f>
        <v>1164313.30455723</v>
      </c>
      <c r="M87" s="211" t="n">
        <f aca="false">SUM(M85:M86)</f>
        <v>1177132.11273728</v>
      </c>
      <c r="N87" s="211" t="n">
        <f aca="false">SUM(N85:N86)</f>
        <v>1224838.92091733</v>
      </c>
      <c r="O87" s="211" t="n">
        <f aca="false">SUM(O85:O86)</f>
        <v>1237657.72909739</v>
      </c>
      <c r="P87" s="211" t="n">
        <f aca="false">SUM(P85:P86)</f>
        <v>1250476.53727744</v>
      </c>
      <c r="Q87" s="211" t="n">
        <f aca="false">SUM(Q85:Q86)</f>
        <v>1263295.34545749</v>
      </c>
      <c r="R87" s="211" t="n">
        <f aca="false">SUM(R85:R86)</f>
        <v>1276114.15363755</v>
      </c>
      <c r="S87" s="211" t="n">
        <f aca="false">SUM(S85:S86)</f>
        <v>1288932.9618176</v>
      </c>
      <c r="T87" s="211" t="n">
        <f aca="false">SUM(T85:T86)</f>
        <v>1282429.85196032</v>
      </c>
      <c r="U87" s="211" t="n">
        <f aca="false">SUM(U85:U86)</f>
        <v>1275926.74210304</v>
      </c>
      <c r="V87" s="211" t="n">
        <f aca="false">SUM(V85:V86)</f>
        <v>1269423.63224576</v>
      </c>
      <c r="W87" s="211" t="n">
        <f aca="false">SUM(W85:W86)</f>
        <v>1262920.52238848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-17693200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14154560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-943637.333333333</v>
      </c>
      <c r="F93" s="217" t="n">
        <v>-943637.333333333</v>
      </c>
      <c r="G93" s="217" t="n">
        <v>-943637.333333333</v>
      </c>
      <c r="H93" s="217" t="n">
        <v>-943637.333333333</v>
      </c>
      <c r="I93" s="217" t="n">
        <v>-943637.333333333</v>
      </c>
      <c r="J93" s="217" t="n">
        <v>-943637.333333333</v>
      </c>
      <c r="K93" s="217" t="n">
        <v>-943637.333333333</v>
      </c>
      <c r="L93" s="217" t="n">
        <v>-943637.333333333</v>
      </c>
      <c r="M93" s="217" t="n">
        <v>-943637.333333333</v>
      </c>
      <c r="N93" s="217" t="n">
        <v>-943637.333333333</v>
      </c>
      <c r="O93" s="217" t="n">
        <v>-943637.333333333</v>
      </c>
      <c r="P93" s="217" t="n">
        <v>-943637.333333333</v>
      </c>
      <c r="Q93" s="217" t="n">
        <v>-943637.333333333</v>
      </c>
      <c r="R93" s="217" t="n">
        <v>-943637.333333333</v>
      </c>
      <c r="S93" s="217" t="n">
        <v>-943637.333333333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3538640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-368337.27520512</v>
      </c>
      <c r="F95" s="218" t="n">
        <f aca="false">-E85*$D$33</f>
        <v>-170929.482567168</v>
      </c>
      <c r="G95" s="218" t="n">
        <f aca="false">-F85*$D$33</f>
        <v>-182466.409929216</v>
      </c>
      <c r="H95" s="218" t="n">
        <f aca="false">-G85*$D$33</f>
        <v>-194003.337291264</v>
      </c>
      <c r="I95" s="218" t="n">
        <f aca="false">-H85*$D$33</f>
        <v>-205540.264653312</v>
      </c>
      <c r="J95" s="218" t="n">
        <f aca="false">-I85*$D$33</f>
        <v>-217077.19201536</v>
      </c>
      <c r="K95" s="218" t="n">
        <f aca="false">-J85*$D$33</f>
        <v>-228614.119377408</v>
      </c>
      <c r="L95" s="218" t="n">
        <f aca="false">-K85*$D$33</f>
        <v>-240151.046739456</v>
      </c>
      <c r="M95" s="218" t="n">
        <f aca="false">-L85*$D$33</f>
        <v>-251687.974101504</v>
      </c>
      <c r="N95" s="218" t="n">
        <f aca="false">-M85*$D$33</f>
        <v>-263224.901463552</v>
      </c>
      <c r="O95" s="218" t="n">
        <f aca="false">-N85*$D$33</f>
        <v>-306161.0288256</v>
      </c>
      <c r="P95" s="218" t="n">
        <f aca="false">-O85*$D$33</f>
        <v>-317697.956187648</v>
      </c>
      <c r="Q95" s="218" t="n">
        <f aca="false">-P85*$D$33</f>
        <v>-329234.883549696</v>
      </c>
      <c r="R95" s="218" t="n">
        <f aca="false">-Q85*$D$33</f>
        <v>-340771.810911744</v>
      </c>
      <c r="S95" s="218" t="n">
        <f aca="false">-R85*$D$33</f>
        <v>-352308.738273792</v>
      </c>
      <c r="T95" s="218" t="n">
        <f aca="false">-S85*$D$33</f>
        <v>-363845.66563584</v>
      </c>
      <c r="U95" s="218" t="n">
        <f aca="false">-T85*$D$33</f>
        <v>-357992.866764288</v>
      </c>
      <c r="V95" s="218" t="n">
        <f aca="false">-U85*$D$33</f>
        <v>-352140.067892736</v>
      </c>
      <c r="W95" s="218" t="n">
        <f aca="false">-V85*$D$33</f>
        <v>-346287.269021184</v>
      </c>
      <c r="X95" s="218" t="n">
        <f aca="false">-W85*$D$33</f>
        <v>-340434.470149632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-884660</v>
      </c>
      <c r="U96" s="221" t="n">
        <v>-884660</v>
      </c>
      <c r="V96" s="221" t="n">
        <v>-884660</v>
      </c>
      <c r="W96" s="221" t="n">
        <v>-884660</v>
      </c>
      <c r="X96" s="222" t="n">
        <f aca="false">-W101-X95</f>
        <v>-636545.195617278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1293923.6391168</v>
      </c>
      <c r="E99" s="208" t="n">
        <f aca="false">SUM(E87:E96)</f>
        <v>-237392.9612416</v>
      </c>
      <c r="F99" s="208" t="n">
        <f aca="false">SUM(F87:F96)</f>
        <v>-27166.3604235946</v>
      </c>
      <c r="G99" s="208" t="n">
        <f aca="false">SUM(G87:G96)</f>
        <v>-25884.4796055893</v>
      </c>
      <c r="H99" s="208" t="n">
        <f aca="false">SUM(H87:H96)</f>
        <v>-24602.5987875841</v>
      </c>
      <c r="I99" s="208" t="n">
        <f aca="false">SUM(I87:I96)</f>
        <v>-23320.7179695787</v>
      </c>
      <c r="J99" s="208" t="n">
        <f aca="false">SUM(J87:J96)</f>
        <v>-22038.8371515732</v>
      </c>
      <c r="K99" s="208" t="n">
        <f aca="false">SUM(K87:K96)</f>
        <v>-20756.9563335682</v>
      </c>
      <c r="L99" s="208" t="n">
        <f aca="false">SUM(L87:L96)</f>
        <v>-19475.0755155627</v>
      </c>
      <c r="M99" s="208" t="n">
        <f aca="false">SUM(M87:M96)</f>
        <v>-18193.1946975575</v>
      </c>
      <c r="N99" s="208" t="n">
        <f aca="false">SUM(N87:N96)</f>
        <v>17976.686120448</v>
      </c>
      <c r="O99" s="208" t="n">
        <f aca="false">SUM(O87:O96)</f>
        <v>-12140.6330615467</v>
      </c>
      <c r="P99" s="208" t="n">
        <f aca="false">SUM(P87:P96)</f>
        <v>-10858.7522435413</v>
      </c>
      <c r="Q99" s="208" t="n">
        <f aca="false">SUM(Q87:Q96)</f>
        <v>-9576.871425536</v>
      </c>
      <c r="R99" s="208" t="n">
        <f aca="false">SUM(R87:R96)</f>
        <v>-8294.99060753081</v>
      </c>
      <c r="S99" s="208" t="n">
        <f aca="false">SUM(S87:S96)</f>
        <v>-7013.10978952557</v>
      </c>
      <c r="T99" s="208" t="n">
        <f aca="false">SUM(T87:T96)</f>
        <v>33924.1863244798</v>
      </c>
      <c r="U99" s="208" t="n">
        <f aca="false">SUM(U87:U96)</f>
        <v>33273.8753387523</v>
      </c>
      <c r="V99" s="208" t="n">
        <f aca="false">SUM(V87:V96)</f>
        <v>32623.5643530238</v>
      </c>
      <c r="W99" s="208" t="n">
        <f aca="false">SUM(W87:W96)</f>
        <v>31973.2533672962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1293923.6391168</v>
      </c>
      <c r="F100" s="208" t="n">
        <f aca="false">E101</f>
        <v>1056530.6778752</v>
      </c>
      <c r="G100" s="208" t="n">
        <f aca="false">F101</f>
        <v>1029364.3174516</v>
      </c>
      <c r="H100" s="208" t="n">
        <f aca="false">G101</f>
        <v>1003479.83784602</v>
      </c>
      <c r="I100" s="208" t="n">
        <f aca="false">H101</f>
        <v>978877.239058431</v>
      </c>
      <c r="J100" s="208" t="n">
        <f aca="false">I101</f>
        <v>955556.521088852</v>
      </c>
      <c r="K100" s="208" t="n">
        <f aca="false">J101</f>
        <v>933517.683937279</v>
      </c>
      <c r="L100" s="208" t="n">
        <f aca="false">K101</f>
        <v>912760.727603711</v>
      </c>
      <c r="M100" s="208" t="n">
        <f aca="false">L101</f>
        <v>893285.652088148</v>
      </c>
      <c r="N100" s="208" t="n">
        <f aca="false">M101</f>
        <v>875092.457390591</v>
      </c>
      <c r="O100" s="208" t="n">
        <f aca="false">N101</f>
        <v>893069.143511039</v>
      </c>
      <c r="P100" s="208" t="n">
        <f aca="false">O101</f>
        <v>880928.510449492</v>
      </c>
      <c r="Q100" s="208" t="n">
        <f aca="false">P101</f>
        <v>870069.758205951</v>
      </c>
      <c r="R100" s="208" t="n">
        <f aca="false">Q101</f>
        <v>860492.886780415</v>
      </c>
      <c r="S100" s="208" t="n">
        <f aca="false">R101</f>
        <v>852197.896172884</v>
      </c>
      <c r="T100" s="208" t="n">
        <f aca="false">S101</f>
        <v>845184.786383358</v>
      </c>
      <c r="U100" s="208" t="n">
        <f aca="false">T101</f>
        <v>879108.972707838</v>
      </c>
      <c r="V100" s="208" t="n">
        <f aca="false">U101</f>
        <v>912382.84804659</v>
      </c>
      <c r="W100" s="208" t="n">
        <f aca="false">V101</f>
        <v>945006.412399614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1293923.6391168</v>
      </c>
      <c r="E101" s="208" t="n">
        <f aca="false">E99+E100</f>
        <v>1056530.6778752</v>
      </c>
      <c r="F101" s="208" t="n">
        <f aca="false">F99+F100</f>
        <v>1029364.3174516</v>
      </c>
      <c r="G101" s="208" t="n">
        <f aca="false">G99+G100</f>
        <v>1003479.83784602</v>
      </c>
      <c r="H101" s="208" t="n">
        <f aca="false">H99+H100</f>
        <v>978877.239058431</v>
      </c>
      <c r="I101" s="208" t="n">
        <f aca="false">I99+I100</f>
        <v>955556.521088852</v>
      </c>
      <c r="J101" s="208" t="n">
        <f aca="false">J99+J100</f>
        <v>933517.683937279</v>
      </c>
      <c r="K101" s="208" t="n">
        <f aca="false">K99+K100</f>
        <v>912760.727603711</v>
      </c>
      <c r="L101" s="208" t="n">
        <f aca="false">L99+L100</f>
        <v>893285.652088148</v>
      </c>
      <c r="M101" s="208" t="n">
        <f aca="false">M99+M100</f>
        <v>875092.457390591</v>
      </c>
      <c r="N101" s="208" t="n">
        <f aca="false">N99+N100</f>
        <v>893069.143511039</v>
      </c>
      <c r="O101" s="208" t="n">
        <f aca="false">O99+O100</f>
        <v>880928.510449492</v>
      </c>
      <c r="P101" s="208" t="n">
        <f aca="false">P99+P100</f>
        <v>870069.758205951</v>
      </c>
      <c r="Q101" s="208" t="n">
        <f aca="false">Q99+Q100</f>
        <v>860492.886780415</v>
      </c>
      <c r="R101" s="208" t="n">
        <f aca="false">R99+R100</f>
        <v>852197.896172884</v>
      </c>
      <c r="S101" s="208" t="n">
        <f aca="false">S99+S100</f>
        <v>845184.786383358</v>
      </c>
      <c r="T101" s="208" t="n">
        <f aca="false">T99+T100</f>
        <v>879108.972707838</v>
      </c>
      <c r="U101" s="208" t="n">
        <f aca="false">U99+U100</f>
        <v>912382.84804659</v>
      </c>
      <c r="V101" s="208" t="n">
        <f aca="false">V99+V100</f>
        <v>945006.412399614</v>
      </c>
      <c r="W101" s="208" t="n">
        <f aca="false">W99+W100</f>
        <v>976979.66576691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-3538640</v>
      </c>
      <c r="E104" s="211" t="n">
        <f aca="false">-E95-E96</f>
        <v>368337.27520512</v>
      </c>
      <c r="F104" s="211" t="n">
        <f aca="false">-F95-F96</f>
        <v>170929.482567168</v>
      </c>
      <c r="G104" s="211" t="n">
        <f aca="false">-G95-G96</f>
        <v>182466.409929216</v>
      </c>
      <c r="H104" s="211" t="n">
        <f aca="false">-H95-H96</f>
        <v>194003.337291264</v>
      </c>
      <c r="I104" s="211" t="n">
        <f aca="false">-I95-I96</f>
        <v>205540.264653312</v>
      </c>
      <c r="J104" s="211" t="n">
        <f aca="false">-J95-J96</f>
        <v>217077.19201536</v>
      </c>
      <c r="K104" s="211" t="n">
        <f aca="false">-K95-K96</f>
        <v>228614.119377408</v>
      </c>
      <c r="L104" s="211" t="n">
        <f aca="false">-L95-L96</f>
        <v>240151.046739456</v>
      </c>
      <c r="M104" s="211" t="n">
        <f aca="false">-M95-M96</f>
        <v>251687.974101504</v>
      </c>
      <c r="N104" s="211" t="n">
        <f aca="false">-N95-N96</f>
        <v>263224.901463552</v>
      </c>
      <c r="O104" s="211" t="n">
        <f aca="false">-O95-O96</f>
        <v>306161.0288256</v>
      </c>
      <c r="P104" s="211" t="n">
        <f aca="false">-P95-P96</f>
        <v>317697.956187648</v>
      </c>
      <c r="Q104" s="211" t="n">
        <f aca="false">-Q95-Q96</f>
        <v>329234.883549696</v>
      </c>
      <c r="R104" s="211" t="n">
        <f aca="false">-R95-R96</f>
        <v>340771.810911744</v>
      </c>
      <c r="S104" s="211" t="n">
        <f aca="false">-S95-S96</f>
        <v>352308.738273792</v>
      </c>
      <c r="T104" s="211" t="n">
        <f aca="false">-T95-T96</f>
        <v>1248505.66563584</v>
      </c>
      <c r="U104" s="211" t="n">
        <f aca="false">-U95-U96</f>
        <v>1242652.86676429</v>
      </c>
      <c r="V104" s="211" t="n">
        <f aca="false">-V95-V96</f>
        <v>1236800.06789274</v>
      </c>
      <c r="W104" s="211" t="n">
        <f aca="false">-W95-W96</f>
        <v>1230947.26902118</v>
      </c>
      <c r="X104" s="211" t="n">
        <f aca="false">-X95-X96</f>
        <v>976979.66576691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0.0835417690168891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-3129376.3608832</v>
      </c>
      <c r="E106" s="211" t="n">
        <f aca="false">E85</f>
        <v>189921.647296853</v>
      </c>
      <c r="F106" s="211" t="n">
        <f aca="false">F85-F96</f>
        <v>202740.455476907</v>
      </c>
      <c r="G106" s="211" t="n">
        <f aca="false">G85-G96</f>
        <v>215559.26365696</v>
      </c>
      <c r="H106" s="211" t="n">
        <f aca="false">H85-H96</f>
        <v>228378.071837013</v>
      </c>
      <c r="I106" s="211" t="n">
        <f aca="false">I85-I96</f>
        <v>241196.880017067</v>
      </c>
      <c r="J106" s="211" t="n">
        <f aca="false">J85-J96</f>
        <v>254015.68819712</v>
      </c>
      <c r="K106" s="211" t="n">
        <f aca="false">K85-K96</f>
        <v>266834.496377173</v>
      </c>
      <c r="L106" s="211" t="n">
        <f aca="false">L85-L96</f>
        <v>279653.304557227</v>
      </c>
      <c r="M106" s="211" t="n">
        <f aca="false">M85-M96</f>
        <v>292472.11273728</v>
      </c>
      <c r="N106" s="211" t="n">
        <f aca="false">N85-N96</f>
        <v>340178.920917333</v>
      </c>
      <c r="O106" s="211" t="n">
        <f aca="false">O85-O96</f>
        <v>352997.729097387</v>
      </c>
      <c r="P106" s="211" t="n">
        <f aca="false">P85-P96</f>
        <v>365816.53727744</v>
      </c>
      <c r="Q106" s="211" t="n">
        <f aca="false">Q85-Q96</f>
        <v>378635.345457493</v>
      </c>
      <c r="R106" s="211" t="n">
        <f aca="false">R85-R96</f>
        <v>391454.153637547</v>
      </c>
      <c r="S106" s="211" t="n">
        <f aca="false">S85-S96</f>
        <v>404272.9618176</v>
      </c>
      <c r="T106" s="211" t="n">
        <f aca="false">T85-T96</f>
        <v>1282429.85196032</v>
      </c>
      <c r="U106" s="211" t="n">
        <f aca="false">U85-U96</f>
        <v>1275926.74210304</v>
      </c>
      <c r="V106" s="211" t="n">
        <f aca="false">V85-V96</f>
        <v>1269423.63224576</v>
      </c>
      <c r="W106" s="211" t="n">
        <f aca="false">W85-W96</f>
        <v>1262920.52238848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0.0952921447772786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14154560</v>
      </c>
      <c r="E109" s="208" t="n">
        <f aca="false">D109+E93</f>
        <v>13210922.6666667</v>
      </c>
      <c r="F109" s="208" t="n">
        <f aca="false">E109+F93</f>
        <v>12267285.3333333</v>
      </c>
      <c r="G109" s="208" t="n">
        <f aca="false">F109+G93</f>
        <v>11323648</v>
      </c>
      <c r="H109" s="208" t="n">
        <f aca="false">G109+H93</f>
        <v>10380010.6666667</v>
      </c>
      <c r="I109" s="208" t="n">
        <f aca="false">H109+I93</f>
        <v>9436373.33333333</v>
      </c>
      <c r="J109" s="208" t="n">
        <f aca="false">I109+J93</f>
        <v>8492736</v>
      </c>
      <c r="K109" s="208" t="n">
        <f aca="false">J109+K93</f>
        <v>7549098.66666666</v>
      </c>
      <c r="L109" s="208" t="n">
        <f aca="false">K109+L93</f>
        <v>6605461.33333333</v>
      </c>
      <c r="M109" s="208" t="n">
        <f aca="false">L109+M93</f>
        <v>5661824</v>
      </c>
      <c r="N109" s="208" t="n">
        <f aca="false">M109+N93</f>
        <v>4718186.66666666</v>
      </c>
      <c r="O109" s="208" t="n">
        <f aca="false">N109+O93</f>
        <v>3774549.33333333</v>
      </c>
      <c r="P109" s="208" t="n">
        <f aca="false">O109+P93</f>
        <v>2830912</v>
      </c>
      <c r="Q109" s="208" t="n">
        <f aca="false">P109+Q93</f>
        <v>1887274.66666666</v>
      </c>
      <c r="R109" s="208" t="n">
        <f aca="false">Q109+R93</f>
        <v>943637.33333333</v>
      </c>
      <c r="S109" s="208" t="n">
        <f aca="false">R109+S93</f>
        <v>0</v>
      </c>
      <c r="T109" s="208" t="n">
        <f aca="false">S109+T93</f>
        <v>0</v>
      </c>
      <c r="U109" s="208" t="n">
        <f aca="false">T109+U93</f>
        <v>0</v>
      </c>
      <c r="V109" s="208" t="n">
        <f aca="false">U109+V93</f>
        <v>0</v>
      </c>
      <c r="W109" s="208" t="n">
        <f aca="false">V109+W93</f>
        <v>0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165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166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167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168</v>
      </c>
    </row>
    <row r="8" customFormat="false" ht="22.5" hidden="false" customHeight="true" outlineLevel="0" collapsed="false">
      <c r="B8" s="14" t="s">
        <v>9</v>
      </c>
      <c r="E8" s="122"/>
      <c r="M8" s="0" t="s">
        <v>169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97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25000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-16447200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-32707.5</v>
      </c>
      <c r="E49" s="171" t="n">
        <v>-32707.5</v>
      </c>
      <c r="F49" s="171" t="n">
        <v>-32707.5</v>
      </c>
      <c r="G49" s="171" t="n">
        <v>-32707.5</v>
      </c>
      <c r="H49" s="171" t="n">
        <v>-32707.5</v>
      </c>
      <c r="I49" s="171" t="n">
        <v>-32707.5</v>
      </c>
      <c r="J49" s="171" t="n">
        <v>-32707.5</v>
      </c>
      <c r="K49" s="171" t="n">
        <v>-32707.5</v>
      </c>
      <c r="L49" s="171" t="n">
        <v>-32707.5</v>
      </c>
      <c r="M49" s="171" t="n">
        <v>-32707.5</v>
      </c>
      <c r="N49" s="171" t="n">
        <v>-32707.5</v>
      </c>
      <c r="O49" s="171" t="n">
        <v>-32707.5</v>
      </c>
      <c r="P49" s="171" t="n">
        <v>-32707.5</v>
      </c>
      <c r="Q49" s="171" t="n">
        <v>-32707.5</v>
      </c>
      <c r="R49" s="171" t="n">
        <v>-32707.5</v>
      </c>
      <c r="S49" s="171" t="n">
        <v>-32707.5</v>
      </c>
      <c r="T49" s="171" t="n">
        <v>-32707.5</v>
      </c>
      <c r="U49" s="171" t="n">
        <v>-32707.5</v>
      </c>
      <c r="V49" s="171" t="n">
        <v>-32707.5</v>
      </c>
      <c r="W49" s="171" t="n">
        <v>-32707.5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-187756.4224192</v>
      </c>
      <c r="E54" s="171" t="n">
        <f aca="false">-(E64+E67+E68+E71+E72+E73+E74)*0.2</f>
        <v>-128090.44495488</v>
      </c>
      <c r="F54" s="171" t="n">
        <f aca="false">-(F64+F67+F68+F71+F72+F73+F74)*0.2</f>
        <v>-126464.66749056</v>
      </c>
      <c r="G54" s="171" t="n">
        <f aca="false">-(G64+G67+G68+G71+G72+G73+G74)*0.2</f>
        <v>-124838.89002624</v>
      </c>
      <c r="H54" s="171" t="n">
        <f aca="false">-(H64+H67+H68+H71+H72+H73+H74)*0.2</f>
        <v>-123213.11256192</v>
      </c>
      <c r="I54" s="171" t="n">
        <f aca="false">-(I64+I67+I68+I71+I72+I73+I74)*0.2</f>
        <v>-121587.3350976</v>
      </c>
      <c r="J54" s="171" t="n">
        <f aca="false">-(J64+J67+J68+J71+J72+J73+J74)*0.2</f>
        <v>-119961.55763328</v>
      </c>
      <c r="K54" s="171" t="n">
        <f aca="false">-(K64+K67+K68+K71+K72+K73+K74)*0.2</f>
        <v>-118335.78016896</v>
      </c>
      <c r="L54" s="171" t="n">
        <f aca="false">-(L64+L67+L68+L71+L72+L73+L74)*0.2</f>
        <v>-116710.00270464</v>
      </c>
      <c r="M54" s="171" t="n">
        <f aca="false">-(M64+M67+M68+M71+M72+M73+M74)*0.2</f>
        <v>-115084.22524032</v>
      </c>
      <c r="N54" s="171" t="n">
        <f aca="false">-(N64+N67+N68+N71+N72+N73+N74)*0.2</f>
        <v>-122180.447776</v>
      </c>
      <c r="O54" s="171" t="n">
        <f aca="false">-(O64+O67+O68+O71+O72+O73+O74)*0.2</f>
        <v>-120554.67031168</v>
      </c>
      <c r="P54" s="171" t="n">
        <f aca="false">-(P64+P67+P68+P71+P72+P73+P74)*0.2</f>
        <v>-118928.89284736</v>
      </c>
      <c r="Q54" s="171" t="n">
        <f aca="false">-(Q64+Q67+Q68+Q71+Q72+Q73+Q74)*0.2</f>
        <v>-117303.11538304</v>
      </c>
      <c r="R54" s="171" t="n">
        <f aca="false">-(R64+R67+R68+R71+R72+R73+R74)*0.2</f>
        <v>-115677.33791872</v>
      </c>
      <c r="S54" s="171" t="n">
        <f aca="false">-(S64+S67+S68+S71+S72+S73+S74)*0.2</f>
        <v>-114051.5604544</v>
      </c>
      <c r="T54" s="171" t="n">
        <f aca="false">-(T64+T67+T68+T71+T72+T73+T74)*0.2</f>
        <v>-112425.78299008</v>
      </c>
      <c r="U54" s="171" t="n">
        <f aca="false">-(U64+U67+U68+U71+U72+U73+U74)*0.2</f>
        <v>-110800.00552576</v>
      </c>
      <c r="V54" s="171" t="n">
        <f aca="false">-(V64+V67+V68+V71+V72+V73+V74)*0.2</f>
        <v>-109174.22806144</v>
      </c>
      <c r="W54" s="171" t="n">
        <f aca="false">-(W64+W67+W68+W71+W72+W73+W74)*0.2</f>
        <v>-107548.45059712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-16447200</v>
      </c>
      <c r="D55" s="176" t="n">
        <f aca="false">SUM(D41:D54)</f>
        <v>1283184.6896768</v>
      </c>
      <c r="E55" s="176" t="n">
        <f aca="false">SUM(E41:E54)</f>
        <v>1334721.77981952</v>
      </c>
      <c r="F55" s="176" t="n">
        <f aca="false">SUM(F41:F54)</f>
        <v>1328218.66996224</v>
      </c>
      <c r="G55" s="176" t="n">
        <f aca="false">SUM(G41:G54)</f>
        <v>1321715.56010496</v>
      </c>
      <c r="H55" s="176" t="n">
        <f aca="false">SUM(H41:H54)</f>
        <v>1315212.45024768</v>
      </c>
      <c r="I55" s="176" t="n">
        <f aca="false">SUM(I41:I54)</f>
        <v>1308709.3403904</v>
      </c>
      <c r="J55" s="176" t="n">
        <f aca="false">SUM(J41:J54)</f>
        <v>1302206.23053312</v>
      </c>
      <c r="K55" s="176" t="n">
        <f aca="false">SUM(K41:K54)</f>
        <v>1295703.12067584</v>
      </c>
      <c r="L55" s="176" t="n">
        <f aca="false">SUM(L41:L54)</f>
        <v>1289200.01081856</v>
      </c>
      <c r="M55" s="176" t="n">
        <f aca="false">SUM(M41:M54)</f>
        <v>1282696.90096128</v>
      </c>
      <c r="N55" s="176" t="n">
        <f aca="false">SUM(N41:N54)</f>
        <v>1311081.791104</v>
      </c>
      <c r="O55" s="176" t="n">
        <f aca="false">SUM(O41:O54)</f>
        <v>1304578.68124672</v>
      </c>
      <c r="P55" s="176" t="n">
        <f aca="false">SUM(P41:P54)</f>
        <v>1298075.57138944</v>
      </c>
      <c r="Q55" s="176" t="n">
        <f aca="false">SUM(Q41:Q54)</f>
        <v>1291572.46153216</v>
      </c>
      <c r="R55" s="176" t="n">
        <f aca="false">SUM(R41:R54)</f>
        <v>1285069.35167488</v>
      </c>
      <c r="S55" s="176" t="n">
        <f aca="false">SUM(S41:S54)</f>
        <v>1278566.2418176</v>
      </c>
      <c r="T55" s="176" t="n">
        <f aca="false">SUM(T41:T54)</f>
        <v>1272063.13196032</v>
      </c>
      <c r="U55" s="176" t="n">
        <f aca="false">SUM(U41:U54)</f>
        <v>1265560.02210304</v>
      </c>
      <c r="V55" s="176" t="n">
        <f aca="false">SUM(V41:V54)</f>
        <v>1259056.91224576</v>
      </c>
      <c r="W55" s="176" t="n">
        <f aca="false">SUM(W41:W54)</f>
        <v>1252553.80238848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-15164015.3103232</v>
      </c>
      <c r="E56" s="181" t="n">
        <f aca="false">D56+E55</f>
        <v>-13829293.5305037</v>
      </c>
      <c r="F56" s="181" t="n">
        <f aca="false">E56+F55</f>
        <v>-12501074.8605414</v>
      </c>
      <c r="G56" s="181" t="n">
        <f aca="false">F56+G55</f>
        <v>-11179359.3004365</v>
      </c>
      <c r="H56" s="181" t="n">
        <f aca="false">G56+H55</f>
        <v>-9864146.8501888</v>
      </c>
      <c r="I56" s="181" t="n">
        <f aca="false">H56+I55</f>
        <v>-8555437.5097984</v>
      </c>
      <c r="J56" s="181" t="n">
        <f aca="false">I56+J55</f>
        <v>-7253231.27926528</v>
      </c>
      <c r="K56" s="181" t="n">
        <f aca="false">J56+K55</f>
        <v>-5957528.15858944</v>
      </c>
      <c r="L56" s="181" t="n">
        <f aca="false">K56+L55</f>
        <v>-4668328.14777088</v>
      </c>
      <c r="M56" s="181" t="n">
        <f aca="false">L56+M55</f>
        <v>-3385631.2468096</v>
      </c>
      <c r="N56" s="181" t="n">
        <f aca="false">M56+N55</f>
        <v>-2074549.4557056</v>
      </c>
      <c r="O56" s="181" t="n">
        <f aca="false">N56+O55</f>
        <v>-769970.77445888</v>
      </c>
      <c r="P56" s="181" t="n">
        <f aca="false">O56+P55</f>
        <v>528104.79693056</v>
      </c>
      <c r="Q56" s="181" t="n">
        <f aca="false">P56+Q55</f>
        <v>1819677.25846272</v>
      </c>
      <c r="R56" s="181" t="n">
        <f aca="false">Q56+R55</f>
        <v>3104746.6101376</v>
      </c>
      <c r="S56" s="181" t="n">
        <f aca="false">R56+S55</f>
        <v>4383312.8519552</v>
      </c>
      <c r="T56" s="181" t="n">
        <f aca="false">S56+T55</f>
        <v>5655375.98391552</v>
      </c>
      <c r="U56" s="181" t="n">
        <f aca="false">T56+U55</f>
        <v>6920936.00601856</v>
      </c>
      <c r="V56" s="181" t="n">
        <f aca="false">U56+V55</f>
        <v>8179992.91826432</v>
      </c>
      <c r="W56" s="181" t="n">
        <f aca="false">V56+W55</f>
        <v>9432546.7206528</v>
      </c>
      <c r="X56" s="181" t="n">
        <f aca="false">W56+X55</f>
        <v>9432546.7206528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未回收</v>
      </c>
      <c r="P57" s="185" t="str">
        <f aca="false">IF((P56)&gt;0,"回收","未回收")</f>
        <v>回收</v>
      </c>
      <c r="Q57" s="185" t="str">
        <f aca="false">IF((Q56)&gt;0,"回收","未回收")</f>
        <v>回收</v>
      </c>
      <c r="R57" s="185" t="str">
        <f aca="false">IF((R56)&gt;0,"回收","未回收")</f>
        <v>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0.0480924400266897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-822360</v>
      </c>
      <c r="E67" s="193" t="n">
        <f aca="false">$C$44/$E$16</f>
        <v>-822360</v>
      </c>
      <c r="F67" s="193" t="n">
        <f aca="false">$C$44/$E$16</f>
        <v>-822360</v>
      </c>
      <c r="G67" s="193" t="n">
        <f aca="false">$C$44/$E$16</f>
        <v>-822360</v>
      </c>
      <c r="H67" s="193" t="n">
        <f aca="false">$C$44/$E$16</f>
        <v>-822360</v>
      </c>
      <c r="I67" s="193" t="n">
        <f aca="false">$C$44/$E$16</f>
        <v>-822360</v>
      </c>
      <c r="J67" s="193" t="n">
        <f aca="false">$C$44/$E$16</f>
        <v>-822360</v>
      </c>
      <c r="K67" s="193" t="n">
        <f aca="false">$C$44/$E$16</f>
        <v>-822360</v>
      </c>
      <c r="L67" s="193" t="n">
        <f aca="false">$C$44/$E$16</f>
        <v>-822360</v>
      </c>
      <c r="M67" s="193" t="n">
        <f aca="false">$C$44/$E$16</f>
        <v>-822360</v>
      </c>
      <c r="N67" s="193" t="n">
        <f aca="false">$C$44/$E$16</f>
        <v>-822360</v>
      </c>
      <c r="O67" s="193" t="n">
        <f aca="false">$C$44/$E$16</f>
        <v>-822360</v>
      </c>
      <c r="P67" s="193" t="n">
        <f aca="false">$C$44/$E$16</f>
        <v>-822360</v>
      </c>
      <c r="Q67" s="193" t="n">
        <f aca="false">$C$44/$E$16</f>
        <v>-822360</v>
      </c>
      <c r="R67" s="193" t="n">
        <f aca="false">$C$44/$E$16</f>
        <v>-822360</v>
      </c>
      <c r="S67" s="193" t="n">
        <f aca="false">$C$44/$E$16</f>
        <v>-822360</v>
      </c>
      <c r="T67" s="193" t="n">
        <f aca="false">$C$44/$E$16</f>
        <v>-822360</v>
      </c>
      <c r="U67" s="193" t="n">
        <f aca="false">$C$44/$E$16</f>
        <v>-822360</v>
      </c>
      <c r="V67" s="193" t="n">
        <f aca="false">$C$44/$E$16</f>
        <v>-822360</v>
      </c>
      <c r="W67" s="193" t="n">
        <f aca="false">$C$44/$E$16</f>
        <v>-822360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-336772.8672</v>
      </c>
      <c r="E70" s="171" t="n">
        <f aca="false">-E109*$D25</f>
        <v>-314321.34272</v>
      </c>
      <c r="F70" s="171" t="n">
        <f aca="false">-F109*$D25</f>
        <v>-291869.81824</v>
      </c>
      <c r="G70" s="171" t="n">
        <f aca="false">-G109*$D25</f>
        <v>-269418.29376</v>
      </c>
      <c r="H70" s="171" t="n">
        <f aca="false">-H109*$D25</f>
        <v>-246966.76928</v>
      </c>
      <c r="I70" s="171" t="n">
        <f aca="false">-I109*$D25</f>
        <v>-224515.2448</v>
      </c>
      <c r="J70" s="171" t="n">
        <f aca="false">-J109*$D25</f>
        <v>-202063.72032</v>
      </c>
      <c r="K70" s="171" t="n">
        <f aca="false">-K109*$D25</f>
        <v>-179612.19584</v>
      </c>
      <c r="L70" s="171" t="n">
        <f aca="false">-L109*$D25</f>
        <v>-157160.67136</v>
      </c>
      <c r="M70" s="171" t="n">
        <f aca="false">-M109*$D25</f>
        <v>-134709.14688</v>
      </c>
      <c r="N70" s="171" t="n">
        <f aca="false">-N109*$D25</f>
        <v>-112257.6224</v>
      </c>
      <c r="O70" s="171" t="n">
        <f aca="false">-O109*$D25</f>
        <v>-89806.09792</v>
      </c>
      <c r="P70" s="171" t="n">
        <f aca="false">-P109*$D25</f>
        <v>-67354.5734400001</v>
      </c>
      <c r="Q70" s="171" t="n">
        <f aca="false">-Q109*$D25</f>
        <v>-44903.04896</v>
      </c>
      <c r="R70" s="171" t="n">
        <f aca="false">-R109*$D25</f>
        <v>-22451.52448</v>
      </c>
      <c r="S70" s="171" t="n">
        <f aca="false">-S109*$D25</f>
        <v>-0</v>
      </c>
      <c r="T70" s="171" t="n">
        <f aca="false">-T109*$D25</f>
        <v>-0</v>
      </c>
      <c r="U70" s="171" t="n">
        <f aca="false">-U109*$D25</f>
        <v>-0</v>
      </c>
      <c r="V70" s="171" t="n">
        <f aca="false">-V109*$D25</f>
        <v>-0</v>
      </c>
      <c r="W70" s="171" t="n">
        <f aca="false">-W109*$D25</f>
        <v>-0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-32707.5</v>
      </c>
      <c r="E72" s="171" t="n">
        <f aca="false">E49</f>
        <v>-32707.5</v>
      </c>
      <c r="F72" s="171" t="n">
        <f aca="false">F49</f>
        <v>-32707.5</v>
      </c>
      <c r="G72" s="171" t="n">
        <f aca="false">G49</f>
        <v>-32707.5</v>
      </c>
      <c r="H72" s="171" t="n">
        <f aca="false">H49</f>
        <v>-32707.5</v>
      </c>
      <c r="I72" s="171" t="n">
        <f aca="false">I49</f>
        <v>-32707.5</v>
      </c>
      <c r="J72" s="171" t="n">
        <f aca="false">J49</f>
        <v>-32707.5</v>
      </c>
      <c r="K72" s="171" t="n">
        <f aca="false">K49</f>
        <v>-32707.5</v>
      </c>
      <c r="L72" s="171" t="n">
        <f aca="false">L49</f>
        <v>-32707.5</v>
      </c>
      <c r="M72" s="171" t="n">
        <f aca="false">M49</f>
        <v>-32707.5</v>
      </c>
      <c r="N72" s="171" t="n">
        <f aca="false">N49</f>
        <v>-32707.5</v>
      </c>
      <c r="O72" s="171" t="n">
        <f aca="false">O49</f>
        <v>-32707.5</v>
      </c>
      <c r="P72" s="171" t="n">
        <f aca="false">P49</f>
        <v>-32707.5</v>
      </c>
      <c r="Q72" s="171" t="n">
        <f aca="false">Q49</f>
        <v>-32707.5</v>
      </c>
      <c r="R72" s="171" t="n">
        <f aca="false">R49</f>
        <v>-32707.5</v>
      </c>
      <c r="S72" s="171" t="n">
        <f aca="false">S49</f>
        <v>-32707.5</v>
      </c>
      <c r="T72" s="171" t="n">
        <f aca="false">T49</f>
        <v>-32707.5</v>
      </c>
      <c r="U72" s="171" t="n">
        <f aca="false">U49</f>
        <v>-32707.5</v>
      </c>
      <c r="V72" s="171" t="n">
        <f aca="false">V49</f>
        <v>-32707.5</v>
      </c>
      <c r="W72" s="171" t="n">
        <f aca="false">W49</f>
        <v>-32707.5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602009.244896</v>
      </c>
      <c r="E76" s="176" t="n">
        <f aca="false">SUM(E64:E75)</f>
        <v>326130.8820544</v>
      </c>
      <c r="F76" s="176" t="n">
        <f aca="false">SUM(F64:F75)</f>
        <v>340453.5192128</v>
      </c>
      <c r="G76" s="176" t="n">
        <f aca="false">SUM(G64:G75)</f>
        <v>354776.1563712</v>
      </c>
      <c r="H76" s="176" t="n">
        <f aca="false">SUM(H64:H75)</f>
        <v>369098.7935296</v>
      </c>
      <c r="I76" s="176" t="n">
        <f aca="false">SUM(I64:I75)</f>
        <v>383421.430688</v>
      </c>
      <c r="J76" s="176" t="n">
        <f aca="false">SUM(J64:J75)</f>
        <v>397744.0678464</v>
      </c>
      <c r="K76" s="176" t="n">
        <f aca="false">SUM(K64:K75)</f>
        <v>412066.7050048</v>
      </c>
      <c r="L76" s="176" t="n">
        <f aca="false">SUM(L64:L75)</f>
        <v>426389.3421632</v>
      </c>
      <c r="M76" s="176" t="n">
        <f aca="false">SUM(M64:M75)</f>
        <v>440711.9793216</v>
      </c>
      <c r="N76" s="176" t="n">
        <f aca="false">SUM(N64:N75)</f>
        <v>498644.61648</v>
      </c>
      <c r="O76" s="176" t="n">
        <f aca="false">SUM(O64:O75)</f>
        <v>512967.2536384</v>
      </c>
      <c r="P76" s="176" t="n">
        <f aca="false">SUM(P64:P75)</f>
        <v>527289.8907968</v>
      </c>
      <c r="Q76" s="176" t="n">
        <f aca="false">SUM(Q64:Q75)</f>
        <v>541612.5279552</v>
      </c>
      <c r="R76" s="176" t="n">
        <f aca="false">SUM(R64:R75)</f>
        <v>555935.1651136</v>
      </c>
      <c r="S76" s="176" t="n">
        <f aca="false">SUM(S64:S75)</f>
        <v>570257.802272</v>
      </c>
      <c r="T76" s="176" t="n">
        <f aca="false">SUM(T64:T75)</f>
        <v>562128.9149504</v>
      </c>
      <c r="U76" s="176" t="n">
        <f aca="false">SUM(U64:U75)</f>
        <v>554000.0276288</v>
      </c>
      <c r="V76" s="176" t="n">
        <f aca="false">SUM(V64:V75)</f>
        <v>545871.1403072</v>
      </c>
      <c r="W76" s="176" t="n">
        <f aca="false">SUM(W64:W75)</f>
        <v>537742.2529856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-120401.8489792</v>
      </c>
      <c r="E77" s="171" t="n">
        <f aca="false">-E76*0.2</f>
        <v>-65226.1764108799</v>
      </c>
      <c r="F77" s="171" t="n">
        <f aca="false">-F76*0.2</f>
        <v>-68090.70384256</v>
      </c>
      <c r="G77" s="171" t="n">
        <f aca="false">-G76*0.2</f>
        <v>-70955.23127424</v>
      </c>
      <c r="H77" s="171" t="n">
        <f aca="false">-H76*0.2</f>
        <v>-73819.7587059199</v>
      </c>
      <c r="I77" s="171" t="n">
        <f aca="false">-I76*0.2</f>
        <v>-76684.2861375999</v>
      </c>
      <c r="J77" s="171" t="n">
        <f aca="false">-J76*0.2</f>
        <v>-79548.81356928</v>
      </c>
      <c r="K77" s="171" t="n">
        <f aca="false">-K76*0.2</f>
        <v>-82413.3410009599</v>
      </c>
      <c r="L77" s="171" t="n">
        <f aca="false">-L76*0.2</f>
        <v>-85277.8684326399</v>
      </c>
      <c r="M77" s="171" t="n">
        <f aca="false">-M76*0.2</f>
        <v>-88142.3958643199</v>
      </c>
      <c r="N77" s="171" t="n">
        <f aca="false">-N76*0.2</f>
        <v>-99728.9232959999</v>
      </c>
      <c r="O77" s="171" t="n">
        <f aca="false">-O76*0.2</f>
        <v>-102593.45072768</v>
      </c>
      <c r="P77" s="171" t="n">
        <f aca="false">-P76*0.2</f>
        <v>-105457.97815936</v>
      </c>
      <c r="Q77" s="171" t="n">
        <f aca="false">-Q76*0.2</f>
        <v>-108322.50559104</v>
      </c>
      <c r="R77" s="171" t="n">
        <f aca="false">-R76*0.2</f>
        <v>-111187.03302272</v>
      </c>
      <c r="S77" s="171" t="n">
        <f aca="false">-S76*0.2</f>
        <v>-114051.5604544</v>
      </c>
      <c r="T77" s="171" t="n">
        <f aca="false">-T76*0.2</f>
        <v>-112425.78299008</v>
      </c>
      <c r="U77" s="171" t="n">
        <f aca="false">-U76*0.2</f>
        <v>-110800.00552576</v>
      </c>
      <c r="V77" s="171" t="n">
        <f aca="false">-V76*0.2</f>
        <v>-109174.22806144</v>
      </c>
      <c r="W77" s="171" t="n">
        <f aca="false">-W76*0.2</f>
        <v>-107548.45059712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481607.3959168</v>
      </c>
      <c r="E78" s="171" t="n">
        <f aca="false">SUM(E76:E77)</f>
        <v>260904.70564352</v>
      </c>
      <c r="F78" s="171" t="n">
        <f aca="false">SUM(F76:F77)</f>
        <v>272362.81537024</v>
      </c>
      <c r="G78" s="171" t="n">
        <f aca="false">SUM(G76:G77)</f>
        <v>283820.92509696</v>
      </c>
      <c r="H78" s="171" t="n">
        <f aca="false">SUM(H76:H77)</f>
        <v>295279.03482368</v>
      </c>
      <c r="I78" s="171" t="n">
        <f aca="false">SUM(I76:I77)</f>
        <v>306737.1445504</v>
      </c>
      <c r="J78" s="171" t="n">
        <f aca="false">SUM(J76:J77)</f>
        <v>318195.25427712</v>
      </c>
      <c r="K78" s="171" t="n">
        <f aca="false">SUM(K76:K77)</f>
        <v>329653.36400384</v>
      </c>
      <c r="L78" s="171" t="n">
        <f aca="false">SUM(L76:L77)</f>
        <v>341111.47373056</v>
      </c>
      <c r="M78" s="171" t="n">
        <f aca="false">SUM(M76:M77)</f>
        <v>352569.58345728</v>
      </c>
      <c r="N78" s="171" t="n">
        <f aca="false">SUM(N76:N77)</f>
        <v>398915.693184</v>
      </c>
      <c r="O78" s="171" t="n">
        <f aca="false">SUM(O76:O77)</f>
        <v>410373.80291072</v>
      </c>
      <c r="P78" s="171" t="n">
        <f aca="false">SUM(P76:P77)</f>
        <v>421831.91263744</v>
      </c>
      <c r="Q78" s="171" t="n">
        <f aca="false">SUM(Q76:Q77)</f>
        <v>433290.02236416</v>
      </c>
      <c r="R78" s="171" t="n">
        <f aca="false">SUM(R76:R77)</f>
        <v>444748.13209088</v>
      </c>
      <c r="S78" s="171" t="n">
        <f aca="false">SUM(S76:S77)</f>
        <v>456206.2418176</v>
      </c>
      <c r="T78" s="171" t="n">
        <f aca="false">SUM(T76:T77)</f>
        <v>449703.13196032</v>
      </c>
      <c r="U78" s="171" t="n">
        <f aca="false">SUM(U76:U77)</f>
        <v>443200.02210304</v>
      </c>
      <c r="V78" s="171" t="n">
        <f aca="false">SUM(V76:V77)</f>
        <v>436696.91224576</v>
      </c>
      <c r="W78" s="171" t="n">
        <f aca="false">SUM(W76:W77)</f>
        <v>430193.80238848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481607.3959168</v>
      </c>
      <c r="E85" s="208" t="n">
        <f aca="false">E78</f>
        <v>260904.70564352</v>
      </c>
      <c r="F85" s="208" t="n">
        <f aca="false">F78</f>
        <v>272362.81537024</v>
      </c>
      <c r="G85" s="208" t="n">
        <f aca="false">G78</f>
        <v>283820.92509696</v>
      </c>
      <c r="H85" s="208" t="n">
        <f aca="false">H78</f>
        <v>295279.03482368</v>
      </c>
      <c r="I85" s="208" t="n">
        <f aca="false">I78</f>
        <v>306737.1445504</v>
      </c>
      <c r="J85" s="208" t="n">
        <f aca="false">J78</f>
        <v>318195.25427712</v>
      </c>
      <c r="K85" s="208" t="n">
        <f aca="false">K78</f>
        <v>329653.36400384</v>
      </c>
      <c r="L85" s="208" t="n">
        <f aca="false">L78</f>
        <v>341111.47373056</v>
      </c>
      <c r="M85" s="208" t="n">
        <f aca="false">M78</f>
        <v>352569.58345728</v>
      </c>
      <c r="N85" s="208" t="n">
        <f aca="false">N78</f>
        <v>398915.693184</v>
      </c>
      <c r="O85" s="208" t="n">
        <f aca="false">O78</f>
        <v>410373.80291072</v>
      </c>
      <c r="P85" s="208" t="n">
        <f aca="false">P78</f>
        <v>421831.91263744</v>
      </c>
      <c r="Q85" s="208" t="n">
        <f aca="false">Q78</f>
        <v>433290.02236416</v>
      </c>
      <c r="R85" s="208" t="n">
        <f aca="false">R78</f>
        <v>444748.13209088</v>
      </c>
      <c r="S85" s="208" t="n">
        <f aca="false">S78</f>
        <v>456206.2418176</v>
      </c>
      <c r="T85" s="208" t="n">
        <f aca="false">T78</f>
        <v>449703.13196032</v>
      </c>
      <c r="U85" s="208" t="n">
        <f aca="false">U78</f>
        <v>443200.02210304</v>
      </c>
      <c r="V85" s="208" t="n">
        <f aca="false">V78</f>
        <v>436696.91224576</v>
      </c>
      <c r="W85" s="208" t="n">
        <f aca="false">W78</f>
        <v>430193.80238848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822360</v>
      </c>
      <c r="E86" s="209" t="n">
        <f aca="false">-E67</f>
        <v>822360</v>
      </c>
      <c r="F86" s="209" t="n">
        <f aca="false">-F67</f>
        <v>822360</v>
      </c>
      <c r="G86" s="209" t="n">
        <f aca="false">-G67</f>
        <v>822360</v>
      </c>
      <c r="H86" s="209" t="n">
        <f aca="false">-H67</f>
        <v>822360</v>
      </c>
      <c r="I86" s="209" t="n">
        <f aca="false">-I67</f>
        <v>822360</v>
      </c>
      <c r="J86" s="209" t="n">
        <f aca="false">-J67</f>
        <v>822360</v>
      </c>
      <c r="K86" s="209" t="n">
        <f aca="false">-K67</f>
        <v>822360</v>
      </c>
      <c r="L86" s="209" t="n">
        <f aca="false">-L67</f>
        <v>822360</v>
      </c>
      <c r="M86" s="209" t="n">
        <f aca="false">-M67</f>
        <v>822360</v>
      </c>
      <c r="N86" s="209" t="n">
        <f aca="false">-N67</f>
        <v>822360</v>
      </c>
      <c r="O86" s="209" t="n">
        <f aca="false">-O67</f>
        <v>822360</v>
      </c>
      <c r="P86" s="209" t="n">
        <f aca="false">-P67</f>
        <v>822360</v>
      </c>
      <c r="Q86" s="209" t="n">
        <f aca="false">-Q67</f>
        <v>822360</v>
      </c>
      <c r="R86" s="209" t="n">
        <f aca="false">-R67</f>
        <v>822360</v>
      </c>
      <c r="S86" s="209" t="n">
        <f aca="false">-S67</f>
        <v>822360</v>
      </c>
      <c r="T86" s="209" t="n">
        <f aca="false">-T67</f>
        <v>822360</v>
      </c>
      <c r="U86" s="209" t="n">
        <f aca="false">-U67</f>
        <v>822360</v>
      </c>
      <c r="V86" s="209" t="n">
        <f aca="false">-V67</f>
        <v>822360</v>
      </c>
      <c r="W86" s="209" t="n">
        <f aca="false">-W67</f>
        <v>822360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1303967.3959168</v>
      </c>
      <c r="E87" s="211" t="n">
        <f aca="false">SUM(E85:E86)</f>
        <v>1083264.70564352</v>
      </c>
      <c r="F87" s="211" t="n">
        <f aca="false">SUM(F85:F86)</f>
        <v>1094722.81537024</v>
      </c>
      <c r="G87" s="211" t="n">
        <f aca="false">SUM(G85:G86)</f>
        <v>1106180.92509696</v>
      </c>
      <c r="H87" s="211" t="n">
        <f aca="false">SUM(H85:H86)</f>
        <v>1117639.03482368</v>
      </c>
      <c r="I87" s="211" t="n">
        <f aca="false">SUM(I85:I86)</f>
        <v>1129097.1445504</v>
      </c>
      <c r="J87" s="211" t="n">
        <f aca="false">SUM(J85:J86)</f>
        <v>1140555.25427712</v>
      </c>
      <c r="K87" s="211" t="n">
        <f aca="false">SUM(K85:K86)</f>
        <v>1152013.36400384</v>
      </c>
      <c r="L87" s="211" t="n">
        <f aca="false">SUM(L85:L86)</f>
        <v>1163471.47373056</v>
      </c>
      <c r="M87" s="211" t="n">
        <f aca="false">SUM(M85:M86)</f>
        <v>1174929.58345728</v>
      </c>
      <c r="N87" s="211" t="n">
        <f aca="false">SUM(N85:N86)</f>
        <v>1221275.693184</v>
      </c>
      <c r="O87" s="211" t="n">
        <f aca="false">SUM(O85:O86)</f>
        <v>1232733.80291072</v>
      </c>
      <c r="P87" s="211" t="n">
        <f aca="false">SUM(P85:P86)</f>
        <v>1244191.91263744</v>
      </c>
      <c r="Q87" s="211" t="n">
        <f aca="false">SUM(Q85:Q86)</f>
        <v>1255650.02236416</v>
      </c>
      <c r="R87" s="211" t="n">
        <f aca="false">SUM(R85:R86)</f>
        <v>1267108.13209088</v>
      </c>
      <c r="S87" s="211" t="n">
        <f aca="false">SUM(S85:S86)</f>
        <v>1278566.2418176</v>
      </c>
      <c r="T87" s="211" t="n">
        <f aca="false">SUM(T85:T86)</f>
        <v>1272063.13196032</v>
      </c>
      <c r="U87" s="211" t="n">
        <f aca="false">SUM(U85:U86)</f>
        <v>1265560.02210304</v>
      </c>
      <c r="V87" s="211" t="n">
        <f aca="false">SUM(V85:V86)</f>
        <v>1259056.91224576</v>
      </c>
      <c r="W87" s="211" t="n">
        <f aca="false">SUM(W85:W86)</f>
        <v>1252553.80238848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-16447200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13157760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-877184</v>
      </c>
      <c r="F93" s="217" t="n">
        <v>-877184</v>
      </c>
      <c r="G93" s="217" t="n">
        <v>-877184</v>
      </c>
      <c r="H93" s="217" t="n">
        <v>-877184</v>
      </c>
      <c r="I93" s="217" t="n">
        <v>-877184</v>
      </c>
      <c r="J93" s="217" t="n">
        <v>-877184</v>
      </c>
      <c r="K93" s="217" t="n">
        <v>-877184</v>
      </c>
      <c r="L93" s="217" t="n">
        <v>-877184</v>
      </c>
      <c r="M93" s="217" t="n">
        <v>-877184</v>
      </c>
      <c r="N93" s="217" t="n">
        <v>-877184</v>
      </c>
      <c r="O93" s="217" t="n">
        <v>-877184</v>
      </c>
      <c r="P93" s="217" t="n">
        <v>-877184</v>
      </c>
      <c r="Q93" s="217" t="n">
        <v>-877184</v>
      </c>
      <c r="R93" s="217" t="n">
        <v>-877184</v>
      </c>
      <c r="S93" s="217" t="n">
        <v>-877184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3289440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-433446.65632512</v>
      </c>
      <c r="F95" s="218" t="n">
        <f aca="false">-E85*$D$33</f>
        <v>-234814.235079168</v>
      </c>
      <c r="G95" s="218" t="n">
        <f aca="false">-F85*$D$33</f>
        <v>-245126.533833216</v>
      </c>
      <c r="H95" s="218" t="n">
        <f aca="false">-G85*$D$33</f>
        <v>-255438.832587264</v>
      </c>
      <c r="I95" s="218" t="n">
        <f aca="false">-H85*$D$33</f>
        <v>-265751.131341312</v>
      </c>
      <c r="J95" s="218" t="n">
        <f aca="false">-I85*$D$33</f>
        <v>-276063.43009536</v>
      </c>
      <c r="K95" s="218" t="n">
        <f aca="false">-J85*$D$33</f>
        <v>-286375.728849408</v>
      </c>
      <c r="L95" s="218" t="n">
        <f aca="false">-K85*$D$33</f>
        <v>-296688.027603456</v>
      </c>
      <c r="M95" s="218" t="n">
        <f aca="false">-L85*$D$33</f>
        <v>-307000.326357504</v>
      </c>
      <c r="N95" s="218" t="n">
        <f aca="false">-M85*$D$33</f>
        <v>-317312.625111552</v>
      </c>
      <c r="O95" s="218" t="n">
        <f aca="false">-N85*$D$33</f>
        <v>-359024.1238656</v>
      </c>
      <c r="P95" s="218" t="n">
        <f aca="false">-O85*$D$33</f>
        <v>-369336.422619648</v>
      </c>
      <c r="Q95" s="218" t="n">
        <f aca="false">-P85*$D$33</f>
        <v>-379648.721373696</v>
      </c>
      <c r="R95" s="218" t="n">
        <f aca="false">-Q85*$D$33</f>
        <v>-389961.020127744</v>
      </c>
      <c r="S95" s="218" t="n">
        <f aca="false">-R85*$D$33</f>
        <v>-400273.318881792</v>
      </c>
      <c r="T95" s="218" t="n">
        <f aca="false">-S85*$D$33</f>
        <v>-410585.61763584</v>
      </c>
      <c r="U95" s="218" t="n">
        <f aca="false">-T85*$D$33</f>
        <v>-404732.818764288</v>
      </c>
      <c r="V95" s="218" t="n">
        <f aca="false">-U85*$D$33</f>
        <v>-398880.019892736</v>
      </c>
      <c r="W95" s="218" t="n">
        <f aca="false">-V85*$D$33</f>
        <v>-393027.221021184</v>
      </c>
      <c r="X95" s="218" t="n">
        <f aca="false">-W85*$D$33</f>
        <v>-387174.422149632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-822360</v>
      </c>
      <c r="U96" s="221" t="n">
        <v>-822360</v>
      </c>
      <c r="V96" s="221" t="n">
        <v>-822360</v>
      </c>
      <c r="W96" s="221" t="n">
        <v>-822360</v>
      </c>
      <c r="X96" s="222" t="n">
        <f aca="false">-W101-X95</f>
        <v>-756740.137057281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1303967.3959168</v>
      </c>
      <c r="E99" s="208" t="n">
        <f aca="false">SUM(E87:E96)</f>
        <v>-227365.9506816</v>
      </c>
      <c r="F99" s="208" t="n">
        <f aca="false">SUM(F87:F96)</f>
        <v>-17275.4197089277</v>
      </c>
      <c r="G99" s="208" t="n">
        <f aca="false">SUM(G87:G96)</f>
        <v>-16129.6087362559</v>
      </c>
      <c r="H99" s="208" t="n">
        <f aca="false">SUM(H87:H96)</f>
        <v>-14983.7977635841</v>
      </c>
      <c r="I99" s="208" t="n">
        <f aca="false">SUM(I87:I96)</f>
        <v>-13837.9867909119</v>
      </c>
      <c r="J99" s="208" t="n">
        <f aca="false">SUM(J87:J96)</f>
        <v>-12692.1758182399</v>
      </c>
      <c r="K99" s="208" t="n">
        <f aca="false">SUM(K87:K96)</f>
        <v>-11546.364845568</v>
      </c>
      <c r="L99" s="208" t="n">
        <f aca="false">SUM(L87:L96)</f>
        <v>-10400.5538728958</v>
      </c>
      <c r="M99" s="208" t="n">
        <f aca="false">SUM(M87:M96)</f>
        <v>-9254.74290022382</v>
      </c>
      <c r="N99" s="208" t="n">
        <f aca="false">SUM(N87:N96)</f>
        <v>26779.068072448</v>
      </c>
      <c r="O99" s="208" t="n">
        <f aca="false">SUM(O87:O96)</f>
        <v>-3474.32095487998</v>
      </c>
      <c r="P99" s="208" t="n">
        <f aca="false">SUM(P87:P96)</f>
        <v>-2328.50998220796</v>
      </c>
      <c r="Q99" s="208" t="n">
        <f aca="false">SUM(Q87:Q96)</f>
        <v>-1182.69900953595</v>
      </c>
      <c r="R99" s="208" t="n">
        <f aca="false">SUM(R87:R96)</f>
        <v>-36.8880368639366</v>
      </c>
      <c r="S99" s="208" t="n">
        <f aca="false">SUM(S87:S96)</f>
        <v>1108.92293580808</v>
      </c>
      <c r="T99" s="208" t="n">
        <f aca="false">SUM(T87:T96)</f>
        <v>39117.51432448</v>
      </c>
      <c r="U99" s="208" t="n">
        <f aca="false">SUM(U87:U96)</f>
        <v>38467.2033387523</v>
      </c>
      <c r="V99" s="208" t="n">
        <f aca="false">SUM(V87:V96)</f>
        <v>37816.8923530239</v>
      </c>
      <c r="W99" s="208" t="n">
        <f aca="false">SUM(W87:W96)</f>
        <v>37166.5813672963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1303967.3959168</v>
      </c>
      <c r="F100" s="208" t="n">
        <f aca="false">E101</f>
        <v>1076601.4452352</v>
      </c>
      <c r="G100" s="208" t="n">
        <f aca="false">F101</f>
        <v>1059326.02552627</v>
      </c>
      <c r="H100" s="208" t="n">
        <f aca="false">G101</f>
        <v>1043196.41679002</v>
      </c>
      <c r="I100" s="208" t="n">
        <f aca="false">H101</f>
        <v>1028212.61902643</v>
      </c>
      <c r="J100" s="208" t="n">
        <f aca="false">I101</f>
        <v>1014374.63223552</v>
      </c>
      <c r="K100" s="208" t="n">
        <f aca="false">J101</f>
        <v>1001682.45641728</v>
      </c>
      <c r="L100" s="208" t="n">
        <f aca="false">K101</f>
        <v>990136.091571712</v>
      </c>
      <c r="M100" s="208" t="n">
        <f aca="false">L101</f>
        <v>979735.537698816</v>
      </c>
      <c r="N100" s="208" t="n">
        <f aca="false">M101</f>
        <v>970480.794798592</v>
      </c>
      <c r="O100" s="208" t="n">
        <f aca="false">N101</f>
        <v>997259.86287104</v>
      </c>
      <c r="P100" s="208" t="n">
        <f aca="false">O101</f>
        <v>993785.54191616</v>
      </c>
      <c r="Q100" s="208" t="n">
        <f aca="false">P101</f>
        <v>991457.031933952</v>
      </c>
      <c r="R100" s="208" t="n">
        <f aca="false">Q101</f>
        <v>990274.332924416</v>
      </c>
      <c r="S100" s="208" t="n">
        <f aca="false">R101</f>
        <v>990237.444887552</v>
      </c>
      <c r="T100" s="208" t="n">
        <f aca="false">S101</f>
        <v>991346.36782336</v>
      </c>
      <c r="U100" s="208" t="n">
        <f aca="false">T101</f>
        <v>1030463.88214784</v>
      </c>
      <c r="V100" s="208" t="n">
        <f aca="false">U101</f>
        <v>1068931.08548659</v>
      </c>
      <c r="W100" s="208" t="n">
        <f aca="false">V101</f>
        <v>1106747.97783962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1303967.3959168</v>
      </c>
      <c r="E101" s="208" t="n">
        <f aca="false">E99+E100</f>
        <v>1076601.4452352</v>
      </c>
      <c r="F101" s="208" t="n">
        <f aca="false">F99+F100</f>
        <v>1059326.02552627</v>
      </c>
      <c r="G101" s="208" t="n">
        <f aca="false">G99+G100</f>
        <v>1043196.41679002</v>
      </c>
      <c r="H101" s="208" t="n">
        <f aca="false">H99+H100</f>
        <v>1028212.61902643</v>
      </c>
      <c r="I101" s="208" t="n">
        <f aca="false">I99+I100</f>
        <v>1014374.63223552</v>
      </c>
      <c r="J101" s="208" t="n">
        <f aca="false">J99+J100</f>
        <v>1001682.45641728</v>
      </c>
      <c r="K101" s="208" t="n">
        <f aca="false">K99+K100</f>
        <v>990136.091571712</v>
      </c>
      <c r="L101" s="208" t="n">
        <f aca="false">L99+L100</f>
        <v>979735.537698816</v>
      </c>
      <c r="M101" s="208" t="n">
        <f aca="false">M99+M100</f>
        <v>970480.794798592</v>
      </c>
      <c r="N101" s="208" t="n">
        <f aca="false">N99+N100</f>
        <v>997259.86287104</v>
      </c>
      <c r="O101" s="208" t="n">
        <f aca="false">O99+O100</f>
        <v>993785.54191616</v>
      </c>
      <c r="P101" s="208" t="n">
        <f aca="false">P99+P100</f>
        <v>991457.031933952</v>
      </c>
      <c r="Q101" s="208" t="n">
        <f aca="false">Q99+Q100</f>
        <v>990274.332924416</v>
      </c>
      <c r="R101" s="208" t="n">
        <f aca="false">R99+R100</f>
        <v>990237.444887552</v>
      </c>
      <c r="S101" s="208" t="n">
        <f aca="false">S99+S100</f>
        <v>991346.36782336</v>
      </c>
      <c r="T101" s="208" t="n">
        <f aca="false">T99+T100</f>
        <v>1030463.88214784</v>
      </c>
      <c r="U101" s="208" t="n">
        <f aca="false">U99+U100</f>
        <v>1068931.08548659</v>
      </c>
      <c r="V101" s="208" t="n">
        <f aca="false">V99+V100</f>
        <v>1106747.97783962</v>
      </c>
      <c r="W101" s="208" t="n">
        <f aca="false">W99+W100</f>
        <v>1143914.55920691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-3289440</v>
      </c>
      <c r="E104" s="211" t="n">
        <f aca="false">-E95-E96</f>
        <v>433446.65632512</v>
      </c>
      <c r="F104" s="211" t="n">
        <f aca="false">-F95-F96</f>
        <v>234814.235079168</v>
      </c>
      <c r="G104" s="211" t="n">
        <f aca="false">-G95-G96</f>
        <v>245126.533833216</v>
      </c>
      <c r="H104" s="211" t="n">
        <f aca="false">-H95-H96</f>
        <v>255438.832587264</v>
      </c>
      <c r="I104" s="211" t="n">
        <f aca="false">-I95-I96</f>
        <v>265751.131341312</v>
      </c>
      <c r="J104" s="211" t="n">
        <f aca="false">-J95-J96</f>
        <v>276063.43009536</v>
      </c>
      <c r="K104" s="211" t="n">
        <f aca="false">-K95-K96</f>
        <v>286375.728849408</v>
      </c>
      <c r="L104" s="211" t="n">
        <f aca="false">-L95-L96</f>
        <v>296688.027603456</v>
      </c>
      <c r="M104" s="211" t="n">
        <f aca="false">-M95-M96</f>
        <v>307000.326357504</v>
      </c>
      <c r="N104" s="211" t="n">
        <f aca="false">-N95-N96</f>
        <v>317312.625111552</v>
      </c>
      <c r="O104" s="211" t="n">
        <f aca="false">-O95-O96</f>
        <v>359024.1238656</v>
      </c>
      <c r="P104" s="211" t="n">
        <f aca="false">-P95-P96</f>
        <v>369336.422619648</v>
      </c>
      <c r="Q104" s="211" t="n">
        <f aca="false">-Q95-Q96</f>
        <v>379648.721373696</v>
      </c>
      <c r="R104" s="211" t="n">
        <f aca="false">-R95-R96</f>
        <v>389961.020127744</v>
      </c>
      <c r="S104" s="211" t="n">
        <f aca="false">-S95-S96</f>
        <v>400273.318881792</v>
      </c>
      <c r="T104" s="211" t="n">
        <f aca="false">-T95-T96</f>
        <v>1232945.61763584</v>
      </c>
      <c r="U104" s="211" t="n">
        <f aca="false">-U95-U96</f>
        <v>1227092.81876429</v>
      </c>
      <c r="V104" s="211" t="n">
        <f aca="false">-V95-V96</f>
        <v>1221240.01989274</v>
      </c>
      <c r="W104" s="211" t="n">
        <f aca="false">-W95-W96</f>
        <v>1215387.22102118</v>
      </c>
      <c r="X104" s="211" t="n">
        <f aca="false">-X95-X96</f>
        <v>1143914.55920691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0.105470257592388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-2807832.6040832</v>
      </c>
      <c r="E106" s="211" t="n">
        <f aca="false">E85</f>
        <v>260904.70564352</v>
      </c>
      <c r="F106" s="211" t="n">
        <f aca="false">F85-F96</f>
        <v>272362.81537024</v>
      </c>
      <c r="G106" s="211" t="n">
        <f aca="false">G85-G96</f>
        <v>283820.92509696</v>
      </c>
      <c r="H106" s="211" t="n">
        <f aca="false">H85-H96</f>
        <v>295279.03482368</v>
      </c>
      <c r="I106" s="211" t="n">
        <f aca="false">I85-I96</f>
        <v>306737.1445504</v>
      </c>
      <c r="J106" s="211" t="n">
        <f aca="false">J85-J96</f>
        <v>318195.25427712</v>
      </c>
      <c r="K106" s="211" t="n">
        <f aca="false">K85-K96</f>
        <v>329653.36400384</v>
      </c>
      <c r="L106" s="211" t="n">
        <f aca="false">L85-L96</f>
        <v>341111.47373056</v>
      </c>
      <c r="M106" s="211" t="n">
        <f aca="false">M85-M96</f>
        <v>352569.58345728</v>
      </c>
      <c r="N106" s="211" t="n">
        <f aca="false">N85-N96</f>
        <v>398915.693184</v>
      </c>
      <c r="O106" s="211" t="n">
        <f aca="false">O85-O96</f>
        <v>410373.80291072</v>
      </c>
      <c r="P106" s="211" t="n">
        <f aca="false">P85-P96</f>
        <v>421831.91263744</v>
      </c>
      <c r="Q106" s="211" t="n">
        <f aca="false">Q85-Q96</f>
        <v>433290.02236416</v>
      </c>
      <c r="R106" s="211" t="n">
        <f aca="false">R85-R96</f>
        <v>444748.13209088</v>
      </c>
      <c r="S106" s="211" t="n">
        <f aca="false">S85-S96</f>
        <v>456206.2418176</v>
      </c>
      <c r="T106" s="211" t="n">
        <f aca="false">T85-T96</f>
        <v>1272063.13196032</v>
      </c>
      <c r="U106" s="211" t="n">
        <f aca="false">U85-U96</f>
        <v>1265560.02210304</v>
      </c>
      <c r="V106" s="211" t="n">
        <f aca="false">V85-V96</f>
        <v>1259056.91224576</v>
      </c>
      <c r="W106" s="211" t="n">
        <f aca="false">W85-W96</f>
        <v>1252553.80238848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0.124718227070787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13157760</v>
      </c>
      <c r="E109" s="208" t="n">
        <f aca="false">D109+E93</f>
        <v>12280576</v>
      </c>
      <c r="F109" s="208" t="n">
        <f aca="false">E109+F93</f>
        <v>11403392</v>
      </c>
      <c r="G109" s="208" t="n">
        <f aca="false">F109+G93</f>
        <v>10526208</v>
      </c>
      <c r="H109" s="208" t="n">
        <f aca="false">G109+H93</f>
        <v>9649024</v>
      </c>
      <c r="I109" s="208" t="n">
        <f aca="false">H109+I93</f>
        <v>8771840</v>
      </c>
      <c r="J109" s="208" t="n">
        <f aca="false">I109+J93</f>
        <v>7894656</v>
      </c>
      <c r="K109" s="208" t="n">
        <f aca="false">J109+K93</f>
        <v>7017472</v>
      </c>
      <c r="L109" s="208" t="n">
        <f aca="false">K109+L93</f>
        <v>6140288</v>
      </c>
      <c r="M109" s="208" t="n">
        <f aca="false">L109+M93</f>
        <v>5263104</v>
      </c>
      <c r="N109" s="208" t="n">
        <f aca="false">M109+N93</f>
        <v>4385920</v>
      </c>
      <c r="O109" s="208" t="n">
        <f aca="false">N109+O93</f>
        <v>3508736</v>
      </c>
      <c r="P109" s="208" t="n">
        <f aca="false">O109+P93</f>
        <v>2631552</v>
      </c>
      <c r="Q109" s="208" t="n">
        <f aca="false">P109+Q93</f>
        <v>1754368</v>
      </c>
      <c r="R109" s="208" t="n">
        <f aca="false">Q109+R93</f>
        <v>877184.000000002</v>
      </c>
      <c r="S109" s="208" t="n">
        <f aca="false">R109+S93</f>
        <v>0</v>
      </c>
      <c r="T109" s="208" t="n">
        <f aca="false">S109+T93</f>
        <v>0</v>
      </c>
      <c r="U109" s="208" t="n">
        <f aca="false">T109+U93</f>
        <v>0</v>
      </c>
      <c r="V109" s="208" t="n">
        <f aca="false">U109+V93</f>
        <v>0</v>
      </c>
      <c r="W109" s="208" t="n">
        <f aca="false">V109+W93</f>
        <v>0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170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171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172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173</v>
      </c>
    </row>
    <row r="8" customFormat="false" ht="22.5" hidden="false" customHeight="true" outlineLevel="0" collapsed="false">
      <c r="B8" s="14" t="s">
        <v>9</v>
      </c>
      <c r="E8" s="122"/>
      <c r="M8" s="0" t="s">
        <v>174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98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23000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-15201200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-30090.9</v>
      </c>
      <c r="E49" s="171" t="n">
        <v>-30090.9</v>
      </c>
      <c r="F49" s="171" t="n">
        <v>-30090.9</v>
      </c>
      <c r="G49" s="171" t="n">
        <v>-30090.9</v>
      </c>
      <c r="H49" s="171" t="n">
        <v>-30090.9</v>
      </c>
      <c r="I49" s="171" t="n">
        <v>-30090.9</v>
      </c>
      <c r="J49" s="171" t="n">
        <v>-30090.9</v>
      </c>
      <c r="K49" s="171" t="n">
        <v>-30090.9</v>
      </c>
      <c r="L49" s="171" t="n">
        <v>-30090.9</v>
      </c>
      <c r="M49" s="171" t="n">
        <v>-30090.9</v>
      </c>
      <c r="N49" s="171" t="n">
        <v>-30090.9</v>
      </c>
      <c r="O49" s="171" t="n">
        <v>-30090.9</v>
      </c>
      <c r="P49" s="171" t="n">
        <v>-30090.9</v>
      </c>
      <c r="Q49" s="171" t="n">
        <v>-30090.9</v>
      </c>
      <c r="R49" s="171" t="n">
        <v>-30090.9</v>
      </c>
      <c r="S49" s="171" t="n">
        <v>-30090.9</v>
      </c>
      <c r="T49" s="171" t="n">
        <v>-30090.9</v>
      </c>
      <c r="U49" s="171" t="n">
        <v>-30090.9</v>
      </c>
      <c r="V49" s="171" t="n">
        <v>-30090.9</v>
      </c>
      <c r="W49" s="171" t="n">
        <v>-30090.9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-200739.7424192</v>
      </c>
      <c r="E54" s="171" t="n">
        <f aca="false">-(E64+E67+E68+E71+E72+E73+E74)*0.2</f>
        <v>-141073.76495488</v>
      </c>
      <c r="F54" s="171" t="n">
        <f aca="false">-(F64+F67+F68+F71+F72+F73+F74)*0.2</f>
        <v>-139447.98749056</v>
      </c>
      <c r="G54" s="171" t="n">
        <f aca="false">-(G64+G67+G68+G71+G72+G73+G74)*0.2</f>
        <v>-137822.21002624</v>
      </c>
      <c r="H54" s="171" t="n">
        <f aca="false">-(H64+H67+H68+H71+H72+H73+H74)*0.2</f>
        <v>-136196.43256192</v>
      </c>
      <c r="I54" s="171" t="n">
        <f aca="false">-(I64+I67+I68+I71+I72+I73+I74)*0.2</f>
        <v>-134570.6550976</v>
      </c>
      <c r="J54" s="171" t="n">
        <f aca="false">-(J64+J67+J68+J71+J72+J73+J74)*0.2</f>
        <v>-132944.87763328</v>
      </c>
      <c r="K54" s="171" t="n">
        <f aca="false">-(K64+K67+K68+K71+K72+K73+K74)*0.2</f>
        <v>-131319.10016896</v>
      </c>
      <c r="L54" s="171" t="n">
        <f aca="false">-(L64+L67+L68+L71+L72+L73+L74)*0.2</f>
        <v>-129693.32270464</v>
      </c>
      <c r="M54" s="171" t="n">
        <f aca="false">-(M64+M67+M68+M71+M72+M73+M74)*0.2</f>
        <v>-128067.54524032</v>
      </c>
      <c r="N54" s="171" t="n">
        <f aca="false">-(N64+N67+N68+N71+N72+N73+N74)*0.2</f>
        <v>-135163.767776</v>
      </c>
      <c r="O54" s="171" t="n">
        <f aca="false">-(O64+O67+O68+O71+O72+O73+O74)*0.2</f>
        <v>-133537.99031168</v>
      </c>
      <c r="P54" s="171" t="n">
        <f aca="false">-(P64+P67+P68+P71+P72+P73+P74)*0.2</f>
        <v>-131912.21284736</v>
      </c>
      <c r="Q54" s="171" t="n">
        <f aca="false">-(Q64+Q67+Q68+Q71+Q72+Q73+Q74)*0.2</f>
        <v>-130286.43538304</v>
      </c>
      <c r="R54" s="171" t="n">
        <f aca="false">-(R64+R67+R68+R71+R72+R73+R74)*0.2</f>
        <v>-128660.65791872</v>
      </c>
      <c r="S54" s="171" t="n">
        <f aca="false">-(S64+S67+S68+S71+S72+S73+S74)*0.2</f>
        <v>-127034.8804544</v>
      </c>
      <c r="T54" s="171" t="n">
        <f aca="false">-(T64+T67+T68+T71+T72+T73+T74)*0.2</f>
        <v>-125409.10299008</v>
      </c>
      <c r="U54" s="171" t="n">
        <f aca="false">-(U64+U67+U68+U71+U72+U73+U74)*0.2</f>
        <v>-123783.32552576</v>
      </c>
      <c r="V54" s="171" t="n">
        <f aca="false">-(V64+V67+V68+V71+V72+V73+V74)*0.2</f>
        <v>-122157.54806144</v>
      </c>
      <c r="W54" s="171" t="n">
        <f aca="false">-(W64+W67+W68+W71+W72+W73+W74)*0.2</f>
        <v>-120531.77059712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-15201200</v>
      </c>
      <c r="D55" s="176" t="n">
        <f aca="false">SUM(D41:D54)</f>
        <v>1272817.9696768</v>
      </c>
      <c r="E55" s="176" t="n">
        <f aca="false">SUM(E41:E54)</f>
        <v>1324355.05981952</v>
      </c>
      <c r="F55" s="176" t="n">
        <f aca="false">SUM(F41:F54)</f>
        <v>1317851.94996224</v>
      </c>
      <c r="G55" s="176" t="n">
        <f aca="false">SUM(G41:G54)</f>
        <v>1311348.84010496</v>
      </c>
      <c r="H55" s="176" t="n">
        <f aca="false">SUM(H41:H54)</f>
        <v>1304845.73024768</v>
      </c>
      <c r="I55" s="176" t="n">
        <f aca="false">SUM(I41:I54)</f>
        <v>1298342.6203904</v>
      </c>
      <c r="J55" s="176" t="n">
        <f aca="false">SUM(J41:J54)</f>
        <v>1291839.51053312</v>
      </c>
      <c r="K55" s="176" t="n">
        <f aca="false">SUM(K41:K54)</f>
        <v>1285336.40067584</v>
      </c>
      <c r="L55" s="176" t="n">
        <f aca="false">SUM(L41:L54)</f>
        <v>1278833.29081856</v>
      </c>
      <c r="M55" s="176" t="n">
        <f aca="false">SUM(M41:M54)</f>
        <v>1272330.18096128</v>
      </c>
      <c r="N55" s="176" t="n">
        <f aca="false">SUM(N41:N54)</f>
        <v>1300715.071104</v>
      </c>
      <c r="O55" s="176" t="n">
        <f aca="false">SUM(O41:O54)</f>
        <v>1294211.96124672</v>
      </c>
      <c r="P55" s="176" t="n">
        <f aca="false">SUM(P41:P54)</f>
        <v>1287708.85138944</v>
      </c>
      <c r="Q55" s="176" t="n">
        <f aca="false">SUM(Q41:Q54)</f>
        <v>1281205.74153216</v>
      </c>
      <c r="R55" s="176" t="n">
        <f aca="false">SUM(R41:R54)</f>
        <v>1274702.63167488</v>
      </c>
      <c r="S55" s="176" t="n">
        <f aca="false">SUM(S41:S54)</f>
        <v>1268199.5218176</v>
      </c>
      <c r="T55" s="176" t="n">
        <f aca="false">SUM(T41:T54)</f>
        <v>1261696.41196032</v>
      </c>
      <c r="U55" s="176" t="n">
        <f aca="false">SUM(U41:U54)</f>
        <v>1255193.30210304</v>
      </c>
      <c r="V55" s="176" t="n">
        <f aca="false">SUM(V41:V54)</f>
        <v>1248690.19224576</v>
      </c>
      <c r="W55" s="176" t="n">
        <f aca="false">SUM(W41:W54)</f>
        <v>1242187.08238848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-13928382.0303232</v>
      </c>
      <c r="E56" s="181" t="n">
        <f aca="false">D56+E55</f>
        <v>-12604026.9705037</v>
      </c>
      <c r="F56" s="181" t="n">
        <f aca="false">E56+F55</f>
        <v>-11286175.0205414</v>
      </c>
      <c r="G56" s="181" t="n">
        <f aca="false">F56+G55</f>
        <v>-9974826.18043649</v>
      </c>
      <c r="H56" s="181" t="n">
        <f aca="false">G56+H55</f>
        <v>-8669980.4501888</v>
      </c>
      <c r="I56" s="181" t="n">
        <f aca="false">H56+I55</f>
        <v>-7371637.8297984</v>
      </c>
      <c r="J56" s="181" t="n">
        <f aca="false">I56+J55</f>
        <v>-6079798.31926528</v>
      </c>
      <c r="K56" s="181" t="n">
        <f aca="false">J56+K55</f>
        <v>-4794461.91858944</v>
      </c>
      <c r="L56" s="181" t="n">
        <f aca="false">K56+L55</f>
        <v>-3515628.62777088</v>
      </c>
      <c r="M56" s="181" t="n">
        <f aca="false">L56+M55</f>
        <v>-2243298.4468096</v>
      </c>
      <c r="N56" s="181" t="n">
        <f aca="false">M56+N55</f>
        <v>-942583.375705604</v>
      </c>
      <c r="O56" s="181" t="n">
        <f aca="false">N56+O55</f>
        <v>351628.585541116</v>
      </c>
      <c r="P56" s="181" t="n">
        <f aca="false">O56+P55</f>
        <v>1639337.43693056</v>
      </c>
      <c r="Q56" s="181" t="n">
        <f aca="false">P56+Q55</f>
        <v>2920543.17846272</v>
      </c>
      <c r="R56" s="181" t="n">
        <f aca="false">Q56+R55</f>
        <v>4195245.8101376</v>
      </c>
      <c r="S56" s="181" t="n">
        <f aca="false">R56+S55</f>
        <v>5463445.3319552</v>
      </c>
      <c r="T56" s="181" t="n">
        <f aca="false">S56+T55</f>
        <v>6725141.74391552</v>
      </c>
      <c r="U56" s="181" t="n">
        <f aca="false">T56+U55</f>
        <v>7980335.04601856</v>
      </c>
      <c r="V56" s="181" t="n">
        <f aca="false">U56+V55</f>
        <v>9229025.23826432</v>
      </c>
      <c r="W56" s="181" t="n">
        <f aca="false">V56+W55</f>
        <v>10471212.3206528</v>
      </c>
      <c r="X56" s="181" t="n">
        <f aca="false">W56+X55</f>
        <v>10471212.3206528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未回收</v>
      </c>
      <c r="O57" s="185" t="str">
        <f aca="false">IF((O56)&gt;0,"回收","未回收")</f>
        <v>回收</v>
      </c>
      <c r="P57" s="185" t="str">
        <f aca="false">IF((P56)&gt;0,"回收","未回收")</f>
        <v>回收</v>
      </c>
      <c r="Q57" s="185" t="str">
        <f aca="false">IF((Q56)&gt;0,"回收","未回收")</f>
        <v>回收</v>
      </c>
      <c r="R57" s="185" t="str">
        <f aca="false">IF((R56)&gt;0,"回收","未回收")</f>
        <v>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0.0565891591951957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-760060</v>
      </c>
      <c r="E67" s="193" t="n">
        <f aca="false">$C$44/$E$16</f>
        <v>-760060</v>
      </c>
      <c r="F67" s="193" t="n">
        <f aca="false">$C$44/$E$16</f>
        <v>-760060</v>
      </c>
      <c r="G67" s="193" t="n">
        <f aca="false">$C$44/$E$16</f>
        <v>-760060</v>
      </c>
      <c r="H67" s="193" t="n">
        <f aca="false">$C$44/$E$16</f>
        <v>-760060</v>
      </c>
      <c r="I67" s="193" t="n">
        <f aca="false">$C$44/$E$16</f>
        <v>-760060</v>
      </c>
      <c r="J67" s="193" t="n">
        <f aca="false">$C$44/$E$16</f>
        <v>-760060</v>
      </c>
      <c r="K67" s="193" t="n">
        <f aca="false">$C$44/$E$16</f>
        <v>-760060</v>
      </c>
      <c r="L67" s="193" t="n">
        <f aca="false">$C$44/$E$16</f>
        <v>-760060</v>
      </c>
      <c r="M67" s="193" t="n">
        <f aca="false">$C$44/$E$16</f>
        <v>-760060</v>
      </c>
      <c r="N67" s="193" t="n">
        <f aca="false">$C$44/$E$16</f>
        <v>-760060</v>
      </c>
      <c r="O67" s="193" t="n">
        <f aca="false">$C$44/$E$16</f>
        <v>-760060</v>
      </c>
      <c r="P67" s="193" t="n">
        <f aca="false">$C$44/$E$16</f>
        <v>-760060</v>
      </c>
      <c r="Q67" s="193" t="n">
        <f aca="false">$C$44/$E$16</f>
        <v>-760060</v>
      </c>
      <c r="R67" s="193" t="n">
        <f aca="false">$C$44/$E$16</f>
        <v>-760060</v>
      </c>
      <c r="S67" s="193" t="n">
        <f aca="false">$C$44/$E$16</f>
        <v>-760060</v>
      </c>
      <c r="T67" s="193" t="n">
        <f aca="false">$C$44/$E$16</f>
        <v>-760060</v>
      </c>
      <c r="U67" s="193" t="n">
        <f aca="false">$C$44/$E$16</f>
        <v>-760060</v>
      </c>
      <c r="V67" s="193" t="n">
        <f aca="false">$C$44/$E$16</f>
        <v>-760060</v>
      </c>
      <c r="W67" s="193" t="n">
        <f aca="false">$C$44/$E$16</f>
        <v>-760060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-311259.7712</v>
      </c>
      <c r="E70" s="171" t="n">
        <f aca="false">-E109*$D25</f>
        <v>-290509.119786667</v>
      </c>
      <c r="F70" s="171" t="n">
        <f aca="false">-F109*$D25</f>
        <v>-269758.468373333</v>
      </c>
      <c r="G70" s="171" t="n">
        <f aca="false">-G109*$D25</f>
        <v>-249007.81696</v>
      </c>
      <c r="H70" s="171" t="n">
        <f aca="false">-H109*$D25</f>
        <v>-228257.165546667</v>
      </c>
      <c r="I70" s="171" t="n">
        <f aca="false">-I109*$D25</f>
        <v>-207506.514133334</v>
      </c>
      <c r="J70" s="171" t="n">
        <f aca="false">-J109*$D25</f>
        <v>-186755.86272</v>
      </c>
      <c r="K70" s="171" t="n">
        <f aca="false">-K109*$D25</f>
        <v>-166005.211306667</v>
      </c>
      <c r="L70" s="171" t="n">
        <f aca="false">-L109*$D25</f>
        <v>-145254.559893333</v>
      </c>
      <c r="M70" s="171" t="n">
        <f aca="false">-M109*$D25</f>
        <v>-124503.90848</v>
      </c>
      <c r="N70" s="171" t="n">
        <f aca="false">-N109*$D25</f>
        <v>-103753.257066667</v>
      </c>
      <c r="O70" s="171" t="n">
        <f aca="false">-O109*$D25</f>
        <v>-83002.6056533335</v>
      </c>
      <c r="P70" s="171" t="n">
        <f aca="false">-P109*$D25</f>
        <v>-62251.9542400001</v>
      </c>
      <c r="Q70" s="171" t="n">
        <f aca="false">-Q109*$D25</f>
        <v>-41501.3028266668</v>
      </c>
      <c r="R70" s="171" t="n">
        <f aca="false">-R109*$D25</f>
        <v>-20750.6514133335</v>
      </c>
      <c r="S70" s="171" t="n">
        <f aca="false">-S109*$D25</f>
        <v>-1.37063907459378E-010</v>
      </c>
      <c r="T70" s="171" t="n">
        <f aca="false">-T109*$D25</f>
        <v>-1.37063907459378E-010</v>
      </c>
      <c r="U70" s="171" t="n">
        <f aca="false">-U109*$D25</f>
        <v>-1.37063907459378E-010</v>
      </c>
      <c r="V70" s="171" t="n">
        <f aca="false">-V109*$D25</f>
        <v>-1.37063907459378E-010</v>
      </c>
      <c r="W70" s="171" t="n">
        <f aca="false">-W109*$D25</f>
        <v>-1.37063907459378E-010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-30090.9</v>
      </c>
      <c r="E72" s="171" t="n">
        <f aca="false">E49</f>
        <v>-30090.9</v>
      </c>
      <c r="F72" s="171" t="n">
        <f aca="false">F49</f>
        <v>-30090.9</v>
      </c>
      <c r="G72" s="171" t="n">
        <f aca="false">G49</f>
        <v>-30090.9</v>
      </c>
      <c r="H72" s="171" t="n">
        <f aca="false">H49</f>
        <v>-30090.9</v>
      </c>
      <c r="I72" s="171" t="n">
        <f aca="false">I49</f>
        <v>-30090.9</v>
      </c>
      <c r="J72" s="171" t="n">
        <f aca="false">J49</f>
        <v>-30090.9</v>
      </c>
      <c r="K72" s="171" t="n">
        <f aca="false">K49</f>
        <v>-30090.9</v>
      </c>
      <c r="L72" s="171" t="n">
        <f aca="false">L49</f>
        <v>-30090.9</v>
      </c>
      <c r="M72" s="171" t="n">
        <f aca="false">M49</f>
        <v>-30090.9</v>
      </c>
      <c r="N72" s="171" t="n">
        <f aca="false">N49</f>
        <v>-30090.9</v>
      </c>
      <c r="O72" s="171" t="n">
        <f aca="false">O49</f>
        <v>-30090.9</v>
      </c>
      <c r="P72" s="171" t="n">
        <f aca="false">P49</f>
        <v>-30090.9</v>
      </c>
      <c r="Q72" s="171" t="n">
        <f aca="false">Q49</f>
        <v>-30090.9</v>
      </c>
      <c r="R72" s="171" t="n">
        <f aca="false">R49</f>
        <v>-30090.9</v>
      </c>
      <c r="S72" s="171" t="n">
        <f aca="false">S49</f>
        <v>-30090.9</v>
      </c>
      <c r="T72" s="171" t="n">
        <f aca="false">T49</f>
        <v>-30090.9</v>
      </c>
      <c r="U72" s="171" t="n">
        <f aca="false">U49</f>
        <v>-30090.9</v>
      </c>
      <c r="V72" s="171" t="n">
        <f aca="false">V49</f>
        <v>-30090.9</v>
      </c>
      <c r="W72" s="171" t="n">
        <f aca="false">W49</f>
        <v>-30090.9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692438.940895999</v>
      </c>
      <c r="E76" s="176" t="n">
        <f aca="false">SUM(E64:E75)</f>
        <v>414859.704987733</v>
      </c>
      <c r="F76" s="176" t="n">
        <f aca="false">SUM(F64:F75)</f>
        <v>427481.469079466</v>
      </c>
      <c r="G76" s="176" t="n">
        <f aca="false">SUM(G64:G75)</f>
        <v>440103.2331712</v>
      </c>
      <c r="H76" s="176" t="n">
        <f aca="false">SUM(H64:H75)</f>
        <v>452724.997262933</v>
      </c>
      <c r="I76" s="176" t="n">
        <f aca="false">SUM(I64:I75)</f>
        <v>465346.761354666</v>
      </c>
      <c r="J76" s="176" t="n">
        <f aca="false">SUM(J64:J75)</f>
        <v>477968.5254464</v>
      </c>
      <c r="K76" s="176" t="n">
        <f aca="false">SUM(K64:K75)</f>
        <v>490590.289538133</v>
      </c>
      <c r="L76" s="176" t="n">
        <f aca="false">SUM(L64:L75)</f>
        <v>503212.053629866</v>
      </c>
      <c r="M76" s="176" t="n">
        <f aca="false">SUM(M64:M75)</f>
        <v>515833.8177216</v>
      </c>
      <c r="N76" s="176" t="n">
        <f aca="false">SUM(N64:N75)</f>
        <v>572065.581813333</v>
      </c>
      <c r="O76" s="176" t="n">
        <f aca="false">SUM(O64:O75)</f>
        <v>584687.345905066</v>
      </c>
      <c r="P76" s="176" t="n">
        <f aca="false">SUM(P64:P75)</f>
        <v>597309.1099968</v>
      </c>
      <c r="Q76" s="176" t="n">
        <f aca="false">SUM(Q64:Q75)</f>
        <v>609930.874088533</v>
      </c>
      <c r="R76" s="176" t="n">
        <f aca="false">SUM(R64:R75)</f>
        <v>622552.638180266</v>
      </c>
      <c r="S76" s="176" t="n">
        <f aca="false">SUM(S64:S75)</f>
        <v>635174.402272</v>
      </c>
      <c r="T76" s="176" t="n">
        <f aca="false">SUM(T64:T75)</f>
        <v>627045.514950399</v>
      </c>
      <c r="U76" s="176" t="n">
        <f aca="false">SUM(U64:U75)</f>
        <v>618916.6276288</v>
      </c>
      <c r="V76" s="176" t="n">
        <f aca="false">SUM(V64:V75)</f>
        <v>610787.740307199</v>
      </c>
      <c r="W76" s="176" t="n">
        <f aca="false">SUM(W64:W75)</f>
        <v>602658.8529856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-138487.7881792</v>
      </c>
      <c r="E77" s="171" t="n">
        <f aca="false">-E76*0.2</f>
        <v>-82971.9409975466</v>
      </c>
      <c r="F77" s="171" t="n">
        <f aca="false">-F76*0.2</f>
        <v>-85496.2938158933</v>
      </c>
      <c r="G77" s="171" t="n">
        <f aca="false">-G76*0.2</f>
        <v>-88020.6466342399</v>
      </c>
      <c r="H77" s="171" t="n">
        <f aca="false">-H76*0.2</f>
        <v>-90544.9994525866</v>
      </c>
      <c r="I77" s="171" t="n">
        <f aca="false">-I76*0.2</f>
        <v>-93069.3522709332</v>
      </c>
      <c r="J77" s="171" t="n">
        <f aca="false">-J76*0.2</f>
        <v>-95593.7050892799</v>
      </c>
      <c r="K77" s="171" t="n">
        <f aca="false">-K76*0.2</f>
        <v>-98118.0579076266</v>
      </c>
      <c r="L77" s="171" t="n">
        <f aca="false">-L76*0.2</f>
        <v>-100642.410725973</v>
      </c>
      <c r="M77" s="171" t="n">
        <f aca="false">-M76*0.2</f>
        <v>-103166.76354432</v>
      </c>
      <c r="N77" s="171" t="n">
        <f aca="false">-N76*0.2</f>
        <v>-114413.116362667</v>
      </c>
      <c r="O77" s="171" t="n">
        <f aca="false">-O76*0.2</f>
        <v>-116937.469181013</v>
      </c>
      <c r="P77" s="171" t="n">
        <f aca="false">-P76*0.2</f>
        <v>-119461.82199936</v>
      </c>
      <c r="Q77" s="171" t="n">
        <f aca="false">-Q76*0.2</f>
        <v>-121986.174817707</v>
      </c>
      <c r="R77" s="171" t="n">
        <f aca="false">-R76*0.2</f>
        <v>-124510.527636053</v>
      </c>
      <c r="S77" s="171" t="n">
        <f aca="false">-S76*0.2</f>
        <v>-127034.8804544</v>
      </c>
      <c r="T77" s="171" t="n">
        <f aca="false">-T76*0.2</f>
        <v>-125409.10299008</v>
      </c>
      <c r="U77" s="171" t="n">
        <f aca="false">-U76*0.2</f>
        <v>-123783.32552576</v>
      </c>
      <c r="V77" s="171" t="n">
        <f aca="false">-V76*0.2</f>
        <v>-122157.54806144</v>
      </c>
      <c r="W77" s="171" t="n">
        <f aca="false">-W76*0.2</f>
        <v>-120531.77059712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553951.1527168</v>
      </c>
      <c r="E78" s="171" t="n">
        <f aca="false">SUM(E76:E77)</f>
        <v>331887.763990186</v>
      </c>
      <c r="F78" s="171" t="n">
        <f aca="false">SUM(F76:F77)</f>
        <v>341985.175263573</v>
      </c>
      <c r="G78" s="171" t="n">
        <f aca="false">SUM(G76:G77)</f>
        <v>352082.58653696</v>
      </c>
      <c r="H78" s="171" t="n">
        <f aca="false">SUM(H76:H77)</f>
        <v>362179.997810346</v>
      </c>
      <c r="I78" s="171" t="n">
        <f aca="false">SUM(I76:I77)</f>
        <v>372277.409083733</v>
      </c>
      <c r="J78" s="171" t="n">
        <f aca="false">SUM(J76:J77)</f>
        <v>382374.82035712</v>
      </c>
      <c r="K78" s="171" t="n">
        <f aca="false">SUM(K76:K77)</f>
        <v>392472.231630506</v>
      </c>
      <c r="L78" s="171" t="n">
        <f aca="false">SUM(L76:L77)</f>
        <v>402569.642903893</v>
      </c>
      <c r="M78" s="171" t="n">
        <f aca="false">SUM(M76:M77)</f>
        <v>412667.05417728</v>
      </c>
      <c r="N78" s="171" t="n">
        <f aca="false">SUM(N76:N77)</f>
        <v>457652.465450666</v>
      </c>
      <c r="O78" s="171" t="n">
        <f aca="false">SUM(O76:O77)</f>
        <v>467749.876724053</v>
      </c>
      <c r="P78" s="171" t="n">
        <f aca="false">SUM(P76:P77)</f>
        <v>477847.28799744</v>
      </c>
      <c r="Q78" s="171" t="n">
        <f aca="false">SUM(Q76:Q77)</f>
        <v>487944.699270826</v>
      </c>
      <c r="R78" s="171" t="n">
        <f aca="false">SUM(R76:R77)</f>
        <v>498042.110544213</v>
      </c>
      <c r="S78" s="171" t="n">
        <f aca="false">SUM(S76:S77)</f>
        <v>508139.5218176</v>
      </c>
      <c r="T78" s="171" t="n">
        <f aca="false">SUM(T76:T77)</f>
        <v>501636.411960319</v>
      </c>
      <c r="U78" s="171" t="n">
        <f aca="false">SUM(U76:U77)</f>
        <v>495133.30210304</v>
      </c>
      <c r="V78" s="171" t="n">
        <f aca="false">SUM(V76:V77)</f>
        <v>488630.192245759</v>
      </c>
      <c r="W78" s="171" t="n">
        <f aca="false">SUM(W76:W77)</f>
        <v>482127.08238848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553951.1527168</v>
      </c>
      <c r="E85" s="208" t="n">
        <f aca="false">E78</f>
        <v>331887.763990186</v>
      </c>
      <c r="F85" s="208" t="n">
        <f aca="false">F78</f>
        <v>341985.175263573</v>
      </c>
      <c r="G85" s="208" t="n">
        <f aca="false">G78</f>
        <v>352082.58653696</v>
      </c>
      <c r="H85" s="208" t="n">
        <f aca="false">H78</f>
        <v>362179.997810346</v>
      </c>
      <c r="I85" s="208" t="n">
        <f aca="false">I78</f>
        <v>372277.409083733</v>
      </c>
      <c r="J85" s="208" t="n">
        <f aca="false">J78</f>
        <v>382374.82035712</v>
      </c>
      <c r="K85" s="208" t="n">
        <f aca="false">K78</f>
        <v>392472.231630506</v>
      </c>
      <c r="L85" s="208" t="n">
        <f aca="false">L78</f>
        <v>402569.642903893</v>
      </c>
      <c r="M85" s="208" t="n">
        <f aca="false">M78</f>
        <v>412667.05417728</v>
      </c>
      <c r="N85" s="208" t="n">
        <f aca="false">N78</f>
        <v>457652.465450666</v>
      </c>
      <c r="O85" s="208" t="n">
        <f aca="false">O78</f>
        <v>467749.876724053</v>
      </c>
      <c r="P85" s="208" t="n">
        <f aca="false">P78</f>
        <v>477847.28799744</v>
      </c>
      <c r="Q85" s="208" t="n">
        <f aca="false">Q78</f>
        <v>487944.699270826</v>
      </c>
      <c r="R85" s="208" t="n">
        <f aca="false">R78</f>
        <v>498042.110544213</v>
      </c>
      <c r="S85" s="208" t="n">
        <f aca="false">S78</f>
        <v>508139.5218176</v>
      </c>
      <c r="T85" s="208" t="n">
        <f aca="false">T78</f>
        <v>501636.411960319</v>
      </c>
      <c r="U85" s="208" t="n">
        <f aca="false">U78</f>
        <v>495133.30210304</v>
      </c>
      <c r="V85" s="208" t="n">
        <f aca="false">V78</f>
        <v>488630.192245759</v>
      </c>
      <c r="W85" s="208" t="n">
        <f aca="false">W78</f>
        <v>482127.08238848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760060</v>
      </c>
      <c r="E86" s="209" t="n">
        <f aca="false">-E67</f>
        <v>760060</v>
      </c>
      <c r="F86" s="209" t="n">
        <f aca="false">-F67</f>
        <v>760060</v>
      </c>
      <c r="G86" s="209" t="n">
        <f aca="false">-G67</f>
        <v>760060</v>
      </c>
      <c r="H86" s="209" t="n">
        <f aca="false">-H67</f>
        <v>760060</v>
      </c>
      <c r="I86" s="209" t="n">
        <f aca="false">-I67</f>
        <v>760060</v>
      </c>
      <c r="J86" s="209" t="n">
        <f aca="false">-J67</f>
        <v>760060</v>
      </c>
      <c r="K86" s="209" t="n">
        <f aca="false">-K67</f>
        <v>760060</v>
      </c>
      <c r="L86" s="209" t="n">
        <f aca="false">-L67</f>
        <v>760060</v>
      </c>
      <c r="M86" s="209" t="n">
        <f aca="false">-M67</f>
        <v>760060</v>
      </c>
      <c r="N86" s="209" t="n">
        <f aca="false">-N67</f>
        <v>760060</v>
      </c>
      <c r="O86" s="209" t="n">
        <f aca="false">-O67</f>
        <v>760060</v>
      </c>
      <c r="P86" s="209" t="n">
        <f aca="false">-P67</f>
        <v>760060</v>
      </c>
      <c r="Q86" s="209" t="n">
        <f aca="false">-Q67</f>
        <v>760060</v>
      </c>
      <c r="R86" s="209" t="n">
        <f aca="false">-R67</f>
        <v>760060</v>
      </c>
      <c r="S86" s="209" t="n">
        <f aca="false">-S67</f>
        <v>760060</v>
      </c>
      <c r="T86" s="209" t="n">
        <f aca="false">-T67</f>
        <v>760060</v>
      </c>
      <c r="U86" s="209" t="n">
        <f aca="false">-U67</f>
        <v>760060</v>
      </c>
      <c r="V86" s="209" t="n">
        <f aca="false">-V67</f>
        <v>760060</v>
      </c>
      <c r="W86" s="209" t="n">
        <f aca="false">-W67</f>
        <v>760060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1314011.1527168</v>
      </c>
      <c r="E87" s="211" t="n">
        <f aca="false">SUM(E85:E86)</f>
        <v>1091947.76399019</v>
      </c>
      <c r="F87" s="211" t="n">
        <f aca="false">SUM(F85:F86)</f>
        <v>1102045.17526357</v>
      </c>
      <c r="G87" s="211" t="n">
        <f aca="false">SUM(G85:G86)</f>
        <v>1112142.58653696</v>
      </c>
      <c r="H87" s="211" t="n">
        <f aca="false">SUM(H85:H86)</f>
        <v>1122239.99781035</v>
      </c>
      <c r="I87" s="211" t="n">
        <f aca="false">SUM(I85:I86)</f>
        <v>1132337.40908373</v>
      </c>
      <c r="J87" s="211" t="n">
        <f aca="false">SUM(J85:J86)</f>
        <v>1142434.82035712</v>
      </c>
      <c r="K87" s="211" t="n">
        <f aca="false">SUM(K85:K86)</f>
        <v>1152532.23163051</v>
      </c>
      <c r="L87" s="211" t="n">
        <f aca="false">SUM(L85:L86)</f>
        <v>1162629.64290389</v>
      </c>
      <c r="M87" s="211" t="n">
        <f aca="false">SUM(M85:M86)</f>
        <v>1172727.05417728</v>
      </c>
      <c r="N87" s="211" t="n">
        <f aca="false">SUM(N85:N86)</f>
        <v>1217712.46545067</v>
      </c>
      <c r="O87" s="211" t="n">
        <f aca="false">SUM(O85:O86)</f>
        <v>1227809.87672405</v>
      </c>
      <c r="P87" s="211" t="n">
        <f aca="false">SUM(P85:P86)</f>
        <v>1237907.28799744</v>
      </c>
      <c r="Q87" s="211" t="n">
        <f aca="false">SUM(Q85:Q86)</f>
        <v>1248004.69927083</v>
      </c>
      <c r="R87" s="211" t="n">
        <f aca="false">SUM(R85:R86)</f>
        <v>1258102.11054421</v>
      </c>
      <c r="S87" s="211" t="n">
        <f aca="false">SUM(S85:S86)</f>
        <v>1268199.5218176</v>
      </c>
      <c r="T87" s="211" t="n">
        <f aca="false">SUM(T85:T86)</f>
        <v>1261696.41196032</v>
      </c>
      <c r="U87" s="211" t="n">
        <f aca="false">SUM(U85:U86)</f>
        <v>1255193.30210304</v>
      </c>
      <c r="V87" s="211" t="n">
        <f aca="false">SUM(V85:V86)</f>
        <v>1248690.19224576</v>
      </c>
      <c r="W87" s="211" t="n">
        <f aca="false">SUM(W85:W86)</f>
        <v>1242187.08238848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-15201200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12160960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-810730.666666667</v>
      </c>
      <c r="F93" s="217" t="n">
        <v>-810730.666666667</v>
      </c>
      <c r="G93" s="217" t="n">
        <v>-810730.666666667</v>
      </c>
      <c r="H93" s="217" t="n">
        <v>-810730.666666667</v>
      </c>
      <c r="I93" s="217" t="n">
        <v>-810730.666666667</v>
      </c>
      <c r="J93" s="217" t="n">
        <v>-810730.666666667</v>
      </c>
      <c r="K93" s="217" t="n">
        <v>-810730.666666667</v>
      </c>
      <c r="L93" s="217" t="n">
        <v>-810730.666666667</v>
      </c>
      <c r="M93" s="217" t="n">
        <v>-810730.666666667</v>
      </c>
      <c r="N93" s="217" t="n">
        <v>-810730.666666667</v>
      </c>
      <c r="O93" s="217" t="n">
        <v>-810730.666666667</v>
      </c>
      <c r="P93" s="217" t="n">
        <v>-810730.666666667</v>
      </c>
      <c r="Q93" s="217" t="n">
        <v>-810730.666666667</v>
      </c>
      <c r="R93" s="217" t="n">
        <v>-810730.666666667</v>
      </c>
      <c r="S93" s="217" t="n">
        <v>-810730.666666667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3040240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-498556.03744512</v>
      </c>
      <c r="F95" s="218" t="n">
        <f aca="false">-E85*$D$33</f>
        <v>-298698.987591168</v>
      </c>
      <c r="G95" s="218" t="n">
        <f aca="false">-F85*$D$33</f>
        <v>-307786.657737216</v>
      </c>
      <c r="H95" s="218" t="n">
        <f aca="false">-G85*$D$33</f>
        <v>-316874.327883264</v>
      </c>
      <c r="I95" s="218" t="n">
        <f aca="false">-H85*$D$33</f>
        <v>-325961.998029312</v>
      </c>
      <c r="J95" s="218" t="n">
        <f aca="false">-I85*$D$33</f>
        <v>-335049.66817536</v>
      </c>
      <c r="K95" s="218" t="n">
        <f aca="false">-J85*$D$33</f>
        <v>-344137.338321408</v>
      </c>
      <c r="L95" s="218" t="n">
        <f aca="false">-K85*$D$33</f>
        <v>-353225.008467456</v>
      </c>
      <c r="M95" s="218" t="n">
        <f aca="false">-L85*$D$33</f>
        <v>-362312.678613504</v>
      </c>
      <c r="N95" s="218" t="n">
        <f aca="false">-M85*$D$33</f>
        <v>-371400.348759552</v>
      </c>
      <c r="O95" s="218" t="n">
        <f aca="false">-N85*$D$33</f>
        <v>-411887.2189056</v>
      </c>
      <c r="P95" s="218" t="n">
        <f aca="false">-O85*$D$33</f>
        <v>-420974.889051648</v>
      </c>
      <c r="Q95" s="218" t="n">
        <f aca="false">-P85*$D$33</f>
        <v>-430062.559197696</v>
      </c>
      <c r="R95" s="218" t="n">
        <f aca="false">-Q85*$D$33</f>
        <v>-439150.229343744</v>
      </c>
      <c r="S95" s="218" t="n">
        <f aca="false">-R85*$D$33</f>
        <v>-448237.899489792</v>
      </c>
      <c r="T95" s="218" t="n">
        <f aca="false">-S85*$D$33</f>
        <v>-457325.56963584</v>
      </c>
      <c r="U95" s="218" t="n">
        <f aca="false">-T85*$D$33</f>
        <v>-451472.770764288</v>
      </c>
      <c r="V95" s="218" t="n">
        <f aca="false">-U85*$D$33</f>
        <v>-445619.971892736</v>
      </c>
      <c r="W95" s="218" t="n">
        <f aca="false">-V85*$D$33</f>
        <v>-439767.173021183</v>
      </c>
      <c r="X95" s="218" t="n">
        <f aca="false">-W85*$D$33</f>
        <v>-433914.374149632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-760060</v>
      </c>
      <c r="U96" s="221" t="n">
        <v>-760060</v>
      </c>
      <c r="V96" s="221" t="n">
        <v>-760060</v>
      </c>
      <c r="W96" s="221" t="n">
        <v>-760060</v>
      </c>
      <c r="X96" s="222" t="n">
        <f aca="false">-W101-X95</f>
        <v>-876935.078497284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1314011.1527168</v>
      </c>
      <c r="E99" s="208" t="n">
        <f aca="false">SUM(E87:E96)</f>
        <v>-217338.9401216</v>
      </c>
      <c r="F99" s="208" t="n">
        <f aca="false">SUM(F87:F96)</f>
        <v>-7384.47899426083</v>
      </c>
      <c r="G99" s="208" t="n">
        <f aca="false">SUM(G87:G96)</f>
        <v>-6374.7378669224</v>
      </c>
      <c r="H99" s="208" t="n">
        <f aca="false">SUM(H87:H96)</f>
        <v>-5364.99673958379</v>
      </c>
      <c r="I99" s="208" t="n">
        <f aca="false">SUM(I87:I96)</f>
        <v>-4355.25561224512</v>
      </c>
      <c r="J99" s="208" t="n">
        <f aca="false">SUM(J87:J96)</f>
        <v>-3345.51448490634</v>
      </c>
      <c r="K99" s="208" t="n">
        <f aca="false">SUM(K87:K96)</f>
        <v>-2335.7733575679</v>
      </c>
      <c r="L99" s="208" t="n">
        <f aca="false">SUM(L87:L96)</f>
        <v>-1326.03223022894</v>
      </c>
      <c r="M99" s="208" t="n">
        <f aca="false">SUM(M87:M96)</f>
        <v>-316.291102890449</v>
      </c>
      <c r="N99" s="208" t="n">
        <f aca="false">SUM(N87:N96)</f>
        <v>35581.4500244481</v>
      </c>
      <c r="O99" s="208" t="n">
        <f aca="false">SUM(O87:O96)</f>
        <v>5191.99115178693</v>
      </c>
      <c r="P99" s="208" t="n">
        <f aca="false">SUM(P87:P96)</f>
        <v>6201.73227912572</v>
      </c>
      <c r="Q99" s="208" t="n">
        <f aca="false">SUM(Q87:Q96)</f>
        <v>7211.47340646398</v>
      </c>
      <c r="R99" s="208" t="n">
        <f aca="false">SUM(R87:R96)</f>
        <v>8221.21453380288</v>
      </c>
      <c r="S99" s="208" t="n">
        <f aca="false">SUM(S87:S96)</f>
        <v>9230.95566114161</v>
      </c>
      <c r="T99" s="208" t="n">
        <f aca="false">SUM(T87:T96)</f>
        <v>44310.84232448</v>
      </c>
      <c r="U99" s="208" t="n">
        <f aca="false">SUM(U87:U96)</f>
        <v>43660.5313387523</v>
      </c>
      <c r="V99" s="208" t="n">
        <f aca="false">SUM(V87:V96)</f>
        <v>43010.2203530239</v>
      </c>
      <c r="W99" s="208" t="n">
        <f aca="false">SUM(W87:W96)</f>
        <v>42359.9093672963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1314011.1527168</v>
      </c>
      <c r="F100" s="208" t="n">
        <f aca="false">E101</f>
        <v>1096672.2125952</v>
      </c>
      <c r="G100" s="208" t="n">
        <f aca="false">F101</f>
        <v>1089287.73360094</v>
      </c>
      <c r="H100" s="208" t="n">
        <f aca="false">G101</f>
        <v>1082912.99573402</v>
      </c>
      <c r="I100" s="208" t="n">
        <f aca="false">H101</f>
        <v>1077547.99899443</v>
      </c>
      <c r="J100" s="208" t="n">
        <f aca="false">I101</f>
        <v>1073192.74338219</v>
      </c>
      <c r="K100" s="208" t="n">
        <f aca="false">J101</f>
        <v>1069847.22889728</v>
      </c>
      <c r="L100" s="208" t="n">
        <f aca="false">K101</f>
        <v>1067511.45553971</v>
      </c>
      <c r="M100" s="208" t="n">
        <f aca="false">L101</f>
        <v>1066185.42330948</v>
      </c>
      <c r="N100" s="208" t="n">
        <f aca="false">M101</f>
        <v>1065869.13220659</v>
      </c>
      <c r="O100" s="208" t="n">
        <f aca="false">N101</f>
        <v>1101450.58223104</v>
      </c>
      <c r="P100" s="208" t="n">
        <f aca="false">O101</f>
        <v>1106642.57338283</v>
      </c>
      <c r="Q100" s="208" t="n">
        <f aca="false">P101</f>
        <v>1112844.30566196</v>
      </c>
      <c r="R100" s="208" t="n">
        <f aca="false">Q101</f>
        <v>1120055.77906842</v>
      </c>
      <c r="S100" s="208" t="n">
        <f aca="false">R101</f>
        <v>1128276.99360222</v>
      </c>
      <c r="T100" s="208" t="n">
        <f aca="false">S101</f>
        <v>1137507.94926336</v>
      </c>
      <c r="U100" s="208" t="n">
        <f aca="false">T101</f>
        <v>1181818.79158784</v>
      </c>
      <c r="V100" s="208" t="n">
        <f aca="false">U101</f>
        <v>1225479.3229266</v>
      </c>
      <c r="W100" s="208" t="n">
        <f aca="false">V101</f>
        <v>1268489.54327962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1314011.1527168</v>
      </c>
      <c r="E101" s="208" t="n">
        <f aca="false">E99+E100</f>
        <v>1096672.2125952</v>
      </c>
      <c r="F101" s="208" t="n">
        <f aca="false">F99+F100</f>
        <v>1089287.73360094</v>
      </c>
      <c r="G101" s="208" t="n">
        <f aca="false">G99+G100</f>
        <v>1082912.99573402</v>
      </c>
      <c r="H101" s="208" t="n">
        <f aca="false">H99+H100</f>
        <v>1077547.99899443</v>
      </c>
      <c r="I101" s="208" t="n">
        <f aca="false">I99+I100</f>
        <v>1073192.74338219</v>
      </c>
      <c r="J101" s="208" t="n">
        <f aca="false">J99+J100</f>
        <v>1069847.22889728</v>
      </c>
      <c r="K101" s="208" t="n">
        <f aca="false">K99+K100</f>
        <v>1067511.45553971</v>
      </c>
      <c r="L101" s="208" t="n">
        <f aca="false">L99+L100</f>
        <v>1066185.42330948</v>
      </c>
      <c r="M101" s="208" t="n">
        <f aca="false">M99+M100</f>
        <v>1065869.13220659</v>
      </c>
      <c r="N101" s="208" t="n">
        <f aca="false">N99+N100</f>
        <v>1101450.58223104</v>
      </c>
      <c r="O101" s="208" t="n">
        <f aca="false">O99+O100</f>
        <v>1106642.57338283</v>
      </c>
      <c r="P101" s="208" t="n">
        <f aca="false">P99+P100</f>
        <v>1112844.30566196</v>
      </c>
      <c r="Q101" s="208" t="n">
        <f aca="false">Q99+Q100</f>
        <v>1120055.77906842</v>
      </c>
      <c r="R101" s="208" t="n">
        <f aca="false">R99+R100</f>
        <v>1128276.99360222</v>
      </c>
      <c r="S101" s="208" t="n">
        <f aca="false">S99+S100</f>
        <v>1137507.94926336</v>
      </c>
      <c r="T101" s="208" t="n">
        <f aca="false">T99+T100</f>
        <v>1181818.79158784</v>
      </c>
      <c r="U101" s="208" t="n">
        <f aca="false">U99+U100</f>
        <v>1225479.3229266</v>
      </c>
      <c r="V101" s="208" t="n">
        <f aca="false">V99+V100</f>
        <v>1268489.54327962</v>
      </c>
      <c r="W101" s="208" t="n">
        <f aca="false">W99+W100</f>
        <v>1310849.45264692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-3040240</v>
      </c>
      <c r="E104" s="211" t="n">
        <f aca="false">-E95-E96</f>
        <v>498556.03744512</v>
      </c>
      <c r="F104" s="211" t="n">
        <f aca="false">-F95-F96</f>
        <v>298698.987591168</v>
      </c>
      <c r="G104" s="211" t="n">
        <f aca="false">-G95-G96</f>
        <v>307786.657737216</v>
      </c>
      <c r="H104" s="211" t="n">
        <f aca="false">-H95-H96</f>
        <v>316874.327883264</v>
      </c>
      <c r="I104" s="211" t="n">
        <f aca="false">-I95-I96</f>
        <v>325961.998029312</v>
      </c>
      <c r="J104" s="211" t="n">
        <f aca="false">-J95-J96</f>
        <v>335049.66817536</v>
      </c>
      <c r="K104" s="211" t="n">
        <f aca="false">-K95-K96</f>
        <v>344137.338321408</v>
      </c>
      <c r="L104" s="211" t="n">
        <f aca="false">-L95-L96</f>
        <v>353225.008467456</v>
      </c>
      <c r="M104" s="211" t="n">
        <f aca="false">-M95-M96</f>
        <v>362312.678613504</v>
      </c>
      <c r="N104" s="211" t="n">
        <f aca="false">-N95-N96</f>
        <v>371400.348759552</v>
      </c>
      <c r="O104" s="211" t="n">
        <f aca="false">-O95-O96</f>
        <v>411887.2189056</v>
      </c>
      <c r="P104" s="211" t="n">
        <f aca="false">-P95-P96</f>
        <v>420974.889051648</v>
      </c>
      <c r="Q104" s="211" t="n">
        <f aca="false">-Q95-Q96</f>
        <v>430062.559197696</v>
      </c>
      <c r="R104" s="211" t="n">
        <f aca="false">-R95-R96</f>
        <v>439150.229343744</v>
      </c>
      <c r="S104" s="211" t="n">
        <f aca="false">-S95-S96</f>
        <v>448237.899489792</v>
      </c>
      <c r="T104" s="211" t="n">
        <f aca="false">-T95-T96</f>
        <v>1217385.56963584</v>
      </c>
      <c r="U104" s="211" t="n">
        <f aca="false">-U95-U96</f>
        <v>1211532.77076429</v>
      </c>
      <c r="V104" s="211" t="n">
        <f aca="false">-V95-V96</f>
        <v>1205679.97189274</v>
      </c>
      <c r="W104" s="211" t="n">
        <f aca="false">-W95-W96</f>
        <v>1199827.17302118</v>
      </c>
      <c r="X104" s="211" t="n">
        <f aca="false">-X95-X96</f>
        <v>1310849.45264692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0.130942259991478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-2486288.8472832</v>
      </c>
      <c r="E106" s="211" t="n">
        <f aca="false">E85</f>
        <v>331887.763990186</v>
      </c>
      <c r="F106" s="211" t="n">
        <f aca="false">F85-F96</f>
        <v>341985.175263573</v>
      </c>
      <c r="G106" s="211" t="n">
        <f aca="false">G85-G96</f>
        <v>352082.58653696</v>
      </c>
      <c r="H106" s="211" t="n">
        <f aca="false">H85-H96</f>
        <v>362179.997810346</v>
      </c>
      <c r="I106" s="211" t="n">
        <f aca="false">I85-I96</f>
        <v>372277.409083733</v>
      </c>
      <c r="J106" s="211" t="n">
        <f aca="false">J85-J96</f>
        <v>382374.82035712</v>
      </c>
      <c r="K106" s="211" t="n">
        <f aca="false">K85-K96</f>
        <v>392472.231630506</v>
      </c>
      <c r="L106" s="211" t="n">
        <f aca="false">L85-L96</f>
        <v>402569.642903893</v>
      </c>
      <c r="M106" s="211" t="n">
        <f aca="false">M85-M96</f>
        <v>412667.05417728</v>
      </c>
      <c r="N106" s="211" t="n">
        <f aca="false">N85-N96</f>
        <v>457652.465450666</v>
      </c>
      <c r="O106" s="211" t="n">
        <f aca="false">O85-O96</f>
        <v>467749.876724053</v>
      </c>
      <c r="P106" s="211" t="n">
        <f aca="false">P85-P96</f>
        <v>477847.28799744</v>
      </c>
      <c r="Q106" s="211" t="n">
        <f aca="false">Q85-Q96</f>
        <v>487944.699270826</v>
      </c>
      <c r="R106" s="211" t="n">
        <f aca="false">R85-R96</f>
        <v>498042.110544213</v>
      </c>
      <c r="S106" s="211" t="n">
        <f aca="false">S85-S96</f>
        <v>508139.5218176</v>
      </c>
      <c r="T106" s="211" t="n">
        <f aca="false">T85-T96</f>
        <v>1261696.41196032</v>
      </c>
      <c r="U106" s="211" t="n">
        <f aca="false">U85-U96</f>
        <v>1255193.30210304</v>
      </c>
      <c r="V106" s="211" t="n">
        <f aca="false">V85-V96</f>
        <v>1248690.19224576</v>
      </c>
      <c r="W106" s="211" t="n">
        <f aca="false">W85-W96</f>
        <v>1242187.08238848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0.161588855139942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12160960</v>
      </c>
      <c r="E109" s="208" t="n">
        <f aca="false">D109+E93</f>
        <v>11350229.3333333</v>
      </c>
      <c r="F109" s="208" t="n">
        <f aca="false">E109+F93</f>
        <v>10539498.6666667</v>
      </c>
      <c r="G109" s="208" t="n">
        <f aca="false">F109+G93</f>
        <v>9728768.00000001</v>
      </c>
      <c r="H109" s="208" t="n">
        <f aca="false">G109+H93</f>
        <v>8918037.33333334</v>
      </c>
      <c r="I109" s="208" t="n">
        <f aca="false">H109+I93</f>
        <v>8107306.66666667</v>
      </c>
      <c r="J109" s="208" t="n">
        <f aca="false">I109+J93</f>
        <v>7296576.00000001</v>
      </c>
      <c r="K109" s="208" t="n">
        <f aca="false">J109+K93</f>
        <v>6485845.33333334</v>
      </c>
      <c r="L109" s="208" t="n">
        <f aca="false">K109+L93</f>
        <v>5675114.66666667</v>
      </c>
      <c r="M109" s="208" t="n">
        <f aca="false">L109+M93</f>
        <v>4864384.00000001</v>
      </c>
      <c r="N109" s="208" t="n">
        <f aca="false">M109+N93</f>
        <v>4053653.33333334</v>
      </c>
      <c r="O109" s="208" t="n">
        <f aca="false">N109+O93</f>
        <v>3242922.66666667</v>
      </c>
      <c r="P109" s="208" t="n">
        <f aca="false">O109+P93</f>
        <v>2432192.00000001</v>
      </c>
      <c r="Q109" s="208" t="n">
        <f aca="false">P109+Q93</f>
        <v>1621461.33333334</v>
      </c>
      <c r="R109" s="208" t="n">
        <f aca="false">Q109+R93</f>
        <v>810730.666666672</v>
      </c>
      <c r="S109" s="208" t="n">
        <f aca="false">R109+S93</f>
        <v>5.355104804039E-009</v>
      </c>
      <c r="T109" s="208" t="n">
        <f aca="false">S109+T93</f>
        <v>5.355104804039E-009</v>
      </c>
      <c r="U109" s="208" t="n">
        <f aca="false">T109+U93</f>
        <v>5.355104804039E-009</v>
      </c>
      <c r="V109" s="208" t="n">
        <f aca="false">U109+V93</f>
        <v>5.355104804039E-009</v>
      </c>
      <c r="W109" s="208" t="n">
        <f aca="false">V109+W93</f>
        <v>5.355104804039E-009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5" min="4" style="0" width="37"/>
    <col collapsed="false" customWidth="true" hidden="false" outlineLevel="0" max="6" min="6" style="0" width="50"/>
    <col collapsed="false" customWidth="true" hidden="false" outlineLevel="0" max="12" min="7" style="0" width="37"/>
    <col collapsed="false" customWidth="true" hidden="false" outlineLevel="0" max="13" min="13" style="0" width="50"/>
    <col collapsed="false" customWidth="true" hidden="false" outlineLevel="0" max="23" min="14" style="0" width="37"/>
    <col collapsed="false" customWidth="true" hidden="false" outlineLevel="0" max="24" min="24" style="0" width="30"/>
    <col collapsed="false" customWidth="true" hidden="false" outlineLevel="0" max="27" min="25" style="0" width="10"/>
    <col collapsed="false" customWidth="true" hidden="false" outlineLevel="0" max="35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3" t="s">
        <v>0</v>
      </c>
      <c r="C1" s="111"/>
      <c r="D1" s="111"/>
      <c r="E1" s="112"/>
      <c r="F1" s="113" t="s">
        <v>100</v>
      </c>
      <c r="P1" s="114" t="n">
        <f aca="false">1-D11</f>
        <v>0.99</v>
      </c>
      <c r="Q1" s="114" t="n">
        <f aca="false">P1-$D12</f>
        <v>0.986</v>
      </c>
      <c r="R1" s="114" t="n">
        <f aca="false">Q1-$D12</f>
        <v>0.982</v>
      </c>
      <c r="S1" s="114" t="n">
        <f aca="false">R1-$D12</f>
        <v>0.978</v>
      </c>
      <c r="T1" s="114" t="n">
        <f aca="false">S1-$D12</f>
        <v>0.974</v>
      </c>
      <c r="U1" s="114" t="n">
        <f aca="false">T1-$D12</f>
        <v>0.97</v>
      </c>
      <c r="V1" s="114" t="n">
        <f aca="false">U1-$D12</f>
        <v>0.966</v>
      </c>
      <c r="W1" s="114" t="n">
        <f aca="false">V1-$D12</f>
        <v>0.962</v>
      </c>
      <c r="X1" s="114" t="n">
        <f aca="false">W1-$D12</f>
        <v>0.958</v>
      </c>
      <c r="Y1" s="114" t="n">
        <f aca="false">X1-$D12</f>
        <v>0.954</v>
      </c>
      <c r="Z1" s="114" t="n">
        <f aca="false">Y1-$D12</f>
        <v>0.95</v>
      </c>
      <c r="AA1" s="114" t="n">
        <f aca="false">Z1-$D12</f>
        <v>0.946</v>
      </c>
      <c r="AB1" s="114" t="n">
        <f aca="false">AA1-$D12</f>
        <v>0.942</v>
      </c>
      <c r="AC1" s="114" t="n">
        <f aca="false">AB1-$D12</f>
        <v>0.938</v>
      </c>
      <c r="AD1" s="114" t="n">
        <f aca="false">AC1-$D12</f>
        <v>0.934</v>
      </c>
      <c r="AE1" s="114" t="n">
        <f aca="false">AD1-$D12</f>
        <v>0.93</v>
      </c>
      <c r="AF1" s="114" t="n">
        <f aca="false">AE1-$D12</f>
        <v>0.926</v>
      </c>
      <c r="AG1" s="114" t="n">
        <f aca="false">AF1-$D12</f>
        <v>0.922</v>
      </c>
      <c r="AH1" s="114" t="n">
        <f aca="false">AG1-$D12</f>
        <v>0.918</v>
      </c>
      <c r="AI1" s="114" t="n">
        <f aca="false">AH1-$D12</f>
        <v>0.914</v>
      </c>
    </row>
    <row r="2" customFormat="false" ht="21.75" hidden="false" customHeight="true" outlineLevel="0" collapsed="false">
      <c r="B2" s="5" t="s">
        <v>1</v>
      </c>
      <c r="C2" s="115" t="s">
        <v>101</v>
      </c>
      <c r="D2" s="6" t="s">
        <v>3</v>
      </c>
      <c r="E2" s="116" t="s">
        <v>3</v>
      </c>
      <c r="F2" s="117" t="s">
        <v>102</v>
      </c>
    </row>
    <row r="3" customFormat="false" ht="21.75" hidden="false" customHeight="true" outlineLevel="0" collapsed="false">
      <c r="B3" s="33" t="s">
        <v>4</v>
      </c>
      <c r="C3" s="118" t="n">
        <v>20</v>
      </c>
      <c r="D3" s="9" t="s">
        <v>3</v>
      </c>
      <c r="E3" s="119" t="s">
        <v>3</v>
      </c>
      <c r="F3" s="120" t="s">
        <v>103</v>
      </c>
    </row>
    <row r="4" customFormat="false" ht="21.75" hidden="false" customHeight="true" outlineLevel="0" collapsed="false">
      <c r="B4" s="33" t="s">
        <v>104</v>
      </c>
      <c r="C4" s="118" t="n">
        <v>436.1</v>
      </c>
      <c r="D4" s="9" t="s">
        <v>3</v>
      </c>
      <c r="E4" s="119" t="s">
        <v>3</v>
      </c>
      <c r="F4" s="120" t="s">
        <v>105</v>
      </c>
      <c r="M4" s="0" t="s">
        <v>175</v>
      </c>
    </row>
    <row r="5" customFormat="false" ht="22.5" hidden="false" customHeight="true" outlineLevel="0" collapsed="false">
      <c r="B5" s="10" t="s">
        <v>6</v>
      </c>
      <c r="C5" s="118" t="n">
        <v>2020</v>
      </c>
      <c r="D5" s="10" t="s">
        <v>7</v>
      </c>
      <c r="E5" s="121" t="n">
        <v>2039</v>
      </c>
      <c r="F5" s="120" t="s">
        <v>107</v>
      </c>
      <c r="M5" s="0" t="s">
        <v>176</v>
      </c>
    </row>
    <row r="6" customFormat="false" ht="20.25" hidden="false" customHeight="true" outlineLevel="0" collapsed="false">
      <c r="B6" s="12"/>
      <c r="C6" s="12"/>
      <c r="D6" s="12"/>
      <c r="E6" s="12"/>
      <c r="M6" s="0" t="s">
        <v>177</v>
      </c>
    </row>
    <row r="7" customFormat="false" ht="22.5" hidden="false" customHeight="true" outlineLevel="0" collapsed="false">
      <c r="B7" s="13" t="s">
        <v>8</v>
      </c>
      <c r="C7" s="111"/>
      <c r="D7" s="111"/>
      <c r="E7" s="112"/>
      <c r="M7" s="0" t="s">
        <v>178</v>
      </c>
    </row>
    <row r="8" customFormat="false" ht="22.5" hidden="false" customHeight="true" outlineLevel="0" collapsed="false">
      <c r="B8" s="14" t="s">
        <v>9</v>
      </c>
      <c r="E8" s="122"/>
      <c r="M8" s="0" t="s">
        <v>179</v>
      </c>
    </row>
    <row r="9" customFormat="false" ht="22.5" hidden="false" customHeight="true" outlineLevel="0" collapsed="false">
      <c r="B9" s="15" t="s">
        <v>10</v>
      </c>
      <c r="C9" s="16" t="s">
        <v>11</v>
      </c>
      <c r="D9" s="16" t="s">
        <v>12</v>
      </c>
      <c r="E9" s="123" t="s">
        <v>13</v>
      </c>
      <c r="F9" s="113" t="s">
        <v>100</v>
      </c>
      <c r="M9" s="0" t="s">
        <v>112</v>
      </c>
    </row>
    <row r="10" customFormat="false" ht="30" hidden="false" customHeight="true" outlineLevel="0" collapsed="false">
      <c r="B10" s="18" t="s">
        <v>14</v>
      </c>
      <c r="C10" s="19" t="s">
        <v>113</v>
      </c>
      <c r="D10" s="124" t="n">
        <v>547002</v>
      </c>
      <c r="E10" s="125" t="n">
        <v>20</v>
      </c>
      <c r="F10" s="120" t="s">
        <v>114</v>
      </c>
      <c r="M10" s="0" t="s">
        <v>99</v>
      </c>
    </row>
    <row r="11" customFormat="false" ht="30" hidden="false" customHeight="true" outlineLevel="0" collapsed="false">
      <c r="B11" s="126"/>
      <c r="C11" s="10" t="s">
        <v>16</v>
      </c>
      <c r="D11" s="127" t="n">
        <v>0.01</v>
      </c>
      <c r="E11" s="128"/>
      <c r="F11" s="120" t="s">
        <v>116</v>
      </c>
    </row>
    <row r="12" customFormat="false" ht="30" hidden="false" customHeight="true" outlineLevel="0" collapsed="false">
      <c r="B12" s="126"/>
      <c r="C12" s="10" t="s">
        <v>17</v>
      </c>
      <c r="D12" s="129" t="n">
        <v>0.004</v>
      </c>
      <c r="E12" s="128"/>
      <c r="F12" s="120" t="s">
        <v>117</v>
      </c>
    </row>
    <row r="13" customFormat="false" ht="22.5" hidden="false" customHeight="true" outlineLevel="0" collapsed="false">
      <c r="B13" s="126"/>
      <c r="C13" s="22" t="s">
        <v>118</v>
      </c>
      <c r="D13" s="130" t="n">
        <v>3.7152</v>
      </c>
      <c r="E13" s="128"/>
      <c r="F13" s="120" t="s">
        <v>119</v>
      </c>
    </row>
    <row r="14" customFormat="false" ht="22.5" hidden="false" customHeight="true" outlineLevel="0" collapsed="false">
      <c r="B14" s="23" t="s">
        <v>19</v>
      </c>
      <c r="C14" s="111"/>
      <c r="D14" s="111"/>
      <c r="E14" s="112"/>
    </row>
    <row r="15" customFormat="false" ht="22.5" hidden="false" customHeight="true" outlineLevel="0" collapsed="false">
      <c r="B15" s="15" t="s">
        <v>10</v>
      </c>
      <c r="C15" s="16" t="s">
        <v>11</v>
      </c>
      <c r="D15" s="16" t="s">
        <v>12</v>
      </c>
      <c r="E15" s="123" t="s">
        <v>20</v>
      </c>
      <c r="F15" s="113" t="s">
        <v>100</v>
      </c>
    </row>
    <row r="16" customFormat="false" ht="21.75" hidden="false" customHeight="true" outlineLevel="0" collapsed="false">
      <c r="B16" s="19" t="s">
        <v>120</v>
      </c>
      <c r="C16" s="19" t="s">
        <v>121</v>
      </c>
      <c r="D16" s="131" t="n">
        <v>21000</v>
      </c>
      <c r="E16" s="116" t="n">
        <v>20</v>
      </c>
      <c r="F16" s="120" t="s">
        <v>122</v>
      </c>
    </row>
    <row r="17" customFormat="false" ht="21.75" hidden="false" customHeight="true" outlineLevel="0" collapsed="false">
      <c r="B17" s="126"/>
      <c r="C17" s="10" t="s">
        <v>123</v>
      </c>
      <c r="D17" s="132" t="n">
        <v>0.3</v>
      </c>
      <c r="E17" s="128"/>
      <c r="F17" s="120" t="s">
        <v>124</v>
      </c>
    </row>
    <row r="18" customFormat="false" ht="21.75" hidden="false" customHeight="true" outlineLevel="0" collapsed="false">
      <c r="B18" s="133"/>
      <c r="C18" s="10" t="s">
        <v>24</v>
      </c>
      <c r="D18" s="134" t="n">
        <v>2000</v>
      </c>
      <c r="E18" s="135"/>
      <c r="F18" s="120" t="s">
        <v>125</v>
      </c>
    </row>
    <row r="19" customFormat="false" ht="54" hidden="false" customHeight="true" outlineLevel="0" collapsed="false">
      <c r="B19" s="10" t="s">
        <v>25</v>
      </c>
      <c r="C19" s="136" t="s">
        <v>126</v>
      </c>
      <c r="D19" s="132" t="n">
        <v>1</v>
      </c>
      <c r="E19" s="116" t="n">
        <v>20</v>
      </c>
      <c r="F19" s="120" t="s">
        <v>127</v>
      </c>
    </row>
    <row r="20" customFormat="false" ht="20.25" hidden="false" customHeight="true" outlineLevel="0" collapsed="false">
      <c r="B20" s="126"/>
      <c r="C20" s="27" t="s">
        <v>128</v>
      </c>
      <c r="D20" s="134" t="n">
        <v>290201</v>
      </c>
      <c r="E20" s="116" t="n">
        <v>20</v>
      </c>
      <c r="F20" s="120" t="s">
        <v>129</v>
      </c>
    </row>
    <row r="21" customFormat="false" ht="30" hidden="false" customHeight="true" outlineLevel="0" collapsed="false">
      <c r="B21" s="133"/>
      <c r="C21" s="10" t="s">
        <v>130</v>
      </c>
      <c r="D21" s="132" t="n">
        <v>0</v>
      </c>
      <c r="E21" s="119" t="n">
        <v>20</v>
      </c>
      <c r="F21" s="120" t="s">
        <v>131</v>
      </c>
    </row>
    <row r="22" customFormat="false" ht="30" hidden="false" customHeight="true" outlineLevel="0" collapsed="false">
      <c r="B22" s="10" t="s">
        <v>29</v>
      </c>
      <c r="C22" s="10" t="s">
        <v>132</v>
      </c>
      <c r="D22" s="137" t="n">
        <v>400</v>
      </c>
      <c r="E22" s="119" t="n">
        <v>20</v>
      </c>
      <c r="F22" s="120" t="s">
        <v>133</v>
      </c>
    </row>
    <row r="23" customFormat="false" ht="30" hidden="false" customHeight="true" outlineLevel="0" collapsed="false">
      <c r="B23" s="10" t="s">
        <v>31</v>
      </c>
      <c r="C23" s="10" t="s">
        <v>32</v>
      </c>
      <c r="D23" s="132" t="n">
        <v>0.003</v>
      </c>
      <c r="E23" s="119" t="n">
        <v>20</v>
      </c>
      <c r="F23" s="120" t="s">
        <v>134</v>
      </c>
    </row>
    <row r="24" customFormat="false" ht="30" hidden="false" customHeight="true" outlineLevel="0" collapsed="false">
      <c r="B24" s="10" t="s">
        <v>33</v>
      </c>
      <c r="C24" s="10" t="s">
        <v>135</v>
      </c>
      <c r="D24" s="137" t="n">
        <v>1000</v>
      </c>
      <c r="E24" s="138" t="n">
        <v>10</v>
      </c>
      <c r="F24" s="120" t="s">
        <v>136</v>
      </c>
    </row>
    <row r="25" customFormat="false" ht="30" hidden="false" customHeight="true" outlineLevel="0" collapsed="false">
      <c r="B25" s="10" t="s">
        <v>35</v>
      </c>
      <c r="C25" s="10" t="s">
        <v>36</v>
      </c>
      <c r="D25" s="139" t="n">
        <v>0.025595</v>
      </c>
      <c r="E25" s="119" t="n">
        <v>20</v>
      </c>
      <c r="F25" s="120" t="s">
        <v>137</v>
      </c>
    </row>
    <row r="26" customFormat="false" ht="30" hidden="false" customHeight="true" outlineLevel="0" collapsed="false">
      <c r="B26" s="10" t="s">
        <v>37</v>
      </c>
      <c r="C26" s="10" t="s">
        <v>38</v>
      </c>
      <c r="D26" s="132" t="n">
        <v>0.2</v>
      </c>
      <c r="E26" s="119" t="n">
        <v>20</v>
      </c>
      <c r="F26" s="120" t="s">
        <v>138</v>
      </c>
    </row>
    <row r="27" customFormat="false" ht="20.25" hidden="false" customHeight="true" outlineLevel="0" collapsed="false">
      <c r="B27" s="12"/>
      <c r="C27" s="12"/>
      <c r="D27" s="12"/>
      <c r="E27" s="12"/>
    </row>
    <row r="28" customFormat="false" ht="20.25" hidden="false" customHeight="true" outlineLevel="0" collapsed="false">
      <c r="B28" s="12"/>
      <c r="C28" s="12"/>
      <c r="D28" s="12"/>
      <c r="E28" s="12"/>
    </row>
    <row r="29" customFormat="false" ht="22.5" hidden="false" customHeight="true" outlineLevel="0" collapsed="false">
      <c r="B29" s="13" t="s">
        <v>39</v>
      </c>
      <c r="C29" s="111"/>
      <c r="D29" s="112"/>
      <c r="E29" s="12"/>
    </row>
    <row r="30" customFormat="false" ht="22.5" hidden="false" customHeight="true" outlineLevel="0" collapsed="false">
      <c r="B30" s="15" t="s">
        <v>40</v>
      </c>
      <c r="C30" s="30" t="s">
        <v>11</v>
      </c>
      <c r="D30" s="31" t="s">
        <v>12</v>
      </c>
      <c r="E30" s="12"/>
      <c r="F30" s="113" t="s">
        <v>100</v>
      </c>
    </row>
    <row r="31" customFormat="false" ht="30" hidden="false" customHeight="true" outlineLevel="0" collapsed="false">
      <c r="B31" s="19" t="s">
        <v>41</v>
      </c>
      <c r="C31" s="5" t="s">
        <v>42</v>
      </c>
      <c r="D31" s="140" t="n">
        <v>0.8</v>
      </c>
      <c r="E31" s="12"/>
      <c r="F31" s="120" t="s">
        <v>139</v>
      </c>
    </row>
    <row r="32" customFormat="false" ht="18.75" hidden="false" customHeight="true" outlineLevel="0" collapsed="false">
      <c r="B32" s="19" t="s">
        <v>43</v>
      </c>
      <c r="C32" s="5" t="s">
        <v>44</v>
      </c>
      <c r="D32" s="140" t="n">
        <v>15</v>
      </c>
      <c r="E32" s="12"/>
      <c r="F32" s="120" t="s">
        <v>140</v>
      </c>
    </row>
    <row r="33" customFormat="false" ht="18.75" hidden="false" customHeight="true" outlineLevel="0" collapsed="false">
      <c r="B33" s="10" t="s">
        <v>45</v>
      </c>
      <c r="C33" s="33" t="s">
        <v>46</v>
      </c>
      <c r="D33" s="132" t="n">
        <v>0.9</v>
      </c>
      <c r="E33" s="12"/>
      <c r="F33" s="120" t="s">
        <v>141</v>
      </c>
    </row>
    <row r="34" customFormat="false" ht="30" hidden="false" customHeight="true" outlineLevel="0" collapsed="false">
      <c r="B34" s="10" t="s">
        <v>47</v>
      </c>
      <c r="C34" s="33" t="s">
        <v>44</v>
      </c>
      <c r="D34" s="132" t="n">
        <v>4</v>
      </c>
      <c r="E34" s="12"/>
      <c r="F34" s="120" t="s">
        <v>142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83"/>
      <c r="C37" s="36" t="s">
        <v>48</v>
      </c>
      <c r="D37" s="36" t="n">
        <v>2020</v>
      </c>
      <c r="E37" s="36" t="n">
        <v>2021</v>
      </c>
      <c r="F37" s="36" t="n">
        <v>2022</v>
      </c>
      <c r="G37" s="36" t="n">
        <v>2023</v>
      </c>
      <c r="H37" s="36" t="n">
        <v>2024</v>
      </c>
      <c r="I37" s="36" t="n">
        <v>2025</v>
      </c>
      <c r="J37" s="36" t="n">
        <v>2026</v>
      </c>
      <c r="K37" s="36" t="n">
        <v>2027</v>
      </c>
      <c r="L37" s="36" t="n">
        <v>2028</v>
      </c>
      <c r="M37" s="36" t="n">
        <v>2029</v>
      </c>
      <c r="N37" s="36" t="n">
        <v>2030</v>
      </c>
      <c r="O37" s="36" t="n">
        <v>2031</v>
      </c>
      <c r="P37" s="36" t="n">
        <v>2032</v>
      </c>
      <c r="Q37" s="36" t="n">
        <v>2033</v>
      </c>
      <c r="R37" s="36" t="n">
        <v>2034</v>
      </c>
      <c r="S37" s="36" t="n">
        <v>2035</v>
      </c>
      <c r="T37" s="36" t="n">
        <v>2036</v>
      </c>
      <c r="U37" s="36" t="n">
        <v>2037</v>
      </c>
      <c r="V37" s="36" t="n">
        <v>2038</v>
      </c>
      <c r="W37" s="36" t="n">
        <v>2039</v>
      </c>
      <c r="X37" s="36"/>
    </row>
    <row r="38" customFormat="false" ht="18.75" hidden="false" customHeight="true" outlineLevel="0" collapsed="false">
      <c r="B38" s="141" t="n">
        <v>0</v>
      </c>
      <c r="C38" s="142"/>
      <c r="D38" s="143"/>
      <c r="E38" s="143"/>
      <c r="F38" s="144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6"/>
      <c r="U38" s="145"/>
      <c r="V38" s="145"/>
      <c r="W38" s="145"/>
      <c r="X38" s="147"/>
    </row>
    <row r="39" customFormat="false" ht="18.75" hidden="false" customHeight="true" outlineLevel="0" collapsed="false">
      <c r="B39" s="148" t="s">
        <v>51</v>
      </c>
      <c r="C39" s="149" t="n">
        <v>0</v>
      </c>
      <c r="D39" s="150" t="n">
        <v>1</v>
      </c>
      <c r="E39" s="150" t="n">
        <v>2</v>
      </c>
      <c r="F39" s="150" t="n">
        <v>3</v>
      </c>
      <c r="G39" s="150" t="n">
        <v>4</v>
      </c>
      <c r="H39" s="150" t="n">
        <v>5</v>
      </c>
      <c r="I39" s="150" t="n">
        <v>6</v>
      </c>
      <c r="J39" s="150" t="n">
        <v>7</v>
      </c>
      <c r="K39" s="150" t="n">
        <v>8</v>
      </c>
      <c r="L39" s="150" t="n">
        <v>9</v>
      </c>
      <c r="M39" s="150" t="n">
        <v>10</v>
      </c>
      <c r="N39" s="150" t="n">
        <v>11</v>
      </c>
      <c r="O39" s="150" t="n">
        <v>12</v>
      </c>
      <c r="P39" s="150" t="n">
        <v>13</v>
      </c>
      <c r="Q39" s="150" t="n">
        <v>14</v>
      </c>
      <c r="R39" s="150" t="n">
        <v>15</v>
      </c>
      <c r="S39" s="150" t="n">
        <v>16</v>
      </c>
      <c r="T39" s="151" t="n">
        <v>17</v>
      </c>
      <c r="U39" s="150" t="n">
        <v>18</v>
      </c>
      <c r="V39" s="150" t="n">
        <v>19</v>
      </c>
      <c r="W39" s="150" t="n">
        <v>20</v>
      </c>
      <c r="X39" s="48"/>
    </row>
    <row r="40" customFormat="false" ht="18.75" hidden="false" customHeight="true" outlineLevel="0" collapsed="false">
      <c r="B40" s="152" t="s">
        <v>52</v>
      </c>
      <c r="C40" s="153" t="n">
        <v>0</v>
      </c>
      <c r="D40" s="154" t="n">
        <f aca="false">$D$10*P1</f>
        <v>541531.98</v>
      </c>
      <c r="E40" s="154" t="n">
        <f aca="false">$D$10*Q1</f>
        <v>539343.972</v>
      </c>
      <c r="F40" s="154" t="n">
        <f aca="false">$D$10*R1</f>
        <v>537155.964</v>
      </c>
      <c r="G40" s="154" t="n">
        <f aca="false">$D$10*S1</f>
        <v>534967.956</v>
      </c>
      <c r="H40" s="154" t="n">
        <f aca="false">$D$10*T1</f>
        <v>532779.948</v>
      </c>
      <c r="I40" s="154" t="n">
        <f aca="false">$D$10*U1</f>
        <v>530591.94</v>
      </c>
      <c r="J40" s="154" t="n">
        <f aca="false">$D$10*V1</f>
        <v>528403.932</v>
      </c>
      <c r="K40" s="154" t="n">
        <f aca="false">$D$10*W1</f>
        <v>526215.924</v>
      </c>
      <c r="L40" s="154" t="n">
        <f aca="false">$D$10*X1</f>
        <v>524027.916</v>
      </c>
      <c r="M40" s="154" t="n">
        <f aca="false">$D$10*Y1</f>
        <v>521839.908</v>
      </c>
      <c r="N40" s="154" t="n">
        <f aca="false">$D$10*Z1</f>
        <v>519651.9</v>
      </c>
      <c r="O40" s="154" t="n">
        <f aca="false">$D$10*AA1</f>
        <v>517463.892</v>
      </c>
      <c r="P40" s="154" t="n">
        <f aca="false">$D$10*AB1</f>
        <v>515275.884</v>
      </c>
      <c r="Q40" s="154" t="n">
        <f aca="false">$D$10*AC1</f>
        <v>513087.876</v>
      </c>
      <c r="R40" s="154" t="n">
        <f aca="false">$D$10*AD1</f>
        <v>510899.868</v>
      </c>
      <c r="S40" s="154" t="n">
        <f aca="false">$D$10*AE1</f>
        <v>508711.86</v>
      </c>
      <c r="T40" s="154" t="n">
        <f aca="false">$D$10*AF1</f>
        <v>506523.852</v>
      </c>
      <c r="U40" s="154" t="n">
        <f aca="false">$D$10*AG1</f>
        <v>504335.844</v>
      </c>
      <c r="V40" s="154" t="n">
        <f aca="false">$D$10*AH1</f>
        <v>502147.836</v>
      </c>
      <c r="W40" s="154" t="n">
        <f aca="false">$D$10*AI1</f>
        <v>499959.828</v>
      </c>
      <c r="X40" s="155"/>
    </row>
    <row r="41" customFormat="false" ht="18.75" hidden="false" customHeight="true" outlineLevel="0" collapsed="false">
      <c r="B41" s="156" t="s">
        <v>53</v>
      </c>
      <c r="C41" s="157" t="s">
        <v>3</v>
      </c>
      <c r="D41" s="158" t="n">
        <f aca="false">D40*$D$13</f>
        <v>2011899.612096</v>
      </c>
      <c r="E41" s="158" t="n">
        <f aca="false">E40*$D$13</f>
        <v>2003770.7247744</v>
      </c>
      <c r="F41" s="158" t="n">
        <f aca="false">F40*$D$13</f>
        <v>1995641.8374528</v>
      </c>
      <c r="G41" s="158" t="n">
        <f aca="false">G40*$D$13</f>
        <v>1987512.9501312</v>
      </c>
      <c r="H41" s="158" t="n">
        <f aca="false">H40*$D$13</f>
        <v>1979384.0628096</v>
      </c>
      <c r="I41" s="158" t="n">
        <f aca="false">I40*$D$13</f>
        <v>1971255.175488</v>
      </c>
      <c r="J41" s="158" t="n">
        <f aca="false">J40*$D$13</f>
        <v>1963126.2881664</v>
      </c>
      <c r="K41" s="158" t="n">
        <f aca="false">K40*$D$13</f>
        <v>1954997.4008448</v>
      </c>
      <c r="L41" s="158" t="n">
        <f aca="false">L40*$D$13</f>
        <v>1946868.5135232</v>
      </c>
      <c r="M41" s="158" t="n">
        <f aca="false">M40*$D$13</f>
        <v>1938739.6262016</v>
      </c>
      <c r="N41" s="158" t="n">
        <f aca="false">N40*$D$13</f>
        <v>1930610.73888</v>
      </c>
      <c r="O41" s="158" t="n">
        <f aca="false">O40*$D$13</f>
        <v>1922481.8515584</v>
      </c>
      <c r="P41" s="158" t="n">
        <f aca="false">P40*$D$13</f>
        <v>1914352.9642368</v>
      </c>
      <c r="Q41" s="158" t="n">
        <f aca="false">Q40*$D$13</f>
        <v>1906224.0769152</v>
      </c>
      <c r="R41" s="158" t="n">
        <f aca="false">R40*$D$13</f>
        <v>1898095.1895936</v>
      </c>
      <c r="S41" s="158" t="n">
        <f aca="false">S40*$D$13</f>
        <v>1889966.302272</v>
      </c>
      <c r="T41" s="158" t="n">
        <f aca="false">T40*$D$13</f>
        <v>1881837.4149504</v>
      </c>
      <c r="U41" s="158" t="n">
        <f aca="false">U40*$D$13</f>
        <v>1873708.5276288</v>
      </c>
      <c r="V41" s="158" t="n">
        <f aca="false">V40*$D$13</f>
        <v>1865579.6403072</v>
      </c>
      <c r="W41" s="158" t="n">
        <f aca="false">W40*$D$13</f>
        <v>1857450.7529856</v>
      </c>
      <c r="X41" s="159"/>
    </row>
    <row r="42" customFormat="false" ht="18.75" hidden="false" customHeight="true" outlineLevel="0" collapsed="false">
      <c r="B42" s="160" t="s">
        <v>54</v>
      </c>
      <c r="C42" s="161" t="s">
        <v>3</v>
      </c>
      <c r="D42" s="162"/>
      <c r="E42" s="162"/>
      <c r="F42" s="162"/>
      <c r="G42" s="163" t="s">
        <v>3</v>
      </c>
      <c r="H42" s="163" t="s">
        <v>3</v>
      </c>
      <c r="I42" s="163" t="s">
        <v>3</v>
      </c>
      <c r="J42" s="163" t="s">
        <v>3</v>
      </c>
      <c r="K42" s="163" t="s">
        <v>3</v>
      </c>
      <c r="L42" s="163" t="s">
        <v>3</v>
      </c>
      <c r="M42" s="163" t="s">
        <v>3</v>
      </c>
      <c r="N42" s="163" t="s">
        <v>3</v>
      </c>
      <c r="O42" s="163" t="s">
        <v>3</v>
      </c>
      <c r="P42" s="163" t="s">
        <v>3</v>
      </c>
      <c r="Q42" s="163" t="s">
        <v>3</v>
      </c>
      <c r="R42" s="163" t="s">
        <v>3</v>
      </c>
      <c r="S42" s="163" t="s">
        <v>3</v>
      </c>
      <c r="T42" s="163" t="s">
        <v>3</v>
      </c>
      <c r="U42" s="163" t="s">
        <v>3</v>
      </c>
      <c r="V42" s="163" t="s">
        <v>3</v>
      </c>
      <c r="W42" s="163" t="s">
        <v>3</v>
      </c>
      <c r="X42" s="164"/>
    </row>
    <row r="43" customFormat="false" ht="18.75" hidden="false" customHeight="true" outlineLevel="0" collapsed="false">
      <c r="B43" s="165" t="s">
        <v>55</v>
      </c>
      <c r="C43" s="166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  <c r="W43" s="167"/>
      <c r="X43" s="168"/>
    </row>
    <row r="44" customFormat="false" ht="18.75" hidden="false" customHeight="true" outlineLevel="0" collapsed="false">
      <c r="B44" s="169" t="s">
        <v>56</v>
      </c>
      <c r="C44" s="170" t="n">
        <f aca="false">-(D16/(1-D17)+D18)*C4</f>
        <v>-13955200</v>
      </c>
      <c r="D44" s="171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</row>
    <row r="45" customFormat="false" ht="18.75" hidden="false" customHeight="true" outlineLevel="0" collapsed="false">
      <c r="B45" s="169" t="s">
        <v>57</v>
      </c>
      <c r="C45" s="161" t="s">
        <v>3</v>
      </c>
      <c r="D45" s="0" t="n">
        <v>-290201</v>
      </c>
      <c r="E45" s="171" t="n">
        <v>-290201</v>
      </c>
      <c r="F45" s="171" t="n">
        <v>-290201</v>
      </c>
      <c r="G45" s="171" t="n">
        <v>-290201</v>
      </c>
      <c r="H45" s="171" t="n">
        <v>-290201</v>
      </c>
      <c r="I45" s="171" t="n">
        <v>-290201</v>
      </c>
      <c r="J45" s="171" t="n">
        <v>-290201</v>
      </c>
      <c r="K45" s="171" t="n">
        <v>-290201</v>
      </c>
      <c r="L45" s="171" t="n">
        <v>-290201</v>
      </c>
      <c r="M45" s="171" t="n">
        <v>-290201</v>
      </c>
      <c r="N45" s="171" t="n">
        <v>-290201</v>
      </c>
      <c r="O45" s="171" t="n">
        <v>-290201</v>
      </c>
      <c r="P45" s="171" t="n">
        <v>-290201</v>
      </c>
      <c r="Q45" s="171" t="n">
        <v>-290201</v>
      </c>
      <c r="R45" s="171" t="n">
        <v>-290201</v>
      </c>
      <c r="S45" s="171" t="n">
        <v>-290201</v>
      </c>
      <c r="T45" s="171" t="n">
        <v>-290201</v>
      </c>
      <c r="U45" s="171" t="n">
        <v>-290201</v>
      </c>
      <c r="V45" s="171" t="n">
        <v>-290201</v>
      </c>
      <c r="W45" s="171" t="n">
        <v>-290201</v>
      </c>
      <c r="X45" s="171"/>
    </row>
    <row r="46" customFormat="false" ht="18.75" hidden="false" customHeight="true" outlineLevel="0" collapsed="false">
      <c r="B46" s="169" t="s">
        <v>58</v>
      </c>
      <c r="C46" s="161"/>
      <c r="D46" s="171"/>
      <c r="E46" s="171"/>
      <c r="F46" s="171"/>
      <c r="G46" s="171"/>
      <c r="H46" s="171"/>
      <c r="I46" s="171"/>
      <c r="J46" s="171"/>
      <c r="K46" s="171"/>
      <c r="L46" s="171"/>
      <c r="M46" s="171"/>
      <c r="N46" s="171"/>
      <c r="O46" s="171"/>
      <c r="P46" s="171"/>
      <c r="Q46" s="171"/>
      <c r="R46" s="171"/>
      <c r="S46" s="171"/>
      <c r="T46" s="171"/>
      <c r="U46" s="171"/>
      <c r="V46" s="171"/>
      <c r="W46" s="171"/>
      <c r="X46" s="171"/>
    </row>
    <row r="47" customFormat="false" ht="18.75" hidden="false" customHeight="true" outlineLevel="0" collapsed="false">
      <c r="B47" s="169" t="s">
        <v>59</v>
      </c>
      <c r="C47" s="161" t="s">
        <v>3</v>
      </c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</row>
    <row r="48" customFormat="false" ht="18.75" hidden="false" customHeight="true" outlineLevel="0" collapsed="false">
      <c r="B48" s="169" t="s">
        <v>60</v>
      </c>
      <c r="C48" s="161" t="s">
        <v>3</v>
      </c>
      <c r="D48" s="171" t="n">
        <v>-174440</v>
      </c>
      <c r="E48" s="171" t="n">
        <v>-174440</v>
      </c>
      <c r="F48" s="171" t="n">
        <v>-174440</v>
      </c>
      <c r="G48" s="171" t="n">
        <v>-174440</v>
      </c>
      <c r="H48" s="171" t="n">
        <v>-174440</v>
      </c>
      <c r="I48" s="171" t="n">
        <v>-174440</v>
      </c>
      <c r="J48" s="171" t="n">
        <v>-174440</v>
      </c>
      <c r="K48" s="171" t="n">
        <v>-174440</v>
      </c>
      <c r="L48" s="171" t="n">
        <v>-174440</v>
      </c>
      <c r="M48" s="171" t="n">
        <v>-174440</v>
      </c>
      <c r="N48" s="171" t="n">
        <v>-174440</v>
      </c>
      <c r="O48" s="171" t="n">
        <v>-174440</v>
      </c>
      <c r="P48" s="171" t="n">
        <v>-174440</v>
      </c>
      <c r="Q48" s="171" t="n">
        <v>-174440</v>
      </c>
      <c r="R48" s="171" t="n">
        <v>-174440</v>
      </c>
      <c r="S48" s="171" t="n">
        <v>-174440</v>
      </c>
      <c r="T48" s="171" t="n">
        <v>-174440</v>
      </c>
      <c r="U48" s="171" t="n">
        <v>-174440</v>
      </c>
      <c r="V48" s="171" t="n">
        <v>-174440</v>
      </c>
      <c r="W48" s="171" t="n">
        <v>-174440</v>
      </c>
      <c r="X48" s="171"/>
    </row>
    <row r="49" customFormat="false" ht="18.75" hidden="false" customHeight="true" outlineLevel="0" collapsed="false">
      <c r="B49" s="169" t="s">
        <v>61</v>
      </c>
      <c r="C49" s="161" t="s">
        <v>3</v>
      </c>
      <c r="D49" s="171" t="n">
        <v>-27474.3</v>
      </c>
      <c r="E49" s="171" t="n">
        <v>-27474.3</v>
      </c>
      <c r="F49" s="171" t="n">
        <v>-27474.3</v>
      </c>
      <c r="G49" s="171" t="n">
        <v>-27474.3</v>
      </c>
      <c r="H49" s="171" t="n">
        <v>-27474.3</v>
      </c>
      <c r="I49" s="171" t="n">
        <v>-27474.3</v>
      </c>
      <c r="J49" s="171" t="n">
        <v>-27474.3</v>
      </c>
      <c r="K49" s="171" t="n">
        <v>-27474.3</v>
      </c>
      <c r="L49" s="171" t="n">
        <v>-27474.3</v>
      </c>
      <c r="M49" s="171" t="n">
        <v>-27474.3</v>
      </c>
      <c r="N49" s="171" t="n">
        <v>-27474.3</v>
      </c>
      <c r="O49" s="171" t="n">
        <v>-27474.3</v>
      </c>
      <c r="P49" s="171" t="n">
        <v>-27474.3</v>
      </c>
      <c r="Q49" s="171" t="n">
        <v>-27474.3</v>
      </c>
      <c r="R49" s="171" t="n">
        <v>-27474.3</v>
      </c>
      <c r="S49" s="171" t="n">
        <v>-27474.3</v>
      </c>
      <c r="T49" s="171" t="n">
        <v>-27474.3</v>
      </c>
      <c r="U49" s="171" t="n">
        <v>-27474.3</v>
      </c>
      <c r="V49" s="171" t="n">
        <v>-27474.3</v>
      </c>
      <c r="W49" s="171" t="n">
        <v>-27474.3</v>
      </c>
      <c r="X49" s="171"/>
    </row>
    <row r="50" customFormat="false" ht="18.75" hidden="false" customHeight="true" outlineLevel="0" collapsed="false">
      <c r="B50" s="169" t="s">
        <v>62</v>
      </c>
      <c r="C50" s="161"/>
      <c r="D50" s="171" t="n">
        <v>-43610</v>
      </c>
      <c r="E50" s="171" t="n">
        <v>-43610</v>
      </c>
      <c r="F50" s="171" t="n">
        <v>-43610</v>
      </c>
      <c r="G50" s="171" t="n">
        <v>-43610</v>
      </c>
      <c r="H50" s="171" t="n">
        <v>-43610</v>
      </c>
      <c r="I50" s="171" t="n">
        <v>-43610</v>
      </c>
      <c r="J50" s="171" t="n">
        <v>-43610</v>
      </c>
      <c r="K50" s="171" t="n">
        <v>-43610</v>
      </c>
      <c r="L50" s="171" t="n">
        <v>-43610</v>
      </c>
      <c r="M50" s="171" t="n">
        <v>-43610</v>
      </c>
      <c r="N50" s="171" t="n">
        <v>0</v>
      </c>
      <c r="O50" s="171" t="n">
        <v>0</v>
      </c>
      <c r="P50" s="171" t="n">
        <v>0</v>
      </c>
      <c r="Q50" s="171" t="n">
        <v>0</v>
      </c>
      <c r="R50" s="171" t="n">
        <v>0</v>
      </c>
      <c r="S50" s="171" t="n">
        <v>0</v>
      </c>
      <c r="T50" s="171" t="n">
        <v>0</v>
      </c>
      <c r="U50" s="171" t="n">
        <v>0</v>
      </c>
      <c r="V50" s="171" t="n">
        <v>0</v>
      </c>
      <c r="W50" s="171" t="n">
        <v>0</v>
      </c>
      <c r="X50" s="171"/>
    </row>
    <row r="51" customFormat="false" ht="18.75" hidden="false" customHeight="true" outlineLevel="0" collapsed="false">
      <c r="B51" s="169" t="s">
        <v>63</v>
      </c>
      <c r="C51" s="172"/>
      <c r="D51" s="171"/>
      <c r="E51" s="171"/>
      <c r="F51" s="171"/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  <c r="U51" s="171"/>
      <c r="V51" s="171"/>
      <c r="W51" s="171"/>
      <c r="X51" s="171"/>
    </row>
    <row r="52" customFormat="false" ht="18.75" hidden="false" customHeight="true" outlineLevel="0" collapsed="false">
      <c r="B52" s="169" t="s">
        <v>64</v>
      </c>
      <c r="C52" s="172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/>
      <c r="P52" s="171"/>
      <c r="Q52" s="171"/>
      <c r="R52" s="171"/>
      <c r="S52" s="171"/>
      <c r="T52" s="171"/>
      <c r="U52" s="171"/>
      <c r="V52" s="171"/>
      <c r="W52" s="171"/>
      <c r="X52" s="171"/>
    </row>
    <row r="53" customFormat="false" ht="18.75" hidden="false" customHeight="true" outlineLevel="0" collapsed="false">
      <c r="B53" s="173" t="s">
        <v>65</v>
      </c>
      <c r="C53" s="172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</row>
    <row r="54" customFormat="false" ht="18.75" hidden="false" customHeight="true" outlineLevel="0" collapsed="false">
      <c r="B54" s="173" t="s">
        <v>66</v>
      </c>
      <c r="C54" s="172"/>
      <c r="D54" s="171" t="n">
        <f aca="false">-(D64+D67+D68+D71+D72+D73+D74)*0.2</f>
        <v>-213723.0624192</v>
      </c>
      <c r="E54" s="171" t="n">
        <f aca="false">-(E64+E67+E68+E71+E72+E73+E74)*0.2</f>
        <v>-154057.08495488</v>
      </c>
      <c r="F54" s="171" t="n">
        <f aca="false">-(F64+F67+F68+F71+F72+F73+F74)*0.2</f>
        <v>-152431.30749056</v>
      </c>
      <c r="G54" s="171" t="n">
        <f aca="false">-(G64+G67+G68+G71+G72+G73+G74)*0.2</f>
        <v>-150805.53002624</v>
      </c>
      <c r="H54" s="171" t="n">
        <f aca="false">-(H64+H67+H68+H71+H72+H73+H74)*0.2</f>
        <v>-149179.75256192</v>
      </c>
      <c r="I54" s="171" t="n">
        <f aca="false">-(I64+I67+I68+I71+I72+I73+I74)*0.2</f>
        <v>-147553.9750976</v>
      </c>
      <c r="J54" s="171" t="n">
        <f aca="false">-(J64+J67+J68+J71+J72+J73+J74)*0.2</f>
        <v>-145928.19763328</v>
      </c>
      <c r="K54" s="171" t="n">
        <f aca="false">-(K64+K67+K68+K71+K72+K73+K74)*0.2</f>
        <v>-144302.42016896</v>
      </c>
      <c r="L54" s="171" t="n">
        <f aca="false">-(L64+L67+L68+L71+L72+L73+L74)*0.2</f>
        <v>-142676.64270464</v>
      </c>
      <c r="M54" s="171" t="n">
        <f aca="false">-(M64+M67+M68+M71+M72+M73+M74)*0.2</f>
        <v>-141050.86524032</v>
      </c>
      <c r="N54" s="171" t="n">
        <f aca="false">-(N64+N67+N68+N71+N72+N73+N74)*0.2</f>
        <v>-148147.087776</v>
      </c>
      <c r="O54" s="171" t="n">
        <f aca="false">-(O64+O67+O68+O71+O72+O73+O74)*0.2</f>
        <v>-146521.31031168</v>
      </c>
      <c r="P54" s="171" t="n">
        <f aca="false">-(P64+P67+P68+P71+P72+P73+P74)*0.2</f>
        <v>-144895.53284736</v>
      </c>
      <c r="Q54" s="171" t="n">
        <f aca="false">-(Q64+Q67+Q68+Q71+Q72+Q73+Q74)*0.2</f>
        <v>-143269.75538304</v>
      </c>
      <c r="R54" s="171" t="n">
        <f aca="false">-(R64+R67+R68+R71+R72+R73+R74)*0.2</f>
        <v>-141643.97791872</v>
      </c>
      <c r="S54" s="171" t="n">
        <f aca="false">-(S64+S67+S68+S71+S72+S73+S74)*0.2</f>
        <v>-140018.2004544</v>
      </c>
      <c r="T54" s="171" t="n">
        <f aca="false">-(T64+T67+T68+T71+T72+T73+T74)*0.2</f>
        <v>-138392.42299008</v>
      </c>
      <c r="U54" s="171" t="n">
        <f aca="false">-(U64+U67+U68+U71+U72+U73+U74)*0.2</f>
        <v>-136766.64552576</v>
      </c>
      <c r="V54" s="171" t="n">
        <f aca="false">-(V64+V67+V68+V71+V72+V73+V74)*0.2</f>
        <v>-135140.86806144</v>
      </c>
      <c r="W54" s="171" t="n">
        <f aca="false">-(W64+W67+W68+W71+W72+W73+W74)*0.2</f>
        <v>-133515.09059712</v>
      </c>
      <c r="X54" s="162"/>
    </row>
    <row r="55" customFormat="false" ht="18.75" hidden="false" customHeight="true" outlineLevel="0" collapsed="false">
      <c r="B55" s="174" t="s">
        <v>67</v>
      </c>
      <c r="C55" s="175" t="n">
        <f aca="false">C44</f>
        <v>-13955200</v>
      </c>
      <c r="D55" s="176" t="n">
        <f aca="false">SUM(D41:D54)</f>
        <v>1262451.2496768</v>
      </c>
      <c r="E55" s="176" t="n">
        <f aca="false">SUM(E41:E54)</f>
        <v>1313988.33981952</v>
      </c>
      <c r="F55" s="176" t="n">
        <f aca="false">SUM(F41:F54)</f>
        <v>1307485.22996224</v>
      </c>
      <c r="G55" s="176" t="n">
        <f aca="false">SUM(G41:G54)</f>
        <v>1300982.12010496</v>
      </c>
      <c r="H55" s="176" t="n">
        <f aca="false">SUM(H41:H54)</f>
        <v>1294479.01024768</v>
      </c>
      <c r="I55" s="176" t="n">
        <f aca="false">SUM(I41:I54)</f>
        <v>1287975.9003904</v>
      </c>
      <c r="J55" s="176" t="n">
        <f aca="false">SUM(J41:J54)</f>
        <v>1281472.79053312</v>
      </c>
      <c r="K55" s="176" t="n">
        <f aca="false">SUM(K41:K54)</f>
        <v>1274969.68067584</v>
      </c>
      <c r="L55" s="176" t="n">
        <f aca="false">SUM(L41:L54)</f>
        <v>1268466.57081856</v>
      </c>
      <c r="M55" s="176" t="n">
        <f aca="false">SUM(M41:M54)</f>
        <v>1261963.46096128</v>
      </c>
      <c r="N55" s="176" t="n">
        <f aca="false">SUM(N41:N54)</f>
        <v>1290348.351104</v>
      </c>
      <c r="O55" s="176" t="n">
        <f aca="false">SUM(O41:O54)</f>
        <v>1283845.24124672</v>
      </c>
      <c r="P55" s="176" t="n">
        <f aca="false">SUM(P41:P54)</f>
        <v>1277342.13138944</v>
      </c>
      <c r="Q55" s="176" t="n">
        <f aca="false">SUM(Q41:Q54)</f>
        <v>1270839.02153216</v>
      </c>
      <c r="R55" s="176" t="n">
        <f aca="false">SUM(R41:R54)</f>
        <v>1264335.91167488</v>
      </c>
      <c r="S55" s="176" t="n">
        <f aca="false">SUM(S41:S54)</f>
        <v>1257832.8018176</v>
      </c>
      <c r="T55" s="176" t="n">
        <f aca="false">SUM(T41:T54)</f>
        <v>1251329.69196032</v>
      </c>
      <c r="U55" s="176" t="n">
        <f aca="false">SUM(U41:U54)</f>
        <v>1244826.58210304</v>
      </c>
      <c r="V55" s="176" t="n">
        <f aca="false">SUM(V41:V54)</f>
        <v>1238323.47224576</v>
      </c>
      <c r="W55" s="176" t="n">
        <f aca="false">SUM(W41:W54)</f>
        <v>1231820.36238848</v>
      </c>
      <c r="X55" s="177"/>
      <c r="Y55" s="178"/>
      <c r="Z55" s="179"/>
      <c r="AA55" s="178"/>
      <c r="AB55" s="178"/>
      <c r="AC55" s="178"/>
      <c r="AD55" s="178"/>
      <c r="AE55" s="178"/>
      <c r="AF55" s="178"/>
      <c r="AG55" s="178"/>
      <c r="AH55" s="178"/>
      <c r="AI55" s="178"/>
      <c r="AJ55" s="178"/>
    </row>
    <row r="56" customFormat="false" ht="18.75" hidden="false" customHeight="true" outlineLevel="0" collapsed="false">
      <c r="B56" s="180" t="s">
        <v>68</v>
      </c>
      <c r="D56" s="181" t="n">
        <f aca="false">C55+D55</f>
        <v>-12692748.7503232</v>
      </c>
      <c r="E56" s="181" t="n">
        <f aca="false">D56+E55</f>
        <v>-11378760.4105037</v>
      </c>
      <c r="F56" s="181" t="n">
        <f aca="false">E56+F55</f>
        <v>-10071275.1805414</v>
      </c>
      <c r="G56" s="181" t="n">
        <f aca="false">F56+G55</f>
        <v>-8770293.06043648</v>
      </c>
      <c r="H56" s="181" t="n">
        <f aca="false">G56+H55</f>
        <v>-7475814.0501888</v>
      </c>
      <c r="I56" s="181" t="n">
        <f aca="false">H56+I55</f>
        <v>-6187838.1497984</v>
      </c>
      <c r="J56" s="181" t="n">
        <f aca="false">I56+J55</f>
        <v>-4906365.35926528</v>
      </c>
      <c r="K56" s="181" t="n">
        <f aca="false">J56+K55</f>
        <v>-3631395.67858944</v>
      </c>
      <c r="L56" s="181" t="n">
        <f aca="false">K56+L55</f>
        <v>-2362929.10777088</v>
      </c>
      <c r="M56" s="181" t="n">
        <f aca="false">L56+M55</f>
        <v>-1100965.6468096</v>
      </c>
      <c r="N56" s="181" t="n">
        <f aca="false">M56+N55</f>
        <v>189382.704294397</v>
      </c>
      <c r="O56" s="181" t="n">
        <f aca="false">N56+O55</f>
        <v>1473227.94554112</v>
      </c>
      <c r="P56" s="181" t="n">
        <f aca="false">O56+P55</f>
        <v>2750570.07693056</v>
      </c>
      <c r="Q56" s="181" t="n">
        <f aca="false">P56+Q55</f>
        <v>4021409.09846272</v>
      </c>
      <c r="R56" s="181" t="n">
        <f aca="false">Q56+R55</f>
        <v>5285745.0101376</v>
      </c>
      <c r="S56" s="181" t="n">
        <f aca="false">R56+S55</f>
        <v>6543577.8119552</v>
      </c>
      <c r="T56" s="181" t="n">
        <f aca="false">S56+T55</f>
        <v>7794907.50391552</v>
      </c>
      <c r="U56" s="181" t="n">
        <f aca="false">T56+U55</f>
        <v>9039734.08601856</v>
      </c>
      <c r="V56" s="181" t="n">
        <f aca="false">U56+V55</f>
        <v>10278057.5582643</v>
      </c>
      <c r="W56" s="181" t="n">
        <f aca="false">V56+W55</f>
        <v>11509877.9206528</v>
      </c>
      <c r="X56" s="181" t="n">
        <f aca="false">W56+X55</f>
        <v>11509877.9206528</v>
      </c>
      <c r="Y56" s="178"/>
      <c r="Z56" s="178"/>
      <c r="AA56" s="178"/>
      <c r="AB56" s="178"/>
      <c r="AC56" s="178"/>
      <c r="AD56" s="178"/>
      <c r="AE56" s="178"/>
      <c r="AF56" s="178"/>
      <c r="AG56" s="178"/>
      <c r="AH56" s="178"/>
      <c r="AI56" s="178"/>
      <c r="AJ56" s="178"/>
    </row>
    <row r="57" customFormat="false" ht="18.75" hidden="false" customHeight="true" outlineLevel="0" collapsed="false">
      <c r="B57" s="182" t="s">
        <v>69</v>
      </c>
      <c r="C57" s="183"/>
      <c r="D57" s="184" t="str">
        <f aca="false">IF((D56)&gt;0,"回收","未回收")</f>
        <v>未回收</v>
      </c>
      <c r="E57" s="185" t="str">
        <f aca="false">IF((E56)&gt;0,"回收","未回收")</f>
        <v>未回收</v>
      </c>
      <c r="F57" s="185" t="str">
        <f aca="false">IF((F56)&gt;0,"回收","未回收")</f>
        <v>未回收</v>
      </c>
      <c r="G57" s="185" t="str">
        <f aca="false">IF((G56)&gt;0,"回收","未回收")</f>
        <v>未回收</v>
      </c>
      <c r="H57" s="185" t="str">
        <f aca="false">IF((H56)&gt;0,"回收","未回收")</f>
        <v>未回收</v>
      </c>
      <c r="I57" s="185" t="str">
        <f aca="false">IF((I56)&gt;0,"回收","未回收")</f>
        <v>未回收</v>
      </c>
      <c r="J57" s="185" t="str">
        <f aca="false">IF((J56)&gt;0,"回收","未回收")</f>
        <v>未回收</v>
      </c>
      <c r="K57" s="185" t="str">
        <f aca="false">IF((K56)&gt;0,"回收","未回收")</f>
        <v>未回收</v>
      </c>
      <c r="L57" s="185" t="str">
        <f aca="false">IF((L56)&gt;0,"回收","未回收")</f>
        <v>未回收</v>
      </c>
      <c r="M57" s="185" t="str">
        <f aca="false">IF((M56)&gt;0,"回收","未回收")</f>
        <v>未回收</v>
      </c>
      <c r="N57" s="185" t="str">
        <f aca="false">IF((N56)&gt;0,"回收","未回收")</f>
        <v>回收</v>
      </c>
      <c r="O57" s="185" t="str">
        <f aca="false">IF((O56)&gt;0,"回收","未回收")</f>
        <v>回收</v>
      </c>
      <c r="P57" s="185" t="str">
        <f aca="false">IF((P56)&gt;0,"回收","未回收")</f>
        <v>回收</v>
      </c>
      <c r="Q57" s="185" t="str">
        <f aca="false">IF((Q56)&gt;0,"回收","未回收")</f>
        <v>回收</v>
      </c>
      <c r="R57" s="185" t="str">
        <f aca="false">IF((R56)&gt;0,"回收","未回收")</f>
        <v>回收</v>
      </c>
      <c r="S57" s="185" t="str">
        <f aca="false">IF((S56)&gt;0,"回收","未回收")</f>
        <v>回收</v>
      </c>
      <c r="T57" s="185" t="str">
        <f aca="false">IF((T56)&gt;0,"回收","未回收")</f>
        <v>回收</v>
      </c>
      <c r="U57" s="185" t="str">
        <f aca="false">IF((U56)&gt;0,"回收","未回收")</f>
        <v>回收</v>
      </c>
      <c r="V57" s="185" t="str">
        <f aca="false">IF((V56)&gt;0,"回收","未回收")</f>
        <v>回收</v>
      </c>
      <c r="W57" s="185" t="str">
        <f aca="false">IF((W56)&gt;0,"回收","未回收")</f>
        <v>回收</v>
      </c>
      <c r="X57" s="185" t="str">
        <f aca="false">IF((X56)&gt;0,"回收","未回收")</f>
        <v>回收</v>
      </c>
      <c r="Y57" s="178"/>
      <c r="Z57" s="178"/>
      <c r="AA57" s="178"/>
      <c r="AB57" s="178"/>
      <c r="AC57" s="178"/>
      <c r="AD57" s="178"/>
      <c r="AE57" s="178"/>
      <c r="AF57" s="178"/>
      <c r="AG57" s="178"/>
      <c r="AH57" s="178"/>
      <c r="AI57" s="178"/>
      <c r="AJ57" s="178"/>
    </row>
    <row r="58" customFormat="false" ht="18.75" hidden="false" customHeight="true" outlineLevel="0" collapsed="false">
      <c r="B58" s="186" t="s">
        <v>88</v>
      </c>
      <c r="C58" s="187" t="n">
        <f aca="false">IRR(C55:W55)</f>
        <v>0.0662631743649945</v>
      </c>
      <c r="D58" s="188"/>
      <c r="E58" s="188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</row>
    <row r="59" customFormat="false" ht="18.75" hidden="false" customHeight="true" outlineLevel="0" collapsed="false">
      <c r="B59" s="189"/>
      <c r="C59" s="188"/>
      <c r="D59" s="188"/>
      <c r="E59" s="188"/>
      <c r="F59" s="189"/>
      <c r="G59" s="189"/>
      <c r="H59" s="189"/>
      <c r="I59" s="189"/>
      <c r="J59" s="189"/>
      <c r="K59" s="189"/>
      <c r="L59" s="189"/>
      <c r="M59" s="188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</row>
    <row r="60" customFormat="false" ht="18.75" hidden="false" customHeight="true" outlineLevel="0" collapsed="false">
      <c r="B60" s="83"/>
      <c r="C60" s="36" t="s">
        <v>48</v>
      </c>
      <c r="D60" s="36" t="n">
        <f aca="false">D37</f>
        <v>2020</v>
      </c>
      <c r="E60" s="36" t="n">
        <f aca="false">E37</f>
        <v>2021</v>
      </c>
      <c r="F60" s="36" t="n">
        <f aca="false">F37</f>
        <v>2022</v>
      </c>
      <c r="G60" s="36" t="n">
        <f aca="false">G37</f>
        <v>2023</v>
      </c>
      <c r="H60" s="36" t="n">
        <f aca="false">H37</f>
        <v>2024</v>
      </c>
      <c r="I60" s="36" t="n">
        <f aca="false">I37</f>
        <v>2025</v>
      </c>
      <c r="J60" s="36" t="n">
        <f aca="false">J37</f>
        <v>2026</v>
      </c>
      <c r="K60" s="36" t="n">
        <f aca="false">K37</f>
        <v>2027</v>
      </c>
      <c r="L60" s="36" t="n">
        <f aca="false">L37</f>
        <v>2028</v>
      </c>
      <c r="M60" s="36" t="n">
        <f aca="false">M37</f>
        <v>2029</v>
      </c>
      <c r="N60" s="36" t="n">
        <f aca="false">N37</f>
        <v>2030</v>
      </c>
      <c r="O60" s="36" t="n">
        <f aca="false">O37</f>
        <v>2031</v>
      </c>
      <c r="P60" s="36" t="n">
        <f aca="false">P37</f>
        <v>2032</v>
      </c>
      <c r="Q60" s="36" t="n">
        <f aca="false">Q37</f>
        <v>2033</v>
      </c>
      <c r="R60" s="36" t="n">
        <f aca="false">R37</f>
        <v>2034</v>
      </c>
      <c r="S60" s="36" t="n">
        <f aca="false">S37</f>
        <v>2035</v>
      </c>
      <c r="T60" s="36" t="n">
        <f aca="false">T37</f>
        <v>2036</v>
      </c>
      <c r="U60" s="36" t="n">
        <f aca="false">U37</f>
        <v>2037</v>
      </c>
      <c r="V60" s="36" t="n">
        <f aca="false">V37</f>
        <v>2038</v>
      </c>
      <c r="W60" s="36" t="n">
        <f aca="false">W37</f>
        <v>2039</v>
      </c>
      <c r="X60" s="36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 customFormat="false" ht="18.75" hidden="false" customHeight="true" outlineLevel="0" collapsed="false">
      <c r="B61" s="141" t="n">
        <v>0</v>
      </c>
      <c r="C61" s="142"/>
      <c r="D61" s="143"/>
      <c r="E61" s="143"/>
      <c r="F61" s="144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91" t="s">
        <v>50</v>
      </c>
      <c r="U61" s="145"/>
      <c r="V61" s="145"/>
      <c r="W61" s="145"/>
      <c r="X61" s="147"/>
    </row>
    <row r="62" customFormat="false" ht="18.75" hidden="false" customHeight="true" outlineLevel="0" collapsed="false">
      <c r="B62" s="148" t="s">
        <v>51</v>
      </c>
      <c r="C62" s="149" t="n">
        <v>0</v>
      </c>
      <c r="D62" s="150" t="n">
        <v>1</v>
      </c>
      <c r="E62" s="150" t="n">
        <v>2</v>
      </c>
      <c r="F62" s="150" t="n">
        <v>3</v>
      </c>
      <c r="G62" s="150" t="n">
        <v>4</v>
      </c>
      <c r="H62" s="150" t="n">
        <v>5</v>
      </c>
      <c r="I62" s="150" t="n">
        <v>6</v>
      </c>
      <c r="J62" s="150" t="n">
        <v>7</v>
      </c>
      <c r="K62" s="150" t="n">
        <v>8</v>
      </c>
      <c r="L62" s="150" t="n">
        <v>9</v>
      </c>
      <c r="M62" s="150" t="n">
        <v>10</v>
      </c>
      <c r="N62" s="150" t="n">
        <v>11</v>
      </c>
      <c r="O62" s="150" t="n">
        <v>12</v>
      </c>
      <c r="P62" s="150" t="n">
        <v>13</v>
      </c>
      <c r="Q62" s="150" t="n">
        <v>14</v>
      </c>
      <c r="R62" s="150" t="n">
        <v>15</v>
      </c>
      <c r="S62" s="150" t="n">
        <v>16</v>
      </c>
      <c r="T62" s="192" t="n">
        <v>17</v>
      </c>
      <c r="U62" s="150" t="n">
        <v>18</v>
      </c>
      <c r="V62" s="150" t="n">
        <v>19</v>
      </c>
      <c r="W62" s="150" t="n">
        <v>20</v>
      </c>
      <c r="X62" s="48"/>
    </row>
    <row r="63" customFormat="false" ht="18.75" hidden="false" customHeight="true" outlineLevel="0" collapsed="false">
      <c r="B63" s="152" t="s">
        <v>52</v>
      </c>
      <c r="C63" s="153" t="n">
        <v>0</v>
      </c>
      <c r="D63" s="154" t="n">
        <f aca="false">D40</f>
        <v>541531.98</v>
      </c>
      <c r="E63" s="154" t="n">
        <f aca="false">E40</f>
        <v>539343.972</v>
      </c>
      <c r="F63" s="154" t="n">
        <f aca="false">F40</f>
        <v>537155.964</v>
      </c>
      <c r="G63" s="154" t="n">
        <f aca="false">G40</f>
        <v>534967.956</v>
      </c>
      <c r="H63" s="154" t="n">
        <f aca="false">H40</f>
        <v>532779.948</v>
      </c>
      <c r="I63" s="154" t="n">
        <f aca="false">I40</f>
        <v>530591.94</v>
      </c>
      <c r="J63" s="154" t="n">
        <f aca="false">J40</f>
        <v>528403.932</v>
      </c>
      <c r="K63" s="154" t="n">
        <f aca="false">K40</f>
        <v>526215.924</v>
      </c>
      <c r="L63" s="154" t="n">
        <f aca="false">L40</f>
        <v>524027.916</v>
      </c>
      <c r="M63" s="154" t="n">
        <f aca="false">M40</f>
        <v>521839.908</v>
      </c>
      <c r="N63" s="154" t="n">
        <f aca="false">N40</f>
        <v>519651.9</v>
      </c>
      <c r="O63" s="154" t="n">
        <f aca="false">O40</f>
        <v>517463.892</v>
      </c>
      <c r="P63" s="154" t="n">
        <f aca="false">P40</f>
        <v>515275.884</v>
      </c>
      <c r="Q63" s="154" t="n">
        <f aca="false">Q40</f>
        <v>513087.876</v>
      </c>
      <c r="R63" s="154" t="n">
        <f aca="false">R40</f>
        <v>510899.868</v>
      </c>
      <c r="S63" s="154" t="n">
        <f aca="false">S40</f>
        <v>508711.86</v>
      </c>
      <c r="T63" s="154" t="n">
        <f aca="false">T40</f>
        <v>506523.852</v>
      </c>
      <c r="U63" s="154" t="n">
        <f aca="false">U40</f>
        <v>504335.844</v>
      </c>
      <c r="V63" s="154" t="n">
        <f aca="false">V40</f>
        <v>502147.836</v>
      </c>
      <c r="W63" s="154" t="n">
        <f aca="false">W40</f>
        <v>499959.828</v>
      </c>
      <c r="X63" s="155"/>
    </row>
    <row r="64" customFormat="false" ht="18.75" hidden="false" customHeight="true" outlineLevel="0" collapsed="false">
      <c r="B64" s="156" t="s">
        <v>53</v>
      </c>
      <c r="C64" s="157" t="s">
        <v>3</v>
      </c>
      <c r="D64" s="158" t="n">
        <f aca="false">D41</f>
        <v>2011899.612096</v>
      </c>
      <c r="E64" s="158" t="n">
        <f aca="false">E41</f>
        <v>2003770.7247744</v>
      </c>
      <c r="F64" s="158" t="n">
        <f aca="false">F41</f>
        <v>1995641.8374528</v>
      </c>
      <c r="G64" s="158" t="n">
        <f aca="false">G41</f>
        <v>1987512.9501312</v>
      </c>
      <c r="H64" s="158" t="n">
        <f aca="false">H41</f>
        <v>1979384.0628096</v>
      </c>
      <c r="I64" s="158" t="n">
        <f aca="false">I41</f>
        <v>1971255.175488</v>
      </c>
      <c r="J64" s="158" t="n">
        <f aca="false">J41</f>
        <v>1963126.2881664</v>
      </c>
      <c r="K64" s="158" t="n">
        <f aca="false">K41</f>
        <v>1954997.4008448</v>
      </c>
      <c r="L64" s="158" t="n">
        <f aca="false">L41</f>
        <v>1946868.5135232</v>
      </c>
      <c r="M64" s="158" t="n">
        <f aca="false">M41</f>
        <v>1938739.6262016</v>
      </c>
      <c r="N64" s="158" t="n">
        <f aca="false">N41</f>
        <v>1930610.73888</v>
      </c>
      <c r="O64" s="158" t="n">
        <f aca="false">O41</f>
        <v>1922481.8515584</v>
      </c>
      <c r="P64" s="158" t="n">
        <f aca="false">P41</f>
        <v>1914352.9642368</v>
      </c>
      <c r="Q64" s="158" t="n">
        <f aca="false">Q41</f>
        <v>1906224.0769152</v>
      </c>
      <c r="R64" s="158" t="n">
        <f aca="false">R41</f>
        <v>1898095.1895936</v>
      </c>
      <c r="S64" s="158" t="n">
        <f aca="false">S41</f>
        <v>1889966.302272</v>
      </c>
      <c r="T64" s="158" t="n">
        <f aca="false">T41</f>
        <v>1881837.4149504</v>
      </c>
      <c r="U64" s="158" t="n">
        <f aca="false">U41</f>
        <v>1873708.5276288</v>
      </c>
      <c r="V64" s="158" t="n">
        <f aca="false">V41</f>
        <v>1865579.6403072</v>
      </c>
      <c r="W64" s="158" t="n">
        <f aca="false">W41</f>
        <v>1857450.7529856</v>
      </c>
      <c r="X64" s="159"/>
    </row>
    <row r="65" customFormat="false" ht="18.75" hidden="false" customHeight="true" outlineLevel="0" collapsed="false">
      <c r="B65" s="160" t="s">
        <v>54</v>
      </c>
      <c r="C65" s="161" t="s">
        <v>3</v>
      </c>
      <c r="D65" s="162"/>
      <c r="E65" s="162"/>
      <c r="F65" s="162"/>
      <c r="G65" s="163" t="s">
        <v>3</v>
      </c>
      <c r="H65" s="163" t="s">
        <v>3</v>
      </c>
      <c r="I65" s="163" t="s">
        <v>3</v>
      </c>
      <c r="J65" s="163" t="s">
        <v>3</v>
      </c>
      <c r="K65" s="163" t="s">
        <v>3</v>
      </c>
      <c r="L65" s="163" t="s">
        <v>3</v>
      </c>
      <c r="M65" s="163" t="s">
        <v>3</v>
      </c>
      <c r="N65" s="163" t="s">
        <v>3</v>
      </c>
      <c r="O65" s="163" t="s">
        <v>3</v>
      </c>
      <c r="P65" s="163" t="s">
        <v>3</v>
      </c>
      <c r="Q65" s="163" t="s">
        <v>3</v>
      </c>
      <c r="R65" s="163" t="s">
        <v>3</v>
      </c>
      <c r="S65" s="163" t="s">
        <v>3</v>
      </c>
      <c r="T65" s="163" t="s">
        <v>3</v>
      </c>
      <c r="U65" s="163" t="s">
        <v>3</v>
      </c>
      <c r="V65" s="163" t="s">
        <v>3</v>
      </c>
      <c r="W65" s="163" t="s">
        <v>3</v>
      </c>
      <c r="X65" s="164"/>
    </row>
    <row r="66" customFormat="false" ht="18.75" hidden="false" customHeight="true" outlineLevel="0" collapsed="false">
      <c r="B66" s="165" t="s">
        <v>55</v>
      </c>
      <c r="C66" s="166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/>
      <c r="P66" s="167"/>
      <c r="Q66" s="167"/>
      <c r="R66" s="167"/>
      <c r="S66" s="167"/>
      <c r="T66" s="167"/>
      <c r="U66" s="167"/>
      <c r="V66" s="167"/>
      <c r="W66" s="167"/>
      <c r="X66" s="168"/>
    </row>
    <row r="67" customFormat="false" ht="18.75" hidden="false" customHeight="true" outlineLevel="0" collapsed="false">
      <c r="B67" s="169" t="s">
        <v>143</v>
      </c>
      <c r="C67" s="161"/>
      <c r="D67" s="193" t="n">
        <f aca="false">$C$44/$E$16</f>
        <v>-697760</v>
      </c>
      <c r="E67" s="193" t="n">
        <f aca="false">$C$44/$E$16</f>
        <v>-697760</v>
      </c>
      <c r="F67" s="193" t="n">
        <f aca="false">$C$44/$E$16</f>
        <v>-697760</v>
      </c>
      <c r="G67" s="193" t="n">
        <f aca="false">$C$44/$E$16</f>
        <v>-697760</v>
      </c>
      <c r="H67" s="193" t="n">
        <f aca="false">$C$44/$E$16</f>
        <v>-697760</v>
      </c>
      <c r="I67" s="193" t="n">
        <f aca="false">$C$44/$E$16</f>
        <v>-697760</v>
      </c>
      <c r="J67" s="193" t="n">
        <f aca="false">$C$44/$E$16</f>
        <v>-697760</v>
      </c>
      <c r="K67" s="193" t="n">
        <f aca="false">$C$44/$E$16</f>
        <v>-697760</v>
      </c>
      <c r="L67" s="193" t="n">
        <f aca="false">$C$44/$E$16</f>
        <v>-697760</v>
      </c>
      <c r="M67" s="193" t="n">
        <f aca="false">$C$44/$E$16</f>
        <v>-697760</v>
      </c>
      <c r="N67" s="193" t="n">
        <f aca="false">$C$44/$E$16</f>
        <v>-697760</v>
      </c>
      <c r="O67" s="193" t="n">
        <f aca="false">$C$44/$E$16</f>
        <v>-697760</v>
      </c>
      <c r="P67" s="193" t="n">
        <f aca="false">$C$44/$E$16</f>
        <v>-697760</v>
      </c>
      <c r="Q67" s="193" t="n">
        <f aca="false">$C$44/$E$16</f>
        <v>-697760</v>
      </c>
      <c r="R67" s="193" t="n">
        <f aca="false">$C$44/$E$16</f>
        <v>-697760</v>
      </c>
      <c r="S67" s="193" t="n">
        <f aca="false">$C$44/$E$16</f>
        <v>-697760</v>
      </c>
      <c r="T67" s="193" t="n">
        <f aca="false">$C$44/$E$16</f>
        <v>-697760</v>
      </c>
      <c r="U67" s="193" t="n">
        <f aca="false">$C$44/$E$16</f>
        <v>-697760</v>
      </c>
      <c r="V67" s="193" t="n">
        <f aca="false">$C$44/$E$16</f>
        <v>-697760</v>
      </c>
      <c r="W67" s="193" t="n">
        <f aca="false">$C$44/$E$16</f>
        <v>-697760</v>
      </c>
      <c r="X67" s="164"/>
    </row>
    <row r="68" customFormat="false" ht="18.75" hidden="false" customHeight="true" outlineLevel="0" collapsed="false">
      <c r="B68" s="169" t="s">
        <v>57</v>
      </c>
      <c r="C68" s="161" t="s">
        <v>3</v>
      </c>
      <c r="D68" s="171" t="n">
        <f aca="false">D44</f>
        <v>0</v>
      </c>
      <c r="E68" s="171" t="n">
        <f aca="false">E45</f>
        <v>-290201</v>
      </c>
      <c r="F68" s="171" t="n">
        <f aca="false">F45</f>
        <v>-290201</v>
      </c>
      <c r="G68" s="171" t="n">
        <f aca="false">G45</f>
        <v>-290201</v>
      </c>
      <c r="H68" s="171" t="n">
        <f aca="false">H45</f>
        <v>-290201</v>
      </c>
      <c r="I68" s="171" t="n">
        <f aca="false">I45</f>
        <v>-290201</v>
      </c>
      <c r="J68" s="171" t="n">
        <f aca="false">J45</f>
        <v>-290201</v>
      </c>
      <c r="K68" s="171" t="n">
        <f aca="false">K45</f>
        <v>-290201</v>
      </c>
      <c r="L68" s="171" t="n">
        <f aca="false">L45</f>
        <v>-290201</v>
      </c>
      <c r="M68" s="171" t="n">
        <f aca="false">M45</f>
        <v>-290201</v>
      </c>
      <c r="N68" s="171" t="n">
        <f aca="false">N45</f>
        <v>-290201</v>
      </c>
      <c r="O68" s="171" t="n">
        <f aca="false">O45</f>
        <v>-290201</v>
      </c>
      <c r="P68" s="171" t="n">
        <f aca="false">P45</f>
        <v>-290201</v>
      </c>
      <c r="Q68" s="171" t="n">
        <f aca="false">Q45</f>
        <v>-290201</v>
      </c>
      <c r="R68" s="171" t="n">
        <f aca="false">R45</f>
        <v>-290201</v>
      </c>
      <c r="S68" s="171" t="n">
        <f aca="false">S45</f>
        <v>-290201</v>
      </c>
      <c r="T68" s="171" t="n">
        <f aca="false">T45</f>
        <v>-290201</v>
      </c>
      <c r="U68" s="171" t="n">
        <f aca="false">U45</f>
        <v>-290201</v>
      </c>
      <c r="V68" s="171" t="n">
        <f aca="false">V45</f>
        <v>-290201</v>
      </c>
      <c r="W68" s="171" t="n">
        <f aca="false">W45</f>
        <v>-290201</v>
      </c>
      <c r="X68" s="164"/>
    </row>
    <row r="69" customFormat="false" ht="18.75" hidden="false" customHeight="true" outlineLevel="0" collapsed="false">
      <c r="B69" s="169" t="s">
        <v>58</v>
      </c>
      <c r="C69" s="161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/>
      <c r="X69" s="164"/>
    </row>
    <row r="70" customFormat="false" ht="18.75" hidden="false" customHeight="true" outlineLevel="0" collapsed="false">
      <c r="B70" s="169" t="s">
        <v>59</v>
      </c>
      <c r="C70" s="161" t="s">
        <v>3</v>
      </c>
      <c r="D70" s="171" t="n">
        <f aca="false">-D109*$D25</f>
        <v>-285746.6752</v>
      </c>
      <c r="E70" s="171" t="n">
        <f aca="false">-E109*$D25</f>
        <v>-266696.896853333</v>
      </c>
      <c r="F70" s="171" t="n">
        <f aca="false">-F109*$D25</f>
        <v>-247647.118506667</v>
      </c>
      <c r="G70" s="171" t="n">
        <f aca="false">-G109*$D25</f>
        <v>-228597.34016</v>
      </c>
      <c r="H70" s="171" t="n">
        <f aca="false">-H109*$D25</f>
        <v>-209547.561813333</v>
      </c>
      <c r="I70" s="171" t="n">
        <f aca="false">-I109*$D25</f>
        <v>-190497.783466667</v>
      </c>
      <c r="J70" s="171" t="n">
        <f aca="false">-J109*$D25</f>
        <v>-171448.00512</v>
      </c>
      <c r="K70" s="171" t="n">
        <f aca="false">-K109*$D25</f>
        <v>-152398.226773333</v>
      </c>
      <c r="L70" s="171" t="n">
        <f aca="false">-L109*$D25</f>
        <v>-133348.448426667</v>
      </c>
      <c r="M70" s="171" t="n">
        <f aca="false">-M109*$D25</f>
        <v>-114298.67008</v>
      </c>
      <c r="N70" s="171" t="n">
        <f aca="false">-N109*$D25</f>
        <v>-95248.8917333334</v>
      </c>
      <c r="O70" s="171" t="n">
        <f aca="false">-O109*$D25</f>
        <v>-76199.1133866667</v>
      </c>
      <c r="P70" s="171" t="n">
        <f aca="false">-P109*$D25</f>
        <v>-57149.33504</v>
      </c>
      <c r="Q70" s="171" t="n">
        <f aca="false">-Q109*$D25</f>
        <v>-38099.5566933334</v>
      </c>
      <c r="R70" s="171" t="n">
        <f aca="false">-R109*$D25</f>
        <v>-19049.7783466667</v>
      </c>
      <c r="S70" s="171" t="n">
        <f aca="false">-S109*$D25</f>
        <v>-0</v>
      </c>
      <c r="T70" s="171" t="n">
        <f aca="false">-T109*$D25</f>
        <v>-0</v>
      </c>
      <c r="U70" s="171" t="n">
        <f aca="false">-U109*$D25</f>
        <v>-0</v>
      </c>
      <c r="V70" s="171" t="n">
        <f aca="false">-V109*$D25</f>
        <v>-0</v>
      </c>
      <c r="W70" s="171" t="n">
        <f aca="false">-W109*$D25</f>
        <v>-0</v>
      </c>
      <c r="X70" s="164"/>
    </row>
    <row r="71" customFormat="false" ht="18.75" hidden="false" customHeight="true" outlineLevel="0" collapsed="false">
      <c r="B71" s="169" t="s">
        <v>60</v>
      </c>
      <c r="C71" s="161" t="s">
        <v>3</v>
      </c>
      <c r="D71" s="171" t="n">
        <f aca="false">D48</f>
        <v>-174440</v>
      </c>
      <c r="E71" s="171" t="n">
        <f aca="false">E48</f>
        <v>-174440</v>
      </c>
      <c r="F71" s="171" t="n">
        <f aca="false">F48</f>
        <v>-174440</v>
      </c>
      <c r="G71" s="171" t="n">
        <f aca="false">G48</f>
        <v>-174440</v>
      </c>
      <c r="H71" s="171" t="n">
        <f aca="false">H48</f>
        <v>-174440</v>
      </c>
      <c r="I71" s="171" t="n">
        <f aca="false">I48</f>
        <v>-174440</v>
      </c>
      <c r="J71" s="171" t="n">
        <f aca="false">J48</f>
        <v>-174440</v>
      </c>
      <c r="K71" s="171" t="n">
        <f aca="false">K48</f>
        <v>-174440</v>
      </c>
      <c r="L71" s="171" t="n">
        <f aca="false">L48</f>
        <v>-174440</v>
      </c>
      <c r="M71" s="171" t="n">
        <f aca="false">M48</f>
        <v>-174440</v>
      </c>
      <c r="N71" s="171" t="n">
        <f aca="false">N48</f>
        <v>-174440</v>
      </c>
      <c r="O71" s="171" t="n">
        <f aca="false">O48</f>
        <v>-174440</v>
      </c>
      <c r="P71" s="171" t="n">
        <f aca="false">P48</f>
        <v>-174440</v>
      </c>
      <c r="Q71" s="171" t="n">
        <f aca="false">Q48</f>
        <v>-174440</v>
      </c>
      <c r="R71" s="171" t="n">
        <f aca="false">R48</f>
        <v>-174440</v>
      </c>
      <c r="S71" s="171" t="n">
        <f aca="false">S48</f>
        <v>-174440</v>
      </c>
      <c r="T71" s="171" t="n">
        <f aca="false">T48</f>
        <v>-174440</v>
      </c>
      <c r="U71" s="171" t="n">
        <f aca="false">U48</f>
        <v>-174440</v>
      </c>
      <c r="V71" s="171" t="n">
        <f aca="false">V48</f>
        <v>-174440</v>
      </c>
      <c r="W71" s="171" t="n">
        <f aca="false">W48</f>
        <v>-174440</v>
      </c>
      <c r="X71" s="164"/>
    </row>
    <row r="72" customFormat="false" ht="18.75" hidden="false" customHeight="true" outlineLevel="0" collapsed="false">
      <c r="B72" s="169" t="s">
        <v>61</v>
      </c>
      <c r="C72" s="161" t="s">
        <v>3</v>
      </c>
      <c r="D72" s="171" t="n">
        <f aca="false">D49</f>
        <v>-27474.3</v>
      </c>
      <c r="E72" s="171" t="n">
        <f aca="false">E49</f>
        <v>-27474.3</v>
      </c>
      <c r="F72" s="171" t="n">
        <f aca="false">F49</f>
        <v>-27474.3</v>
      </c>
      <c r="G72" s="171" t="n">
        <f aca="false">G49</f>
        <v>-27474.3</v>
      </c>
      <c r="H72" s="171" t="n">
        <f aca="false">H49</f>
        <v>-27474.3</v>
      </c>
      <c r="I72" s="171" t="n">
        <f aca="false">I49</f>
        <v>-27474.3</v>
      </c>
      <c r="J72" s="171" t="n">
        <f aca="false">J49</f>
        <v>-27474.3</v>
      </c>
      <c r="K72" s="171" t="n">
        <f aca="false">K49</f>
        <v>-27474.3</v>
      </c>
      <c r="L72" s="171" t="n">
        <f aca="false">L49</f>
        <v>-27474.3</v>
      </c>
      <c r="M72" s="171" t="n">
        <f aca="false">M49</f>
        <v>-27474.3</v>
      </c>
      <c r="N72" s="171" t="n">
        <f aca="false">N49</f>
        <v>-27474.3</v>
      </c>
      <c r="O72" s="171" t="n">
        <f aca="false">O49</f>
        <v>-27474.3</v>
      </c>
      <c r="P72" s="171" t="n">
        <f aca="false">P49</f>
        <v>-27474.3</v>
      </c>
      <c r="Q72" s="171" t="n">
        <f aca="false">Q49</f>
        <v>-27474.3</v>
      </c>
      <c r="R72" s="171" t="n">
        <f aca="false">R49</f>
        <v>-27474.3</v>
      </c>
      <c r="S72" s="171" t="n">
        <f aca="false">S49</f>
        <v>-27474.3</v>
      </c>
      <c r="T72" s="171" t="n">
        <f aca="false">T49</f>
        <v>-27474.3</v>
      </c>
      <c r="U72" s="171" t="n">
        <f aca="false">U49</f>
        <v>-27474.3</v>
      </c>
      <c r="V72" s="171" t="n">
        <f aca="false">V49</f>
        <v>-27474.3</v>
      </c>
      <c r="W72" s="171" t="n">
        <f aca="false">W49</f>
        <v>-27474.3</v>
      </c>
      <c r="X72" s="164"/>
    </row>
    <row r="73" customFormat="false" ht="18.75" hidden="false" customHeight="true" outlineLevel="0" collapsed="false">
      <c r="B73" s="169" t="s">
        <v>62</v>
      </c>
      <c r="C73" s="161"/>
      <c r="D73" s="171" t="n">
        <f aca="false">D50</f>
        <v>-43610</v>
      </c>
      <c r="E73" s="171" t="n">
        <f aca="false">E50</f>
        <v>-43610</v>
      </c>
      <c r="F73" s="171" t="n">
        <f aca="false">F50</f>
        <v>-43610</v>
      </c>
      <c r="G73" s="171" t="n">
        <f aca="false">G50</f>
        <v>-43610</v>
      </c>
      <c r="H73" s="171" t="n">
        <f aca="false">H50</f>
        <v>-43610</v>
      </c>
      <c r="I73" s="171" t="n">
        <f aca="false">I50</f>
        <v>-43610</v>
      </c>
      <c r="J73" s="171" t="n">
        <f aca="false">J50</f>
        <v>-43610</v>
      </c>
      <c r="K73" s="171" t="n">
        <f aca="false">K50</f>
        <v>-43610</v>
      </c>
      <c r="L73" s="171" t="n">
        <f aca="false">L50</f>
        <v>-43610</v>
      </c>
      <c r="M73" s="171" t="n">
        <f aca="false">M50</f>
        <v>-43610</v>
      </c>
      <c r="N73" s="171" t="n">
        <f aca="false">N50</f>
        <v>0</v>
      </c>
      <c r="O73" s="171" t="n">
        <f aca="false">O50</f>
        <v>0</v>
      </c>
      <c r="P73" s="171" t="n">
        <f aca="false">P50</f>
        <v>0</v>
      </c>
      <c r="Q73" s="171" t="n">
        <f aca="false">Q50</f>
        <v>0</v>
      </c>
      <c r="R73" s="171" t="n">
        <f aca="false">R50</f>
        <v>0</v>
      </c>
      <c r="S73" s="171" t="n">
        <f aca="false">S50</f>
        <v>0</v>
      </c>
      <c r="T73" s="171" t="n">
        <f aca="false">T50</f>
        <v>0</v>
      </c>
      <c r="U73" s="171" t="n">
        <f aca="false">U50</f>
        <v>0</v>
      </c>
      <c r="V73" s="171" t="n">
        <f aca="false">V50</f>
        <v>0</v>
      </c>
      <c r="W73" s="171" t="n">
        <f aca="false">W50</f>
        <v>0</v>
      </c>
      <c r="X73" s="164"/>
    </row>
    <row r="74" customFormat="false" ht="18.75" hidden="false" customHeight="true" outlineLevel="0" collapsed="false">
      <c r="B74" s="169" t="s">
        <v>63</v>
      </c>
      <c r="C74" s="172"/>
      <c r="D74" s="194"/>
      <c r="E74" s="195"/>
      <c r="F74" s="162"/>
      <c r="G74" s="162"/>
      <c r="H74" s="162"/>
      <c r="I74" s="162"/>
      <c r="J74" s="162"/>
      <c r="K74" s="162"/>
      <c r="L74" s="162"/>
      <c r="M74" s="162"/>
      <c r="N74" s="162"/>
      <c r="O74" s="162"/>
      <c r="P74" s="162"/>
      <c r="Q74" s="162"/>
      <c r="R74" s="162"/>
      <c r="S74" s="162"/>
      <c r="T74" s="162"/>
      <c r="U74" s="162"/>
      <c r="V74" s="162"/>
      <c r="W74" s="162"/>
      <c r="X74" s="164"/>
    </row>
    <row r="75" customFormat="false" ht="18.75" hidden="false" customHeight="true" outlineLevel="0" collapsed="false">
      <c r="B75" s="169" t="s">
        <v>64</v>
      </c>
      <c r="C75" s="172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2"/>
      <c r="P75" s="162"/>
      <c r="Q75" s="162"/>
      <c r="R75" s="162"/>
      <c r="S75" s="162"/>
      <c r="T75" s="162"/>
      <c r="U75" s="162"/>
      <c r="V75" s="162"/>
      <c r="W75" s="162"/>
      <c r="X75" s="164"/>
    </row>
    <row r="76" customFormat="false" ht="18.75" hidden="false" customHeight="true" outlineLevel="0" collapsed="false">
      <c r="B76" s="174" t="s">
        <v>144</v>
      </c>
      <c r="C76" s="196"/>
      <c r="D76" s="176" t="n">
        <f aca="false">SUM(D64:D75)</f>
        <v>782868.636896</v>
      </c>
      <c r="E76" s="176" t="n">
        <f aca="false">SUM(E64:E75)</f>
        <v>503588.527921066</v>
      </c>
      <c r="F76" s="176" t="n">
        <f aca="false">SUM(F64:F75)</f>
        <v>514509.418946133</v>
      </c>
      <c r="G76" s="176" t="n">
        <f aca="false">SUM(G64:G75)</f>
        <v>525430.3099712</v>
      </c>
      <c r="H76" s="176" t="n">
        <f aca="false">SUM(H64:H75)</f>
        <v>536351.200996266</v>
      </c>
      <c r="I76" s="176" t="n">
        <f aca="false">SUM(I64:I75)</f>
        <v>547272.092021333</v>
      </c>
      <c r="J76" s="176" t="n">
        <f aca="false">SUM(J64:J75)</f>
        <v>558192.9830464</v>
      </c>
      <c r="K76" s="176" t="n">
        <f aca="false">SUM(K64:K75)</f>
        <v>569113.874071466</v>
      </c>
      <c r="L76" s="176" t="n">
        <f aca="false">SUM(L64:L75)</f>
        <v>580034.765096533</v>
      </c>
      <c r="M76" s="176" t="n">
        <f aca="false">SUM(M64:M75)</f>
        <v>590955.6561216</v>
      </c>
      <c r="N76" s="176" t="n">
        <f aca="false">SUM(N64:N75)</f>
        <v>645486.547146666</v>
      </c>
      <c r="O76" s="176" t="n">
        <f aca="false">SUM(O64:O75)</f>
        <v>656407.438171733</v>
      </c>
      <c r="P76" s="176" t="n">
        <f aca="false">SUM(P64:P75)</f>
        <v>667328.3291968</v>
      </c>
      <c r="Q76" s="176" t="n">
        <f aca="false">SUM(Q64:Q75)</f>
        <v>678249.220221866</v>
      </c>
      <c r="R76" s="176" t="n">
        <f aca="false">SUM(R64:R75)</f>
        <v>689170.111246933</v>
      </c>
      <c r="S76" s="176" t="n">
        <f aca="false">SUM(S64:S75)</f>
        <v>700091.002272</v>
      </c>
      <c r="T76" s="176" t="n">
        <f aca="false">SUM(T64:T75)</f>
        <v>691962.1149504</v>
      </c>
      <c r="U76" s="176" t="n">
        <f aca="false">SUM(U64:U75)</f>
        <v>683833.2276288</v>
      </c>
      <c r="V76" s="176" t="n">
        <f aca="false">SUM(V64:V75)</f>
        <v>675704.3403072</v>
      </c>
      <c r="W76" s="176" t="n">
        <f aca="false">SUM(W64:W75)</f>
        <v>667575.4529856</v>
      </c>
      <c r="X76" s="176" t="n">
        <f aca="false">SUM(X64:X75)</f>
        <v>0</v>
      </c>
    </row>
    <row r="77" customFormat="false" ht="18.75" hidden="false" customHeight="true" outlineLevel="0" collapsed="false">
      <c r="B77" s="173" t="s">
        <v>66</v>
      </c>
      <c r="C77" s="172"/>
      <c r="D77" s="171" t="n">
        <f aca="false">-D76*0.2</f>
        <v>-156573.7273792</v>
      </c>
      <c r="E77" s="171" t="n">
        <f aca="false">-E76*0.2</f>
        <v>-100717.705584213</v>
      </c>
      <c r="F77" s="171" t="n">
        <f aca="false">-F76*0.2</f>
        <v>-102901.883789227</v>
      </c>
      <c r="G77" s="171" t="n">
        <f aca="false">-G76*0.2</f>
        <v>-105086.06199424</v>
      </c>
      <c r="H77" s="171" t="n">
        <f aca="false">-H76*0.2</f>
        <v>-107270.240199253</v>
      </c>
      <c r="I77" s="171" t="n">
        <f aca="false">-I76*0.2</f>
        <v>-109454.418404267</v>
      </c>
      <c r="J77" s="171" t="n">
        <f aca="false">-J76*0.2</f>
        <v>-111638.59660928</v>
      </c>
      <c r="K77" s="171" t="n">
        <f aca="false">-K76*0.2</f>
        <v>-113822.774814293</v>
      </c>
      <c r="L77" s="171" t="n">
        <f aca="false">-L76*0.2</f>
        <v>-116006.953019307</v>
      </c>
      <c r="M77" s="171" t="n">
        <f aca="false">-M76*0.2</f>
        <v>-118191.13122432</v>
      </c>
      <c r="N77" s="171" t="n">
        <f aca="false">-N76*0.2</f>
        <v>-129097.309429333</v>
      </c>
      <c r="O77" s="171" t="n">
        <f aca="false">-O76*0.2</f>
        <v>-131281.487634347</v>
      </c>
      <c r="P77" s="171" t="n">
        <f aca="false">-P76*0.2</f>
        <v>-133465.66583936</v>
      </c>
      <c r="Q77" s="171" t="n">
        <f aca="false">-Q76*0.2</f>
        <v>-135649.844044373</v>
      </c>
      <c r="R77" s="171" t="n">
        <f aca="false">-R76*0.2</f>
        <v>-137834.022249387</v>
      </c>
      <c r="S77" s="171" t="n">
        <f aca="false">-S76*0.2</f>
        <v>-140018.2004544</v>
      </c>
      <c r="T77" s="171" t="n">
        <f aca="false">-T76*0.2</f>
        <v>-138392.42299008</v>
      </c>
      <c r="U77" s="171" t="n">
        <f aca="false">-U76*0.2</f>
        <v>-136766.64552576</v>
      </c>
      <c r="V77" s="171" t="n">
        <f aca="false">-V76*0.2</f>
        <v>-135140.86806144</v>
      </c>
      <c r="W77" s="171" t="n">
        <f aca="false">-W76*0.2</f>
        <v>-133515.09059712</v>
      </c>
      <c r="X77" s="171" t="n">
        <f aca="false">-X76*0.2</f>
        <v>-0</v>
      </c>
    </row>
    <row r="78" customFormat="false" ht="15.75" hidden="false" customHeight="true" outlineLevel="0" collapsed="false">
      <c r="B78" s="197" t="s">
        <v>71</v>
      </c>
      <c r="D78" s="171" t="n">
        <f aca="false">SUM(D76:D77)</f>
        <v>626294.9095168</v>
      </c>
      <c r="E78" s="171" t="n">
        <f aca="false">SUM(E76:E77)</f>
        <v>402870.822336853</v>
      </c>
      <c r="F78" s="171" t="n">
        <f aca="false">SUM(F76:F77)</f>
        <v>411607.535156907</v>
      </c>
      <c r="G78" s="171" t="n">
        <f aca="false">SUM(G76:G77)</f>
        <v>420344.24797696</v>
      </c>
      <c r="H78" s="171" t="n">
        <f aca="false">SUM(H76:H77)</f>
        <v>429080.960797013</v>
      </c>
      <c r="I78" s="171" t="n">
        <f aca="false">SUM(I76:I77)</f>
        <v>437817.673617066</v>
      </c>
      <c r="J78" s="171" t="n">
        <f aca="false">SUM(J76:J77)</f>
        <v>446554.38643712</v>
      </c>
      <c r="K78" s="171" t="n">
        <f aca="false">SUM(K76:K77)</f>
        <v>455291.099257173</v>
      </c>
      <c r="L78" s="171" t="n">
        <f aca="false">SUM(L76:L77)</f>
        <v>464027.812077226</v>
      </c>
      <c r="M78" s="171" t="n">
        <f aca="false">SUM(M76:M77)</f>
        <v>472764.52489728</v>
      </c>
      <c r="N78" s="171" t="n">
        <f aca="false">SUM(N76:N77)</f>
        <v>516389.237717333</v>
      </c>
      <c r="O78" s="171" t="n">
        <f aca="false">SUM(O76:O77)</f>
        <v>525125.950537386</v>
      </c>
      <c r="P78" s="171" t="n">
        <f aca="false">SUM(P76:P77)</f>
        <v>533862.66335744</v>
      </c>
      <c r="Q78" s="171" t="n">
        <f aca="false">SUM(Q76:Q77)</f>
        <v>542599.376177493</v>
      </c>
      <c r="R78" s="171" t="n">
        <f aca="false">SUM(R76:R77)</f>
        <v>551336.088997546</v>
      </c>
      <c r="S78" s="171" t="n">
        <f aca="false">SUM(S76:S77)</f>
        <v>560072.8018176</v>
      </c>
      <c r="T78" s="171" t="n">
        <f aca="false">SUM(T76:T77)</f>
        <v>553569.69196032</v>
      </c>
      <c r="U78" s="171" t="n">
        <f aca="false">SUM(U76:U77)</f>
        <v>547066.58210304</v>
      </c>
      <c r="V78" s="171" t="n">
        <f aca="false">SUM(V76:V77)</f>
        <v>540563.47224576</v>
      </c>
      <c r="W78" s="171" t="n">
        <f aca="false">SUM(W76:W77)</f>
        <v>534060.36238848</v>
      </c>
      <c r="X78" s="171" t="n">
        <f aca="false">SUM(X76:X77)</f>
        <v>0</v>
      </c>
    </row>
    <row r="79" customFormat="false" ht="18.75" hidden="false" customHeight="true" outlineLevel="0" collapsed="false">
      <c r="B79" s="180" t="s">
        <v>68</v>
      </c>
      <c r="C79" s="183"/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9"/>
    </row>
    <row r="80" customFormat="false" ht="18.75" hidden="false" customHeight="true" outlineLevel="0" collapsed="false">
      <c r="B80" s="200" t="s">
        <v>69</v>
      </c>
      <c r="C80" s="201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3"/>
    </row>
    <row r="81" customFormat="false" ht="18.75" hidden="false" customHeight="true" outlineLevel="0" collapsed="false">
      <c r="B81" s="189"/>
      <c r="C81" s="188"/>
      <c r="D81" s="188"/>
      <c r="E81" s="188"/>
      <c r="F81" s="189"/>
      <c r="G81" s="189"/>
      <c r="H81" s="189"/>
      <c r="I81" s="189"/>
      <c r="J81" s="189"/>
      <c r="K81" s="189"/>
      <c r="L81" s="189"/>
      <c r="M81" s="188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customFormat="false" ht="18.75" hidden="false" customHeight="true" outlineLevel="0" collapsed="false">
      <c r="C82" s="204" t="s">
        <v>48</v>
      </c>
      <c r="D82" s="205" t="n">
        <f aca="false">D37</f>
        <v>2020</v>
      </c>
      <c r="E82" s="205" t="n">
        <f aca="false">E37</f>
        <v>2021</v>
      </c>
      <c r="F82" s="205" t="n">
        <f aca="false">F37</f>
        <v>2022</v>
      </c>
      <c r="G82" s="205" t="n">
        <f aca="false">G37</f>
        <v>2023</v>
      </c>
      <c r="H82" s="205" t="n">
        <f aca="false">H37</f>
        <v>2024</v>
      </c>
      <c r="I82" s="205" t="n">
        <f aca="false">I37</f>
        <v>2025</v>
      </c>
      <c r="J82" s="205" t="n">
        <f aca="false">J37</f>
        <v>2026</v>
      </c>
      <c r="K82" s="205" t="n">
        <f aca="false">K37</f>
        <v>2027</v>
      </c>
      <c r="L82" s="205" t="n">
        <f aca="false">L37</f>
        <v>2028</v>
      </c>
      <c r="M82" s="205" t="n">
        <f aca="false">M37</f>
        <v>2029</v>
      </c>
      <c r="N82" s="205" t="n">
        <f aca="false">N37</f>
        <v>2030</v>
      </c>
      <c r="O82" s="205" t="n">
        <f aca="false">O37</f>
        <v>2031</v>
      </c>
      <c r="P82" s="205" t="n">
        <f aca="false">P37</f>
        <v>2032</v>
      </c>
      <c r="Q82" s="205" t="n">
        <f aca="false">Q37</f>
        <v>2033</v>
      </c>
      <c r="R82" s="205" t="n">
        <f aca="false">R37</f>
        <v>2034</v>
      </c>
      <c r="S82" s="205" t="n">
        <f aca="false">S37</f>
        <v>2035</v>
      </c>
      <c r="T82" s="205" t="n">
        <f aca="false">T37</f>
        <v>2036</v>
      </c>
      <c r="U82" s="205" t="n">
        <f aca="false">U37</f>
        <v>2037</v>
      </c>
      <c r="V82" s="205" t="n">
        <f aca="false">V37</f>
        <v>2038</v>
      </c>
      <c r="W82" s="205" t="n">
        <f aca="false">W37</f>
        <v>2039</v>
      </c>
      <c r="X82" s="73"/>
    </row>
    <row r="83" customFormat="false" ht="18.75" hidden="false" customHeight="true" outlineLevel="0" collapsed="false">
      <c r="X83" s="190"/>
    </row>
    <row r="84" customFormat="false" ht="18.75" hidden="false" customHeight="true" outlineLevel="0" collapsed="false">
      <c r="B84" s="206" t="s">
        <v>51</v>
      </c>
      <c r="C84" s="206" t="n">
        <v>0</v>
      </c>
      <c r="D84" s="206" t="n">
        <v>1</v>
      </c>
      <c r="E84" s="206" t="n">
        <v>2</v>
      </c>
      <c r="F84" s="206" t="n">
        <v>3</v>
      </c>
      <c r="G84" s="206" t="n">
        <v>4</v>
      </c>
      <c r="H84" s="206" t="n">
        <v>5</v>
      </c>
      <c r="I84" s="206" t="n">
        <v>6</v>
      </c>
      <c r="J84" s="206" t="n">
        <v>7</v>
      </c>
      <c r="K84" s="206" t="n">
        <v>8</v>
      </c>
      <c r="L84" s="206" t="n">
        <v>9</v>
      </c>
      <c r="M84" s="206" t="n">
        <v>10</v>
      </c>
      <c r="N84" s="206" t="n">
        <v>11</v>
      </c>
      <c r="O84" s="206" t="n">
        <v>12</v>
      </c>
      <c r="P84" s="206" t="n">
        <v>13</v>
      </c>
      <c r="Q84" s="206" t="n">
        <v>14</v>
      </c>
      <c r="R84" s="206" t="n">
        <v>15</v>
      </c>
      <c r="S84" s="206" t="n">
        <v>16</v>
      </c>
      <c r="T84" s="206" t="n">
        <v>17</v>
      </c>
      <c r="U84" s="206" t="n">
        <v>18</v>
      </c>
      <c r="V84" s="206" t="n">
        <v>19</v>
      </c>
      <c r="W84" s="206" t="n">
        <v>20</v>
      </c>
      <c r="X84" s="89"/>
    </row>
    <row r="85" customFormat="false" ht="18.75" hidden="false" customHeight="true" outlineLevel="0" collapsed="false">
      <c r="B85" s="207" t="s">
        <v>71</v>
      </c>
      <c r="C85" s="207"/>
      <c r="D85" s="208" t="n">
        <f aca="false">D78</f>
        <v>626294.9095168</v>
      </c>
      <c r="E85" s="208" t="n">
        <f aca="false">E78</f>
        <v>402870.822336853</v>
      </c>
      <c r="F85" s="208" t="n">
        <f aca="false">F78</f>
        <v>411607.535156907</v>
      </c>
      <c r="G85" s="208" t="n">
        <f aca="false">G78</f>
        <v>420344.24797696</v>
      </c>
      <c r="H85" s="208" t="n">
        <f aca="false">H78</f>
        <v>429080.960797013</v>
      </c>
      <c r="I85" s="208" t="n">
        <f aca="false">I78</f>
        <v>437817.673617066</v>
      </c>
      <c r="J85" s="208" t="n">
        <f aca="false">J78</f>
        <v>446554.38643712</v>
      </c>
      <c r="K85" s="208" t="n">
        <f aca="false">K78</f>
        <v>455291.099257173</v>
      </c>
      <c r="L85" s="208" t="n">
        <f aca="false">L78</f>
        <v>464027.812077226</v>
      </c>
      <c r="M85" s="208" t="n">
        <f aca="false">M78</f>
        <v>472764.52489728</v>
      </c>
      <c r="N85" s="208" t="n">
        <f aca="false">N78</f>
        <v>516389.237717333</v>
      </c>
      <c r="O85" s="208" t="n">
        <f aca="false">O78</f>
        <v>525125.950537386</v>
      </c>
      <c r="P85" s="208" t="n">
        <f aca="false">P78</f>
        <v>533862.66335744</v>
      </c>
      <c r="Q85" s="208" t="n">
        <f aca="false">Q78</f>
        <v>542599.376177493</v>
      </c>
      <c r="R85" s="208" t="n">
        <f aca="false">R78</f>
        <v>551336.088997546</v>
      </c>
      <c r="S85" s="208" t="n">
        <f aca="false">S78</f>
        <v>560072.8018176</v>
      </c>
      <c r="T85" s="208" t="n">
        <f aca="false">T78</f>
        <v>553569.69196032</v>
      </c>
      <c r="U85" s="208" t="n">
        <f aca="false">U78</f>
        <v>547066.58210304</v>
      </c>
      <c r="V85" s="208" t="n">
        <f aca="false">V78</f>
        <v>540563.47224576</v>
      </c>
      <c r="W85" s="208" t="n">
        <f aca="false">W78</f>
        <v>534060.36238848</v>
      </c>
      <c r="X85" s="207"/>
      <c r="Y85" s="207"/>
    </row>
    <row r="86" customFormat="false" ht="15.75" hidden="false" customHeight="true" outlineLevel="0" collapsed="false">
      <c r="B86" s="207" t="s">
        <v>72</v>
      </c>
      <c r="C86" s="207"/>
      <c r="D86" s="209" t="n">
        <f aca="false">-D67</f>
        <v>697760</v>
      </c>
      <c r="E86" s="209" t="n">
        <f aca="false">-E67</f>
        <v>697760</v>
      </c>
      <c r="F86" s="209" t="n">
        <f aca="false">-F67</f>
        <v>697760</v>
      </c>
      <c r="G86" s="209" t="n">
        <f aca="false">-G67</f>
        <v>697760</v>
      </c>
      <c r="H86" s="209" t="n">
        <f aca="false">-H67</f>
        <v>697760</v>
      </c>
      <c r="I86" s="209" t="n">
        <f aca="false">-I67</f>
        <v>697760</v>
      </c>
      <c r="J86" s="209" t="n">
        <f aca="false">-J67</f>
        <v>697760</v>
      </c>
      <c r="K86" s="209" t="n">
        <f aca="false">-K67</f>
        <v>697760</v>
      </c>
      <c r="L86" s="209" t="n">
        <f aca="false">-L67</f>
        <v>697760</v>
      </c>
      <c r="M86" s="209" t="n">
        <f aca="false">-M67</f>
        <v>697760</v>
      </c>
      <c r="N86" s="209" t="n">
        <f aca="false">-N67</f>
        <v>697760</v>
      </c>
      <c r="O86" s="209" t="n">
        <f aca="false">-O67</f>
        <v>697760</v>
      </c>
      <c r="P86" s="209" t="n">
        <f aca="false">-P67</f>
        <v>697760</v>
      </c>
      <c r="Q86" s="209" t="n">
        <f aca="false">-Q67</f>
        <v>697760</v>
      </c>
      <c r="R86" s="209" t="n">
        <f aca="false">-R67</f>
        <v>697760</v>
      </c>
      <c r="S86" s="209" t="n">
        <f aca="false">-S67</f>
        <v>697760</v>
      </c>
      <c r="T86" s="209" t="n">
        <f aca="false">-T67</f>
        <v>697760</v>
      </c>
      <c r="U86" s="209" t="n">
        <f aca="false">-U67</f>
        <v>697760</v>
      </c>
      <c r="V86" s="209" t="n">
        <f aca="false">-V67</f>
        <v>697760</v>
      </c>
      <c r="W86" s="209" t="n">
        <f aca="false">-W67</f>
        <v>697760</v>
      </c>
      <c r="X86" s="210"/>
      <c r="Y86" s="210"/>
    </row>
    <row r="87" customFormat="false" ht="15.75" hidden="false" customHeight="true" outlineLevel="0" collapsed="false">
      <c r="B87" s="207" t="s">
        <v>73</v>
      </c>
      <c r="C87" s="207"/>
      <c r="D87" s="211" t="n">
        <f aca="false">SUM(D85:D86)</f>
        <v>1324054.9095168</v>
      </c>
      <c r="E87" s="211" t="n">
        <f aca="false">SUM(E85:E86)</f>
        <v>1100630.82233685</v>
      </c>
      <c r="F87" s="211" t="n">
        <f aca="false">SUM(F85:F86)</f>
        <v>1109367.53515691</v>
      </c>
      <c r="G87" s="211" t="n">
        <f aca="false">SUM(G85:G86)</f>
        <v>1118104.24797696</v>
      </c>
      <c r="H87" s="211" t="n">
        <f aca="false">SUM(H85:H86)</f>
        <v>1126840.96079701</v>
      </c>
      <c r="I87" s="211" t="n">
        <f aca="false">SUM(I85:I86)</f>
        <v>1135577.67361707</v>
      </c>
      <c r="J87" s="211" t="n">
        <f aca="false">SUM(J85:J86)</f>
        <v>1144314.38643712</v>
      </c>
      <c r="K87" s="211" t="n">
        <f aca="false">SUM(K85:K86)</f>
        <v>1153051.09925717</v>
      </c>
      <c r="L87" s="211" t="n">
        <f aca="false">SUM(L85:L86)</f>
        <v>1161787.81207723</v>
      </c>
      <c r="M87" s="211" t="n">
        <f aca="false">SUM(M85:M86)</f>
        <v>1170524.52489728</v>
      </c>
      <c r="N87" s="211" t="n">
        <f aca="false">SUM(N85:N86)</f>
        <v>1214149.23771733</v>
      </c>
      <c r="O87" s="211" t="n">
        <f aca="false">SUM(O85:O86)</f>
        <v>1222885.95053739</v>
      </c>
      <c r="P87" s="211" t="n">
        <f aca="false">SUM(P85:P86)</f>
        <v>1231622.66335744</v>
      </c>
      <c r="Q87" s="211" t="n">
        <f aca="false">SUM(Q85:Q86)</f>
        <v>1240359.37617749</v>
      </c>
      <c r="R87" s="211" t="n">
        <f aca="false">SUM(R85:R86)</f>
        <v>1249096.08899755</v>
      </c>
      <c r="S87" s="211" t="n">
        <f aca="false">SUM(S85:S86)</f>
        <v>1257832.8018176</v>
      </c>
      <c r="T87" s="211" t="n">
        <f aca="false">SUM(T85:T86)</f>
        <v>1251329.69196032</v>
      </c>
      <c r="U87" s="211" t="n">
        <f aca="false">SUM(U85:U86)</f>
        <v>1244826.58210304</v>
      </c>
      <c r="V87" s="211" t="n">
        <f aca="false">SUM(V85:V86)</f>
        <v>1238323.47224576</v>
      </c>
      <c r="W87" s="211" t="n">
        <f aca="false">SUM(W85:W86)</f>
        <v>1231820.36238848</v>
      </c>
      <c r="X87" s="179"/>
    </row>
    <row r="88" customFormat="false" ht="15.75" hidden="false" customHeight="true" outlineLevel="0" collapsed="false">
      <c r="B88" s="207"/>
      <c r="C88" s="207"/>
      <c r="D88" s="207"/>
      <c r="E88" s="207"/>
      <c r="F88" s="212"/>
      <c r="G88" s="212"/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178"/>
    </row>
    <row r="89" customFormat="false" ht="15.75" hidden="false" customHeight="true" outlineLevel="0" collapsed="false">
      <c r="B89" s="213" t="s">
        <v>74</v>
      </c>
      <c r="C89" s="214"/>
      <c r="D89" s="215" t="n">
        <f aca="false">C44</f>
        <v>-13955200</v>
      </c>
      <c r="E89" s="214"/>
      <c r="F89" s="214"/>
      <c r="G89" s="214"/>
      <c r="H89" s="214"/>
      <c r="I89" s="214"/>
      <c r="J89" s="214"/>
      <c r="K89" s="214"/>
      <c r="L89" s="214"/>
      <c r="M89" s="214"/>
      <c r="N89" s="214"/>
      <c r="O89" s="214"/>
      <c r="P89" s="214"/>
      <c r="Q89" s="214"/>
      <c r="R89" s="214"/>
      <c r="S89" s="214"/>
      <c r="T89" s="214"/>
      <c r="U89" s="214"/>
      <c r="V89" s="214"/>
      <c r="W89" s="214"/>
      <c r="X89" s="216"/>
    </row>
    <row r="90" customFormat="false" ht="15.75" hidden="false" customHeight="true" outlineLevel="0" collapsed="false">
      <c r="B90" s="207"/>
      <c r="C90" s="207"/>
      <c r="D90" s="207"/>
      <c r="E90" s="207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12"/>
      <c r="W90" s="212"/>
      <c r="X90" s="178"/>
    </row>
    <row r="91" customFormat="false" ht="15.75" hidden="false" customHeight="true" outlineLevel="0" collapsed="false">
      <c r="B91" s="207"/>
      <c r="C91" s="207"/>
      <c r="D91" s="207"/>
      <c r="E91" s="207"/>
      <c r="F91" s="212"/>
      <c r="G91" s="212"/>
      <c r="H91" s="212"/>
      <c r="I91" s="212"/>
      <c r="J91" s="212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178"/>
    </row>
    <row r="92" customFormat="false" ht="15.75" hidden="false" customHeight="true" outlineLevel="0" collapsed="false">
      <c r="B92" s="213" t="s">
        <v>75</v>
      </c>
      <c r="C92" s="214"/>
      <c r="D92" s="215" t="n">
        <f aca="false">-D89*D31</f>
        <v>11164160</v>
      </c>
      <c r="E92" s="214"/>
      <c r="F92" s="214"/>
      <c r="G92" s="214"/>
      <c r="H92" s="214"/>
      <c r="I92" s="214"/>
      <c r="J92" s="214"/>
      <c r="K92" s="214"/>
      <c r="L92" s="214"/>
      <c r="M92" s="214"/>
      <c r="N92" s="214"/>
      <c r="O92" s="214"/>
      <c r="P92" s="214"/>
      <c r="Q92" s="214"/>
      <c r="R92" s="214"/>
      <c r="S92" s="214"/>
      <c r="T92" s="214"/>
      <c r="U92" s="214"/>
      <c r="V92" s="214"/>
      <c r="W92" s="214"/>
      <c r="X92" s="178"/>
    </row>
    <row r="93" customFormat="false" ht="15.75" hidden="false" customHeight="true" outlineLevel="0" collapsed="false">
      <c r="B93" s="207" t="s">
        <v>76</v>
      </c>
      <c r="C93" s="207"/>
      <c r="D93" s="217"/>
      <c r="E93" s="217" t="n">
        <v>-744277.333333333</v>
      </c>
      <c r="F93" s="217" t="n">
        <v>-744277.333333333</v>
      </c>
      <c r="G93" s="217" t="n">
        <v>-744277.333333333</v>
      </c>
      <c r="H93" s="217" t="n">
        <v>-744277.333333333</v>
      </c>
      <c r="I93" s="217" t="n">
        <v>-744277.333333333</v>
      </c>
      <c r="J93" s="217" t="n">
        <v>-744277.333333333</v>
      </c>
      <c r="K93" s="217" t="n">
        <v>-744277.333333333</v>
      </c>
      <c r="L93" s="217" t="n">
        <v>-744277.333333333</v>
      </c>
      <c r="M93" s="217" t="n">
        <v>-744277.333333333</v>
      </c>
      <c r="N93" s="217" t="n">
        <v>-744277.333333333</v>
      </c>
      <c r="O93" s="217" t="n">
        <v>-744277.333333333</v>
      </c>
      <c r="P93" s="217" t="n">
        <v>-744277.333333333</v>
      </c>
      <c r="Q93" s="217" t="n">
        <v>-744277.333333333</v>
      </c>
      <c r="R93" s="217" t="n">
        <v>-744277.333333333</v>
      </c>
      <c r="S93" s="217" t="n">
        <v>-744277.333333333</v>
      </c>
      <c r="T93" s="217" t="n">
        <v>0</v>
      </c>
      <c r="U93" s="217" t="n">
        <v>0</v>
      </c>
      <c r="V93" s="217" t="n">
        <v>0</v>
      </c>
      <c r="W93" s="217" t="n">
        <v>0</v>
      </c>
      <c r="X93" s="216"/>
    </row>
    <row r="94" customFormat="false" ht="15.75" hidden="false" customHeight="true" outlineLevel="0" collapsed="false">
      <c r="B94" s="207" t="s">
        <v>77</v>
      </c>
      <c r="C94" s="212"/>
      <c r="D94" s="208" t="n">
        <f aca="false">-D89*(1-D31)</f>
        <v>2791040</v>
      </c>
      <c r="E94" s="212"/>
      <c r="F94" s="212"/>
      <c r="G94" s="212"/>
      <c r="H94" s="212"/>
      <c r="I94" s="212"/>
      <c r="J94" s="212"/>
      <c r="K94" s="212"/>
      <c r="L94" s="212"/>
      <c r="M94" s="212"/>
      <c r="N94" s="212"/>
      <c r="O94" s="212"/>
      <c r="P94" s="212"/>
      <c r="Q94" s="212"/>
      <c r="R94" s="212"/>
      <c r="S94" s="212"/>
      <c r="T94" s="212"/>
      <c r="U94" s="212"/>
      <c r="V94" s="212"/>
      <c r="W94" s="212"/>
      <c r="X94" s="179"/>
    </row>
    <row r="95" customFormat="false" ht="15.75" hidden="false" customHeight="true" outlineLevel="0" collapsed="false">
      <c r="B95" s="207" t="s">
        <v>45</v>
      </c>
      <c r="C95" s="212"/>
      <c r="D95" s="212"/>
      <c r="E95" s="218" t="n">
        <f aca="false">-D85*$D$33</f>
        <v>-563665.41856512</v>
      </c>
      <c r="F95" s="218" t="n">
        <f aca="false">-E85*$D$33</f>
        <v>-362583.740103168</v>
      </c>
      <c r="G95" s="218" t="n">
        <f aca="false">-F85*$D$33</f>
        <v>-370446.781641216</v>
      </c>
      <c r="H95" s="218" t="n">
        <f aca="false">-G85*$D$33</f>
        <v>-378309.823179264</v>
      </c>
      <c r="I95" s="218" t="n">
        <f aca="false">-H85*$D$33</f>
        <v>-386172.864717312</v>
      </c>
      <c r="J95" s="218" t="n">
        <f aca="false">-I85*$D$33</f>
        <v>-394035.90625536</v>
      </c>
      <c r="K95" s="218" t="n">
        <f aca="false">-J85*$D$33</f>
        <v>-401898.947793408</v>
      </c>
      <c r="L95" s="218" t="n">
        <f aca="false">-K85*$D$33</f>
        <v>-409761.989331456</v>
      </c>
      <c r="M95" s="218" t="n">
        <f aca="false">-L85*$D$33</f>
        <v>-417625.030869504</v>
      </c>
      <c r="N95" s="218" t="n">
        <f aca="false">-M85*$D$33</f>
        <v>-425488.072407552</v>
      </c>
      <c r="O95" s="218" t="n">
        <f aca="false">-N85*$D$33</f>
        <v>-464750.3139456</v>
      </c>
      <c r="P95" s="218" t="n">
        <f aca="false">-O85*$D$33</f>
        <v>-472613.355483648</v>
      </c>
      <c r="Q95" s="218" t="n">
        <f aca="false">-P85*$D$33</f>
        <v>-480476.397021696</v>
      </c>
      <c r="R95" s="218" t="n">
        <f aca="false">-Q85*$D$33</f>
        <v>-488339.438559744</v>
      </c>
      <c r="S95" s="218" t="n">
        <f aca="false">-R85*$D$33</f>
        <v>-496202.480097792</v>
      </c>
      <c r="T95" s="218" t="n">
        <f aca="false">-S85*$D$33</f>
        <v>-504065.52163584</v>
      </c>
      <c r="U95" s="218" t="n">
        <f aca="false">-T85*$D$33</f>
        <v>-498212.722764288</v>
      </c>
      <c r="V95" s="218" t="n">
        <f aca="false">-U85*$D$33</f>
        <v>-492359.923892736</v>
      </c>
      <c r="W95" s="218" t="n">
        <f aca="false">-V85*$D$33</f>
        <v>-486507.125021184</v>
      </c>
      <c r="X95" s="218" t="n">
        <f aca="false">-W85*$D$33</f>
        <v>-480654.326149632</v>
      </c>
    </row>
    <row r="96" customFormat="false" ht="15.75" hidden="false" customHeight="true" outlineLevel="0" collapsed="false">
      <c r="B96" s="219" t="s">
        <v>47</v>
      </c>
      <c r="C96" s="220"/>
      <c r="D96" s="220" t="n">
        <v>0</v>
      </c>
      <c r="E96" s="221" t="n">
        <v>0</v>
      </c>
      <c r="F96" s="221" t="n">
        <v>0</v>
      </c>
      <c r="G96" s="221" t="n">
        <v>0</v>
      </c>
      <c r="H96" s="221" t="n">
        <v>0</v>
      </c>
      <c r="I96" s="221" t="n">
        <v>0</v>
      </c>
      <c r="J96" s="221" t="n">
        <v>0</v>
      </c>
      <c r="K96" s="221" t="n">
        <v>0</v>
      </c>
      <c r="L96" s="221" t="n">
        <v>0</v>
      </c>
      <c r="M96" s="221" t="n">
        <v>0</v>
      </c>
      <c r="N96" s="221" t="n">
        <v>0</v>
      </c>
      <c r="O96" s="221" t="n">
        <v>0</v>
      </c>
      <c r="P96" s="221" t="n">
        <v>0</v>
      </c>
      <c r="Q96" s="221" t="n">
        <v>0</v>
      </c>
      <c r="R96" s="221" t="n">
        <v>0</v>
      </c>
      <c r="S96" s="221" t="n">
        <v>0</v>
      </c>
      <c r="T96" s="221" t="n">
        <v>-697760</v>
      </c>
      <c r="U96" s="221" t="n">
        <v>-697760</v>
      </c>
      <c r="V96" s="221" t="n">
        <v>-697760</v>
      </c>
      <c r="W96" s="221" t="n">
        <v>-697760</v>
      </c>
      <c r="X96" s="222" t="n">
        <f aca="false">-W101-X95</f>
        <v>-997130.019937281</v>
      </c>
    </row>
    <row r="97" customFormat="false" ht="15.75" hidden="false" customHeight="true" outlineLevel="0" collapsed="false">
      <c r="B97" s="212"/>
      <c r="C97" s="212"/>
      <c r="D97" s="212"/>
      <c r="E97" s="212"/>
      <c r="F97" s="212"/>
      <c r="G97" s="212"/>
      <c r="H97" s="212"/>
      <c r="I97" s="212"/>
      <c r="J97" s="212"/>
      <c r="K97" s="212"/>
      <c r="L97" s="212"/>
      <c r="M97" s="212"/>
      <c r="N97" s="212"/>
      <c r="O97" s="212"/>
      <c r="P97" s="212"/>
      <c r="Q97" s="212"/>
      <c r="R97" s="212"/>
      <c r="S97" s="212"/>
      <c r="T97" s="212"/>
      <c r="U97" s="212"/>
      <c r="V97" s="212"/>
      <c r="W97" s="212"/>
      <c r="X97" s="179"/>
    </row>
    <row r="98" customFormat="false" ht="15.75" hidden="false" customHeight="true" outlineLevel="0" collapsed="false">
      <c r="B98" s="212"/>
      <c r="C98" s="212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12"/>
      <c r="W98" s="212"/>
      <c r="X98" s="179"/>
    </row>
    <row r="99" customFormat="false" ht="15.75" hidden="false" customHeight="true" outlineLevel="0" collapsed="false">
      <c r="B99" s="207" t="s">
        <v>78</v>
      </c>
      <c r="C99" s="208" t="n">
        <v>0</v>
      </c>
      <c r="D99" s="208" t="n">
        <f aca="false">SUM(D87:D96)</f>
        <v>1324054.9095168</v>
      </c>
      <c r="E99" s="208" t="n">
        <f aca="false">SUM(E87:E96)</f>
        <v>-207311.9295616</v>
      </c>
      <c r="F99" s="208" t="n">
        <f aca="false">SUM(F87:F96)</f>
        <v>2506.4617204055</v>
      </c>
      <c r="G99" s="208" t="n">
        <f aca="false">SUM(G87:G96)</f>
        <v>3380.13300241082</v>
      </c>
      <c r="H99" s="208" t="n">
        <f aca="false">SUM(H87:H96)</f>
        <v>4253.80428441591</v>
      </c>
      <c r="I99" s="208" t="n">
        <f aca="false">SUM(I87:I96)</f>
        <v>5127.47556642146</v>
      </c>
      <c r="J99" s="208" t="n">
        <f aca="false">SUM(J87:J96)</f>
        <v>6001.14684842672</v>
      </c>
      <c r="K99" s="208" t="n">
        <f aca="false">SUM(K87:K96)</f>
        <v>6874.81813043193</v>
      </c>
      <c r="L99" s="208" t="n">
        <f aca="false">SUM(L87:L96)</f>
        <v>7748.48941243737</v>
      </c>
      <c r="M99" s="208" t="n">
        <f aca="false">SUM(M87:M96)</f>
        <v>8622.16069444275</v>
      </c>
      <c r="N99" s="208" t="n">
        <f aca="false">SUM(N87:N96)</f>
        <v>44383.8319764481</v>
      </c>
      <c r="O99" s="208" t="n">
        <f aca="false">SUM(O87:O96)</f>
        <v>13858.3032584532</v>
      </c>
      <c r="P99" s="208" t="n">
        <f aca="false">SUM(P87:P96)</f>
        <v>14731.9745404588</v>
      </c>
      <c r="Q99" s="208" t="n">
        <f aca="false">SUM(Q87:Q96)</f>
        <v>15605.6458224641</v>
      </c>
      <c r="R99" s="208" t="n">
        <f aca="false">SUM(R87:R96)</f>
        <v>16479.3171044694</v>
      </c>
      <c r="S99" s="208" t="n">
        <f aca="false">SUM(S87:S96)</f>
        <v>17352.9883864748</v>
      </c>
      <c r="T99" s="208" t="n">
        <f aca="false">SUM(T87:T96)</f>
        <v>49504.17032448</v>
      </c>
      <c r="U99" s="208" t="n">
        <f aca="false">SUM(U87:U96)</f>
        <v>48853.8593387525</v>
      </c>
      <c r="V99" s="208" t="n">
        <f aca="false">SUM(V87:V96)</f>
        <v>48203.5483530239</v>
      </c>
      <c r="W99" s="208" t="n">
        <f aca="false">SUM(W87:W96)</f>
        <v>47553.2373672964</v>
      </c>
      <c r="X99" s="179"/>
    </row>
    <row r="100" customFormat="false" ht="15.75" hidden="false" customHeight="true" outlineLevel="0" collapsed="false">
      <c r="B100" s="207" t="s">
        <v>79</v>
      </c>
      <c r="C100" s="208" t="n">
        <v>0</v>
      </c>
      <c r="D100" s="208" t="n">
        <f aca="false">C101</f>
        <v>0</v>
      </c>
      <c r="E100" s="208" t="n">
        <f aca="false">D101</f>
        <v>1324054.9095168</v>
      </c>
      <c r="F100" s="208" t="n">
        <f aca="false">E101</f>
        <v>1116742.9799552</v>
      </c>
      <c r="G100" s="208" t="n">
        <f aca="false">F101</f>
        <v>1119249.4416756</v>
      </c>
      <c r="H100" s="208" t="n">
        <f aca="false">G101</f>
        <v>1122629.57467802</v>
      </c>
      <c r="I100" s="208" t="n">
        <f aca="false">H101</f>
        <v>1126883.37896243</v>
      </c>
      <c r="J100" s="208" t="n">
        <f aca="false">I101</f>
        <v>1132010.85452885</v>
      </c>
      <c r="K100" s="208" t="n">
        <f aca="false">J101</f>
        <v>1138012.00137728</v>
      </c>
      <c r="L100" s="208" t="n">
        <f aca="false">K101</f>
        <v>1144886.81950771</v>
      </c>
      <c r="M100" s="208" t="n">
        <f aca="false">L101</f>
        <v>1152635.30892015</v>
      </c>
      <c r="N100" s="208" t="n">
        <f aca="false">M101</f>
        <v>1161257.46961459</v>
      </c>
      <c r="O100" s="208" t="n">
        <f aca="false">N101</f>
        <v>1205641.30159104</v>
      </c>
      <c r="P100" s="208" t="n">
        <f aca="false">O101</f>
        <v>1219499.60484949</v>
      </c>
      <c r="Q100" s="208" t="n">
        <f aca="false">P101</f>
        <v>1234231.57938995</v>
      </c>
      <c r="R100" s="208" t="n">
        <f aca="false">Q101</f>
        <v>1249837.22521242</v>
      </c>
      <c r="S100" s="208" t="n">
        <f aca="false">R101</f>
        <v>1266316.54231689</v>
      </c>
      <c r="T100" s="208" t="n">
        <f aca="false">S101</f>
        <v>1283669.53070336</v>
      </c>
      <c r="U100" s="208" t="n">
        <f aca="false">T101</f>
        <v>1333173.70102784</v>
      </c>
      <c r="V100" s="208" t="n">
        <f aca="false">U101</f>
        <v>1382027.56036659</v>
      </c>
      <c r="W100" s="208" t="n">
        <f aca="false">V101</f>
        <v>1430231.10871962</v>
      </c>
      <c r="X100" s="178"/>
    </row>
    <row r="101" customFormat="false" ht="15.75" hidden="false" customHeight="true" outlineLevel="0" collapsed="false">
      <c r="B101" s="207" t="s">
        <v>80</v>
      </c>
      <c r="C101" s="208" t="n">
        <v>0</v>
      </c>
      <c r="D101" s="208" t="n">
        <f aca="false">D99+D100</f>
        <v>1324054.9095168</v>
      </c>
      <c r="E101" s="208" t="n">
        <f aca="false">E99+E100</f>
        <v>1116742.9799552</v>
      </c>
      <c r="F101" s="208" t="n">
        <f aca="false">F99+F100</f>
        <v>1119249.4416756</v>
      </c>
      <c r="G101" s="208" t="n">
        <f aca="false">G99+G100</f>
        <v>1122629.57467802</v>
      </c>
      <c r="H101" s="208" t="n">
        <f aca="false">H99+H100</f>
        <v>1126883.37896243</v>
      </c>
      <c r="I101" s="208" t="n">
        <f aca="false">I99+I100</f>
        <v>1132010.85452885</v>
      </c>
      <c r="J101" s="208" t="n">
        <f aca="false">J99+J100</f>
        <v>1138012.00137728</v>
      </c>
      <c r="K101" s="208" t="n">
        <f aca="false">K99+K100</f>
        <v>1144886.81950771</v>
      </c>
      <c r="L101" s="208" t="n">
        <f aca="false">L99+L100</f>
        <v>1152635.30892015</v>
      </c>
      <c r="M101" s="208" t="n">
        <f aca="false">M99+M100</f>
        <v>1161257.46961459</v>
      </c>
      <c r="N101" s="208" t="n">
        <f aca="false">N99+N100</f>
        <v>1205641.30159104</v>
      </c>
      <c r="O101" s="208" t="n">
        <f aca="false">O99+O100</f>
        <v>1219499.60484949</v>
      </c>
      <c r="P101" s="208" t="n">
        <f aca="false">P99+P100</f>
        <v>1234231.57938995</v>
      </c>
      <c r="Q101" s="208" t="n">
        <f aca="false">Q99+Q100</f>
        <v>1249837.22521242</v>
      </c>
      <c r="R101" s="208" t="n">
        <f aca="false">R99+R100</f>
        <v>1266316.54231689</v>
      </c>
      <c r="S101" s="208" t="n">
        <f aca="false">S99+S100</f>
        <v>1283669.53070336</v>
      </c>
      <c r="T101" s="208" t="n">
        <f aca="false">T99+T100</f>
        <v>1333173.70102784</v>
      </c>
      <c r="U101" s="208" t="n">
        <f aca="false">U99+U100</f>
        <v>1382027.56036659</v>
      </c>
      <c r="V101" s="208" t="n">
        <f aca="false">V99+V100</f>
        <v>1430231.10871962</v>
      </c>
      <c r="W101" s="208" t="n">
        <f aca="false">W99+W100</f>
        <v>1477784.34608691</v>
      </c>
      <c r="X101" s="178"/>
    </row>
    <row r="102" customFormat="false" ht="15.75" hidden="false" customHeight="true" outlineLevel="0" collapsed="false">
      <c r="B102" s="207"/>
      <c r="C102" s="207"/>
      <c r="D102" s="207"/>
      <c r="E102" s="207"/>
      <c r="F102" s="207"/>
      <c r="G102" s="207"/>
      <c r="H102" s="207"/>
      <c r="I102" s="207"/>
      <c r="J102" s="207"/>
      <c r="K102" s="207"/>
      <c r="L102" s="207"/>
      <c r="M102" s="207"/>
      <c r="N102" s="207"/>
      <c r="O102" s="207"/>
      <c r="P102" s="207"/>
      <c r="Q102" s="207"/>
      <c r="R102" s="207"/>
      <c r="S102" s="207"/>
      <c r="T102" s="207"/>
      <c r="U102" s="207"/>
      <c r="V102" s="207"/>
      <c r="W102" s="207"/>
      <c r="X102" s="207"/>
    </row>
    <row r="103" customFormat="false" ht="15.75" hidden="false" customHeight="true" outlineLevel="0" collapsed="false">
      <c r="B103" s="207"/>
      <c r="C103" s="207"/>
      <c r="D103" s="207"/>
      <c r="E103" s="207"/>
      <c r="F103" s="212"/>
      <c r="G103" s="207"/>
      <c r="H103" s="207"/>
      <c r="I103" s="207"/>
      <c r="J103" s="207"/>
      <c r="K103" s="207"/>
      <c r="L103" s="207"/>
      <c r="M103" s="207"/>
      <c r="N103" s="207"/>
      <c r="O103" s="207"/>
      <c r="P103" s="207"/>
      <c r="Q103" s="207"/>
      <c r="R103" s="207"/>
      <c r="S103" s="207"/>
      <c r="T103" s="207"/>
      <c r="U103" s="207"/>
      <c r="V103" s="207"/>
      <c r="W103" s="207"/>
      <c r="X103" s="207"/>
    </row>
    <row r="104" customFormat="false" ht="15.75" hidden="false" customHeight="true" outlineLevel="0" collapsed="false">
      <c r="B104" s="223" t="s">
        <v>81</v>
      </c>
      <c r="C104" s="224"/>
      <c r="D104" s="225" t="n">
        <f aca="false">-D94</f>
        <v>-2791040</v>
      </c>
      <c r="E104" s="211" t="n">
        <f aca="false">-E95-E96</f>
        <v>563665.41856512</v>
      </c>
      <c r="F104" s="211" t="n">
        <f aca="false">-F95-F96</f>
        <v>362583.740103168</v>
      </c>
      <c r="G104" s="211" t="n">
        <f aca="false">-G95-G96</f>
        <v>370446.781641216</v>
      </c>
      <c r="H104" s="211" t="n">
        <f aca="false">-H95-H96</f>
        <v>378309.823179264</v>
      </c>
      <c r="I104" s="211" t="n">
        <f aca="false">-I95-I96</f>
        <v>386172.864717312</v>
      </c>
      <c r="J104" s="211" t="n">
        <f aca="false">-J95-J96</f>
        <v>394035.90625536</v>
      </c>
      <c r="K104" s="211" t="n">
        <f aca="false">-K95-K96</f>
        <v>401898.947793408</v>
      </c>
      <c r="L104" s="211" t="n">
        <f aca="false">-L95-L96</f>
        <v>409761.989331456</v>
      </c>
      <c r="M104" s="211" t="n">
        <f aca="false">-M95-M96</f>
        <v>417625.030869504</v>
      </c>
      <c r="N104" s="211" t="n">
        <f aca="false">-N95-N96</f>
        <v>425488.072407552</v>
      </c>
      <c r="O104" s="211" t="n">
        <f aca="false">-O95-O96</f>
        <v>464750.3139456</v>
      </c>
      <c r="P104" s="211" t="n">
        <f aca="false">-P95-P96</f>
        <v>472613.355483648</v>
      </c>
      <c r="Q104" s="211" t="n">
        <f aca="false">-Q95-Q96</f>
        <v>480476.397021696</v>
      </c>
      <c r="R104" s="211" t="n">
        <f aca="false">-R95-R96</f>
        <v>488339.438559744</v>
      </c>
      <c r="S104" s="211" t="n">
        <f aca="false">-S95-S96</f>
        <v>496202.480097792</v>
      </c>
      <c r="T104" s="211" t="n">
        <f aca="false">-T95-T96</f>
        <v>1201825.52163584</v>
      </c>
      <c r="U104" s="211" t="n">
        <f aca="false">-U95-U96</f>
        <v>1195972.72276429</v>
      </c>
      <c r="V104" s="211" t="n">
        <f aca="false">-V95-V96</f>
        <v>1190119.92389274</v>
      </c>
      <c r="W104" s="211" t="n">
        <f aca="false">-W95-W96</f>
        <v>1184267.12502118</v>
      </c>
      <c r="X104" s="211" t="n">
        <f aca="false">-X95-X96</f>
        <v>1477784.34608691</v>
      </c>
    </row>
    <row r="105" customFormat="false" ht="15.75" hidden="false" customHeight="true" outlineLevel="0" collapsed="false">
      <c r="B105" s="207" t="s">
        <v>82</v>
      </c>
      <c r="C105" s="226" t="n">
        <f aca="false">IRR(D104:X104)</f>
        <v>0.161192019954282</v>
      </c>
      <c r="D105" s="212"/>
      <c r="E105" s="212"/>
      <c r="F105" s="207"/>
      <c r="G105" s="207"/>
      <c r="H105" s="207"/>
      <c r="I105" s="207"/>
      <c r="J105" s="207"/>
      <c r="K105" s="207"/>
      <c r="L105" s="207"/>
      <c r="M105" s="207"/>
      <c r="N105" s="207"/>
      <c r="O105" s="207"/>
      <c r="P105" s="207"/>
      <c r="Q105" s="207"/>
      <c r="R105" s="207"/>
      <c r="S105" s="207"/>
      <c r="T105" s="207"/>
      <c r="U105" s="207"/>
      <c r="V105" s="207"/>
      <c r="W105" s="207"/>
      <c r="X105" s="207"/>
    </row>
    <row r="106" customFormat="false" ht="15.75" hidden="false" customHeight="true" outlineLevel="0" collapsed="false">
      <c r="B106" s="223" t="s">
        <v>83</v>
      </c>
      <c r="C106" s="224"/>
      <c r="D106" s="225" t="n">
        <f aca="false">D85-D94</f>
        <v>-2164745.0904832</v>
      </c>
      <c r="E106" s="211" t="n">
        <f aca="false">E85</f>
        <v>402870.822336853</v>
      </c>
      <c r="F106" s="211" t="n">
        <f aca="false">F85-F96</f>
        <v>411607.535156907</v>
      </c>
      <c r="G106" s="211" t="n">
        <f aca="false">G85-G96</f>
        <v>420344.24797696</v>
      </c>
      <c r="H106" s="211" t="n">
        <f aca="false">H85-H96</f>
        <v>429080.960797013</v>
      </c>
      <c r="I106" s="211" t="n">
        <f aca="false">I85-I96</f>
        <v>437817.673617066</v>
      </c>
      <c r="J106" s="211" t="n">
        <f aca="false">J85-J96</f>
        <v>446554.38643712</v>
      </c>
      <c r="K106" s="211" t="n">
        <f aca="false">K85-K96</f>
        <v>455291.099257173</v>
      </c>
      <c r="L106" s="211" t="n">
        <f aca="false">L85-L96</f>
        <v>464027.812077226</v>
      </c>
      <c r="M106" s="211" t="n">
        <f aca="false">M85-M96</f>
        <v>472764.52489728</v>
      </c>
      <c r="N106" s="211" t="n">
        <f aca="false">N85-N96</f>
        <v>516389.237717333</v>
      </c>
      <c r="O106" s="211" t="n">
        <f aca="false">O85-O96</f>
        <v>525125.950537386</v>
      </c>
      <c r="P106" s="211" t="n">
        <f aca="false">P85-P96</f>
        <v>533862.66335744</v>
      </c>
      <c r="Q106" s="211" t="n">
        <f aca="false">Q85-Q96</f>
        <v>542599.376177493</v>
      </c>
      <c r="R106" s="211" t="n">
        <f aca="false">R85-R96</f>
        <v>551336.088997546</v>
      </c>
      <c r="S106" s="211" t="n">
        <f aca="false">S85-S96</f>
        <v>560072.8018176</v>
      </c>
      <c r="T106" s="211" t="n">
        <f aca="false">T85-T96</f>
        <v>1251329.69196032</v>
      </c>
      <c r="U106" s="211" t="n">
        <f aca="false">U85-U96</f>
        <v>1244826.58210304</v>
      </c>
      <c r="V106" s="211" t="n">
        <f aca="false">V85-V96</f>
        <v>1238323.47224576</v>
      </c>
      <c r="W106" s="211" t="n">
        <f aca="false">W85-W96</f>
        <v>1231820.36238848</v>
      </c>
      <c r="X106" s="216"/>
    </row>
    <row r="107" customFormat="false" ht="15.75" hidden="false" customHeight="true" outlineLevel="0" collapsed="false">
      <c r="B107" s="223" t="s">
        <v>84</v>
      </c>
      <c r="C107" s="226" t="n">
        <f aca="false">IRR(D106:W106)</f>
        <v>0.209646179858171</v>
      </c>
      <c r="D107" s="212"/>
      <c r="E107" s="212"/>
      <c r="F107" s="207"/>
      <c r="G107" s="207"/>
      <c r="H107" s="207"/>
      <c r="I107" s="207"/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</row>
    <row r="108" customFormat="false" ht="15.75" hidden="false" customHeight="true" outlineLevel="0" collapsed="false">
      <c r="B108" s="207"/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</row>
    <row r="109" customFormat="false" ht="15.75" hidden="false" customHeight="true" outlineLevel="0" collapsed="false">
      <c r="B109" s="207" t="s">
        <v>85</v>
      </c>
      <c r="C109" s="208" t="n">
        <v>0</v>
      </c>
      <c r="D109" s="208" t="n">
        <f aca="false">D92</f>
        <v>11164160</v>
      </c>
      <c r="E109" s="208" t="n">
        <f aca="false">D109+E93</f>
        <v>10419882.6666667</v>
      </c>
      <c r="F109" s="208" t="n">
        <f aca="false">E109+F93</f>
        <v>9675605.33333333</v>
      </c>
      <c r="G109" s="208" t="n">
        <f aca="false">F109+G93</f>
        <v>8931328</v>
      </c>
      <c r="H109" s="208" t="n">
        <f aca="false">G109+H93</f>
        <v>8187050.66666667</v>
      </c>
      <c r="I109" s="208" t="n">
        <f aca="false">H109+I93</f>
        <v>7442773.33333333</v>
      </c>
      <c r="J109" s="208" t="n">
        <f aca="false">I109+J93</f>
        <v>6698496</v>
      </c>
      <c r="K109" s="208" t="n">
        <f aca="false">J109+K93</f>
        <v>5954218.66666667</v>
      </c>
      <c r="L109" s="208" t="n">
        <f aca="false">K109+L93</f>
        <v>5209941.33333334</v>
      </c>
      <c r="M109" s="208" t="n">
        <f aca="false">L109+M93</f>
        <v>4465664</v>
      </c>
      <c r="N109" s="208" t="n">
        <f aca="false">M109+N93</f>
        <v>3721386.66666667</v>
      </c>
      <c r="O109" s="208" t="n">
        <f aca="false">N109+O93</f>
        <v>2977109.33333334</v>
      </c>
      <c r="P109" s="208" t="n">
        <f aca="false">O109+P93</f>
        <v>2232832</v>
      </c>
      <c r="Q109" s="208" t="n">
        <f aca="false">P109+Q93</f>
        <v>1488554.66666667</v>
      </c>
      <c r="R109" s="208" t="n">
        <f aca="false">Q109+R93</f>
        <v>744277.333333335</v>
      </c>
      <c r="S109" s="208" t="n">
        <f aca="false">R109+S93</f>
        <v>0</v>
      </c>
      <c r="T109" s="208" t="n">
        <f aca="false">S109+T93</f>
        <v>0</v>
      </c>
      <c r="U109" s="208" t="n">
        <f aca="false">T109+U93</f>
        <v>0</v>
      </c>
      <c r="V109" s="208" t="n">
        <f aca="false">U109+V93</f>
        <v>0</v>
      </c>
      <c r="W109" s="208" t="n">
        <f aca="false">V109+W93</f>
        <v>0</v>
      </c>
      <c r="X109" s="2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王竣生</dc:creator>
  <dc:description/>
  <dc:language>zh-TW</dc:language>
  <cp:lastModifiedBy>王竣生</cp:lastModifiedBy>
  <dcterms:modified xsi:type="dcterms:W3CDTF">2026-04-14T13:24:22Z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