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  <sheet name="p9" sheetId="11" state="visible" r:id="rId13"/>
    <sheet name="p10" sheetId="12" state="visible" r:id="rId14"/>
    <sheet name="p11" sheetId="13" state="visible" r:id="rId15"/>
    <sheet name="p12" sheetId="14" state="visible" r:id="rId16"/>
    <sheet name="p13" sheetId="15" state="visible" r:id="rId17"/>
    <sheet name="p14" sheetId="16" state="visible" r:id="rId18"/>
    <sheet name="p15" sheetId="17" state="visible" r:id="rId19"/>
    <sheet name="p16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<sst xmlns="http://schemas.openxmlformats.org/spreadsheetml/2006/main" count="1380" uniqueCount="139">
  <si>
    <t xml:space="preserve">電站基本資料(請填寫著色處)</t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</si>
  <si>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</si>
  <si>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</si>
  <si>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</si>
  <si>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</si>
  <si>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</si>
  <si>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</si>
  <si>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</si>
  <si>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</si>
  <si>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</si>
  <si>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起始年度</t>
  </si>
  <si>
    <t xml:space="preserve">結束年度</t>
  </si>
  <si>
    <t xml:space="preserve">填入電站預計掛表的西元年份（例：2025）。結束年度會自動計算</t>
  </si>
  <si>
    <t xml:space="preserve">綜合損益表(請填寫著色處)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</si>
  <si>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</si>
  <si>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</si>
  <si>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</si>
  <si>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</si>
  <si>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</si>
  <si>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</si>
  <si>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t xml:space="preserve">年度AC併網總發電量</t>
  </si>
  <si>
    <t xml:space="preserve">預估年發電量（kWh），通常來自 PVsyst 模擬或估算：裝置容量 × 年日照時數 × 系統效率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</si>
  <si>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</si>
  <si>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</si>
  <si>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</si>
  <si>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</si>
  <si>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</si>
  <si>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</si>
  <si>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支出(請填寫著色處)</t>
  </si>
  <si>
    <t xml:space="preserve">攤提年限</t>
  </si>
  <si>
    <t xml:space="preserve">設備費用(價金)</t>
  </si>
  <si>
    <t xml:space="preserve">每kWp設備成本</t>
  </si>
  <si>
    <t xml:space="preserve">每峰瓩設備成本（元/kWp），包含模組、逆變器、支架等硬體，不含工程施工費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</si>
  <si>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</si>
  <si>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</si>
  <si>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</si>
  <si>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</si>
  <si>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</si>
  <si>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</si>
  <si>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填 1 = 固定年租金（需填方式1參數）；填 2 = 依電費收入抽成（需填方式2參數）</t>
  </si>
  <si>
    <t xml:space="preserve">【方式1參數】每年相同價格</t>
  </si>
  <si>
    <t xml:space="preserve">租金計算方式選「1」時填寫，固定年租金金額（元/年），套用至整個電站壽命期</t>
  </si>
  <si>
    <t xml:space="preserve">【方式2參數】抽成比率</t>
  </si>
  <si>
    <t xml:space="preserve">租金計算方式選「2」時填寫，請填小數（例：10% → 填 0.1）。租金 = 當年電費收入 × 抽成比率</t>
  </si>
  <si>
    <t xml:space="preserve">運維費用</t>
  </si>
  <si>
    <t xml:space="preserve">每kw運維成本</t>
  </si>
  <si>
    <t xml:space="preserve">每峰瓩每年運維費用（元/kWp/年），含清洗、巡檢、維修等。</t>
  </si>
  <si>
    <t xml:space="preserve">保險費用</t>
  </si>
  <si>
    <t xml:space="preserve">占整體設備費用比例</t>
  </si>
  <si>
    <t xml:space="preserve">保險費佔設備總費用比率，填小數（例：0.3% → 填 0.003）。預設 0.003，可依投保條件調整</t>
  </si>
  <si>
    <t xml:space="preserve">模組回收費用</t>
  </si>
  <si>
    <t xml:space="preserve">每kw模組回收成本</t>
  </si>
  <si>
    <t xml:space="preserve">每峰瓩模組廢棄回收費用（元/kWp），於第 1~10 年計提（攤提 10 年）。</t>
  </si>
  <si>
    <t xml:space="preserve">利息費用</t>
  </si>
  <si>
    <t xml:space="preserve">銀行利率</t>
  </si>
  <si>
    <t xml:space="preserve">向銀行貸款的年利率，填小數（例：2.56% → 填 0.0256）。請依銀行核准利率填入</t>
  </si>
  <si>
    <t xml:space="preserve">所得稅</t>
  </si>
  <si>
    <t xml:space="preserve">所得稅率</t>
  </si>
  <si>
    <t xml:space="preserve">公司所得稅率，填小數（例：20% → 填 0.2）。預設 0.2，通常不需更改</t>
  </si>
  <si>
    <t xml:space="preserve">現金流量表(請填寫著色處)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</si>
  <si>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</si>
  <si>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</si>
  <si>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</si>
  <si>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</si>
  <si>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</si>
  <si>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</si>
  <si>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</si>
  <si>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現金股利</t>
  </si>
  <si>
    <t xml:space="preserve">股利比率</t>
  </si>
  <si>
    <t xml:space="preserve">稅後現金流中分配給股東的比例，填小數（例：90% → 填 0.9）</t>
  </si>
  <si>
    <t xml:space="preserve">年底減資</t>
  </si>
  <si>
    <t xml:space="preserve">年底減資返還股東的年數。預設 4 年，代表 倒數 4 年進行減資，加速資金返還</t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</si>
  <si>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</si>
  <si>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</si>
  <si>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</si>
  <si>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</si>
  <si>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</si>
  <si>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</si>
  <si>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</si>
  <si>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</si>
  <si>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</si>
  <si>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</si>
  <si>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</si>
  <si>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</si>
  <si>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</si>
  <si>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</si>
  <si>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</si>
  <si>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</si>
  <si>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</si>
  <si>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情境編號: 1</t>
  </si>
  <si>
    <t xml:space="preserve">初始價金摘要</t>
  </si>
  <si>
    <t xml:space="preserve">價金: 35000</t>
  </si>
  <si>
    <t xml:space="preserve">專案IRR: 2.62</t>
  </si>
  <si>
    <t xml:space="preserve">權益法IRR: 4.45</t>
  </si>
  <si>
    <t xml:space="preserve">利潤率: 30.00%</t>
  </si>
  <si>
    <t xml:space="preserve">初始價金 - 現金模式，每次減少 2000 元</t>
  </si>
  <si>
    <t xml:space="preserve">情境編號: 2</t>
  </si>
  <si>
    <t xml:space="preserve">第1次滾算摘要</t>
  </si>
  <si>
    <t xml:space="preserve">價金: 33000</t>
  </si>
  <si>
    <t xml:space="preserve">專案IRR: 3.16</t>
  </si>
  <si>
    <t xml:space="preserve">權益法IRR: 6.19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</si>
  <si>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</si>
  <si>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</si>
  <si>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</si>
  <si>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</si>
  <si>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</si>
  <si>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</si>
  <si>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</si>
  <si>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</si>
  <si>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</si>
  <si>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</si>
  <si>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</si>
  <si>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</si>
  <si>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</si>
  <si>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</si>
  <si>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</si>
  <si>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</si>
  <si>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</si>
  <si>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</si>
  <si>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</si>
  <si>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</si>
  <si>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</si>
  <si>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</si>
  <si>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</si>
  <si>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</si>
  <si>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21.53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</si>
  <si>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</si>
  <si>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</si>
  <si>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</si>
  <si>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</si>
  <si>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27.57</t>
  </si>
  <si>
    <t xml:space="preserve">情境編號: 9</t>
  </si>
  <si>
    <t xml:space="preserve">情境編號: 10</t>
  </si>
  <si>
    <t xml:space="preserve">情境編號: 11</t>
  </si>
  <si>
    <t xml:space="preserve">情境編號: 12</t>
  </si>
  <si>
    <t xml:space="preserve">情境編號: 13</t>
  </si>
  <si>
    <t xml:space="preserve">情境編號: 14</t>
  </si>
  <si>
    <t xml:space="preserve">情境編號: 15</t>
  </si>
  <si>
    <t xml:space="preserve">情境編號: 16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</si>
</sst>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</numFmts>
  <fonts count="11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5" min="6" style="1" width="8"/>
    <col collapsed="false" customWidth="true" hidden="false" outlineLevel="0" max="27" min="16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7" t="s">
        <v>4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s">
        <v>4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s">
        <v>4</v>
      </c>
      <c r="D4" s="13" t="s">
        <v>4</v>
      </c>
      <c r="E4" s="9" t="s">
        <v>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s">
        <v>11</v>
      </c>
      <c r="D5" s="13" t="n">
        <f aca="false">B5+B3-1</f>
        <v>2039</v>
      </c>
      <c r="E5" s="9" t="s">
        <v>12</v>
      </c>
    </row>
    <row r="6" customFormat="false" ht="20.25" hidden="false" customHeight="true" outlineLevel="0" collapsed="false">
      <c r="A6" s="14"/>
      <c r="B6" s="14"/>
      <c r="C6" s="14"/>
      <c r="D6" s="14"/>
      <c r="E6" s="15"/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f aca="false">B3</f>
        <v>20</v>
      </c>
      <c r="E10" s="9" t="s">
        <v>21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f aca="false">B3</f>
        <v>20</v>
      </c>
      <c r="E16" s="9" t="s">
        <v>32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s">
        <v>4</v>
      </c>
      <c r="E19" s="9" t="s">
        <v>39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f aca="false">B3</f>
        <v>20</v>
      </c>
      <c r="E20" s="9" t="s">
        <v>41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s">
        <v>4</v>
      </c>
      <c r="E21" s="9" t="s">
        <v>43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f aca="false">B3</f>
        <v>20</v>
      </c>
      <c r="E22" s="9" t="s">
        <v>46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f aca="false">B3</f>
        <v>20</v>
      </c>
      <c r="E23" s="9" t="s">
        <v>49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</v>
      </c>
      <c r="E24" s="9" t="s">
        <v>52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s">
        <v>4</v>
      </c>
      <c r="E25" s="9" t="s">
        <v>55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s">
        <v>4</v>
      </c>
      <c r="E26" s="9" t="s">
        <v>58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/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/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/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/>
      <c r="E34" s="9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5" min="3" style="1" width="22"/>
    <col collapsed="false" customWidth="true" hidden="false" outlineLevel="0" max="6" min="6" style="1" width="12"/>
    <col collapsed="false" customWidth="true" hidden="false" outlineLevel="0" max="7" min="7" style="1" width="19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50"/>
  </cols>
  <sheetData>
    <row r="1" customFormat="false" ht="15" hidden="false" customHeight="tru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35</v>
      </c>
      <c r="J1" s="1" t="s">
        <v>80</v>
      </c>
    </row>
    <row r="2" customFormat="false" ht="15" hidden="false" customHeight="true" outlineLevel="0" collapsed="false">
      <c r="A2" s="1" t="n">
        <v>1</v>
      </c>
      <c r="B2" s="1" t="n">
        <v>35000</v>
      </c>
      <c r="C2" s="35" t="n">
        <v>0.0262</v>
      </c>
      <c r="D2" s="35" t="n">
        <v>0.0418</v>
      </c>
      <c r="E2" s="35" t="n">
        <v>0.0445</v>
      </c>
      <c r="F2" s="35" t="n">
        <v>0.3</v>
      </c>
      <c r="G2" s="1" t="n">
        <v>6541500</v>
      </c>
      <c r="H2" s="1" t="n">
        <v>15000</v>
      </c>
      <c r="I2" s="1" t="n">
        <v>2000</v>
      </c>
      <c r="J2" s="1" t="s">
        <v>81</v>
      </c>
    </row>
    <row r="3" customFormat="false" ht="15" hidden="false" customHeight="true" outlineLevel="0" collapsed="false">
      <c r="A3" s="1" t="n">
        <v>2</v>
      </c>
      <c r="B3" s="1" t="n">
        <v>33000</v>
      </c>
      <c r="C3" s="35" t="n">
        <v>0.0316</v>
      </c>
      <c r="D3" s="35" t="n">
        <v>0.0568</v>
      </c>
      <c r="E3" s="35" t="n">
        <v>0.0619</v>
      </c>
      <c r="F3" s="35" t="n">
        <v>0.3</v>
      </c>
      <c r="G3" s="1" t="n">
        <v>6167762.3</v>
      </c>
      <c r="H3" s="1" t="n">
        <v>14143</v>
      </c>
      <c r="I3" s="1" t="n">
        <v>2000</v>
      </c>
      <c r="J3" s="1" t="s">
        <v>82</v>
      </c>
    </row>
    <row r="4" customFormat="false" ht="15" hidden="false" customHeight="true" outlineLevel="0" collapsed="false">
      <c r="A4" s="1" t="n">
        <v>3</v>
      </c>
      <c r="B4" s="1" t="n">
        <v>31000</v>
      </c>
      <c r="C4" s="35" t="n">
        <v>0.0375</v>
      </c>
      <c r="D4" s="35" t="n">
        <v>0.0733</v>
      </c>
      <c r="E4" s="35" t="n">
        <v>0.0821</v>
      </c>
      <c r="F4" s="35" t="n">
        <v>0.3</v>
      </c>
      <c r="G4" s="1" t="n">
        <v>5794024.6</v>
      </c>
      <c r="H4" s="1" t="n">
        <v>13286</v>
      </c>
      <c r="I4" s="1" t="n">
        <v>2000</v>
      </c>
      <c r="J4" s="1" t="s">
        <v>83</v>
      </c>
    </row>
    <row r="5" customFormat="false" ht="15" hidden="false" customHeight="true" outlineLevel="0" collapsed="false">
      <c r="A5" s="1" t="n">
        <v>4</v>
      </c>
      <c r="B5" s="1" t="n">
        <v>29000</v>
      </c>
      <c r="C5" s="35" t="n">
        <v>0.0439</v>
      </c>
      <c r="D5" s="35" t="n">
        <v>0.0917</v>
      </c>
      <c r="E5" s="35" t="n">
        <v>0.1059</v>
      </c>
      <c r="F5" s="35" t="n">
        <v>0.3</v>
      </c>
      <c r="G5" s="1" t="n">
        <v>5420286.9</v>
      </c>
      <c r="H5" s="1" t="n">
        <v>12429</v>
      </c>
      <c r="I5" s="1" t="n">
        <v>2000</v>
      </c>
      <c r="J5" s="1" t="s">
        <v>84</v>
      </c>
    </row>
    <row r="6" customFormat="false" ht="15" hidden="false" customHeight="true" outlineLevel="0" collapsed="false">
      <c r="A6" s="1" t="n">
        <v>5</v>
      </c>
      <c r="B6" s="1" t="n">
        <v>27000</v>
      </c>
      <c r="C6" s="35" t="n">
        <v>0.0511</v>
      </c>
      <c r="D6" s="35" t="n">
        <v>0.1125</v>
      </c>
      <c r="E6" s="35" t="n">
        <v>0.1345</v>
      </c>
      <c r="F6" s="35" t="n">
        <v>0.3</v>
      </c>
      <c r="G6" s="1" t="n">
        <v>5046113.1</v>
      </c>
      <c r="H6" s="1" t="n">
        <v>11571</v>
      </c>
      <c r="I6" s="1" t="n">
        <v>2000</v>
      </c>
      <c r="J6" s="1" t="s">
        <v>85</v>
      </c>
    </row>
    <row r="7" customFormat="false" ht="15" hidden="false" customHeight="true" outlineLevel="0" collapsed="false">
      <c r="A7" s="1" t="n">
        <v>6</v>
      </c>
      <c r="B7" s="1" t="n">
        <v>25000</v>
      </c>
      <c r="C7" s="35" t="n">
        <v>0.0591</v>
      </c>
      <c r="D7" s="35" t="n">
        <v>0.1366</v>
      </c>
      <c r="E7" s="35" t="n">
        <v>0.17</v>
      </c>
      <c r="F7" s="35" t="n">
        <v>0.3</v>
      </c>
      <c r="G7" s="1" t="n">
        <v>4672375.4</v>
      </c>
      <c r="H7" s="1" t="n">
        <v>10714</v>
      </c>
      <c r="I7" s="1" t="n">
        <v>2000</v>
      </c>
      <c r="J7" s="1" t="s">
        <v>86</v>
      </c>
    </row>
    <row r="8" customFormat="false" ht="15" hidden="false" customHeight="true" outlineLevel="0" collapsed="false">
      <c r="A8" s="1" t="n">
        <v>7</v>
      </c>
      <c r="B8" s="1" t="n">
        <v>23000</v>
      </c>
      <c r="C8" s="35" t="n">
        <v>0.0682</v>
      </c>
      <c r="D8" s="35" t="n">
        <v>0.1648</v>
      </c>
      <c r="E8" s="35" t="n">
        <v>0.2153</v>
      </c>
      <c r="F8" s="35" t="n">
        <v>0.3</v>
      </c>
      <c r="G8" s="1" t="n">
        <v>4298637.7</v>
      </c>
      <c r="H8" s="1" t="n">
        <v>9857</v>
      </c>
      <c r="I8" s="1" t="n">
        <v>2000</v>
      </c>
      <c r="J8" s="1" t="s">
        <v>87</v>
      </c>
    </row>
    <row r="9" customFormat="false" ht="15" hidden="false" customHeight="true" outlineLevel="0" collapsed="false">
      <c r="A9" s="1" t="n">
        <v>8</v>
      </c>
      <c r="B9" s="1" t="n">
        <v>21000</v>
      </c>
      <c r="C9" s="35" t="n">
        <v>0.0785</v>
      </c>
      <c r="D9" s="35" t="n">
        <v>0.1985</v>
      </c>
      <c r="E9" s="35" t="n">
        <v>0.2757</v>
      </c>
      <c r="F9" s="35" t="n">
        <v>0.3</v>
      </c>
      <c r="G9" s="1" t="n">
        <v>3924900</v>
      </c>
      <c r="H9" s="1" t="n">
        <v>9000</v>
      </c>
      <c r="I9" s="1" t="n">
        <v>2000</v>
      </c>
      <c r="J9" s="1" t="s">
        <v>88</v>
      </c>
    </row>
    <row r="10" customFormat="false" ht="15" hidden="false" customHeight="false" outlineLevel="0" collapsed="false">
      <c r="A10" s="1" t="n">
        <v>9</v>
      </c>
      <c r="B10" s="1" t="n">
        <v>35000</v>
      </c>
      <c r="C10" s="36" t="n">
        <v>0.0262</v>
      </c>
      <c r="D10" s="36" t="n">
        <v>0.0418</v>
      </c>
      <c r="E10" s="36" t="n">
        <v>0.0445</v>
      </c>
      <c r="F10" s="36" t="n">
        <v>0.3</v>
      </c>
      <c r="G10" s="1" t="n">
        <v>6541500</v>
      </c>
      <c r="H10" s="1" t="n">
        <v>15000</v>
      </c>
      <c r="I10" s="1" t="n">
        <v>2000</v>
      </c>
      <c r="J10" s="1" t="s">
        <v>81</v>
      </c>
    </row>
    <row r="11" customFormat="false" ht="15" hidden="false" customHeight="false" outlineLevel="0" collapsed="false">
      <c r="A11" s="1" t="n">
        <v>10</v>
      </c>
      <c r="B11" s="1" t="n">
        <v>33000</v>
      </c>
      <c r="C11" s="36" t="n">
        <v>0.0316</v>
      </c>
      <c r="D11" s="36" t="n">
        <v>0.0568</v>
      </c>
      <c r="E11" s="36" t="n">
        <v>0.0619</v>
      </c>
      <c r="F11" s="36" t="n">
        <v>0.3</v>
      </c>
      <c r="G11" s="1" t="n">
        <v>6167762.3</v>
      </c>
      <c r="H11" s="1" t="n">
        <v>14143</v>
      </c>
      <c r="I11" s="1" t="n">
        <v>2000</v>
      </c>
      <c r="J11" s="1" t="s">
        <v>82</v>
      </c>
    </row>
    <row r="12" customFormat="false" ht="15" hidden="false" customHeight="false" outlineLevel="0" collapsed="false">
      <c r="A12" s="1" t="n">
        <v>11</v>
      </c>
      <c r="B12" s="1" t="n">
        <v>31000</v>
      </c>
      <c r="C12" s="36" t="n">
        <v>0.0375</v>
      </c>
      <c r="D12" s="36" t="n">
        <v>0.0733</v>
      </c>
      <c r="E12" s="36" t="n">
        <v>0.0821</v>
      </c>
      <c r="F12" s="36" t="n">
        <v>0.3</v>
      </c>
      <c r="G12" s="1" t="n">
        <v>5794024.6</v>
      </c>
      <c r="H12" s="1" t="n">
        <v>13286</v>
      </c>
      <c r="I12" s="1" t="n">
        <v>2000</v>
      </c>
      <c r="J12" s="1" t="s">
        <v>83</v>
      </c>
    </row>
    <row r="13" customFormat="false" ht="15" hidden="false" customHeight="false" outlineLevel="0" collapsed="false">
      <c r="A13" s="1" t="n">
        <v>12</v>
      </c>
      <c r="B13" s="1" t="n">
        <v>29000</v>
      </c>
      <c r="C13" s="36" t="n">
        <v>0.0439</v>
      </c>
      <c r="D13" s="36" t="n">
        <v>0.0917</v>
      </c>
      <c r="E13" s="36" t="n">
        <v>0.1059</v>
      </c>
      <c r="F13" s="36" t="n">
        <v>0.3</v>
      </c>
      <c r="G13" s="1" t="n">
        <v>5420286.9</v>
      </c>
      <c r="H13" s="1" t="n">
        <v>12429</v>
      </c>
      <c r="I13" s="1" t="n">
        <v>2000</v>
      </c>
      <c r="J13" s="1" t="s">
        <v>84</v>
      </c>
    </row>
    <row r="14" customFormat="false" ht="15" hidden="false" customHeight="false" outlineLevel="0" collapsed="false">
      <c r="A14" s="1" t="n">
        <v>13</v>
      </c>
      <c r="B14" s="1" t="n">
        <v>27000</v>
      </c>
      <c r="C14" s="36" t="n">
        <v>0.0511</v>
      </c>
      <c r="D14" s="36" t="n">
        <v>0.1125</v>
      </c>
      <c r="E14" s="36" t="n">
        <v>0.1345</v>
      </c>
      <c r="F14" s="36" t="n">
        <v>0.3</v>
      </c>
      <c r="G14" s="1" t="n">
        <v>5046113.1</v>
      </c>
      <c r="H14" s="1" t="n">
        <v>11571</v>
      </c>
      <c r="I14" s="1" t="n">
        <v>2000</v>
      </c>
      <c r="J14" s="1" t="s">
        <v>85</v>
      </c>
    </row>
    <row r="15" customFormat="false" ht="15" hidden="false" customHeight="false" outlineLevel="0" collapsed="false">
      <c r="A15" s="1" t="n">
        <v>14</v>
      </c>
      <c r="B15" s="1" t="n">
        <v>25000</v>
      </c>
      <c r="C15" s="36" t="n">
        <v>0.0591</v>
      </c>
      <c r="D15" s="36" t="n">
        <v>0.1366</v>
      </c>
      <c r="E15" s="36" t="n">
        <v>0.17</v>
      </c>
      <c r="F15" s="36" t="n">
        <v>0.3</v>
      </c>
      <c r="G15" s="1" t="n">
        <v>4672375.4</v>
      </c>
      <c r="H15" s="1" t="n">
        <v>10714</v>
      </c>
      <c r="I15" s="1" t="n">
        <v>2000</v>
      </c>
      <c r="J15" s="1" t="s">
        <v>86</v>
      </c>
    </row>
    <row r="16" customFormat="false" ht="15" hidden="false" customHeight="false" outlineLevel="0" collapsed="false">
      <c r="A16" s="1" t="n">
        <v>15</v>
      </c>
      <c r="B16" s="1" t="n">
        <v>23000</v>
      </c>
      <c r="C16" s="36" t="n">
        <v>0.0682</v>
      </c>
      <c r="D16" s="36" t="n">
        <v>0.1648</v>
      </c>
      <c r="E16" s="36" t="n">
        <v>0.2153</v>
      </c>
      <c r="F16" s="36" t="n">
        <v>0.3</v>
      </c>
      <c r="G16" s="1" t="n">
        <v>4298637.7</v>
      </c>
      <c r="H16" s="1" t="n">
        <v>9857</v>
      </c>
      <c r="I16" s="1" t="n">
        <v>2000</v>
      </c>
      <c r="J16" s="1" t="s">
        <v>87</v>
      </c>
    </row>
    <row r="17" customFormat="false" ht="15" hidden="false" customHeight="false" outlineLevel="0" collapsed="false">
      <c r="A17" s="1" t="n">
        <v>16</v>
      </c>
      <c r="B17" s="1" t="n">
        <v>21000</v>
      </c>
      <c r="C17" s="36" t="n">
        <v>0.0785</v>
      </c>
      <c r="D17" s="36" t="n">
        <v>0.1985</v>
      </c>
      <c r="E17" s="36" t="n">
        <v>0.2757</v>
      </c>
      <c r="F17" s="36" t="n">
        <v>0.3</v>
      </c>
      <c r="G17" s="1" t="n">
        <v>3924900</v>
      </c>
      <c r="H17" s="1" t="n">
        <v>9000</v>
      </c>
      <c r="I17" s="1" t="n">
        <v>2000</v>
      </c>
      <c r="J17" s="1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39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89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90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91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92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93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95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-45790.5</v>
      </c>
      <c r="E49" s="1" t="n">
        <v>-45790.5</v>
      </c>
      <c r="F49" s="1" t="n">
        <v>-45790.5</v>
      </c>
      <c r="G49" s="1" t="n">
        <v>-45790.5</v>
      </c>
      <c r="H49" s="1" t="n">
        <v>-45790.5</v>
      </c>
      <c r="I49" s="1" t="n">
        <v>-45790.5</v>
      </c>
      <c r="J49" s="1" t="n">
        <v>-45790.5</v>
      </c>
      <c r="K49" s="1" t="n">
        <v>-45790.5</v>
      </c>
      <c r="L49" s="1" t="n">
        <v>-45790.5</v>
      </c>
      <c r="M49" s="1" t="n">
        <v>-45790.5</v>
      </c>
      <c r="N49" s="1" t="n">
        <v>-45790.5</v>
      </c>
      <c r="O49" s="1" t="n">
        <v>-45790.5</v>
      </c>
      <c r="P49" s="1" t="n">
        <v>-45790.5</v>
      </c>
      <c r="Q49" s="1" t="n">
        <v>-45790.5</v>
      </c>
      <c r="R49" s="1" t="n">
        <v>-45790.5</v>
      </c>
      <c r="S49" s="1" t="n">
        <v>-45790.5</v>
      </c>
      <c r="T49" s="1" t="n">
        <v>-45790.5</v>
      </c>
      <c r="U49" s="1" t="n">
        <v>-45790.5</v>
      </c>
      <c r="V49" s="1" t="n">
        <v>-45790.5</v>
      </c>
      <c r="W49" s="1" t="n">
        <v>-45790.5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-1209450.66666667</v>
      </c>
      <c r="F93" s="1" t="n">
        <v>-1209450.66666667</v>
      </c>
      <c r="G93" s="1" t="n">
        <v>-1209450.66666667</v>
      </c>
      <c r="H93" s="1" t="n">
        <v>-1209450.66666667</v>
      </c>
      <c r="I93" s="1" t="n">
        <v>-1209450.66666667</v>
      </c>
      <c r="J93" s="1" t="n">
        <v>-1209450.66666667</v>
      </c>
      <c r="K93" s="1" t="n">
        <v>-1209450.66666667</v>
      </c>
      <c r="L93" s="1" t="n">
        <v>-1209450.66666667</v>
      </c>
      <c r="M93" s="1" t="n">
        <v>-1209450.66666667</v>
      </c>
      <c r="N93" s="1" t="n">
        <v>-1209450.66666667</v>
      </c>
      <c r="O93" s="1" t="n">
        <v>-1209450.66666667</v>
      </c>
      <c r="P93" s="1" t="n">
        <v>-1209450.66666667</v>
      </c>
      <c r="Q93" s="1" t="n">
        <v>-1209450.66666667</v>
      </c>
      <c r="R93" s="1" t="n">
        <v>-1209450.66666667</v>
      </c>
      <c r="S93" s="1" t="n">
        <v>-1209450.66666667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-1133860</v>
      </c>
      <c r="U96" s="1" t="n">
        <v>-1133860</v>
      </c>
      <c r="V96" s="1" t="n">
        <v>-1133860</v>
      </c>
      <c r="W96" s="1" t="n">
        <v>-1133860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96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99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100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82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-43173.9</v>
      </c>
      <c r="E49" s="1" t="n">
        <v>-43173.9</v>
      </c>
      <c r="F49" s="1" t="n">
        <v>-43173.9</v>
      </c>
      <c r="G49" s="1" t="n">
        <v>-43173.9</v>
      </c>
      <c r="H49" s="1" t="n">
        <v>-43173.9</v>
      </c>
      <c r="I49" s="1" t="n">
        <v>-43173.9</v>
      </c>
      <c r="J49" s="1" t="n">
        <v>-43173.9</v>
      </c>
      <c r="K49" s="1" t="n">
        <v>-43173.9</v>
      </c>
      <c r="L49" s="1" t="n">
        <v>-43173.9</v>
      </c>
      <c r="M49" s="1" t="n">
        <v>-43173.9</v>
      </c>
      <c r="N49" s="1" t="n">
        <v>-43173.9</v>
      </c>
      <c r="O49" s="1" t="n">
        <v>-43173.9</v>
      </c>
      <c r="P49" s="1" t="n">
        <v>-43173.9</v>
      </c>
      <c r="Q49" s="1" t="n">
        <v>-43173.9</v>
      </c>
      <c r="R49" s="1" t="n">
        <v>-43173.9</v>
      </c>
      <c r="S49" s="1" t="n">
        <v>-43173.9</v>
      </c>
      <c r="T49" s="1" t="n">
        <v>-43173.9</v>
      </c>
      <c r="U49" s="1" t="n">
        <v>-43173.9</v>
      </c>
      <c r="V49" s="1" t="n">
        <v>-43173.9</v>
      </c>
      <c r="W49" s="1" t="n">
        <v>-43173.9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-1142997.33333333</v>
      </c>
      <c r="F93" s="1" t="n">
        <v>-1142997.33333333</v>
      </c>
      <c r="G93" s="1" t="n">
        <v>-1142997.33333333</v>
      </c>
      <c r="H93" s="1" t="n">
        <v>-1142997.33333333</v>
      </c>
      <c r="I93" s="1" t="n">
        <v>-1142997.33333333</v>
      </c>
      <c r="J93" s="1" t="n">
        <v>-1142997.33333333</v>
      </c>
      <c r="K93" s="1" t="n">
        <v>-1142997.33333333</v>
      </c>
      <c r="L93" s="1" t="n">
        <v>-1142997.33333333</v>
      </c>
      <c r="M93" s="1" t="n">
        <v>-1142997.33333333</v>
      </c>
      <c r="N93" s="1" t="n">
        <v>-1142997.33333333</v>
      </c>
      <c r="O93" s="1" t="n">
        <v>-1142997.33333333</v>
      </c>
      <c r="P93" s="1" t="n">
        <v>-1142997.33333333</v>
      </c>
      <c r="Q93" s="1" t="n">
        <v>-1142997.33333333</v>
      </c>
      <c r="R93" s="1" t="n">
        <v>-1142997.33333333</v>
      </c>
      <c r="S93" s="1" t="n">
        <v>-1142997.33333333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-1071560</v>
      </c>
      <c r="U96" s="1" t="n">
        <v>-1071560</v>
      </c>
      <c r="V96" s="1" t="n">
        <v>-1071560</v>
      </c>
      <c r="W96" s="1" t="n">
        <v>-1071560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0"/>
    <col collapsed="false" customWidth="true" hidden="false" outlineLevel="0" max="13" min="13" style="1" width="50"/>
    <col collapsed="false" customWidth="true" hidden="false" outlineLevel="0" max="27" min="14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101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104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105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83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-40557.3</v>
      </c>
      <c r="E49" s="1" t="n">
        <v>-40557.3</v>
      </c>
      <c r="F49" s="1" t="n">
        <v>-40557.3</v>
      </c>
      <c r="G49" s="1" t="n">
        <v>-40557.3</v>
      </c>
      <c r="H49" s="1" t="n">
        <v>-40557.3</v>
      </c>
      <c r="I49" s="1" t="n">
        <v>-40557.3</v>
      </c>
      <c r="J49" s="1" t="n">
        <v>-40557.3</v>
      </c>
      <c r="K49" s="1" t="n">
        <v>-40557.3</v>
      </c>
      <c r="L49" s="1" t="n">
        <v>-40557.3</v>
      </c>
      <c r="M49" s="1" t="n">
        <v>-40557.3</v>
      </c>
      <c r="N49" s="1" t="n">
        <v>-40557.3</v>
      </c>
      <c r="O49" s="1" t="n">
        <v>-40557.3</v>
      </c>
      <c r="P49" s="1" t="n">
        <v>-40557.3</v>
      </c>
      <c r="Q49" s="1" t="n">
        <v>-40557.3</v>
      </c>
      <c r="R49" s="1" t="n">
        <v>-40557.3</v>
      </c>
      <c r="S49" s="1" t="n">
        <v>-40557.3</v>
      </c>
      <c r="T49" s="1" t="n">
        <v>-40557.3</v>
      </c>
      <c r="U49" s="1" t="n">
        <v>-40557.3</v>
      </c>
      <c r="V49" s="1" t="n">
        <v>-40557.3</v>
      </c>
      <c r="W49" s="1" t="n">
        <v>-40557.3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-1076544</v>
      </c>
      <c r="F93" s="1" t="n">
        <v>-1076544</v>
      </c>
      <c r="G93" s="1" t="n">
        <v>-1076544</v>
      </c>
      <c r="H93" s="1" t="n">
        <v>-1076544</v>
      </c>
      <c r="I93" s="1" t="n">
        <v>-1076544</v>
      </c>
      <c r="J93" s="1" t="n">
        <v>-1076544</v>
      </c>
      <c r="K93" s="1" t="n">
        <v>-1076544</v>
      </c>
      <c r="L93" s="1" t="n">
        <v>-1076544</v>
      </c>
      <c r="M93" s="1" t="n">
        <v>-1076544</v>
      </c>
      <c r="N93" s="1" t="n">
        <v>-1076544</v>
      </c>
      <c r="O93" s="1" t="n">
        <v>-1076544</v>
      </c>
      <c r="P93" s="1" t="n">
        <v>-1076544</v>
      </c>
      <c r="Q93" s="1" t="n">
        <v>-1076544</v>
      </c>
      <c r="R93" s="1" t="n">
        <v>-1076544</v>
      </c>
      <c r="S93" s="1" t="n">
        <v>-1076544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-1009260</v>
      </c>
      <c r="U96" s="1" t="n">
        <v>-1009260</v>
      </c>
      <c r="V96" s="1" t="n">
        <v>-1009260</v>
      </c>
      <c r="W96" s="1" t="n">
        <v>-1009260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106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109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110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84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29000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-37940.7</v>
      </c>
      <c r="E49" s="1" t="n">
        <v>-37940.7</v>
      </c>
      <c r="F49" s="1" t="n">
        <v>-37940.7</v>
      </c>
      <c r="G49" s="1" t="n">
        <v>-37940.7</v>
      </c>
      <c r="H49" s="1" t="n">
        <v>-37940.7</v>
      </c>
      <c r="I49" s="1" t="n">
        <v>-37940.7</v>
      </c>
      <c r="J49" s="1" t="n">
        <v>-37940.7</v>
      </c>
      <c r="K49" s="1" t="n">
        <v>-37940.7</v>
      </c>
      <c r="L49" s="1" t="n">
        <v>-37940.7</v>
      </c>
      <c r="M49" s="1" t="n">
        <v>-37940.7</v>
      </c>
      <c r="N49" s="1" t="n">
        <v>-37940.7</v>
      </c>
      <c r="O49" s="1" t="n">
        <v>-37940.7</v>
      </c>
      <c r="P49" s="1" t="n">
        <v>-37940.7</v>
      </c>
      <c r="Q49" s="1" t="n">
        <v>-37940.7</v>
      </c>
      <c r="R49" s="1" t="n">
        <v>-37940.7</v>
      </c>
      <c r="S49" s="1" t="n">
        <v>-37940.7</v>
      </c>
      <c r="T49" s="1" t="n">
        <v>-37940.7</v>
      </c>
      <c r="U49" s="1" t="n">
        <v>-37940.7</v>
      </c>
      <c r="V49" s="1" t="n">
        <v>-37940.7</v>
      </c>
      <c r="W49" s="1" t="n">
        <v>-37940.7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-1010090.66666667</v>
      </c>
      <c r="F93" s="1" t="n">
        <v>-1010090.66666667</v>
      </c>
      <c r="G93" s="1" t="n">
        <v>-1010090.66666667</v>
      </c>
      <c r="H93" s="1" t="n">
        <v>-1010090.66666667</v>
      </c>
      <c r="I93" s="1" t="n">
        <v>-1010090.66666667</v>
      </c>
      <c r="J93" s="1" t="n">
        <v>-1010090.66666667</v>
      </c>
      <c r="K93" s="1" t="n">
        <v>-1010090.66666667</v>
      </c>
      <c r="L93" s="1" t="n">
        <v>-1010090.66666667</v>
      </c>
      <c r="M93" s="1" t="n">
        <v>-1010090.66666667</v>
      </c>
      <c r="N93" s="1" t="n">
        <v>-1010090.66666667</v>
      </c>
      <c r="O93" s="1" t="n">
        <v>-1010090.66666667</v>
      </c>
      <c r="P93" s="1" t="n">
        <v>-1010090.66666667</v>
      </c>
      <c r="Q93" s="1" t="n">
        <v>-1010090.66666667</v>
      </c>
      <c r="R93" s="1" t="n">
        <v>-1010090.66666667</v>
      </c>
      <c r="S93" s="1" t="n">
        <v>-1010090.66666667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-946960</v>
      </c>
      <c r="U96" s="1" t="n">
        <v>-946960</v>
      </c>
      <c r="V96" s="1" t="n">
        <v>-946960</v>
      </c>
      <c r="W96" s="1" t="n">
        <v>-946960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111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114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115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27000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-35324.1</v>
      </c>
      <c r="E49" s="1" t="n">
        <v>-35324.1</v>
      </c>
      <c r="F49" s="1" t="n">
        <v>-35324.1</v>
      </c>
      <c r="G49" s="1" t="n">
        <v>-35324.1</v>
      </c>
      <c r="H49" s="1" t="n">
        <v>-35324.1</v>
      </c>
      <c r="I49" s="1" t="n">
        <v>-35324.1</v>
      </c>
      <c r="J49" s="1" t="n">
        <v>-35324.1</v>
      </c>
      <c r="K49" s="1" t="n">
        <v>-35324.1</v>
      </c>
      <c r="L49" s="1" t="n">
        <v>-35324.1</v>
      </c>
      <c r="M49" s="1" t="n">
        <v>-35324.1</v>
      </c>
      <c r="N49" s="1" t="n">
        <v>-35324.1</v>
      </c>
      <c r="O49" s="1" t="n">
        <v>-35324.1</v>
      </c>
      <c r="P49" s="1" t="n">
        <v>-35324.1</v>
      </c>
      <c r="Q49" s="1" t="n">
        <v>-35324.1</v>
      </c>
      <c r="R49" s="1" t="n">
        <v>-35324.1</v>
      </c>
      <c r="S49" s="1" t="n">
        <v>-35324.1</v>
      </c>
      <c r="T49" s="1" t="n">
        <v>-35324.1</v>
      </c>
      <c r="U49" s="1" t="n">
        <v>-35324.1</v>
      </c>
      <c r="V49" s="1" t="n">
        <v>-35324.1</v>
      </c>
      <c r="W49" s="1" t="n">
        <v>-35324.1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-943637.333333333</v>
      </c>
      <c r="F93" s="1" t="n">
        <v>-943637.333333333</v>
      </c>
      <c r="G93" s="1" t="n">
        <v>-943637.333333333</v>
      </c>
      <c r="H93" s="1" t="n">
        <v>-943637.333333333</v>
      </c>
      <c r="I93" s="1" t="n">
        <v>-943637.333333333</v>
      </c>
      <c r="J93" s="1" t="n">
        <v>-943637.333333333</v>
      </c>
      <c r="K93" s="1" t="n">
        <v>-943637.333333333</v>
      </c>
      <c r="L93" s="1" t="n">
        <v>-943637.333333333</v>
      </c>
      <c r="M93" s="1" t="n">
        <v>-943637.333333333</v>
      </c>
      <c r="N93" s="1" t="n">
        <v>-943637.333333333</v>
      </c>
      <c r="O93" s="1" t="n">
        <v>-943637.333333333</v>
      </c>
      <c r="P93" s="1" t="n">
        <v>-943637.333333333</v>
      </c>
      <c r="Q93" s="1" t="n">
        <v>-943637.333333333</v>
      </c>
      <c r="R93" s="1" t="n">
        <v>-943637.333333333</v>
      </c>
      <c r="S93" s="1" t="n">
        <v>-943637.333333333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-884660</v>
      </c>
      <c r="U96" s="1" t="n">
        <v>-884660</v>
      </c>
      <c r="V96" s="1" t="n">
        <v>-884660</v>
      </c>
      <c r="W96" s="1" t="n">
        <v>-884660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0"/>
    <col collapsed="false" customWidth="true" hidden="false" outlineLevel="0" max="13" min="13" style="1" width="50"/>
    <col collapsed="false" customWidth="true" hidden="false" outlineLevel="0" max="27" min="14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116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119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120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86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-32707.5</v>
      </c>
      <c r="E49" s="1" t="n">
        <v>-32707.5</v>
      </c>
      <c r="F49" s="1" t="n">
        <v>-32707.5</v>
      </c>
      <c r="G49" s="1" t="n">
        <v>-32707.5</v>
      </c>
      <c r="H49" s="1" t="n">
        <v>-32707.5</v>
      </c>
      <c r="I49" s="1" t="n">
        <v>-32707.5</v>
      </c>
      <c r="J49" s="1" t="n">
        <v>-32707.5</v>
      </c>
      <c r="K49" s="1" t="n">
        <v>-32707.5</v>
      </c>
      <c r="L49" s="1" t="n">
        <v>-32707.5</v>
      </c>
      <c r="M49" s="1" t="n">
        <v>-32707.5</v>
      </c>
      <c r="N49" s="1" t="n">
        <v>-32707.5</v>
      </c>
      <c r="O49" s="1" t="n">
        <v>-32707.5</v>
      </c>
      <c r="P49" s="1" t="n">
        <v>-32707.5</v>
      </c>
      <c r="Q49" s="1" t="n">
        <v>-32707.5</v>
      </c>
      <c r="R49" s="1" t="n">
        <v>-32707.5</v>
      </c>
      <c r="S49" s="1" t="n">
        <v>-32707.5</v>
      </c>
      <c r="T49" s="1" t="n">
        <v>-32707.5</v>
      </c>
      <c r="U49" s="1" t="n">
        <v>-32707.5</v>
      </c>
      <c r="V49" s="1" t="n">
        <v>-32707.5</v>
      </c>
      <c r="W49" s="1" t="n">
        <v>-32707.5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-877184</v>
      </c>
      <c r="F93" s="1" t="n">
        <v>-877184</v>
      </c>
      <c r="G93" s="1" t="n">
        <v>-877184</v>
      </c>
      <c r="H93" s="1" t="n">
        <v>-877184</v>
      </c>
      <c r="I93" s="1" t="n">
        <v>-877184</v>
      </c>
      <c r="J93" s="1" t="n">
        <v>-877184</v>
      </c>
      <c r="K93" s="1" t="n">
        <v>-877184</v>
      </c>
      <c r="L93" s="1" t="n">
        <v>-877184</v>
      </c>
      <c r="M93" s="1" t="n">
        <v>-877184</v>
      </c>
      <c r="N93" s="1" t="n">
        <v>-877184</v>
      </c>
      <c r="O93" s="1" t="n">
        <v>-877184</v>
      </c>
      <c r="P93" s="1" t="n">
        <v>-877184</v>
      </c>
      <c r="Q93" s="1" t="n">
        <v>-877184</v>
      </c>
      <c r="R93" s="1" t="n">
        <v>-877184</v>
      </c>
      <c r="S93" s="1" t="n">
        <v>-877184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-822360</v>
      </c>
      <c r="U96" s="1" t="n">
        <v>-822360</v>
      </c>
      <c r="V96" s="1" t="n">
        <v>-822360</v>
      </c>
      <c r="W96" s="1" t="n">
        <v>-822360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121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124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125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87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-30090.9</v>
      </c>
      <c r="E49" s="1" t="n">
        <v>-30090.9</v>
      </c>
      <c r="F49" s="1" t="n">
        <v>-30090.9</v>
      </c>
      <c r="G49" s="1" t="n">
        <v>-30090.9</v>
      </c>
      <c r="H49" s="1" t="n">
        <v>-30090.9</v>
      </c>
      <c r="I49" s="1" t="n">
        <v>-30090.9</v>
      </c>
      <c r="J49" s="1" t="n">
        <v>-30090.9</v>
      </c>
      <c r="K49" s="1" t="n">
        <v>-30090.9</v>
      </c>
      <c r="L49" s="1" t="n">
        <v>-30090.9</v>
      </c>
      <c r="M49" s="1" t="n">
        <v>-30090.9</v>
      </c>
      <c r="N49" s="1" t="n">
        <v>-30090.9</v>
      </c>
      <c r="O49" s="1" t="n">
        <v>-30090.9</v>
      </c>
      <c r="P49" s="1" t="n">
        <v>-30090.9</v>
      </c>
      <c r="Q49" s="1" t="n">
        <v>-30090.9</v>
      </c>
      <c r="R49" s="1" t="n">
        <v>-30090.9</v>
      </c>
      <c r="S49" s="1" t="n">
        <v>-30090.9</v>
      </c>
      <c r="T49" s="1" t="n">
        <v>-30090.9</v>
      </c>
      <c r="U49" s="1" t="n">
        <v>-30090.9</v>
      </c>
      <c r="V49" s="1" t="n">
        <v>-30090.9</v>
      </c>
      <c r="W49" s="1" t="n">
        <v>-30090.9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-810730.666666667</v>
      </c>
      <c r="F93" s="1" t="n">
        <v>-810730.666666667</v>
      </c>
      <c r="G93" s="1" t="n">
        <v>-810730.666666667</v>
      </c>
      <c r="H93" s="1" t="n">
        <v>-810730.666666667</v>
      </c>
      <c r="I93" s="1" t="n">
        <v>-810730.666666667</v>
      </c>
      <c r="J93" s="1" t="n">
        <v>-810730.666666667</v>
      </c>
      <c r="K93" s="1" t="n">
        <v>-810730.666666667</v>
      </c>
      <c r="L93" s="1" t="n">
        <v>-810730.666666667</v>
      </c>
      <c r="M93" s="1" t="n">
        <v>-810730.666666667</v>
      </c>
      <c r="N93" s="1" t="n">
        <v>-810730.666666667</v>
      </c>
      <c r="O93" s="1" t="n">
        <v>-810730.666666667</v>
      </c>
      <c r="P93" s="1" t="n">
        <v>-810730.666666667</v>
      </c>
      <c r="Q93" s="1" t="n">
        <v>-810730.666666667</v>
      </c>
      <c r="R93" s="1" t="n">
        <v>-810730.666666667</v>
      </c>
      <c r="S93" s="1" t="n">
        <v>-810730.666666667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-760060</v>
      </c>
      <c r="U96" s="1" t="n">
        <v>-760060</v>
      </c>
      <c r="V96" s="1" t="n">
        <v>-760060</v>
      </c>
      <c r="W96" s="1" t="n">
        <v>-760060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126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129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130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88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-27474.3</v>
      </c>
      <c r="E49" s="1" t="n">
        <v>-27474.3</v>
      </c>
      <c r="F49" s="1" t="n">
        <v>-27474.3</v>
      </c>
      <c r="G49" s="1" t="n">
        <v>-27474.3</v>
      </c>
      <c r="H49" s="1" t="n">
        <v>-27474.3</v>
      </c>
      <c r="I49" s="1" t="n">
        <v>-27474.3</v>
      </c>
      <c r="J49" s="1" t="n">
        <v>-27474.3</v>
      </c>
      <c r="K49" s="1" t="n">
        <v>-27474.3</v>
      </c>
      <c r="L49" s="1" t="n">
        <v>-27474.3</v>
      </c>
      <c r="M49" s="1" t="n">
        <v>-27474.3</v>
      </c>
      <c r="N49" s="1" t="n">
        <v>-27474.3</v>
      </c>
      <c r="O49" s="1" t="n">
        <v>-27474.3</v>
      </c>
      <c r="P49" s="1" t="n">
        <v>-27474.3</v>
      </c>
      <c r="Q49" s="1" t="n">
        <v>-27474.3</v>
      </c>
      <c r="R49" s="1" t="n">
        <v>-27474.3</v>
      </c>
      <c r="S49" s="1" t="n">
        <v>-27474.3</v>
      </c>
      <c r="T49" s="1" t="n">
        <v>-27474.3</v>
      </c>
      <c r="U49" s="1" t="n">
        <v>-27474.3</v>
      </c>
      <c r="V49" s="1" t="n">
        <v>-27474.3</v>
      </c>
      <c r="W49" s="1" t="n">
        <v>-27474.3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-744277.333333333</v>
      </c>
      <c r="F93" s="1" t="n">
        <v>-744277.333333333</v>
      </c>
      <c r="G93" s="1" t="n">
        <v>-744277.333333333</v>
      </c>
      <c r="H93" s="1" t="n">
        <v>-744277.333333333</v>
      </c>
      <c r="I93" s="1" t="n">
        <v>-744277.333333333</v>
      </c>
      <c r="J93" s="1" t="n">
        <v>-744277.333333333</v>
      </c>
      <c r="K93" s="1" t="n">
        <v>-744277.333333333</v>
      </c>
      <c r="L93" s="1" t="n">
        <v>-744277.333333333</v>
      </c>
      <c r="M93" s="1" t="n">
        <v>-744277.333333333</v>
      </c>
      <c r="N93" s="1" t="n">
        <v>-744277.333333333</v>
      </c>
      <c r="O93" s="1" t="n">
        <v>-744277.333333333</v>
      </c>
      <c r="P93" s="1" t="n">
        <v>-744277.333333333</v>
      </c>
      <c r="Q93" s="1" t="n">
        <v>-744277.333333333</v>
      </c>
      <c r="R93" s="1" t="n">
        <v>-744277.333333333</v>
      </c>
      <c r="S93" s="1" t="n">
        <v>-744277.333333333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-697760</v>
      </c>
      <c r="U96" s="1" t="n">
        <v>-697760</v>
      </c>
      <c r="V96" s="1" t="n">
        <v>-697760</v>
      </c>
      <c r="W96" s="1" t="n">
        <v>-697760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1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131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90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91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92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93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95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-45790.5</v>
      </c>
      <c r="E49" s="1" t="n">
        <v>-45790.5</v>
      </c>
      <c r="F49" s="1" t="n">
        <v>-45790.5</v>
      </c>
      <c r="G49" s="1" t="n">
        <v>-45790.5</v>
      </c>
      <c r="H49" s="1" t="n">
        <v>-45790.5</v>
      </c>
      <c r="I49" s="1" t="n">
        <v>-45790.5</v>
      </c>
      <c r="J49" s="1" t="n">
        <v>-45790.5</v>
      </c>
      <c r="K49" s="1" t="n">
        <v>-45790.5</v>
      </c>
      <c r="L49" s="1" t="n">
        <v>-45790.5</v>
      </c>
      <c r="M49" s="1" t="n">
        <v>-45790.5</v>
      </c>
      <c r="N49" s="1" t="n">
        <v>-45790.5</v>
      </c>
      <c r="O49" s="1" t="n">
        <v>-45790.5</v>
      </c>
      <c r="P49" s="1" t="n">
        <v>-45790.5</v>
      </c>
      <c r="Q49" s="1" t="n">
        <v>-45790.5</v>
      </c>
      <c r="R49" s="1" t="n">
        <v>-45790.5</v>
      </c>
      <c r="S49" s="1" t="n">
        <v>-45790.5</v>
      </c>
      <c r="T49" s="1" t="n">
        <v>-45790.5</v>
      </c>
      <c r="U49" s="1" t="n">
        <v>-45790.5</v>
      </c>
      <c r="V49" s="1" t="n">
        <v>-45790.5</v>
      </c>
      <c r="W49" s="1" t="n">
        <v>-45790.5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-1209450.66666667</v>
      </c>
      <c r="F93" s="1" t="n">
        <v>-1209450.66666667</v>
      </c>
      <c r="G93" s="1" t="n">
        <v>-1209450.66666667</v>
      </c>
      <c r="H93" s="1" t="n">
        <v>-1209450.66666667</v>
      </c>
      <c r="I93" s="1" t="n">
        <v>-1209450.66666667</v>
      </c>
      <c r="J93" s="1" t="n">
        <v>-1209450.66666667</v>
      </c>
      <c r="K93" s="1" t="n">
        <v>-1209450.66666667</v>
      </c>
      <c r="L93" s="1" t="n">
        <v>-1209450.66666667</v>
      </c>
      <c r="M93" s="1" t="n">
        <v>-1209450.66666667</v>
      </c>
      <c r="N93" s="1" t="n">
        <v>-1209450.66666667</v>
      </c>
      <c r="O93" s="1" t="n">
        <v>-1209450.66666667</v>
      </c>
      <c r="P93" s="1" t="n">
        <v>-1209450.66666667</v>
      </c>
      <c r="Q93" s="1" t="n">
        <v>-1209450.66666667</v>
      </c>
      <c r="R93" s="1" t="n">
        <v>-1209450.66666667</v>
      </c>
      <c r="S93" s="1" t="n">
        <v>-1209450.66666667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-1133860</v>
      </c>
      <c r="U96" s="1" t="n">
        <v>-1133860</v>
      </c>
      <c r="V96" s="1" t="n">
        <v>-1133860</v>
      </c>
      <c r="W96" s="1" t="n">
        <v>-1133860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1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132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99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100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82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-43173.9</v>
      </c>
      <c r="E49" s="1" t="n">
        <v>-43173.9</v>
      </c>
      <c r="F49" s="1" t="n">
        <v>-43173.9</v>
      </c>
      <c r="G49" s="1" t="n">
        <v>-43173.9</v>
      </c>
      <c r="H49" s="1" t="n">
        <v>-43173.9</v>
      </c>
      <c r="I49" s="1" t="n">
        <v>-43173.9</v>
      </c>
      <c r="J49" s="1" t="n">
        <v>-43173.9</v>
      </c>
      <c r="K49" s="1" t="n">
        <v>-43173.9</v>
      </c>
      <c r="L49" s="1" t="n">
        <v>-43173.9</v>
      </c>
      <c r="M49" s="1" t="n">
        <v>-43173.9</v>
      </c>
      <c r="N49" s="1" t="n">
        <v>-43173.9</v>
      </c>
      <c r="O49" s="1" t="n">
        <v>-43173.9</v>
      </c>
      <c r="P49" s="1" t="n">
        <v>-43173.9</v>
      </c>
      <c r="Q49" s="1" t="n">
        <v>-43173.9</v>
      </c>
      <c r="R49" s="1" t="n">
        <v>-43173.9</v>
      </c>
      <c r="S49" s="1" t="n">
        <v>-43173.9</v>
      </c>
      <c r="T49" s="1" t="n">
        <v>-43173.9</v>
      </c>
      <c r="U49" s="1" t="n">
        <v>-43173.9</v>
      </c>
      <c r="V49" s="1" t="n">
        <v>-43173.9</v>
      </c>
      <c r="W49" s="1" t="n">
        <v>-43173.9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-1142997.33333333</v>
      </c>
      <c r="F93" s="1" t="n">
        <v>-1142997.33333333</v>
      </c>
      <c r="G93" s="1" t="n">
        <v>-1142997.33333333</v>
      </c>
      <c r="H93" s="1" t="n">
        <v>-1142997.33333333</v>
      </c>
      <c r="I93" s="1" t="n">
        <v>-1142997.33333333</v>
      </c>
      <c r="J93" s="1" t="n">
        <v>-1142997.33333333</v>
      </c>
      <c r="K93" s="1" t="n">
        <v>-1142997.33333333</v>
      </c>
      <c r="L93" s="1" t="n">
        <v>-1142997.33333333</v>
      </c>
      <c r="M93" s="1" t="n">
        <v>-1142997.33333333</v>
      </c>
      <c r="N93" s="1" t="n">
        <v>-1142997.33333333</v>
      </c>
      <c r="O93" s="1" t="n">
        <v>-1142997.33333333</v>
      </c>
      <c r="P93" s="1" t="n">
        <v>-1142997.33333333</v>
      </c>
      <c r="Q93" s="1" t="n">
        <v>-1142997.33333333</v>
      </c>
      <c r="R93" s="1" t="n">
        <v>-1142997.33333333</v>
      </c>
      <c r="S93" s="1" t="n">
        <v>-1142997.33333333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-1071560</v>
      </c>
      <c r="U96" s="1" t="n">
        <v>-1071560</v>
      </c>
      <c r="V96" s="1" t="n">
        <v>-1071560</v>
      </c>
      <c r="W96" s="1" t="n">
        <v>-1071560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12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133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104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105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83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-40557.3</v>
      </c>
      <c r="E49" s="1" t="n">
        <v>-40557.3</v>
      </c>
      <c r="F49" s="1" t="n">
        <v>-40557.3</v>
      </c>
      <c r="G49" s="1" t="n">
        <v>-40557.3</v>
      </c>
      <c r="H49" s="1" t="n">
        <v>-40557.3</v>
      </c>
      <c r="I49" s="1" t="n">
        <v>-40557.3</v>
      </c>
      <c r="J49" s="1" t="n">
        <v>-40557.3</v>
      </c>
      <c r="K49" s="1" t="n">
        <v>-40557.3</v>
      </c>
      <c r="L49" s="1" t="n">
        <v>-40557.3</v>
      </c>
      <c r="M49" s="1" t="n">
        <v>-40557.3</v>
      </c>
      <c r="N49" s="1" t="n">
        <v>-40557.3</v>
      </c>
      <c r="O49" s="1" t="n">
        <v>-40557.3</v>
      </c>
      <c r="P49" s="1" t="n">
        <v>-40557.3</v>
      </c>
      <c r="Q49" s="1" t="n">
        <v>-40557.3</v>
      </c>
      <c r="R49" s="1" t="n">
        <v>-40557.3</v>
      </c>
      <c r="S49" s="1" t="n">
        <v>-40557.3</v>
      </c>
      <c r="T49" s="1" t="n">
        <v>-40557.3</v>
      </c>
      <c r="U49" s="1" t="n">
        <v>-40557.3</v>
      </c>
      <c r="V49" s="1" t="n">
        <v>-40557.3</v>
      </c>
      <c r="W49" s="1" t="n">
        <v>-40557.3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-1076544</v>
      </c>
      <c r="F93" s="1" t="n">
        <v>-1076544</v>
      </c>
      <c r="G93" s="1" t="n">
        <v>-1076544</v>
      </c>
      <c r="H93" s="1" t="n">
        <v>-1076544</v>
      </c>
      <c r="I93" s="1" t="n">
        <v>-1076544</v>
      </c>
      <c r="J93" s="1" t="n">
        <v>-1076544</v>
      </c>
      <c r="K93" s="1" t="n">
        <v>-1076544</v>
      </c>
      <c r="L93" s="1" t="n">
        <v>-1076544</v>
      </c>
      <c r="M93" s="1" t="n">
        <v>-1076544</v>
      </c>
      <c r="N93" s="1" t="n">
        <v>-1076544</v>
      </c>
      <c r="O93" s="1" t="n">
        <v>-1076544</v>
      </c>
      <c r="P93" s="1" t="n">
        <v>-1076544</v>
      </c>
      <c r="Q93" s="1" t="n">
        <v>-1076544</v>
      </c>
      <c r="R93" s="1" t="n">
        <v>-1076544</v>
      </c>
      <c r="S93" s="1" t="n">
        <v>-1076544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-1009260</v>
      </c>
      <c r="U96" s="1" t="n">
        <v>-1009260</v>
      </c>
      <c r="V96" s="1" t="n">
        <v>-1009260</v>
      </c>
      <c r="W96" s="1" t="n">
        <v>-1009260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1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134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109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110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84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29000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-37940.7</v>
      </c>
      <c r="E49" s="1" t="n">
        <v>-37940.7</v>
      </c>
      <c r="F49" s="1" t="n">
        <v>-37940.7</v>
      </c>
      <c r="G49" s="1" t="n">
        <v>-37940.7</v>
      </c>
      <c r="H49" s="1" t="n">
        <v>-37940.7</v>
      </c>
      <c r="I49" s="1" t="n">
        <v>-37940.7</v>
      </c>
      <c r="J49" s="1" t="n">
        <v>-37940.7</v>
      </c>
      <c r="K49" s="1" t="n">
        <v>-37940.7</v>
      </c>
      <c r="L49" s="1" t="n">
        <v>-37940.7</v>
      </c>
      <c r="M49" s="1" t="n">
        <v>-37940.7</v>
      </c>
      <c r="N49" s="1" t="n">
        <v>-37940.7</v>
      </c>
      <c r="O49" s="1" t="n">
        <v>-37940.7</v>
      </c>
      <c r="P49" s="1" t="n">
        <v>-37940.7</v>
      </c>
      <c r="Q49" s="1" t="n">
        <v>-37940.7</v>
      </c>
      <c r="R49" s="1" t="n">
        <v>-37940.7</v>
      </c>
      <c r="S49" s="1" t="n">
        <v>-37940.7</v>
      </c>
      <c r="T49" s="1" t="n">
        <v>-37940.7</v>
      </c>
      <c r="U49" s="1" t="n">
        <v>-37940.7</v>
      </c>
      <c r="V49" s="1" t="n">
        <v>-37940.7</v>
      </c>
      <c r="W49" s="1" t="n">
        <v>-37940.7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-1010090.66666667</v>
      </c>
      <c r="F93" s="1" t="n">
        <v>-1010090.66666667</v>
      </c>
      <c r="G93" s="1" t="n">
        <v>-1010090.66666667</v>
      </c>
      <c r="H93" s="1" t="n">
        <v>-1010090.66666667</v>
      </c>
      <c r="I93" s="1" t="n">
        <v>-1010090.66666667</v>
      </c>
      <c r="J93" s="1" t="n">
        <v>-1010090.66666667</v>
      </c>
      <c r="K93" s="1" t="n">
        <v>-1010090.66666667</v>
      </c>
      <c r="L93" s="1" t="n">
        <v>-1010090.66666667</v>
      </c>
      <c r="M93" s="1" t="n">
        <v>-1010090.66666667</v>
      </c>
      <c r="N93" s="1" t="n">
        <v>-1010090.66666667</v>
      </c>
      <c r="O93" s="1" t="n">
        <v>-1010090.66666667</v>
      </c>
      <c r="P93" s="1" t="n">
        <v>-1010090.66666667</v>
      </c>
      <c r="Q93" s="1" t="n">
        <v>-1010090.66666667</v>
      </c>
      <c r="R93" s="1" t="n">
        <v>-1010090.66666667</v>
      </c>
      <c r="S93" s="1" t="n">
        <v>-1010090.66666667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-946960</v>
      </c>
      <c r="U96" s="1" t="n">
        <v>-946960</v>
      </c>
      <c r="V96" s="1" t="n">
        <v>-946960</v>
      </c>
      <c r="W96" s="1" t="n">
        <v>-946960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135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114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115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27000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-35324.1</v>
      </c>
      <c r="E49" s="1" t="n">
        <v>-35324.1</v>
      </c>
      <c r="F49" s="1" t="n">
        <v>-35324.1</v>
      </c>
      <c r="G49" s="1" t="n">
        <v>-35324.1</v>
      </c>
      <c r="H49" s="1" t="n">
        <v>-35324.1</v>
      </c>
      <c r="I49" s="1" t="n">
        <v>-35324.1</v>
      </c>
      <c r="J49" s="1" t="n">
        <v>-35324.1</v>
      </c>
      <c r="K49" s="1" t="n">
        <v>-35324.1</v>
      </c>
      <c r="L49" s="1" t="n">
        <v>-35324.1</v>
      </c>
      <c r="M49" s="1" t="n">
        <v>-35324.1</v>
      </c>
      <c r="N49" s="1" t="n">
        <v>-35324.1</v>
      </c>
      <c r="O49" s="1" t="n">
        <v>-35324.1</v>
      </c>
      <c r="P49" s="1" t="n">
        <v>-35324.1</v>
      </c>
      <c r="Q49" s="1" t="n">
        <v>-35324.1</v>
      </c>
      <c r="R49" s="1" t="n">
        <v>-35324.1</v>
      </c>
      <c r="S49" s="1" t="n">
        <v>-35324.1</v>
      </c>
      <c r="T49" s="1" t="n">
        <v>-35324.1</v>
      </c>
      <c r="U49" s="1" t="n">
        <v>-35324.1</v>
      </c>
      <c r="V49" s="1" t="n">
        <v>-35324.1</v>
      </c>
      <c r="W49" s="1" t="n">
        <v>-35324.1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-943637.333333333</v>
      </c>
      <c r="F93" s="1" t="n">
        <v>-943637.333333333</v>
      </c>
      <c r="G93" s="1" t="n">
        <v>-943637.333333333</v>
      </c>
      <c r="H93" s="1" t="n">
        <v>-943637.333333333</v>
      </c>
      <c r="I93" s="1" t="n">
        <v>-943637.333333333</v>
      </c>
      <c r="J93" s="1" t="n">
        <v>-943637.333333333</v>
      </c>
      <c r="K93" s="1" t="n">
        <v>-943637.333333333</v>
      </c>
      <c r="L93" s="1" t="n">
        <v>-943637.333333333</v>
      </c>
      <c r="M93" s="1" t="n">
        <v>-943637.333333333</v>
      </c>
      <c r="N93" s="1" t="n">
        <v>-943637.333333333</v>
      </c>
      <c r="O93" s="1" t="n">
        <v>-943637.333333333</v>
      </c>
      <c r="P93" s="1" t="n">
        <v>-943637.333333333</v>
      </c>
      <c r="Q93" s="1" t="n">
        <v>-943637.333333333</v>
      </c>
      <c r="R93" s="1" t="n">
        <v>-943637.333333333</v>
      </c>
      <c r="S93" s="1" t="n">
        <v>-943637.333333333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-884660</v>
      </c>
      <c r="U96" s="1" t="n">
        <v>-884660</v>
      </c>
      <c r="V96" s="1" t="n">
        <v>-884660</v>
      </c>
      <c r="W96" s="1" t="n">
        <v>-884660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34" min="6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119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120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86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-32707.5</v>
      </c>
      <c r="E49" s="1" t="n">
        <v>-32707.5</v>
      </c>
      <c r="F49" s="1" t="n">
        <v>-32707.5</v>
      </c>
      <c r="G49" s="1" t="n">
        <v>-32707.5</v>
      </c>
      <c r="H49" s="1" t="n">
        <v>-32707.5</v>
      </c>
      <c r="I49" s="1" t="n">
        <v>-32707.5</v>
      </c>
      <c r="J49" s="1" t="n">
        <v>-32707.5</v>
      </c>
      <c r="K49" s="1" t="n">
        <v>-32707.5</v>
      </c>
      <c r="L49" s="1" t="n">
        <v>-32707.5</v>
      </c>
      <c r="M49" s="1" t="n">
        <v>-32707.5</v>
      </c>
      <c r="N49" s="1" t="n">
        <v>-32707.5</v>
      </c>
      <c r="O49" s="1" t="n">
        <v>-32707.5</v>
      </c>
      <c r="P49" s="1" t="n">
        <v>-32707.5</v>
      </c>
      <c r="Q49" s="1" t="n">
        <v>-32707.5</v>
      </c>
      <c r="R49" s="1" t="n">
        <v>-32707.5</v>
      </c>
      <c r="S49" s="1" t="n">
        <v>-32707.5</v>
      </c>
      <c r="T49" s="1" t="n">
        <v>-32707.5</v>
      </c>
      <c r="U49" s="1" t="n">
        <v>-32707.5</v>
      </c>
      <c r="V49" s="1" t="n">
        <v>-32707.5</v>
      </c>
      <c r="W49" s="1" t="n">
        <v>-32707.5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-877184</v>
      </c>
      <c r="F93" s="1" t="n">
        <v>-877184</v>
      </c>
      <c r="G93" s="1" t="n">
        <v>-877184</v>
      </c>
      <c r="H93" s="1" t="n">
        <v>-877184</v>
      </c>
      <c r="I93" s="1" t="n">
        <v>-877184</v>
      </c>
      <c r="J93" s="1" t="n">
        <v>-877184</v>
      </c>
      <c r="K93" s="1" t="n">
        <v>-877184</v>
      </c>
      <c r="L93" s="1" t="n">
        <v>-877184</v>
      </c>
      <c r="M93" s="1" t="n">
        <v>-877184</v>
      </c>
      <c r="N93" s="1" t="n">
        <v>-877184</v>
      </c>
      <c r="O93" s="1" t="n">
        <v>-877184</v>
      </c>
      <c r="P93" s="1" t="n">
        <v>-877184</v>
      </c>
      <c r="Q93" s="1" t="n">
        <v>-877184</v>
      </c>
      <c r="R93" s="1" t="n">
        <v>-877184</v>
      </c>
      <c r="S93" s="1" t="n">
        <v>-877184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-822360</v>
      </c>
      <c r="U96" s="1" t="n">
        <v>-822360</v>
      </c>
      <c r="V96" s="1" t="n">
        <v>-822360</v>
      </c>
      <c r="W96" s="1" t="n">
        <v>-822360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137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124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125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87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-30090.9</v>
      </c>
      <c r="E49" s="1" t="n">
        <v>-30090.9</v>
      </c>
      <c r="F49" s="1" t="n">
        <v>-30090.9</v>
      </c>
      <c r="G49" s="1" t="n">
        <v>-30090.9</v>
      </c>
      <c r="H49" s="1" t="n">
        <v>-30090.9</v>
      </c>
      <c r="I49" s="1" t="n">
        <v>-30090.9</v>
      </c>
      <c r="J49" s="1" t="n">
        <v>-30090.9</v>
      </c>
      <c r="K49" s="1" t="n">
        <v>-30090.9</v>
      </c>
      <c r="L49" s="1" t="n">
        <v>-30090.9</v>
      </c>
      <c r="M49" s="1" t="n">
        <v>-30090.9</v>
      </c>
      <c r="N49" s="1" t="n">
        <v>-30090.9</v>
      </c>
      <c r="O49" s="1" t="n">
        <v>-30090.9</v>
      </c>
      <c r="P49" s="1" t="n">
        <v>-30090.9</v>
      </c>
      <c r="Q49" s="1" t="n">
        <v>-30090.9</v>
      </c>
      <c r="R49" s="1" t="n">
        <v>-30090.9</v>
      </c>
      <c r="S49" s="1" t="n">
        <v>-30090.9</v>
      </c>
      <c r="T49" s="1" t="n">
        <v>-30090.9</v>
      </c>
      <c r="U49" s="1" t="n">
        <v>-30090.9</v>
      </c>
      <c r="V49" s="1" t="n">
        <v>-30090.9</v>
      </c>
      <c r="W49" s="1" t="n">
        <v>-30090.9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-810730.666666667</v>
      </c>
      <c r="F93" s="1" t="n">
        <v>-810730.666666667</v>
      </c>
      <c r="G93" s="1" t="n">
        <v>-810730.666666667</v>
      </c>
      <c r="H93" s="1" t="n">
        <v>-810730.666666667</v>
      </c>
      <c r="I93" s="1" t="n">
        <v>-810730.666666667</v>
      </c>
      <c r="J93" s="1" t="n">
        <v>-810730.666666667</v>
      </c>
      <c r="K93" s="1" t="n">
        <v>-810730.666666667</v>
      </c>
      <c r="L93" s="1" t="n">
        <v>-810730.666666667</v>
      </c>
      <c r="M93" s="1" t="n">
        <v>-810730.666666667</v>
      </c>
      <c r="N93" s="1" t="n">
        <v>-810730.666666667</v>
      </c>
      <c r="O93" s="1" t="n">
        <v>-810730.666666667</v>
      </c>
      <c r="P93" s="1" t="n">
        <v>-810730.666666667</v>
      </c>
      <c r="Q93" s="1" t="n">
        <v>-810730.666666667</v>
      </c>
      <c r="R93" s="1" t="n">
        <v>-810730.666666667</v>
      </c>
      <c r="S93" s="1" t="n">
        <v>-810730.666666667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-760060</v>
      </c>
      <c r="U96" s="1" t="n">
        <v>-760060</v>
      </c>
      <c r="V96" s="1" t="n">
        <v>-760060</v>
      </c>
      <c r="W96" s="1" t="n">
        <v>-760060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138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129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130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88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-27474.3</v>
      </c>
      <c r="E49" s="1" t="n">
        <v>-27474.3</v>
      </c>
      <c r="F49" s="1" t="n">
        <v>-27474.3</v>
      </c>
      <c r="G49" s="1" t="n">
        <v>-27474.3</v>
      </c>
      <c r="H49" s="1" t="n">
        <v>-27474.3</v>
      </c>
      <c r="I49" s="1" t="n">
        <v>-27474.3</v>
      </c>
      <c r="J49" s="1" t="n">
        <v>-27474.3</v>
      </c>
      <c r="K49" s="1" t="n">
        <v>-27474.3</v>
      </c>
      <c r="L49" s="1" t="n">
        <v>-27474.3</v>
      </c>
      <c r="M49" s="1" t="n">
        <v>-27474.3</v>
      </c>
      <c r="N49" s="1" t="n">
        <v>-27474.3</v>
      </c>
      <c r="O49" s="1" t="n">
        <v>-27474.3</v>
      </c>
      <c r="P49" s="1" t="n">
        <v>-27474.3</v>
      </c>
      <c r="Q49" s="1" t="n">
        <v>-27474.3</v>
      </c>
      <c r="R49" s="1" t="n">
        <v>-27474.3</v>
      </c>
      <c r="S49" s="1" t="n">
        <v>-27474.3</v>
      </c>
      <c r="T49" s="1" t="n">
        <v>-27474.3</v>
      </c>
      <c r="U49" s="1" t="n">
        <v>-27474.3</v>
      </c>
      <c r="V49" s="1" t="n">
        <v>-27474.3</v>
      </c>
      <c r="W49" s="1" t="n">
        <v>-27474.3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-744277.333333333</v>
      </c>
      <c r="F93" s="1" t="n">
        <v>-744277.333333333</v>
      </c>
      <c r="G93" s="1" t="n">
        <v>-744277.333333333</v>
      </c>
      <c r="H93" s="1" t="n">
        <v>-744277.333333333</v>
      </c>
      <c r="I93" s="1" t="n">
        <v>-744277.333333333</v>
      </c>
      <c r="J93" s="1" t="n">
        <v>-744277.333333333</v>
      </c>
      <c r="K93" s="1" t="n">
        <v>-744277.333333333</v>
      </c>
      <c r="L93" s="1" t="n">
        <v>-744277.333333333</v>
      </c>
      <c r="M93" s="1" t="n">
        <v>-744277.333333333</v>
      </c>
      <c r="N93" s="1" t="n">
        <v>-744277.333333333</v>
      </c>
      <c r="O93" s="1" t="n">
        <v>-744277.333333333</v>
      </c>
      <c r="P93" s="1" t="n">
        <v>-744277.333333333</v>
      </c>
      <c r="Q93" s="1" t="n">
        <v>-744277.333333333</v>
      </c>
      <c r="R93" s="1" t="n">
        <v>-744277.333333333</v>
      </c>
      <c r="S93" s="1" t="n">
        <v>-744277.333333333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-697760</v>
      </c>
      <c r="U96" s="1" t="n">
        <v>-697760</v>
      </c>
      <c r="V96" s="1" t="n">
        <v>-697760</v>
      </c>
      <c r="W96" s="1" t="n">
        <v>-697760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2026-04-14T13:01:07Z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