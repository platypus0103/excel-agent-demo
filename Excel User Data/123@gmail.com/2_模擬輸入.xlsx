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滾算紀錄1" sheetId="3" state="visible" r:id="rId5"/>
    <sheet name="滾算紀錄2" sheetId="4" state="visible" r:id="rId6"/>
    <sheet name="滾算紀錄3" sheetId="5" state="visible" r:id="rId7"/>
    <sheet name="滾算紀錄4" sheetId="6" state="visible" r:id="rId8"/>
    <sheet name="滾算紀錄5" sheetId="7" state="visible" r:id="rId9"/>
    <sheet name="滾算紀錄6" sheetId="8" state="visible" r:id="rId10"/>
    <sheet name="滾算紀錄7" sheetId="9" state="visible" r:id="rId11"/>
    <sheet name="滾算紀錄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<sst xmlns="http://schemas.openxmlformats.org/spreadsheetml/2006/main" count="1549" uniqueCount="152">
  <si>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</si>
  <si>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</si>
  <si>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</si>
  <si>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</si>
  <si>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</si>
  <si>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</si>
  <si>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</si>
  <si>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</si>
  <si>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</si>
  <si>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</si>
  <si>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</si>
  <si>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</si>
  <si>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</si>
  <si>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</si>
  <si>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</si>
  <si>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</si>
  <si>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</si>
  <si>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</si>
  <si>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</si>
  <si>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</si>
  <si>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</si>
  <si>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</si>
  <si>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</si>
  <si>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</si>
  <si>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</si>
  <si>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</si>
  <si>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</si>
  <si>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</si>
  <si>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</si>
  <si>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</si>
  <si>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</si>
  <si>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</si>
  <si>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</si>
  <si>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</si>
  <si>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</si>
  <si>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</si>
  <si>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</si>
  <si>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</si>
  <si>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</si>
  <si>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</si>
  <si>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</si>
  <si>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</si>
  <si>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</si>
  <si>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</si>
  <si>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</si>
  <si>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</si>
  <si>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</si>
  <si>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</si>
  <si>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</si>
  <si>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</si>
  <si>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</si>
  <si>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</si>
  <si>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</si>
  <si>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</si>
  <si>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</si>
  <si>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</si>
  <si>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</si>
  <si>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</si>
  <si>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</si>
  <si>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</si>
  <si>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</si>
  <si>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</si>
  <si>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</si>
  <si>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</si>
  <si>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</si>
  <si>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</si>
  <si>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</si>
  <si>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</si>
  <si>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</si>
  <si>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</si>
  <si>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</si>
  <si>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</si>
  <si>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</si>
  <si>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</si>
  <si>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</si>
  <si>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</si>
  <si>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</si>
  <si>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</si>
  <si>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</si>
  <si>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</si>
  <si>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</si>
  <si>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</si>
  <si>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</si>
  <si>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</si>
  <si>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</si>
  <si>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</si>
  <si>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</si>
  <si>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</si>
  <si>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</si>
  <si>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</si>
  <si>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</si>
  <si>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</si>
  <si>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</si>
  <si>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</si>
  <si>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</si>
  <si>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</si>
  <si>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</si>
  <si>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</si>
  <si>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</si>
  <si>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</si>
  <si>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</si>
  <si>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滾算紀錄編號: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</si>
  <si>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</si>
  <si>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</si>
  <si>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</si>
  <si>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</si>
  <si>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</si>
  <si>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</si>
  <si>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2000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</si>
  <si>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</si>
  <si>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</si>
  <si>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</si>
  <si>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</si>
  <si>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</si>
  <si>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</si>
  <si>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</si>
  <si>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</si>
  <si>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滾算紀錄編號: 2</t>
  </si>
  <si>
    <t xml:space="preserve">第1次滾算摘要</t>
  </si>
  <si>
    <t xml:space="preserve">價金: 33000</t>
  </si>
  <si>
    <t xml:space="preserve">專案IRR: 2.17</t>
  </si>
  <si>
    <t xml:space="preserve">權益法IRR: 2.75</t>
  </si>
  <si>
    <t xml:space="preserve">滾算紀錄編號: 3</t>
  </si>
  <si>
    <t xml:space="preserve">第2次滾算摘要</t>
  </si>
  <si>
    <t xml:space="preserve">價金: 31000</t>
  </si>
  <si>
    <t xml:space="preserve">專案IRR: 2.72</t>
  </si>
  <si>
    <t xml:space="preserve">權益法IRR: 4.43</t>
  </si>
  <si>
    <t xml:space="preserve">滾算紀錄編號: 4</t>
  </si>
  <si>
    <t xml:space="preserve">第3次滾算摘要</t>
  </si>
  <si>
    <t xml:space="preserve">價金: 29000</t>
  </si>
  <si>
    <t xml:space="preserve">專案IRR: 3.32</t>
  </si>
  <si>
    <t xml:space="preserve">權益法IRR: 6.37</t>
  </si>
  <si>
    <t xml:space="preserve">滾算紀錄編號: 5</t>
  </si>
  <si>
    <t xml:space="preserve">第4次滾算摘要</t>
  </si>
  <si>
    <t xml:space="preserve">價金: 27000</t>
  </si>
  <si>
    <t xml:space="preserve">專案IRR: 3.99</t>
  </si>
  <si>
    <t xml:space="preserve">權益法IRR: 8.65</t>
  </si>
  <si>
    <t xml:space="preserve">滾算紀錄編號: 6</t>
  </si>
  <si>
    <t xml:space="preserve">第5次滾算摘要</t>
  </si>
  <si>
    <t xml:space="preserve">價金: 25000</t>
  </si>
  <si>
    <t xml:space="preserve">專案IRR: 4.74</t>
  </si>
  <si>
    <t xml:space="preserve">權益法IRR: 11.4</t>
  </si>
  <si>
    <t xml:space="preserve">滾算紀錄編號: 7</t>
  </si>
  <si>
    <t xml:space="preserve">第6次滾算摘要</t>
  </si>
  <si>
    <t xml:space="preserve">價金: 23000</t>
  </si>
  <si>
    <t xml:space="preserve">專案IRR: 5.57</t>
  </si>
  <si>
    <t xml:space="preserve">權益法IRR: 14.79</t>
  </si>
  <si>
    <t xml:space="preserve">滾算紀錄編號: 8</t>
  </si>
  <si>
    <t xml:space="preserve">第7次滾算摘要</t>
  </si>
  <si>
    <t xml:space="preserve">價金: 21000</t>
  </si>
  <si>
    <t xml:space="preserve">專案IRR: 6.52</t>
  </si>
  <si>
    <t xml:space="preserve">權益法IRR: 19.16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</si>
</sst>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0.00000%"/>
    <numFmt numFmtId="176" formatCode="_-\$* #,##0_-;&quot;-$&quot;* #,##0_-;_-\$* \-??_-;_-@_-"/>
    <numFmt numFmtId="177" formatCode="0.0000%"/>
    <numFmt numFmtId="178" formatCode="0.000%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09" t="n">
        <v>0.0217</v>
      </c>
      <c r="D3" s="109" t="n">
        <v>0.0265</v>
      </c>
      <c r="E3" s="109" t="n">
        <v>0.0275</v>
      </c>
      <c r="F3" s="109" t="n">
        <v>0.3</v>
      </c>
      <c r="G3" s="0" t="n">
        <v>6167762.3</v>
      </c>
      <c r="H3" s="0" t="n">
        <v>14143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09" t="n">
        <v>0.0272</v>
      </c>
      <c r="D4" s="109" t="n">
        <v>0.0416</v>
      </c>
      <c r="E4" s="109" t="n">
        <v>0.0443</v>
      </c>
      <c r="F4" s="109" t="n">
        <v>0.3</v>
      </c>
      <c r="G4" s="0" t="n">
        <v>5794024.6</v>
      </c>
      <c r="H4" s="0" t="n">
        <v>13286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09" t="n">
        <v>0.0332</v>
      </c>
      <c r="D5" s="109" t="n">
        <v>0.0582</v>
      </c>
      <c r="E5" s="109" t="n">
        <v>0.0637</v>
      </c>
      <c r="F5" s="109" t="n">
        <v>0.3</v>
      </c>
      <c r="G5" s="0" t="n">
        <v>5420286.9</v>
      </c>
      <c r="H5" s="0" t="n">
        <v>12429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09" t="n">
        <v>0.0399</v>
      </c>
      <c r="D6" s="109" t="n">
        <v>0.0767</v>
      </c>
      <c r="E6" s="109" t="n">
        <v>0.0865</v>
      </c>
      <c r="F6" s="109" t="n">
        <v>0.3</v>
      </c>
      <c r="G6" s="0" t="n">
        <v>5046113.1</v>
      </c>
      <c r="H6" s="0" t="n">
        <v>11571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09" t="n">
        <v>0.0474</v>
      </c>
      <c r="D7" s="109" t="n">
        <v>0.0976</v>
      </c>
      <c r="E7" s="109" t="n">
        <v>0.114</v>
      </c>
      <c r="F7" s="109" t="n">
        <v>0.3</v>
      </c>
      <c r="G7" s="0" t="n">
        <v>4672375.4</v>
      </c>
      <c r="H7" s="0" t="n">
        <v>10714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09" t="n">
        <v>0.0557</v>
      </c>
      <c r="D8" s="109" t="n">
        <v>0.1218</v>
      </c>
      <c r="E8" s="109" t="n">
        <v>0.1479</v>
      </c>
      <c r="F8" s="109" t="n">
        <v>0.3</v>
      </c>
      <c r="G8" s="0" t="n">
        <v>4298637.7</v>
      </c>
      <c r="H8" s="0" t="n">
        <v>9857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09" t="n">
        <v>0.0652</v>
      </c>
      <c r="D9" s="109" t="n">
        <v>0.1502</v>
      </c>
      <c r="E9" s="109" t="n">
        <v>0.1916</v>
      </c>
      <c r="F9" s="109" t="n">
        <v>0.3</v>
      </c>
      <c r="G9" s="0" t="n">
        <v>3924900</v>
      </c>
      <c r="H9" s="0" t="n">
        <v>9000</v>
      </c>
      <c r="I9" s="0" t="n">
        <v>3000</v>
      </c>
      <c r="J9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101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102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103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104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105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108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-171246.9224192</v>
      </c>
      <c r="E54" s="170" t="n">
        <f aca="false">-(E64+E67+E68+E71+E72+E73+E74)*0.2</f>
        <v>-169621.14495488</v>
      </c>
      <c r="F54" s="170" t="n">
        <f aca="false">-(F64+F67+F68+F71+F72+F73+F74)*0.2</f>
        <v>-167995.36749056</v>
      </c>
      <c r="G54" s="170" t="n">
        <f aca="false">-(G64+G67+G68+G71+G72+G73+G74)*0.2</f>
        <v>-166369.59002624</v>
      </c>
      <c r="H54" s="170" t="n">
        <f aca="false">-(H64+H67+H68+H71+H72+H73+H74)*0.2</f>
        <v>-164743.81256192</v>
      </c>
      <c r="I54" s="170" t="n">
        <f aca="false">-(I64+I67+I68+I71+I72+I73+I74)*0.2</f>
        <v>-163118.0350976</v>
      </c>
      <c r="J54" s="170" t="n">
        <f aca="false">-(J64+J67+J68+J71+J72+J73+J74)*0.2</f>
        <v>-161492.25763328</v>
      </c>
      <c r="K54" s="170" t="n">
        <f aca="false">-(K64+K67+K68+K71+K72+K73+K74)*0.2</f>
        <v>-159866.48016896</v>
      </c>
      <c r="L54" s="170" t="n">
        <f aca="false">-(L64+L67+L68+L71+L72+L73+L74)*0.2</f>
        <v>-158240.70270464</v>
      </c>
      <c r="M54" s="170" t="n">
        <f aca="false">-(M64+M67+M68+M71+M72+M73+M74)*0.2</f>
        <v>-156614.92524032</v>
      </c>
      <c r="N54" s="170" t="n">
        <f aca="false">-(N64+N67+N68+N71+N72+N73+N74)*0.2</f>
        <v>-154989.147776</v>
      </c>
      <c r="O54" s="170" t="n">
        <f aca="false">-(O64+O67+O68+O71+O72+O73+O74)*0.2</f>
        <v>-153363.37031168</v>
      </c>
      <c r="P54" s="170" t="n">
        <f aca="false">-(P64+P67+P68+P71+P72+P73+P74)*0.2</f>
        <v>-151737.59284736</v>
      </c>
      <c r="Q54" s="170" t="n">
        <f aca="false">-(Q64+Q67+Q68+Q71+Q72+Q73+Q74)*0.2</f>
        <v>-150111.81538304</v>
      </c>
      <c r="R54" s="170" t="n">
        <f aca="false">-(R64+R67+R68+R71+R72+R73+R74)*0.2</f>
        <v>-148486.03791872</v>
      </c>
      <c r="S54" s="170" t="n">
        <f aca="false">-(S64+S67+S68+S71+S72+S73+S74)*0.2</f>
        <v>-146860.2604544</v>
      </c>
      <c r="T54" s="170" t="n">
        <f aca="false">-(T64+T67+T68+T71+T72+T73+T74)*0.2</f>
        <v>-145234.48299008</v>
      </c>
      <c r="U54" s="170" t="n">
        <f aca="false">-(U64+U67+U68+U71+U72+U73+U74)*0.2</f>
        <v>-143608.70552576</v>
      </c>
      <c r="V54" s="170" t="n">
        <f aca="false">-(V64+V67+V68+V71+V72+V73+V74)*0.2</f>
        <v>-141982.92806144</v>
      </c>
      <c r="W54" s="170" t="n">
        <f aca="false">-(W64+W67+W68+W71+W72+W73+W74)*0.2</f>
        <v>-140357.15059712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1840652.6896768</v>
      </c>
      <c r="E55" s="175" t="n">
        <f aca="false">SUM(E41:E54)</f>
        <v>1834149.57981952</v>
      </c>
      <c r="F55" s="175" t="n">
        <f aca="false">SUM(F41:F54)</f>
        <v>1827646.46996224</v>
      </c>
      <c r="G55" s="175" t="n">
        <f aca="false">SUM(G41:G54)</f>
        <v>1821143.36010496</v>
      </c>
      <c r="H55" s="175" t="n">
        <f aca="false">SUM(H41:H54)</f>
        <v>1814640.25024768</v>
      </c>
      <c r="I55" s="175" t="n">
        <f aca="false">SUM(I41:I54)</f>
        <v>1808137.1403904</v>
      </c>
      <c r="J55" s="175" t="n">
        <f aca="false">SUM(J41:J54)</f>
        <v>1801634.03053312</v>
      </c>
      <c r="K55" s="175" t="n">
        <f aca="false">SUM(K41:K54)</f>
        <v>1795130.92067584</v>
      </c>
      <c r="L55" s="175" t="n">
        <f aca="false">SUM(L41:L54)</f>
        <v>1788627.81081856</v>
      </c>
      <c r="M55" s="175" t="n">
        <f aca="false">SUM(M41:M54)</f>
        <v>1782124.70096128</v>
      </c>
      <c r="N55" s="175" t="n">
        <f aca="false">SUM(N41:N54)</f>
        <v>1775621.591104</v>
      </c>
      <c r="O55" s="175" t="n">
        <f aca="false">SUM(O41:O54)</f>
        <v>1769118.48124672</v>
      </c>
      <c r="P55" s="175" t="n">
        <f aca="false">SUM(P41:P54)</f>
        <v>1762615.37138944</v>
      </c>
      <c r="Q55" s="175" t="n">
        <f aca="false">SUM(Q41:Q54)</f>
        <v>1756112.26153216</v>
      </c>
      <c r="R55" s="175" t="n">
        <f aca="false">SUM(R41:R54)</f>
        <v>1749609.15167488</v>
      </c>
      <c r="S55" s="175" t="n">
        <f aca="false">SUM(S41:S54)</f>
        <v>1743106.0418176</v>
      </c>
      <c r="T55" s="175" t="n">
        <f aca="false">SUM(T41:T54)</f>
        <v>1736602.93196032</v>
      </c>
      <c r="U55" s="175" t="n">
        <f aca="false">SUM(U41:U54)</f>
        <v>1730099.82210304</v>
      </c>
      <c r="V55" s="175" t="n">
        <f aca="false">SUM(V41:V54)</f>
        <v>1723596.71224576</v>
      </c>
      <c r="W55" s="175" t="n">
        <f aca="false">SUM(W41:W54)</f>
        <v>1717093.60238848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-21272647.3103232</v>
      </c>
      <c r="E56" s="180" t="n">
        <f aca="false">D56+E55</f>
        <v>-19438497.7305037</v>
      </c>
      <c r="F56" s="180" t="n">
        <f aca="false">E56+F55</f>
        <v>-17610851.2605414</v>
      </c>
      <c r="G56" s="180" t="n">
        <f aca="false">F56+G55</f>
        <v>-15789707.9004365</v>
      </c>
      <c r="H56" s="180" t="n">
        <f aca="false">G56+H55</f>
        <v>-13975067.6501888</v>
      </c>
      <c r="I56" s="180" t="n">
        <f aca="false">H56+I55</f>
        <v>-12166930.5097984</v>
      </c>
      <c r="J56" s="180" t="n">
        <f aca="false">I56+J55</f>
        <v>-10365296.4792653</v>
      </c>
      <c r="K56" s="180" t="n">
        <f aca="false">J56+K55</f>
        <v>-8570165.55858944</v>
      </c>
      <c r="L56" s="180" t="n">
        <f aca="false">K56+L55</f>
        <v>-6781537.74777088</v>
      </c>
      <c r="M56" s="180" t="n">
        <f aca="false">L56+M55</f>
        <v>-4999413.0468096</v>
      </c>
      <c r="N56" s="180" t="n">
        <f aca="false">M56+N55</f>
        <v>-3223791.4557056</v>
      </c>
      <c r="O56" s="180" t="n">
        <f aca="false">N56+O55</f>
        <v>-1454672.97445888</v>
      </c>
      <c r="P56" s="180" t="n">
        <f aca="false">O56+P55</f>
        <v>307942.396930556</v>
      </c>
      <c r="Q56" s="180" t="n">
        <f aca="false">P56+Q55</f>
        <v>2064054.65846272</v>
      </c>
      <c r="R56" s="180" t="n">
        <f aca="false">Q56+R55</f>
        <v>3813663.8101376</v>
      </c>
      <c r="S56" s="180" t="n">
        <f aca="false">R56+S55</f>
        <v>5556769.8519552</v>
      </c>
      <c r="T56" s="180" t="n">
        <f aca="false">S56+T55</f>
        <v>7293372.78391552</v>
      </c>
      <c r="U56" s="180" t="n">
        <f aca="false">T56+U55</f>
        <v>9023472.60601856</v>
      </c>
      <c r="V56" s="180" t="n">
        <f aca="false">U56+V55</f>
        <v>10747069.3182643</v>
      </c>
      <c r="W56" s="180" t="n">
        <f aca="false">V56+W55</f>
        <v>12464162.9206528</v>
      </c>
      <c r="X56" s="180" t="n">
        <f aca="false">W56+X55</f>
        <v>12464162.9206528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0.0457494355796396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-473267.9308</v>
      </c>
      <c r="F70" s="170" t="n">
        <f aca="false">-F109*$D25</f>
        <v>-473267.9308</v>
      </c>
      <c r="G70" s="170" t="n">
        <f aca="false">-G109*$D25</f>
        <v>-473267.9308</v>
      </c>
      <c r="H70" s="170" t="n">
        <f aca="false">-H109*$D25</f>
        <v>-473267.9308</v>
      </c>
      <c r="I70" s="170" t="n">
        <f aca="false">-I109*$D25</f>
        <v>-473267.9308</v>
      </c>
      <c r="J70" s="170" t="n">
        <f aca="false">-J109*$D25</f>
        <v>-473267.9308</v>
      </c>
      <c r="K70" s="170" t="n">
        <f aca="false">-K109*$D25</f>
        <v>-473267.9308</v>
      </c>
      <c r="L70" s="170" t="n">
        <f aca="false">-L109*$D25</f>
        <v>-473267.9308</v>
      </c>
      <c r="M70" s="170" t="n">
        <f aca="false">-M109*$D25</f>
        <v>-473267.9308</v>
      </c>
      <c r="N70" s="170" t="n">
        <f aca="false">-N109*$D25</f>
        <v>-473267.9308</v>
      </c>
      <c r="O70" s="170" t="n">
        <f aca="false">-O109*$D25</f>
        <v>-473267.9308</v>
      </c>
      <c r="P70" s="170" t="n">
        <f aca="false">-P109*$D25</f>
        <v>-473267.9308</v>
      </c>
      <c r="Q70" s="170" t="n">
        <f aca="false">-Q109*$D25</f>
        <v>-473267.9308</v>
      </c>
      <c r="R70" s="170" t="n">
        <f aca="false">-R109*$D25</f>
        <v>-473267.9308</v>
      </c>
      <c r="S70" s="170" t="n">
        <f aca="false">-S109*$D25</f>
        <v>-473267.9308</v>
      </c>
      <c r="T70" s="170" t="n">
        <f aca="false">-T109*$D25</f>
        <v>-473267.9308</v>
      </c>
      <c r="U70" s="170" t="n">
        <f aca="false">-U109*$D25</f>
        <v>-473267.9308</v>
      </c>
      <c r="V70" s="170" t="n">
        <f aca="false">-V109*$D25</f>
        <v>-473267.9308</v>
      </c>
      <c r="W70" s="170" t="n">
        <f aca="false">-W109*$D25</f>
        <v>-473267.9308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382966.681296</v>
      </c>
      <c r="E76" s="175" t="n">
        <f aca="false">SUM(E64:E75)</f>
        <v>374837.7939744</v>
      </c>
      <c r="F76" s="175" t="n">
        <f aca="false">SUM(F64:F75)</f>
        <v>366708.9066528</v>
      </c>
      <c r="G76" s="175" t="n">
        <f aca="false">SUM(G64:G75)</f>
        <v>358580.0193312</v>
      </c>
      <c r="H76" s="175" t="n">
        <f aca="false">SUM(H64:H75)</f>
        <v>350451.1320096</v>
      </c>
      <c r="I76" s="175" t="n">
        <f aca="false">SUM(I64:I75)</f>
        <v>342322.244688</v>
      </c>
      <c r="J76" s="175" t="n">
        <f aca="false">SUM(J64:J75)</f>
        <v>334193.3573664</v>
      </c>
      <c r="K76" s="175" t="n">
        <f aca="false">SUM(K64:K75)</f>
        <v>326064.4700448</v>
      </c>
      <c r="L76" s="175" t="n">
        <f aca="false">SUM(L64:L75)</f>
        <v>317935.5827232</v>
      </c>
      <c r="M76" s="175" t="n">
        <f aca="false">SUM(M64:M75)</f>
        <v>309806.6954016</v>
      </c>
      <c r="N76" s="175" t="n">
        <f aca="false">SUM(N64:N75)</f>
        <v>301677.80808</v>
      </c>
      <c r="O76" s="175" t="n">
        <f aca="false">SUM(O64:O75)</f>
        <v>293548.9207584</v>
      </c>
      <c r="P76" s="175" t="n">
        <f aca="false">SUM(P64:P75)</f>
        <v>285420.0334368</v>
      </c>
      <c r="Q76" s="175" t="n">
        <f aca="false">SUM(Q64:Q75)</f>
        <v>277291.1461152</v>
      </c>
      <c r="R76" s="175" t="n">
        <f aca="false">SUM(R64:R75)</f>
        <v>269162.2587936</v>
      </c>
      <c r="S76" s="175" t="n">
        <f aca="false">SUM(S64:S75)</f>
        <v>261033.371472</v>
      </c>
      <c r="T76" s="175" t="n">
        <f aca="false">SUM(T64:T75)</f>
        <v>252904.4841504</v>
      </c>
      <c r="U76" s="175" t="n">
        <f aca="false">SUM(U64:U75)</f>
        <v>244775.5968288</v>
      </c>
      <c r="V76" s="175" t="n">
        <f aca="false">SUM(V64:V75)</f>
        <v>236646.7095072</v>
      </c>
      <c r="W76" s="175" t="n">
        <f aca="false">SUM(W64:W75)</f>
        <v>228517.8221856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-76593.3362592</v>
      </c>
      <c r="E77" s="170" t="n">
        <f aca="false">-E76*0.2</f>
        <v>-74967.55879488</v>
      </c>
      <c r="F77" s="170" t="n">
        <f aca="false">-F76*0.2</f>
        <v>-73341.78133056</v>
      </c>
      <c r="G77" s="170" t="n">
        <f aca="false">-G76*0.2</f>
        <v>-71716.00386624</v>
      </c>
      <c r="H77" s="170" t="n">
        <f aca="false">-H76*0.2</f>
        <v>-70090.22640192</v>
      </c>
      <c r="I77" s="170" t="n">
        <f aca="false">-I76*0.2</f>
        <v>-68464.4489376</v>
      </c>
      <c r="J77" s="170" t="n">
        <f aca="false">-J76*0.2</f>
        <v>-66838.67147328</v>
      </c>
      <c r="K77" s="170" t="n">
        <f aca="false">-K76*0.2</f>
        <v>-65212.89400896</v>
      </c>
      <c r="L77" s="170" t="n">
        <f aca="false">-L76*0.2</f>
        <v>-63587.11654464</v>
      </c>
      <c r="M77" s="170" t="n">
        <f aca="false">-M76*0.2</f>
        <v>-61961.33908032</v>
      </c>
      <c r="N77" s="170" t="n">
        <f aca="false">-N76*0.2</f>
        <v>-60335.561616</v>
      </c>
      <c r="O77" s="170" t="n">
        <f aca="false">-O76*0.2</f>
        <v>-58709.78415168</v>
      </c>
      <c r="P77" s="170" t="n">
        <f aca="false">-P76*0.2</f>
        <v>-57084.00668736</v>
      </c>
      <c r="Q77" s="170" t="n">
        <f aca="false">-Q76*0.2</f>
        <v>-55458.22922304</v>
      </c>
      <c r="R77" s="170" t="n">
        <f aca="false">-R76*0.2</f>
        <v>-53832.45175872</v>
      </c>
      <c r="S77" s="170" t="n">
        <f aca="false">-S76*0.2</f>
        <v>-52206.6742944</v>
      </c>
      <c r="T77" s="170" t="n">
        <f aca="false">-T76*0.2</f>
        <v>-50580.8968300799</v>
      </c>
      <c r="U77" s="170" t="n">
        <f aca="false">-U76*0.2</f>
        <v>-48955.11936576</v>
      </c>
      <c r="V77" s="170" t="n">
        <f aca="false">-V76*0.2</f>
        <v>-47329.3419014399</v>
      </c>
      <c r="W77" s="170" t="n">
        <f aca="false">-W76*0.2</f>
        <v>-45703.56443712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306373.3450368</v>
      </c>
      <c r="E78" s="170" t="n">
        <f aca="false">SUM(E76:E77)</f>
        <v>299870.23517952</v>
      </c>
      <c r="F78" s="170" t="n">
        <f aca="false">SUM(F76:F77)</f>
        <v>293367.12532224</v>
      </c>
      <c r="G78" s="170" t="n">
        <f aca="false">SUM(G76:G77)</f>
        <v>286864.01546496</v>
      </c>
      <c r="H78" s="170" t="n">
        <f aca="false">SUM(H76:H77)</f>
        <v>280360.90560768</v>
      </c>
      <c r="I78" s="170" t="n">
        <f aca="false">SUM(I76:I77)</f>
        <v>273857.7957504</v>
      </c>
      <c r="J78" s="170" t="n">
        <f aca="false">SUM(J76:J77)</f>
        <v>267354.68589312</v>
      </c>
      <c r="K78" s="170" t="n">
        <f aca="false">SUM(K76:K77)</f>
        <v>260851.57603584</v>
      </c>
      <c r="L78" s="170" t="n">
        <f aca="false">SUM(L76:L77)</f>
        <v>254348.46617856</v>
      </c>
      <c r="M78" s="170" t="n">
        <f aca="false">SUM(M76:M77)</f>
        <v>247845.35632128</v>
      </c>
      <c r="N78" s="170" t="n">
        <f aca="false">SUM(N76:N77)</f>
        <v>241342.246464</v>
      </c>
      <c r="O78" s="170" t="n">
        <f aca="false">SUM(O76:O77)</f>
        <v>234839.13660672</v>
      </c>
      <c r="P78" s="170" t="n">
        <f aca="false">SUM(P76:P77)</f>
        <v>228336.02674944</v>
      </c>
      <c r="Q78" s="170" t="n">
        <f aca="false">SUM(Q76:Q77)</f>
        <v>221832.91689216</v>
      </c>
      <c r="R78" s="170" t="n">
        <f aca="false">SUM(R76:R77)</f>
        <v>215329.80703488</v>
      </c>
      <c r="S78" s="170" t="n">
        <f aca="false">SUM(S76:S77)</f>
        <v>208826.6971776</v>
      </c>
      <c r="T78" s="170" t="n">
        <f aca="false">SUM(T76:T77)</f>
        <v>202323.58732032</v>
      </c>
      <c r="U78" s="170" t="n">
        <f aca="false">SUM(U76:U77)</f>
        <v>195820.47746304</v>
      </c>
      <c r="V78" s="170" t="n">
        <f aca="false">SUM(V76:V77)</f>
        <v>189317.36760576</v>
      </c>
      <c r="W78" s="170" t="n">
        <f aca="false">SUM(W76:W77)</f>
        <v>182814.25774848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306373.3450368</v>
      </c>
      <c r="E85" s="206" t="n">
        <f aca="false">E78</f>
        <v>299870.23517952</v>
      </c>
      <c r="F85" s="206" t="n">
        <f aca="false">F78</f>
        <v>293367.12532224</v>
      </c>
      <c r="G85" s="206" t="n">
        <f aca="false">G78</f>
        <v>286864.01546496</v>
      </c>
      <c r="H85" s="206" t="n">
        <f aca="false">H78</f>
        <v>280360.90560768</v>
      </c>
      <c r="I85" s="206" t="n">
        <f aca="false">I78</f>
        <v>273857.7957504</v>
      </c>
      <c r="J85" s="206" t="n">
        <f aca="false">J78</f>
        <v>267354.68589312</v>
      </c>
      <c r="K85" s="206" t="n">
        <f aca="false">K78</f>
        <v>260851.57603584</v>
      </c>
      <c r="L85" s="206" t="n">
        <f aca="false">L78</f>
        <v>254348.46617856</v>
      </c>
      <c r="M85" s="206" t="n">
        <f aca="false">M78</f>
        <v>247845.35632128</v>
      </c>
      <c r="N85" s="206" t="n">
        <f aca="false">N78</f>
        <v>241342.246464</v>
      </c>
      <c r="O85" s="206" t="n">
        <f aca="false">O78</f>
        <v>234839.13660672</v>
      </c>
      <c r="P85" s="206" t="n">
        <f aca="false">P78</f>
        <v>228336.02674944</v>
      </c>
      <c r="Q85" s="206" t="n">
        <f aca="false">Q78</f>
        <v>221832.91689216</v>
      </c>
      <c r="R85" s="206" t="n">
        <f aca="false">R78</f>
        <v>215329.80703488</v>
      </c>
      <c r="S85" s="206" t="n">
        <f aca="false">S78</f>
        <v>208826.6971776</v>
      </c>
      <c r="T85" s="206" t="n">
        <f aca="false">T78</f>
        <v>202323.58732032</v>
      </c>
      <c r="U85" s="206" t="n">
        <f aca="false">U78</f>
        <v>195820.47746304</v>
      </c>
      <c r="V85" s="206" t="n">
        <f aca="false">V78</f>
        <v>189317.36760576</v>
      </c>
      <c r="W85" s="206" t="n">
        <f aca="false">W78</f>
        <v>182814.25774848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1462038.3450368</v>
      </c>
      <c r="E87" s="209" t="n">
        <f aca="false">SUM(E85:E86)</f>
        <v>1455535.23517952</v>
      </c>
      <c r="F87" s="209" t="n">
        <f aca="false">SUM(F85:F86)</f>
        <v>1449032.12532224</v>
      </c>
      <c r="G87" s="209" t="n">
        <f aca="false">SUM(G85:G86)</f>
        <v>1442529.01546496</v>
      </c>
      <c r="H87" s="209" t="n">
        <f aca="false">SUM(H85:H86)</f>
        <v>1436025.90560768</v>
      </c>
      <c r="I87" s="209" t="n">
        <f aca="false">SUM(I85:I86)</f>
        <v>1429522.7957504</v>
      </c>
      <c r="J87" s="209" t="n">
        <f aca="false">SUM(J85:J86)</f>
        <v>1423019.68589312</v>
      </c>
      <c r="K87" s="209" t="n">
        <f aca="false">SUM(K85:K86)</f>
        <v>1416516.57603584</v>
      </c>
      <c r="L87" s="209" t="n">
        <f aca="false">SUM(L85:L86)</f>
        <v>1410013.46617856</v>
      </c>
      <c r="M87" s="209" t="n">
        <f aca="false">SUM(M85:M86)</f>
        <v>1403510.35632128</v>
      </c>
      <c r="N87" s="209" t="n">
        <f aca="false">SUM(N85:N86)</f>
        <v>1397007.246464</v>
      </c>
      <c r="O87" s="209" t="n">
        <f aca="false">SUM(O85:O86)</f>
        <v>1390504.13660672</v>
      </c>
      <c r="P87" s="209" t="n">
        <f aca="false">SUM(P85:P86)</f>
        <v>1384001.02674944</v>
      </c>
      <c r="Q87" s="209" t="n">
        <f aca="false">SUM(Q85:Q86)</f>
        <v>1377497.91689216</v>
      </c>
      <c r="R87" s="209" t="n">
        <f aca="false">SUM(R85:R86)</f>
        <v>1370994.80703488</v>
      </c>
      <c r="S87" s="209" t="n">
        <f aca="false">SUM(S85:S86)</f>
        <v>1364491.6971776</v>
      </c>
      <c r="T87" s="209" t="n">
        <f aca="false">SUM(T85:T86)</f>
        <v>1357988.58732032</v>
      </c>
      <c r="U87" s="209" t="n">
        <f aca="false">SUM(U85:U86)</f>
        <v>1351485.47746304</v>
      </c>
      <c r="V87" s="209" t="n">
        <f aca="false">SUM(V85:V86)</f>
        <v>1344982.36760576</v>
      </c>
      <c r="W87" s="209" t="n">
        <f aca="false">SUM(W85:W86)</f>
        <v>1338479.25774848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-275736.01053312</v>
      </c>
      <c r="F95" s="216" t="n">
        <f aca="false">-E85*$D$33</f>
        <v>-269883.211661568</v>
      </c>
      <c r="G95" s="216" t="n">
        <f aca="false">-F85*$D$33</f>
        <v>-264030.412790016</v>
      </c>
      <c r="H95" s="216" t="n">
        <f aca="false">-G85*$D$33</f>
        <v>-258177.613918464</v>
      </c>
      <c r="I95" s="216" t="n">
        <f aca="false">-H85*$D$33</f>
        <v>-252324.815046912</v>
      </c>
      <c r="J95" s="216" t="n">
        <f aca="false">-I85*$D$33</f>
        <v>-246472.01617536</v>
      </c>
      <c r="K95" s="216" t="n">
        <f aca="false">-J85*$D$33</f>
        <v>-240619.217303808</v>
      </c>
      <c r="L95" s="216" t="n">
        <f aca="false">-K85*$D$33</f>
        <v>-234766.418432256</v>
      </c>
      <c r="M95" s="216" t="n">
        <f aca="false">-L85*$D$33</f>
        <v>-228913.619560704</v>
      </c>
      <c r="N95" s="216" t="n">
        <f aca="false">-M85*$D$33</f>
        <v>-223060.820689152</v>
      </c>
      <c r="O95" s="216" t="n">
        <f aca="false">-N85*$D$33</f>
        <v>-217208.0218176</v>
      </c>
      <c r="P95" s="216" t="n">
        <f aca="false">-O85*$D$33</f>
        <v>-211355.222946048</v>
      </c>
      <c r="Q95" s="216" t="n">
        <f aca="false">-P85*$D$33</f>
        <v>-205502.424074496</v>
      </c>
      <c r="R95" s="216" t="n">
        <f aca="false">-Q85*$D$33</f>
        <v>-199649.625202944</v>
      </c>
      <c r="S95" s="216" t="n">
        <f aca="false">-R85*$D$33</f>
        <v>-193796.826331392</v>
      </c>
      <c r="T95" s="216" t="n">
        <f aca="false">-S85*$D$33</f>
        <v>-187944.02745984</v>
      </c>
      <c r="U95" s="216" t="n">
        <f aca="false">-T85*$D$33</f>
        <v>-182091.228588288</v>
      </c>
      <c r="V95" s="216" t="n">
        <f aca="false">-U85*$D$33</f>
        <v>-176238.429716736</v>
      </c>
      <c r="W95" s="216" t="n">
        <f aca="false">-V85*$D$33</f>
        <v>-170385.630845184</v>
      </c>
      <c r="X95" s="216" t="n">
        <f aca="false">-W85*$D$33</f>
        <v>-164532.831973632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-23602487.6027853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1462038.3450368</v>
      </c>
      <c r="E99" s="206" t="n">
        <f aca="false">SUM(E87:E96)</f>
        <v>1179799.2246464</v>
      </c>
      <c r="F99" s="206" t="n">
        <f aca="false">SUM(F87:F96)</f>
        <v>1179148.91366067</v>
      </c>
      <c r="G99" s="206" t="n">
        <f aca="false">SUM(G87:G96)</f>
        <v>1178498.60267494</v>
      </c>
      <c r="H99" s="206" t="n">
        <f aca="false">SUM(H87:H96)</f>
        <v>1177848.29168922</v>
      </c>
      <c r="I99" s="206" t="n">
        <f aca="false">SUM(I87:I96)</f>
        <v>1177197.98070349</v>
      </c>
      <c r="J99" s="206" t="n">
        <f aca="false">SUM(J87:J96)</f>
        <v>1176547.66971776</v>
      </c>
      <c r="K99" s="206" t="n">
        <f aca="false">SUM(K87:K96)</f>
        <v>1175897.35873203</v>
      </c>
      <c r="L99" s="206" t="n">
        <f aca="false">SUM(L87:L96)</f>
        <v>1175247.0477463</v>
      </c>
      <c r="M99" s="206" t="n">
        <f aca="false">SUM(M87:M96)</f>
        <v>1174596.73676058</v>
      </c>
      <c r="N99" s="206" t="n">
        <f aca="false">SUM(N87:N96)</f>
        <v>1173946.42577485</v>
      </c>
      <c r="O99" s="206" t="n">
        <f aca="false">SUM(O87:O96)</f>
        <v>1173296.11478912</v>
      </c>
      <c r="P99" s="206" t="n">
        <f aca="false">SUM(P87:P96)</f>
        <v>1172645.80380339</v>
      </c>
      <c r="Q99" s="206" t="n">
        <f aca="false">SUM(Q87:Q96)</f>
        <v>1171995.49281766</v>
      </c>
      <c r="R99" s="206" t="n">
        <f aca="false">SUM(R87:R96)</f>
        <v>1171345.18183194</v>
      </c>
      <c r="S99" s="206" t="n">
        <f aca="false">SUM(S87:S96)</f>
        <v>1170694.87084621</v>
      </c>
      <c r="T99" s="206" t="n">
        <f aca="false">SUM(T87:T96)</f>
        <v>1170044.55986048</v>
      </c>
      <c r="U99" s="206" t="n">
        <f aca="false">SUM(U87:U96)</f>
        <v>1169394.24887475</v>
      </c>
      <c r="V99" s="206" t="n">
        <f aca="false">SUM(V87:V96)</f>
        <v>1168743.93788902</v>
      </c>
      <c r="W99" s="206" t="n">
        <f aca="false">SUM(W87:W96)</f>
        <v>1168093.6269033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1462038.3450368</v>
      </c>
      <c r="F100" s="206" t="n">
        <f aca="false">E101</f>
        <v>2641837.5696832</v>
      </c>
      <c r="G100" s="206" t="n">
        <f aca="false">F101</f>
        <v>3820986.48334387</v>
      </c>
      <c r="H100" s="206" t="n">
        <f aca="false">G101</f>
        <v>4999485.08601882</v>
      </c>
      <c r="I100" s="206" t="n">
        <f aca="false">H101</f>
        <v>6177333.37770803</v>
      </c>
      <c r="J100" s="206" t="n">
        <f aca="false">I101</f>
        <v>7354531.35841152</v>
      </c>
      <c r="K100" s="206" t="n">
        <f aca="false">J101</f>
        <v>8531079.02812928</v>
      </c>
      <c r="L100" s="206" t="n">
        <f aca="false">K101</f>
        <v>9706976.38686131</v>
      </c>
      <c r="M100" s="206" t="n">
        <f aca="false">L101</f>
        <v>10882223.4346076</v>
      </c>
      <c r="N100" s="206" t="n">
        <f aca="false">M101</f>
        <v>12056820.1713682</v>
      </c>
      <c r="O100" s="206" t="n">
        <f aca="false">N101</f>
        <v>13230766.597143</v>
      </c>
      <c r="P100" s="206" t="n">
        <f aca="false">O101</f>
        <v>14404062.7119322</v>
      </c>
      <c r="Q100" s="206" t="n">
        <f aca="false">P101</f>
        <v>15576708.5157356</v>
      </c>
      <c r="R100" s="206" t="n">
        <f aca="false">Q101</f>
        <v>16748704.0085532</v>
      </c>
      <c r="S100" s="206" t="n">
        <f aca="false">R101</f>
        <v>17920049.1903852</v>
      </c>
      <c r="T100" s="206" t="n">
        <f aca="false">S101</f>
        <v>19090744.0612314</v>
      </c>
      <c r="U100" s="206" t="n">
        <f aca="false">T101</f>
        <v>20260788.6210918</v>
      </c>
      <c r="V100" s="206" t="n">
        <f aca="false">U101</f>
        <v>21430182.8699666</v>
      </c>
      <c r="W100" s="206" t="n">
        <f aca="false">V101</f>
        <v>22598926.8078556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1462038.3450368</v>
      </c>
      <c r="E101" s="206" t="n">
        <f aca="false">E99+E100</f>
        <v>2641837.5696832</v>
      </c>
      <c r="F101" s="206" t="n">
        <f aca="false">F99+F100</f>
        <v>3820986.48334387</v>
      </c>
      <c r="G101" s="206" t="n">
        <f aca="false">G99+G100</f>
        <v>4999485.08601882</v>
      </c>
      <c r="H101" s="206" t="n">
        <f aca="false">H99+H100</f>
        <v>6177333.37770803</v>
      </c>
      <c r="I101" s="206" t="n">
        <f aca="false">I99+I100</f>
        <v>7354531.35841152</v>
      </c>
      <c r="J101" s="206" t="n">
        <f aca="false">J99+J100</f>
        <v>8531079.02812928</v>
      </c>
      <c r="K101" s="206" t="n">
        <f aca="false">K99+K100</f>
        <v>9706976.38686131</v>
      </c>
      <c r="L101" s="206" t="n">
        <f aca="false">L99+L100</f>
        <v>10882223.4346076</v>
      </c>
      <c r="M101" s="206" t="n">
        <f aca="false">M99+M100</f>
        <v>12056820.1713682</v>
      </c>
      <c r="N101" s="206" t="n">
        <f aca="false">N99+N100</f>
        <v>13230766.597143</v>
      </c>
      <c r="O101" s="206" t="n">
        <f aca="false">O99+O100</f>
        <v>14404062.7119322</v>
      </c>
      <c r="P101" s="206" t="n">
        <f aca="false">P99+P100</f>
        <v>15576708.5157356</v>
      </c>
      <c r="Q101" s="206" t="n">
        <f aca="false">Q99+Q100</f>
        <v>16748704.0085532</v>
      </c>
      <c r="R101" s="206" t="n">
        <f aca="false">R99+R100</f>
        <v>17920049.1903852</v>
      </c>
      <c r="S101" s="206" t="n">
        <f aca="false">S99+S100</f>
        <v>19090744.0612314</v>
      </c>
      <c r="T101" s="206" t="n">
        <f aca="false">T99+T100</f>
        <v>20260788.6210918</v>
      </c>
      <c r="U101" s="206" t="n">
        <f aca="false">U99+U100</f>
        <v>21430182.8699666</v>
      </c>
      <c r="V101" s="206" t="n">
        <f aca="false">V99+V100</f>
        <v>22598926.8078556</v>
      </c>
      <c r="W101" s="206" t="n">
        <f aca="false">W99+W100</f>
        <v>23767020.4347589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275736.01053312</v>
      </c>
      <c r="F104" s="209" t="n">
        <f aca="false">-F95-F96</f>
        <v>269883.211661568</v>
      </c>
      <c r="G104" s="209" t="n">
        <f aca="false">-G95-G96</f>
        <v>264030.412790016</v>
      </c>
      <c r="H104" s="209" t="n">
        <f aca="false">-H95-H96</f>
        <v>258177.613918464</v>
      </c>
      <c r="I104" s="209" t="n">
        <f aca="false">-I95-I96</f>
        <v>252324.815046912</v>
      </c>
      <c r="J104" s="209" t="n">
        <f aca="false">-J95-J96</f>
        <v>246472.01617536</v>
      </c>
      <c r="K104" s="209" t="n">
        <f aca="false">-K95-K96</f>
        <v>240619.217303808</v>
      </c>
      <c r="L104" s="209" t="n">
        <f aca="false">-L95-L96</f>
        <v>234766.418432256</v>
      </c>
      <c r="M104" s="209" t="n">
        <f aca="false">-M95-M96</f>
        <v>228913.619560704</v>
      </c>
      <c r="N104" s="209" t="n">
        <f aca="false">-N95-N96</f>
        <v>223060.820689152</v>
      </c>
      <c r="O104" s="209" t="n">
        <f aca="false">-O95-O96</f>
        <v>217208.0218176</v>
      </c>
      <c r="P104" s="209" t="n">
        <f aca="false">-P95-P96</f>
        <v>211355.222946048</v>
      </c>
      <c r="Q104" s="209" t="n">
        <f aca="false">-Q95-Q96</f>
        <v>205502.424074496</v>
      </c>
      <c r="R104" s="209" t="n">
        <f aca="false">-R95-R96</f>
        <v>199649.625202944</v>
      </c>
      <c r="S104" s="209" t="n">
        <f aca="false">-S95-S96</f>
        <v>193796.826331392</v>
      </c>
      <c r="T104" s="209" t="n">
        <f aca="false">-T95-T96</f>
        <v>187944.02745984</v>
      </c>
      <c r="U104" s="209" t="n">
        <f aca="false">-U95-U96</f>
        <v>182091.228588288</v>
      </c>
      <c r="V104" s="209" t="n">
        <f aca="false">-V95-V96</f>
        <v>176238.429716736</v>
      </c>
      <c r="W104" s="209" t="n">
        <f aca="false">-W95-W96</f>
        <v>170385.630845184</v>
      </c>
      <c r="X104" s="209" t="n">
        <f aca="false">-X95-X96</f>
        <v>23767020.4347589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0.113356793028122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-4316286.6549632</v>
      </c>
      <c r="E106" s="209" t="n">
        <f aca="false">E85</f>
        <v>299870.23517952</v>
      </c>
      <c r="F106" s="209" t="n">
        <f aca="false">F85-F96</f>
        <v>293367.12532224</v>
      </c>
      <c r="G106" s="209" t="n">
        <f aca="false">G85-G96</f>
        <v>286864.01546496</v>
      </c>
      <c r="H106" s="209" t="n">
        <f aca="false">H85-H96</f>
        <v>280360.90560768</v>
      </c>
      <c r="I106" s="209" t="n">
        <f aca="false">I85-I96</f>
        <v>273857.7957504</v>
      </c>
      <c r="J106" s="209" t="n">
        <f aca="false">J85-J96</f>
        <v>267354.68589312</v>
      </c>
      <c r="K106" s="209" t="n">
        <f aca="false">K85-K96</f>
        <v>260851.57603584</v>
      </c>
      <c r="L106" s="209" t="n">
        <f aca="false">L85-L96</f>
        <v>254348.46617856</v>
      </c>
      <c r="M106" s="209" t="n">
        <f aca="false">M85-M96</f>
        <v>247845.35632128</v>
      </c>
      <c r="N106" s="209" t="n">
        <f aca="false">N85-N96</f>
        <v>241342.246464</v>
      </c>
      <c r="O106" s="209" t="n">
        <f aca="false">O85-O96</f>
        <v>234839.13660672</v>
      </c>
      <c r="P106" s="209" t="n">
        <f aca="false">P85-P96</f>
        <v>228336.02674944</v>
      </c>
      <c r="Q106" s="209" t="n">
        <f aca="false">Q85-Q96</f>
        <v>221832.91689216</v>
      </c>
      <c r="R106" s="209" t="n">
        <f aca="false">R85-R96</f>
        <v>215329.80703488</v>
      </c>
      <c r="S106" s="209" t="n">
        <f aca="false">S85-S96</f>
        <v>208826.6971776</v>
      </c>
      <c r="T106" s="209" t="n">
        <f aca="false">T85-T96</f>
        <v>202323.58732032</v>
      </c>
      <c r="U106" s="209" t="n">
        <f aca="false">U85-U96</f>
        <v>195820.47746304</v>
      </c>
      <c r="V106" s="209" t="n">
        <f aca="false">V85-V96</f>
        <v>189317.36760576</v>
      </c>
      <c r="W106" s="209" t="n">
        <f aca="false">W85-W96</f>
        <v>182814.25774848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0.00667522000253615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18490640</v>
      </c>
      <c r="F109" s="206" t="n">
        <f aca="false">E109+F93</f>
        <v>18490640</v>
      </c>
      <c r="G109" s="206" t="n">
        <f aca="false">F109+G93</f>
        <v>18490640</v>
      </c>
      <c r="H109" s="206" t="n">
        <f aca="false">G109+H93</f>
        <v>18490640</v>
      </c>
      <c r="I109" s="206" t="n">
        <f aca="false">H109+I93</f>
        <v>18490640</v>
      </c>
      <c r="J109" s="206" t="n">
        <f aca="false">I109+J93</f>
        <v>18490640</v>
      </c>
      <c r="K109" s="206" t="n">
        <f aca="false">J109+K93</f>
        <v>18490640</v>
      </c>
      <c r="L109" s="206" t="n">
        <f aca="false">K109+L93</f>
        <v>18490640</v>
      </c>
      <c r="M109" s="206" t="n">
        <f aca="false">L109+M93</f>
        <v>18490640</v>
      </c>
      <c r="N109" s="206" t="n">
        <f aca="false">M109+N93</f>
        <v>18490640</v>
      </c>
      <c r="O109" s="206" t="n">
        <f aca="false">N109+O93</f>
        <v>18490640</v>
      </c>
      <c r="P109" s="206" t="n">
        <f aca="false">O109+P93</f>
        <v>18490640</v>
      </c>
      <c r="Q109" s="206" t="n">
        <f aca="false">P109+Q93</f>
        <v>18490640</v>
      </c>
      <c r="R109" s="206" t="n">
        <f aca="false">Q109+R93</f>
        <v>18490640</v>
      </c>
      <c r="S109" s="206" t="n">
        <f aca="false">R109+S93</f>
        <v>18490640</v>
      </c>
      <c r="T109" s="206" t="n">
        <f aca="false">S109+T93</f>
        <v>18490640</v>
      </c>
      <c r="U109" s="206" t="n">
        <f aca="false">T109+U93</f>
        <v>18490640</v>
      </c>
      <c r="V109" s="206" t="n">
        <f aca="false">U109+V93</f>
        <v>18490640</v>
      </c>
      <c r="W109" s="206" t="n">
        <f aca="false">V109+W93</f>
        <v>18490640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117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-183706.9224192</v>
      </c>
      <c r="E54" s="170" t="n">
        <f aca="false">-(E64+E67+E68+E71+E72+E73+E74)*0.2</f>
        <v>-182081.14495488</v>
      </c>
      <c r="F54" s="170" t="n">
        <f aca="false">-(F64+F67+F68+F71+F72+F73+F74)*0.2</f>
        <v>-180455.36749056</v>
      </c>
      <c r="G54" s="170" t="n">
        <f aca="false">-(G64+G67+G68+G71+G72+G73+G74)*0.2</f>
        <v>-178829.59002624</v>
      </c>
      <c r="H54" s="170" t="n">
        <f aca="false">-(H64+H67+H68+H71+H72+H73+H74)*0.2</f>
        <v>-177203.81256192</v>
      </c>
      <c r="I54" s="170" t="n">
        <f aca="false">-(I64+I67+I68+I71+I72+I73+I74)*0.2</f>
        <v>-175578.0350976</v>
      </c>
      <c r="J54" s="170" t="n">
        <f aca="false">-(J64+J67+J68+J71+J72+J73+J74)*0.2</f>
        <v>-173952.25763328</v>
      </c>
      <c r="K54" s="170" t="n">
        <f aca="false">-(K64+K67+K68+K71+K72+K73+K74)*0.2</f>
        <v>-172326.48016896</v>
      </c>
      <c r="L54" s="170" t="n">
        <f aca="false">-(L64+L67+L68+L71+L72+L73+L74)*0.2</f>
        <v>-170700.70270464</v>
      </c>
      <c r="M54" s="170" t="n">
        <f aca="false">-(M64+M67+M68+M71+M72+M73+M74)*0.2</f>
        <v>-169074.92524032</v>
      </c>
      <c r="N54" s="170" t="n">
        <f aca="false">-(N64+N67+N68+N71+N72+N73+N74)*0.2</f>
        <v>-167449.147776</v>
      </c>
      <c r="O54" s="170" t="n">
        <f aca="false">-(O64+O67+O68+O71+O72+O73+O74)*0.2</f>
        <v>-165823.37031168</v>
      </c>
      <c r="P54" s="170" t="n">
        <f aca="false">-(P64+P67+P68+P71+P72+P73+P74)*0.2</f>
        <v>-164197.59284736</v>
      </c>
      <c r="Q54" s="170" t="n">
        <f aca="false">-(Q64+Q67+Q68+Q71+Q72+Q73+Q74)*0.2</f>
        <v>-162571.81538304</v>
      </c>
      <c r="R54" s="170" t="n">
        <f aca="false">-(R64+R67+R68+R71+R72+R73+R74)*0.2</f>
        <v>-160946.03791872</v>
      </c>
      <c r="S54" s="170" t="n">
        <f aca="false">-(S64+S67+S68+S71+S72+S73+S74)*0.2</f>
        <v>-159320.2604544</v>
      </c>
      <c r="T54" s="170" t="n">
        <f aca="false">-(T64+T67+T68+T71+T72+T73+T74)*0.2</f>
        <v>-157694.48299008</v>
      </c>
      <c r="U54" s="170" t="n">
        <f aca="false">-(U64+U67+U68+U71+U72+U73+U74)*0.2</f>
        <v>-156068.70552576</v>
      </c>
      <c r="V54" s="170" t="n">
        <f aca="false">-(V64+V67+V68+V71+V72+V73+V74)*0.2</f>
        <v>-154442.92806144</v>
      </c>
      <c r="W54" s="170" t="n">
        <f aca="false">-(W64+W67+W68+W71+W72+W73+W74)*0.2</f>
        <v>-152817.15059712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1828192.6896768</v>
      </c>
      <c r="E55" s="175" t="n">
        <f aca="false">SUM(E41:E54)</f>
        <v>1821689.57981952</v>
      </c>
      <c r="F55" s="175" t="n">
        <f aca="false">SUM(F41:F54)</f>
        <v>1815186.46996224</v>
      </c>
      <c r="G55" s="175" t="n">
        <f aca="false">SUM(G41:G54)</f>
        <v>1808683.36010496</v>
      </c>
      <c r="H55" s="175" t="n">
        <f aca="false">SUM(H41:H54)</f>
        <v>1802180.25024768</v>
      </c>
      <c r="I55" s="175" t="n">
        <f aca="false">SUM(I41:I54)</f>
        <v>1795677.1403904</v>
      </c>
      <c r="J55" s="175" t="n">
        <f aca="false">SUM(J41:J54)</f>
        <v>1789174.03053312</v>
      </c>
      <c r="K55" s="175" t="n">
        <f aca="false">SUM(K41:K54)</f>
        <v>1782670.92067584</v>
      </c>
      <c r="L55" s="175" t="n">
        <f aca="false">SUM(L41:L54)</f>
        <v>1776167.81081856</v>
      </c>
      <c r="M55" s="175" t="n">
        <f aca="false">SUM(M41:M54)</f>
        <v>1769664.70096128</v>
      </c>
      <c r="N55" s="175" t="n">
        <f aca="false">SUM(N41:N54)</f>
        <v>1763161.591104</v>
      </c>
      <c r="O55" s="175" t="n">
        <f aca="false">SUM(O41:O54)</f>
        <v>1756658.48124672</v>
      </c>
      <c r="P55" s="175" t="n">
        <f aca="false">SUM(P41:P54)</f>
        <v>1750155.37138944</v>
      </c>
      <c r="Q55" s="175" t="n">
        <f aca="false">SUM(Q41:Q54)</f>
        <v>1743652.26153216</v>
      </c>
      <c r="R55" s="175" t="n">
        <f aca="false">SUM(R41:R54)</f>
        <v>1737149.15167488</v>
      </c>
      <c r="S55" s="175" t="n">
        <f aca="false">SUM(S41:S54)</f>
        <v>1730646.0418176</v>
      </c>
      <c r="T55" s="175" t="n">
        <f aca="false">SUM(T41:T54)</f>
        <v>1724142.93196032</v>
      </c>
      <c r="U55" s="175" t="n">
        <f aca="false">SUM(U41:U54)</f>
        <v>1717639.82210304</v>
      </c>
      <c r="V55" s="175" t="n">
        <f aca="false">SUM(V41:V54)</f>
        <v>1711136.71224576</v>
      </c>
      <c r="W55" s="175" t="n">
        <f aca="false">SUM(W41:W54)</f>
        <v>1704633.60238848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-20039107.3103232</v>
      </c>
      <c r="E56" s="180" t="n">
        <f aca="false">D56+E55</f>
        <v>-18217417.7305037</v>
      </c>
      <c r="F56" s="180" t="n">
        <f aca="false">E56+F55</f>
        <v>-16402231.2605414</v>
      </c>
      <c r="G56" s="180" t="n">
        <f aca="false">F56+G55</f>
        <v>-14593547.9004365</v>
      </c>
      <c r="H56" s="180" t="n">
        <f aca="false">G56+H55</f>
        <v>-12791367.6501888</v>
      </c>
      <c r="I56" s="180" t="n">
        <f aca="false">H56+I55</f>
        <v>-10995690.5097984</v>
      </c>
      <c r="J56" s="180" t="n">
        <f aca="false">I56+J55</f>
        <v>-9206516.47926529</v>
      </c>
      <c r="K56" s="180" t="n">
        <f aca="false">J56+K55</f>
        <v>-7423845.55858945</v>
      </c>
      <c r="L56" s="180" t="n">
        <f aca="false">K56+L55</f>
        <v>-5647677.74777089</v>
      </c>
      <c r="M56" s="180" t="n">
        <f aca="false">L56+M55</f>
        <v>-3878013.04680961</v>
      </c>
      <c r="N56" s="180" t="n">
        <f aca="false">M56+N55</f>
        <v>-2114851.45570561</v>
      </c>
      <c r="O56" s="180" t="n">
        <f aca="false">N56+O55</f>
        <v>-358192.974458888</v>
      </c>
      <c r="P56" s="180" t="n">
        <f aca="false">O56+P55</f>
        <v>1391962.39693055</v>
      </c>
      <c r="Q56" s="180" t="n">
        <f aca="false">P56+Q55</f>
        <v>3135614.65846271</v>
      </c>
      <c r="R56" s="180" t="n">
        <f aca="false">Q56+R55</f>
        <v>4872763.81013759</v>
      </c>
      <c r="S56" s="180" t="n">
        <f aca="false">R56+S55</f>
        <v>6603409.85195519</v>
      </c>
      <c r="T56" s="180" t="n">
        <f aca="false">S56+T55</f>
        <v>8327552.78391551</v>
      </c>
      <c r="U56" s="180" t="n">
        <f aca="false">T56+U55</f>
        <v>10045192.6060186</v>
      </c>
      <c r="V56" s="180" t="n">
        <f aca="false">U56+V55</f>
        <v>11756329.3182643</v>
      </c>
      <c r="W56" s="180" t="n">
        <f aca="false">V56+W55</f>
        <v>13460962.9206528</v>
      </c>
      <c r="X56" s="180" t="n">
        <f aca="false">W56+X55</f>
        <v>13460962.9206528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0.0515012277555096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-447754.8348</v>
      </c>
      <c r="F70" s="170" t="n">
        <f aca="false">-F109*$D25</f>
        <v>-447754.8348</v>
      </c>
      <c r="G70" s="170" t="n">
        <f aca="false">-G109*$D25</f>
        <v>-447754.8348</v>
      </c>
      <c r="H70" s="170" t="n">
        <f aca="false">-H109*$D25</f>
        <v>-447754.8348</v>
      </c>
      <c r="I70" s="170" t="n">
        <f aca="false">-I109*$D25</f>
        <v>-447754.8348</v>
      </c>
      <c r="J70" s="170" t="n">
        <f aca="false">-J109*$D25</f>
        <v>-447754.8348</v>
      </c>
      <c r="K70" s="170" t="n">
        <f aca="false">-K109*$D25</f>
        <v>-447754.8348</v>
      </c>
      <c r="L70" s="170" t="n">
        <f aca="false">-L109*$D25</f>
        <v>-447754.8348</v>
      </c>
      <c r="M70" s="170" t="n">
        <f aca="false">-M109*$D25</f>
        <v>-447754.8348</v>
      </c>
      <c r="N70" s="170" t="n">
        <f aca="false">-N109*$D25</f>
        <v>-447754.8348</v>
      </c>
      <c r="O70" s="170" t="n">
        <f aca="false">-O109*$D25</f>
        <v>-447754.8348</v>
      </c>
      <c r="P70" s="170" t="n">
        <f aca="false">-P109*$D25</f>
        <v>-447754.8348</v>
      </c>
      <c r="Q70" s="170" t="n">
        <f aca="false">-Q109*$D25</f>
        <v>-447754.8348</v>
      </c>
      <c r="R70" s="170" t="n">
        <f aca="false">-R109*$D25</f>
        <v>-447754.8348</v>
      </c>
      <c r="S70" s="170" t="n">
        <f aca="false">-S109*$D25</f>
        <v>-447754.8348</v>
      </c>
      <c r="T70" s="170" t="n">
        <f aca="false">-T109*$D25</f>
        <v>-447754.8348</v>
      </c>
      <c r="U70" s="170" t="n">
        <f aca="false">-U109*$D25</f>
        <v>-447754.8348</v>
      </c>
      <c r="V70" s="170" t="n">
        <f aca="false">-V109*$D25</f>
        <v>-447754.8348</v>
      </c>
      <c r="W70" s="170" t="n">
        <f aca="false">-W109*$D25</f>
        <v>-447754.8348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470779.777295999</v>
      </c>
      <c r="E76" s="175" t="n">
        <f aca="false">SUM(E64:E75)</f>
        <v>462650.889974399</v>
      </c>
      <c r="F76" s="175" t="n">
        <f aca="false">SUM(F64:F75)</f>
        <v>454522.0026528</v>
      </c>
      <c r="G76" s="175" t="n">
        <f aca="false">SUM(G64:G75)</f>
        <v>446393.1153312</v>
      </c>
      <c r="H76" s="175" t="n">
        <f aca="false">SUM(H64:H75)</f>
        <v>438264.2280096</v>
      </c>
      <c r="I76" s="175" t="n">
        <f aca="false">SUM(I64:I75)</f>
        <v>430135.340688</v>
      </c>
      <c r="J76" s="175" t="n">
        <f aca="false">SUM(J64:J75)</f>
        <v>422006.4533664</v>
      </c>
      <c r="K76" s="175" t="n">
        <f aca="false">SUM(K64:K75)</f>
        <v>413877.5660448</v>
      </c>
      <c r="L76" s="175" t="n">
        <f aca="false">SUM(L64:L75)</f>
        <v>405748.6787232</v>
      </c>
      <c r="M76" s="175" t="n">
        <f aca="false">SUM(M64:M75)</f>
        <v>397619.7914016</v>
      </c>
      <c r="N76" s="175" t="n">
        <f aca="false">SUM(N64:N75)</f>
        <v>389490.90408</v>
      </c>
      <c r="O76" s="175" t="n">
        <f aca="false">SUM(O64:O75)</f>
        <v>381362.0167584</v>
      </c>
      <c r="P76" s="175" t="n">
        <f aca="false">SUM(P64:P75)</f>
        <v>373233.1294368</v>
      </c>
      <c r="Q76" s="175" t="n">
        <f aca="false">SUM(Q64:Q75)</f>
        <v>365104.2421152</v>
      </c>
      <c r="R76" s="175" t="n">
        <f aca="false">SUM(R64:R75)</f>
        <v>356975.3547936</v>
      </c>
      <c r="S76" s="175" t="n">
        <f aca="false">SUM(S64:S75)</f>
        <v>348846.467472</v>
      </c>
      <c r="T76" s="175" t="n">
        <f aca="false">SUM(T64:T75)</f>
        <v>340717.580150399</v>
      </c>
      <c r="U76" s="175" t="n">
        <f aca="false">SUM(U64:U75)</f>
        <v>332588.6928288</v>
      </c>
      <c r="V76" s="175" t="n">
        <f aca="false">SUM(V64:V75)</f>
        <v>324459.805507199</v>
      </c>
      <c r="W76" s="175" t="n">
        <f aca="false">SUM(W64:W75)</f>
        <v>316330.9181856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-94155.9554591999</v>
      </c>
      <c r="E77" s="170" t="n">
        <f aca="false">-E76*0.2</f>
        <v>-92530.1779948799</v>
      </c>
      <c r="F77" s="170" t="n">
        <f aca="false">-F76*0.2</f>
        <v>-90904.4005305599</v>
      </c>
      <c r="G77" s="170" t="n">
        <f aca="false">-G76*0.2</f>
        <v>-89278.62306624</v>
      </c>
      <c r="H77" s="170" t="n">
        <f aca="false">-H76*0.2</f>
        <v>-87652.8456019199</v>
      </c>
      <c r="I77" s="170" t="n">
        <f aca="false">-I76*0.2</f>
        <v>-86027.0681375999</v>
      </c>
      <c r="J77" s="170" t="n">
        <f aca="false">-J76*0.2</f>
        <v>-84401.29067328</v>
      </c>
      <c r="K77" s="170" t="n">
        <f aca="false">-K76*0.2</f>
        <v>-82775.5132089599</v>
      </c>
      <c r="L77" s="170" t="n">
        <f aca="false">-L76*0.2</f>
        <v>-81149.7357446399</v>
      </c>
      <c r="M77" s="170" t="n">
        <f aca="false">-M76*0.2</f>
        <v>-79523.9582803199</v>
      </c>
      <c r="N77" s="170" t="n">
        <f aca="false">-N76*0.2</f>
        <v>-77898.1808159999</v>
      </c>
      <c r="O77" s="170" t="n">
        <f aca="false">-O76*0.2</f>
        <v>-76272.4033516799</v>
      </c>
      <c r="P77" s="170" t="n">
        <f aca="false">-P76*0.2</f>
        <v>-74646.6258873599</v>
      </c>
      <c r="Q77" s="170" t="n">
        <f aca="false">-Q76*0.2</f>
        <v>-73020.8484230399</v>
      </c>
      <c r="R77" s="170" t="n">
        <f aca="false">-R76*0.2</f>
        <v>-71395.0709587199</v>
      </c>
      <c r="S77" s="170" t="n">
        <f aca="false">-S76*0.2</f>
        <v>-69769.2934943999</v>
      </c>
      <c r="T77" s="170" t="n">
        <f aca="false">-T76*0.2</f>
        <v>-68143.5160300799</v>
      </c>
      <c r="U77" s="170" t="n">
        <f aca="false">-U76*0.2</f>
        <v>-66517.7385657599</v>
      </c>
      <c r="V77" s="170" t="n">
        <f aca="false">-V76*0.2</f>
        <v>-64891.9611014399</v>
      </c>
      <c r="W77" s="170" t="n">
        <f aca="false">-W76*0.2</f>
        <v>-63266.1836371199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376623.8218368</v>
      </c>
      <c r="E78" s="170" t="n">
        <f aca="false">SUM(E76:E77)</f>
        <v>370120.71197952</v>
      </c>
      <c r="F78" s="170" t="n">
        <f aca="false">SUM(F76:F77)</f>
        <v>363617.60212224</v>
      </c>
      <c r="G78" s="170" t="n">
        <f aca="false">SUM(G76:G77)</f>
        <v>357114.49226496</v>
      </c>
      <c r="H78" s="170" t="n">
        <f aca="false">SUM(H76:H77)</f>
        <v>350611.38240768</v>
      </c>
      <c r="I78" s="170" t="n">
        <f aca="false">SUM(I76:I77)</f>
        <v>344108.2725504</v>
      </c>
      <c r="J78" s="170" t="n">
        <f aca="false">SUM(J76:J77)</f>
        <v>337605.16269312</v>
      </c>
      <c r="K78" s="170" t="n">
        <f aca="false">SUM(K76:K77)</f>
        <v>331102.05283584</v>
      </c>
      <c r="L78" s="170" t="n">
        <f aca="false">SUM(L76:L77)</f>
        <v>324598.94297856</v>
      </c>
      <c r="M78" s="170" t="n">
        <f aca="false">SUM(M76:M77)</f>
        <v>318095.83312128</v>
      </c>
      <c r="N78" s="170" t="n">
        <f aca="false">SUM(N76:N77)</f>
        <v>311592.723264</v>
      </c>
      <c r="O78" s="170" t="n">
        <f aca="false">SUM(O76:O77)</f>
        <v>305089.61340672</v>
      </c>
      <c r="P78" s="170" t="n">
        <f aca="false">SUM(P76:P77)</f>
        <v>298586.50354944</v>
      </c>
      <c r="Q78" s="170" t="n">
        <f aca="false">SUM(Q76:Q77)</f>
        <v>292083.39369216</v>
      </c>
      <c r="R78" s="170" t="n">
        <f aca="false">SUM(R76:R77)</f>
        <v>285580.28383488</v>
      </c>
      <c r="S78" s="170" t="n">
        <f aca="false">SUM(S76:S77)</f>
        <v>279077.1739776</v>
      </c>
      <c r="T78" s="170" t="n">
        <f aca="false">SUM(T76:T77)</f>
        <v>272574.06412032</v>
      </c>
      <c r="U78" s="170" t="n">
        <f aca="false">SUM(U76:U77)</f>
        <v>266070.95426304</v>
      </c>
      <c r="V78" s="170" t="n">
        <f aca="false">SUM(V76:V77)</f>
        <v>259567.84440576</v>
      </c>
      <c r="W78" s="170" t="n">
        <f aca="false">SUM(W76:W77)</f>
        <v>253064.73454848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376623.8218368</v>
      </c>
      <c r="E85" s="206" t="n">
        <f aca="false">E78</f>
        <v>370120.71197952</v>
      </c>
      <c r="F85" s="206" t="n">
        <f aca="false">F78</f>
        <v>363617.60212224</v>
      </c>
      <c r="G85" s="206" t="n">
        <f aca="false">G78</f>
        <v>357114.49226496</v>
      </c>
      <c r="H85" s="206" t="n">
        <f aca="false">H78</f>
        <v>350611.38240768</v>
      </c>
      <c r="I85" s="206" t="n">
        <f aca="false">I78</f>
        <v>344108.2725504</v>
      </c>
      <c r="J85" s="206" t="n">
        <f aca="false">J78</f>
        <v>337605.16269312</v>
      </c>
      <c r="K85" s="206" t="n">
        <f aca="false">K78</f>
        <v>331102.05283584</v>
      </c>
      <c r="L85" s="206" t="n">
        <f aca="false">L78</f>
        <v>324598.94297856</v>
      </c>
      <c r="M85" s="206" t="n">
        <f aca="false">M78</f>
        <v>318095.83312128</v>
      </c>
      <c r="N85" s="206" t="n">
        <f aca="false">N78</f>
        <v>311592.723264</v>
      </c>
      <c r="O85" s="206" t="n">
        <f aca="false">O78</f>
        <v>305089.61340672</v>
      </c>
      <c r="P85" s="206" t="n">
        <f aca="false">P78</f>
        <v>298586.50354944</v>
      </c>
      <c r="Q85" s="206" t="n">
        <f aca="false">Q78</f>
        <v>292083.39369216</v>
      </c>
      <c r="R85" s="206" t="n">
        <f aca="false">R78</f>
        <v>285580.28383488</v>
      </c>
      <c r="S85" s="206" t="n">
        <f aca="false">S78</f>
        <v>279077.1739776</v>
      </c>
      <c r="T85" s="206" t="n">
        <f aca="false">T78</f>
        <v>272574.06412032</v>
      </c>
      <c r="U85" s="206" t="n">
        <f aca="false">U78</f>
        <v>266070.95426304</v>
      </c>
      <c r="V85" s="206" t="n">
        <f aca="false">V78</f>
        <v>259567.84440576</v>
      </c>
      <c r="W85" s="206" t="n">
        <f aca="false">W78</f>
        <v>253064.73454848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1469988.8218368</v>
      </c>
      <c r="E87" s="209" t="n">
        <f aca="false">SUM(E85:E86)</f>
        <v>1463485.71197952</v>
      </c>
      <c r="F87" s="209" t="n">
        <f aca="false">SUM(F85:F86)</f>
        <v>1456982.60212224</v>
      </c>
      <c r="G87" s="209" t="n">
        <f aca="false">SUM(G85:G86)</f>
        <v>1450479.49226496</v>
      </c>
      <c r="H87" s="209" t="n">
        <f aca="false">SUM(H85:H86)</f>
        <v>1443976.38240768</v>
      </c>
      <c r="I87" s="209" t="n">
        <f aca="false">SUM(I85:I86)</f>
        <v>1437473.2725504</v>
      </c>
      <c r="J87" s="209" t="n">
        <f aca="false">SUM(J85:J86)</f>
        <v>1430970.16269312</v>
      </c>
      <c r="K87" s="209" t="n">
        <f aca="false">SUM(K85:K86)</f>
        <v>1424467.05283584</v>
      </c>
      <c r="L87" s="209" t="n">
        <f aca="false">SUM(L85:L86)</f>
        <v>1417963.94297856</v>
      </c>
      <c r="M87" s="209" t="n">
        <f aca="false">SUM(M85:M86)</f>
        <v>1411460.83312128</v>
      </c>
      <c r="N87" s="209" t="n">
        <f aca="false">SUM(N85:N86)</f>
        <v>1404957.723264</v>
      </c>
      <c r="O87" s="209" t="n">
        <f aca="false">SUM(O85:O86)</f>
        <v>1398454.61340672</v>
      </c>
      <c r="P87" s="209" t="n">
        <f aca="false">SUM(P85:P86)</f>
        <v>1391951.50354944</v>
      </c>
      <c r="Q87" s="209" t="n">
        <f aca="false">SUM(Q85:Q86)</f>
        <v>1385448.39369216</v>
      </c>
      <c r="R87" s="209" t="n">
        <f aca="false">SUM(R85:R86)</f>
        <v>1378945.28383488</v>
      </c>
      <c r="S87" s="209" t="n">
        <f aca="false">SUM(S85:S86)</f>
        <v>1372442.1739776</v>
      </c>
      <c r="T87" s="209" t="n">
        <f aca="false">SUM(T85:T86)</f>
        <v>1365939.06412032</v>
      </c>
      <c r="U87" s="209" t="n">
        <f aca="false">SUM(U85:U86)</f>
        <v>1359435.95426304</v>
      </c>
      <c r="V87" s="209" t="n">
        <f aca="false">SUM(V85:V86)</f>
        <v>1352932.84440576</v>
      </c>
      <c r="W87" s="209" t="n">
        <f aca="false">SUM(W85:W86)</f>
        <v>1346429.73454848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-338961.43965312</v>
      </c>
      <c r="F95" s="216" t="n">
        <f aca="false">-E85*$D$33</f>
        <v>-333108.640781568</v>
      </c>
      <c r="G95" s="216" t="n">
        <f aca="false">-F85*$D$33</f>
        <v>-327255.841910016</v>
      </c>
      <c r="H95" s="216" t="n">
        <f aca="false">-G85*$D$33</f>
        <v>-321403.043038464</v>
      </c>
      <c r="I95" s="216" t="n">
        <f aca="false">-H85*$D$33</f>
        <v>-315550.244166912</v>
      </c>
      <c r="J95" s="216" t="n">
        <f aca="false">-I85*$D$33</f>
        <v>-309697.44529536</v>
      </c>
      <c r="K95" s="216" t="n">
        <f aca="false">-J85*$D$33</f>
        <v>-303844.646423808</v>
      </c>
      <c r="L95" s="216" t="n">
        <f aca="false">-K85*$D$33</f>
        <v>-297991.847552256</v>
      </c>
      <c r="M95" s="216" t="n">
        <f aca="false">-L85*$D$33</f>
        <v>-292139.048680704</v>
      </c>
      <c r="N95" s="216" t="n">
        <f aca="false">-M85*$D$33</f>
        <v>-286286.249809152</v>
      </c>
      <c r="O95" s="216" t="n">
        <f aca="false">-N85*$D$33</f>
        <v>-280433.4509376</v>
      </c>
      <c r="P95" s="216" t="n">
        <f aca="false">-O85*$D$33</f>
        <v>-274580.652066048</v>
      </c>
      <c r="Q95" s="216" t="n">
        <f aca="false">-P85*$D$33</f>
        <v>-268727.853194496</v>
      </c>
      <c r="R95" s="216" t="n">
        <f aca="false">-Q85*$D$33</f>
        <v>-262875.054322944</v>
      </c>
      <c r="S95" s="216" t="n">
        <f aca="false">-R85*$D$33</f>
        <v>-257022.255451392</v>
      </c>
      <c r="T95" s="216" t="n">
        <f aca="false">-S85*$D$33</f>
        <v>-251169.45657984</v>
      </c>
      <c r="U95" s="216" t="n">
        <f aca="false">-T85*$D$33</f>
        <v>-245316.657708288</v>
      </c>
      <c r="V95" s="216" t="n">
        <f aca="false">-U85*$D$33</f>
        <v>-239463.858836736</v>
      </c>
      <c r="W95" s="216" t="n">
        <f aca="false">-V85*$D$33</f>
        <v>-233611.059965184</v>
      </c>
      <c r="X95" s="216" t="n">
        <f aca="false">-W85*$D$33</f>
        <v>-227758.261093632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-22496988.5563853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1469988.8218368</v>
      </c>
      <c r="E99" s="206" t="n">
        <f aca="false">SUM(E87:E96)</f>
        <v>1124524.2723264</v>
      </c>
      <c r="F99" s="206" t="n">
        <f aca="false">SUM(F87:F96)</f>
        <v>1123873.96134067</v>
      </c>
      <c r="G99" s="206" t="n">
        <f aca="false">SUM(G87:G96)</f>
        <v>1123223.65035494</v>
      </c>
      <c r="H99" s="206" t="n">
        <f aca="false">SUM(H87:H96)</f>
        <v>1122573.33936922</v>
      </c>
      <c r="I99" s="206" t="n">
        <f aca="false">SUM(I87:I96)</f>
        <v>1121923.02838349</v>
      </c>
      <c r="J99" s="206" t="n">
        <f aca="false">SUM(J87:J96)</f>
        <v>1121272.71739776</v>
      </c>
      <c r="K99" s="206" t="n">
        <f aca="false">SUM(K87:K96)</f>
        <v>1120622.40641203</v>
      </c>
      <c r="L99" s="206" t="n">
        <f aca="false">SUM(L87:L96)</f>
        <v>1119972.0954263</v>
      </c>
      <c r="M99" s="206" t="n">
        <f aca="false">SUM(M87:M96)</f>
        <v>1119321.78444058</v>
      </c>
      <c r="N99" s="206" t="n">
        <f aca="false">SUM(N87:N96)</f>
        <v>1118671.47345485</v>
      </c>
      <c r="O99" s="206" t="n">
        <f aca="false">SUM(O87:O96)</f>
        <v>1118021.16246912</v>
      </c>
      <c r="P99" s="206" t="n">
        <f aca="false">SUM(P87:P96)</f>
        <v>1117370.85148339</v>
      </c>
      <c r="Q99" s="206" t="n">
        <f aca="false">SUM(Q87:Q96)</f>
        <v>1116720.54049766</v>
      </c>
      <c r="R99" s="206" t="n">
        <f aca="false">SUM(R87:R96)</f>
        <v>1116070.22951194</v>
      </c>
      <c r="S99" s="206" t="n">
        <f aca="false">SUM(S87:S96)</f>
        <v>1115419.91852621</v>
      </c>
      <c r="T99" s="206" t="n">
        <f aca="false">SUM(T87:T96)</f>
        <v>1114769.60754048</v>
      </c>
      <c r="U99" s="206" t="n">
        <f aca="false">SUM(U87:U96)</f>
        <v>1114119.29655475</v>
      </c>
      <c r="V99" s="206" t="n">
        <f aca="false">SUM(V87:V96)</f>
        <v>1113468.98556902</v>
      </c>
      <c r="W99" s="206" t="n">
        <f aca="false">SUM(W87:W96)</f>
        <v>1112818.6745833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1469988.8218368</v>
      </c>
      <c r="F100" s="206" t="n">
        <f aca="false">E101</f>
        <v>2594513.0941632</v>
      </c>
      <c r="G100" s="206" t="n">
        <f aca="false">F101</f>
        <v>3718387.05550387</v>
      </c>
      <c r="H100" s="206" t="n">
        <f aca="false">G101</f>
        <v>4841610.70585882</v>
      </c>
      <c r="I100" s="206" t="n">
        <f aca="false">H101</f>
        <v>5964184.04522803</v>
      </c>
      <c r="J100" s="206" t="n">
        <f aca="false">I101</f>
        <v>7086107.07361152</v>
      </c>
      <c r="K100" s="206" t="n">
        <f aca="false">J101</f>
        <v>8207379.79100928</v>
      </c>
      <c r="L100" s="206" t="n">
        <f aca="false">K101</f>
        <v>9328002.19742131</v>
      </c>
      <c r="M100" s="206" t="n">
        <f aca="false">L101</f>
        <v>10447974.2928476</v>
      </c>
      <c r="N100" s="206" t="n">
        <f aca="false">M101</f>
        <v>11567296.0772882</v>
      </c>
      <c r="O100" s="206" t="n">
        <f aca="false">N101</f>
        <v>12685967.550743</v>
      </c>
      <c r="P100" s="206" t="n">
        <f aca="false">O101</f>
        <v>13803988.7132122</v>
      </c>
      <c r="Q100" s="206" t="n">
        <f aca="false">P101</f>
        <v>14921359.5646956</v>
      </c>
      <c r="R100" s="206" t="n">
        <f aca="false">Q101</f>
        <v>16038080.1051932</v>
      </c>
      <c r="S100" s="206" t="n">
        <f aca="false">R101</f>
        <v>17154150.3347052</v>
      </c>
      <c r="T100" s="206" t="n">
        <f aca="false">S101</f>
        <v>18269570.2532314</v>
      </c>
      <c r="U100" s="206" t="n">
        <f aca="false">T101</f>
        <v>19384339.8607718</v>
      </c>
      <c r="V100" s="206" t="n">
        <f aca="false">U101</f>
        <v>20498459.1573266</v>
      </c>
      <c r="W100" s="206" t="n">
        <f aca="false">V101</f>
        <v>21611928.1428956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1469988.8218368</v>
      </c>
      <c r="E101" s="206" t="n">
        <f aca="false">E99+E100</f>
        <v>2594513.0941632</v>
      </c>
      <c r="F101" s="206" t="n">
        <f aca="false">F99+F100</f>
        <v>3718387.05550387</v>
      </c>
      <c r="G101" s="206" t="n">
        <f aca="false">G99+G100</f>
        <v>4841610.70585882</v>
      </c>
      <c r="H101" s="206" t="n">
        <f aca="false">H99+H100</f>
        <v>5964184.04522803</v>
      </c>
      <c r="I101" s="206" t="n">
        <f aca="false">I99+I100</f>
        <v>7086107.07361152</v>
      </c>
      <c r="J101" s="206" t="n">
        <f aca="false">J99+J100</f>
        <v>8207379.79100928</v>
      </c>
      <c r="K101" s="206" t="n">
        <f aca="false">K99+K100</f>
        <v>9328002.19742131</v>
      </c>
      <c r="L101" s="206" t="n">
        <f aca="false">L99+L100</f>
        <v>10447974.2928476</v>
      </c>
      <c r="M101" s="206" t="n">
        <f aca="false">M99+M100</f>
        <v>11567296.0772882</v>
      </c>
      <c r="N101" s="206" t="n">
        <f aca="false">N99+N100</f>
        <v>12685967.550743</v>
      </c>
      <c r="O101" s="206" t="n">
        <f aca="false">O99+O100</f>
        <v>13803988.7132122</v>
      </c>
      <c r="P101" s="206" t="n">
        <f aca="false">P99+P100</f>
        <v>14921359.5646956</v>
      </c>
      <c r="Q101" s="206" t="n">
        <f aca="false">Q99+Q100</f>
        <v>16038080.1051932</v>
      </c>
      <c r="R101" s="206" t="n">
        <f aca="false">R99+R100</f>
        <v>17154150.3347052</v>
      </c>
      <c r="S101" s="206" t="n">
        <f aca="false">S99+S100</f>
        <v>18269570.2532314</v>
      </c>
      <c r="T101" s="206" t="n">
        <f aca="false">T99+T100</f>
        <v>19384339.8607718</v>
      </c>
      <c r="U101" s="206" t="n">
        <f aca="false">U99+U100</f>
        <v>20498459.1573266</v>
      </c>
      <c r="V101" s="206" t="n">
        <f aca="false">V99+V100</f>
        <v>21611928.1428956</v>
      </c>
      <c r="W101" s="206" t="n">
        <f aca="false">W99+W100</f>
        <v>22724746.8174789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338961.43965312</v>
      </c>
      <c r="F104" s="209" t="n">
        <f aca="false">-F95-F96</f>
        <v>333108.640781568</v>
      </c>
      <c r="G104" s="209" t="n">
        <f aca="false">-G95-G96</f>
        <v>327255.841910016</v>
      </c>
      <c r="H104" s="209" t="n">
        <f aca="false">-H95-H96</f>
        <v>321403.043038464</v>
      </c>
      <c r="I104" s="209" t="n">
        <f aca="false">-I95-I96</f>
        <v>315550.244166912</v>
      </c>
      <c r="J104" s="209" t="n">
        <f aca="false">-J95-J96</f>
        <v>309697.44529536</v>
      </c>
      <c r="K104" s="209" t="n">
        <f aca="false">-K95-K96</f>
        <v>303844.646423808</v>
      </c>
      <c r="L104" s="209" t="n">
        <f aca="false">-L95-L96</f>
        <v>297991.847552256</v>
      </c>
      <c r="M104" s="209" t="n">
        <f aca="false">-M95-M96</f>
        <v>292139.048680704</v>
      </c>
      <c r="N104" s="209" t="n">
        <f aca="false">-N95-N96</f>
        <v>286286.249809152</v>
      </c>
      <c r="O104" s="209" t="n">
        <f aca="false">-O95-O96</f>
        <v>280433.4509376</v>
      </c>
      <c r="P104" s="209" t="n">
        <f aca="false">-P95-P96</f>
        <v>274580.652066048</v>
      </c>
      <c r="Q104" s="209" t="n">
        <f aca="false">-Q95-Q96</f>
        <v>268727.853194496</v>
      </c>
      <c r="R104" s="209" t="n">
        <f aca="false">-R95-R96</f>
        <v>262875.054322944</v>
      </c>
      <c r="S104" s="209" t="n">
        <f aca="false">-S95-S96</f>
        <v>257022.255451392</v>
      </c>
      <c r="T104" s="209" t="n">
        <f aca="false">-T95-T96</f>
        <v>251169.45657984</v>
      </c>
      <c r="U104" s="209" t="n">
        <f aca="false">-U95-U96</f>
        <v>245316.657708288</v>
      </c>
      <c r="V104" s="209" t="n">
        <f aca="false">-V95-V96</f>
        <v>239463.858836736</v>
      </c>
      <c r="W104" s="209" t="n">
        <f aca="false">-W95-W96</f>
        <v>233611.059965184</v>
      </c>
      <c r="X104" s="209" t="n">
        <f aca="false">-X95-X96</f>
        <v>22724746.8174789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0.124295699127746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-3996836.1781632</v>
      </c>
      <c r="E106" s="209" t="n">
        <f aca="false">E85</f>
        <v>370120.71197952</v>
      </c>
      <c r="F106" s="209" t="n">
        <f aca="false">F85-F96</f>
        <v>363617.60212224</v>
      </c>
      <c r="G106" s="209" t="n">
        <f aca="false">G85-G96</f>
        <v>357114.49226496</v>
      </c>
      <c r="H106" s="209" t="n">
        <f aca="false">H85-H96</f>
        <v>350611.38240768</v>
      </c>
      <c r="I106" s="209" t="n">
        <f aca="false">I85-I96</f>
        <v>344108.2725504</v>
      </c>
      <c r="J106" s="209" t="n">
        <f aca="false">J85-J96</f>
        <v>337605.16269312</v>
      </c>
      <c r="K106" s="209" t="n">
        <f aca="false">K85-K96</f>
        <v>331102.05283584</v>
      </c>
      <c r="L106" s="209" t="n">
        <f aca="false">L85-L96</f>
        <v>324598.94297856</v>
      </c>
      <c r="M106" s="209" t="n">
        <f aca="false">M85-M96</f>
        <v>318095.83312128</v>
      </c>
      <c r="N106" s="209" t="n">
        <f aca="false">N85-N96</f>
        <v>311592.723264</v>
      </c>
      <c r="O106" s="209" t="n">
        <f aca="false">O85-O96</f>
        <v>305089.61340672</v>
      </c>
      <c r="P106" s="209" t="n">
        <f aca="false">P85-P96</f>
        <v>298586.50354944</v>
      </c>
      <c r="Q106" s="209" t="n">
        <f aca="false">Q85-Q96</f>
        <v>292083.39369216</v>
      </c>
      <c r="R106" s="209" t="n">
        <f aca="false">R85-R96</f>
        <v>285580.28383488</v>
      </c>
      <c r="S106" s="209" t="n">
        <f aca="false">S85-S96</f>
        <v>279077.1739776</v>
      </c>
      <c r="T106" s="209" t="n">
        <f aca="false">T85-T96</f>
        <v>272574.06412032</v>
      </c>
      <c r="U106" s="209" t="n">
        <f aca="false">U85-U96</f>
        <v>266070.95426304</v>
      </c>
      <c r="V106" s="209" t="n">
        <f aca="false">V85-V96</f>
        <v>259567.84440576</v>
      </c>
      <c r="W106" s="209" t="n">
        <f aca="false">W85-W96</f>
        <v>253064.73454848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0.0460959270390262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17493840</v>
      </c>
      <c r="F109" s="206" t="n">
        <f aca="false">E109+F93</f>
        <v>17493840</v>
      </c>
      <c r="G109" s="206" t="n">
        <f aca="false">F109+G93</f>
        <v>17493840</v>
      </c>
      <c r="H109" s="206" t="n">
        <f aca="false">G109+H93</f>
        <v>17493840</v>
      </c>
      <c r="I109" s="206" t="n">
        <f aca="false">H109+I93</f>
        <v>17493840</v>
      </c>
      <c r="J109" s="206" t="n">
        <f aca="false">I109+J93</f>
        <v>17493840</v>
      </c>
      <c r="K109" s="206" t="n">
        <f aca="false">J109+K93</f>
        <v>17493840</v>
      </c>
      <c r="L109" s="206" t="n">
        <f aca="false">K109+L93</f>
        <v>17493840</v>
      </c>
      <c r="M109" s="206" t="n">
        <f aca="false">L109+M93</f>
        <v>17493840</v>
      </c>
      <c r="N109" s="206" t="n">
        <f aca="false">M109+N93</f>
        <v>17493840</v>
      </c>
      <c r="O109" s="206" t="n">
        <f aca="false">N109+O93</f>
        <v>17493840</v>
      </c>
      <c r="P109" s="206" t="n">
        <f aca="false">O109+P93</f>
        <v>17493840</v>
      </c>
      <c r="Q109" s="206" t="n">
        <f aca="false">P109+Q93</f>
        <v>17493840</v>
      </c>
      <c r="R109" s="206" t="n">
        <f aca="false">Q109+R93</f>
        <v>17493840</v>
      </c>
      <c r="S109" s="206" t="n">
        <f aca="false">R109+S93</f>
        <v>17493840</v>
      </c>
      <c r="T109" s="206" t="n">
        <f aca="false">S109+T93</f>
        <v>17493840</v>
      </c>
      <c r="U109" s="206" t="n">
        <f aca="false">T109+U93</f>
        <v>17493840</v>
      </c>
      <c r="V109" s="206" t="n">
        <f aca="false">U109+V93</f>
        <v>17493840</v>
      </c>
      <c r="W109" s="206" t="n">
        <f aca="false">V109+W93</f>
        <v>17493840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-196166.9224192</v>
      </c>
      <c r="E54" s="170" t="n">
        <f aca="false">-(E64+E67+E68+E71+E72+E73+E74)*0.2</f>
        <v>-194541.14495488</v>
      </c>
      <c r="F54" s="170" t="n">
        <f aca="false">-(F64+F67+F68+F71+F72+F73+F74)*0.2</f>
        <v>-192915.36749056</v>
      </c>
      <c r="G54" s="170" t="n">
        <f aca="false">-(G64+G67+G68+G71+G72+G73+G74)*0.2</f>
        <v>-191289.59002624</v>
      </c>
      <c r="H54" s="170" t="n">
        <f aca="false">-(H64+H67+H68+H71+H72+H73+H74)*0.2</f>
        <v>-189663.81256192</v>
      </c>
      <c r="I54" s="170" t="n">
        <f aca="false">-(I64+I67+I68+I71+I72+I73+I74)*0.2</f>
        <v>-188038.0350976</v>
      </c>
      <c r="J54" s="170" t="n">
        <f aca="false">-(J64+J67+J68+J71+J72+J73+J74)*0.2</f>
        <v>-186412.25763328</v>
      </c>
      <c r="K54" s="170" t="n">
        <f aca="false">-(K64+K67+K68+K71+K72+K73+K74)*0.2</f>
        <v>-184786.48016896</v>
      </c>
      <c r="L54" s="170" t="n">
        <f aca="false">-(L64+L67+L68+L71+L72+L73+L74)*0.2</f>
        <v>-183160.70270464</v>
      </c>
      <c r="M54" s="170" t="n">
        <f aca="false">-(M64+M67+M68+M71+M72+M73+M74)*0.2</f>
        <v>-181534.92524032</v>
      </c>
      <c r="N54" s="170" t="n">
        <f aca="false">-(N64+N67+N68+N71+N72+N73+N74)*0.2</f>
        <v>-179909.147776</v>
      </c>
      <c r="O54" s="170" t="n">
        <f aca="false">-(O64+O67+O68+O71+O72+O73+O74)*0.2</f>
        <v>-178283.37031168</v>
      </c>
      <c r="P54" s="170" t="n">
        <f aca="false">-(P64+P67+P68+P71+P72+P73+P74)*0.2</f>
        <v>-176657.59284736</v>
      </c>
      <c r="Q54" s="170" t="n">
        <f aca="false">-(Q64+Q67+Q68+Q71+Q72+Q73+Q74)*0.2</f>
        <v>-175031.81538304</v>
      </c>
      <c r="R54" s="170" t="n">
        <f aca="false">-(R64+R67+R68+R71+R72+R73+R74)*0.2</f>
        <v>-173406.03791872</v>
      </c>
      <c r="S54" s="170" t="n">
        <f aca="false">-(S64+S67+S68+S71+S72+S73+S74)*0.2</f>
        <v>-171780.2604544</v>
      </c>
      <c r="T54" s="170" t="n">
        <f aca="false">-(T64+T67+T68+T71+T72+T73+T74)*0.2</f>
        <v>-170154.48299008</v>
      </c>
      <c r="U54" s="170" t="n">
        <f aca="false">-(U64+U67+U68+U71+U72+U73+U74)*0.2</f>
        <v>-168528.70552576</v>
      </c>
      <c r="V54" s="170" t="n">
        <f aca="false">-(V64+V67+V68+V71+V72+V73+V74)*0.2</f>
        <v>-166902.92806144</v>
      </c>
      <c r="W54" s="170" t="n">
        <f aca="false">-(W64+W67+W68+W71+W72+W73+W74)*0.2</f>
        <v>-165277.15059712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1815732.6896768</v>
      </c>
      <c r="E55" s="175" t="n">
        <f aca="false">SUM(E41:E54)</f>
        <v>1809229.57981952</v>
      </c>
      <c r="F55" s="175" t="n">
        <f aca="false">SUM(F41:F54)</f>
        <v>1802726.46996224</v>
      </c>
      <c r="G55" s="175" t="n">
        <f aca="false">SUM(G41:G54)</f>
        <v>1796223.36010496</v>
      </c>
      <c r="H55" s="175" t="n">
        <f aca="false">SUM(H41:H54)</f>
        <v>1789720.25024768</v>
      </c>
      <c r="I55" s="175" t="n">
        <f aca="false">SUM(I41:I54)</f>
        <v>1783217.1403904</v>
      </c>
      <c r="J55" s="175" t="n">
        <f aca="false">SUM(J41:J54)</f>
        <v>1776714.03053312</v>
      </c>
      <c r="K55" s="175" t="n">
        <f aca="false">SUM(K41:K54)</f>
        <v>1770210.92067584</v>
      </c>
      <c r="L55" s="175" t="n">
        <f aca="false">SUM(L41:L54)</f>
        <v>1763707.81081856</v>
      </c>
      <c r="M55" s="175" t="n">
        <f aca="false">SUM(M41:M54)</f>
        <v>1757204.70096128</v>
      </c>
      <c r="N55" s="175" t="n">
        <f aca="false">SUM(N41:N54)</f>
        <v>1750701.591104</v>
      </c>
      <c r="O55" s="175" t="n">
        <f aca="false">SUM(O41:O54)</f>
        <v>1744198.48124672</v>
      </c>
      <c r="P55" s="175" t="n">
        <f aca="false">SUM(P41:P54)</f>
        <v>1737695.37138944</v>
      </c>
      <c r="Q55" s="175" t="n">
        <f aca="false">SUM(Q41:Q54)</f>
        <v>1731192.26153216</v>
      </c>
      <c r="R55" s="175" t="n">
        <f aca="false">SUM(R41:R54)</f>
        <v>1724689.15167488</v>
      </c>
      <c r="S55" s="175" t="n">
        <f aca="false">SUM(S41:S54)</f>
        <v>1718186.0418176</v>
      </c>
      <c r="T55" s="175" t="n">
        <f aca="false">SUM(T41:T54)</f>
        <v>1711682.93196032</v>
      </c>
      <c r="U55" s="175" t="n">
        <f aca="false">SUM(U41:U54)</f>
        <v>1705179.82210304</v>
      </c>
      <c r="V55" s="175" t="n">
        <f aca="false">SUM(V41:V54)</f>
        <v>1698676.71224576</v>
      </c>
      <c r="W55" s="175" t="n">
        <f aca="false">SUM(W41:W54)</f>
        <v>1692173.60238848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-18805567.3103232</v>
      </c>
      <c r="E56" s="180" t="n">
        <f aca="false">D56+E55</f>
        <v>-16996337.7305037</v>
      </c>
      <c r="F56" s="180" t="n">
        <f aca="false">E56+F55</f>
        <v>-15193611.2605414</v>
      </c>
      <c r="G56" s="180" t="n">
        <f aca="false">F56+G55</f>
        <v>-13397387.9004365</v>
      </c>
      <c r="H56" s="180" t="n">
        <f aca="false">G56+H55</f>
        <v>-11607667.6501888</v>
      </c>
      <c r="I56" s="180" t="n">
        <f aca="false">H56+I55</f>
        <v>-9824450.50979841</v>
      </c>
      <c r="J56" s="180" t="n">
        <f aca="false">I56+J55</f>
        <v>-8047736.47926529</v>
      </c>
      <c r="K56" s="180" t="n">
        <f aca="false">J56+K55</f>
        <v>-6277525.55858945</v>
      </c>
      <c r="L56" s="180" t="n">
        <f aca="false">K56+L55</f>
        <v>-4513817.74777089</v>
      </c>
      <c r="M56" s="180" t="n">
        <f aca="false">L56+M55</f>
        <v>-2756613.04680961</v>
      </c>
      <c r="N56" s="180" t="n">
        <f aca="false">M56+N55</f>
        <v>-1005911.45570561</v>
      </c>
      <c r="O56" s="180" t="n">
        <f aca="false">N56+O55</f>
        <v>738287.025541113</v>
      </c>
      <c r="P56" s="180" t="n">
        <f aca="false">O56+P55</f>
        <v>2475982.39693055</v>
      </c>
      <c r="Q56" s="180" t="n">
        <f aca="false">P56+Q55</f>
        <v>4207174.65846271</v>
      </c>
      <c r="R56" s="180" t="n">
        <f aca="false">Q56+R55</f>
        <v>5931863.81013759</v>
      </c>
      <c r="S56" s="180" t="n">
        <f aca="false">R56+S55</f>
        <v>7650049.85195519</v>
      </c>
      <c r="T56" s="180" t="n">
        <f aca="false">S56+T55</f>
        <v>9361732.78391551</v>
      </c>
      <c r="U56" s="180" t="n">
        <f aca="false">T56+U55</f>
        <v>11066912.6060186</v>
      </c>
      <c r="V56" s="180" t="n">
        <f aca="false">U56+V55</f>
        <v>12765589.3182643</v>
      </c>
      <c r="W56" s="180" t="n">
        <f aca="false">V56+W55</f>
        <v>14457762.9206528</v>
      </c>
      <c r="X56" s="180" t="n">
        <f aca="false">W56+X55</f>
        <v>14457762.9206528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0.0577979858191501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-422241.7388</v>
      </c>
      <c r="F70" s="170" t="n">
        <f aca="false">-F109*$D25</f>
        <v>-422241.7388</v>
      </c>
      <c r="G70" s="170" t="n">
        <f aca="false">-G109*$D25</f>
        <v>-422241.7388</v>
      </c>
      <c r="H70" s="170" t="n">
        <f aca="false">-H109*$D25</f>
        <v>-422241.7388</v>
      </c>
      <c r="I70" s="170" t="n">
        <f aca="false">-I109*$D25</f>
        <v>-422241.7388</v>
      </c>
      <c r="J70" s="170" t="n">
        <f aca="false">-J109*$D25</f>
        <v>-422241.7388</v>
      </c>
      <c r="K70" s="170" t="n">
        <f aca="false">-K109*$D25</f>
        <v>-422241.7388</v>
      </c>
      <c r="L70" s="170" t="n">
        <f aca="false">-L109*$D25</f>
        <v>-422241.7388</v>
      </c>
      <c r="M70" s="170" t="n">
        <f aca="false">-M109*$D25</f>
        <v>-422241.7388</v>
      </c>
      <c r="N70" s="170" t="n">
        <f aca="false">-N109*$D25</f>
        <v>-422241.7388</v>
      </c>
      <c r="O70" s="170" t="n">
        <f aca="false">-O109*$D25</f>
        <v>-422241.7388</v>
      </c>
      <c r="P70" s="170" t="n">
        <f aca="false">-P109*$D25</f>
        <v>-422241.7388</v>
      </c>
      <c r="Q70" s="170" t="n">
        <f aca="false">-Q109*$D25</f>
        <v>-422241.7388</v>
      </c>
      <c r="R70" s="170" t="n">
        <f aca="false">-R109*$D25</f>
        <v>-422241.7388</v>
      </c>
      <c r="S70" s="170" t="n">
        <f aca="false">-S109*$D25</f>
        <v>-422241.7388</v>
      </c>
      <c r="T70" s="170" t="n">
        <f aca="false">-T109*$D25</f>
        <v>-422241.7388</v>
      </c>
      <c r="U70" s="170" t="n">
        <f aca="false">-U109*$D25</f>
        <v>-422241.7388</v>
      </c>
      <c r="V70" s="170" t="n">
        <f aca="false">-V109*$D25</f>
        <v>-422241.7388</v>
      </c>
      <c r="W70" s="170" t="n">
        <f aca="false">-W109*$D25</f>
        <v>-422241.7388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558592.873295999</v>
      </c>
      <c r="E76" s="175" t="n">
        <f aca="false">SUM(E64:E75)</f>
        <v>550463.985974399</v>
      </c>
      <c r="F76" s="175" t="n">
        <f aca="false">SUM(F64:F75)</f>
        <v>542335.0986528</v>
      </c>
      <c r="G76" s="175" t="n">
        <f aca="false">SUM(G64:G75)</f>
        <v>534206.2113312</v>
      </c>
      <c r="H76" s="175" t="n">
        <f aca="false">SUM(H64:H75)</f>
        <v>526077.324009599</v>
      </c>
      <c r="I76" s="175" t="n">
        <f aca="false">SUM(I64:I75)</f>
        <v>517948.436687999</v>
      </c>
      <c r="J76" s="175" t="n">
        <f aca="false">SUM(J64:J75)</f>
        <v>509819.5493664</v>
      </c>
      <c r="K76" s="175" t="n">
        <f aca="false">SUM(K64:K75)</f>
        <v>501690.6620448</v>
      </c>
      <c r="L76" s="175" t="n">
        <f aca="false">SUM(L64:L75)</f>
        <v>493561.7747232</v>
      </c>
      <c r="M76" s="175" t="n">
        <f aca="false">SUM(M64:M75)</f>
        <v>485432.8874016</v>
      </c>
      <c r="N76" s="175" t="n">
        <f aca="false">SUM(N64:N75)</f>
        <v>477304.00008</v>
      </c>
      <c r="O76" s="175" t="n">
        <f aca="false">SUM(O64:O75)</f>
        <v>469175.1127584</v>
      </c>
      <c r="P76" s="175" t="n">
        <f aca="false">SUM(P64:P75)</f>
        <v>461046.2254368</v>
      </c>
      <c r="Q76" s="175" t="n">
        <f aca="false">SUM(Q64:Q75)</f>
        <v>452917.3381152</v>
      </c>
      <c r="R76" s="175" t="n">
        <f aca="false">SUM(R64:R75)</f>
        <v>444788.4507936</v>
      </c>
      <c r="S76" s="175" t="n">
        <f aca="false">SUM(S64:S75)</f>
        <v>436659.563472</v>
      </c>
      <c r="T76" s="175" t="n">
        <f aca="false">SUM(T64:T75)</f>
        <v>428530.676150399</v>
      </c>
      <c r="U76" s="175" t="n">
        <f aca="false">SUM(U64:U75)</f>
        <v>420401.7888288</v>
      </c>
      <c r="V76" s="175" t="n">
        <f aca="false">SUM(V64:V75)</f>
        <v>412272.901507199</v>
      </c>
      <c r="W76" s="175" t="n">
        <f aca="false">SUM(W64:W75)</f>
        <v>404144.0141856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-111718.5746592</v>
      </c>
      <c r="E77" s="170" t="n">
        <f aca="false">-E76*0.2</f>
        <v>-110092.79719488</v>
      </c>
      <c r="F77" s="170" t="n">
        <f aca="false">-F76*0.2</f>
        <v>-108467.01973056</v>
      </c>
      <c r="G77" s="170" t="n">
        <f aca="false">-G76*0.2</f>
        <v>-106841.24226624</v>
      </c>
      <c r="H77" s="170" t="n">
        <f aca="false">-H76*0.2</f>
        <v>-105215.46480192</v>
      </c>
      <c r="I77" s="170" t="n">
        <f aca="false">-I76*0.2</f>
        <v>-103589.6873376</v>
      </c>
      <c r="J77" s="170" t="n">
        <f aca="false">-J76*0.2</f>
        <v>-101963.90987328</v>
      </c>
      <c r="K77" s="170" t="n">
        <f aca="false">-K76*0.2</f>
        <v>-100338.13240896</v>
      </c>
      <c r="L77" s="170" t="n">
        <f aca="false">-L76*0.2</f>
        <v>-98712.3549446399</v>
      </c>
      <c r="M77" s="170" t="n">
        <f aca="false">-M76*0.2</f>
        <v>-97086.5774803199</v>
      </c>
      <c r="N77" s="170" t="n">
        <f aca="false">-N76*0.2</f>
        <v>-95460.8000159999</v>
      </c>
      <c r="O77" s="170" t="n">
        <f aca="false">-O76*0.2</f>
        <v>-93835.0225516799</v>
      </c>
      <c r="P77" s="170" t="n">
        <f aca="false">-P76*0.2</f>
        <v>-92209.2450873599</v>
      </c>
      <c r="Q77" s="170" t="n">
        <f aca="false">-Q76*0.2</f>
        <v>-90583.4676230399</v>
      </c>
      <c r="R77" s="170" t="n">
        <f aca="false">-R76*0.2</f>
        <v>-88957.6901587199</v>
      </c>
      <c r="S77" s="170" t="n">
        <f aca="false">-S76*0.2</f>
        <v>-87331.9126943999</v>
      </c>
      <c r="T77" s="170" t="n">
        <f aca="false">-T76*0.2</f>
        <v>-85706.1352300799</v>
      </c>
      <c r="U77" s="170" t="n">
        <f aca="false">-U76*0.2</f>
        <v>-84080.3577657599</v>
      </c>
      <c r="V77" s="170" t="n">
        <f aca="false">-V76*0.2</f>
        <v>-82454.5803014399</v>
      </c>
      <c r="W77" s="170" t="n">
        <f aca="false">-W76*0.2</f>
        <v>-80828.8028371199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446874.2986368</v>
      </c>
      <c r="E78" s="170" t="n">
        <f aca="false">SUM(E76:E77)</f>
        <v>440371.18877952</v>
      </c>
      <c r="F78" s="170" t="n">
        <f aca="false">SUM(F76:F77)</f>
        <v>433868.07892224</v>
      </c>
      <c r="G78" s="170" t="n">
        <f aca="false">SUM(G76:G77)</f>
        <v>427364.96906496</v>
      </c>
      <c r="H78" s="170" t="n">
        <f aca="false">SUM(H76:H77)</f>
        <v>420861.85920768</v>
      </c>
      <c r="I78" s="170" t="n">
        <f aca="false">SUM(I76:I77)</f>
        <v>414358.7493504</v>
      </c>
      <c r="J78" s="170" t="n">
        <f aca="false">SUM(J76:J77)</f>
        <v>407855.63949312</v>
      </c>
      <c r="K78" s="170" t="n">
        <f aca="false">SUM(K76:K77)</f>
        <v>401352.52963584</v>
      </c>
      <c r="L78" s="170" t="n">
        <f aca="false">SUM(L76:L77)</f>
        <v>394849.41977856</v>
      </c>
      <c r="M78" s="170" t="n">
        <f aca="false">SUM(M76:M77)</f>
        <v>388346.30992128</v>
      </c>
      <c r="N78" s="170" t="n">
        <f aca="false">SUM(N76:N77)</f>
        <v>381843.200064</v>
      </c>
      <c r="O78" s="170" t="n">
        <f aca="false">SUM(O76:O77)</f>
        <v>375340.09020672</v>
      </c>
      <c r="P78" s="170" t="n">
        <f aca="false">SUM(P76:P77)</f>
        <v>368836.98034944</v>
      </c>
      <c r="Q78" s="170" t="n">
        <f aca="false">SUM(Q76:Q77)</f>
        <v>362333.87049216</v>
      </c>
      <c r="R78" s="170" t="n">
        <f aca="false">SUM(R76:R77)</f>
        <v>355830.76063488</v>
      </c>
      <c r="S78" s="170" t="n">
        <f aca="false">SUM(S76:S77)</f>
        <v>349327.6507776</v>
      </c>
      <c r="T78" s="170" t="n">
        <f aca="false">SUM(T76:T77)</f>
        <v>342824.540920319</v>
      </c>
      <c r="U78" s="170" t="n">
        <f aca="false">SUM(U76:U77)</f>
        <v>336321.43106304</v>
      </c>
      <c r="V78" s="170" t="n">
        <f aca="false">SUM(V76:V77)</f>
        <v>329818.32120576</v>
      </c>
      <c r="W78" s="170" t="n">
        <f aca="false">SUM(W76:W77)</f>
        <v>323315.21134848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446874.2986368</v>
      </c>
      <c r="E85" s="206" t="n">
        <f aca="false">E78</f>
        <v>440371.18877952</v>
      </c>
      <c r="F85" s="206" t="n">
        <f aca="false">F78</f>
        <v>433868.07892224</v>
      </c>
      <c r="G85" s="206" t="n">
        <f aca="false">G78</f>
        <v>427364.96906496</v>
      </c>
      <c r="H85" s="206" t="n">
        <f aca="false">H78</f>
        <v>420861.85920768</v>
      </c>
      <c r="I85" s="206" t="n">
        <f aca="false">I78</f>
        <v>414358.7493504</v>
      </c>
      <c r="J85" s="206" t="n">
        <f aca="false">J78</f>
        <v>407855.63949312</v>
      </c>
      <c r="K85" s="206" t="n">
        <f aca="false">K78</f>
        <v>401352.52963584</v>
      </c>
      <c r="L85" s="206" t="n">
        <f aca="false">L78</f>
        <v>394849.41977856</v>
      </c>
      <c r="M85" s="206" t="n">
        <f aca="false">M78</f>
        <v>388346.30992128</v>
      </c>
      <c r="N85" s="206" t="n">
        <f aca="false">N78</f>
        <v>381843.200064</v>
      </c>
      <c r="O85" s="206" t="n">
        <f aca="false">O78</f>
        <v>375340.09020672</v>
      </c>
      <c r="P85" s="206" t="n">
        <f aca="false">P78</f>
        <v>368836.98034944</v>
      </c>
      <c r="Q85" s="206" t="n">
        <f aca="false">Q78</f>
        <v>362333.87049216</v>
      </c>
      <c r="R85" s="206" t="n">
        <f aca="false">R78</f>
        <v>355830.76063488</v>
      </c>
      <c r="S85" s="206" t="n">
        <f aca="false">S78</f>
        <v>349327.6507776</v>
      </c>
      <c r="T85" s="206" t="n">
        <f aca="false">T78</f>
        <v>342824.540920319</v>
      </c>
      <c r="U85" s="206" t="n">
        <f aca="false">U78</f>
        <v>336321.43106304</v>
      </c>
      <c r="V85" s="206" t="n">
        <f aca="false">V78</f>
        <v>329818.32120576</v>
      </c>
      <c r="W85" s="206" t="n">
        <f aca="false">W78</f>
        <v>323315.21134848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1477939.2986368</v>
      </c>
      <c r="E87" s="209" t="n">
        <f aca="false">SUM(E85:E86)</f>
        <v>1471436.18877952</v>
      </c>
      <c r="F87" s="209" t="n">
        <f aca="false">SUM(F85:F86)</f>
        <v>1464933.07892224</v>
      </c>
      <c r="G87" s="209" t="n">
        <f aca="false">SUM(G85:G86)</f>
        <v>1458429.96906496</v>
      </c>
      <c r="H87" s="209" t="n">
        <f aca="false">SUM(H85:H86)</f>
        <v>1451926.85920768</v>
      </c>
      <c r="I87" s="209" t="n">
        <f aca="false">SUM(I85:I86)</f>
        <v>1445423.7493504</v>
      </c>
      <c r="J87" s="209" t="n">
        <f aca="false">SUM(J85:J86)</f>
        <v>1438920.63949312</v>
      </c>
      <c r="K87" s="209" t="n">
        <f aca="false">SUM(K85:K86)</f>
        <v>1432417.52963584</v>
      </c>
      <c r="L87" s="209" t="n">
        <f aca="false">SUM(L85:L86)</f>
        <v>1425914.41977856</v>
      </c>
      <c r="M87" s="209" t="n">
        <f aca="false">SUM(M85:M86)</f>
        <v>1419411.30992128</v>
      </c>
      <c r="N87" s="209" t="n">
        <f aca="false">SUM(N85:N86)</f>
        <v>1412908.200064</v>
      </c>
      <c r="O87" s="209" t="n">
        <f aca="false">SUM(O85:O86)</f>
        <v>1406405.09020672</v>
      </c>
      <c r="P87" s="209" t="n">
        <f aca="false">SUM(P85:P86)</f>
        <v>1399901.98034944</v>
      </c>
      <c r="Q87" s="209" t="n">
        <f aca="false">SUM(Q85:Q86)</f>
        <v>1393398.87049216</v>
      </c>
      <c r="R87" s="209" t="n">
        <f aca="false">SUM(R85:R86)</f>
        <v>1386895.76063488</v>
      </c>
      <c r="S87" s="209" t="n">
        <f aca="false">SUM(S85:S86)</f>
        <v>1380392.6507776</v>
      </c>
      <c r="T87" s="209" t="n">
        <f aca="false">SUM(T85:T86)</f>
        <v>1373889.54092032</v>
      </c>
      <c r="U87" s="209" t="n">
        <f aca="false">SUM(U85:U86)</f>
        <v>1367386.43106304</v>
      </c>
      <c r="V87" s="209" t="n">
        <f aca="false">SUM(V85:V86)</f>
        <v>1360883.32120576</v>
      </c>
      <c r="W87" s="209" t="n">
        <f aca="false">SUM(W85:W86)</f>
        <v>1354380.21134848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-402186.86877312</v>
      </c>
      <c r="F95" s="216" t="n">
        <f aca="false">-E85*$D$33</f>
        <v>-396334.069901568</v>
      </c>
      <c r="G95" s="216" t="n">
        <f aca="false">-F85*$D$33</f>
        <v>-390481.271030016</v>
      </c>
      <c r="H95" s="216" t="n">
        <f aca="false">-G85*$D$33</f>
        <v>-384628.472158464</v>
      </c>
      <c r="I95" s="216" t="n">
        <f aca="false">-H85*$D$33</f>
        <v>-378775.673286912</v>
      </c>
      <c r="J95" s="216" t="n">
        <f aca="false">-I85*$D$33</f>
        <v>-372922.87441536</v>
      </c>
      <c r="K95" s="216" t="n">
        <f aca="false">-J85*$D$33</f>
        <v>-367070.075543808</v>
      </c>
      <c r="L95" s="216" t="n">
        <f aca="false">-K85*$D$33</f>
        <v>-361217.276672256</v>
      </c>
      <c r="M95" s="216" t="n">
        <f aca="false">-L85*$D$33</f>
        <v>-355364.477800704</v>
      </c>
      <c r="N95" s="216" t="n">
        <f aca="false">-M85*$D$33</f>
        <v>-349511.678929152</v>
      </c>
      <c r="O95" s="216" t="n">
        <f aca="false">-N85*$D$33</f>
        <v>-343658.8800576</v>
      </c>
      <c r="P95" s="216" t="n">
        <f aca="false">-O85*$D$33</f>
        <v>-337806.081186048</v>
      </c>
      <c r="Q95" s="216" t="n">
        <f aca="false">-P85*$D$33</f>
        <v>-331953.282314496</v>
      </c>
      <c r="R95" s="216" t="n">
        <f aca="false">-Q85*$D$33</f>
        <v>-326100.483442944</v>
      </c>
      <c r="S95" s="216" t="n">
        <f aca="false">-R85*$D$33</f>
        <v>-320247.684571392</v>
      </c>
      <c r="T95" s="216" t="n">
        <f aca="false">-S85*$D$33</f>
        <v>-314394.88569984</v>
      </c>
      <c r="U95" s="216" t="n">
        <f aca="false">-T85*$D$33</f>
        <v>-308542.086828288</v>
      </c>
      <c r="V95" s="216" t="n">
        <f aca="false">-U85*$D$33</f>
        <v>-302689.287956736</v>
      </c>
      <c r="W95" s="216" t="n">
        <f aca="false">-V85*$D$33</f>
        <v>-296836.489085184</v>
      </c>
      <c r="X95" s="216" t="n">
        <f aca="false">-W85*$D$33</f>
        <v>-290983.690213632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-21391489.5099853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1477939.2986368</v>
      </c>
      <c r="E99" s="206" t="n">
        <f aca="false">SUM(E87:E96)</f>
        <v>1069249.3200064</v>
      </c>
      <c r="F99" s="206" t="n">
        <f aca="false">SUM(F87:F96)</f>
        <v>1068599.00902067</v>
      </c>
      <c r="G99" s="206" t="n">
        <f aca="false">SUM(G87:G96)</f>
        <v>1067948.69803494</v>
      </c>
      <c r="H99" s="206" t="n">
        <f aca="false">SUM(H87:H96)</f>
        <v>1067298.38704922</v>
      </c>
      <c r="I99" s="206" t="n">
        <f aca="false">SUM(I87:I96)</f>
        <v>1066648.07606349</v>
      </c>
      <c r="J99" s="206" t="n">
        <f aca="false">SUM(J87:J96)</f>
        <v>1065997.76507776</v>
      </c>
      <c r="K99" s="206" t="n">
        <f aca="false">SUM(K87:K96)</f>
        <v>1065347.45409203</v>
      </c>
      <c r="L99" s="206" t="n">
        <f aca="false">SUM(L87:L96)</f>
        <v>1064697.1431063</v>
      </c>
      <c r="M99" s="206" t="n">
        <f aca="false">SUM(M87:M96)</f>
        <v>1064046.83212058</v>
      </c>
      <c r="N99" s="206" t="n">
        <f aca="false">SUM(N87:N96)</f>
        <v>1063396.52113485</v>
      </c>
      <c r="O99" s="206" t="n">
        <f aca="false">SUM(O87:O96)</f>
        <v>1062746.21014912</v>
      </c>
      <c r="P99" s="206" t="n">
        <f aca="false">SUM(P87:P96)</f>
        <v>1062095.89916339</v>
      </c>
      <c r="Q99" s="206" t="n">
        <f aca="false">SUM(Q87:Q96)</f>
        <v>1061445.58817766</v>
      </c>
      <c r="R99" s="206" t="n">
        <f aca="false">SUM(R87:R96)</f>
        <v>1060795.27719194</v>
      </c>
      <c r="S99" s="206" t="n">
        <f aca="false">SUM(S87:S96)</f>
        <v>1060144.96620621</v>
      </c>
      <c r="T99" s="206" t="n">
        <f aca="false">SUM(T87:T96)</f>
        <v>1059494.65522048</v>
      </c>
      <c r="U99" s="206" t="n">
        <f aca="false">SUM(U87:U96)</f>
        <v>1058844.34423475</v>
      </c>
      <c r="V99" s="206" t="n">
        <f aca="false">SUM(V87:V96)</f>
        <v>1058194.03324902</v>
      </c>
      <c r="W99" s="206" t="n">
        <f aca="false">SUM(W87:W96)</f>
        <v>1057543.7222633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1477939.2986368</v>
      </c>
      <c r="F100" s="206" t="n">
        <f aca="false">E101</f>
        <v>2547188.6186432</v>
      </c>
      <c r="G100" s="206" t="n">
        <f aca="false">F101</f>
        <v>3615787.62766387</v>
      </c>
      <c r="H100" s="206" t="n">
        <f aca="false">G101</f>
        <v>4683736.32569882</v>
      </c>
      <c r="I100" s="206" t="n">
        <f aca="false">H101</f>
        <v>5751034.71274803</v>
      </c>
      <c r="J100" s="206" t="n">
        <f aca="false">I101</f>
        <v>6817682.78881152</v>
      </c>
      <c r="K100" s="206" t="n">
        <f aca="false">J101</f>
        <v>7883680.55388928</v>
      </c>
      <c r="L100" s="206" t="n">
        <f aca="false">K101</f>
        <v>8949028.00798131</v>
      </c>
      <c r="M100" s="206" t="n">
        <f aca="false">L101</f>
        <v>10013725.1510876</v>
      </c>
      <c r="N100" s="206" t="n">
        <f aca="false">M101</f>
        <v>11077771.9832082</v>
      </c>
      <c r="O100" s="206" t="n">
        <f aca="false">N101</f>
        <v>12141168.504343</v>
      </c>
      <c r="P100" s="206" t="n">
        <f aca="false">O101</f>
        <v>13203914.7144922</v>
      </c>
      <c r="Q100" s="206" t="n">
        <f aca="false">P101</f>
        <v>14266010.6136556</v>
      </c>
      <c r="R100" s="206" t="n">
        <f aca="false">Q101</f>
        <v>15327456.2018332</v>
      </c>
      <c r="S100" s="206" t="n">
        <f aca="false">R101</f>
        <v>16388251.4790252</v>
      </c>
      <c r="T100" s="206" t="n">
        <f aca="false">S101</f>
        <v>17448396.4452314</v>
      </c>
      <c r="U100" s="206" t="n">
        <f aca="false">T101</f>
        <v>18507891.1004518</v>
      </c>
      <c r="V100" s="206" t="n">
        <f aca="false">U101</f>
        <v>19566735.4446866</v>
      </c>
      <c r="W100" s="206" t="n">
        <f aca="false">V101</f>
        <v>20624929.4779356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1477939.2986368</v>
      </c>
      <c r="E101" s="206" t="n">
        <f aca="false">E99+E100</f>
        <v>2547188.6186432</v>
      </c>
      <c r="F101" s="206" t="n">
        <f aca="false">F99+F100</f>
        <v>3615787.62766387</v>
      </c>
      <c r="G101" s="206" t="n">
        <f aca="false">G99+G100</f>
        <v>4683736.32569882</v>
      </c>
      <c r="H101" s="206" t="n">
        <f aca="false">H99+H100</f>
        <v>5751034.71274803</v>
      </c>
      <c r="I101" s="206" t="n">
        <f aca="false">I99+I100</f>
        <v>6817682.78881152</v>
      </c>
      <c r="J101" s="206" t="n">
        <f aca="false">J99+J100</f>
        <v>7883680.55388928</v>
      </c>
      <c r="K101" s="206" t="n">
        <f aca="false">K99+K100</f>
        <v>8949028.00798131</v>
      </c>
      <c r="L101" s="206" t="n">
        <f aca="false">L99+L100</f>
        <v>10013725.1510876</v>
      </c>
      <c r="M101" s="206" t="n">
        <f aca="false">M99+M100</f>
        <v>11077771.9832082</v>
      </c>
      <c r="N101" s="206" t="n">
        <f aca="false">N99+N100</f>
        <v>12141168.504343</v>
      </c>
      <c r="O101" s="206" t="n">
        <f aca="false">O99+O100</f>
        <v>13203914.7144922</v>
      </c>
      <c r="P101" s="206" t="n">
        <f aca="false">P99+P100</f>
        <v>14266010.6136556</v>
      </c>
      <c r="Q101" s="206" t="n">
        <f aca="false">Q99+Q100</f>
        <v>15327456.2018332</v>
      </c>
      <c r="R101" s="206" t="n">
        <f aca="false">R99+R100</f>
        <v>16388251.4790252</v>
      </c>
      <c r="S101" s="206" t="n">
        <f aca="false">S99+S100</f>
        <v>17448396.4452314</v>
      </c>
      <c r="T101" s="206" t="n">
        <f aca="false">T99+T100</f>
        <v>18507891.1004518</v>
      </c>
      <c r="U101" s="206" t="n">
        <f aca="false">U99+U100</f>
        <v>19566735.4446866</v>
      </c>
      <c r="V101" s="206" t="n">
        <f aca="false">V99+V100</f>
        <v>20624929.4779356</v>
      </c>
      <c r="W101" s="206" t="n">
        <f aca="false">W99+W100</f>
        <v>21682473.2001989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402186.86877312</v>
      </c>
      <c r="F104" s="209" t="n">
        <f aca="false">-F95-F96</f>
        <v>396334.069901568</v>
      </c>
      <c r="G104" s="209" t="n">
        <f aca="false">-G95-G96</f>
        <v>390481.271030016</v>
      </c>
      <c r="H104" s="209" t="n">
        <f aca="false">-H95-H96</f>
        <v>384628.472158464</v>
      </c>
      <c r="I104" s="209" t="n">
        <f aca="false">-I95-I96</f>
        <v>378775.673286912</v>
      </c>
      <c r="J104" s="209" t="n">
        <f aca="false">-J95-J96</f>
        <v>372922.87441536</v>
      </c>
      <c r="K104" s="209" t="n">
        <f aca="false">-K95-K96</f>
        <v>367070.075543808</v>
      </c>
      <c r="L104" s="209" t="n">
        <f aca="false">-L95-L96</f>
        <v>361217.276672256</v>
      </c>
      <c r="M104" s="209" t="n">
        <f aca="false">-M95-M96</f>
        <v>355364.477800704</v>
      </c>
      <c r="N104" s="209" t="n">
        <f aca="false">-N95-N96</f>
        <v>349511.678929152</v>
      </c>
      <c r="O104" s="209" t="n">
        <f aca="false">-O95-O96</f>
        <v>343658.8800576</v>
      </c>
      <c r="P104" s="209" t="n">
        <f aca="false">-P95-P96</f>
        <v>337806.081186048</v>
      </c>
      <c r="Q104" s="209" t="n">
        <f aca="false">-Q95-Q96</f>
        <v>331953.282314496</v>
      </c>
      <c r="R104" s="209" t="n">
        <f aca="false">-R95-R96</f>
        <v>326100.483442944</v>
      </c>
      <c r="S104" s="209" t="n">
        <f aca="false">-S95-S96</f>
        <v>320247.684571392</v>
      </c>
      <c r="T104" s="209" t="n">
        <f aca="false">-T95-T96</f>
        <v>314394.88569984</v>
      </c>
      <c r="U104" s="209" t="n">
        <f aca="false">-U95-U96</f>
        <v>308542.086828288</v>
      </c>
      <c r="V104" s="209" t="n">
        <f aca="false">-V95-V96</f>
        <v>302689.287956736</v>
      </c>
      <c r="W104" s="209" t="n">
        <f aca="false">-W95-W96</f>
        <v>296836.489085184</v>
      </c>
      <c r="X104" s="209" t="n">
        <f aca="false">-X95-X96</f>
        <v>21682473.2001989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0.137107638204529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-3677385.7013632</v>
      </c>
      <c r="E106" s="209" t="n">
        <f aca="false">E85</f>
        <v>440371.18877952</v>
      </c>
      <c r="F106" s="209" t="n">
        <f aca="false">F85-F96</f>
        <v>433868.07892224</v>
      </c>
      <c r="G106" s="209" t="n">
        <f aca="false">G85-G96</f>
        <v>427364.96906496</v>
      </c>
      <c r="H106" s="209" t="n">
        <f aca="false">H85-H96</f>
        <v>420861.85920768</v>
      </c>
      <c r="I106" s="209" t="n">
        <f aca="false">I85-I96</f>
        <v>414358.7493504</v>
      </c>
      <c r="J106" s="209" t="n">
        <f aca="false">J85-J96</f>
        <v>407855.63949312</v>
      </c>
      <c r="K106" s="209" t="n">
        <f aca="false">K85-K96</f>
        <v>401352.52963584</v>
      </c>
      <c r="L106" s="209" t="n">
        <f aca="false">L85-L96</f>
        <v>394849.41977856</v>
      </c>
      <c r="M106" s="209" t="n">
        <f aca="false">M85-M96</f>
        <v>388346.30992128</v>
      </c>
      <c r="N106" s="209" t="n">
        <f aca="false">N85-N96</f>
        <v>381843.200064</v>
      </c>
      <c r="O106" s="209" t="n">
        <f aca="false">O85-O96</f>
        <v>375340.09020672</v>
      </c>
      <c r="P106" s="209" t="n">
        <f aca="false">P85-P96</f>
        <v>368836.98034944</v>
      </c>
      <c r="Q106" s="209" t="n">
        <f aca="false">Q85-Q96</f>
        <v>362333.87049216</v>
      </c>
      <c r="R106" s="209" t="n">
        <f aca="false">R85-R96</f>
        <v>355830.76063488</v>
      </c>
      <c r="S106" s="209" t="n">
        <f aca="false">S85-S96</f>
        <v>349327.6507776</v>
      </c>
      <c r="T106" s="209" t="n">
        <f aca="false">T85-T96</f>
        <v>342824.540920319</v>
      </c>
      <c r="U106" s="209" t="n">
        <f aca="false">U85-U96</f>
        <v>336321.43106304</v>
      </c>
      <c r="V106" s="209" t="n">
        <f aca="false">V85-V96</f>
        <v>329818.32120576</v>
      </c>
      <c r="W106" s="209" t="n">
        <f aca="false">W85-W96</f>
        <v>323315.21134848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0.0851362559784523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16497040</v>
      </c>
      <c r="F109" s="206" t="n">
        <f aca="false">E109+F93</f>
        <v>16497040</v>
      </c>
      <c r="G109" s="206" t="n">
        <f aca="false">F109+G93</f>
        <v>16497040</v>
      </c>
      <c r="H109" s="206" t="n">
        <f aca="false">G109+H93</f>
        <v>16497040</v>
      </c>
      <c r="I109" s="206" t="n">
        <f aca="false">H109+I93</f>
        <v>16497040</v>
      </c>
      <c r="J109" s="206" t="n">
        <f aca="false">I109+J93</f>
        <v>16497040</v>
      </c>
      <c r="K109" s="206" t="n">
        <f aca="false">J109+K93</f>
        <v>16497040</v>
      </c>
      <c r="L109" s="206" t="n">
        <f aca="false">K109+L93</f>
        <v>16497040</v>
      </c>
      <c r="M109" s="206" t="n">
        <f aca="false">L109+M93</f>
        <v>16497040</v>
      </c>
      <c r="N109" s="206" t="n">
        <f aca="false">M109+N93</f>
        <v>16497040</v>
      </c>
      <c r="O109" s="206" t="n">
        <f aca="false">N109+O93</f>
        <v>16497040</v>
      </c>
      <c r="P109" s="206" t="n">
        <f aca="false">O109+P93</f>
        <v>16497040</v>
      </c>
      <c r="Q109" s="206" t="n">
        <f aca="false">P109+Q93</f>
        <v>16497040</v>
      </c>
      <c r="R109" s="206" t="n">
        <f aca="false">Q109+R93</f>
        <v>16497040</v>
      </c>
      <c r="S109" s="206" t="n">
        <f aca="false">R109+S93</f>
        <v>16497040</v>
      </c>
      <c r="T109" s="206" t="n">
        <f aca="false">S109+T93</f>
        <v>16497040</v>
      </c>
      <c r="U109" s="206" t="n">
        <f aca="false">T109+U93</f>
        <v>16497040</v>
      </c>
      <c r="V109" s="206" t="n">
        <f aca="false">U109+V93</f>
        <v>16497040</v>
      </c>
      <c r="W109" s="206" t="n">
        <f aca="false">V109+W93</f>
        <v>16497040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-208626.9224192</v>
      </c>
      <c r="E54" s="170" t="n">
        <f aca="false">-(E64+E67+E68+E71+E72+E73+E74)*0.2</f>
        <v>-207001.14495488</v>
      </c>
      <c r="F54" s="170" t="n">
        <f aca="false">-(F64+F67+F68+F71+F72+F73+F74)*0.2</f>
        <v>-205375.36749056</v>
      </c>
      <c r="G54" s="170" t="n">
        <f aca="false">-(G64+G67+G68+G71+G72+G73+G74)*0.2</f>
        <v>-203749.59002624</v>
      </c>
      <c r="H54" s="170" t="n">
        <f aca="false">-(H64+H67+H68+H71+H72+H73+H74)*0.2</f>
        <v>-202123.81256192</v>
      </c>
      <c r="I54" s="170" t="n">
        <f aca="false">-(I64+I67+I68+I71+I72+I73+I74)*0.2</f>
        <v>-200498.0350976</v>
      </c>
      <c r="J54" s="170" t="n">
        <f aca="false">-(J64+J67+J68+J71+J72+J73+J74)*0.2</f>
        <v>-198872.25763328</v>
      </c>
      <c r="K54" s="170" t="n">
        <f aca="false">-(K64+K67+K68+K71+K72+K73+K74)*0.2</f>
        <v>-197246.48016896</v>
      </c>
      <c r="L54" s="170" t="n">
        <f aca="false">-(L64+L67+L68+L71+L72+L73+L74)*0.2</f>
        <v>-195620.70270464</v>
      </c>
      <c r="M54" s="170" t="n">
        <f aca="false">-(M64+M67+M68+M71+M72+M73+M74)*0.2</f>
        <v>-193994.92524032</v>
      </c>
      <c r="N54" s="170" t="n">
        <f aca="false">-(N64+N67+N68+N71+N72+N73+N74)*0.2</f>
        <v>-192369.147776</v>
      </c>
      <c r="O54" s="170" t="n">
        <f aca="false">-(O64+O67+O68+O71+O72+O73+O74)*0.2</f>
        <v>-190743.37031168</v>
      </c>
      <c r="P54" s="170" t="n">
        <f aca="false">-(P64+P67+P68+P71+P72+P73+P74)*0.2</f>
        <v>-189117.59284736</v>
      </c>
      <c r="Q54" s="170" t="n">
        <f aca="false">-(Q64+Q67+Q68+Q71+Q72+Q73+Q74)*0.2</f>
        <v>-187491.81538304</v>
      </c>
      <c r="R54" s="170" t="n">
        <f aca="false">-(R64+R67+R68+R71+R72+R73+R74)*0.2</f>
        <v>-185866.03791872</v>
      </c>
      <c r="S54" s="170" t="n">
        <f aca="false">-(S64+S67+S68+S71+S72+S73+S74)*0.2</f>
        <v>-184240.2604544</v>
      </c>
      <c r="T54" s="170" t="n">
        <f aca="false">-(T64+T67+T68+T71+T72+T73+T74)*0.2</f>
        <v>-182614.48299008</v>
      </c>
      <c r="U54" s="170" t="n">
        <f aca="false">-(U64+U67+U68+U71+U72+U73+U74)*0.2</f>
        <v>-180988.70552576</v>
      </c>
      <c r="V54" s="170" t="n">
        <f aca="false">-(V64+V67+V68+V71+V72+V73+V74)*0.2</f>
        <v>-179362.92806144</v>
      </c>
      <c r="W54" s="170" t="n">
        <f aca="false">-(W64+W67+W68+W71+W72+W73+W74)*0.2</f>
        <v>-177737.15059712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1803272.6896768</v>
      </c>
      <c r="E55" s="175" t="n">
        <f aca="false">SUM(E41:E54)</f>
        <v>1796769.57981952</v>
      </c>
      <c r="F55" s="175" t="n">
        <f aca="false">SUM(F41:F54)</f>
        <v>1790266.46996224</v>
      </c>
      <c r="G55" s="175" t="n">
        <f aca="false">SUM(G41:G54)</f>
        <v>1783763.36010496</v>
      </c>
      <c r="H55" s="175" t="n">
        <f aca="false">SUM(H41:H54)</f>
        <v>1777260.25024768</v>
      </c>
      <c r="I55" s="175" t="n">
        <f aca="false">SUM(I41:I54)</f>
        <v>1770757.1403904</v>
      </c>
      <c r="J55" s="175" t="n">
        <f aca="false">SUM(J41:J54)</f>
        <v>1764254.03053312</v>
      </c>
      <c r="K55" s="175" t="n">
        <f aca="false">SUM(K41:K54)</f>
        <v>1757750.92067584</v>
      </c>
      <c r="L55" s="175" t="n">
        <f aca="false">SUM(L41:L54)</f>
        <v>1751247.81081856</v>
      </c>
      <c r="M55" s="175" t="n">
        <f aca="false">SUM(M41:M54)</f>
        <v>1744744.70096128</v>
      </c>
      <c r="N55" s="175" t="n">
        <f aca="false">SUM(N41:N54)</f>
        <v>1738241.591104</v>
      </c>
      <c r="O55" s="175" t="n">
        <f aca="false">SUM(O41:O54)</f>
        <v>1731738.48124672</v>
      </c>
      <c r="P55" s="175" t="n">
        <f aca="false">SUM(P41:P54)</f>
        <v>1725235.37138944</v>
      </c>
      <c r="Q55" s="175" t="n">
        <f aca="false">SUM(Q41:Q54)</f>
        <v>1718732.26153216</v>
      </c>
      <c r="R55" s="175" t="n">
        <f aca="false">SUM(R41:R54)</f>
        <v>1712229.15167488</v>
      </c>
      <c r="S55" s="175" t="n">
        <f aca="false">SUM(S41:S54)</f>
        <v>1705726.0418176</v>
      </c>
      <c r="T55" s="175" t="n">
        <f aca="false">SUM(T41:T54)</f>
        <v>1699222.93196032</v>
      </c>
      <c r="U55" s="175" t="n">
        <f aca="false">SUM(U41:U54)</f>
        <v>1692719.82210304</v>
      </c>
      <c r="V55" s="175" t="n">
        <f aca="false">SUM(V41:V54)</f>
        <v>1686216.71224576</v>
      </c>
      <c r="W55" s="175" t="n">
        <f aca="false">SUM(W41:W54)</f>
        <v>1679713.60238848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-17572027.3103232</v>
      </c>
      <c r="E56" s="180" t="n">
        <f aca="false">D56+E55</f>
        <v>-15775257.7305037</v>
      </c>
      <c r="F56" s="180" t="n">
        <f aca="false">E56+F55</f>
        <v>-13984991.2605414</v>
      </c>
      <c r="G56" s="180" t="n">
        <f aca="false">F56+G55</f>
        <v>-12201227.9004365</v>
      </c>
      <c r="H56" s="180" t="n">
        <f aca="false">G56+H55</f>
        <v>-10423967.6501888</v>
      </c>
      <c r="I56" s="180" t="n">
        <f aca="false">H56+I55</f>
        <v>-8653210.50979841</v>
      </c>
      <c r="J56" s="180" t="n">
        <f aca="false">I56+J55</f>
        <v>-6888956.47926529</v>
      </c>
      <c r="K56" s="180" t="n">
        <f aca="false">J56+K55</f>
        <v>-5131205.55858945</v>
      </c>
      <c r="L56" s="180" t="n">
        <f aca="false">K56+L55</f>
        <v>-3379957.74777089</v>
      </c>
      <c r="M56" s="180" t="n">
        <f aca="false">L56+M55</f>
        <v>-1635213.04680961</v>
      </c>
      <c r="N56" s="180" t="n">
        <f aca="false">M56+N55</f>
        <v>103028.544294392</v>
      </c>
      <c r="O56" s="180" t="n">
        <f aca="false">N56+O55</f>
        <v>1834767.02554111</v>
      </c>
      <c r="P56" s="180" t="n">
        <f aca="false">O56+P55</f>
        <v>3560002.39693055</v>
      </c>
      <c r="Q56" s="180" t="n">
        <f aca="false">P56+Q55</f>
        <v>5278734.65846271</v>
      </c>
      <c r="R56" s="180" t="n">
        <f aca="false">Q56+R55</f>
        <v>6990963.81013759</v>
      </c>
      <c r="S56" s="180" t="n">
        <f aca="false">R56+S55</f>
        <v>8696689.85195519</v>
      </c>
      <c r="T56" s="180" t="n">
        <f aca="false">S56+T55</f>
        <v>10395912.7839155</v>
      </c>
      <c r="U56" s="180" t="n">
        <f aca="false">T56+U55</f>
        <v>12088632.6060186</v>
      </c>
      <c r="V56" s="180" t="n">
        <f aca="false">U56+V55</f>
        <v>13774849.3182643</v>
      </c>
      <c r="W56" s="180" t="n">
        <f aca="false">V56+W55</f>
        <v>15454562.9206528</v>
      </c>
      <c r="X56" s="180" t="n">
        <f aca="false">W56+X55</f>
        <v>15454562.9206528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0.0647335303672414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-396728.6428</v>
      </c>
      <c r="F70" s="170" t="n">
        <f aca="false">-F109*$D25</f>
        <v>-396728.6428</v>
      </c>
      <c r="G70" s="170" t="n">
        <f aca="false">-G109*$D25</f>
        <v>-396728.6428</v>
      </c>
      <c r="H70" s="170" t="n">
        <f aca="false">-H109*$D25</f>
        <v>-396728.6428</v>
      </c>
      <c r="I70" s="170" t="n">
        <f aca="false">-I109*$D25</f>
        <v>-396728.6428</v>
      </c>
      <c r="J70" s="170" t="n">
        <f aca="false">-J109*$D25</f>
        <v>-396728.6428</v>
      </c>
      <c r="K70" s="170" t="n">
        <f aca="false">-K109*$D25</f>
        <v>-396728.6428</v>
      </c>
      <c r="L70" s="170" t="n">
        <f aca="false">-L109*$D25</f>
        <v>-396728.6428</v>
      </c>
      <c r="M70" s="170" t="n">
        <f aca="false">-M109*$D25</f>
        <v>-396728.6428</v>
      </c>
      <c r="N70" s="170" t="n">
        <f aca="false">-N109*$D25</f>
        <v>-396728.6428</v>
      </c>
      <c r="O70" s="170" t="n">
        <f aca="false">-O109*$D25</f>
        <v>-396728.6428</v>
      </c>
      <c r="P70" s="170" t="n">
        <f aca="false">-P109*$D25</f>
        <v>-396728.6428</v>
      </c>
      <c r="Q70" s="170" t="n">
        <f aca="false">-Q109*$D25</f>
        <v>-396728.6428</v>
      </c>
      <c r="R70" s="170" t="n">
        <f aca="false">-R109*$D25</f>
        <v>-396728.6428</v>
      </c>
      <c r="S70" s="170" t="n">
        <f aca="false">-S109*$D25</f>
        <v>-396728.6428</v>
      </c>
      <c r="T70" s="170" t="n">
        <f aca="false">-T109*$D25</f>
        <v>-396728.6428</v>
      </c>
      <c r="U70" s="170" t="n">
        <f aca="false">-U109*$D25</f>
        <v>-396728.6428</v>
      </c>
      <c r="V70" s="170" t="n">
        <f aca="false">-V109*$D25</f>
        <v>-396728.6428</v>
      </c>
      <c r="W70" s="170" t="n">
        <f aca="false">-W109*$D25</f>
        <v>-396728.6428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646405.969296</v>
      </c>
      <c r="E76" s="175" t="n">
        <f aca="false">SUM(E64:E75)</f>
        <v>638277.0819744</v>
      </c>
      <c r="F76" s="175" t="n">
        <f aca="false">SUM(F64:F75)</f>
        <v>630148.1946528</v>
      </c>
      <c r="G76" s="175" t="n">
        <f aca="false">SUM(G64:G75)</f>
        <v>622019.3073312</v>
      </c>
      <c r="H76" s="175" t="n">
        <f aca="false">SUM(H64:H75)</f>
        <v>613890.4200096</v>
      </c>
      <c r="I76" s="175" t="n">
        <f aca="false">SUM(I64:I75)</f>
        <v>605761.532688</v>
      </c>
      <c r="J76" s="175" t="n">
        <f aca="false">SUM(J64:J75)</f>
        <v>597632.6453664</v>
      </c>
      <c r="K76" s="175" t="n">
        <f aca="false">SUM(K64:K75)</f>
        <v>589503.7580448</v>
      </c>
      <c r="L76" s="175" t="n">
        <f aca="false">SUM(L64:L75)</f>
        <v>581374.8707232</v>
      </c>
      <c r="M76" s="175" t="n">
        <f aca="false">SUM(M64:M75)</f>
        <v>573245.9834016</v>
      </c>
      <c r="N76" s="175" t="n">
        <f aca="false">SUM(N64:N75)</f>
        <v>565117.09608</v>
      </c>
      <c r="O76" s="175" t="n">
        <f aca="false">SUM(O64:O75)</f>
        <v>556988.2087584</v>
      </c>
      <c r="P76" s="175" t="n">
        <f aca="false">SUM(P64:P75)</f>
        <v>548859.3214368</v>
      </c>
      <c r="Q76" s="175" t="n">
        <f aca="false">SUM(Q64:Q75)</f>
        <v>540730.4341152</v>
      </c>
      <c r="R76" s="175" t="n">
        <f aca="false">SUM(R64:R75)</f>
        <v>532601.5467936</v>
      </c>
      <c r="S76" s="175" t="n">
        <f aca="false">SUM(S64:S75)</f>
        <v>524472.659472</v>
      </c>
      <c r="T76" s="175" t="n">
        <f aca="false">SUM(T64:T75)</f>
        <v>516343.772150399</v>
      </c>
      <c r="U76" s="175" t="n">
        <f aca="false">SUM(U64:U75)</f>
        <v>508214.8848288</v>
      </c>
      <c r="V76" s="175" t="n">
        <f aca="false">SUM(V64:V75)</f>
        <v>500085.997507199</v>
      </c>
      <c r="W76" s="175" t="n">
        <f aca="false">SUM(W64:W75)</f>
        <v>491957.1101856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-129281.1938592</v>
      </c>
      <c r="E77" s="170" t="n">
        <f aca="false">-E76*0.2</f>
        <v>-127655.41639488</v>
      </c>
      <c r="F77" s="170" t="n">
        <f aca="false">-F76*0.2</f>
        <v>-126029.63893056</v>
      </c>
      <c r="G77" s="170" t="n">
        <f aca="false">-G76*0.2</f>
        <v>-124403.86146624</v>
      </c>
      <c r="H77" s="170" t="n">
        <f aca="false">-H76*0.2</f>
        <v>-122778.08400192</v>
      </c>
      <c r="I77" s="170" t="n">
        <f aca="false">-I76*0.2</f>
        <v>-121152.3065376</v>
      </c>
      <c r="J77" s="170" t="n">
        <f aca="false">-J76*0.2</f>
        <v>-119526.52907328</v>
      </c>
      <c r="K77" s="170" t="n">
        <f aca="false">-K76*0.2</f>
        <v>-117900.75160896</v>
      </c>
      <c r="L77" s="170" t="n">
        <f aca="false">-L76*0.2</f>
        <v>-116274.97414464</v>
      </c>
      <c r="M77" s="170" t="n">
        <f aca="false">-M76*0.2</f>
        <v>-114649.19668032</v>
      </c>
      <c r="N77" s="170" t="n">
        <f aca="false">-N76*0.2</f>
        <v>-113023.419216</v>
      </c>
      <c r="O77" s="170" t="n">
        <f aca="false">-O76*0.2</f>
        <v>-111397.64175168</v>
      </c>
      <c r="P77" s="170" t="n">
        <f aca="false">-P76*0.2</f>
        <v>-109771.86428736</v>
      </c>
      <c r="Q77" s="170" t="n">
        <f aca="false">-Q76*0.2</f>
        <v>-108146.08682304</v>
      </c>
      <c r="R77" s="170" t="n">
        <f aca="false">-R76*0.2</f>
        <v>-106520.30935872</v>
      </c>
      <c r="S77" s="170" t="n">
        <f aca="false">-S76*0.2</f>
        <v>-104894.5318944</v>
      </c>
      <c r="T77" s="170" t="n">
        <f aca="false">-T76*0.2</f>
        <v>-103268.75443008</v>
      </c>
      <c r="U77" s="170" t="n">
        <f aca="false">-U76*0.2</f>
        <v>-101642.97696576</v>
      </c>
      <c r="V77" s="170" t="n">
        <f aca="false">-V76*0.2</f>
        <v>-100017.19950144</v>
      </c>
      <c r="W77" s="170" t="n">
        <f aca="false">-W76*0.2</f>
        <v>-98391.4220371199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517124.7754368</v>
      </c>
      <c r="E78" s="170" t="n">
        <f aca="false">SUM(E76:E77)</f>
        <v>510621.66557952</v>
      </c>
      <c r="F78" s="170" t="n">
        <f aca="false">SUM(F76:F77)</f>
        <v>504118.55572224</v>
      </c>
      <c r="G78" s="170" t="n">
        <f aca="false">SUM(G76:G77)</f>
        <v>497615.44586496</v>
      </c>
      <c r="H78" s="170" t="n">
        <f aca="false">SUM(H76:H77)</f>
        <v>491112.33600768</v>
      </c>
      <c r="I78" s="170" t="n">
        <f aca="false">SUM(I76:I77)</f>
        <v>484609.2261504</v>
      </c>
      <c r="J78" s="170" t="n">
        <f aca="false">SUM(J76:J77)</f>
        <v>478106.11629312</v>
      </c>
      <c r="K78" s="170" t="n">
        <f aca="false">SUM(K76:K77)</f>
        <v>471603.00643584</v>
      </c>
      <c r="L78" s="170" t="n">
        <f aca="false">SUM(L76:L77)</f>
        <v>465099.89657856</v>
      </c>
      <c r="M78" s="170" t="n">
        <f aca="false">SUM(M76:M77)</f>
        <v>458596.78672128</v>
      </c>
      <c r="N78" s="170" t="n">
        <f aca="false">SUM(N76:N77)</f>
        <v>452093.676864</v>
      </c>
      <c r="O78" s="170" t="n">
        <f aca="false">SUM(O76:O77)</f>
        <v>445590.56700672</v>
      </c>
      <c r="P78" s="170" t="n">
        <f aca="false">SUM(P76:P77)</f>
        <v>439087.45714944</v>
      </c>
      <c r="Q78" s="170" t="n">
        <f aca="false">SUM(Q76:Q77)</f>
        <v>432584.34729216</v>
      </c>
      <c r="R78" s="170" t="n">
        <f aca="false">SUM(R76:R77)</f>
        <v>426081.23743488</v>
      </c>
      <c r="S78" s="170" t="n">
        <f aca="false">SUM(S76:S77)</f>
        <v>419578.1275776</v>
      </c>
      <c r="T78" s="170" t="n">
        <f aca="false">SUM(T76:T77)</f>
        <v>413075.017720319</v>
      </c>
      <c r="U78" s="170" t="n">
        <f aca="false">SUM(U76:U77)</f>
        <v>406571.90786304</v>
      </c>
      <c r="V78" s="170" t="n">
        <f aca="false">SUM(V76:V77)</f>
        <v>400068.79800576</v>
      </c>
      <c r="W78" s="170" t="n">
        <f aca="false">SUM(W76:W77)</f>
        <v>393565.68814848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517124.7754368</v>
      </c>
      <c r="E85" s="206" t="n">
        <f aca="false">E78</f>
        <v>510621.66557952</v>
      </c>
      <c r="F85" s="206" t="n">
        <f aca="false">F78</f>
        <v>504118.55572224</v>
      </c>
      <c r="G85" s="206" t="n">
        <f aca="false">G78</f>
        <v>497615.44586496</v>
      </c>
      <c r="H85" s="206" t="n">
        <f aca="false">H78</f>
        <v>491112.33600768</v>
      </c>
      <c r="I85" s="206" t="n">
        <f aca="false">I78</f>
        <v>484609.2261504</v>
      </c>
      <c r="J85" s="206" t="n">
        <f aca="false">J78</f>
        <v>478106.11629312</v>
      </c>
      <c r="K85" s="206" t="n">
        <f aca="false">K78</f>
        <v>471603.00643584</v>
      </c>
      <c r="L85" s="206" t="n">
        <f aca="false">L78</f>
        <v>465099.89657856</v>
      </c>
      <c r="M85" s="206" t="n">
        <f aca="false">M78</f>
        <v>458596.78672128</v>
      </c>
      <c r="N85" s="206" t="n">
        <f aca="false">N78</f>
        <v>452093.676864</v>
      </c>
      <c r="O85" s="206" t="n">
        <f aca="false">O78</f>
        <v>445590.56700672</v>
      </c>
      <c r="P85" s="206" t="n">
        <f aca="false">P78</f>
        <v>439087.45714944</v>
      </c>
      <c r="Q85" s="206" t="n">
        <f aca="false">Q78</f>
        <v>432584.34729216</v>
      </c>
      <c r="R85" s="206" t="n">
        <f aca="false">R78</f>
        <v>426081.23743488</v>
      </c>
      <c r="S85" s="206" t="n">
        <f aca="false">S78</f>
        <v>419578.1275776</v>
      </c>
      <c r="T85" s="206" t="n">
        <f aca="false">T78</f>
        <v>413075.017720319</v>
      </c>
      <c r="U85" s="206" t="n">
        <f aca="false">U78</f>
        <v>406571.90786304</v>
      </c>
      <c r="V85" s="206" t="n">
        <f aca="false">V78</f>
        <v>400068.79800576</v>
      </c>
      <c r="W85" s="206" t="n">
        <f aca="false">W78</f>
        <v>393565.68814848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1485889.7754368</v>
      </c>
      <c r="E87" s="209" t="n">
        <f aca="false">SUM(E85:E86)</f>
        <v>1479386.66557952</v>
      </c>
      <c r="F87" s="209" t="n">
        <f aca="false">SUM(F85:F86)</f>
        <v>1472883.55572224</v>
      </c>
      <c r="G87" s="209" t="n">
        <f aca="false">SUM(G85:G86)</f>
        <v>1466380.44586496</v>
      </c>
      <c r="H87" s="209" t="n">
        <f aca="false">SUM(H85:H86)</f>
        <v>1459877.33600768</v>
      </c>
      <c r="I87" s="209" t="n">
        <f aca="false">SUM(I85:I86)</f>
        <v>1453374.2261504</v>
      </c>
      <c r="J87" s="209" t="n">
        <f aca="false">SUM(J85:J86)</f>
        <v>1446871.11629312</v>
      </c>
      <c r="K87" s="209" t="n">
        <f aca="false">SUM(K85:K86)</f>
        <v>1440368.00643584</v>
      </c>
      <c r="L87" s="209" t="n">
        <f aca="false">SUM(L85:L86)</f>
        <v>1433864.89657856</v>
      </c>
      <c r="M87" s="209" t="n">
        <f aca="false">SUM(M85:M86)</f>
        <v>1427361.78672128</v>
      </c>
      <c r="N87" s="209" t="n">
        <f aca="false">SUM(N85:N86)</f>
        <v>1420858.676864</v>
      </c>
      <c r="O87" s="209" t="n">
        <f aca="false">SUM(O85:O86)</f>
        <v>1414355.56700672</v>
      </c>
      <c r="P87" s="209" t="n">
        <f aca="false">SUM(P85:P86)</f>
        <v>1407852.45714944</v>
      </c>
      <c r="Q87" s="209" t="n">
        <f aca="false">SUM(Q85:Q86)</f>
        <v>1401349.34729216</v>
      </c>
      <c r="R87" s="209" t="n">
        <f aca="false">SUM(R85:R86)</f>
        <v>1394846.23743488</v>
      </c>
      <c r="S87" s="209" t="n">
        <f aca="false">SUM(S85:S86)</f>
        <v>1388343.1275776</v>
      </c>
      <c r="T87" s="209" t="n">
        <f aca="false">SUM(T85:T86)</f>
        <v>1381840.01772032</v>
      </c>
      <c r="U87" s="209" t="n">
        <f aca="false">SUM(U85:U86)</f>
        <v>1375336.90786304</v>
      </c>
      <c r="V87" s="209" t="n">
        <f aca="false">SUM(V85:V86)</f>
        <v>1368833.79800576</v>
      </c>
      <c r="W87" s="209" t="n">
        <f aca="false">SUM(W85:W86)</f>
        <v>1362330.68814848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-465412.29789312</v>
      </c>
      <c r="F95" s="216" t="n">
        <f aca="false">-E85*$D$33</f>
        <v>-459559.499021568</v>
      </c>
      <c r="G95" s="216" t="n">
        <f aca="false">-F85*$D$33</f>
        <v>-453706.700150016</v>
      </c>
      <c r="H95" s="216" t="n">
        <f aca="false">-G85*$D$33</f>
        <v>-447853.901278464</v>
      </c>
      <c r="I95" s="216" t="n">
        <f aca="false">-H85*$D$33</f>
        <v>-442001.102406912</v>
      </c>
      <c r="J95" s="216" t="n">
        <f aca="false">-I85*$D$33</f>
        <v>-436148.30353536</v>
      </c>
      <c r="K95" s="216" t="n">
        <f aca="false">-J85*$D$33</f>
        <v>-430295.504663808</v>
      </c>
      <c r="L95" s="216" t="n">
        <f aca="false">-K85*$D$33</f>
        <v>-424442.705792256</v>
      </c>
      <c r="M95" s="216" t="n">
        <f aca="false">-L85*$D$33</f>
        <v>-418589.906920704</v>
      </c>
      <c r="N95" s="216" t="n">
        <f aca="false">-M85*$D$33</f>
        <v>-412737.108049152</v>
      </c>
      <c r="O95" s="216" t="n">
        <f aca="false">-N85*$D$33</f>
        <v>-406884.3091776</v>
      </c>
      <c r="P95" s="216" t="n">
        <f aca="false">-O85*$D$33</f>
        <v>-401031.510306048</v>
      </c>
      <c r="Q95" s="216" t="n">
        <f aca="false">-P85*$D$33</f>
        <v>-395178.711434496</v>
      </c>
      <c r="R95" s="216" t="n">
        <f aca="false">-Q85*$D$33</f>
        <v>-389325.912562944</v>
      </c>
      <c r="S95" s="216" t="n">
        <f aca="false">-R85*$D$33</f>
        <v>-383473.113691392</v>
      </c>
      <c r="T95" s="216" t="n">
        <f aca="false">-S85*$D$33</f>
        <v>-377620.31481984</v>
      </c>
      <c r="U95" s="216" t="n">
        <f aca="false">-T85*$D$33</f>
        <v>-371767.515948288</v>
      </c>
      <c r="V95" s="216" t="n">
        <f aca="false">-U85*$D$33</f>
        <v>-365914.717076736</v>
      </c>
      <c r="W95" s="216" t="n">
        <f aca="false">-V85*$D$33</f>
        <v>-360061.918205184</v>
      </c>
      <c r="X95" s="216" t="n">
        <f aca="false">-W85*$D$33</f>
        <v>-354209.119333632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-20285990.4635853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1485889.7754368</v>
      </c>
      <c r="E99" s="206" t="n">
        <f aca="false">SUM(E87:E96)</f>
        <v>1013974.3676864</v>
      </c>
      <c r="F99" s="206" t="n">
        <f aca="false">SUM(F87:F96)</f>
        <v>1013324.05670067</v>
      </c>
      <c r="G99" s="206" t="n">
        <f aca="false">SUM(G87:G96)</f>
        <v>1012673.74571494</v>
      </c>
      <c r="H99" s="206" t="n">
        <f aca="false">SUM(H87:H96)</f>
        <v>1012023.43472922</v>
      </c>
      <c r="I99" s="206" t="n">
        <f aca="false">SUM(I87:I96)</f>
        <v>1011373.12374349</v>
      </c>
      <c r="J99" s="206" t="n">
        <f aca="false">SUM(J87:J96)</f>
        <v>1010722.81275776</v>
      </c>
      <c r="K99" s="206" t="n">
        <f aca="false">SUM(K87:K96)</f>
        <v>1010072.50177203</v>
      </c>
      <c r="L99" s="206" t="n">
        <f aca="false">SUM(L87:L96)</f>
        <v>1009422.1907863</v>
      </c>
      <c r="M99" s="206" t="n">
        <f aca="false">SUM(M87:M96)</f>
        <v>1008771.87980058</v>
      </c>
      <c r="N99" s="206" t="n">
        <f aca="false">SUM(N87:N96)</f>
        <v>1008121.56881485</v>
      </c>
      <c r="O99" s="206" t="n">
        <f aca="false">SUM(O87:O96)</f>
        <v>1007471.25782912</v>
      </c>
      <c r="P99" s="206" t="n">
        <f aca="false">SUM(P87:P96)</f>
        <v>1006820.94684339</v>
      </c>
      <c r="Q99" s="206" t="n">
        <f aca="false">SUM(Q87:Q96)</f>
        <v>1006170.63585766</v>
      </c>
      <c r="R99" s="206" t="n">
        <f aca="false">SUM(R87:R96)</f>
        <v>1005520.32487194</v>
      </c>
      <c r="S99" s="206" t="n">
        <f aca="false">SUM(S87:S96)</f>
        <v>1004870.01388621</v>
      </c>
      <c r="T99" s="206" t="n">
        <f aca="false">SUM(T87:T96)</f>
        <v>1004219.70290048</v>
      </c>
      <c r="U99" s="206" t="n">
        <f aca="false">SUM(U87:U96)</f>
        <v>1003569.39191475</v>
      </c>
      <c r="V99" s="206" t="n">
        <f aca="false">SUM(V87:V96)</f>
        <v>1002919.08092902</v>
      </c>
      <c r="W99" s="206" t="n">
        <f aca="false">SUM(W87:W96)</f>
        <v>1002268.7699433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1485889.7754368</v>
      </c>
      <c r="F100" s="206" t="n">
        <f aca="false">E101</f>
        <v>2499864.1431232</v>
      </c>
      <c r="G100" s="206" t="n">
        <f aca="false">F101</f>
        <v>3513188.19982387</v>
      </c>
      <c r="H100" s="206" t="n">
        <f aca="false">G101</f>
        <v>4525861.94553882</v>
      </c>
      <c r="I100" s="206" t="n">
        <f aca="false">H101</f>
        <v>5537885.38026803</v>
      </c>
      <c r="J100" s="206" t="n">
        <f aca="false">I101</f>
        <v>6549258.50401152</v>
      </c>
      <c r="K100" s="206" t="n">
        <f aca="false">J101</f>
        <v>7559981.31676928</v>
      </c>
      <c r="L100" s="206" t="n">
        <f aca="false">K101</f>
        <v>8570053.81854131</v>
      </c>
      <c r="M100" s="206" t="n">
        <f aca="false">L101</f>
        <v>9579476.00932762</v>
      </c>
      <c r="N100" s="206" t="n">
        <f aca="false">M101</f>
        <v>10588247.8891282</v>
      </c>
      <c r="O100" s="206" t="n">
        <f aca="false">N101</f>
        <v>11596369.457943</v>
      </c>
      <c r="P100" s="206" t="n">
        <f aca="false">O101</f>
        <v>12603840.7157722</v>
      </c>
      <c r="Q100" s="206" t="n">
        <f aca="false">P101</f>
        <v>13610661.6626156</v>
      </c>
      <c r="R100" s="206" t="n">
        <f aca="false">Q101</f>
        <v>14616832.2984732</v>
      </c>
      <c r="S100" s="206" t="n">
        <f aca="false">R101</f>
        <v>15622352.6233452</v>
      </c>
      <c r="T100" s="206" t="n">
        <f aca="false">S101</f>
        <v>16627222.6372314</v>
      </c>
      <c r="U100" s="206" t="n">
        <f aca="false">T101</f>
        <v>17631442.3401318</v>
      </c>
      <c r="V100" s="206" t="n">
        <f aca="false">U101</f>
        <v>18635011.7320466</v>
      </c>
      <c r="W100" s="206" t="n">
        <f aca="false">V101</f>
        <v>19637930.8129756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1485889.7754368</v>
      </c>
      <c r="E101" s="206" t="n">
        <f aca="false">E99+E100</f>
        <v>2499864.1431232</v>
      </c>
      <c r="F101" s="206" t="n">
        <f aca="false">F99+F100</f>
        <v>3513188.19982387</v>
      </c>
      <c r="G101" s="206" t="n">
        <f aca="false">G99+G100</f>
        <v>4525861.94553882</v>
      </c>
      <c r="H101" s="206" t="n">
        <f aca="false">H99+H100</f>
        <v>5537885.38026803</v>
      </c>
      <c r="I101" s="206" t="n">
        <f aca="false">I99+I100</f>
        <v>6549258.50401152</v>
      </c>
      <c r="J101" s="206" t="n">
        <f aca="false">J99+J100</f>
        <v>7559981.31676928</v>
      </c>
      <c r="K101" s="206" t="n">
        <f aca="false">K99+K100</f>
        <v>8570053.81854131</v>
      </c>
      <c r="L101" s="206" t="n">
        <f aca="false">L99+L100</f>
        <v>9579476.00932762</v>
      </c>
      <c r="M101" s="206" t="n">
        <f aca="false">M99+M100</f>
        <v>10588247.8891282</v>
      </c>
      <c r="N101" s="206" t="n">
        <f aca="false">N99+N100</f>
        <v>11596369.457943</v>
      </c>
      <c r="O101" s="206" t="n">
        <f aca="false">O99+O100</f>
        <v>12603840.7157722</v>
      </c>
      <c r="P101" s="206" t="n">
        <f aca="false">P99+P100</f>
        <v>13610661.6626156</v>
      </c>
      <c r="Q101" s="206" t="n">
        <f aca="false">Q99+Q100</f>
        <v>14616832.2984732</v>
      </c>
      <c r="R101" s="206" t="n">
        <f aca="false">R99+R100</f>
        <v>15622352.6233452</v>
      </c>
      <c r="S101" s="206" t="n">
        <f aca="false">S99+S100</f>
        <v>16627222.6372314</v>
      </c>
      <c r="T101" s="206" t="n">
        <f aca="false">T99+T100</f>
        <v>17631442.3401318</v>
      </c>
      <c r="U101" s="206" t="n">
        <f aca="false">U99+U100</f>
        <v>18635011.7320466</v>
      </c>
      <c r="V101" s="206" t="n">
        <f aca="false">V99+V100</f>
        <v>19637930.8129756</v>
      </c>
      <c r="W101" s="206" t="n">
        <f aca="false">W99+W100</f>
        <v>20640199.5829189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465412.29789312</v>
      </c>
      <c r="F104" s="209" t="n">
        <f aca="false">-F95-F96</f>
        <v>459559.499021568</v>
      </c>
      <c r="G104" s="209" t="n">
        <f aca="false">-G95-G96</f>
        <v>453706.700150016</v>
      </c>
      <c r="H104" s="209" t="n">
        <f aca="false">-H95-H96</f>
        <v>447853.901278464</v>
      </c>
      <c r="I104" s="209" t="n">
        <f aca="false">-I95-I96</f>
        <v>442001.102406912</v>
      </c>
      <c r="J104" s="209" t="n">
        <f aca="false">-J95-J96</f>
        <v>436148.30353536</v>
      </c>
      <c r="K104" s="209" t="n">
        <f aca="false">-K95-K96</f>
        <v>430295.504663808</v>
      </c>
      <c r="L104" s="209" t="n">
        <f aca="false">-L95-L96</f>
        <v>424442.705792256</v>
      </c>
      <c r="M104" s="209" t="n">
        <f aca="false">-M95-M96</f>
        <v>418589.906920704</v>
      </c>
      <c r="N104" s="209" t="n">
        <f aca="false">-N95-N96</f>
        <v>412737.108049152</v>
      </c>
      <c r="O104" s="209" t="n">
        <f aca="false">-O95-O96</f>
        <v>406884.3091776</v>
      </c>
      <c r="P104" s="209" t="n">
        <f aca="false">-P95-P96</f>
        <v>401031.510306048</v>
      </c>
      <c r="Q104" s="209" t="n">
        <f aca="false">-Q95-Q96</f>
        <v>395178.711434496</v>
      </c>
      <c r="R104" s="209" t="n">
        <f aca="false">-R95-R96</f>
        <v>389325.912562944</v>
      </c>
      <c r="S104" s="209" t="n">
        <f aca="false">-S95-S96</f>
        <v>383473.113691392</v>
      </c>
      <c r="T104" s="209" t="n">
        <f aca="false">-T95-T96</f>
        <v>377620.31481984</v>
      </c>
      <c r="U104" s="209" t="n">
        <f aca="false">-U95-U96</f>
        <v>371767.515948288</v>
      </c>
      <c r="V104" s="209" t="n">
        <f aca="false">-V95-V96</f>
        <v>365914.717076736</v>
      </c>
      <c r="W104" s="209" t="n">
        <f aca="false">-W95-W96</f>
        <v>360061.918205184</v>
      </c>
      <c r="X104" s="209" t="n">
        <f aca="false">-X95-X96</f>
        <v>20640199.5829189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0.152298964558531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-3357935.2245632</v>
      </c>
      <c r="E106" s="209" t="n">
        <f aca="false">E85</f>
        <v>510621.66557952</v>
      </c>
      <c r="F106" s="209" t="n">
        <f aca="false">F85-F96</f>
        <v>504118.55572224</v>
      </c>
      <c r="G106" s="209" t="n">
        <f aca="false">G85-G96</f>
        <v>497615.44586496</v>
      </c>
      <c r="H106" s="209" t="n">
        <f aca="false">H85-H96</f>
        <v>491112.33600768</v>
      </c>
      <c r="I106" s="209" t="n">
        <f aca="false">I85-I96</f>
        <v>484609.2261504</v>
      </c>
      <c r="J106" s="209" t="n">
        <f aca="false">J85-J96</f>
        <v>478106.11629312</v>
      </c>
      <c r="K106" s="209" t="n">
        <f aca="false">K85-K96</f>
        <v>471603.00643584</v>
      </c>
      <c r="L106" s="209" t="n">
        <f aca="false">L85-L96</f>
        <v>465099.89657856</v>
      </c>
      <c r="M106" s="209" t="n">
        <f aca="false">M85-M96</f>
        <v>458596.78672128</v>
      </c>
      <c r="N106" s="209" t="n">
        <f aca="false">N85-N96</f>
        <v>452093.676864</v>
      </c>
      <c r="O106" s="209" t="n">
        <f aca="false">O85-O96</f>
        <v>445590.56700672</v>
      </c>
      <c r="P106" s="209" t="n">
        <f aca="false">P85-P96</f>
        <v>439087.45714944</v>
      </c>
      <c r="Q106" s="209" t="n">
        <f aca="false">Q85-Q96</f>
        <v>432584.34729216</v>
      </c>
      <c r="R106" s="209" t="n">
        <f aca="false">R85-R96</f>
        <v>426081.23743488</v>
      </c>
      <c r="S106" s="209" t="n">
        <f aca="false">S85-S96</f>
        <v>419578.1275776</v>
      </c>
      <c r="T106" s="209" t="n">
        <f aca="false">T85-T96</f>
        <v>413075.017720319</v>
      </c>
      <c r="U106" s="209" t="n">
        <f aca="false">U85-U96</f>
        <v>406571.90786304</v>
      </c>
      <c r="V106" s="209" t="n">
        <f aca="false">V85-V96</f>
        <v>400068.79800576</v>
      </c>
      <c r="W106" s="209" t="n">
        <f aca="false">W85-W96</f>
        <v>393565.68814848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0.126300644636147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15500240</v>
      </c>
      <c r="F109" s="206" t="n">
        <f aca="false">E109+F93</f>
        <v>15500240</v>
      </c>
      <c r="G109" s="206" t="n">
        <f aca="false">F109+G93</f>
        <v>15500240</v>
      </c>
      <c r="H109" s="206" t="n">
        <f aca="false">G109+H93</f>
        <v>15500240</v>
      </c>
      <c r="I109" s="206" t="n">
        <f aca="false">H109+I93</f>
        <v>15500240</v>
      </c>
      <c r="J109" s="206" t="n">
        <f aca="false">I109+J93</f>
        <v>15500240</v>
      </c>
      <c r="K109" s="206" t="n">
        <f aca="false">J109+K93</f>
        <v>15500240</v>
      </c>
      <c r="L109" s="206" t="n">
        <f aca="false">K109+L93</f>
        <v>15500240</v>
      </c>
      <c r="M109" s="206" t="n">
        <f aca="false">L109+M93</f>
        <v>15500240</v>
      </c>
      <c r="N109" s="206" t="n">
        <f aca="false">M109+N93</f>
        <v>15500240</v>
      </c>
      <c r="O109" s="206" t="n">
        <f aca="false">N109+O93</f>
        <v>15500240</v>
      </c>
      <c r="P109" s="206" t="n">
        <f aca="false">O109+P93</f>
        <v>15500240</v>
      </c>
      <c r="Q109" s="206" t="n">
        <f aca="false">P109+Q93</f>
        <v>15500240</v>
      </c>
      <c r="R109" s="206" t="n">
        <f aca="false">Q109+R93</f>
        <v>15500240</v>
      </c>
      <c r="S109" s="206" t="n">
        <f aca="false">R109+S93</f>
        <v>15500240</v>
      </c>
      <c r="T109" s="206" t="n">
        <f aca="false">S109+T93</f>
        <v>15500240</v>
      </c>
      <c r="U109" s="206" t="n">
        <f aca="false">T109+U93</f>
        <v>15500240</v>
      </c>
      <c r="V109" s="206" t="n">
        <f aca="false">U109+V93</f>
        <v>15500240</v>
      </c>
      <c r="W109" s="206" t="n">
        <f aca="false">V109+W93</f>
        <v>15500240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-221086.9224192</v>
      </c>
      <c r="E54" s="170" t="n">
        <f aca="false">-(E64+E67+E68+E71+E72+E73+E74)*0.2</f>
        <v>-219461.14495488</v>
      </c>
      <c r="F54" s="170" t="n">
        <f aca="false">-(F64+F67+F68+F71+F72+F73+F74)*0.2</f>
        <v>-217835.36749056</v>
      </c>
      <c r="G54" s="170" t="n">
        <f aca="false">-(G64+G67+G68+G71+G72+G73+G74)*0.2</f>
        <v>-216209.59002624</v>
      </c>
      <c r="H54" s="170" t="n">
        <f aca="false">-(H64+H67+H68+H71+H72+H73+H74)*0.2</f>
        <v>-214583.81256192</v>
      </c>
      <c r="I54" s="170" t="n">
        <f aca="false">-(I64+I67+I68+I71+I72+I73+I74)*0.2</f>
        <v>-212958.0350976</v>
      </c>
      <c r="J54" s="170" t="n">
        <f aca="false">-(J64+J67+J68+J71+J72+J73+J74)*0.2</f>
        <v>-211332.25763328</v>
      </c>
      <c r="K54" s="170" t="n">
        <f aca="false">-(K64+K67+K68+K71+K72+K73+K74)*0.2</f>
        <v>-209706.48016896</v>
      </c>
      <c r="L54" s="170" t="n">
        <f aca="false">-(L64+L67+L68+L71+L72+L73+L74)*0.2</f>
        <v>-208080.70270464</v>
      </c>
      <c r="M54" s="170" t="n">
        <f aca="false">-(M64+M67+M68+M71+M72+M73+M74)*0.2</f>
        <v>-206454.92524032</v>
      </c>
      <c r="N54" s="170" t="n">
        <f aca="false">-(N64+N67+N68+N71+N72+N73+N74)*0.2</f>
        <v>-204829.147776</v>
      </c>
      <c r="O54" s="170" t="n">
        <f aca="false">-(O64+O67+O68+O71+O72+O73+O74)*0.2</f>
        <v>-203203.37031168</v>
      </c>
      <c r="P54" s="170" t="n">
        <f aca="false">-(P64+P67+P68+P71+P72+P73+P74)*0.2</f>
        <v>-201577.59284736</v>
      </c>
      <c r="Q54" s="170" t="n">
        <f aca="false">-(Q64+Q67+Q68+Q71+Q72+Q73+Q74)*0.2</f>
        <v>-199951.81538304</v>
      </c>
      <c r="R54" s="170" t="n">
        <f aca="false">-(R64+R67+R68+R71+R72+R73+R74)*0.2</f>
        <v>-198326.03791872</v>
      </c>
      <c r="S54" s="170" t="n">
        <f aca="false">-(S64+S67+S68+S71+S72+S73+S74)*0.2</f>
        <v>-196700.2604544</v>
      </c>
      <c r="T54" s="170" t="n">
        <f aca="false">-(T64+T67+T68+T71+T72+T73+T74)*0.2</f>
        <v>-195074.48299008</v>
      </c>
      <c r="U54" s="170" t="n">
        <f aca="false">-(U64+U67+U68+U71+U72+U73+U74)*0.2</f>
        <v>-193448.70552576</v>
      </c>
      <c r="V54" s="170" t="n">
        <f aca="false">-(V64+V67+V68+V71+V72+V73+V74)*0.2</f>
        <v>-191822.92806144</v>
      </c>
      <c r="W54" s="170" t="n">
        <f aca="false">-(W64+W67+W68+W71+W72+W73+W74)*0.2</f>
        <v>-190197.15059712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1790812.6896768</v>
      </c>
      <c r="E55" s="175" t="n">
        <f aca="false">SUM(E41:E54)</f>
        <v>1784309.57981952</v>
      </c>
      <c r="F55" s="175" t="n">
        <f aca="false">SUM(F41:F54)</f>
        <v>1777806.46996224</v>
      </c>
      <c r="G55" s="175" t="n">
        <f aca="false">SUM(G41:G54)</f>
        <v>1771303.36010496</v>
      </c>
      <c r="H55" s="175" t="n">
        <f aca="false">SUM(H41:H54)</f>
        <v>1764800.25024768</v>
      </c>
      <c r="I55" s="175" t="n">
        <f aca="false">SUM(I41:I54)</f>
        <v>1758297.1403904</v>
      </c>
      <c r="J55" s="175" t="n">
        <f aca="false">SUM(J41:J54)</f>
        <v>1751794.03053312</v>
      </c>
      <c r="K55" s="175" t="n">
        <f aca="false">SUM(K41:K54)</f>
        <v>1745290.92067584</v>
      </c>
      <c r="L55" s="175" t="n">
        <f aca="false">SUM(L41:L54)</f>
        <v>1738787.81081856</v>
      </c>
      <c r="M55" s="175" t="n">
        <f aca="false">SUM(M41:M54)</f>
        <v>1732284.70096128</v>
      </c>
      <c r="N55" s="175" t="n">
        <f aca="false">SUM(N41:N54)</f>
        <v>1725781.591104</v>
      </c>
      <c r="O55" s="175" t="n">
        <f aca="false">SUM(O41:O54)</f>
        <v>1719278.48124672</v>
      </c>
      <c r="P55" s="175" t="n">
        <f aca="false">SUM(P41:P54)</f>
        <v>1712775.37138944</v>
      </c>
      <c r="Q55" s="175" t="n">
        <f aca="false">SUM(Q41:Q54)</f>
        <v>1706272.26153216</v>
      </c>
      <c r="R55" s="175" t="n">
        <f aca="false">SUM(R41:R54)</f>
        <v>1699769.15167488</v>
      </c>
      <c r="S55" s="175" t="n">
        <f aca="false">SUM(S41:S54)</f>
        <v>1693266.0418176</v>
      </c>
      <c r="T55" s="175" t="n">
        <f aca="false">SUM(T41:T54)</f>
        <v>1686762.93196032</v>
      </c>
      <c r="U55" s="175" t="n">
        <f aca="false">SUM(U41:U54)</f>
        <v>1680259.82210304</v>
      </c>
      <c r="V55" s="175" t="n">
        <f aca="false">SUM(V41:V54)</f>
        <v>1673756.71224576</v>
      </c>
      <c r="W55" s="175" t="n">
        <f aca="false">SUM(W41:W54)</f>
        <v>1667253.60238848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-16338487.3103232</v>
      </c>
      <c r="E56" s="180" t="n">
        <f aca="false">D56+E55</f>
        <v>-14554177.7305037</v>
      </c>
      <c r="F56" s="180" t="n">
        <f aca="false">E56+F55</f>
        <v>-12776371.2605414</v>
      </c>
      <c r="G56" s="180" t="n">
        <f aca="false">F56+G55</f>
        <v>-11005067.9004365</v>
      </c>
      <c r="H56" s="180" t="n">
        <f aca="false">G56+H55</f>
        <v>-9240267.6501888</v>
      </c>
      <c r="I56" s="180" t="n">
        <f aca="false">H56+I55</f>
        <v>-7481970.5097984</v>
      </c>
      <c r="J56" s="180" t="n">
        <f aca="false">I56+J55</f>
        <v>-5730176.47926528</v>
      </c>
      <c r="K56" s="180" t="n">
        <f aca="false">J56+K55</f>
        <v>-3984885.55858944</v>
      </c>
      <c r="L56" s="180" t="n">
        <f aca="false">K56+L55</f>
        <v>-2246097.74777088</v>
      </c>
      <c r="M56" s="180" t="n">
        <f aca="false">L56+M55</f>
        <v>-513813.046809604</v>
      </c>
      <c r="N56" s="180" t="n">
        <f aca="false">M56+N55</f>
        <v>1211968.5442944</v>
      </c>
      <c r="O56" s="180" t="n">
        <f aca="false">N56+O55</f>
        <v>2931247.02554112</v>
      </c>
      <c r="P56" s="180" t="n">
        <f aca="false">O56+P55</f>
        <v>4644022.39693056</v>
      </c>
      <c r="Q56" s="180" t="n">
        <f aca="false">P56+Q55</f>
        <v>6350294.65846271</v>
      </c>
      <c r="R56" s="180" t="n">
        <f aca="false">Q56+R55</f>
        <v>8050063.81013759</v>
      </c>
      <c r="S56" s="180" t="n">
        <f aca="false">R56+S55</f>
        <v>9743329.85195519</v>
      </c>
      <c r="T56" s="180" t="n">
        <f aca="false">S56+T55</f>
        <v>11430092.7839155</v>
      </c>
      <c r="U56" s="180" t="n">
        <f aca="false">T56+U55</f>
        <v>13110352.6060186</v>
      </c>
      <c r="V56" s="180" t="n">
        <f aca="false">U56+V55</f>
        <v>14784109.3182643</v>
      </c>
      <c r="W56" s="180" t="n">
        <f aca="false">V56+W55</f>
        <v>16451362.9206528</v>
      </c>
      <c r="X56" s="180" t="n">
        <f aca="false">W56+X55</f>
        <v>16451362.9206528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0.0724261981264091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-371215.5468</v>
      </c>
      <c r="F70" s="170" t="n">
        <f aca="false">-F109*$D25</f>
        <v>-371215.5468</v>
      </c>
      <c r="G70" s="170" t="n">
        <f aca="false">-G109*$D25</f>
        <v>-371215.5468</v>
      </c>
      <c r="H70" s="170" t="n">
        <f aca="false">-H109*$D25</f>
        <v>-371215.5468</v>
      </c>
      <c r="I70" s="170" t="n">
        <f aca="false">-I109*$D25</f>
        <v>-371215.5468</v>
      </c>
      <c r="J70" s="170" t="n">
        <f aca="false">-J109*$D25</f>
        <v>-371215.5468</v>
      </c>
      <c r="K70" s="170" t="n">
        <f aca="false">-K109*$D25</f>
        <v>-371215.5468</v>
      </c>
      <c r="L70" s="170" t="n">
        <f aca="false">-L109*$D25</f>
        <v>-371215.5468</v>
      </c>
      <c r="M70" s="170" t="n">
        <f aca="false">-M109*$D25</f>
        <v>-371215.5468</v>
      </c>
      <c r="N70" s="170" t="n">
        <f aca="false">-N109*$D25</f>
        <v>-371215.5468</v>
      </c>
      <c r="O70" s="170" t="n">
        <f aca="false">-O109*$D25</f>
        <v>-371215.5468</v>
      </c>
      <c r="P70" s="170" t="n">
        <f aca="false">-P109*$D25</f>
        <v>-371215.5468</v>
      </c>
      <c r="Q70" s="170" t="n">
        <f aca="false">-Q109*$D25</f>
        <v>-371215.5468</v>
      </c>
      <c r="R70" s="170" t="n">
        <f aca="false">-R109*$D25</f>
        <v>-371215.5468</v>
      </c>
      <c r="S70" s="170" t="n">
        <f aca="false">-S109*$D25</f>
        <v>-371215.5468</v>
      </c>
      <c r="T70" s="170" t="n">
        <f aca="false">-T109*$D25</f>
        <v>-371215.5468</v>
      </c>
      <c r="U70" s="170" t="n">
        <f aca="false">-U109*$D25</f>
        <v>-371215.5468</v>
      </c>
      <c r="V70" s="170" t="n">
        <f aca="false">-V109*$D25</f>
        <v>-371215.5468</v>
      </c>
      <c r="W70" s="170" t="n">
        <f aca="false">-W109*$D25</f>
        <v>-371215.5468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734219.065296</v>
      </c>
      <c r="E76" s="175" t="n">
        <f aca="false">SUM(E64:E75)</f>
        <v>726090.1779744</v>
      </c>
      <c r="F76" s="175" t="n">
        <f aca="false">SUM(F64:F75)</f>
        <v>717961.2906528</v>
      </c>
      <c r="G76" s="175" t="n">
        <f aca="false">SUM(G64:G75)</f>
        <v>709832.4033312</v>
      </c>
      <c r="H76" s="175" t="n">
        <f aca="false">SUM(H64:H75)</f>
        <v>701703.5160096</v>
      </c>
      <c r="I76" s="175" t="n">
        <f aca="false">SUM(I64:I75)</f>
        <v>693574.628688</v>
      </c>
      <c r="J76" s="175" t="n">
        <f aca="false">SUM(J64:J75)</f>
        <v>685445.7413664</v>
      </c>
      <c r="K76" s="175" t="n">
        <f aca="false">SUM(K64:K75)</f>
        <v>677316.8540448</v>
      </c>
      <c r="L76" s="175" t="n">
        <f aca="false">SUM(L64:L75)</f>
        <v>669187.9667232</v>
      </c>
      <c r="M76" s="175" t="n">
        <f aca="false">SUM(M64:M75)</f>
        <v>661059.0794016</v>
      </c>
      <c r="N76" s="175" t="n">
        <f aca="false">SUM(N64:N75)</f>
        <v>652930.19208</v>
      </c>
      <c r="O76" s="175" t="n">
        <f aca="false">SUM(O64:O75)</f>
        <v>644801.3047584</v>
      </c>
      <c r="P76" s="175" t="n">
        <f aca="false">SUM(P64:P75)</f>
        <v>636672.4174368</v>
      </c>
      <c r="Q76" s="175" t="n">
        <f aca="false">SUM(Q64:Q75)</f>
        <v>628543.5301152</v>
      </c>
      <c r="R76" s="175" t="n">
        <f aca="false">SUM(R64:R75)</f>
        <v>620414.6427936</v>
      </c>
      <c r="S76" s="175" t="n">
        <f aca="false">SUM(S64:S75)</f>
        <v>612285.755472</v>
      </c>
      <c r="T76" s="175" t="n">
        <f aca="false">SUM(T64:T75)</f>
        <v>604156.8681504</v>
      </c>
      <c r="U76" s="175" t="n">
        <f aca="false">SUM(U64:U75)</f>
        <v>596027.9808288</v>
      </c>
      <c r="V76" s="175" t="n">
        <f aca="false">SUM(V64:V75)</f>
        <v>587899.0935072</v>
      </c>
      <c r="W76" s="175" t="n">
        <f aca="false">SUM(W64:W75)</f>
        <v>579770.2061856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-146843.8130592</v>
      </c>
      <c r="E77" s="170" t="n">
        <f aca="false">-E76*0.2</f>
        <v>-145218.03559488</v>
      </c>
      <c r="F77" s="170" t="n">
        <f aca="false">-F76*0.2</f>
        <v>-143592.25813056</v>
      </c>
      <c r="G77" s="170" t="n">
        <f aca="false">-G76*0.2</f>
        <v>-141966.48066624</v>
      </c>
      <c r="H77" s="170" t="n">
        <f aca="false">-H76*0.2</f>
        <v>-140340.70320192</v>
      </c>
      <c r="I77" s="170" t="n">
        <f aca="false">-I76*0.2</f>
        <v>-138714.9257376</v>
      </c>
      <c r="J77" s="170" t="n">
        <f aca="false">-J76*0.2</f>
        <v>-137089.14827328</v>
      </c>
      <c r="K77" s="170" t="n">
        <f aca="false">-K76*0.2</f>
        <v>-135463.37080896</v>
      </c>
      <c r="L77" s="170" t="n">
        <f aca="false">-L76*0.2</f>
        <v>-133837.59334464</v>
      </c>
      <c r="M77" s="170" t="n">
        <f aca="false">-M76*0.2</f>
        <v>-132211.81588032</v>
      </c>
      <c r="N77" s="170" t="n">
        <f aca="false">-N76*0.2</f>
        <v>-130586.038416</v>
      </c>
      <c r="O77" s="170" t="n">
        <f aca="false">-O76*0.2</f>
        <v>-128960.26095168</v>
      </c>
      <c r="P77" s="170" t="n">
        <f aca="false">-P76*0.2</f>
        <v>-127334.48348736</v>
      </c>
      <c r="Q77" s="170" t="n">
        <f aca="false">-Q76*0.2</f>
        <v>-125708.70602304</v>
      </c>
      <c r="R77" s="170" t="n">
        <f aca="false">-R76*0.2</f>
        <v>-124082.92855872</v>
      </c>
      <c r="S77" s="170" t="n">
        <f aca="false">-S76*0.2</f>
        <v>-122457.1510944</v>
      </c>
      <c r="T77" s="170" t="n">
        <f aca="false">-T76*0.2</f>
        <v>-120831.37363008</v>
      </c>
      <c r="U77" s="170" t="n">
        <f aca="false">-U76*0.2</f>
        <v>-119205.59616576</v>
      </c>
      <c r="V77" s="170" t="n">
        <f aca="false">-V76*0.2</f>
        <v>-117579.81870144</v>
      </c>
      <c r="W77" s="170" t="n">
        <f aca="false">-W76*0.2</f>
        <v>-115954.04123712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587375.2522368</v>
      </c>
      <c r="E78" s="170" t="n">
        <f aca="false">SUM(E76:E77)</f>
        <v>580872.14237952</v>
      </c>
      <c r="F78" s="170" t="n">
        <f aca="false">SUM(F76:F77)</f>
        <v>574369.03252224</v>
      </c>
      <c r="G78" s="170" t="n">
        <f aca="false">SUM(G76:G77)</f>
        <v>567865.92266496</v>
      </c>
      <c r="H78" s="170" t="n">
        <f aca="false">SUM(H76:H77)</f>
        <v>561362.81280768</v>
      </c>
      <c r="I78" s="170" t="n">
        <f aca="false">SUM(I76:I77)</f>
        <v>554859.7029504</v>
      </c>
      <c r="J78" s="170" t="n">
        <f aca="false">SUM(J76:J77)</f>
        <v>548356.59309312</v>
      </c>
      <c r="K78" s="170" t="n">
        <f aca="false">SUM(K76:K77)</f>
        <v>541853.48323584</v>
      </c>
      <c r="L78" s="170" t="n">
        <f aca="false">SUM(L76:L77)</f>
        <v>535350.37337856</v>
      </c>
      <c r="M78" s="170" t="n">
        <f aca="false">SUM(M76:M77)</f>
        <v>528847.26352128</v>
      </c>
      <c r="N78" s="170" t="n">
        <f aca="false">SUM(N76:N77)</f>
        <v>522344.153664</v>
      </c>
      <c r="O78" s="170" t="n">
        <f aca="false">SUM(O76:O77)</f>
        <v>515841.04380672</v>
      </c>
      <c r="P78" s="170" t="n">
        <f aca="false">SUM(P76:P77)</f>
        <v>509337.93394944</v>
      </c>
      <c r="Q78" s="170" t="n">
        <f aca="false">SUM(Q76:Q77)</f>
        <v>502834.82409216</v>
      </c>
      <c r="R78" s="170" t="n">
        <f aca="false">SUM(R76:R77)</f>
        <v>496331.71423488</v>
      </c>
      <c r="S78" s="170" t="n">
        <f aca="false">SUM(S76:S77)</f>
        <v>489828.6043776</v>
      </c>
      <c r="T78" s="170" t="n">
        <f aca="false">SUM(T76:T77)</f>
        <v>483325.49452032</v>
      </c>
      <c r="U78" s="170" t="n">
        <f aca="false">SUM(U76:U77)</f>
        <v>476822.38466304</v>
      </c>
      <c r="V78" s="170" t="n">
        <f aca="false">SUM(V76:V77)</f>
        <v>470319.27480576</v>
      </c>
      <c r="W78" s="170" t="n">
        <f aca="false">SUM(W76:W77)</f>
        <v>463816.16494848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587375.2522368</v>
      </c>
      <c r="E85" s="206" t="n">
        <f aca="false">E78</f>
        <v>580872.14237952</v>
      </c>
      <c r="F85" s="206" t="n">
        <f aca="false">F78</f>
        <v>574369.03252224</v>
      </c>
      <c r="G85" s="206" t="n">
        <f aca="false">G78</f>
        <v>567865.92266496</v>
      </c>
      <c r="H85" s="206" t="n">
        <f aca="false">H78</f>
        <v>561362.81280768</v>
      </c>
      <c r="I85" s="206" t="n">
        <f aca="false">I78</f>
        <v>554859.7029504</v>
      </c>
      <c r="J85" s="206" t="n">
        <f aca="false">J78</f>
        <v>548356.59309312</v>
      </c>
      <c r="K85" s="206" t="n">
        <f aca="false">K78</f>
        <v>541853.48323584</v>
      </c>
      <c r="L85" s="206" t="n">
        <f aca="false">L78</f>
        <v>535350.37337856</v>
      </c>
      <c r="M85" s="206" t="n">
        <f aca="false">M78</f>
        <v>528847.26352128</v>
      </c>
      <c r="N85" s="206" t="n">
        <f aca="false">N78</f>
        <v>522344.153664</v>
      </c>
      <c r="O85" s="206" t="n">
        <f aca="false">O78</f>
        <v>515841.04380672</v>
      </c>
      <c r="P85" s="206" t="n">
        <f aca="false">P78</f>
        <v>509337.93394944</v>
      </c>
      <c r="Q85" s="206" t="n">
        <f aca="false">Q78</f>
        <v>502834.82409216</v>
      </c>
      <c r="R85" s="206" t="n">
        <f aca="false">R78</f>
        <v>496331.71423488</v>
      </c>
      <c r="S85" s="206" t="n">
        <f aca="false">S78</f>
        <v>489828.6043776</v>
      </c>
      <c r="T85" s="206" t="n">
        <f aca="false">T78</f>
        <v>483325.49452032</v>
      </c>
      <c r="U85" s="206" t="n">
        <f aca="false">U78</f>
        <v>476822.38466304</v>
      </c>
      <c r="V85" s="206" t="n">
        <f aca="false">V78</f>
        <v>470319.27480576</v>
      </c>
      <c r="W85" s="206" t="n">
        <f aca="false">W78</f>
        <v>463816.16494848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1493840.2522368</v>
      </c>
      <c r="E87" s="209" t="n">
        <f aca="false">SUM(E85:E86)</f>
        <v>1487337.14237952</v>
      </c>
      <c r="F87" s="209" t="n">
        <f aca="false">SUM(F85:F86)</f>
        <v>1480834.03252224</v>
      </c>
      <c r="G87" s="209" t="n">
        <f aca="false">SUM(G85:G86)</f>
        <v>1474330.92266496</v>
      </c>
      <c r="H87" s="209" t="n">
        <f aca="false">SUM(H85:H86)</f>
        <v>1467827.81280768</v>
      </c>
      <c r="I87" s="209" t="n">
        <f aca="false">SUM(I85:I86)</f>
        <v>1461324.7029504</v>
      </c>
      <c r="J87" s="209" t="n">
        <f aca="false">SUM(J85:J86)</f>
        <v>1454821.59309312</v>
      </c>
      <c r="K87" s="209" t="n">
        <f aca="false">SUM(K85:K86)</f>
        <v>1448318.48323584</v>
      </c>
      <c r="L87" s="209" t="n">
        <f aca="false">SUM(L85:L86)</f>
        <v>1441815.37337856</v>
      </c>
      <c r="M87" s="209" t="n">
        <f aca="false">SUM(M85:M86)</f>
        <v>1435312.26352128</v>
      </c>
      <c r="N87" s="209" t="n">
        <f aca="false">SUM(N85:N86)</f>
        <v>1428809.153664</v>
      </c>
      <c r="O87" s="209" t="n">
        <f aca="false">SUM(O85:O86)</f>
        <v>1422306.04380672</v>
      </c>
      <c r="P87" s="209" t="n">
        <f aca="false">SUM(P85:P86)</f>
        <v>1415802.93394944</v>
      </c>
      <c r="Q87" s="209" t="n">
        <f aca="false">SUM(Q85:Q86)</f>
        <v>1409299.82409216</v>
      </c>
      <c r="R87" s="209" t="n">
        <f aca="false">SUM(R85:R86)</f>
        <v>1402796.71423488</v>
      </c>
      <c r="S87" s="209" t="n">
        <f aca="false">SUM(S85:S86)</f>
        <v>1396293.6043776</v>
      </c>
      <c r="T87" s="209" t="n">
        <f aca="false">SUM(T85:T86)</f>
        <v>1389790.49452032</v>
      </c>
      <c r="U87" s="209" t="n">
        <f aca="false">SUM(U85:U86)</f>
        <v>1383287.38466304</v>
      </c>
      <c r="V87" s="209" t="n">
        <f aca="false">SUM(V85:V86)</f>
        <v>1376784.27480576</v>
      </c>
      <c r="W87" s="209" t="n">
        <f aca="false">SUM(W85:W86)</f>
        <v>1370281.16494848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-528637.72701312</v>
      </c>
      <c r="F95" s="216" t="n">
        <f aca="false">-E85*$D$33</f>
        <v>-522784.928141568</v>
      </c>
      <c r="G95" s="216" t="n">
        <f aca="false">-F85*$D$33</f>
        <v>-516932.129270016</v>
      </c>
      <c r="H95" s="216" t="n">
        <f aca="false">-G85*$D$33</f>
        <v>-511079.330398464</v>
      </c>
      <c r="I95" s="216" t="n">
        <f aca="false">-H85*$D$33</f>
        <v>-505226.531526912</v>
      </c>
      <c r="J95" s="216" t="n">
        <f aca="false">-I85*$D$33</f>
        <v>-499373.73265536</v>
      </c>
      <c r="K95" s="216" t="n">
        <f aca="false">-J85*$D$33</f>
        <v>-493520.933783808</v>
      </c>
      <c r="L95" s="216" t="n">
        <f aca="false">-K85*$D$33</f>
        <v>-487668.134912256</v>
      </c>
      <c r="M95" s="216" t="n">
        <f aca="false">-L85*$D$33</f>
        <v>-481815.336040704</v>
      </c>
      <c r="N95" s="216" t="n">
        <f aca="false">-M85*$D$33</f>
        <v>-475962.537169152</v>
      </c>
      <c r="O95" s="216" t="n">
        <f aca="false">-N85*$D$33</f>
        <v>-470109.7382976</v>
      </c>
      <c r="P95" s="216" t="n">
        <f aca="false">-O85*$D$33</f>
        <v>-464256.939426048</v>
      </c>
      <c r="Q95" s="216" t="n">
        <f aca="false">-P85*$D$33</f>
        <v>-458404.140554496</v>
      </c>
      <c r="R95" s="216" t="n">
        <f aca="false">-Q85*$D$33</f>
        <v>-452551.341682944</v>
      </c>
      <c r="S95" s="216" t="n">
        <f aca="false">-R85*$D$33</f>
        <v>-446698.542811392</v>
      </c>
      <c r="T95" s="216" t="n">
        <f aca="false">-S85*$D$33</f>
        <v>-440845.74393984</v>
      </c>
      <c r="U95" s="216" t="n">
        <f aca="false">-T85*$D$33</f>
        <v>-434992.945068288</v>
      </c>
      <c r="V95" s="216" t="n">
        <f aca="false">-U85*$D$33</f>
        <v>-429140.146196736</v>
      </c>
      <c r="W95" s="216" t="n">
        <f aca="false">-V85*$D$33</f>
        <v>-423287.347325184</v>
      </c>
      <c r="X95" s="216" t="n">
        <f aca="false">-W85*$D$33</f>
        <v>-417434.548453632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-19180491.4171853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1493840.2522368</v>
      </c>
      <c r="E99" s="206" t="n">
        <f aca="false">SUM(E87:E96)</f>
        <v>958699.4153664</v>
      </c>
      <c r="F99" s="206" t="n">
        <f aca="false">SUM(F87:F96)</f>
        <v>958049.104380672</v>
      </c>
      <c r="G99" s="206" t="n">
        <f aca="false">SUM(G87:G96)</f>
        <v>957398.793394944</v>
      </c>
      <c r="H99" s="206" t="n">
        <f aca="false">SUM(H87:H96)</f>
        <v>956748.482409216</v>
      </c>
      <c r="I99" s="206" t="n">
        <f aca="false">SUM(I87:I96)</f>
        <v>956098.171423488</v>
      </c>
      <c r="J99" s="206" t="n">
        <f aca="false">SUM(J87:J96)</f>
        <v>955447.86043776</v>
      </c>
      <c r="K99" s="206" t="n">
        <f aca="false">SUM(K87:K96)</f>
        <v>954797.549452032</v>
      </c>
      <c r="L99" s="206" t="n">
        <f aca="false">SUM(L87:L96)</f>
        <v>954147.238466304</v>
      </c>
      <c r="M99" s="206" t="n">
        <f aca="false">SUM(M87:M96)</f>
        <v>953496.927480576</v>
      </c>
      <c r="N99" s="206" t="n">
        <f aca="false">SUM(N87:N96)</f>
        <v>952846.616494848</v>
      </c>
      <c r="O99" s="206" t="n">
        <f aca="false">SUM(O87:O96)</f>
        <v>952196.30550912</v>
      </c>
      <c r="P99" s="206" t="n">
        <f aca="false">SUM(P87:P96)</f>
        <v>951545.994523392</v>
      </c>
      <c r="Q99" s="206" t="n">
        <f aca="false">SUM(Q87:Q96)</f>
        <v>950895.683537664</v>
      </c>
      <c r="R99" s="206" t="n">
        <f aca="false">SUM(R87:R96)</f>
        <v>950245.372551936</v>
      </c>
      <c r="S99" s="206" t="n">
        <f aca="false">SUM(S87:S96)</f>
        <v>949595.061566208</v>
      </c>
      <c r="T99" s="206" t="n">
        <f aca="false">SUM(T87:T96)</f>
        <v>948944.75058048</v>
      </c>
      <c r="U99" s="206" t="n">
        <f aca="false">SUM(U87:U96)</f>
        <v>948294.439594752</v>
      </c>
      <c r="V99" s="206" t="n">
        <f aca="false">SUM(V87:V96)</f>
        <v>947644.128609024</v>
      </c>
      <c r="W99" s="206" t="n">
        <f aca="false">SUM(W87:W96)</f>
        <v>946993.817623296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1493840.2522368</v>
      </c>
      <c r="F100" s="206" t="n">
        <f aca="false">E101</f>
        <v>2452539.6676032</v>
      </c>
      <c r="G100" s="206" t="n">
        <f aca="false">F101</f>
        <v>3410588.77198387</v>
      </c>
      <c r="H100" s="206" t="n">
        <f aca="false">G101</f>
        <v>4367987.56537882</v>
      </c>
      <c r="I100" s="206" t="n">
        <f aca="false">H101</f>
        <v>5324736.04778803</v>
      </c>
      <c r="J100" s="206" t="n">
        <f aca="false">I101</f>
        <v>6280834.21921152</v>
      </c>
      <c r="K100" s="206" t="n">
        <f aca="false">J101</f>
        <v>7236282.07964928</v>
      </c>
      <c r="L100" s="206" t="n">
        <f aca="false">K101</f>
        <v>8191079.62910131</v>
      </c>
      <c r="M100" s="206" t="n">
        <f aca="false">L101</f>
        <v>9145226.86756762</v>
      </c>
      <c r="N100" s="206" t="n">
        <f aca="false">M101</f>
        <v>10098723.7950482</v>
      </c>
      <c r="O100" s="206" t="n">
        <f aca="false">N101</f>
        <v>11051570.411543</v>
      </c>
      <c r="P100" s="206" t="n">
        <f aca="false">O101</f>
        <v>12003766.7170522</v>
      </c>
      <c r="Q100" s="206" t="n">
        <f aca="false">P101</f>
        <v>12955312.7115756</v>
      </c>
      <c r="R100" s="206" t="n">
        <f aca="false">Q101</f>
        <v>13906208.3951132</v>
      </c>
      <c r="S100" s="206" t="n">
        <f aca="false">R101</f>
        <v>14856453.7676652</v>
      </c>
      <c r="T100" s="206" t="n">
        <f aca="false">S101</f>
        <v>15806048.8292314</v>
      </c>
      <c r="U100" s="206" t="n">
        <f aca="false">T101</f>
        <v>16754993.5798118</v>
      </c>
      <c r="V100" s="206" t="n">
        <f aca="false">U101</f>
        <v>17703288.0194066</v>
      </c>
      <c r="W100" s="206" t="n">
        <f aca="false">V101</f>
        <v>18650932.1480156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1493840.2522368</v>
      </c>
      <c r="E101" s="206" t="n">
        <f aca="false">E99+E100</f>
        <v>2452539.6676032</v>
      </c>
      <c r="F101" s="206" t="n">
        <f aca="false">F99+F100</f>
        <v>3410588.77198387</v>
      </c>
      <c r="G101" s="206" t="n">
        <f aca="false">G99+G100</f>
        <v>4367987.56537882</v>
      </c>
      <c r="H101" s="206" t="n">
        <f aca="false">H99+H100</f>
        <v>5324736.04778803</v>
      </c>
      <c r="I101" s="206" t="n">
        <f aca="false">I99+I100</f>
        <v>6280834.21921152</v>
      </c>
      <c r="J101" s="206" t="n">
        <f aca="false">J99+J100</f>
        <v>7236282.07964928</v>
      </c>
      <c r="K101" s="206" t="n">
        <f aca="false">K99+K100</f>
        <v>8191079.62910131</v>
      </c>
      <c r="L101" s="206" t="n">
        <f aca="false">L99+L100</f>
        <v>9145226.86756762</v>
      </c>
      <c r="M101" s="206" t="n">
        <f aca="false">M99+M100</f>
        <v>10098723.7950482</v>
      </c>
      <c r="N101" s="206" t="n">
        <f aca="false">N99+N100</f>
        <v>11051570.411543</v>
      </c>
      <c r="O101" s="206" t="n">
        <f aca="false">O99+O100</f>
        <v>12003766.7170522</v>
      </c>
      <c r="P101" s="206" t="n">
        <f aca="false">P99+P100</f>
        <v>12955312.7115756</v>
      </c>
      <c r="Q101" s="206" t="n">
        <f aca="false">Q99+Q100</f>
        <v>13906208.3951132</v>
      </c>
      <c r="R101" s="206" t="n">
        <f aca="false">R99+R100</f>
        <v>14856453.7676652</v>
      </c>
      <c r="S101" s="206" t="n">
        <f aca="false">S99+S100</f>
        <v>15806048.8292314</v>
      </c>
      <c r="T101" s="206" t="n">
        <f aca="false">T99+T100</f>
        <v>16754993.5798118</v>
      </c>
      <c r="U101" s="206" t="n">
        <f aca="false">U99+U100</f>
        <v>17703288.0194066</v>
      </c>
      <c r="V101" s="206" t="n">
        <f aca="false">V99+V100</f>
        <v>18650932.1480156</v>
      </c>
      <c r="W101" s="206" t="n">
        <f aca="false">W99+W100</f>
        <v>19597925.9656389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528637.72701312</v>
      </c>
      <c r="F104" s="209" t="n">
        <f aca="false">-F95-F96</f>
        <v>522784.928141568</v>
      </c>
      <c r="G104" s="209" t="n">
        <f aca="false">-G95-G96</f>
        <v>516932.129270016</v>
      </c>
      <c r="H104" s="209" t="n">
        <f aca="false">-H95-H96</f>
        <v>511079.330398464</v>
      </c>
      <c r="I104" s="209" t="n">
        <f aca="false">-I95-I96</f>
        <v>505226.531526912</v>
      </c>
      <c r="J104" s="209" t="n">
        <f aca="false">-J95-J96</f>
        <v>499373.73265536</v>
      </c>
      <c r="K104" s="209" t="n">
        <f aca="false">-K95-K96</f>
        <v>493520.933783808</v>
      </c>
      <c r="L104" s="209" t="n">
        <f aca="false">-L95-L96</f>
        <v>487668.134912256</v>
      </c>
      <c r="M104" s="209" t="n">
        <f aca="false">-M95-M96</f>
        <v>481815.336040704</v>
      </c>
      <c r="N104" s="209" t="n">
        <f aca="false">-N95-N96</f>
        <v>475962.537169152</v>
      </c>
      <c r="O104" s="209" t="n">
        <f aca="false">-O95-O96</f>
        <v>470109.7382976</v>
      </c>
      <c r="P104" s="209" t="n">
        <f aca="false">-P95-P96</f>
        <v>464256.939426048</v>
      </c>
      <c r="Q104" s="209" t="n">
        <f aca="false">-Q95-Q96</f>
        <v>458404.140554496</v>
      </c>
      <c r="R104" s="209" t="n">
        <f aca="false">-R95-R96</f>
        <v>452551.341682944</v>
      </c>
      <c r="S104" s="209" t="n">
        <f aca="false">-S95-S96</f>
        <v>446698.542811392</v>
      </c>
      <c r="T104" s="209" t="n">
        <f aca="false">-T95-T96</f>
        <v>440845.74393984</v>
      </c>
      <c r="U104" s="209" t="n">
        <f aca="false">-U95-U96</f>
        <v>434992.945068288</v>
      </c>
      <c r="V104" s="209" t="n">
        <f aca="false">-V95-V96</f>
        <v>429140.146196736</v>
      </c>
      <c r="W104" s="209" t="n">
        <f aca="false">-W95-W96</f>
        <v>423287.347325184</v>
      </c>
      <c r="X104" s="209" t="n">
        <f aca="false">-X95-X96</f>
        <v>19597925.9656389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0.17055168794784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-3038484.7477632</v>
      </c>
      <c r="E106" s="209" t="n">
        <f aca="false">E85</f>
        <v>580872.14237952</v>
      </c>
      <c r="F106" s="209" t="n">
        <f aca="false">F85-F96</f>
        <v>574369.03252224</v>
      </c>
      <c r="G106" s="209" t="n">
        <f aca="false">G85-G96</f>
        <v>567865.92266496</v>
      </c>
      <c r="H106" s="209" t="n">
        <f aca="false">H85-H96</f>
        <v>561362.81280768</v>
      </c>
      <c r="I106" s="209" t="n">
        <f aca="false">I85-I96</f>
        <v>554859.7029504</v>
      </c>
      <c r="J106" s="209" t="n">
        <f aca="false">J85-J96</f>
        <v>548356.59309312</v>
      </c>
      <c r="K106" s="209" t="n">
        <f aca="false">K85-K96</f>
        <v>541853.48323584</v>
      </c>
      <c r="L106" s="209" t="n">
        <f aca="false">L85-L96</f>
        <v>535350.37337856</v>
      </c>
      <c r="M106" s="209" t="n">
        <f aca="false">M85-M96</f>
        <v>528847.26352128</v>
      </c>
      <c r="N106" s="209" t="n">
        <f aca="false">N85-N96</f>
        <v>522344.153664</v>
      </c>
      <c r="O106" s="209" t="n">
        <f aca="false">O85-O96</f>
        <v>515841.04380672</v>
      </c>
      <c r="P106" s="209" t="n">
        <f aca="false">P85-P96</f>
        <v>509337.93394944</v>
      </c>
      <c r="Q106" s="209" t="n">
        <f aca="false">Q85-Q96</f>
        <v>502834.82409216</v>
      </c>
      <c r="R106" s="209" t="n">
        <f aca="false">R85-R96</f>
        <v>496331.71423488</v>
      </c>
      <c r="S106" s="209" t="n">
        <f aca="false">S85-S96</f>
        <v>489828.6043776</v>
      </c>
      <c r="T106" s="209" t="n">
        <f aca="false">T85-T96</f>
        <v>483325.49452032</v>
      </c>
      <c r="U106" s="209" t="n">
        <f aca="false">U85-U96</f>
        <v>476822.38466304</v>
      </c>
      <c r="V106" s="209" t="n">
        <f aca="false">V85-V96</f>
        <v>470319.27480576</v>
      </c>
      <c r="W106" s="209" t="n">
        <f aca="false">W85-W96</f>
        <v>463816.16494848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0.171951836471265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14503440</v>
      </c>
      <c r="F109" s="206" t="n">
        <f aca="false">E109+F93</f>
        <v>14503440</v>
      </c>
      <c r="G109" s="206" t="n">
        <f aca="false">F109+G93</f>
        <v>14503440</v>
      </c>
      <c r="H109" s="206" t="n">
        <f aca="false">G109+H93</f>
        <v>14503440</v>
      </c>
      <c r="I109" s="206" t="n">
        <f aca="false">H109+I93</f>
        <v>14503440</v>
      </c>
      <c r="J109" s="206" t="n">
        <f aca="false">I109+J93</f>
        <v>14503440</v>
      </c>
      <c r="K109" s="206" t="n">
        <f aca="false">J109+K93</f>
        <v>14503440</v>
      </c>
      <c r="L109" s="206" t="n">
        <f aca="false">K109+L93</f>
        <v>14503440</v>
      </c>
      <c r="M109" s="206" t="n">
        <f aca="false">L109+M93</f>
        <v>14503440</v>
      </c>
      <c r="N109" s="206" t="n">
        <f aca="false">M109+N93</f>
        <v>14503440</v>
      </c>
      <c r="O109" s="206" t="n">
        <f aca="false">N109+O93</f>
        <v>14503440</v>
      </c>
      <c r="P109" s="206" t="n">
        <f aca="false">O109+P93</f>
        <v>14503440</v>
      </c>
      <c r="Q109" s="206" t="n">
        <f aca="false">P109+Q93</f>
        <v>14503440</v>
      </c>
      <c r="R109" s="206" t="n">
        <f aca="false">Q109+R93</f>
        <v>14503440</v>
      </c>
      <c r="S109" s="206" t="n">
        <f aca="false">R109+S93</f>
        <v>14503440</v>
      </c>
      <c r="T109" s="206" t="n">
        <f aca="false">S109+T93</f>
        <v>14503440</v>
      </c>
      <c r="U109" s="206" t="n">
        <f aca="false">T109+U93</f>
        <v>14503440</v>
      </c>
      <c r="V109" s="206" t="n">
        <f aca="false">U109+V93</f>
        <v>14503440</v>
      </c>
      <c r="W109" s="206" t="n">
        <f aca="false">V109+W93</f>
        <v>14503440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-233546.9224192</v>
      </c>
      <c r="E54" s="170" t="n">
        <f aca="false">-(E64+E67+E68+E71+E72+E73+E74)*0.2</f>
        <v>-231921.14495488</v>
      </c>
      <c r="F54" s="170" t="n">
        <f aca="false">-(F64+F67+F68+F71+F72+F73+F74)*0.2</f>
        <v>-230295.36749056</v>
      </c>
      <c r="G54" s="170" t="n">
        <f aca="false">-(G64+G67+G68+G71+G72+G73+G74)*0.2</f>
        <v>-228669.59002624</v>
      </c>
      <c r="H54" s="170" t="n">
        <f aca="false">-(H64+H67+H68+H71+H72+H73+H74)*0.2</f>
        <v>-227043.81256192</v>
      </c>
      <c r="I54" s="170" t="n">
        <f aca="false">-(I64+I67+I68+I71+I72+I73+I74)*0.2</f>
        <v>-225418.0350976</v>
      </c>
      <c r="J54" s="170" t="n">
        <f aca="false">-(J64+J67+J68+J71+J72+J73+J74)*0.2</f>
        <v>-223792.25763328</v>
      </c>
      <c r="K54" s="170" t="n">
        <f aca="false">-(K64+K67+K68+K71+K72+K73+K74)*0.2</f>
        <v>-222166.48016896</v>
      </c>
      <c r="L54" s="170" t="n">
        <f aca="false">-(L64+L67+L68+L71+L72+L73+L74)*0.2</f>
        <v>-220540.70270464</v>
      </c>
      <c r="M54" s="170" t="n">
        <f aca="false">-(M64+M67+M68+M71+M72+M73+M74)*0.2</f>
        <v>-218914.92524032</v>
      </c>
      <c r="N54" s="170" t="n">
        <f aca="false">-(N64+N67+N68+N71+N72+N73+N74)*0.2</f>
        <v>-217289.147776</v>
      </c>
      <c r="O54" s="170" t="n">
        <f aca="false">-(O64+O67+O68+O71+O72+O73+O74)*0.2</f>
        <v>-215663.37031168</v>
      </c>
      <c r="P54" s="170" t="n">
        <f aca="false">-(P64+P67+P68+P71+P72+P73+P74)*0.2</f>
        <v>-214037.59284736</v>
      </c>
      <c r="Q54" s="170" t="n">
        <f aca="false">-(Q64+Q67+Q68+Q71+Q72+Q73+Q74)*0.2</f>
        <v>-212411.81538304</v>
      </c>
      <c r="R54" s="170" t="n">
        <f aca="false">-(R64+R67+R68+R71+R72+R73+R74)*0.2</f>
        <v>-210786.03791872</v>
      </c>
      <c r="S54" s="170" t="n">
        <f aca="false">-(S64+S67+S68+S71+S72+S73+S74)*0.2</f>
        <v>-209160.2604544</v>
      </c>
      <c r="T54" s="170" t="n">
        <f aca="false">-(T64+T67+T68+T71+T72+T73+T74)*0.2</f>
        <v>-207534.48299008</v>
      </c>
      <c r="U54" s="170" t="n">
        <f aca="false">-(U64+U67+U68+U71+U72+U73+U74)*0.2</f>
        <v>-205908.70552576</v>
      </c>
      <c r="V54" s="170" t="n">
        <f aca="false">-(V64+V67+V68+V71+V72+V73+V74)*0.2</f>
        <v>-204282.92806144</v>
      </c>
      <c r="W54" s="170" t="n">
        <f aca="false">-(W64+W67+W68+W71+W72+W73+W74)*0.2</f>
        <v>-202657.15059712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1778352.6896768</v>
      </c>
      <c r="E55" s="175" t="n">
        <f aca="false">SUM(E41:E54)</f>
        <v>1771849.57981952</v>
      </c>
      <c r="F55" s="175" t="n">
        <f aca="false">SUM(F41:F54)</f>
        <v>1765346.46996224</v>
      </c>
      <c r="G55" s="175" t="n">
        <f aca="false">SUM(G41:G54)</f>
        <v>1758843.36010496</v>
      </c>
      <c r="H55" s="175" t="n">
        <f aca="false">SUM(H41:H54)</f>
        <v>1752340.25024768</v>
      </c>
      <c r="I55" s="175" t="n">
        <f aca="false">SUM(I41:I54)</f>
        <v>1745837.1403904</v>
      </c>
      <c r="J55" s="175" t="n">
        <f aca="false">SUM(J41:J54)</f>
        <v>1739334.03053312</v>
      </c>
      <c r="K55" s="175" t="n">
        <f aca="false">SUM(K41:K54)</f>
        <v>1732830.92067584</v>
      </c>
      <c r="L55" s="175" t="n">
        <f aca="false">SUM(L41:L54)</f>
        <v>1726327.81081856</v>
      </c>
      <c r="M55" s="175" t="n">
        <f aca="false">SUM(M41:M54)</f>
        <v>1719824.70096128</v>
      </c>
      <c r="N55" s="175" t="n">
        <f aca="false">SUM(N41:N54)</f>
        <v>1713321.591104</v>
      </c>
      <c r="O55" s="175" t="n">
        <f aca="false">SUM(O41:O54)</f>
        <v>1706818.48124672</v>
      </c>
      <c r="P55" s="175" t="n">
        <f aca="false">SUM(P41:P54)</f>
        <v>1700315.37138944</v>
      </c>
      <c r="Q55" s="175" t="n">
        <f aca="false">SUM(Q41:Q54)</f>
        <v>1693812.26153216</v>
      </c>
      <c r="R55" s="175" t="n">
        <f aca="false">SUM(R41:R54)</f>
        <v>1687309.15167488</v>
      </c>
      <c r="S55" s="175" t="n">
        <f aca="false">SUM(S41:S54)</f>
        <v>1680806.0418176</v>
      </c>
      <c r="T55" s="175" t="n">
        <f aca="false">SUM(T41:T54)</f>
        <v>1674302.93196032</v>
      </c>
      <c r="U55" s="175" t="n">
        <f aca="false">SUM(U41:U54)</f>
        <v>1667799.82210304</v>
      </c>
      <c r="V55" s="175" t="n">
        <f aca="false">SUM(V41:V54)</f>
        <v>1661296.71224576</v>
      </c>
      <c r="W55" s="175" t="n">
        <f aca="false">SUM(W41:W54)</f>
        <v>1654793.60238848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-15104947.3103232</v>
      </c>
      <c r="E56" s="180" t="n">
        <f aca="false">D56+E55</f>
        <v>-13333097.7305037</v>
      </c>
      <c r="F56" s="180" t="n">
        <f aca="false">E56+F55</f>
        <v>-11567751.2605414</v>
      </c>
      <c r="G56" s="180" t="n">
        <f aca="false">F56+G55</f>
        <v>-9808907.90043649</v>
      </c>
      <c r="H56" s="180" t="n">
        <f aca="false">G56+H55</f>
        <v>-8056567.65018881</v>
      </c>
      <c r="I56" s="180" t="n">
        <f aca="false">H56+I55</f>
        <v>-6310730.50979841</v>
      </c>
      <c r="J56" s="180" t="n">
        <f aca="false">I56+J55</f>
        <v>-4571396.47926529</v>
      </c>
      <c r="K56" s="180" t="n">
        <f aca="false">J56+K55</f>
        <v>-2838565.55858945</v>
      </c>
      <c r="L56" s="180" t="n">
        <f aca="false">K56+L55</f>
        <v>-1112237.74777089</v>
      </c>
      <c r="M56" s="180" t="n">
        <f aca="false">L56+M55</f>
        <v>607586.953190392</v>
      </c>
      <c r="N56" s="180" t="n">
        <f aca="false">M56+N55</f>
        <v>2320908.54429439</v>
      </c>
      <c r="O56" s="180" t="n">
        <f aca="false">N56+O55</f>
        <v>4027727.02554111</v>
      </c>
      <c r="P56" s="180" t="n">
        <f aca="false">O56+P55</f>
        <v>5728042.39693055</v>
      </c>
      <c r="Q56" s="180" t="n">
        <f aca="false">P56+Q55</f>
        <v>7421854.65846271</v>
      </c>
      <c r="R56" s="180" t="n">
        <f aca="false">Q56+R55</f>
        <v>9109163.81013759</v>
      </c>
      <c r="S56" s="180" t="n">
        <f aca="false">R56+S55</f>
        <v>10789969.8519552</v>
      </c>
      <c r="T56" s="180" t="n">
        <f aca="false">S56+T55</f>
        <v>12464272.7839155</v>
      </c>
      <c r="U56" s="180" t="n">
        <f aca="false">T56+U55</f>
        <v>14132072.6060186</v>
      </c>
      <c r="V56" s="180" t="n">
        <f aca="false">U56+V55</f>
        <v>15793369.3182643</v>
      </c>
      <c r="W56" s="180" t="n">
        <f aca="false">V56+W55</f>
        <v>17448162.9206528</v>
      </c>
      <c r="X56" s="180" t="n">
        <f aca="false">W56+X55</f>
        <v>17448162.9206528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0.0810277288381631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-345702.4508</v>
      </c>
      <c r="F70" s="170" t="n">
        <f aca="false">-F109*$D25</f>
        <v>-345702.4508</v>
      </c>
      <c r="G70" s="170" t="n">
        <f aca="false">-G109*$D25</f>
        <v>-345702.4508</v>
      </c>
      <c r="H70" s="170" t="n">
        <f aca="false">-H109*$D25</f>
        <v>-345702.4508</v>
      </c>
      <c r="I70" s="170" t="n">
        <f aca="false">-I109*$D25</f>
        <v>-345702.4508</v>
      </c>
      <c r="J70" s="170" t="n">
        <f aca="false">-J109*$D25</f>
        <v>-345702.4508</v>
      </c>
      <c r="K70" s="170" t="n">
        <f aca="false">-K109*$D25</f>
        <v>-345702.4508</v>
      </c>
      <c r="L70" s="170" t="n">
        <f aca="false">-L109*$D25</f>
        <v>-345702.4508</v>
      </c>
      <c r="M70" s="170" t="n">
        <f aca="false">-M109*$D25</f>
        <v>-345702.4508</v>
      </c>
      <c r="N70" s="170" t="n">
        <f aca="false">-N109*$D25</f>
        <v>-345702.4508</v>
      </c>
      <c r="O70" s="170" t="n">
        <f aca="false">-O109*$D25</f>
        <v>-345702.4508</v>
      </c>
      <c r="P70" s="170" t="n">
        <f aca="false">-P109*$D25</f>
        <v>-345702.4508</v>
      </c>
      <c r="Q70" s="170" t="n">
        <f aca="false">-Q109*$D25</f>
        <v>-345702.4508</v>
      </c>
      <c r="R70" s="170" t="n">
        <f aca="false">-R109*$D25</f>
        <v>-345702.4508</v>
      </c>
      <c r="S70" s="170" t="n">
        <f aca="false">-S109*$D25</f>
        <v>-345702.4508</v>
      </c>
      <c r="T70" s="170" t="n">
        <f aca="false">-T109*$D25</f>
        <v>-345702.4508</v>
      </c>
      <c r="U70" s="170" t="n">
        <f aca="false">-U109*$D25</f>
        <v>-345702.4508</v>
      </c>
      <c r="V70" s="170" t="n">
        <f aca="false">-V109*$D25</f>
        <v>-345702.4508</v>
      </c>
      <c r="W70" s="170" t="n">
        <f aca="false">-W109*$D25</f>
        <v>-345702.4508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822032.161295999</v>
      </c>
      <c r="E76" s="175" t="n">
        <f aca="false">SUM(E64:E75)</f>
        <v>813903.273974399</v>
      </c>
      <c r="F76" s="175" t="n">
        <f aca="false">SUM(F64:F75)</f>
        <v>805774.3866528</v>
      </c>
      <c r="G76" s="175" t="n">
        <f aca="false">SUM(G64:G75)</f>
        <v>797645.4993312</v>
      </c>
      <c r="H76" s="175" t="n">
        <f aca="false">SUM(H64:H75)</f>
        <v>789516.6120096</v>
      </c>
      <c r="I76" s="175" t="n">
        <f aca="false">SUM(I64:I75)</f>
        <v>781387.724688</v>
      </c>
      <c r="J76" s="175" t="n">
        <f aca="false">SUM(J64:J75)</f>
        <v>773258.8373664</v>
      </c>
      <c r="K76" s="175" t="n">
        <f aca="false">SUM(K64:K75)</f>
        <v>765129.9500448</v>
      </c>
      <c r="L76" s="175" t="n">
        <f aca="false">SUM(L64:L75)</f>
        <v>757001.0627232</v>
      </c>
      <c r="M76" s="175" t="n">
        <f aca="false">SUM(M64:M75)</f>
        <v>748872.1754016</v>
      </c>
      <c r="N76" s="175" t="n">
        <f aca="false">SUM(N64:N75)</f>
        <v>740743.28808</v>
      </c>
      <c r="O76" s="175" t="n">
        <f aca="false">SUM(O64:O75)</f>
        <v>732614.4007584</v>
      </c>
      <c r="P76" s="175" t="n">
        <f aca="false">SUM(P64:P75)</f>
        <v>724485.5134368</v>
      </c>
      <c r="Q76" s="175" t="n">
        <f aca="false">SUM(Q64:Q75)</f>
        <v>716356.6261152</v>
      </c>
      <c r="R76" s="175" t="n">
        <f aca="false">SUM(R64:R75)</f>
        <v>708227.7387936</v>
      </c>
      <c r="S76" s="175" t="n">
        <f aca="false">SUM(S64:S75)</f>
        <v>700098.851472</v>
      </c>
      <c r="T76" s="175" t="n">
        <f aca="false">SUM(T64:T75)</f>
        <v>691969.964150399</v>
      </c>
      <c r="U76" s="175" t="n">
        <f aca="false">SUM(U64:U75)</f>
        <v>683841.0768288</v>
      </c>
      <c r="V76" s="175" t="n">
        <f aca="false">SUM(V64:V75)</f>
        <v>675712.189507199</v>
      </c>
      <c r="W76" s="175" t="n">
        <f aca="false">SUM(W64:W75)</f>
        <v>667583.3021856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-164406.4322592</v>
      </c>
      <c r="E77" s="170" t="n">
        <f aca="false">-E76*0.2</f>
        <v>-162780.65479488</v>
      </c>
      <c r="F77" s="170" t="n">
        <f aca="false">-F76*0.2</f>
        <v>-161154.87733056</v>
      </c>
      <c r="G77" s="170" t="n">
        <f aca="false">-G76*0.2</f>
        <v>-159529.09986624</v>
      </c>
      <c r="H77" s="170" t="n">
        <f aca="false">-H76*0.2</f>
        <v>-157903.32240192</v>
      </c>
      <c r="I77" s="170" t="n">
        <f aca="false">-I76*0.2</f>
        <v>-156277.5449376</v>
      </c>
      <c r="J77" s="170" t="n">
        <f aca="false">-J76*0.2</f>
        <v>-154651.76747328</v>
      </c>
      <c r="K77" s="170" t="n">
        <f aca="false">-K76*0.2</f>
        <v>-153025.99000896</v>
      </c>
      <c r="L77" s="170" t="n">
        <f aca="false">-L76*0.2</f>
        <v>-151400.21254464</v>
      </c>
      <c r="M77" s="170" t="n">
        <f aca="false">-M76*0.2</f>
        <v>-149774.43508032</v>
      </c>
      <c r="N77" s="170" t="n">
        <f aca="false">-N76*0.2</f>
        <v>-148148.657616</v>
      </c>
      <c r="O77" s="170" t="n">
        <f aca="false">-O76*0.2</f>
        <v>-146522.88015168</v>
      </c>
      <c r="P77" s="170" t="n">
        <f aca="false">-P76*0.2</f>
        <v>-144897.10268736</v>
      </c>
      <c r="Q77" s="170" t="n">
        <f aca="false">-Q76*0.2</f>
        <v>-143271.32522304</v>
      </c>
      <c r="R77" s="170" t="n">
        <f aca="false">-R76*0.2</f>
        <v>-141645.54775872</v>
      </c>
      <c r="S77" s="170" t="n">
        <f aca="false">-S76*0.2</f>
        <v>-140019.7702944</v>
      </c>
      <c r="T77" s="170" t="n">
        <f aca="false">-T76*0.2</f>
        <v>-138393.99283008</v>
      </c>
      <c r="U77" s="170" t="n">
        <f aca="false">-U76*0.2</f>
        <v>-136768.21536576</v>
      </c>
      <c r="V77" s="170" t="n">
        <f aca="false">-V76*0.2</f>
        <v>-135142.43790144</v>
      </c>
      <c r="W77" s="170" t="n">
        <f aca="false">-W76*0.2</f>
        <v>-133516.66043712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657625.7290368</v>
      </c>
      <c r="E78" s="170" t="n">
        <f aca="false">SUM(E76:E77)</f>
        <v>651122.61917952</v>
      </c>
      <c r="F78" s="170" t="n">
        <f aca="false">SUM(F76:F77)</f>
        <v>644619.50932224</v>
      </c>
      <c r="G78" s="170" t="n">
        <f aca="false">SUM(G76:G77)</f>
        <v>638116.39946496</v>
      </c>
      <c r="H78" s="170" t="n">
        <f aca="false">SUM(H76:H77)</f>
        <v>631613.28960768</v>
      </c>
      <c r="I78" s="170" t="n">
        <f aca="false">SUM(I76:I77)</f>
        <v>625110.1797504</v>
      </c>
      <c r="J78" s="170" t="n">
        <f aca="false">SUM(J76:J77)</f>
        <v>618607.06989312</v>
      </c>
      <c r="K78" s="170" t="n">
        <f aca="false">SUM(K76:K77)</f>
        <v>612103.96003584</v>
      </c>
      <c r="L78" s="170" t="n">
        <f aca="false">SUM(L76:L77)</f>
        <v>605600.85017856</v>
      </c>
      <c r="M78" s="170" t="n">
        <f aca="false">SUM(M76:M77)</f>
        <v>599097.74032128</v>
      </c>
      <c r="N78" s="170" t="n">
        <f aca="false">SUM(N76:N77)</f>
        <v>592594.630464</v>
      </c>
      <c r="O78" s="170" t="n">
        <f aca="false">SUM(O76:O77)</f>
        <v>586091.52060672</v>
      </c>
      <c r="P78" s="170" t="n">
        <f aca="false">SUM(P76:P77)</f>
        <v>579588.41074944</v>
      </c>
      <c r="Q78" s="170" t="n">
        <f aca="false">SUM(Q76:Q77)</f>
        <v>573085.30089216</v>
      </c>
      <c r="R78" s="170" t="n">
        <f aca="false">SUM(R76:R77)</f>
        <v>566582.19103488</v>
      </c>
      <c r="S78" s="170" t="n">
        <f aca="false">SUM(S76:S77)</f>
        <v>560079.0811776</v>
      </c>
      <c r="T78" s="170" t="n">
        <f aca="false">SUM(T76:T77)</f>
        <v>553575.97132032</v>
      </c>
      <c r="U78" s="170" t="n">
        <f aca="false">SUM(U76:U77)</f>
        <v>547072.86146304</v>
      </c>
      <c r="V78" s="170" t="n">
        <f aca="false">SUM(V76:V77)</f>
        <v>540569.75160576</v>
      </c>
      <c r="W78" s="170" t="n">
        <f aca="false">SUM(W76:W77)</f>
        <v>534066.64174848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657625.7290368</v>
      </c>
      <c r="E85" s="206" t="n">
        <f aca="false">E78</f>
        <v>651122.61917952</v>
      </c>
      <c r="F85" s="206" t="n">
        <f aca="false">F78</f>
        <v>644619.50932224</v>
      </c>
      <c r="G85" s="206" t="n">
        <f aca="false">G78</f>
        <v>638116.39946496</v>
      </c>
      <c r="H85" s="206" t="n">
        <f aca="false">H78</f>
        <v>631613.28960768</v>
      </c>
      <c r="I85" s="206" t="n">
        <f aca="false">I78</f>
        <v>625110.1797504</v>
      </c>
      <c r="J85" s="206" t="n">
        <f aca="false">J78</f>
        <v>618607.06989312</v>
      </c>
      <c r="K85" s="206" t="n">
        <f aca="false">K78</f>
        <v>612103.96003584</v>
      </c>
      <c r="L85" s="206" t="n">
        <f aca="false">L78</f>
        <v>605600.85017856</v>
      </c>
      <c r="M85" s="206" t="n">
        <f aca="false">M78</f>
        <v>599097.74032128</v>
      </c>
      <c r="N85" s="206" t="n">
        <f aca="false">N78</f>
        <v>592594.630464</v>
      </c>
      <c r="O85" s="206" t="n">
        <f aca="false">O78</f>
        <v>586091.52060672</v>
      </c>
      <c r="P85" s="206" t="n">
        <f aca="false">P78</f>
        <v>579588.41074944</v>
      </c>
      <c r="Q85" s="206" t="n">
        <f aca="false">Q78</f>
        <v>573085.30089216</v>
      </c>
      <c r="R85" s="206" t="n">
        <f aca="false">R78</f>
        <v>566582.19103488</v>
      </c>
      <c r="S85" s="206" t="n">
        <f aca="false">S78</f>
        <v>560079.0811776</v>
      </c>
      <c r="T85" s="206" t="n">
        <f aca="false">T78</f>
        <v>553575.97132032</v>
      </c>
      <c r="U85" s="206" t="n">
        <f aca="false">U78</f>
        <v>547072.86146304</v>
      </c>
      <c r="V85" s="206" t="n">
        <f aca="false">V78</f>
        <v>540569.75160576</v>
      </c>
      <c r="W85" s="206" t="n">
        <f aca="false">W78</f>
        <v>534066.64174848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1501790.7290368</v>
      </c>
      <c r="E87" s="209" t="n">
        <f aca="false">SUM(E85:E86)</f>
        <v>1495287.61917952</v>
      </c>
      <c r="F87" s="209" t="n">
        <f aca="false">SUM(F85:F86)</f>
        <v>1488784.50932224</v>
      </c>
      <c r="G87" s="209" t="n">
        <f aca="false">SUM(G85:G86)</f>
        <v>1482281.39946496</v>
      </c>
      <c r="H87" s="209" t="n">
        <f aca="false">SUM(H85:H86)</f>
        <v>1475778.28960768</v>
      </c>
      <c r="I87" s="209" t="n">
        <f aca="false">SUM(I85:I86)</f>
        <v>1469275.1797504</v>
      </c>
      <c r="J87" s="209" t="n">
        <f aca="false">SUM(J85:J86)</f>
        <v>1462772.06989312</v>
      </c>
      <c r="K87" s="209" t="n">
        <f aca="false">SUM(K85:K86)</f>
        <v>1456268.96003584</v>
      </c>
      <c r="L87" s="209" t="n">
        <f aca="false">SUM(L85:L86)</f>
        <v>1449765.85017856</v>
      </c>
      <c r="M87" s="209" t="n">
        <f aca="false">SUM(M85:M86)</f>
        <v>1443262.74032128</v>
      </c>
      <c r="N87" s="209" t="n">
        <f aca="false">SUM(N85:N86)</f>
        <v>1436759.630464</v>
      </c>
      <c r="O87" s="209" t="n">
        <f aca="false">SUM(O85:O86)</f>
        <v>1430256.52060672</v>
      </c>
      <c r="P87" s="209" t="n">
        <f aca="false">SUM(P85:P86)</f>
        <v>1423753.41074944</v>
      </c>
      <c r="Q87" s="209" t="n">
        <f aca="false">SUM(Q85:Q86)</f>
        <v>1417250.30089216</v>
      </c>
      <c r="R87" s="209" t="n">
        <f aca="false">SUM(R85:R86)</f>
        <v>1410747.19103488</v>
      </c>
      <c r="S87" s="209" t="n">
        <f aca="false">SUM(S85:S86)</f>
        <v>1404244.0811776</v>
      </c>
      <c r="T87" s="209" t="n">
        <f aca="false">SUM(T85:T86)</f>
        <v>1397740.97132032</v>
      </c>
      <c r="U87" s="209" t="n">
        <f aca="false">SUM(U85:U86)</f>
        <v>1391237.86146304</v>
      </c>
      <c r="V87" s="209" t="n">
        <f aca="false">SUM(V85:V86)</f>
        <v>1384734.75160576</v>
      </c>
      <c r="W87" s="209" t="n">
        <f aca="false">SUM(W85:W86)</f>
        <v>1378231.64174848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-591863.15613312</v>
      </c>
      <c r="F95" s="216" t="n">
        <f aca="false">-E85*$D$33</f>
        <v>-586010.357261568</v>
      </c>
      <c r="G95" s="216" t="n">
        <f aca="false">-F85*$D$33</f>
        <v>-580157.558390016</v>
      </c>
      <c r="H95" s="216" t="n">
        <f aca="false">-G85*$D$33</f>
        <v>-574304.759518464</v>
      </c>
      <c r="I95" s="216" t="n">
        <f aca="false">-H85*$D$33</f>
        <v>-568451.960646912</v>
      </c>
      <c r="J95" s="216" t="n">
        <f aca="false">-I85*$D$33</f>
        <v>-562599.16177536</v>
      </c>
      <c r="K95" s="216" t="n">
        <f aca="false">-J85*$D$33</f>
        <v>-556746.362903808</v>
      </c>
      <c r="L95" s="216" t="n">
        <f aca="false">-K85*$D$33</f>
        <v>-550893.564032256</v>
      </c>
      <c r="M95" s="216" t="n">
        <f aca="false">-L85*$D$33</f>
        <v>-545040.765160704</v>
      </c>
      <c r="N95" s="216" t="n">
        <f aca="false">-M85*$D$33</f>
        <v>-539187.966289152</v>
      </c>
      <c r="O95" s="216" t="n">
        <f aca="false">-N85*$D$33</f>
        <v>-533335.1674176</v>
      </c>
      <c r="P95" s="216" t="n">
        <f aca="false">-O85*$D$33</f>
        <v>-527482.368546048</v>
      </c>
      <c r="Q95" s="216" t="n">
        <f aca="false">-P85*$D$33</f>
        <v>-521629.569674496</v>
      </c>
      <c r="R95" s="216" t="n">
        <f aca="false">-Q85*$D$33</f>
        <v>-515776.770802944</v>
      </c>
      <c r="S95" s="216" t="n">
        <f aca="false">-R85*$D$33</f>
        <v>-509923.971931392</v>
      </c>
      <c r="T95" s="216" t="n">
        <f aca="false">-S85*$D$33</f>
        <v>-504071.17305984</v>
      </c>
      <c r="U95" s="216" t="n">
        <f aca="false">-T85*$D$33</f>
        <v>-498218.374188288</v>
      </c>
      <c r="V95" s="216" t="n">
        <f aca="false">-U85*$D$33</f>
        <v>-492365.575316736</v>
      </c>
      <c r="W95" s="216" t="n">
        <f aca="false">-V85*$D$33</f>
        <v>-486512.776445184</v>
      </c>
      <c r="X95" s="216" t="n">
        <f aca="false">-W85*$D$33</f>
        <v>-480659.977573632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-18074992.3707853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1501790.7290368</v>
      </c>
      <c r="E99" s="206" t="n">
        <f aca="false">SUM(E87:E96)</f>
        <v>903424.4630464</v>
      </c>
      <c r="F99" s="206" t="n">
        <f aca="false">SUM(F87:F96)</f>
        <v>902774.152060672</v>
      </c>
      <c r="G99" s="206" t="n">
        <f aca="false">SUM(G87:G96)</f>
        <v>902123.841074944</v>
      </c>
      <c r="H99" s="206" t="n">
        <f aca="false">SUM(H87:H96)</f>
        <v>901473.530089216</v>
      </c>
      <c r="I99" s="206" t="n">
        <f aca="false">SUM(I87:I96)</f>
        <v>900823.219103488</v>
      </c>
      <c r="J99" s="206" t="n">
        <f aca="false">SUM(J87:J96)</f>
        <v>900172.90811776</v>
      </c>
      <c r="K99" s="206" t="n">
        <f aca="false">SUM(K87:K96)</f>
        <v>899522.597132032</v>
      </c>
      <c r="L99" s="206" t="n">
        <f aca="false">SUM(L87:L96)</f>
        <v>898872.286146304</v>
      </c>
      <c r="M99" s="206" t="n">
        <f aca="false">SUM(M87:M96)</f>
        <v>898221.975160576</v>
      </c>
      <c r="N99" s="206" t="n">
        <f aca="false">SUM(N87:N96)</f>
        <v>897571.664174848</v>
      </c>
      <c r="O99" s="206" t="n">
        <f aca="false">SUM(O87:O96)</f>
        <v>896921.35318912</v>
      </c>
      <c r="P99" s="206" t="n">
        <f aca="false">SUM(P87:P96)</f>
        <v>896271.042203392</v>
      </c>
      <c r="Q99" s="206" t="n">
        <f aca="false">SUM(Q87:Q96)</f>
        <v>895620.731217664</v>
      </c>
      <c r="R99" s="206" t="n">
        <f aca="false">SUM(R87:R96)</f>
        <v>894970.420231936</v>
      </c>
      <c r="S99" s="206" t="n">
        <f aca="false">SUM(S87:S96)</f>
        <v>894320.109246208</v>
      </c>
      <c r="T99" s="206" t="n">
        <f aca="false">SUM(T87:T96)</f>
        <v>893669.79826048</v>
      </c>
      <c r="U99" s="206" t="n">
        <f aca="false">SUM(U87:U96)</f>
        <v>893019.487274752</v>
      </c>
      <c r="V99" s="206" t="n">
        <f aca="false">SUM(V87:V96)</f>
        <v>892369.176289024</v>
      </c>
      <c r="W99" s="206" t="n">
        <f aca="false">SUM(W87:W96)</f>
        <v>891718.865303297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1501790.7290368</v>
      </c>
      <c r="F100" s="206" t="n">
        <f aca="false">E101</f>
        <v>2405215.1920832</v>
      </c>
      <c r="G100" s="206" t="n">
        <f aca="false">F101</f>
        <v>3307989.34414387</v>
      </c>
      <c r="H100" s="206" t="n">
        <f aca="false">G101</f>
        <v>4210113.18521882</v>
      </c>
      <c r="I100" s="206" t="n">
        <f aca="false">H101</f>
        <v>5111586.71530803</v>
      </c>
      <c r="J100" s="206" t="n">
        <f aca="false">I101</f>
        <v>6012409.93441152</v>
      </c>
      <c r="K100" s="206" t="n">
        <f aca="false">J101</f>
        <v>6912582.84252928</v>
      </c>
      <c r="L100" s="206" t="n">
        <f aca="false">K101</f>
        <v>7812105.43966131</v>
      </c>
      <c r="M100" s="206" t="n">
        <f aca="false">L101</f>
        <v>8710977.72580762</v>
      </c>
      <c r="N100" s="206" t="n">
        <f aca="false">M101</f>
        <v>9609199.70096819</v>
      </c>
      <c r="O100" s="206" t="n">
        <f aca="false">N101</f>
        <v>10506771.365143</v>
      </c>
      <c r="P100" s="206" t="n">
        <f aca="false">O101</f>
        <v>11403692.7183322</v>
      </c>
      <c r="Q100" s="206" t="n">
        <f aca="false">P101</f>
        <v>12299963.7605356</v>
      </c>
      <c r="R100" s="206" t="n">
        <f aca="false">Q101</f>
        <v>13195584.4917532</v>
      </c>
      <c r="S100" s="206" t="n">
        <f aca="false">R101</f>
        <v>14090554.9119852</v>
      </c>
      <c r="T100" s="206" t="n">
        <f aca="false">S101</f>
        <v>14984875.0212314</v>
      </c>
      <c r="U100" s="206" t="n">
        <f aca="false">T101</f>
        <v>15878544.8194918</v>
      </c>
      <c r="V100" s="206" t="n">
        <f aca="false">U101</f>
        <v>16771564.3067666</v>
      </c>
      <c r="W100" s="206" t="n">
        <f aca="false">V101</f>
        <v>17663933.4830556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1501790.7290368</v>
      </c>
      <c r="E101" s="206" t="n">
        <f aca="false">E99+E100</f>
        <v>2405215.1920832</v>
      </c>
      <c r="F101" s="206" t="n">
        <f aca="false">F99+F100</f>
        <v>3307989.34414387</v>
      </c>
      <c r="G101" s="206" t="n">
        <f aca="false">G99+G100</f>
        <v>4210113.18521882</v>
      </c>
      <c r="H101" s="206" t="n">
        <f aca="false">H99+H100</f>
        <v>5111586.71530803</v>
      </c>
      <c r="I101" s="206" t="n">
        <f aca="false">I99+I100</f>
        <v>6012409.93441152</v>
      </c>
      <c r="J101" s="206" t="n">
        <f aca="false">J99+J100</f>
        <v>6912582.84252928</v>
      </c>
      <c r="K101" s="206" t="n">
        <f aca="false">K99+K100</f>
        <v>7812105.43966131</v>
      </c>
      <c r="L101" s="206" t="n">
        <f aca="false">L99+L100</f>
        <v>8710977.72580762</v>
      </c>
      <c r="M101" s="206" t="n">
        <f aca="false">M99+M100</f>
        <v>9609199.70096819</v>
      </c>
      <c r="N101" s="206" t="n">
        <f aca="false">N99+N100</f>
        <v>10506771.365143</v>
      </c>
      <c r="O101" s="206" t="n">
        <f aca="false">O99+O100</f>
        <v>11403692.7183322</v>
      </c>
      <c r="P101" s="206" t="n">
        <f aca="false">P99+P100</f>
        <v>12299963.7605356</v>
      </c>
      <c r="Q101" s="206" t="n">
        <f aca="false">Q99+Q100</f>
        <v>13195584.4917532</v>
      </c>
      <c r="R101" s="206" t="n">
        <f aca="false">R99+R100</f>
        <v>14090554.9119852</v>
      </c>
      <c r="S101" s="206" t="n">
        <f aca="false">S99+S100</f>
        <v>14984875.0212314</v>
      </c>
      <c r="T101" s="206" t="n">
        <f aca="false">T99+T100</f>
        <v>15878544.8194918</v>
      </c>
      <c r="U101" s="206" t="n">
        <f aca="false">U99+U100</f>
        <v>16771564.3067666</v>
      </c>
      <c r="V101" s="206" t="n">
        <f aca="false">V99+V100</f>
        <v>17663933.4830556</v>
      </c>
      <c r="W101" s="206" t="n">
        <f aca="false">W99+W100</f>
        <v>18555652.3483589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591863.15613312</v>
      </c>
      <c r="F104" s="209" t="n">
        <f aca="false">-F95-F96</f>
        <v>586010.357261568</v>
      </c>
      <c r="G104" s="209" t="n">
        <f aca="false">-G95-G96</f>
        <v>580157.558390016</v>
      </c>
      <c r="H104" s="209" t="n">
        <f aca="false">-H95-H96</f>
        <v>574304.759518464</v>
      </c>
      <c r="I104" s="209" t="n">
        <f aca="false">-I95-I96</f>
        <v>568451.960646912</v>
      </c>
      <c r="J104" s="209" t="n">
        <f aca="false">-J95-J96</f>
        <v>562599.16177536</v>
      </c>
      <c r="K104" s="209" t="n">
        <f aca="false">-K95-K96</f>
        <v>556746.362903808</v>
      </c>
      <c r="L104" s="209" t="n">
        <f aca="false">-L95-L96</f>
        <v>550893.564032256</v>
      </c>
      <c r="M104" s="209" t="n">
        <f aca="false">-M95-M96</f>
        <v>545040.765160704</v>
      </c>
      <c r="N104" s="209" t="n">
        <f aca="false">-N95-N96</f>
        <v>539187.966289152</v>
      </c>
      <c r="O104" s="209" t="n">
        <f aca="false">-O95-O96</f>
        <v>533335.1674176</v>
      </c>
      <c r="P104" s="209" t="n">
        <f aca="false">-P95-P96</f>
        <v>527482.368546048</v>
      </c>
      <c r="Q104" s="209" t="n">
        <f aca="false">-Q95-Q96</f>
        <v>521629.569674496</v>
      </c>
      <c r="R104" s="209" t="n">
        <f aca="false">-R95-R96</f>
        <v>515776.770802944</v>
      </c>
      <c r="S104" s="209" t="n">
        <f aca="false">-S95-S96</f>
        <v>509923.971931392</v>
      </c>
      <c r="T104" s="209" t="n">
        <f aca="false">-T95-T96</f>
        <v>504071.17305984</v>
      </c>
      <c r="U104" s="209" t="n">
        <f aca="false">-U95-U96</f>
        <v>498218.374188288</v>
      </c>
      <c r="V104" s="209" t="n">
        <f aca="false">-V95-V96</f>
        <v>492365.575316736</v>
      </c>
      <c r="W104" s="209" t="n">
        <f aca="false">-W95-W96</f>
        <v>486512.776445184</v>
      </c>
      <c r="X104" s="209" t="n">
        <f aca="false">-X95-X96</f>
        <v>18555652.3483589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0.192784744383226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-2719034.2709632</v>
      </c>
      <c r="E106" s="209" t="n">
        <f aca="false">E85</f>
        <v>651122.61917952</v>
      </c>
      <c r="F106" s="209" t="n">
        <f aca="false">F85-F96</f>
        <v>644619.50932224</v>
      </c>
      <c r="G106" s="209" t="n">
        <f aca="false">G85-G96</f>
        <v>638116.39946496</v>
      </c>
      <c r="H106" s="209" t="n">
        <f aca="false">H85-H96</f>
        <v>631613.28960768</v>
      </c>
      <c r="I106" s="209" t="n">
        <f aca="false">I85-I96</f>
        <v>625110.1797504</v>
      </c>
      <c r="J106" s="209" t="n">
        <f aca="false">J85-J96</f>
        <v>618607.06989312</v>
      </c>
      <c r="K106" s="209" t="n">
        <f aca="false">K85-K96</f>
        <v>612103.96003584</v>
      </c>
      <c r="L106" s="209" t="n">
        <f aca="false">L85-L96</f>
        <v>605600.85017856</v>
      </c>
      <c r="M106" s="209" t="n">
        <f aca="false">M85-M96</f>
        <v>599097.74032128</v>
      </c>
      <c r="N106" s="209" t="n">
        <f aca="false">N85-N96</f>
        <v>592594.630464</v>
      </c>
      <c r="O106" s="209" t="n">
        <f aca="false">O85-O96</f>
        <v>586091.52060672</v>
      </c>
      <c r="P106" s="209" t="n">
        <f aca="false">P85-P96</f>
        <v>579588.41074944</v>
      </c>
      <c r="Q106" s="209" t="n">
        <f aca="false">Q85-Q96</f>
        <v>573085.30089216</v>
      </c>
      <c r="R106" s="209" t="n">
        <f aca="false">R85-R96</f>
        <v>566582.19103488</v>
      </c>
      <c r="S106" s="209" t="n">
        <f aca="false">S85-S96</f>
        <v>560079.0811776</v>
      </c>
      <c r="T106" s="209" t="n">
        <f aca="false">T85-T96</f>
        <v>553575.97132032</v>
      </c>
      <c r="U106" s="209" t="n">
        <f aca="false">U85-U96</f>
        <v>547072.86146304</v>
      </c>
      <c r="V106" s="209" t="n">
        <f aca="false">V85-V96</f>
        <v>540569.75160576</v>
      </c>
      <c r="W106" s="209" t="n">
        <f aca="false">W85-W96</f>
        <v>534066.64174848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0.224953900381307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13506640</v>
      </c>
      <c r="F109" s="206" t="n">
        <f aca="false">E109+F93</f>
        <v>13506640</v>
      </c>
      <c r="G109" s="206" t="n">
        <f aca="false">F109+G93</f>
        <v>13506640</v>
      </c>
      <c r="H109" s="206" t="n">
        <f aca="false">G109+H93</f>
        <v>13506640</v>
      </c>
      <c r="I109" s="206" t="n">
        <f aca="false">H109+I93</f>
        <v>13506640</v>
      </c>
      <c r="J109" s="206" t="n">
        <f aca="false">I109+J93</f>
        <v>13506640</v>
      </c>
      <c r="K109" s="206" t="n">
        <f aca="false">J109+K93</f>
        <v>13506640</v>
      </c>
      <c r="L109" s="206" t="n">
        <f aca="false">K109+L93</f>
        <v>13506640</v>
      </c>
      <c r="M109" s="206" t="n">
        <f aca="false">L109+M93</f>
        <v>13506640</v>
      </c>
      <c r="N109" s="206" t="n">
        <f aca="false">M109+N93</f>
        <v>13506640</v>
      </c>
      <c r="O109" s="206" t="n">
        <f aca="false">N109+O93</f>
        <v>13506640</v>
      </c>
      <c r="P109" s="206" t="n">
        <f aca="false">O109+P93</f>
        <v>13506640</v>
      </c>
      <c r="Q109" s="206" t="n">
        <f aca="false">P109+Q93</f>
        <v>13506640</v>
      </c>
      <c r="R109" s="206" t="n">
        <f aca="false">Q109+R93</f>
        <v>13506640</v>
      </c>
      <c r="S109" s="206" t="n">
        <f aca="false">R109+S93</f>
        <v>13506640</v>
      </c>
      <c r="T109" s="206" t="n">
        <f aca="false">S109+T93</f>
        <v>13506640</v>
      </c>
      <c r="U109" s="206" t="n">
        <f aca="false">T109+U93</f>
        <v>13506640</v>
      </c>
      <c r="V109" s="206" t="n">
        <f aca="false">U109+V93</f>
        <v>13506640</v>
      </c>
      <c r="W109" s="206" t="n">
        <f aca="false">V109+W93</f>
        <v>13506640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-246006.9224192</v>
      </c>
      <c r="E54" s="170" t="n">
        <f aca="false">-(E64+E67+E68+E71+E72+E73+E74)*0.2</f>
        <v>-244381.14495488</v>
      </c>
      <c r="F54" s="170" t="n">
        <f aca="false">-(F64+F67+F68+F71+F72+F73+F74)*0.2</f>
        <v>-242755.36749056</v>
      </c>
      <c r="G54" s="170" t="n">
        <f aca="false">-(G64+G67+G68+G71+G72+G73+G74)*0.2</f>
        <v>-241129.59002624</v>
      </c>
      <c r="H54" s="170" t="n">
        <f aca="false">-(H64+H67+H68+H71+H72+H73+H74)*0.2</f>
        <v>-239503.81256192</v>
      </c>
      <c r="I54" s="170" t="n">
        <f aca="false">-(I64+I67+I68+I71+I72+I73+I74)*0.2</f>
        <v>-237878.0350976</v>
      </c>
      <c r="J54" s="170" t="n">
        <f aca="false">-(J64+J67+J68+J71+J72+J73+J74)*0.2</f>
        <v>-236252.25763328</v>
      </c>
      <c r="K54" s="170" t="n">
        <f aca="false">-(K64+K67+K68+K71+K72+K73+K74)*0.2</f>
        <v>-234626.48016896</v>
      </c>
      <c r="L54" s="170" t="n">
        <f aca="false">-(L64+L67+L68+L71+L72+L73+L74)*0.2</f>
        <v>-233000.70270464</v>
      </c>
      <c r="M54" s="170" t="n">
        <f aca="false">-(M64+M67+M68+M71+M72+M73+M74)*0.2</f>
        <v>-231374.92524032</v>
      </c>
      <c r="N54" s="170" t="n">
        <f aca="false">-(N64+N67+N68+N71+N72+N73+N74)*0.2</f>
        <v>-229749.147776</v>
      </c>
      <c r="O54" s="170" t="n">
        <f aca="false">-(O64+O67+O68+O71+O72+O73+O74)*0.2</f>
        <v>-228123.37031168</v>
      </c>
      <c r="P54" s="170" t="n">
        <f aca="false">-(P64+P67+P68+P71+P72+P73+P74)*0.2</f>
        <v>-226497.59284736</v>
      </c>
      <c r="Q54" s="170" t="n">
        <f aca="false">-(Q64+Q67+Q68+Q71+Q72+Q73+Q74)*0.2</f>
        <v>-224871.81538304</v>
      </c>
      <c r="R54" s="170" t="n">
        <f aca="false">-(R64+R67+R68+R71+R72+R73+R74)*0.2</f>
        <v>-223246.03791872</v>
      </c>
      <c r="S54" s="170" t="n">
        <f aca="false">-(S64+S67+S68+S71+S72+S73+S74)*0.2</f>
        <v>-221620.2604544</v>
      </c>
      <c r="T54" s="170" t="n">
        <f aca="false">-(T64+T67+T68+T71+T72+T73+T74)*0.2</f>
        <v>-219994.48299008</v>
      </c>
      <c r="U54" s="170" t="n">
        <f aca="false">-(U64+U67+U68+U71+U72+U73+U74)*0.2</f>
        <v>-218368.70552576</v>
      </c>
      <c r="V54" s="170" t="n">
        <f aca="false">-(V64+V67+V68+V71+V72+V73+V74)*0.2</f>
        <v>-216742.92806144</v>
      </c>
      <c r="W54" s="170" t="n">
        <f aca="false">-(W64+W67+W68+W71+W72+W73+W74)*0.2</f>
        <v>-215117.15059712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1765892.6896768</v>
      </c>
      <c r="E55" s="175" t="n">
        <f aca="false">SUM(E41:E54)</f>
        <v>1759389.57981952</v>
      </c>
      <c r="F55" s="175" t="n">
        <f aca="false">SUM(F41:F54)</f>
        <v>1752886.46996224</v>
      </c>
      <c r="G55" s="175" t="n">
        <f aca="false">SUM(G41:G54)</f>
        <v>1746383.36010496</v>
      </c>
      <c r="H55" s="175" t="n">
        <f aca="false">SUM(H41:H54)</f>
        <v>1739880.25024768</v>
      </c>
      <c r="I55" s="175" t="n">
        <f aca="false">SUM(I41:I54)</f>
        <v>1733377.1403904</v>
      </c>
      <c r="J55" s="175" t="n">
        <f aca="false">SUM(J41:J54)</f>
        <v>1726874.03053312</v>
      </c>
      <c r="K55" s="175" t="n">
        <f aca="false">SUM(K41:K54)</f>
        <v>1720370.92067584</v>
      </c>
      <c r="L55" s="175" t="n">
        <f aca="false">SUM(L41:L54)</f>
        <v>1713867.81081856</v>
      </c>
      <c r="M55" s="175" t="n">
        <f aca="false">SUM(M41:M54)</f>
        <v>1707364.70096128</v>
      </c>
      <c r="N55" s="175" t="n">
        <f aca="false">SUM(N41:N54)</f>
        <v>1700861.591104</v>
      </c>
      <c r="O55" s="175" t="n">
        <f aca="false">SUM(O41:O54)</f>
        <v>1694358.48124672</v>
      </c>
      <c r="P55" s="175" t="n">
        <f aca="false">SUM(P41:P54)</f>
        <v>1687855.37138944</v>
      </c>
      <c r="Q55" s="175" t="n">
        <f aca="false">SUM(Q41:Q54)</f>
        <v>1681352.26153216</v>
      </c>
      <c r="R55" s="175" t="n">
        <f aca="false">SUM(R41:R54)</f>
        <v>1674849.15167488</v>
      </c>
      <c r="S55" s="175" t="n">
        <f aca="false">SUM(S41:S54)</f>
        <v>1668346.0418176</v>
      </c>
      <c r="T55" s="175" t="n">
        <f aca="false">SUM(T41:T54)</f>
        <v>1661842.93196032</v>
      </c>
      <c r="U55" s="175" t="n">
        <f aca="false">SUM(U41:U54)</f>
        <v>1655339.82210304</v>
      </c>
      <c r="V55" s="175" t="n">
        <f aca="false">SUM(V41:V54)</f>
        <v>1648836.71224576</v>
      </c>
      <c r="W55" s="175" t="n">
        <f aca="false">SUM(W41:W54)</f>
        <v>1642333.60238848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-13871407.3103232</v>
      </c>
      <c r="E56" s="180" t="n">
        <f aca="false">D56+E55</f>
        <v>-12112017.7305037</v>
      </c>
      <c r="F56" s="180" t="n">
        <f aca="false">E56+F55</f>
        <v>-10359131.2605414</v>
      </c>
      <c r="G56" s="180" t="n">
        <f aca="false">F56+G55</f>
        <v>-8612747.90043649</v>
      </c>
      <c r="H56" s="180" t="n">
        <f aca="false">G56+H55</f>
        <v>-6872867.65018881</v>
      </c>
      <c r="I56" s="180" t="n">
        <f aca="false">H56+I55</f>
        <v>-5139490.50979841</v>
      </c>
      <c r="J56" s="180" t="n">
        <f aca="false">I56+J55</f>
        <v>-3412616.47926529</v>
      </c>
      <c r="K56" s="180" t="n">
        <f aca="false">J56+K55</f>
        <v>-1692245.55858945</v>
      </c>
      <c r="L56" s="180" t="n">
        <f aca="false">K56+L55</f>
        <v>21622.2522291122</v>
      </c>
      <c r="M56" s="180" t="n">
        <f aca="false">L56+M55</f>
        <v>1728986.95319039</v>
      </c>
      <c r="N56" s="180" t="n">
        <f aca="false">M56+N55</f>
        <v>3429848.54429439</v>
      </c>
      <c r="O56" s="180" t="n">
        <f aca="false">N56+O55</f>
        <v>5124207.02554111</v>
      </c>
      <c r="P56" s="180" t="n">
        <f aca="false">O56+P55</f>
        <v>6812062.39693055</v>
      </c>
      <c r="Q56" s="180" t="n">
        <f aca="false">P56+Q55</f>
        <v>8493414.65846271</v>
      </c>
      <c r="R56" s="180" t="n">
        <f aca="false">Q56+R55</f>
        <v>10168263.8101376</v>
      </c>
      <c r="S56" s="180" t="n">
        <f aca="false">R56+S55</f>
        <v>11836609.8519552</v>
      </c>
      <c r="T56" s="180" t="n">
        <f aca="false">S56+T55</f>
        <v>13498452.7839155</v>
      </c>
      <c r="U56" s="180" t="n">
        <f aca="false">T56+U55</f>
        <v>15153792.6060186</v>
      </c>
      <c r="V56" s="180" t="n">
        <f aca="false">U56+V55</f>
        <v>16802629.3182643</v>
      </c>
      <c r="W56" s="180" t="n">
        <f aca="false">V56+W55</f>
        <v>18444962.9206528</v>
      </c>
      <c r="X56" s="180" t="n">
        <f aca="false">W56+X55</f>
        <v>18444962.9206528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回收</v>
      </c>
      <c r="M57" s="184" t="str">
        <f aca="false">IF((M56)&gt;0,"回收","未回收")</f>
        <v>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0.0907364028229937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-320189.3548</v>
      </c>
      <c r="F70" s="170" t="n">
        <f aca="false">-F109*$D25</f>
        <v>-320189.3548</v>
      </c>
      <c r="G70" s="170" t="n">
        <f aca="false">-G109*$D25</f>
        <v>-320189.3548</v>
      </c>
      <c r="H70" s="170" t="n">
        <f aca="false">-H109*$D25</f>
        <v>-320189.3548</v>
      </c>
      <c r="I70" s="170" t="n">
        <f aca="false">-I109*$D25</f>
        <v>-320189.3548</v>
      </c>
      <c r="J70" s="170" t="n">
        <f aca="false">-J109*$D25</f>
        <v>-320189.3548</v>
      </c>
      <c r="K70" s="170" t="n">
        <f aca="false">-K109*$D25</f>
        <v>-320189.3548</v>
      </c>
      <c r="L70" s="170" t="n">
        <f aca="false">-L109*$D25</f>
        <v>-320189.3548</v>
      </c>
      <c r="M70" s="170" t="n">
        <f aca="false">-M109*$D25</f>
        <v>-320189.3548</v>
      </c>
      <c r="N70" s="170" t="n">
        <f aca="false">-N109*$D25</f>
        <v>-320189.3548</v>
      </c>
      <c r="O70" s="170" t="n">
        <f aca="false">-O109*$D25</f>
        <v>-320189.3548</v>
      </c>
      <c r="P70" s="170" t="n">
        <f aca="false">-P109*$D25</f>
        <v>-320189.3548</v>
      </c>
      <c r="Q70" s="170" t="n">
        <f aca="false">-Q109*$D25</f>
        <v>-320189.3548</v>
      </c>
      <c r="R70" s="170" t="n">
        <f aca="false">-R109*$D25</f>
        <v>-320189.3548</v>
      </c>
      <c r="S70" s="170" t="n">
        <f aca="false">-S109*$D25</f>
        <v>-320189.3548</v>
      </c>
      <c r="T70" s="170" t="n">
        <f aca="false">-T109*$D25</f>
        <v>-320189.3548</v>
      </c>
      <c r="U70" s="170" t="n">
        <f aca="false">-U109*$D25</f>
        <v>-320189.3548</v>
      </c>
      <c r="V70" s="170" t="n">
        <f aca="false">-V109*$D25</f>
        <v>-320189.3548</v>
      </c>
      <c r="W70" s="170" t="n">
        <f aca="false">-W109*$D25</f>
        <v>-320189.3548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909845.257295999</v>
      </c>
      <c r="E76" s="175" t="n">
        <f aca="false">SUM(E64:E75)</f>
        <v>901716.3699744</v>
      </c>
      <c r="F76" s="175" t="n">
        <f aca="false">SUM(F64:F75)</f>
        <v>893587.4826528</v>
      </c>
      <c r="G76" s="175" t="n">
        <f aca="false">SUM(G64:G75)</f>
        <v>885458.5953312</v>
      </c>
      <c r="H76" s="175" t="n">
        <f aca="false">SUM(H64:H75)</f>
        <v>877329.7080096</v>
      </c>
      <c r="I76" s="175" t="n">
        <f aca="false">SUM(I64:I75)</f>
        <v>869200.820688</v>
      </c>
      <c r="J76" s="175" t="n">
        <f aca="false">SUM(J64:J75)</f>
        <v>861071.9333664</v>
      </c>
      <c r="K76" s="175" t="n">
        <f aca="false">SUM(K64:K75)</f>
        <v>852943.0460448</v>
      </c>
      <c r="L76" s="175" t="n">
        <f aca="false">SUM(L64:L75)</f>
        <v>844814.1587232</v>
      </c>
      <c r="M76" s="175" t="n">
        <f aca="false">SUM(M64:M75)</f>
        <v>836685.2714016</v>
      </c>
      <c r="N76" s="175" t="n">
        <f aca="false">SUM(N64:N75)</f>
        <v>828556.38408</v>
      </c>
      <c r="O76" s="175" t="n">
        <f aca="false">SUM(O64:O75)</f>
        <v>820427.4967584</v>
      </c>
      <c r="P76" s="175" t="n">
        <f aca="false">SUM(P64:P75)</f>
        <v>812298.6094368</v>
      </c>
      <c r="Q76" s="175" t="n">
        <f aca="false">SUM(Q64:Q75)</f>
        <v>804169.7221152</v>
      </c>
      <c r="R76" s="175" t="n">
        <f aca="false">SUM(R64:R75)</f>
        <v>796040.8347936</v>
      </c>
      <c r="S76" s="175" t="n">
        <f aca="false">SUM(S64:S75)</f>
        <v>787911.947472</v>
      </c>
      <c r="T76" s="175" t="n">
        <f aca="false">SUM(T64:T75)</f>
        <v>779783.060150399</v>
      </c>
      <c r="U76" s="175" t="n">
        <f aca="false">SUM(U64:U75)</f>
        <v>771654.1728288</v>
      </c>
      <c r="V76" s="175" t="n">
        <f aca="false">SUM(V64:V75)</f>
        <v>763525.285507199</v>
      </c>
      <c r="W76" s="175" t="n">
        <f aca="false">SUM(W64:W75)</f>
        <v>755396.3981856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-181969.0514592</v>
      </c>
      <c r="E77" s="170" t="n">
        <f aca="false">-E76*0.2</f>
        <v>-180343.27399488</v>
      </c>
      <c r="F77" s="170" t="n">
        <f aca="false">-F76*0.2</f>
        <v>-178717.49653056</v>
      </c>
      <c r="G77" s="170" t="n">
        <f aca="false">-G76*0.2</f>
        <v>-177091.71906624</v>
      </c>
      <c r="H77" s="170" t="n">
        <f aca="false">-H76*0.2</f>
        <v>-175465.94160192</v>
      </c>
      <c r="I77" s="170" t="n">
        <f aca="false">-I76*0.2</f>
        <v>-173840.1641376</v>
      </c>
      <c r="J77" s="170" t="n">
        <f aca="false">-J76*0.2</f>
        <v>-172214.38667328</v>
      </c>
      <c r="K77" s="170" t="n">
        <f aca="false">-K76*0.2</f>
        <v>-170588.60920896</v>
      </c>
      <c r="L77" s="170" t="n">
        <f aca="false">-L76*0.2</f>
        <v>-168962.83174464</v>
      </c>
      <c r="M77" s="170" t="n">
        <f aca="false">-M76*0.2</f>
        <v>-167337.05428032</v>
      </c>
      <c r="N77" s="170" t="n">
        <f aca="false">-N76*0.2</f>
        <v>-165711.276816</v>
      </c>
      <c r="O77" s="170" t="n">
        <f aca="false">-O76*0.2</f>
        <v>-164085.49935168</v>
      </c>
      <c r="P77" s="170" t="n">
        <f aca="false">-P76*0.2</f>
        <v>-162459.72188736</v>
      </c>
      <c r="Q77" s="170" t="n">
        <f aca="false">-Q76*0.2</f>
        <v>-160833.94442304</v>
      </c>
      <c r="R77" s="170" t="n">
        <f aca="false">-R76*0.2</f>
        <v>-159208.16695872</v>
      </c>
      <c r="S77" s="170" t="n">
        <f aca="false">-S76*0.2</f>
        <v>-157582.3894944</v>
      </c>
      <c r="T77" s="170" t="n">
        <f aca="false">-T76*0.2</f>
        <v>-155956.61203008</v>
      </c>
      <c r="U77" s="170" t="n">
        <f aca="false">-U76*0.2</f>
        <v>-154330.83456576</v>
      </c>
      <c r="V77" s="170" t="n">
        <f aca="false">-V76*0.2</f>
        <v>-152705.05710144</v>
      </c>
      <c r="W77" s="170" t="n">
        <f aca="false">-W76*0.2</f>
        <v>-151079.27963712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727876.2058368</v>
      </c>
      <c r="E78" s="170" t="n">
        <f aca="false">SUM(E76:E77)</f>
        <v>721373.09597952</v>
      </c>
      <c r="F78" s="170" t="n">
        <f aca="false">SUM(F76:F77)</f>
        <v>714869.98612224</v>
      </c>
      <c r="G78" s="170" t="n">
        <f aca="false">SUM(G76:G77)</f>
        <v>708366.87626496</v>
      </c>
      <c r="H78" s="170" t="n">
        <f aca="false">SUM(H76:H77)</f>
        <v>701863.76640768</v>
      </c>
      <c r="I78" s="170" t="n">
        <f aca="false">SUM(I76:I77)</f>
        <v>695360.6565504</v>
      </c>
      <c r="J78" s="170" t="n">
        <f aca="false">SUM(J76:J77)</f>
        <v>688857.54669312</v>
      </c>
      <c r="K78" s="170" t="n">
        <f aca="false">SUM(K76:K77)</f>
        <v>682354.43683584</v>
      </c>
      <c r="L78" s="170" t="n">
        <f aca="false">SUM(L76:L77)</f>
        <v>675851.32697856</v>
      </c>
      <c r="M78" s="170" t="n">
        <f aca="false">SUM(M76:M77)</f>
        <v>669348.21712128</v>
      </c>
      <c r="N78" s="170" t="n">
        <f aca="false">SUM(N76:N77)</f>
        <v>662845.107264</v>
      </c>
      <c r="O78" s="170" t="n">
        <f aca="false">SUM(O76:O77)</f>
        <v>656341.99740672</v>
      </c>
      <c r="P78" s="170" t="n">
        <f aca="false">SUM(P76:P77)</f>
        <v>649838.88754944</v>
      </c>
      <c r="Q78" s="170" t="n">
        <f aca="false">SUM(Q76:Q77)</f>
        <v>643335.77769216</v>
      </c>
      <c r="R78" s="170" t="n">
        <f aca="false">SUM(R76:R77)</f>
        <v>636832.66783488</v>
      </c>
      <c r="S78" s="170" t="n">
        <f aca="false">SUM(S76:S77)</f>
        <v>630329.5579776</v>
      </c>
      <c r="T78" s="170" t="n">
        <f aca="false">SUM(T76:T77)</f>
        <v>623826.44812032</v>
      </c>
      <c r="U78" s="170" t="n">
        <f aca="false">SUM(U76:U77)</f>
        <v>617323.33826304</v>
      </c>
      <c r="V78" s="170" t="n">
        <f aca="false">SUM(V76:V77)</f>
        <v>610820.228405759</v>
      </c>
      <c r="W78" s="170" t="n">
        <f aca="false">SUM(W76:W77)</f>
        <v>604317.11854848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727876.2058368</v>
      </c>
      <c r="E85" s="206" t="n">
        <f aca="false">E78</f>
        <v>721373.09597952</v>
      </c>
      <c r="F85" s="206" t="n">
        <f aca="false">F78</f>
        <v>714869.98612224</v>
      </c>
      <c r="G85" s="206" t="n">
        <f aca="false">G78</f>
        <v>708366.87626496</v>
      </c>
      <c r="H85" s="206" t="n">
        <f aca="false">H78</f>
        <v>701863.76640768</v>
      </c>
      <c r="I85" s="206" t="n">
        <f aca="false">I78</f>
        <v>695360.6565504</v>
      </c>
      <c r="J85" s="206" t="n">
        <f aca="false">J78</f>
        <v>688857.54669312</v>
      </c>
      <c r="K85" s="206" t="n">
        <f aca="false">K78</f>
        <v>682354.43683584</v>
      </c>
      <c r="L85" s="206" t="n">
        <f aca="false">L78</f>
        <v>675851.32697856</v>
      </c>
      <c r="M85" s="206" t="n">
        <f aca="false">M78</f>
        <v>669348.21712128</v>
      </c>
      <c r="N85" s="206" t="n">
        <f aca="false">N78</f>
        <v>662845.107264</v>
      </c>
      <c r="O85" s="206" t="n">
        <f aca="false">O78</f>
        <v>656341.99740672</v>
      </c>
      <c r="P85" s="206" t="n">
        <f aca="false">P78</f>
        <v>649838.88754944</v>
      </c>
      <c r="Q85" s="206" t="n">
        <f aca="false">Q78</f>
        <v>643335.77769216</v>
      </c>
      <c r="R85" s="206" t="n">
        <f aca="false">R78</f>
        <v>636832.66783488</v>
      </c>
      <c r="S85" s="206" t="n">
        <f aca="false">S78</f>
        <v>630329.5579776</v>
      </c>
      <c r="T85" s="206" t="n">
        <f aca="false">T78</f>
        <v>623826.44812032</v>
      </c>
      <c r="U85" s="206" t="n">
        <f aca="false">U78</f>
        <v>617323.33826304</v>
      </c>
      <c r="V85" s="206" t="n">
        <f aca="false">V78</f>
        <v>610820.228405759</v>
      </c>
      <c r="W85" s="206" t="n">
        <f aca="false">W78</f>
        <v>604317.11854848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1509741.2058368</v>
      </c>
      <c r="E87" s="209" t="n">
        <f aca="false">SUM(E85:E86)</f>
        <v>1503238.09597952</v>
      </c>
      <c r="F87" s="209" t="n">
        <f aca="false">SUM(F85:F86)</f>
        <v>1496734.98612224</v>
      </c>
      <c r="G87" s="209" t="n">
        <f aca="false">SUM(G85:G86)</f>
        <v>1490231.87626496</v>
      </c>
      <c r="H87" s="209" t="n">
        <f aca="false">SUM(H85:H86)</f>
        <v>1483728.76640768</v>
      </c>
      <c r="I87" s="209" t="n">
        <f aca="false">SUM(I85:I86)</f>
        <v>1477225.6565504</v>
      </c>
      <c r="J87" s="209" t="n">
        <f aca="false">SUM(J85:J86)</f>
        <v>1470722.54669312</v>
      </c>
      <c r="K87" s="209" t="n">
        <f aca="false">SUM(K85:K86)</f>
        <v>1464219.43683584</v>
      </c>
      <c r="L87" s="209" t="n">
        <f aca="false">SUM(L85:L86)</f>
        <v>1457716.32697856</v>
      </c>
      <c r="M87" s="209" t="n">
        <f aca="false">SUM(M85:M86)</f>
        <v>1451213.21712128</v>
      </c>
      <c r="N87" s="209" t="n">
        <f aca="false">SUM(N85:N86)</f>
        <v>1444710.107264</v>
      </c>
      <c r="O87" s="209" t="n">
        <f aca="false">SUM(O85:O86)</f>
        <v>1438206.99740672</v>
      </c>
      <c r="P87" s="209" t="n">
        <f aca="false">SUM(P85:P86)</f>
        <v>1431703.88754944</v>
      </c>
      <c r="Q87" s="209" t="n">
        <f aca="false">SUM(Q85:Q86)</f>
        <v>1425200.77769216</v>
      </c>
      <c r="R87" s="209" t="n">
        <f aca="false">SUM(R85:R86)</f>
        <v>1418697.66783488</v>
      </c>
      <c r="S87" s="209" t="n">
        <f aca="false">SUM(S85:S86)</f>
        <v>1412194.5579776</v>
      </c>
      <c r="T87" s="209" t="n">
        <f aca="false">SUM(T85:T86)</f>
        <v>1405691.44812032</v>
      </c>
      <c r="U87" s="209" t="n">
        <f aca="false">SUM(U85:U86)</f>
        <v>1399188.33826304</v>
      </c>
      <c r="V87" s="209" t="n">
        <f aca="false">SUM(V85:V86)</f>
        <v>1392685.22840576</v>
      </c>
      <c r="W87" s="209" t="n">
        <f aca="false">SUM(W85:W86)</f>
        <v>1386182.11854848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-655088.58525312</v>
      </c>
      <c r="F95" s="216" t="n">
        <f aca="false">-E85*$D$33</f>
        <v>-649235.786381568</v>
      </c>
      <c r="G95" s="216" t="n">
        <f aca="false">-F85*$D$33</f>
        <v>-643382.987510016</v>
      </c>
      <c r="H95" s="216" t="n">
        <f aca="false">-G85*$D$33</f>
        <v>-637530.188638464</v>
      </c>
      <c r="I95" s="216" t="n">
        <f aca="false">-H85*$D$33</f>
        <v>-631677.389766912</v>
      </c>
      <c r="J95" s="216" t="n">
        <f aca="false">-I85*$D$33</f>
        <v>-625824.59089536</v>
      </c>
      <c r="K95" s="216" t="n">
        <f aca="false">-J85*$D$33</f>
        <v>-619971.792023808</v>
      </c>
      <c r="L95" s="216" t="n">
        <f aca="false">-K85*$D$33</f>
        <v>-614118.993152256</v>
      </c>
      <c r="M95" s="216" t="n">
        <f aca="false">-L85*$D$33</f>
        <v>-608266.194280704</v>
      </c>
      <c r="N95" s="216" t="n">
        <f aca="false">-M85*$D$33</f>
        <v>-602413.395409152</v>
      </c>
      <c r="O95" s="216" t="n">
        <f aca="false">-N85*$D$33</f>
        <v>-596560.5965376</v>
      </c>
      <c r="P95" s="216" t="n">
        <f aca="false">-O85*$D$33</f>
        <v>-590707.797666048</v>
      </c>
      <c r="Q95" s="216" t="n">
        <f aca="false">-P85*$D$33</f>
        <v>-584854.998794496</v>
      </c>
      <c r="R95" s="216" t="n">
        <f aca="false">-Q85*$D$33</f>
        <v>-579002.199922944</v>
      </c>
      <c r="S95" s="216" t="n">
        <f aca="false">-R85*$D$33</f>
        <v>-573149.401051392</v>
      </c>
      <c r="T95" s="216" t="n">
        <f aca="false">-S85*$D$33</f>
        <v>-567296.60217984</v>
      </c>
      <c r="U95" s="216" t="n">
        <f aca="false">-T85*$D$33</f>
        <v>-561443.803308288</v>
      </c>
      <c r="V95" s="216" t="n">
        <f aca="false">-U85*$D$33</f>
        <v>-555591.004436736</v>
      </c>
      <c r="W95" s="216" t="n">
        <f aca="false">-V85*$D$33</f>
        <v>-549738.205565184</v>
      </c>
      <c r="X95" s="216" t="n">
        <f aca="false">-W85*$D$33</f>
        <v>-543885.406693632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-16969493.3243853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1509741.2058368</v>
      </c>
      <c r="E99" s="206" t="n">
        <f aca="false">SUM(E87:E96)</f>
        <v>848149.5107264</v>
      </c>
      <c r="F99" s="206" t="n">
        <f aca="false">SUM(F87:F96)</f>
        <v>847499.199740672</v>
      </c>
      <c r="G99" s="206" t="n">
        <f aca="false">SUM(G87:G96)</f>
        <v>846848.888754944</v>
      </c>
      <c r="H99" s="206" t="n">
        <f aca="false">SUM(H87:H96)</f>
        <v>846198.577769216</v>
      </c>
      <c r="I99" s="206" t="n">
        <f aca="false">SUM(I87:I96)</f>
        <v>845548.266783488</v>
      </c>
      <c r="J99" s="206" t="n">
        <f aca="false">SUM(J87:J96)</f>
        <v>844897.955797761</v>
      </c>
      <c r="K99" s="206" t="n">
        <f aca="false">SUM(K87:K96)</f>
        <v>844247.644812032</v>
      </c>
      <c r="L99" s="206" t="n">
        <f aca="false">SUM(L87:L96)</f>
        <v>843597.333826304</v>
      </c>
      <c r="M99" s="206" t="n">
        <f aca="false">SUM(M87:M96)</f>
        <v>842947.022840576</v>
      </c>
      <c r="N99" s="206" t="n">
        <f aca="false">SUM(N87:N96)</f>
        <v>842296.711854848</v>
      </c>
      <c r="O99" s="206" t="n">
        <f aca="false">SUM(O87:O96)</f>
        <v>841646.40086912</v>
      </c>
      <c r="P99" s="206" t="n">
        <f aca="false">SUM(P87:P96)</f>
        <v>840996.089883392</v>
      </c>
      <c r="Q99" s="206" t="n">
        <f aca="false">SUM(Q87:Q96)</f>
        <v>840345.778897664</v>
      </c>
      <c r="R99" s="206" t="n">
        <f aca="false">SUM(R87:R96)</f>
        <v>839695.467911936</v>
      </c>
      <c r="S99" s="206" t="n">
        <f aca="false">SUM(S87:S96)</f>
        <v>839045.156926208</v>
      </c>
      <c r="T99" s="206" t="n">
        <f aca="false">SUM(T87:T96)</f>
        <v>838394.84594048</v>
      </c>
      <c r="U99" s="206" t="n">
        <f aca="false">SUM(U87:U96)</f>
        <v>837744.534954752</v>
      </c>
      <c r="V99" s="206" t="n">
        <f aca="false">SUM(V87:V96)</f>
        <v>837094.223969024</v>
      </c>
      <c r="W99" s="206" t="n">
        <f aca="false">SUM(W87:W96)</f>
        <v>836443.912983296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1509741.2058368</v>
      </c>
      <c r="F100" s="206" t="n">
        <f aca="false">E101</f>
        <v>2357890.7165632</v>
      </c>
      <c r="G100" s="206" t="n">
        <f aca="false">F101</f>
        <v>3205389.91630387</v>
      </c>
      <c r="H100" s="206" t="n">
        <f aca="false">G101</f>
        <v>4052238.80505882</v>
      </c>
      <c r="I100" s="206" t="n">
        <f aca="false">H101</f>
        <v>4898437.38282803</v>
      </c>
      <c r="J100" s="206" t="n">
        <f aca="false">I101</f>
        <v>5743985.64961152</v>
      </c>
      <c r="K100" s="206" t="n">
        <f aca="false">J101</f>
        <v>6588883.60540928</v>
      </c>
      <c r="L100" s="206" t="n">
        <f aca="false">K101</f>
        <v>7433131.25022131</v>
      </c>
      <c r="M100" s="206" t="n">
        <f aca="false">L101</f>
        <v>8276728.58404762</v>
      </c>
      <c r="N100" s="206" t="n">
        <f aca="false">M101</f>
        <v>9119675.60688819</v>
      </c>
      <c r="O100" s="206" t="n">
        <f aca="false">N101</f>
        <v>9961972.31874304</v>
      </c>
      <c r="P100" s="206" t="n">
        <f aca="false">O101</f>
        <v>10803618.7196122</v>
      </c>
      <c r="Q100" s="206" t="n">
        <f aca="false">P101</f>
        <v>11644614.8094956</v>
      </c>
      <c r="R100" s="206" t="n">
        <f aca="false">Q101</f>
        <v>12484960.5883932</v>
      </c>
      <c r="S100" s="206" t="n">
        <f aca="false">R101</f>
        <v>13324656.0563052</v>
      </c>
      <c r="T100" s="206" t="n">
        <f aca="false">S101</f>
        <v>14163701.2132314</v>
      </c>
      <c r="U100" s="206" t="n">
        <f aca="false">T101</f>
        <v>15002096.0591718</v>
      </c>
      <c r="V100" s="206" t="n">
        <f aca="false">U101</f>
        <v>15839840.5941266</v>
      </c>
      <c r="W100" s="206" t="n">
        <f aca="false">V101</f>
        <v>16676934.8180956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1509741.2058368</v>
      </c>
      <c r="E101" s="206" t="n">
        <f aca="false">E99+E100</f>
        <v>2357890.7165632</v>
      </c>
      <c r="F101" s="206" t="n">
        <f aca="false">F99+F100</f>
        <v>3205389.91630387</v>
      </c>
      <c r="G101" s="206" t="n">
        <f aca="false">G99+G100</f>
        <v>4052238.80505882</v>
      </c>
      <c r="H101" s="206" t="n">
        <f aca="false">H99+H100</f>
        <v>4898437.38282803</v>
      </c>
      <c r="I101" s="206" t="n">
        <f aca="false">I99+I100</f>
        <v>5743985.64961152</v>
      </c>
      <c r="J101" s="206" t="n">
        <f aca="false">J99+J100</f>
        <v>6588883.60540928</v>
      </c>
      <c r="K101" s="206" t="n">
        <f aca="false">K99+K100</f>
        <v>7433131.25022131</v>
      </c>
      <c r="L101" s="206" t="n">
        <f aca="false">L99+L100</f>
        <v>8276728.58404762</v>
      </c>
      <c r="M101" s="206" t="n">
        <f aca="false">M99+M100</f>
        <v>9119675.60688819</v>
      </c>
      <c r="N101" s="206" t="n">
        <f aca="false">N99+N100</f>
        <v>9961972.31874304</v>
      </c>
      <c r="O101" s="206" t="n">
        <f aca="false">O99+O100</f>
        <v>10803618.7196122</v>
      </c>
      <c r="P101" s="206" t="n">
        <f aca="false">P99+P100</f>
        <v>11644614.8094956</v>
      </c>
      <c r="Q101" s="206" t="n">
        <f aca="false">Q99+Q100</f>
        <v>12484960.5883932</v>
      </c>
      <c r="R101" s="206" t="n">
        <f aca="false">R99+R100</f>
        <v>13324656.0563052</v>
      </c>
      <c r="S101" s="206" t="n">
        <f aca="false">S99+S100</f>
        <v>14163701.2132314</v>
      </c>
      <c r="T101" s="206" t="n">
        <f aca="false">T99+T100</f>
        <v>15002096.0591718</v>
      </c>
      <c r="U101" s="206" t="n">
        <f aca="false">U99+U100</f>
        <v>15839840.5941266</v>
      </c>
      <c r="V101" s="206" t="n">
        <f aca="false">V99+V100</f>
        <v>16676934.8180956</v>
      </c>
      <c r="W101" s="206" t="n">
        <f aca="false">W99+W100</f>
        <v>17513378.7310789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655088.58525312</v>
      </c>
      <c r="F104" s="209" t="n">
        <f aca="false">-F95-F96</f>
        <v>649235.786381568</v>
      </c>
      <c r="G104" s="209" t="n">
        <f aca="false">-G95-G96</f>
        <v>643382.987510016</v>
      </c>
      <c r="H104" s="209" t="n">
        <f aca="false">-H95-H96</f>
        <v>637530.188638464</v>
      </c>
      <c r="I104" s="209" t="n">
        <f aca="false">-I95-I96</f>
        <v>631677.389766912</v>
      </c>
      <c r="J104" s="209" t="n">
        <f aca="false">-J95-J96</f>
        <v>625824.59089536</v>
      </c>
      <c r="K104" s="209" t="n">
        <f aca="false">-K95-K96</f>
        <v>619971.792023808</v>
      </c>
      <c r="L104" s="209" t="n">
        <f aca="false">-L95-L96</f>
        <v>614118.993152256</v>
      </c>
      <c r="M104" s="209" t="n">
        <f aca="false">-M95-M96</f>
        <v>608266.194280704</v>
      </c>
      <c r="N104" s="209" t="n">
        <f aca="false">-N95-N96</f>
        <v>602413.395409152</v>
      </c>
      <c r="O104" s="209" t="n">
        <f aca="false">-O95-O96</f>
        <v>596560.5965376</v>
      </c>
      <c r="P104" s="209" t="n">
        <f aca="false">-P95-P96</f>
        <v>590707.797666048</v>
      </c>
      <c r="Q104" s="209" t="n">
        <f aca="false">-Q95-Q96</f>
        <v>584854.998794496</v>
      </c>
      <c r="R104" s="209" t="n">
        <f aca="false">-R95-R96</f>
        <v>579002.199922944</v>
      </c>
      <c r="S104" s="209" t="n">
        <f aca="false">-S95-S96</f>
        <v>573149.401051392</v>
      </c>
      <c r="T104" s="209" t="n">
        <f aca="false">-T95-T96</f>
        <v>567296.60217984</v>
      </c>
      <c r="U104" s="209" t="n">
        <f aca="false">-U95-U96</f>
        <v>561443.803308288</v>
      </c>
      <c r="V104" s="209" t="n">
        <f aca="false">-V95-V96</f>
        <v>555591.004436736</v>
      </c>
      <c r="W104" s="209" t="n">
        <f aca="false">-W95-W96</f>
        <v>549738.205565184</v>
      </c>
      <c r="X104" s="209" t="n">
        <f aca="false">-X95-X96</f>
        <v>17513378.7310789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0.220224483246705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-2399583.7941632</v>
      </c>
      <c r="E106" s="209" t="n">
        <f aca="false">E85</f>
        <v>721373.09597952</v>
      </c>
      <c r="F106" s="209" t="n">
        <f aca="false">F85-F96</f>
        <v>714869.98612224</v>
      </c>
      <c r="G106" s="209" t="n">
        <f aca="false">G85-G96</f>
        <v>708366.87626496</v>
      </c>
      <c r="H106" s="209" t="n">
        <f aca="false">H85-H96</f>
        <v>701863.76640768</v>
      </c>
      <c r="I106" s="209" t="n">
        <f aca="false">I85-I96</f>
        <v>695360.6565504</v>
      </c>
      <c r="J106" s="209" t="n">
        <f aca="false">J85-J96</f>
        <v>688857.54669312</v>
      </c>
      <c r="K106" s="209" t="n">
        <f aca="false">K85-K96</f>
        <v>682354.43683584</v>
      </c>
      <c r="L106" s="209" t="n">
        <f aca="false">L85-L96</f>
        <v>675851.32697856</v>
      </c>
      <c r="M106" s="209" t="n">
        <f aca="false">M85-M96</f>
        <v>669348.21712128</v>
      </c>
      <c r="N106" s="209" t="n">
        <f aca="false">N85-N96</f>
        <v>662845.107264</v>
      </c>
      <c r="O106" s="209" t="n">
        <f aca="false">O85-O96</f>
        <v>656341.99740672</v>
      </c>
      <c r="P106" s="209" t="n">
        <f aca="false">P85-P96</f>
        <v>649838.88754944</v>
      </c>
      <c r="Q106" s="209" t="n">
        <f aca="false">Q85-Q96</f>
        <v>643335.77769216</v>
      </c>
      <c r="R106" s="209" t="n">
        <f aca="false">R85-R96</f>
        <v>636832.66783488</v>
      </c>
      <c r="S106" s="209" t="n">
        <f aca="false">S85-S96</f>
        <v>630329.5579776</v>
      </c>
      <c r="T106" s="209" t="n">
        <f aca="false">T85-T96</f>
        <v>623826.44812032</v>
      </c>
      <c r="U106" s="209" t="n">
        <f aca="false">U85-U96</f>
        <v>617323.33826304</v>
      </c>
      <c r="V106" s="209" t="n">
        <f aca="false">V85-V96</f>
        <v>610820.228405759</v>
      </c>
      <c r="W106" s="209" t="n">
        <f aca="false">W85-W96</f>
        <v>604317.11854848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0.289339958016354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12509840</v>
      </c>
      <c r="F109" s="206" t="n">
        <f aca="false">E109+F93</f>
        <v>12509840</v>
      </c>
      <c r="G109" s="206" t="n">
        <f aca="false">F109+G93</f>
        <v>12509840</v>
      </c>
      <c r="H109" s="206" t="n">
        <f aca="false">G109+H93</f>
        <v>12509840</v>
      </c>
      <c r="I109" s="206" t="n">
        <f aca="false">H109+I93</f>
        <v>12509840</v>
      </c>
      <c r="J109" s="206" t="n">
        <f aca="false">I109+J93</f>
        <v>12509840</v>
      </c>
      <c r="K109" s="206" t="n">
        <f aca="false">J109+K93</f>
        <v>12509840</v>
      </c>
      <c r="L109" s="206" t="n">
        <f aca="false">K109+L93</f>
        <v>12509840</v>
      </c>
      <c r="M109" s="206" t="n">
        <f aca="false">L109+M93</f>
        <v>12509840</v>
      </c>
      <c r="N109" s="206" t="n">
        <f aca="false">M109+N93</f>
        <v>12509840</v>
      </c>
      <c r="O109" s="206" t="n">
        <f aca="false">N109+O93</f>
        <v>12509840</v>
      </c>
      <c r="P109" s="206" t="n">
        <f aca="false">O109+P93</f>
        <v>12509840</v>
      </c>
      <c r="Q109" s="206" t="n">
        <f aca="false">P109+Q93</f>
        <v>12509840</v>
      </c>
      <c r="R109" s="206" t="n">
        <f aca="false">Q109+R93</f>
        <v>12509840</v>
      </c>
      <c r="S109" s="206" t="n">
        <f aca="false">R109+S93</f>
        <v>12509840</v>
      </c>
      <c r="T109" s="206" t="n">
        <f aca="false">S109+T93</f>
        <v>12509840</v>
      </c>
      <c r="U109" s="206" t="n">
        <f aca="false">T109+U93</f>
        <v>12509840</v>
      </c>
      <c r="V109" s="206" t="n">
        <f aca="false">U109+V93</f>
        <v>12509840</v>
      </c>
      <c r="W109" s="206" t="n">
        <f aca="false">V109+W93</f>
        <v>12509840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-258466.9224192</v>
      </c>
      <c r="E54" s="170" t="n">
        <f aca="false">-(E64+E67+E68+E71+E72+E73+E74)*0.2</f>
        <v>-256841.14495488</v>
      </c>
      <c r="F54" s="170" t="n">
        <f aca="false">-(F64+F67+F68+F71+F72+F73+F74)*0.2</f>
        <v>-255215.36749056</v>
      </c>
      <c r="G54" s="170" t="n">
        <f aca="false">-(G64+G67+G68+G71+G72+G73+G74)*0.2</f>
        <v>-253589.59002624</v>
      </c>
      <c r="H54" s="170" t="n">
        <f aca="false">-(H64+H67+H68+H71+H72+H73+H74)*0.2</f>
        <v>-251963.81256192</v>
      </c>
      <c r="I54" s="170" t="n">
        <f aca="false">-(I64+I67+I68+I71+I72+I73+I74)*0.2</f>
        <v>-250338.0350976</v>
      </c>
      <c r="J54" s="170" t="n">
        <f aca="false">-(J64+J67+J68+J71+J72+J73+J74)*0.2</f>
        <v>-248712.25763328</v>
      </c>
      <c r="K54" s="170" t="n">
        <f aca="false">-(K64+K67+K68+K71+K72+K73+K74)*0.2</f>
        <v>-247086.48016896</v>
      </c>
      <c r="L54" s="170" t="n">
        <f aca="false">-(L64+L67+L68+L71+L72+L73+L74)*0.2</f>
        <v>-245460.70270464</v>
      </c>
      <c r="M54" s="170" t="n">
        <f aca="false">-(M64+M67+M68+M71+M72+M73+M74)*0.2</f>
        <v>-243834.92524032</v>
      </c>
      <c r="N54" s="170" t="n">
        <f aca="false">-(N64+N67+N68+N71+N72+N73+N74)*0.2</f>
        <v>-242209.147776</v>
      </c>
      <c r="O54" s="170" t="n">
        <f aca="false">-(O64+O67+O68+O71+O72+O73+O74)*0.2</f>
        <v>-240583.37031168</v>
      </c>
      <c r="P54" s="170" t="n">
        <f aca="false">-(P64+P67+P68+P71+P72+P73+P74)*0.2</f>
        <v>-238957.59284736</v>
      </c>
      <c r="Q54" s="170" t="n">
        <f aca="false">-(Q64+Q67+Q68+Q71+Q72+Q73+Q74)*0.2</f>
        <v>-237331.81538304</v>
      </c>
      <c r="R54" s="170" t="n">
        <f aca="false">-(R64+R67+R68+R71+R72+R73+R74)*0.2</f>
        <v>-235706.03791872</v>
      </c>
      <c r="S54" s="170" t="n">
        <f aca="false">-(S64+S67+S68+S71+S72+S73+S74)*0.2</f>
        <v>-234080.2604544</v>
      </c>
      <c r="T54" s="170" t="n">
        <f aca="false">-(T64+T67+T68+T71+T72+T73+T74)*0.2</f>
        <v>-232454.48299008</v>
      </c>
      <c r="U54" s="170" t="n">
        <f aca="false">-(U64+U67+U68+U71+U72+U73+U74)*0.2</f>
        <v>-230828.70552576</v>
      </c>
      <c r="V54" s="170" t="n">
        <f aca="false">-(V64+V67+V68+V71+V72+V73+V74)*0.2</f>
        <v>-229202.92806144</v>
      </c>
      <c r="W54" s="170" t="n">
        <f aca="false">-(W64+W67+W68+W71+W72+W73+W74)*0.2</f>
        <v>-227577.15059712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1753432.6896768</v>
      </c>
      <c r="E55" s="175" t="n">
        <f aca="false">SUM(E41:E54)</f>
        <v>1746929.57981952</v>
      </c>
      <c r="F55" s="175" t="n">
        <f aca="false">SUM(F41:F54)</f>
        <v>1740426.46996224</v>
      </c>
      <c r="G55" s="175" t="n">
        <f aca="false">SUM(G41:G54)</f>
        <v>1733923.36010496</v>
      </c>
      <c r="H55" s="175" t="n">
        <f aca="false">SUM(H41:H54)</f>
        <v>1727420.25024768</v>
      </c>
      <c r="I55" s="175" t="n">
        <f aca="false">SUM(I41:I54)</f>
        <v>1720917.1403904</v>
      </c>
      <c r="J55" s="175" t="n">
        <f aca="false">SUM(J41:J54)</f>
        <v>1714414.03053312</v>
      </c>
      <c r="K55" s="175" t="n">
        <f aca="false">SUM(K41:K54)</f>
        <v>1707910.92067584</v>
      </c>
      <c r="L55" s="175" t="n">
        <f aca="false">SUM(L41:L54)</f>
        <v>1701407.81081856</v>
      </c>
      <c r="M55" s="175" t="n">
        <f aca="false">SUM(M41:M54)</f>
        <v>1694904.70096128</v>
      </c>
      <c r="N55" s="175" t="n">
        <f aca="false">SUM(N41:N54)</f>
        <v>1688401.591104</v>
      </c>
      <c r="O55" s="175" t="n">
        <f aca="false">SUM(O41:O54)</f>
        <v>1681898.48124672</v>
      </c>
      <c r="P55" s="175" t="n">
        <f aca="false">SUM(P41:P54)</f>
        <v>1675395.37138944</v>
      </c>
      <c r="Q55" s="175" t="n">
        <f aca="false">SUM(Q41:Q54)</f>
        <v>1668892.26153216</v>
      </c>
      <c r="R55" s="175" t="n">
        <f aca="false">SUM(R41:R54)</f>
        <v>1662389.15167488</v>
      </c>
      <c r="S55" s="175" t="n">
        <f aca="false">SUM(S41:S54)</f>
        <v>1655886.0418176</v>
      </c>
      <c r="T55" s="175" t="n">
        <f aca="false">SUM(T41:T54)</f>
        <v>1649382.93196032</v>
      </c>
      <c r="U55" s="175" t="n">
        <f aca="false">SUM(U41:U54)</f>
        <v>1642879.82210304</v>
      </c>
      <c r="V55" s="175" t="n">
        <f aca="false">SUM(V41:V54)</f>
        <v>1636376.71224576</v>
      </c>
      <c r="W55" s="175" t="n">
        <f aca="false">SUM(W41:W54)</f>
        <v>1629873.60238848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-12637867.3103232</v>
      </c>
      <c r="E56" s="180" t="n">
        <f aca="false">D56+E55</f>
        <v>-10890937.7305037</v>
      </c>
      <c r="F56" s="180" t="n">
        <f aca="false">E56+F55</f>
        <v>-9150511.26054144</v>
      </c>
      <c r="G56" s="180" t="n">
        <f aca="false">F56+G55</f>
        <v>-7416587.90043648</v>
      </c>
      <c r="H56" s="180" t="n">
        <f aca="false">G56+H55</f>
        <v>-5689167.6501888</v>
      </c>
      <c r="I56" s="180" t="n">
        <f aca="false">H56+I55</f>
        <v>-3968250.5097984</v>
      </c>
      <c r="J56" s="180" t="n">
        <f aca="false">I56+J55</f>
        <v>-2253836.47926528</v>
      </c>
      <c r="K56" s="180" t="n">
        <f aca="false">J56+K55</f>
        <v>-545925.558589444</v>
      </c>
      <c r="L56" s="180" t="n">
        <f aca="false">K56+L55</f>
        <v>1155482.25222912</v>
      </c>
      <c r="M56" s="180" t="n">
        <f aca="false">L56+M55</f>
        <v>2850386.9531904</v>
      </c>
      <c r="N56" s="180" t="n">
        <f aca="false">M56+N55</f>
        <v>4538788.5442944</v>
      </c>
      <c r="O56" s="180" t="n">
        <f aca="false">N56+O55</f>
        <v>6220687.02554112</v>
      </c>
      <c r="P56" s="180" t="n">
        <f aca="false">O56+P55</f>
        <v>7896082.39693056</v>
      </c>
      <c r="Q56" s="180" t="n">
        <f aca="false">P56+Q55</f>
        <v>9564974.65846271</v>
      </c>
      <c r="R56" s="180" t="n">
        <f aca="false">Q56+R55</f>
        <v>11227363.8101376</v>
      </c>
      <c r="S56" s="180" t="n">
        <f aca="false">R56+S55</f>
        <v>12883249.8519552</v>
      </c>
      <c r="T56" s="180" t="n">
        <f aca="false">S56+T55</f>
        <v>14532632.7839155</v>
      </c>
      <c r="U56" s="180" t="n">
        <f aca="false">T56+U55</f>
        <v>16175512.6060186</v>
      </c>
      <c r="V56" s="180" t="n">
        <f aca="false">U56+V55</f>
        <v>17811889.3182643</v>
      </c>
      <c r="W56" s="180" t="n">
        <f aca="false">V56+W55</f>
        <v>19441762.9206528</v>
      </c>
      <c r="X56" s="180" t="n">
        <f aca="false">W56+X55</f>
        <v>19441762.9206528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回收</v>
      </c>
      <c r="M57" s="184" t="str">
        <f aca="false">IF((M56)&gt;0,"回收","未回收")</f>
        <v>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0.101817032858521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-294676.2588</v>
      </c>
      <c r="F70" s="170" t="n">
        <f aca="false">-F109*$D25</f>
        <v>-294676.2588</v>
      </c>
      <c r="G70" s="170" t="n">
        <f aca="false">-G109*$D25</f>
        <v>-294676.2588</v>
      </c>
      <c r="H70" s="170" t="n">
        <f aca="false">-H109*$D25</f>
        <v>-294676.2588</v>
      </c>
      <c r="I70" s="170" t="n">
        <f aca="false">-I109*$D25</f>
        <v>-294676.2588</v>
      </c>
      <c r="J70" s="170" t="n">
        <f aca="false">-J109*$D25</f>
        <v>-294676.2588</v>
      </c>
      <c r="K70" s="170" t="n">
        <f aca="false">-K109*$D25</f>
        <v>-294676.2588</v>
      </c>
      <c r="L70" s="170" t="n">
        <f aca="false">-L109*$D25</f>
        <v>-294676.2588</v>
      </c>
      <c r="M70" s="170" t="n">
        <f aca="false">-M109*$D25</f>
        <v>-294676.2588</v>
      </c>
      <c r="N70" s="170" t="n">
        <f aca="false">-N109*$D25</f>
        <v>-294676.2588</v>
      </c>
      <c r="O70" s="170" t="n">
        <f aca="false">-O109*$D25</f>
        <v>-294676.2588</v>
      </c>
      <c r="P70" s="170" t="n">
        <f aca="false">-P109*$D25</f>
        <v>-294676.2588</v>
      </c>
      <c r="Q70" s="170" t="n">
        <f aca="false">-Q109*$D25</f>
        <v>-294676.2588</v>
      </c>
      <c r="R70" s="170" t="n">
        <f aca="false">-R109*$D25</f>
        <v>-294676.2588</v>
      </c>
      <c r="S70" s="170" t="n">
        <f aca="false">-S109*$D25</f>
        <v>-294676.2588</v>
      </c>
      <c r="T70" s="170" t="n">
        <f aca="false">-T109*$D25</f>
        <v>-294676.2588</v>
      </c>
      <c r="U70" s="170" t="n">
        <f aca="false">-U109*$D25</f>
        <v>-294676.2588</v>
      </c>
      <c r="V70" s="170" t="n">
        <f aca="false">-V109*$D25</f>
        <v>-294676.2588</v>
      </c>
      <c r="W70" s="170" t="n">
        <f aca="false">-W109*$D25</f>
        <v>-294676.2588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997658.353296</v>
      </c>
      <c r="E76" s="175" t="n">
        <f aca="false">SUM(E64:E75)</f>
        <v>989529.4659744</v>
      </c>
      <c r="F76" s="175" t="n">
        <f aca="false">SUM(F64:F75)</f>
        <v>981400.5786528</v>
      </c>
      <c r="G76" s="175" t="n">
        <f aca="false">SUM(G64:G75)</f>
        <v>973271.6913312</v>
      </c>
      <c r="H76" s="175" t="n">
        <f aca="false">SUM(H64:H75)</f>
        <v>965142.8040096</v>
      </c>
      <c r="I76" s="175" t="n">
        <f aca="false">SUM(I64:I75)</f>
        <v>957013.916688</v>
      </c>
      <c r="J76" s="175" t="n">
        <f aca="false">SUM(J64:J75)</f>
        <v>948885.0293664</v>
      </c>
      <c r="K76" s="175" t="n">
        <f aca="false">SUM(K64:K75)</f>
        <v>940756.1420448</v>
      </c>
      <c r="L76" s="175" t="n">
        <f aca="false">SUM(L64:L75)</f>
        <v>932627.2547232</v>
      </c>
      <c r="M76" s="175" t="n">
        <f aca="false">SUM(M64:M75)</f>
        <v>924498.3674016</v>
      </c>
      <c r="N76" s="175" t="n">
        <f aca="false">SUM(N64:N75)</f>
        <v>916369.48008</v>
      </c>
      <c r="O76" s="175" t="n">
        <f aca="false">SUM(O64:O75)</f>
        <v>908240.5927584</v>
      </c>
      <c r="P76" s="175" t="n">
        <f aca="false">SUM(P64:P75)</f>
        <v>900111.7054368</v>
      </c>
      <c r="Q76" s="175" t="n">
        <f aca="false">SUM(Q64:Q75)</f>
        <v>891982.8181152</v>
      </c>
      <c r="R76" s="175" t="n">
        <f aca="false">SUM(R64:R75)</f>
        <v>883853.9307936</v>
      </c>
      <c r="S76" s="175" t="n">
        <f aca="false">SUM(S64:S75)</f>
        <v>875725.043472</v>
      </c>
      <c r="T76" s="175" t="n">
        <f aca="false">SUM(T64:T75)</f>
        <v>867596.1561504</v>
      </c>
      <c r="U76" s="175" t="n">
        <f aca="false">SUM(U64:U75)</f>
        <v>859467.2688288</v>
      </c>
      <c r="V76" s="175" t="n">
        <f aca="false">SUM(V64:V75)</f>
        <v>851338.3815072</v>
      </c>
      <c r="W76" s="175" t="n">
        <f aca="false">SUM(W64:W75)</f>
        <v>843209.4941856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-199531.6706592</v>
      </c>
      <c r="E77" s="170" t="n">
        <f aca="false">-E76*0.2</f>
        <v>-197905.89319488</v>
      </c>
      <c r="F77" s="170" t="n">
        <f aca="false">-F76*0.2</f>
        <v>-196280.11573056</v>
      </c>
      <c r="G77" s="170" t="n">
        <f aca="false">-G76*0.2</f>
        <v>-194654.33826624</v>
      </c>
      <c r="H77" s="170" t="n">
        <f aca="false">-H76*0.2</f>
        <v>-193028.56080192</v>
      </c>
      <c r="I77" s="170" t="n">
        <f aca="false">-I76*0.2</f>
        <v>-191402.7833376</v>
      </c>
      <c r="J77" s="170" t="n">
        <f aca="false">-J76*0.2</f>
        <v>-189777.00587328</v>
      </c>
      <c r="K77" s="170" t="n">
        <f aca="false">-K76*0.2</f>
        <v>-188151.22840896</v>
      </c>
      <c r="L77" s="170" t="n">
        <f aca="false">-L76*0.2</f>
        <v>-186525.45094464</v>
      </c>
      <c r="M77" s="170" t="n">
        <f aca="false">-M76*0.2</f>
        <v>-184899.67348032</v>
      </c>
      <c r="N77" s="170" t="n">
        <f aca="false">-N76*0.2</f>
        <v>-183273.896016</v>
      </c>
      <c r="O77" s="170" t="n">
        <f aca="false">-O76*0.2</f>
        <v>-181648.11855168</v>
      </c>
      <c r="P77" s="170" t="n">
        <f aca="false">-P76*0.2</f>
        <v>-180022.34108736</v>
      </c>
      <c r="Q77" s="170" t="n">
        <f aca="false">-Q76*0.2</f>
        <v>-178396.56362304</v>
      </c>
      <c r="R77" s="170" t="n">
        <f aca="false">-R76*0.2</f>
        <v>-176770.78615872</v>
      </c>
      <c r="S77" s="170" t="n">
        <f aca="false">-S76*0.2</f>
        <v>-175145.0086944</v>
      </c>
      <c r="T77" s="170" t="n">
        <f aca="false">-T76*0.2</f>
        <v>-173519.23123008</v>
      </c>
      <c r="U77" s="170" t="n">
        <f aca="false">-U76*0.2</f>
        <v>-171893.45376576</v>
      </c>
      <c r="V77" s="170" t="n">
        <f aca="false">-V76*0.2</f>
        <v>-170267.67630144</v>
      </c>
      <c r="W77" s="170" t="n">
        <f aca="false">-W76*0.2</f>
        <v>-168641.89883712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798126.6826368</v>
      </c>
      <c r="E78" s="170" t="n">
        <f aca="false">SUM(E76:E77)</f>
        <v>791623.57277952</v>
      </c>
      <c r="F78" s="170" t="n">
        <f aca="false">SUM(F76:F77)</f>
        <v>785120.46292224</v>
      </c>
      <c r="G78" s="170" t="n">
        <f aca="false">SUM(G76:G77)</f>
        <v>778617.35306496</v>
      </c>
      <c r="H78" s="170" t="n">
        <f aca="false">SUM(H76:H77)</f>
        <v>772114.24320768</v>
      </c>
      <c r="I78" s="170" t="n">
        <f aca="false">SUM(I76:I77)</f>
        <v>765611.1333504</v>
      </c>
      <c r="J78" s="170" t="n">
        <f aca="false">SUM(J76:J77)</f>
        <v>759108.02349312</v>
      </c>
      <c r="K78" s="170" t="n">
        <f aca="false">SUM(K76:K77)</f>
        <v>752604.91363584</v>
      </c>
      <c r="L78" s="170" t="n">
        <f aca="false">SUM(L76:L77)</f>
        <v>746101.80377856</v>
      </c>
      <c r="M78" s="170" t="n">
        <f aca="false">SUM(M76:M77)</f>
        <v>739598.69392128</v>
      </c>
      <c r="N78" s="170" t="n">
        <f aca="false">SUM(N76:N77)</f>
        <v>733095.584064</v>
      </c>
      <c r="O78" s="170" t="n">
        <f aca="false">SUM(O76:O77)</f>
        <v>726592.47420672</v>
      </c>
      <c r="P78" s="170" t="n">
        <f aca="false">SUM(P76:P77)</f>
        <v>720089.36434944</v>
      </c>
      <c r="Q78" s="170" t="n">
        <f aca="false">SUM(Q76:Q77)</f>
        <v>713586.25449216</v>
      </c>
      <c r="R78" s="170" t="n">
        <f aca="false">SUM(R76:R77)</f>
        <v>707083.14463488</v>
      </c>
      <c r="S78" s="170" t="n">
        <f aca="false">SUM(S76:S77)</f>
        <v>700580.0347776</v>
      </c>
      <c r="T78" s="170" t="n">
        <f aca="false">SUM(T76:T77)</f>
        <v>694076.92492032</v>
      </c>
      <c r="U78" s="170" t="n">
        <f aca="false">SUM(U76:U77)</f>
        <v>687573.81506304</v>
      </c>
      <c r="V78" s="170" t="n">
        <f aca="false">SUM(V76:V77)</f>
        <v>681070.70520576</v>
      </c>
      <c r="W78" s="170" t="n">
        <f aca="false">SUM(W76:W77)</f>
        <v>674567.59534848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798126.6826368</v>
      </c>
      <c r="E85" s="206" t="n">
        <f aca="false">E78</f>
        <v>791623.57277952</v>
      </c>
      <c r="F85" s="206" t="n">
        <f aca="false">F78</f>
        <v>785120.46292224</v>
      </c>
      <c r="G85" s="206" t="n">
        <f aca="false">G78</f>
        <v>778617.35306496</v>
      </c>
      <c r="H85" s="206" t="n">
        <f aca="false">H78</f>
        <v>772114.24320768</v>
      </c>
      <c r="I85" s="206" t="n">
        <f aca="false">I78</f>
        <v>765611.1333504</v>
      </c>
      <c r="J85" s="206" t="n">
        <f aca="false">J78</f>
        <v>759108.02349312</v>
      </c>
      <c r="K85" s="206" t="n">
        <f aca="false">K78</f>
        <v>752604.91363584</v>
      </c>
      <c r="L85" s="206" t="n">
        <f aca="false">L78</f>
        <v>746101.80377856</v>
      </c>
      <c r="M85" s="206" t="n">
        <f aca="false">M78</f>
        <v>739598.69392128</v>
      </c>
      <c r="N85" s="206" t="n">
        <f aca="false">N78</f>
        <v>733095.584064</v>
      </c>
      <c r="O85" s="206" t="n">
        <f aca="false">O78</f>
        <v>726592.47420672</v>
      </c>
      <c r="P85" s="206" t="n">
        <f aca="false">P78</f>
        <v>720089.36434944</v>
      </c>
      <c r="Q85" s="206" t="n">
        <f aca="false">Q78</f>
        <v>713586.25449216</v>
      </c>
      <c r="R85" s="206" t="n">
        <f aca="false">R78</f>
        <v>707083.14463488</v>
      </c>
      <c r="S85" s="206" t="n">
        <f aca="false">S78</f>
        <v>700580.0347776</v>
      </c>
      <c r="T85" s="206" t="n">
        <f aca="false">T78</f>
        <v>694076.92492032</v>
      </c>
      <c r="U85" s="206" t="n">
        <f aca="false">U78</f>
        <v>687573.81506304</v>
      </c>
      <c r="V85" s="206" t="n">
        <f aca="false">V78</f>
        <v>681070.70520576</v>
      </c>
      <c r="W85" s="206" t="n">
        <f aca="false">W78</f>
        <v>674567.59534848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1517691.6826368</v>
      </c>
      <c r="E87" s="209" t="n">
        <f aca="false">SUM(E85:E86)</f>
        <v>1511188.57277952</v>
      </c>
      <c r="F87" s="209" t="n">
        <f aca="false">SUM(F85:F86)</f>
        <v>1504685.46292224</v>
      </c>
      <c r="G87" s="209" t="n">
        <f aca="false">SUM(G85:G86)</f>
        <v>1498182.35306496</v>
      </c>
      <c r="H87" s="209" t="n">
        <f aca="false">SUM(H85:H86)</f>
        <v>1491679.24320768</v>
      </c>
      <c r="I87" s="209" t="n">
        <f aca="false">SUM(I85:I86)</f>
        <v>1485176.1333504</v>
      </c>
      <c r="J87" s="209" t="n">
        <f aca="false">SUM(J85:J86)</f>
        <v>1478673.02349312</v>
      </c>
      <c r="K87" s="209" t="n">
        <f aca="false">SUM(K85:K86)</f>
        <v>1472169.91363584</v>
      </c>
      <c r="L87" s="209" t="n">
        <f aca="false">SUM(L85:L86)</f>
        <v>1465666.80377856</v>
      </c>
      <c r="M87" s="209" t="n">
        <f aca="false">SUM(M85:M86)</f>
        <v>1459163.69392128</v>
      </c>
      <c r="N87" s="209" t="n">
        <f aca="false">SUM(N85:N86)</f>
        <v>1452660.584064</v>
      </c>
      <c r="O87" s="209" t="n">
        <f aca="false">SUM(O85:O86)</f>
        <v>1446157.47420672</v>
      </c>
      <c r="P87" s="209" t="n">
        <f aca="false">SUM(P85:P86)</f>
        <v>1439654.36434944</v>
      </c>
      <c r="Q87" s="209" t="n">
        <f aca="false">SUM(Q85:Q86)</f>
        <v>1433151.25449216</v>
      </c>
      <c r="R87" s="209" t="n">
        <f aca="false">SUM(R85:R86)</f>
        <v>1426648.14463488</v>
      </c>
      <c r="S87" s="209" t="n">
        <f aca="false">SUM(S85:S86)</f>
        <v>1420145.0347776</v>
      </c>
      <c r="T87" s="209" t="n">
        <f aca="false">SUM(T85:T86)</f>
        <v>1413641.92492032</v>
      </c>
      <c r="U87" s="209" t="n">
        <f aca="false">SUM(U85:U86)</f>
        <v>1407138.81506304</v>
      </c>
      <c r="V87" s="209" t="n">
        <f aca="false">SUM(V85:V86)</f>
        <v>1400635.70520576</v>
      </c>
      <c r="W87" s="209" t="n">
        <f aca="false">SUM(W85:W86)</f>
        <v>1394132.59534848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-718314.01437312</v>
      </c>
      <c r="F95" s="216" t="n">
        <f aca="false">-E85*$D$33</f>
        <v>-712461.215501568</v>
      </c>
      <c r="G95" s="216" t="n">
        <f aca="false">-F85*$D$33</f>
        <v>-706608.416630016</v>
      </c>
      <c r="H95" s="216" t="n">
        <f aca="false">-G85*$D$33</f>
        <v>-700755.617758464</v>
      </c>
      <c r="I95" s="216" t="n">
        <f aca="false">-H85*$D$33</f>
        <v>-694902.818886912</v>
      </c>
      <c r="J95" s="216" t="n">
        <f aca="false">-I85*$D$33</f>
        <v>-689050.02001536</v>
      </c>
      <c r="K95" s="216" t="n">
        <f aca="false">-J85*$D$33</f>
        <v>-683197.221143808</v>
      </c>
      <c r="L95" s="216" t="n">
        <f aca="false">-K85*$D$33</f>
        <v>-677344.422272256</v>
      </c>
      <c r="M95" s="216" t="n">
        <f aca="false">-L85*$D$33</f>
        <v>-671491.623400704</v>
      </c>
      <c r="N95" s="216" t="n">
        <f aca="false">-M85*$D$33</f>
        <v>-665638.824529152</v>
      </c>
      <c r="O95" s="216" t="n">
        <f aca="false">-N85*$D$33</f>
        <v>-659786.0256576</v>
      </c>
      <c r="P95" s="216" t="n">
        <f aca="false">-O85*$D$33</f>
        <v>-653933.226786048</v>
      </c>
      <c r="Q95" s="216" t="n">
        <f aca="false">-P85*$D$33</f>
        <v>-648080.427914496</v>
      </c>
      <c r="R95" s="216" t="n">
        <f aca="false">-Q85*$D$33</f>
        <v>-642227.629042944</v>
      </c>
      <c r="S95" s="216" t="n">
        <f aca="false">-R85*$D$33</f>
        <v>-636374.830171392</v>
      </c>
      <c r="T95" s="216" t="n">
        <f aca="false">-S85*$D$33</f>
        <v>-630522.03129984</v>
      </c>
      <c r="U95" s="216" t="n">
        <f aca="false">-T85*$D$33</f>
        <v>-624669.232428288</v>
      </c>
      <c r="V95" s="216" t="n">
        <f aca="false">-U85*$D$33</f>
        <v>-618816.433556736</v>
      </c>
      <c r="W95" s="216" t="n">
        <f aca="false">-V85*$D$33</f>
        <v>-612963.634685184</v>
      </c>
      <c r="X95" s="216" t="n">
        <f aca="false">-W85*$D$33</f>
        <v>-607110.835813632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-15863994.2779853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1517691.6826368</v>
      </c>
      <c r="E99" s="206" t="n">
        <f aca="false">SUM(E87:E96)</f>
        <v>792874.5584064</v>
      </c>
      <c r="F99" s="206" t="n">
        <f aca="false">SUM(F87:F96)</f>
        <v>792224.247420672</v>
      </c>
      <c r="G99" s="206" t="n">
        <f aca="false">SUM(G87:G96)</f>
        <v>791573.936434944</v>
      </c>
      <c r="H99" s="206" t="n">
        <f aca="false">SUM(H87:H96)</f>
        <v>790923.625449216</v>
      </c>
      <c r="I99" s="206" t="n">
        <f aca="false">SUM(I87:I96)</f>
        <v>790273.314463488</v>
      </c>
      <c r="J99" s="206" t="n">
        <f aca="false">SUM(J87:J96)</f>
        <v>789623.00347776</v>
      </c>
      <c r="K99" s="206" t="n">
        <f aca="false">SUM(K87:K96)</f>
        <v>788972.692492032</v>
      </c>
      <c r="L99" s="206" t="n">
        <f aca="false">SUM(L87:L96)</f>
        <v>788322.381506304</v>
      </c>
      <c r="M99" s="206" t="n">
        <f aca="false">SUM(M87:M96)</f>
        <v>787672.070520576</v>
      </c>
      <c r="N99" s="206" t="n">
        <f aca="false">SUM(N87:N96)</f>
        <v>787021.759534848</v>
      </c>
      <c r="O99" s="206" t="n">
        <f aca="false">SUM(O87:O96)</f>
        <v>786371.44854912</v>
      </c>
      <c r="P99" s="206" t="n">
        <f aca="false">SUM(P87:P96)</f>
        <v>785721.137563392</v>
      </c>
      <c r="Q99" s="206" t="n">
        <f aca="false">SUM(Q87:Q96)</f>
        <v>785070.826577664</v>
      </c>
      <c r="R99" s="206" t="n">
        <f aca="false">SUM(R87:R96)</f>
        <v>784420.515591936</v>
      </c>
      <c r="S99" s="206" t="n">
        <f aca="false">SUM(S87:S96)</f>
        <v>783770.204606208</v>
      </c>
      <c r="T99" s="206" t="n">
        <f aca="false">SUM(T87:T96)</f>
        <v>783119.89362048</v>
      </c>
      <c r="U99" s="206" t="n">
        <f aca="false">SUM(U87:U96)</f>
        <v>782469.582634752</v>
      </c>
      <c r="V99" s="206" t="n">
        <f aca="false">SUM(V87:V96)</f>
        <v>781819.271649024</v>
      </c>
      <c r="W99" s="206" t="n">
        <f aca="false">SUM(W87:W96)</f>
        <v>781168.960663296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1517691.6826368</v>
      </c>
      <c r="F100" s="206" t="n">
        <f aca="false">E101</f>
        <v>2310566.2410432</v>
      </c>
      <c r="G100" s="206" t="n">
        <f aca="false">F101</f>
        <v>3102790.48846387</v>
      </c>
      <c r="H100" s="206" t="n">
        <f aca="false">G101</f>
        <v>3894364.42489882</v>
      </c>
      <c r="I100" s="206" t="n">
        <f aca="false">H101</f>
        <v>4685288.05034803</v>
      </c>
      <c r="J100" s="206" t="n">
        <f aca="false">I101</f>
        <v>5475561.36481152</v>
      </c>
      <c r="K100" s="206" t="n">
        <f aca="false">J101</f>
        <v>6265184.36828928</v>
      </c>
      <c r="L100" s="206" t="n">
        <f aca="false">K101</f>
        <v>7054157.06078131</v>
      </c>
      <c r="M100" s="206" t="n">
        <f aca="false">L101</f>
        <v>7842479.44228762</v>
      </c>
      <c r="N100" s="206" t="n">
        <f aca="false">M101</f>
        <v>8630151.51280819</v>
      </c>
      <c r="O100" s="206" t="n">
        <f aca="false">N101</f>
        <v>9417173.27234304</v>
      </c>
      <c r="P100" s="206" t="n">
        <f aca="false">O101</f>
        <v>10203544.7208922</v>
      </c>
      <c r="Q100" s="206" t="n">
        <f aca="false">P101</f>
        <v>10989265.8584556</v>
      </c>
      <c r="R100" s="206" t="n">
        <f aca="false">Q101</f>
        <v>11774336.6850332</v>
      </c>
      <c r="S100" s="206" t="n">
        <f aca="false">R101</f>
        <v>12558757.2006252</v>
      </c>
      <c r="T100" s="206" t="n">
        <f aca="false">S101</f>
        <v>13342527.4052314</v>
      </c>
      <c r="U100" s="206" t="n">
        <f aca="false">T101</f>
        <v>14125647.2988518</v>
      </c>
      <c r="V100" s="206" t="n">
        <f aca="false">U101</f>
        <v>14908116.8814866</v>
      </c>
      <c r="W100" s="206" t="n">
        <f aca="false">V101</f>
        <v>15689936.1531356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1517691.6826368</v>
      </c>
      <c r="E101" s="206" t="n">
        <f aca="false">E99+E100</f>
        <v>2310566.2410432</v>
      </c>
      <c r="F101" s="206" t="n">
        <f aca="false">F99+F100</f>
        <v>3102790.48846387</v>
      </c>
      <c r="G101" s="206" t="n">
        <f aca="false">G99+G100</f>
        <v>3894364.42489882</v>
      </c>
      <c r="H101" s="206" t="n">
        <f aca="false">H99+H100</f>
        <v>4685288.05034803</v>
      </c>
      <c r="I101" s="206" t="n">
        <f aca="false">I99+I100</f>
        <v>5475561.36481152</v>
      </c>
      <c r="J101" s="206" t="n">
        <f aca="false">J99+J100</f>
        <v>6265184.36828928</v>
      </c>
      <c r="K101" s="206" t="n">
        <f aca="false">K99+K100</f>
        <v>7054157.06078131</v>
      </c>
      <c r="L101" s="206" t="n">
        <f aca="false">L99+L100</f>
        <v>7842479.44228762</v>
      </c>
      <c r="M101" s="206" t="n">
        <f aca="false">M99+M100</f>
        <v>8630151.51280819</v>
      </c>
      <c r="N101" s="206" t="n">
        <f aca="false">N99+N100</f>
        <v>9417173.27234304</v>
      </c>
      <c r="O101" s="206" t="n">
        <f aca="false">O99+O100</f>
        <v>10203544.7208922</v>
      </c>
      <c r="P101" s="206" t="n">
        <f aca="false">P99+P100</f>
        <v>10989265.8584556</v>
      </c>
      <c r="Q101" s="206" t="n">
        <f aca="false">Q99+Q100</f>
        <v>11774336.6850332</v>
      </c>
      <c r="R101" s="206" t="n">
        <f aca="false">R99+R100</f>
        <v>12558757.2006252</v>
      </c>
      <c r="S101" s="206" t="n">
        <f aca="false">S99+S100</f>
        <v>13342527.4052314</v>
      </c>
      <c r="T101" s="206" t="n">
        <f aca="false">T99+T100</f>
        <v>14125647.2988518</v>
      </c>
      <c r="U101" s="206" t="n">
        <f aca="false">U99+U100</f>
        <v>14908116.8814866</v>
      </c>
      <c r="V101" s="206" t="n">
        <f aca="false">V99+V100</f>
        <v>15689936.1531356</v>
      </c>
      <c r="W101" s="206" t="n">
        <f aca="false">W99+W100</f>
        <v>16471105.1137989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718314.01437312</v>
      </c>
      <c r="F104" s="209" t="n">
        <f aca="false">-F95-F96</f>
        <v>712461.215501568</v>
      </c>
      <c r="G104" s="209" t="n">
        <f aca="false">-G95-G96</f>
        <v>706608.416630016</v>
      </c>
      <c r="H104" s="209" t="n">
        <f aca="false">-H95-H96</f>
        <v>700755.617758464</v>
      </c>
      <c r="I104" s="209" t="n">
        <f aca="false">-I95-I96</f>
        <v>694902.818886912</v>
      </c>
      <c r="J104" s="209" t="n">
        <f aca="false">-J95-J96</f>
        <v>689050.02001536</v>
      </c>
      <c r="K104" s="209" t="n">
        <f aca="false">-K95-K96</f>
        <v>683197.221143808</v>
      </c>
      <c r="L104" s="209" t="n">
        <f aca="false">-L95-L96</f>
        <v>677344.422272256</v>
      </c>
      <c r="M104" s="209" t="n">
        <f aca="false">-M95-M96</f>
        <v>671491.623400704</v>
      </c>
      <c r="N104" s="209" t="n">
        <f aca="false">-N95-N96</f>
        <v>665638.824529152</v>
      </c>
      <c r="O104" s="209" t="n">
        <f aca="false">-O95-O96</f>
        <v>659786.0256576</v>
      </c>
      <c r="P104" s="209" t="n">
        <f aca="false">-P95-P96</f>
        <v>653933.226786048</v>
      </c>
      <c r="Q104" s="209" t="n">
        <f aca="false">-Q95-Q96</f>
        <v>648080.427914496</v>
      </c>
      <c r="R104" s="209" t="n">
        <f aca="false">-R95-R96</f>
        <v>642227.629042944</v>
      </c>
      <c r="S104" s="209" t="n">
        <f aca="false">-S95-S96</f>
        <v>636374.830171392</v>
      </c>
      <c r="T104" s="209" t="n">
        <f aca="false">-T95-T96</f>
        <v>630522.03129984</v>
      </c>
      <c r="U104" s="209" t="n">
        <f aca="false">-U95-U96</f>
        <v>624669.232428288</v>
      </c>
      <c r="V104" s="209" t="n">
        <f aca="false">-V95-V96</f>
        <v>618816.433556736</v>
      </c>
      <c r="W104" s="209" t="n">
        <f aca="false">-W95-W96</f>
        <v>612963.634685184</v>
      </c>
      <c r="X104" s="209" t="n">
        <f aca="false">-X95-X96</f>
        <v>16471105.1137989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0.254473493975188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-2080133.3173632</v>
      </c>
      <c r="E106" s="209" t="n">
        <f aca="false">E85</f>
        <v>791623.57277952</v>
      </c>
      <c r="F106" s="209" t="n">
        <f aca="false">F85-F96</f>
        <v>785120.46292224</v>
      </c>
      <c r="G106" s="209" t="n">
        <f aca="false">G85-G96</f>
        <v>778617.35306496</v>
      </c>
      <c r="H106" s="209" t="n">
        <f aca="false">H85-H96</f>
        <v>772114.24320768</v>
      </c>
      <c r="I106" s="209" t="n">
        <f aca="false">I85-I96</f>
        <v>765611.1333504</v>
      </c>
      <c r="J106" s="209" t="n">
        <f aca="false">J85-J96</f>
        <v>759108.02349312</v>
      </c>
      <c r="K106" s="209" t="n">
        <f aca="false">K85-K96</f>
        <v>752604.91363584</v>
      </c>
      <c r="L106" s="209" t="n">
        <f aca="false">L85-L96</f>
        <v>746101.80377856</v>
      </c>
      <c r="M106" s="209" t="n">
        <f aca="false">M85-M96</f>
        <v>739598.69392128</v>
      </c>
      <c r="N106" s="209" t="n">
        <f aca="false">N85-N96</f>
        <v>733095.584064</v>
      </c>
      <c r="O106" s="209" t="n">
        <f aca="false">O85-O96</f>
        <v>726592.47420672</v>
      </c>
      <c r="P106" s="209" t="n">
        <f aca="false">P85-P96</f>
        <v>720089.36434944</v>
      </c>
      <c r="Q106" s="209" t="n">
        <f aca="false">Q85-Q96</f>
        <v>713586.25449216</v>
      </c>
      <c r="R106" s="209" t="n">
        <f aca="false">R85-R96</f>
        <v>707083.14463488</v>
      </c>
      <c r="S106" s="209" t="n">
        <f aca="false">S85-S96</f>
        <v>700580.0347776</v>
      </c>
      <c r="T106" s="209" t="n">
        <f aca="false">T85-T96</f>
        <v>694076.92492032</v>
      </c>
      <c r="U106" s="209" t="n">
        <f aca="false">U85-U96</f>
        <v>687573.81506304</v>
      </c>
      <c r="V106" s="209" t="n">
        <f aca="false">V85-V96</f>
        <v>681070.70520576</v>
      </c>
      <c r="W106" s="209" t="n">
        <f aca="false">W85-W96</f>
        <v>674567.59534848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0.371370698362321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11513040</v>
      </c>
      <c r="F109" s="206" t="n">
        <f aca="false">E109+F93</f>
        <v>11513040</v>
      </c>
      <c r="G109" s="206" t="n">
        <f aca="false">F109+G93</f>
        <v>11513040</v>
      </c>
      <c r="H109" s="206" t="n">
        <f aca="false">G109+H93</f>
        <v>11513040</v>
      </c>
      <c r="I109" s="206" t="n">
        <f aca="false">H109+I93</f>
        <v>11513040</v>
      </c>
      <c r="J109" s="206" t="n">
        <f aca="false">I109+J93</f>
        <v>11513040</v>
      </c>
      <c r="K109" s="206" t="n">
        <f aca="false">J109+K93</f>
        <v>11513040</v>
      </c>
      <c r="L109" s="206" t="n">
        <f aca="false">K109+L93</f>
        <v>11513040</v>
      </c>
      <c r="M109" s="206" t="n">
        <f aca="false">L109+M93</f>
        <v>11513040</v>
      </c>
      <c r="N109" s="206" t="n">
        <f aca="false">M109+N93</f>
        <v>11513040</v>
      </c>
      <c r="O109" s="206" t="n">
        <f aca="false">N109+O93</f>
        <v>11513040</v>
      </c>
      <c r="P109" s="206" t="n">
        <f aca="false">O109+P93</f>
        <v>11513040</v>
      </c>
      <c r="Q109" s="206" t="n">
        <f aca="false">P109+Q93</f>
        <v>11513040</v>
      </c>
      <c r="R109" s="206" t="n">
        <f aca="false">Q109+R93</f>
        <v>11513040</v>
      </c>
      <c r="S109" s="206" t="n">
        <f aca="false">R109+S93</f>
        <v>11513040</v>
      </c>
      <c r="T109" s="206" t="n">
        <f aca="false">S109+T93</f>
        <v>11513040</v>
      </c>
      <c r="U109" s="206" t="n">
        <f aca="false">T109+U93</f>
        <v>11513040</v>
      </c>
      <c r="V109" s="206" t="n">
        <f aca="false">U109+V93</f>
        <v>11513040</v>
      </c>
      <c r="W109" s="206" t="n">
        <f aca="false">V109+W93</f>
        <v>11513040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2026-03-17T15:26:29Z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