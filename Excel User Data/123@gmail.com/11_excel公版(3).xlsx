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p12" sheetId="14" state="visible" r:id="rId16"/>
    <sheet name="p13" sheetId="15" state="visible" r:id="rId17"/>
    <sheet name="p14" sheetId="16" state="visible" r:id="rId18"/>
    <sheet name="p15" sheetId="17" state="visible" r:id="rId19"/>
    <sheet name="p16" sheetId="18" state="visible" r:id="rId20"/>
    <sheet name="p17" sheetId="19" state="visible" r:id="rId21"/>
    <sheet name="p18" sheetId="20" state="visible" r:id="rId22"/>
    <sheet name="p19" sheetId="21" state="visible" r:id="rId23"/>
    <sheet name="p20" sheetId="22" state="visible" r:id="rId24"/>
    <sheet name="p21" sheetId="23" state="visible" r:id="rId25"/>
    <sheet name="p22" sheetId="24" state="visible" r:id="rId26"/>
    <sheet name="p23" sheetId="25" state="visible" r:id="rId27"/>
    <sheet name="p24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<sst xmlns="http://schemas.openxmlformats.org/spreadsheetml/2006/main" count="2988" uniqueCount="187">
  <si>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</si>
  <si>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</si>
  <si>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</si>
  <si>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</si>
  <si>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</si>
  <si>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</si>
  <si>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</si>
  <si>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</si>
  <si>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</si>
  <si>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</si>
  <si>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</si>
  <si>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</si>
  <si>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</si>
  <si>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</si>
  <si>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</si>
  <si>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</si>
  <si>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</si>
  <si>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</si>
  <si>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</si>
  <si>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</si>
  <si>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</si>
  <si>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</si>
  <si>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</si>
  <si>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</si>
  <si>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</si>
  <si>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</si>
  <si>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</si>
  <si>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</si>
  <si>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</si>
  <si>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</si>
  <si>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</si>
  <si>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</si>
  <si>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</si>
  <si>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</si>
  <si>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</si>
  <si>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</si>
  <si>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</si>
  <si>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</si>
  <si>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</si>
  <si>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</si>
  <si>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</si>
  <si>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</si>
  <si>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</si>
  <si>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</si>
  <si>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</si>
  <si>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</si>
  <si>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</si>
  <si>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</si>
  <si>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</si>
  <si>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</si>
  <si>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</si>
  <si>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</si>
  <si>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</si>
  <si>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</si>
  <si>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</si>
  <si>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</si>
  <si>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</si>
  <si>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</si>
  <si>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</si>
  <si>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</si>
  <si>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</si>
  <si>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</si>
  <si>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</si>
  <si>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</si>
  <si>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</si>
  <si>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</si>
  <si>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</si>
  <si>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</si>
  <si>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</si>
  <si>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</si>
  <si>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</si>
  <si>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</si>
  <si>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</si>
  <si>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</si>
  <si>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</si>
  <si>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</si>
  <si>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</si>
  <si>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</si>
  <si>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</si>
  <si>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</si>
  <si>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</si>
  <si>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</si>
  <si>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</si>
  <si>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</si>
  <si>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</si>
  <si>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</si>
  <si>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</si>
  <si>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</si>
  <si>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</si>
  <si>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</si>
  <si>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</si>
  <si>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</si>
  <si>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</si>
  <si>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</si>
  <si>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</si>
  <si>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</si>
  <si>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</si>
  <si>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</si>
  <si>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</si>
  <si>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</si>
  <si>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</si>
  <si>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</si>
  <si>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</si>
  <si>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</si>
  <si>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</si>
  <si>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</si>
  <si>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</si>
  <si>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</si>
  <si>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</si>
  <si>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</si>
  <si>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</si>
  <si>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</si>
  <si>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</si>
  <si>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</si>
  <si>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</si>
  <si>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</si>
  <si>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</si>
  <si>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</si>
  <si>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</si>
  <si>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</si>
  <si>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</si>
  <si>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</si>
  <si>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</si>
  <si>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</si>
  <si>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</si>
  <si>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</si>
  <si>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</si>
  <si>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</si>
  <si>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</si>
  <si>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</si>
  <si>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</si>
  <si>
    <t xml:space="preserve">電站基本資料</t>
  </si>
  <si>
    <t xml:space="preserve">情境編號: 9</t>
  </si>
  <si>
    <t xml:space="preserve">綜合損益表</t>
  </si>
  <si>
    <t xml:space="preserve">支出</t>
  </si>
  <si>
    <t xml:space="preserve">現金流量表</t>
  </si>
  <si>
    <t xml:space="preserve">年份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</si>
  <si>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</si>
  <si>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</si>
  <si>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</si>
  <si>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</si>
  <si>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</si>
  <si>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</si>
  <si>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</si>
  <si>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</si>
  <si>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</si>
  <si>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</si>
  <si>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</si>
  <si>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</si>
  <si>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</si>
  <si>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</si>
  <si>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</si>
  <si>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</si>
  <si>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</si>
  <si>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</si>
  <si>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</si>
  <si>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</si>
  <si>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</si>
  <si>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</si>
  <si>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</si>
  <si>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</si>
  <si>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</si>
  <si>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</si>
  <si>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</si>
  <si>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</si>
  <si>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</si>
  <si>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</si>
  <si>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</si>
  <si>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</si>
  <si>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</si>
  <si>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</si>
  <si>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</si>
  <si>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10</t>
  </si>
  <si>
    <t xml:space="preserve">情境編號: 11</t>
  </si>
  <si>
    <t xml:space="preserve">情境編號: 12</t>
  </si>
  <si>
    <t xml:space="preserve">情境編號: 13</t>
  </si>
  <si>
    <t xml:space="preserve">情境編號: 14</t>
  </si>
  <si>
    <t xml:space="preserve">情境編號: 15</t>
  </si>
  <si>
    <t xml:space="preserve">情境編號: 16</t>
  </si>
  <si>
    <t xml:space="preserve">情境編號: 17</t>
  </si>
  <si>
    <t xml:space="preserve">情境編號: 18</t>
  </si>
  <si>
    <t xml:space="preserve">情境編號: 19</t>
  </si>
  <si>
    <t xml:space="preserve">情境編號: 20</t>
  </si>
  <si>
    <t xml:space="preserve">情境編號: 21</t>
  </si>
  <si>
    <t xml:space="preserve">情境編號: 22</t>
  </si>
  <si>
    <t xml:space="preserve">情境編號: 23</t>
  </si>
  <si>
    <t xml:space="preserve">情境編號: 24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</si>
</sst>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3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9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1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11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1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1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5" min="3" style="1" width="22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15" hidden="false" customHeight="true" outlineLevel="0" collapsed="false">
      <c r="A2" s="1" t="n">
        <v>1</v>
      </c>
      <c r="B2" s="1" t="n">
        <v>35000</v>
      </c>
      <c r="C2" s="35" t="n">
        <v>0.0262</v>
      </c>
      <c r="D2" s="35" t="n">
        <v>0.0418</v>
      </c>
      <c r="E2" s="35" t="n">
        <v>0.0445</v>
      </c>
      <c r="F2" s="35" t="n">
        <v>0.3</v>
      </c>
      <c r="G2" s="1" t="n">
        <v>6541500</v>
      </c>
      <c r="H2" s="1" t="n">
        <v>15000</v>
      </c>
      <c r="I2" s="1" t="n">
        <v>2000</v>
      </c>
      <c r="J2" s="1" t="s">
        <v>81</v>
      </c>
    </row>
    <row r="3" customFormat="false" ht="15" hidden="false" customHeight="true" outlineLevel="0" collapsed="false">
      <c r="A3" s="1" t="n">
        <v>2</v>
      </c>
      <c r="B3" s="1" t="n">
        <v>33000</v>
      </c>
      <c r="C3" s="35" t="n">
        <v>0.0316</v>
      </c>
      <c r="D3" s="35" t="n">
        <v>0.0568</v>
      </c>
      <c r="E3" s="35" t="n">
        <v>0.0619</v>
      </c>
      <c r="F3" s="35" t="n">
        <v>0.3</v>
      </c>
      <c r="G3" s="1" t="n">
        <v>6167762.3</v>
      </c>
      <c r="H3" s="1" t="n">
        <v>14143</v>
      </c>
      <c r="I3" s="1" t="n">
        <v>2000</v>
      </c>
      <c r="J3" s="1" t="s">
        <v>82</v>
      </c>
    </row>
    <row r="4" customFormat="false" ht="15" hidden="false" customHeight="true" outlineLevel="0" collapsed="false">
      <c r="A4" s="1" t="n">
        <v>3</v>
      </c>
      <c r="B4" s="1" t="n">
        <v>31000</v>
      </c>
      <c r="C4" s="35" t="n">
        <v>0.0375</v>
      </c>
      <c r="D4" s="35" t="n">
        <v>0.0733</v>
      </c>
      <c r="E4" s="35" t="n">
        <v>0.0821</v>
      </c>
      <c r="F4" s="35" t="n">
        <v>0.3</v>
      </c>
      <c r="G4" s="1" t="n">
        <v>5794024.6</v>
      </c>
      <c r="H4" s="1" t="n">
        <v>13286</v>
      </c>
      <c r="I4" s="1" t="n">
        <v>2000</v>
      </c>
      <c r="J4" s="1" t="s">
        <v>83</v>
      </c>
    </row>
    <row r="5" customFormat="false" ht="15" hidden="false" customHeight="true" outlineLevel="0" collapsed="false">
      <c r="A5" s="1" t="n">
        <v>4</v>
      </c>
      <c r="B5" s="1" t="n">
        <v>29000</v>
      </c>
      <c r="C5" s="35" t="n">
        <v>0.0439</v>
      </c>
      <c r="D5" s="35" t="n">
        <v>0.0917</v>
      </c>
      <c r="E5" s="35" t="n">
        <v>0.1059</v>
      </c>
      <c r="F5" s="35" t="n">
        <v>0.3</v>
      </c>
      <c r="G5" s="1" t="n">
        <v>5420286.9</v>
      </c>
      <c r="H5" s="1" t="n">
        <v>12429</v>
      </c>
      <c r="I5" s="1" t="n">
        <v>2000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27000</v>
      </c>
      <c r="C6" s="35" t="n">
        <v>0.0511</v>
      </c>
      <c r="D6" s="35" t="n">
        <v>0.1125</v>
      </c>
      <c r="E6" s="35" t="n">
        <v>0.1345</v>
      </c>
      <c r="F6" s="35" t="n">
        <v>0.3</v>
      </c>
      <c r="G6" s="1" t="n">
        <v>5046113.1</v>
      </c>
      <c r="H6" s="1" t="n">
        <v>11571</v>
      </c>
      <c r="I6" s="1" t="n">
        <v>2000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25000</v>
      </c>
      <c r="C7" s="35" t="n">
        <v>0.0591</v>
      </c>
      <c r="D7" s="35" t="n">
        <v>0.1366</v>
      </c>
      <c r="E7" s="35" t="n">
        <v>0.17</v>
      </c>
      <c r="F7" s="35" t="n">
        <v>0.3</v>
      </c>
      <c r="G7" s="1" t="n">
        <v>4672375.4</v>
      </c>
      <c r="H7" s="1" t="n">
        <v>10714</v>
      </c>
      <c r="I7" s="1" t="n">
        <v>2000</v>
      </c>
      <c r="J7" s="1" t="s">
        <v>86</v>
      </c>
    </row>
    <row r="8" customFormat="false" ht="15" hidden="false" customHeight="true" outlineLevel="0" collapsed="false">
      <c r="A8" s="1" t="n">
        <v>7</v>
      </c>
      <c r="B8" s="1" t="n">
        <v>23000</v>
      </c>
      <c r="C8" s="35" t="n">
        <v>0.0682</v>
      </c>
      <c r="D8" s="35" t="n">
        <v>0.1648</v>
      </c>
      <c r="E8" s="35" t="n">
        <v>0.2153</v>
      </c>
      <c r="F8" s="35" t="n">
        <v>0.3</v>
      </c>
      <c r="G8" s="1" t="n">
        <v>4298637.7</v>
      </c>
      <c r="H8" s="1" t="n">
        <v>9857</v>
      </c>
      <c r="I8" s="1" t="n">
        <v>2000</v>
      </c>
      <c r="J8" s="1" t="s">
        <v>87</v>
      </c>
    </row>
    <row r="9" customFormat="false" ht="15" hidden="false" customHeight="true" outlineLevel="0" collapsed="false">
      <c r="A9" s="1" t="n">
        <v>8</v>
      </c>
      <c r="B9" s="1" t="n">
        <v>21000</v>
      </c>
      <c r="C9" s="35" t="n">
        <v>0.0785</v>
      </c>
      <c r="D9" s="35" t="n">
        <v>0.1985</v>
      </c>
      <c r="E9" s="35" t="n">
        <v>0.2757</v>
      </c>
      <c r="F9" s="35" t="n">
        <v>0.3</v>
      </c>
      <c r="G9" s="1" t="n">
        <v>3924900</v>
      </c>
      <c r="H9" s="1" t="n">
        <v>9000</v>
      </c>
      <c r="I9" s="1" t="n">
        <v>2000</v>
      </c>
      <c r="J9" s="1" t="s">
        <v>88</v>
      </c>
    </row>
    <row r="10" customFormat="false" ht="15" hidden="false" customHeight="true" outlineLevel="0" collapsed="false">
      <c r="A10" s="1" t="n">
        <v>9</v>
      </c>
      <c r="B10" s="1" t="n">
        <v>35000</v>
      </c>
      <c r="C10" s="35" t="n">
        <v>0.0262</v>
      </c>
      <c r="D10" s="35" t="n">
        <v>0.0418</v>
      </c>
      <c r="E10" s="35" t="n">
        <v>0.0445</v>
      </c>
      <c r="F10" s="35" t="n">
        <v>0.3</v>
      </c>
      <c r="G10" s="1" t="n">
        <v>6541500</v>
      </c>
      <c r="H10" s="1" t="n">
        <v>15000</v>
      </c>
      <c r="I10" s="1" t="n">
        <v>2000</v>
      </c>
      <c r="J10" s="1" t="s">
        <v>81</v>
      </c>
    </row>
    <row r="11" customFormat="false" ht="15" hidden="false" customHeight="true" outlineLevel="0" collapsed="false">
      <c r="A11" s="1" t="n">
        <v>10</v>
      </c>
      <c r="B11" s="1" t="n">
        <v>33000</v>
      </c>
      <c r="C11" s="35" t="n">
        <v>0.0316</v>
      </c>
      <c r="D11" s="35" t="n">
        <v>0.0568</v>
      </c>
      <c r="E11" s="35" t="n">
        <v>0.0619</v>
      </c>
      <c r="F11" s="35" t="n">
        <v>0.3</v>
      </c>
      <c r="G11" s="1" t="n">
        <v>6167762.3</v>
      </c>
      <c r="H11" s="1" t="n">
        <v>14143</v>
      </c>
      <c r="I11" s="1" t="n">
        <v>2000</v>
      </c>
      <c r="J11" s="1" t="s">
        <v>82</v>
      </c>
    </row>
    <row r="12" customFormat="false" ht="15" hidden="false" customHeight="true" outlineLevel="0" collapsed="false">
      <c r="A12" s="1" t="n">
        <v>11</v>
      </c>
      <c r="B12" s="1" t="n">
        <v>31000</v>
      </c>
      <c r="C12" s="35" t="n">
        <v>0.0375</v>
      </c>
      <c r="D12" s="35" t="n">
        <v>0.0733</v>
      </c>
      <c r="E12" s="35" t="n">
        <v>0.0821</v>
      </c>
      <c r="F12" s="35" t="n">
        <v>0.3</v>
      </c>
      <c r="G12" s="1" t="n">
        <v>5794024.6</v>
      </c>
      <c r="H12" s="1" t="n">
        <v>13286</v>
      </c>
      <c r="I12" s="1" t="n">
        <v>2000</v>
      </c>
      <c r="J12" s="1" t="s">
        <v>83</v>
      </c>
    </row>
    <row r="13" customFormat="false" ht="15" hidden="false" customHeight="true" outlineLevel="0" collapsed="false">
      <c r="A13" s="1" t="n">
        <v>12</v>
      </c>
      <c r="B13" s="1" t="n">
        <v>29000</v>
      </c>
      <c r="C13" s="35" t="n">
        <v>0.0439</v>
      </c>
      <c r="D13" s="35" t="n">
        <v>0.0917</v>
      </c>
      <c r="E13" s="35" t="n">
        <v>0.1059</v>
      </c>
      <c r="F13" s="35" t="n">
        <v>0.3</v>
      </c>
      <c r="G13" s="1" t="n">
        <v>5420286.9</v>
      </c>
      <c r="H13" s="1" t="n">
        <v>12429</v>
      </c>
      <c r="I13" s="1" t="n">
        <v>2000</v>
      </c>
      <c r="J13" s="1" t="s">
        <v>84</v>
      </c>
    </row>
    <row r="14" customFormat="false" ht="15" hidden="false" customHeight="true" outlineLevel="0" collapsed="false">
      <c r="A14" s="1" t="n">
        <v>13</v>
      </c>
      <c r="B14" s="1" t="n">
        <v>27000</v>
      </c>
      <c r="C14" s="35" t="n">
        <v>0.0511</v>
      </c>
      <c r="D14" s="35" t="n">
        <v>0.1125</v>
      </c>
      <c r="E14" s="35" t="n">
        <v>0.1345</v>
      </c>
      <c r="F14" s="35" t="n">
        <v>0.3</v>
      </c>
      <c r="G14" s="1" t="n">
        <v>5046113.1</v>
      </c>
      <c r="H14" s="1" t="n">
        <v>11571</v>
      </c>
      <c r="I14" s="1" t="n">
        <v>2000</v>
      </c>
      <c r="J14" s="1" t="s">
        <v>85</v>
      </c>
    </row>
    <row r="15" customFormat="false" ht="15" hidden="false" customHeight="true" outlineLevel="0" collapsed="false">
      <c r="A15" s="1" t="n">
        <v>14</v>
      </c>
      <c r="B15" s="1" t="n">
        <v>25000</v>
      </c>
      <c r="C15" s="35" t="n">
        <v>0.0591</v>
      </c>
      <c r="D15" s="35" t="n">
        <v>0.1366</v>
      </c>
      <c r="E15" s="35" t="n">
        <v>0.17</v>
      </c>
      <c r="F15" s="35" t="n">
        <v>0.3</v>
      </c>
      <c r="G15" s="1" t="n">
        <v>4672375.4</v>
      </c>
      <c r="H15" s="1" t="n">
        <v>10714</v>
      </c>
      <c r="I15" s="1" t="n">
        <v>2000</v>
      </c>
      <c r="J15" s="1" t="s">
        <v>86</v>
      </c>
    </row>
    <row r="16" customFormat="false" ht="15" hidden="false" customHeight="true" outlineLevel="0" collapsed="false">
      <c r="A16" s="1" t="n">
        <v>15</v>
      </c>
      <c r="B16" s="1" t="n">
        <v>23000</v>
      </c>
      <c r="C16" s="35" t="n">
        <v>0.0682</v>
      </c>
      <c r="D16" s="35" t="n">
        <v>0.1648</v>
      </c>
      <c r="E16" s="35" t="n">
        <v>0.2153</v>
      </c>
      <c r="F16" s="35" t="n">
        <v>0.3</v>
      </c>
      <c r="G16" s="1" t="n">
        <v>4298637.7</v>
      </c>
      <c r="H16" s="1" t="n">
        <v>9857</v>
      </c>
      <c r="I16" s="1" t="n">
        <v>2000</v>
      </c>
      <c r="J16" s="1" t="s">
        <v>87</v>
      </c>
    </row>
    <row r="17" customFormat="false" ht="15" hidden="false" customHeight="true" outlineLevel="0" collapsed="false">
      <c r="A17" s="1" t="n">
        <v>16</v>
      </c>
      <c r="B17" s="1" t="n">
        <v>21000</v>
      </c>
      <c r="C17" s="35" t="n">
        <v>0.0785</v>
      </c>
      <c r="D17" s="35" t="n">
        <v>0.1985</v>
      </c>
      <c r="E17" s="35" t="n">
        <v>0.2757</v>
      </c>
      <c r="F17" s="35" t="n">
        <v>0.3</v>
      </c>
      <c r="G17" s="1" t="n">
        <v>3924900</v>
      </c>
      <c r="H17" s="1" t="n">
        <v>9000</v>
      </c>
      <c r="I17" s="1" t="n">
        <v>2000</v>
      </c>
      <c r="J17" s="1" t="s">
        <v>88</v>
      </c>
    </row>
    <row r="18" customFormat="false" ht="15" hidden="false" customHeight="false" outlineLevel="0" collapsed="false">
      <c r="A18" s="1" t="n">
        <v>17</v>
      </c>
      <c r="B18" s="1" t="n">
        <v>35000</v>
      </c>
      <c r="C18" s="36" t="n">
        <v>0.0262</v>
      </c>
      <c r="D18" s="36" t="n">
        <v>0.0418</v>
      </c>
      <c r="E18" s="36" t="n">
        <v>0.0445</v>
      </c>
      <c r="F18" s="36" t="n">
        <v>0.3</v>
      </c>
      <c r="G18" s="1" t="n">
        <v>6541500</v>
      </c>
      <c r="H18" s="1" t="n">
        <v>15000</v>
      </c>
      <c r="I18" s="1" t="n">
        <v>2000</v>
      </c>
      <c r="J18" s="1" t="s">
        <v>81</v>
      </c>
    </row>
    <row r="19" customFormat="false" ht="15" hidden="false" customHeight="false" outlineLevel="0" collapsed="false">
      <c r="A19" s="1" t="n">
        <v>18</v>
      </c>
      <c r="B19" s="1" t="n">
        <v>33000</v>
      </c>
      <c r="C19" s="36" t="n">
        <v>0.0316</v>
      </c>
      <c r="D19" s="36" t="n">
        <v>0.0568</v>
      </c>
      <c r="E19" s="36" t="n">
        <v>0.0619</v>
      </c>
      <c r="F19" s="36" t="n">
        <v>0.3</v>
      </c>
      <c r="G19" s="1" t="n">
        <v>6167762.3</v>
      </c>
      <c r="H19" s="1" t="n">
        <v>14143</v>
      </c>
      <c r="I19" s="1" t="n">
        <v>2000</v>
      </c>
      <c r="J19" s="1" t="s">
        <v>82</v>
      </c>
    </row>
    <row r="20" customFormat="false" ht="15" hidden="false" customHeight="false" outlineLevel="0" collapsed="false">
      <c r="A20" s="1" t="n">
        <v>19</v>
      </c>
      <c r="B20" s="1" t="n">
        <v>31000</v>
      </c>
      <c r="C20" s="36" t="n">
        <v>0.0375</v>
      </c>
      <c r="D20" s="36" t="n">
        <v>0.0733</v>
      </c>
      <c r="E20" s="36" t="n">
        <v>0.0821</v>
      </c>
      <c r="F20" s="36" t="n">
        <v>0.3</v>
      </c>
      <c r="G20" s="1" t="n">
        <v>5794024.6</v>
      </c>
      <c r="H20" s="1" t="n">
        <v>13286</v>
      </c>
      <c r="I20" s="1" t="n">
        <v>2000</v>
      </c>
      <c r="J20" s="1" t="s">
        <v>83</v>
      </c>
    </row>
    <row r="21" customFormat="false" ht="15" hidden="false" customHeight="false" outlineLevel="0" collapsed="false">
      <c r="A21" s="1" t="n">
        <v>20</v>
      </c>
      <c r="B21" s="1" t="n">
        <v>29000</v>
      </c>
      <c r="C21" s="36" t="n">
        <v>0.0439</v>
      </c>
      <c r="D21" s="36" t="n">
        <v>0.0917</v>
      </c>
      <c r="E21" s="36" t="n">
        <v>0.1059</v>
      </c>
      <c r="F21" s="36" t="n">
        <v>0.3</v>
      </c>
      <c r="G21" s="1" t="n">
        <v>5420286.9</v>
      </c>
      <c r="H21" s="1" t="n">
        <v>12429</v>
      </c>
      <c r="I21" s="1" t="n">
        <v>2000</v>
      </c>
      <c r="J21" s="1" t="s">
        <v>84</v>
      </c>
    </row>
    <row r="22" customFormat="false" ht="15" hidden="false" customHeight="false" outlineLevel="0" collapsed="false">
      <c r="A22" s="1" t="n">
        <v>21</v>
      </c>
      <c r="B22" s="1" t="n">
        <v>27000</v>
      </c>
      <c r="C22" s="36" t="n">
        <v>0.0511</v>
      </c>
      <c r="D22" s="36" t="n">
        <v>0.1125</v>
      </c>
      <c r="E22" s="36" t="n">
        <v>0.1345</v>
      </c>
      <c r="F22" s="36" t="n">
        <v>0.3</v>
      </c>
      <c r="G22" s="1" t="n">
        <v>5046113.1</v>
      </c>
      <c r="H22" s="1" t="n">
        <v>11571</v>
      </c>
      <c r="I22" s="1" t="n">
        <v>2000</v>
      </c>
      <c r="J22" s="1" t="s">
        <v>85</v>
      </c>
    </row>
    <row r="23" customFormat="false" ht="15" hidden="false" customHeight="false" outlineLevel="0" collapsed="false">
      <c r="A23" s="1" t="n">
        <v>22</v>
      </c>
      <c r="B23" s="1" t="n">
        <v>25000</v>
      </c>
      <c r="C23" s="36" t="n">
        <v>0.0591</v>
      </c>
      <c r="D23" s="36" t="n">
        <v>0.1366</v>
      </c>
      <c r="E23" s="36" t="n">
        <v>0.17</v>
      </c>
      <c r="F23" s="36" t="n">
        <v>0.3</v>
      </c>
      <c r="G23" s="1" t="n">
        <v>4672375.4</v>
      </c>
      <c r="H23" s="1" t="n">
        <v>10714</v>
      </c>
      <c r="I23" s="1" t="n">
        <v>2000</v>
      </c>
      <c r="J23" s="1" t="s">
        <v>86</v>
      </c>
    </row>
    <row r="24" customFormat="false" ht="15" hidden="false" customHeight="false" outlineLevel="0" collapsed="false">
      <c r="A24" s="1" t="n">
        <v>23</v>
      </c>
      <c r="B24" s="1" t="n">
        <v>23000</v>
      </c>
      <c r="C24" s="36" t="n">
        <v>0.0682</v>
      </c>
      <c r="D24" s="36" t="n">
        <v>0.1648</v>
      </c>
      <c r="E24" s="36" t="n">
        <v>0.2153</v>
      </c>
      <c r="F24" s="36" t="n">
        <v>0.3</v>
      </c>
      <c r="G24" s="1" t="n">
        <v>4298637.7</v>
      </c>
      <c r="H24" s="1" t="n">
        <v>9857</v>
      </c>
      <c r="I24" s="1" t="n">
        <v>2000</v>
      </c>
      <c r="J24" s="1" t="s">
        <v>87</v>
      </c>
    </row>
    <row r="25" customFormat="false" ht="15" hidden="false" customHeight="false" outlineLevel="0" collapsed="false">
      <c r="A25" s="1" t="n">
        <v>24</v>
      </c>
      <c r="B25" s="1" t="n">
        <v>21000</v>
      </c>
      <c r="C25" s="36" t="n">
        <v>0.0785</v>
      </c>
      <c r="D25" s="36" t="n">
        <v>0.1985</v>
      </c>
      <c r="E25" s="36" t="n">
        <v>0.2757</v>
      </c>
      <c r="F25" s="36" t="n">
        <v>0.3</v>
      </c>
      <c r="G25" s="1" t="n">
        <v>3924900</v>
      </c>
      <c r="H25" s="1" t="n">
        <v>9000</v>
      </c>
      <c r="I25" s="1" t="n">
        <v>2000</v>
      </c>
      <c r="J25" s="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39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89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90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91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92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93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95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-45790.5</v>
      </c>
      <c r="E49" s="1" t="n">
        <v>-45790.5</v>
      </c>
      <c r="F49" s="1" t="n">
        <v>-45790.5</v>
      </c>
      <c r="G49" s="1" t="n">
        <v>-45790.5</v>
      </c>
      <c r="H49" s="1" t="n">
        <v>-45790.5</v>
      </c>
      <c r="I49" s="1" t="n">
        <v>-45790.5</v>
      </c>
      <c r="J49" s="1" t="n">
        <v>-45790.5</v>
      </c>
      <c r="K49" s="1" t="n">
        <v>-45790.5</v>
      </c>
      <c r="L49" s="1" t="n">
        <v>-45790.5</v>
      </c>
      <c r="M49" s="1" t="n">
        <v>-45790.5</v>
      </c>
      <c r="N49" s="1" t="n">
        <v>-45790.5</v>
      </c>
      <c r="O49" s="1" t="n">
        <v>-45790.5</v>
      </c>
      <c r="P49" s="1" t="n">
        <v>-45790.5</v>
      </c>
      <c r="Q49" s="1" t="n">
        <v>-45790.5</v>
      </c>
      <c r="R49" s="1" t="n">
        <v>-45790.5</v>
      </c>
      <c r="S49" s="1" t="n">
        <v>-45790.5</v>
      </c>
      <c r="T49" s="1" t="n">
        <v>-45790.5</v>
      </c>
      <c r="U49" s="1" t="n">
        <v>-45790.5</v>
      </c>
      <c r="V49" s="1" t="n">
        <v>-45790.5</v>
      </c>
      <c r="W49" s="1" t="n">
        <v>-45790.5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-1209450.66666667</v>
      </c>
      <c r="F93" s="1" t="n">
        <v>-1209450.66666667</v>
      </c>
      <c r="G93" s="1" t="n">
        <v>-1209450.66666667</v>
      </c>
      <c r="H93" s="1" t="n">
        <v>-1209450.66666667</v>
      </c>
      <c r="I93" s="1" t="n">
        <v>-1209450.66666667</v>
      </c>
      <c r="J93" s="1" t="n">
        <v>-1209450.66666667</v>
      </c>
      <c r="K93" s="1" t="n">
        <v>-1209450.66666667</v>
      </c>
      <c r="L93" s="1" t="n">
        <v>-1209450.66666667</v>
      </c>
      <c r="M93" s="1" t="n">
        <v>-1209450.66666667</v>
      </c>
      <c r="N93" s="1" t="n">
        <v>-1209450.66666667</v>
      </c>
      <c r="O93" s="1" t="n">
        <v>-1209450.66666667</v>
      </c>
      <c r="P93" s="1" t="n">
        <v>-1209450.66666667</v>
      </c>
      <c r="Q93" s="1" t="n">
        <v>-1209450.66666667</v>
      </c>
      <c r="R93" s="1" t="n">
        <v>-1209450.66666667</v>
      </c>
      <c r="S93" s="1" t="n">
        <v>-1209450.66666667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-1133860</v>
      </c>
      <c r="U96" s="1" t="n">
        <v>-1133860</v>
      </c>
      <c r="V96" s="1" t="n">
        <v>-1133860</v>
      </c>
      <c r="W96" s="1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96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82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-43173.9</v>
      </c>
      <c r="E49" s="1" t="n">
        <v>-43173.9</v>
      </c>
      <c r="F49" s="1" t="n">
        <v>-43173.9</v>
      </c>
      <c r="G49" s="1" t="n">
        <v>-43173.9</v>
      </c>
      <c r="H49" s="1" t="n">
        <v>-43173.9</v>
      </c>
      <c r="I49" s="1" t="n">
        <v>-43173.9</v>
      </c>
      <c r="J49" s="1" t="n">
        <v>-43173.9</v>
      </c>
      <c r="K49" s="1" t="n">
        <v>-43173.9</v>
      </c>
      <c r="L49" s="1" t="n">
        <v>-43173.9</v>
      </c>
      <c r="M49" s="1" t="n">
        <v>-43173.9</v>
      </c>
      <c r="N49" s="1" t="n">
        <v>-43173.9</v>
      </c>
      <c r="O49" s="1" t="n">
        <v>-43173.9</v>
      </c>
      <c r="P49" s="1" t="n">
        <v>-43173.9</v>
      </c>
      <c r="Q49" s="1" t="n">
        <v>-43173.9</v>
      </c>
      <c r="R49" s="1" t="n">
        <v>-43173.9</v>
      </c>
      <c r="S49" s="1" t="n">
        <v>-43173.9</v>
      </c>
      <c r="T49" s="1" t="n">
        <v>-43173.9</v>
      </c>
      <c r="U49" s="1" t="n">
        <v>-43173.9</v>
      </c>
      <c r="V49" s="1" t="n">
        <v>-43173.9</v>
      </c>
      <c r="W49" s="1" t="n">
        <v>-43173.9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-1142997.33333333</v>
      </c>
      <c r="F93" s="1" t="n">
        <v>-1142997.33333333</v>
      </c>
      <c r="G93" s="1" t="n">
        <v>-1142997.33333333</v>
      </c>
      <c r="H93" s="1" t="n">
        <v>-1142997.33333333</v>
      </c>
      <c r="I93" s="1" t="n">
        <v>-1142997.33333333</v>
      </c>
      <c r="J93" s="1" t="n">
        <v>-1142997.33333333</v>
      </c>
      <c r="K93" s="1" t="n">
        <v>-1142997.33333333</v>
      </c>
      <c r="L93" s="1" t="n">
        <v>-1142997.33333333</v>
      </c>
      <c r="M93" s="1" t="n">
        <v>-1142997.33333333</v>
      </c>
      <c r="N93" s="1" t="n">
        <v>-1142997.33333333</v>
      </c>
      <c r="O93" s="1" t="n">
        <v>-1142997.33333333</v>
      </c>
      <c r="P93" s="1" t="n">
        <v>-1142997.33333333</v>
      </c>
      <c r="Q93" s="1" t="n">
        <v>-1142997.33333333</v>
      </c>
      <c r="R93" s="1" t="n">
        <v>-1142997.33333333</v>
      </c>
      <c r="S93" s="1" t="n">
        <v>-1142997.33333333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-1071560</v>
      </c>
      <c r="U96" s="1" t="n">
        <v>-1071560</v>
      </c>
      <c r="V96" s="1" t="n">
        <v>-1071560</v>
      </c>
      <c r="W96" s="1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0"/>
    <col collapsed="false" customWidth="true" hidden="false" outlineLevel="0" max="13" min="13" style="1" width="50"/>
    <col collapsed="false" customWidth="true" hidden="false" outlineLevel="0" max="27" min="14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101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83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-40557.3</v>
      </c>
      <c r="E49" s="1" t="n">
        <v>-40557.3</v>
      </c>
      <c r="F49" s="1" t="n">
        <v>-40557.3</v>
      </c>
      <c r="G49" s="1" t="n">
        <v>-40557.3</v>
      </c>
      <c r="H49" s="1" t="n">
        <v>-40557.3</v>
      </c>
      <c r="I49" s="1" t="n">
        <v>-40557.3</v>
      </c>
      <c r="J49" s="1" t="n">
        <v>-40557.3</v>
      </c>
      <c r="K49" s="1" t="n">
        <v>-40557.3</v>
      </c>
      <c r="L49" s="1" t="n">
        <v>-40557.3</v>
      </c>
      <c r="M49" s="1" t="n">
        <v>-40557.3</v>
      </c>
      <c r="N49" s="1" t="n">
        <v>-40557.3</v>
      </c>
      <c r="O49" s="1" t="n">
        <v>-40557.3</v>
      </c>
      <c r="P49" s="1" t="n">
        <v>-40557.3</v>
      </c>
      <c r="Q49" s="1" t="n">
        <v>-40557.3</v>
      </c>
      <c r="R49" s="1" t="n">
        <v>-40557.3</v>
      </c>
      <c r="S49" s="1" t="n">
        <v>-40557.3</v>
      </c>
      <c r="T49" s="1" t="n">
        <v>-40557.3</v>
      </c>
      <c r="U49" s="1" t="n">
        <v>-40557.3</v>
      </c>
      <c r="V49" s="1" t="n">
        <v>-40557.3</v>
      </c>
      <c r="W49" s="1" t="n">
        <v>-40557.3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-1076544</v>
      </c>
      <c r="F93" s="1" t="n">
        <v>-1076544</v>
      </c>
      <c r="G93" s="1" t="n">
        <v>-1076544</v>
      </c>
      <c r="H93" s="1" t="n">
        <v>-1076544</v>
      </c>
      <c r="I93" s="1" t="n">
        <v>-1076544</v>
      </c>
      <c r="J93" s="1" t="n">
        <v>-1076544</v>
      </c>
      <c r="K93" s="1" t="n">
        <v>-1076544</v>
      </c>
      <c r="L93" s="1" t="n">
        <v>-1076544</v>
      </c>
      <c r="M93" s="1" t="n">
        <v>-1076544</v>
      </c>
      <c r="N93" s="1" t="n">
        <v>-1076544</v>
      </c>
      <c r="O93" s="1" t="n">
        <v>-1076544</v>
      </c>
      <c r="P93" s="1" t="n">
        <v>-1076544</v>
      </c>
      <c r="Q93" s="1" t="n">
        <v>-1076544</v>
      </c>
      <c r="R93" s="1" t="n">
        <v>-1076544</v>
      </c>
      <c r="S93" s="1" t="n">
        <v>-1076544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-1009260</v>
      </c>
      <c r="U96" s="1" t="n">
        <v>-1009260</v>
      </c>
      <c r="V96" s="1" t="n">
        <v>-1009260</v>
      </c>
      <c r="W96" s="1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106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84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29000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-37940.7</v>
      </c>
      <c r="E49" s="1" t="n">
        <v>-37940.7</v>
      </c>
      <c r="F49" s="1" t="n">
        <v>-37940.7</v>
      </c>
      <c r="G49" s="1" t="n">
        <v>-37940.7</v>
      </c>
      <c r="H49" s="1" t="n">
        <v>-37940.7</v>
      </c>
      <c r="I49" s="1" t="n">
        <v>-37940.7</v>
      </c>
      <c r="J49" s="1" t="n">
        <v>-37940.7</v>
      </c>
      <c r="K49" s="1" t="n">
        <v>-37940.7</v>
      </c>
      <c r="L49" s="1" t="n">
        <v>-37940.7</v>
      </c>
      <c r="M49" s="1" t="n">
        <v>-37940.7</v>
      </c>
      <c r="N49" s="1" t="n">
        <v>-37940.7</v>
      </c>
      <c r="O49" s="1" t="n">
        <v>-37940.7</v>
      </c>
      <c r="P49" s="1" t="n">
        <v>-37940.7</v>
      </c>
      <c r="Q49" s="1" t="n">
        <v>-37940.7</v>
      </c>
      <c r="R49" s="1" t="n">
        <v>-37940.7</v>
      </c>
      <c r="S49" s="1" t="n">
        <v>-37940.7</v>
      </c>
      <c r="T49" s="1" t="n">
        <v>-37940.7</v>
      </c>
      <c r="U49" s="1" t="n">
        <v>-37940.7</v>
      </c>
      <c r="V49" s="1" t="n">
        <v>-37940.7</v>
      </c>
      <c r="W49" s="1" t="n">
        <v>-37940.7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-1010090.66666667</v>
      </c>
      <c r="F93" s="1" t="n">
        <v>-1010090.66666667</v>
      </c>
      <c r="G93" s="1" t="n">
        <v>-1010090.66666667</v>
      </c>
      <c r="H93" s="1" t="n">
        <v>-1010090.66666667</v>
      </c>
      <c r="I93" s="1" t="n">
        <v>-1010090.66666667</v>
      </c>
      <c r="J93" s="1" t="n">
        <v>-1010090.66666667</v>
      </c>
      <c r="K93" s="1" t="n">
        <v>-1010090.66666667</v>
      </c>
      <c r="L93" s="1" t="n">
        <v>-1010090.66666667</v>
      </c>
      <c r="M93" s="1" t="n">
        <v>-1010090.66666667</v>
      </c>
      <c r="N93" s="1" t="n">
        <v>-1010090.66666667</v>
      </c>
      <c r="O93" s="1" t="n">
        <v>-1010090.66666667</v>
      </c>
      <c r="P93" s="1" t="n">
        <v>-1010090.66666667</v>
      </c>
      <c r="Q93" s="1" t="n">
        <v>-1010090.66666667</v>
      </c>
      <c r="R93" s="1" t="n">
        <v>-1010090.66666667</v>
      </c>
      <c r="S93" s="1" t="n">
        <v>-1010090.66666667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-946960</v>
      </c>
      <c r="U96" s="1" t="n">
        <v>-946960</v>
      </c>
      <c r="V96" s="1" t="n">
        <v>-946960</v>
      </c>
      <c r="W96" s="1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111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27000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-35324.1</v>
      </c>
      <c r="E49" s="1" t="n">
        <v>-35324.1</v>
      </c>
      <c r="F49" s="1" t="n">
        <v>-35324.1</v>
      </c>
      <c r="G49" s="1" t="n">
        <v>-35324.1</v>
      </c>
      <c r="H49" s="1" t="n">
        <v>-35324.1</v>
      </c>
      <c r="I49" s="1" t="n">
        <v>-35324.1</v>
      </c>
      <c r="J49" s="1" t="n">
        <v>-35324.1</v>
      </c>
      <c r="K49" s="1" t="n">
        <v>-35324.1</v>
      </c>
      <c r="L49" s="1" t="n">
        <v>-35324.1</v>
      </c>
      <c r="M49" s="1" t="n">
        <v>-35324.1</v>
      </c>
      <c r="N49" s="1" t="n">
        <v>-35324.1</v>
      </c>
      <c r="O49" s="1" t="n">
        <v>-35324.1</v>
      </c>
      <c r="P49" s="1" t="n">
        <v>-35324.1</v>
      </c>
      <c r="Q49" s="1" t="n">
        <v>-35324.1</v>
      </c>
      <c r="R49" s="1" t="n">
        <v>-35324.1</v>
      </c>
      <c r="S49" s="1" t="n">
        <v>-35324.1</v>
      </c>
      <c r="T49" s="1" t="n">
        <v>-35324.1</v>
      </c>
      <c r="U49" s="1" t="n">
        <v>-35324.1</v>
      </c>
      <c r="V49" s="1" t="n">
        <v>-35324.1</v>
      </c>
      <c r="W49" s="1" t="n">
        <v>-35324.1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-943637.333333333</v>
      </c>
      <c r="F93" s="1" t="n">
        <v>-943637.333333333</v>
      </c>
      <c r="G93" s="1" t="n">
        <v>-943637.333333333</v>
      </c>
      <c r="H93" s="1" t="n">
        <v>-943637.333333333</v>
      </c>
      <c r="I93" s="1" t="n">
        <v>-943637.333333333</v>
      </c>
      <c r="J93" s="1" t="n">
        <v>-943637.333333333</v>
      </c>
      <c r="K93" s="1" t="n">
        <v>-943637.333333333</v>
      </c>
      <c r="L93" s="1" t="n">
        <v>-943637.333333333</v>
      </c>
      <c r="M93" s="1" t="n">
        <v>-943637.333333333</v>
      </c>
      <c r="N93" s="1" t="n">
        <v>-943637.333333333</v>
      </c>
      <c r="O93" s="1" t="n">
        <v>-943637.333333333</v>
      </c>
      <c r="P93" s="1" t="n">
        <v>-943637.333333333</v>
      </c>
      <c r="Q93" s="1" t="n">
        <v>-943637.333333333</v>
      </c>
      <c r="R93" s="1" t="n">
        <v>-943637.333333333</v>
      </c>
      <c r="S93" s="1" t="n">
        <v>-943637.333333333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-884660</v>
      </c>
      <c r="U96" s="1" t="n">
        <v>-884660</v>
      </c>
      <c r="V96" s="1" t="n">
        <v>-884660</v>
      </c>
      <c r="W96" s="1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0"/>
    <col collapsed="false" customWidth="true" hidden="false" outlineLevel="0" max="13" min="13" style="1" width="50"/>
    <col collapsed="false" customWidth="true" hidden="false" outlineLevel="0" max="27" min="14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116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86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-32707.5</v>
      </c>
      <c r="E49" s="1" t="n">
        <v>-32707.5</v>
      </c>
      <c r="F49" s="1" t="n">
        <v>-32707.5</v>
      </c>
      <c r="G49" s="1" t="n">
        <v>-32707.5</v>
      </c>
      <c r="H49" s="1" t="n">
        <v>-32707.5</v>
      </c>
      <c r="I49" s="1" t="n">
        <v>-32707.5</v>
      </c>
      <c r="J49" s="1" t="n">
        <v>-32707.5</v>
      </c>
      <c r="K49" s="1" t="n">
        <v>-32707.5</v>
      </c>
      <c r="L49" s="1" t="n">
        <v>-32707.5</v>
      </c>
      <c r="M49" s="1" t="n">
        <v>-32707.5</v>
      </c>
      <c r="N49" s="1" t="n">
        <v>-32707.5</v>
      </c>
      <c r="O49" s="1" t="n">
        <v>-32707.5</v>
      </c>
      <c r="P49" s="1" t="n">
        <v>-32707.5</v>
      </c>
      <c r="Q49" s="1" t="n">
        <v>-32707.5</v>
      </c>
      <c r="R49" s="1" t="n">
        <v>-32707.5</v>
      </c>
      <c r="S49" s="1" t="n">
        <v>-32707.5</v>
      </c>
      <c r="T49" s="1" t="n">
        <v>-32707.5</v>
      </c>
      <c r="U49" s="1" t="n">
        <v>-32707.5</v>
      </c>
      <c r="V49" s="1" t="n">
        <v>-32707.5</v>
      </c>
      <c r="W49" s="1" t="n">
        <v>-32707.5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-877184</v>
      </c>
      <c r="F93" s="1" t="n">
        <v>-877184</v>
      </c>
      <c r="G93" s="1" t="n">
        <v>-877184</v>
      </c>
      <c r="H93" s="1" t="n">
        <v>-877184</v>
      </c>
      <c r="I93" s="1" t="n">
        <v>-877184</v>
      </c>
      <c r="J93" s="1" t="n">
        <v>-877184</v>
      </c>
      <c r="K93" s="1" t="n">
        <v>-877184</v>
      </c>
      <c r="L93" s="1" t="n">
        <v>-877184</v>
      </c>
      <c r="M93" s="1" t="n">
        <v>-877184</v>
      </c>
      <c r="N93" s="1" t="n">
        <v>-877184</v>
      </c>
      <c r="O93" s="1" t="n">
        <v>-877184</v>
      </c>
      <c r="P93" s="1" t="n">
        <v>-877184</v>
      </c>
      <c r="Q93" s="1" t="n">
        <v>-877184</v>
      </c>
      <c r="R93" s="1" t="n">
        <v>-877184</v>
      </c>
      <c r="S93" s="1" t="n">
        <v>-877184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-822360</v>
      </c>
      <c r="U96" s="1" t="n">
        <v>-822360</v>
      </c>
      <c r="V96" s="1" t="n">
        <v>-822360</v>
      </c>
      <c r="W96" s="1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121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87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-30090.9</v>
      </c>
      <c r="E49" s="1" t="n">
        <v>-30090.9</v>
      </c>
      <c r="F49" s="1" t="n">
        <v>-30090.9</v>
      </c>
      <c r="G49" s="1" t="n">
        <v>-30090.9</v>
      </c>
      <c r="H49" s="1" t="n">
        <v>-30090.9</v>
      </c>
      <c r="I49" s="1" t="n">
        <v>-30090.9</v>
      </c>
      <c r="J49" s="1" t="n">
        <v>-30090.9</v>
      </c>
      <c r="K49" s="1" t="n">
        <v>-30090.9</v>
      </c>
      <c r="L49" s="1" t="n">
        <v>-30090.9</v>
      </c>
      <c r="M49" s="1" t="n">
        <v>-30090.9</v>
      </c>
      <c r="N49" s="1" t="n">
        <v>-30090.9</v>
      </c>
      <c r="O49" s="1" t="n">
        <v>-30090.9</v>
      </c>
      <c r="P49" s="1" t="n">
        <v>-30090.9</v>
      </c>
      <c r="Q49" s="1" t="n">
        <v>-30090.9</v>
      </c>
      <c r="R49" s="1" t="n">
        <v>-30090.9</v>
      </c>
      <c r="S49" s="1" t="n">
        <v>-30090.9</v>
      </c>
      <c r="T49" s="1" t="n">
        <v>-30090.9</v>
      </c>
      <c r="U49" s="1" t="n">
        <v>-30090.9</v>
      </c>
      <c r="V49" s="1" t="n">
        <v>-30090.9</v>
      </c>
      <c r="W49" s="1" t="n">
        <v>-30090.9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-810730.666666667</v>
      </c>
      <c r="F93" s="1" t="n">
        <v>-810730.666666667</v>
      </c>
      <c r="G93" s="1" t="n">
        <v>-810730.666666667</v>
      </c>
      <c r="H93" s="1" t="n">
        <v>-810730.666666667</v>
      </c>
      <c r="I93" s="1" t="n">
        <v>-810730.666666667</v>
      </c>
      <c r="J93" s="1" t="n">
        <v>-810730.666666667</v>
      </c>
      <c r="K93" s="1" t="n">
        <v>-810730.666666667</v>
      </c>
      <c r="L93" s="1" t="n">
        <v>-810730.666666667</v>
      </c>
      <c r="M93" s="1" t="n">
        <v>-810730.666666667</v>
      </c>
      <c r="N93" s="1" t="n">
        <v>-810730.666666667</v>
      </c>
      <c r="O93" s="1" t="n">
        <v>-810730.666666667</v>
      </c>
      <c r="P93" s="1" t="n">
        <v>-810730.666666667</v>
      </c>
      <c r="Q93" s="1" t="n">
        <v>-810730.666666667</v>
      </c>
      <c r="R93" s="1" t="n">
        <v>-810730.666666667</v>
      </c>
      <c r="S93" s="1" t="n">
        <v>-810730.666666667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-760060</v>
      </c>
      <c r="U96" s="1" t="n">
        <v>-760060</v>
      </c>
      <c r="V96" s="1" t="n">
        <v>-760060</v>
      </c>
      <c r="W96" s="1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126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88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-27474.3</v>
      </c>
      <c r="E49" s="1" t="n">
        <v>-27474.3</v>
      </c>
      <c r="F49" s="1" t="n">
        <v>-27474.3</v>
      </c>
      <c r="G49" s="1" t="n">
        <v>-27474.3</v>
      </c>
      <c r="H49" s="1" t="n">
        <v>-27474.3</v>
      </c>
      <c r="I49" s="1" t="n">
        <v>-27474.3</v>
      </c>
      <c r="J49" s="1" t="n">
        <v>-27474.3</v>
      </c>
      <c r="K49" s="1" t="n">
        <v>-27474.3</v>
      </c>
      <c r="L49" s="1" t="n">
        <v>-27474.3</v>
      </c>
      <c r="M49" s="1" t="n">
        <v>-27474.3</v>
      </c>
      <c r="N49" s="1" t="n">
        <v>-27474.3</v>
      </c>
      <c r="O49" s="1" t="n">
        <v>-27474.3</v>
      </c>
      <c r="P49" s="1" t="n">
        <v>-27474.3</v>
      </c>
      <c r="Q49" s="1" t="n">
        <v>-27474.3</v>
      </c>
      <c r="R49" s="1" t="n">
        <v>-27474.3</v>
      </c>
      <c r="S49" s="1" t="n">
        <v>-27474.3</v>
      </c>
      <c r="T49" s="1" t="n">
        <v>-27474.3</v>
      </c>
      <c r="U49" s="1" t="n">
        <v>-27474.3</v>
      </c>
      <c r="V49" s="1" t="n">
        <v>-27474.3</v>
      </c>
      <c r="W49" s="1" t="n">
        <v>-27474.3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-744277.333333333</v>
      </c>
      <c r="F93" s="1" t="n">
        <v>-744277.333333333</v>
      </c>
      <c r="G93" s="1" t="n">
        <v>-744277.333333333</v>
      </c>
      <c r="H93" s="1" t="n">
        <v>-744277.333333333</v>
      </c>
      <c r="I93" s="1" t="n">
        <v>-744277.333333333</v>
      </c>
      <c r="J93" s="1" t="n">
        <v>-744277.333333333</v>
      </c>
      <c r="K93" s="1" t="n">
        <v>-744277.333333333</v>
      </c>
      <c r="L93" s="1" t="n">
        <v>-744277.333333333</v>
      </c>
      <c r="M93" s="1" t="n">
        <v>-744277.333333333</v>
      </c>
      <c r="N93" s="1" t="n">
        <v>-744277.333333333</v>
      </c>
      <c r="O93" s="1" t="n">
        <v>-744277.333333333</v>
      </c>
      <c r="P93" s="1" t="n">
        <v>-744277.333333333</v>
      </c>
      <c r="Q93" s="1" t="n">
        <v>-744277.333333333</v>
      </c>
      <c r="R93" s="1" t="n">
        <v>-744277.333333333</v>
      </c>
      <c r="S93" s="1" t="n">
        <v>-744277.333333333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-697760</v>
      </c>
      <c r="U96" s="1" t="n">
        <v>-697760</v>
      </c>
      <c r="V96" s="1" t="n">
        <v>-697760</v>
      </c>
      <c r="W96" s="1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131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132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90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91</v>
      </c>
    </row>
    <row r="7" customFormat="false" ht="22.5" hidden="false" customHeight="true" outlineLevel="0" collapsed="false">
      <c r="B7" s="2" t="s">
        <v>133</v>
      </c>
      <c r="C7" s="2"/>
      <c r="D7" s="2"/>
      <c r="E7" s="2"/>
      <c r="M7" s="1" t="s">
        <v>92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93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95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134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35000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135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136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137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138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139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140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141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142</v>
      </c>
      <c r="C44" s="96" t="n">
        <f aca="false">-(D16/(1-D17)+D18)*C4</f>
        <v>-22677200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143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144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145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146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147</v>
      </c>
      <c r="C49" s="87" t="s">
        <v>4</v>
      </c>
      <c r="D49" s="97" t="n">
        <v>-45790.5</v>
      </c>
      <c r="E49" s="97" t="n">
        <v>-45790.5</v>
      </c>
      <c r="F49" s="97" t="n">
        <v>-45790.5</v>
      </c>
      <c r="G49" s="97" t="n">
        <v>-45790.5</v>
      </c>
      <c r="H49" s="97" t="n">
        <v>-45790.5</v>
      </c>
      <c r="I49" s="97" t="n">
        <v>-45790.5</v>
      </c>
      <c r="J49" s="97" t="n">
        <v>-45790.5</v>
      </c>
      <c r="K49" s="97" t="n">
        <v>-45790.5</v>
      </c>
      <c r="L49" s="97" t="n">
        <v>-45790.5</v>
      </c>
      <c r="M49" s="97" t="n">
        <v>-45790.5</v>
      </c>
      <c r="N49" s="97" t="n">
        <v>-45790.5</v>
      </c>
      <c r="O49" s="97" t="n">
        <v>-45790.5</v>
      </c>
      <c r="P49" s="97" t="n">
        <v>-45790.5</v>
      </c>
      <c r="Q49" s="97" t="n">
        <v>-45790.5</v>
      </c>
      <c r="R49" s="97" t="n">
        <v>-45790.5</v>
      </c>
      <c r="S49" s="97" t="n">
        <v>-45790.5</v>
      </c>
      <c r="T49" s="97" t="n">
        <v>-45790.5</v>
      </c>
      <c r="U49" s="97" t="n">
        <v>-45790.5</v>
      </c>
      <c r="V49" s="97" t="n">
        <v>-45790.5</v>
      </c>
      <c r="W49" s="97" t="n">
        <v>-45790.5</v>
      </c>
      <c r="X49" s="97"/>
    </row>
    <row r="50" customFormat="false" ht="18.75" hidden="false" customHeight="true" outlineLevel="0" collapsed="false">
      <c r="B50" s="95" t="s">
        <v>148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149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150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151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152</v>
      </c>
      <c r="C54" s="98"/>
      <c r="D54" s="97" t="n">
        <f aca="false">-(D64+D67+D68+D71+D72+D73+D74)*0.2</f>
        <v>-95645.284</v>
      </c>
      <c r="E54" s="97" t="n">
        <f aca="false">-(E64+E67+E68+E71+E72+E73+E74)*0.2</f>
        <v>-93894.8776</v>
      </c>
      <c r="F54" s="97" t="n">
        <f aca="false">-(F64+F67+F68+F71+F72+F73+F74)*0.2</f>
        <v>-92144.4712</v>
      </c>
      <c r="G54" s="97" t="n">
        <f aca="false">-(G64+G67+G68+G71+G72+G73+G74)*0.2</f>
        <v>-90394.0648</v>
      </c>
      <c r="H54" s="97" t="n">
        <f aca="false">-(H64+H67+H68+H71+H72+H73+H74)*0.2</f>
        <v>-88643.6584</v>
      </c>
      <c r="I54" s="97" t="n">
        <f aca="false">-(I64+I67+I68+I71+I72+I73+I74)*0.2</f>
        <v>-86893.252</v>
      </c>
      <c r="J54" s="97" t="n">
        <f aca="false">-(J64+J67+J68+J71+J72+J73+J74)*0.2</f>
        <v>-85142.8456</v>
      </c>
      <c r="K54" s="97" t="n">
        <f aca="false">-(K64+K67+K68+K71+K72+K73+K74)*0.2</f>
        <v>-83392.4392</v>
      </c>
      <c r="L54" s="97" t="n">
        <f aca="false">-(L64+L67+L68+L71+L72+L73+L74)*0.2</f>
        <v>-81642.0328</v>
      </c>
      <c r="M54" s="97" t="n">
        <f aca="false">-(M64+M67+M68+M71+M72+M73+M74)*0.2</f>
        <v>-79891.6264</v>
      </c>
      <c r="N54" s="97" t="n">
        <f aca="false">-(N64+N67+N68+N71+N72+N73+N74)*0.2</f>
        <v>-86863.22</v>
      </c>
      <c r="O54" s="97" t="n">
        <f aca="false">-(O64+O67+O68+O71+O72+O73+O74)*0.2</f>
        <v>-85112.8136</v>
      </c>
      <c r="P54" s="97" t="n">
        <f aca="false">-(P64+P67+P68+P71+P72+P73+P74)*0.2</f>
        <v>-83362.4072</v>
      </c>
      <c r="Q54" s="97" t="n">
        <f aca="false">-(Q64+Q67+Q68+Q71+Q72+Q73+Q74)*0.2</f>
        <v>-81612.0008</v>
      </c>
      <c r="R54" s="97" t="n">
        <f aca="false">-(R64+R67+R68+R71+R72+R73+R74)*0.2</f>
        <v>-79861.5944</v>
      </c>
      <c r="S54" s="97" t="n">
        <f aca="false">-(S64+S67+S68+S71+S72+S73+S74)*0.2</f>
        <v>-78111.188</v>
      </c>
      <c r="T54" s="97" t="n">
        <f aca="false">-(T64+T67+T68+T71+T72+T73+T74)*0.2</f>
        <v>-76360.7816</v>
      </c>
      <c r="U54" s="97" t="n">
        <f aca="false">-(U64+U67+U68+U71+U72+U73+U74)*0.2</f>
        <v>-74610.3752</v>
      </c>
      <c r="V54" s="97" t="n">
        <f aca="false">-(V64+V67+V68+V71+V72+V73+V74)*0.2</f>
        <v>-72859.9688</v>
      </c>
      <c r="W54" s="97" t="n">
        <f aca="false">-(W64+W67+W68+W71+W72+W73+W74)*0.2</f>
        <v>-71109.5624</v>
      </c>
      <c r="X54" s="88"/>
    </row>
    <row r="55" customFormat="false" ht="18.75" hidden="false" customHeight="true" outlineLevel="0" collapsed="false">
      <c r="B55" s="100" t="s">
        <v>153</v>
      </c>
      <c r="C55" s="101" t="n">
        <f aca="false">C44</f>
        <v>-22677200</v>
      </c>
      <c r="D55" s="102" t="n">
        <f aca="false">SUM(D41:D54)</f>
        <v>1516441.136</v>
      </c>
      <c r="E55" s="102" t="n">
        <f aca="false">SUM(E41:E54)</f>
        <v>1509439.5104</v>
      </c>
      <c r="F55" s="102" t="n">
        <f aca="false">SUM(F41:F54)</f>
        <v>1502437.8848</v>
      </c>
      <c r="G55" s="102" t="n">
        <f aca="false">SUM(G41:G54)</f>
        <v>1495436.2592</v>
      </c>
      <c r="H55" s="102" t="n">
        <f aca="false">SUM(H41:H54)</f>
        <v>1488434.6336</v>
      </c>
      <c r="I55" s="102" t="n">
        <f aca="false">SUM(I41:I54)</f>
        <v>1481433.008</v>
      </c>
      <c r="J55" s="102" t="n">
        <f aca="false">SUM(J41:J54)</f>
        <v>1474431.3824</v>
      </c>
      <c r="K55" s="102" t="n">
        <f aca="false">SUM(K41:K54)</f>
        <v>1467429.7568</v>
      </c>
      <c r="L55" s="102" t="n">
        <f aca="false">SUM(L41:L54)</f>
        <v>1460428.1312</v>
      </c>
      <c r="M55" s="102" t="n">
        <f aca="false">SUM(M41:M54)</f>
        <v>1453426.5056</v>
      </c>
      <c r="N55" s="102" t="n">
        <f aca="false">SUM(N41:N54)</f>
        <v>1481312.88</v>
      </c>
      <c r="O55" s="102" t="n">
        <f aca="false">SUM(O41:O54)</f>
        <v>1474311.2544</v>
      </c>
      <c r="P55" s="102" t="n">
        <f aca="false">SUM(P41:P54)</f>
        <v>1467309.6288</v>
      </c>
      <c r="Q55" s="102" t="n">
        <f aca="false">SUM(Q41:Q54)</f>
        <v>1460308.0032</v>
      </c>
      <c r="R55" s="102" t="n">
        <f aca="false">SUM(R41:R54)</f>
        <v>1453306.3776</v>
      </c>
      <c r="S55" s="102" t="n">
        <f aca="false">SUM(S41:S54)</f>
        <v>1446304.752</v>
      </c>
      <c r="T55" s="102" t="n">
        <f aca="false">SUM(T41:T54)</f>
        <v>1439303.1264</v>
      </c>
      <c r="U55" s="102" t="n">
        <f aca="false">SUM(U41:U54)</f>
        <v>1432301.5008</v>
      </c>
      <c r="V55" s="102" t="n">
        <f aca="false">SUM(V41:V54)</f>
        <v>1425299.8752</v>
      </c>
      <c r="W55" s="102" t="n">
        <f aca="false">SUM(W41:W54)</f>
        <v>1418298.2496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154</v>
      </c>
      <c r="D56" s="107" t="n">
        <f aca="false">C55+D55</f>
        <v>-21160758.864</v>
      </c>
      <c r="E56" s="107" t="n">
        <f aca="false">D56+E55</f>
        <v>-19651319.3536</v>
      </c>
      <c r="F56" s="107" t="n">
        <f aca="false">E56+F55</f>
        <v>-18148881.4688</v>
      </c>
      <c r="G56" s="107" t="n">
        <f aca="false">F56+G55</f>
        <v>-16653445.2096</v>
      </c>
      <c r="H56" s="107" t="n">
        <f aca="false">G56+H55</f>
        <v>-15165010.576</v>
      </c>
      <c r="I56" s="107" t="n">
        <f aca="false">H56+I55</f>
        <v>-13683577.568</v>
      </c>
      <c r="J56" s="107" t="n">
        <f aca="false">I56+J55</f>
        <v>-12209146.1856</v>
      </c>
      <c r="K56" s="107" t="n">
        <f aca="false">J56+K55</f>
        <v>-10741716.4288</v>
      </c>
      <c r="L56" s="107" t="n">
        <f aca="false">K56+L55</f>
        <v>-9281288.2976</v>
      </c>
      <c r="M56" s="107" t="n">
        <f aca="false">L56+M55</f>
        <v>-7827861.792</v>
      </c>
      <c r="N56" s="107" t="n">
        <f aca="false">M56+N55</f>
        <v>-6346548.912</v>
      </c>
      <c r="O56" s="107" t="n">
        <f aca="false">N56+O55</f>
        <v>-4872237.6576</v>
      </c>
      <c r="P56" s="107" t="n">
        <f aca="false">O56+P55</f>
        <v>-3404928.0288</v>
      </c>
      <c r="Q56" s="107" t="n">
        <f aca="false">P56+Q55</f>
        <v>-1944620.0256</v>
      </c>
      <c r="R56" s="107" t="n">
        <f aca="false">Q56+R55</f>
        <v>-491313.648000002</v>
      </c>
      <c r="S56" s="107" t="n">
        <f aca="false">R56+S55</f>
        <v>954991.103999998</v>
      </c>
      <c r="T56" s="107" t="n">
        <f aca="false">S56+T55</f>
        <v>2394294.2304</v>
      </c>
      <c r="U56" s="107" t="n">
        <f aca="false">T56+U55</f>
        <v>3826595.7312</v>
      </c>
      <c r="V56" s="107" t="n">
        <f aca="false">U56+V55</f>
        <v>5251895.6064</v>
      </c>
      <c r="W56" s="107" t="n">
        <f aca="false">V56+W55</f>
        <v>6670193.856</v>
      </c>
      <c r="X56" s="107" t="n">
        <f aca="false">W56+X55</f>
        <v>6670193.856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155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未回收</v>
      </c>
      <c r="Q57" s="111" t="str">
        <f aca="false">IF((Q56)&gt;0,"回收","未回收")</f>
        <v>未回收</v>
      </c>
      <c r="R57" s="111" t="str">
        <f aca="false">IF((R56)&gt;0,"回收","未回收")</f>
        <v>未回收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0.0261929168398907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136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156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137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138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139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140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141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157</v>
      </c>
      <c r="C67" s="87"/>
      <c r="D67" s="120" t="n">
        <f aca="false">$C$44/$E$16</f>
        <v>-1133860</v>
      </c>
      <c r="E67" s="120" t="n">
        <f aca="false">$C$44/$E$16</f>
        <v>-1133860</v>
      </c>
      <c r="F67" s="120" t="n">
        <f aca="false">$C$44/$E$16</f>
        <v>-1133860</v>
      </c>
      <c r="G67" s="120" t="n">
        <f aca="false">$C$44/$E$16</f>
        <v>-1133860</v>
      </c>
      <c r="H67" s="120" t="n">
        <f aca="false">$C$44/$E$16</f>
        <v>-1133860</v>
      </c>
      <c r="I67" s="120" t="n">
        <f aca="false">$C$44/$E$16</f>
        <v>-1133860</v>
      </c>
      <c r="J67" s="120" t="n">
        <f aca="false">$C$44/$E$16</f>
        <v>-1133860</v>
      </c>
      <c r="K67" s="120" t="n">
        <f aca="false">$C$44/$E$16</f>
        <v>-1133860</v>
      </c>
      <c r="L67" s="120" t="n">
        <f aca="false">$C$44/$E$16</f>
        <v>-1133860</v>
      </c>
      <c r="M67" s="120" t="n">
        <f aca="false">$C$44/$E$16</f>
        <v>-1133860</v>
      </c>
      <c r="N67" s="120" t="n">
        <f aca="false">$C$44/$E$16</f>
        <v>-1133860</v>
      </c>
      <c r="O67" s="120" t="n">
        <f aca="false">$C$44/$E$16</f>
        <v>-1133860</v>
      </c>
      <c r="P67" s="120" t="n">
        <f aca="false">$C$44/$E$16</f>
        <v>-1133860</v>
      </c>
      <c r="Q67" s="120" t="n">
        <f aca="false">$C$44/$E$16</f>
        <v>-1133860</v>
      </c>
      <c r="R67" s="120" t="n">
        <f aca="false">$C$44/$E$16</f>
        <v>-1133860</v>
      </c>
      <c r="S67" s="120" t="n">
        <f aca="false">$C$44/$E$16</f>
        <v>-1133860</v>
      </c>
      <c r="T67" s="120" t="n">
        <f aca="false">$C$44/$E$16</f>
        <v>-1133860</v>
      </c>
      <c r="U67" s="120" t="n">
        <f aca="false">$C$44/$E$16</f>
        <v>-1133860</v>
      </c>
      <c r="V67" s="120" t="n">
        <f aca="false">$C$44/$E$16</f>
        <v>-1133860</v>
      </c>
      <c r="W67" s="120" t="n">
        <f aca="false">$C$44/$E$16</f>
        <v>-1133860</v>
      </c>
      <c r="X67" s="90"/>
    </row>
    <row r="68" customFormat="false" ht="18.75" hidden="false" customHeight="true" outlineLevel="0" collapsed="false">
      <c r="B68" s="95" t="s">
        <v>143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144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145</v>
      </c>
      <c r="C70" s="87" t="s">
        <v>4</v>
      </c>
      <c r="D70" s="97" t="n">
        <f aca="false">-D109*$D25</f>
        <v>-464429.056</v>
      </c>
      <c r="E70" s="97" t="n">
        <f aca="false">-E109*$D25</f>
        <v>-433467.118933333</v>
      </c>
      <c r="F70" s="97" t="n">
        <f aca="false">-F109*$D25</f>
        <v>-402505.181866667</v>
      </c>
      <c r="G70" s="97" t="n">
        <f aca="false">-G109*$D25</f>
        <v>-371543.2448</v>
      </c>
      <c r="H70" s="97" t="n">
        <f aca="false">-H109*$D25</f>
        <v>-340581.307733333</v>
      </c>
      <c r="I70" s="97" t="n">
        <f aca="false">-I109*$D25</f>
        <v>-309619.370666666</v>
      </c>
      <c r="J70" s="97" t="n">
        <f aca="false">-J109*$D25</f>
        <v>-278657.433599999</v>
      </c>
      <c r="K70" s="97" t="n">
        <f aca="false">-K109*$D25</f>
        <v>-247695.496533333</v>
      </c>
      <c r="L70" s="97" t="n">
        <f aca="false">-L109*$D25</f>
        <v>-216733.559466666</v>
      </c>
      <c r="M70" s="97" t="n">
        <f aca="false">-M109*$D25</f>
        <v>-185771.622399999</v>
      </c>
      <c r="N70" s="97" t="n">
        <f aca="false">-N109*$D25</f>
        <v>-154809.685333333</v>
      </c>
      <c r="O70" s="97" t="n">
        <f aca="false">-O109*$D25</f>
        <v>-123847.748266666</v>
      </c>
      <c r="P70" s="97" t="n">
        <f aca="false">-P109*$D25</f>
        <v>-92885.811199999</v>
      </c>
      <c r="Q70" s="97" t="n">
        <f aca="false">-Q109*$D25</f>
        <v>-61923.8741333323</v>
      </c>
      <c r="R70" s="97" t="n">
        <f aca="false">-R109*$D25</f>
        <v>-30961.9370666655</v>
      </c>
      <c r="S70" s="97" t="n">
        <f aca="false">-S109*$D25</f>
        <v>1.2516975402832E-009</v>
      </c>
      <c r="T70" s="97" t="n">
        <f aca="false">-T109*$D25</f>
        <v>1.2516975402832E-009</v>
      </c>
      <c r="U70" s="97" t="n">
        <f aca="false">-U109*$D25</f>
        <v>1.2516975402832E-009</v>
      </c>
      <c r="V70" s="97" t="n">
        <f aca="false">-V109*$D25</f>
        <v>1.2516975402832E-009</v>
      </c>
      <c r="W70" s="97" t="n">
        <f aca="false">-W109*$D25</f>
        <v>1.2516975402832E-009</v>
      </c>
      <c r="X70" s="90"/>
    </row>
    <row r="71" customFormat="false" ht="18.75" hidden="false" customHeight="true" outlineLevel="0" collapsed="false">
      <c r="B71" s="95" t="s">
        <v>146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147</v>
      </c>
      <c r="C72" s="87" t="s">
        <v>4</v>
      </c>
      <c r="D72" s="97" t="n">
        <f aca="false">D49</f>
        <v>-45790.5</v>
      </c>
      <c r="E72" s="97" t="n">
        <f aca="false">E49</f>
        <v>-45790.5</v>
      </c>
      <c r="F72" s="97" t="n">
        <f aca="false">F49</f>
        <v>-45790.5</v>
      </c>
      <c r="G72" s="97" t="n">
        <f aca="false">G49</f>
        <v>-45790.5</v>
      </c>
      <c r="H72" s="97" t="n">
        <f aca="false">H49</f>
        <v>-45790.5</v>
      </c>
      <c r="I72" s="97" t="n">
        <f aca="false">I49</f>
        <v>-45790.5</v>
      </c>
      <c r="J72" s="97" t="n">
        <f aca="false">J49</f>
        <v>-45790.5</v>
      </c>
      <c r="K72" s="97" t="n">
        <f aca="false">K49</f>
        <v>-45790.5</v>
      </c>
      <c r="L72" s="97" t="n">
        <f aca="false">L49</f>
        <v>-45790.5</v>
      </c>
      <c r="M72" s="97" t="n">
        <f aca="false">M49</f>
        <v>-45790.5</v>
      </c>
      <c r="N72" s="97" t="n">
        <f aca="false">N49</f>
        <v>-45790.5</v>
      </c>
      <c r="O72" s="97" t="n">
        <f aca="false">O49</f>
        <v>-45790.5</v>
      </c>
      <c r="P72" s="97" t="n">
        <f aca="false">P49</f>
        <v>-45790.5</v>
      </c>
      <c r="Q72" s="97" t="n">
        <f aca="false">Q49</f>
        <v>-45790.5</v>
      </c>
      <c r="R72" s="97" t="n">
        <f aca="false">R49</f>
        <v>-45790.5</v>
      </c>
      <c r="S72" s="97" t="n">
        <f aca="false">S49</f>
        <v>-45790.5</v>
      </c>
      <c r="T72" s="97" t="n">
        <f aca="false">T49</f>
        <v>-45790.5</v>
      </c>
      <c r="U72" s="97" t="n">
        <f aca="false">U49</f>
        <v>-45790.5</v>
      </c>
      <c r="V72" s="97" t="n">
        <f aca="false">V49</f>
        <v>-45790.5</v>
      </c>
      <c r="W72" s="97" t="n">
        <f aca="false">W49</f>
        <v>-45790.5</v>
      </c>
      <c r="X72" s="90"/>
    </row>
    <row r="73" customFormat="false" ht="18.75" hidden="false" customHeight="true" outlineLevel="0" collapsed="false">
      <c r="B73" s="95" t="s">
        <v>148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149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150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158</v>
      </c>
      <c r="C76" s="123"/>
      <c r="D76" s="102" t="n">
        <f aca="false">SUM(D64:D75)</f>
        <v>13797.3639999999</v>
      </c>
      <c r="E76" s="102" t="n">
        <f aca="false">SUM(E64:E75)</f>
        <v>36007.2690666666</v>
      </c>
      <c r="F76" s="102" t="n">
        <f aca="false">SUM(F64:F75)</f>
        <v>58217.1741333337</v>
      </c>
      <c r="G76" s="102" t="n">
        <f aca="false">SUM(G64:G75)</f>
        <v>80427.0792000003</v>
      </c>
      <c r="H76" s="102" t="n">
        <f aca="false">SUM(H64:H75)</f>
        <v>102636.984266667</v>
      </c>
      <c r="I76" s="102" t="n">
        <f aca="false">SUM(I64:I75)</f>
        <v>124846.889333334</v>
      </c>
      <c r="J76" s="102" t="n">
        <f aca="false">SUM(J64:J75)</f>
        <v>147056.794400001</v>
      </c>
      <c r="K76" s="102" t="n">
        <f aca="false">SUM(K64:K75)</f>
        <v>169266.699466667</v>
      </c>
      <c r="L76" s="102" t="n">
        <f aca="false">SUM(L64:L75)</f>
        <v>191476.604533334</v>
      </c>
      <c r="M76" s="102" t="n">
        <f aca="false">SUM(M64:M75)</f>
        <v>213686.509600001</v>
      </c>
      <c r="N76" s="102" t="n">
        <f aca="false">SUM(N64:N75)</f>
        <v>279506.414666667</v>
      </c>
      <c r="O76" s="102" t="n">
        <f aca="false">SUM(O64:O75)</f>
        <v>301716.319733334</v>
      </c>
      <c r="P76" s="102" t="n">
        <f aca="false">SUM(P64:P75)</f>
        <v>323926.224800001</v>
      </c>
      <c r="Q76" s="102" t="n">
        <f aca="false">SUM(Q64:Q75)</f>
        <v>346136.129866668</v>
      </c>
      <c r="R76" s="102" t="n">
        <f aca="false">SUM(R64:R75)</f>
        <v>368346.034933334</v>
      </c>
      <c r="S76" s="102" t="n">
        <f aca="false">SUM(S64:S75)</f>
        <v>390555.940000001</v>
      </c>
      <c r="T76" s="102" t="n">
        <f aca="false">SUM(T64:T75)</f>
        <v>381803.908000001</v>
      </c>
      <c r="U76" s="102" t="n">
        <f aca="false">SUM(U64:U75)</f>
        <v>373051.876000001</v>
      </c>
      <c r="V76" s="102" t="n">
        <f aca="false">SUM(V64:V75)</f>
        <v>364299.844000001</v>
      </c>
      <c r="W76" s="102" t="n">
        <f aca="false">SUM(W64:W75)</f>
        <v>355547.812000001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152</v>
      </c>
      <c r="C77" s="98"/>
      <c r="D77" s="97" t="n">
        <f aca="false">-D76*0.2</f>
        <v>-2759.47279999998</v>
      </c>
      <c r="E77" s="97" t="n">
        <f aca="false">-E76*0.2</f>
        <v>-7201.45381333332</v>
      </c>
      <c r="F77" s="97" t="n">
        <f aca="false">-F76*0.2</f>
        <v>-11643.4348266667</v>
      </c>
      <c r="G77" s="97" t="n">
        <f aca="false">-G76*0.2</f>
        <v>-16085.4158400001</v>
      </c>
      <c r="H77" s="97" t="n">
        <f aca="false">-H76*0.2</f>
        <v>-20527.3968533334</v>
      </c>
      <c r="I77" s="97" t="n">
        <f aca="false">-I76*0.2</f>
        <v>-24969.3778666667</v>
      </c>
      <c r="J77" s="97" t="n">
        <f aca="false">-J76*0.2</f>
        <v>-29411.3588800001</v>
      </c>
      <c r="K77" s="97" t="n">
        <f aca="false">-K76*0.2</f>
        <v>-33853.3398933335</v>
      </c>
      <c r="L77" s="97" t="n">
        <f aca="false">-L76*0.2</f>
        <v>-38295.3209066668</v>
      </c>
      <c r="M77" s="97" t="n">
        <f aca="false">-M76*0.2</f>
        <v>-42737.3019200002</v>
      </c>
      <c r="N77" s="97" t="n">
        <f aca="false">-N76*0.2</f>
        <v>-55901.2829333335</v>
      </c>
      <c r="O77" s="97" t="n">
        <f aca="false">-O76*0.2</f>
        <v>-60343.2639466669</v>
      </c>
      <c r="P77" s="97" t="n">
        <f aca="false">-P76*0.2</f>
        <v>-64785.2449600002</v>
      </c>
      <c r="Q77" s="97" t="n">
        <f aca="false">-Q76*0.2</f>
        <v>-69227.2259733335</v>
      </c>
      <c r="R77" s="97" t="n">
        <f aca="false">-R76*0.2</f>
        <v>-73669.2069866669</v>
      </c>
      <c r="S77" s="97" t="n">
        <f aca="false">-S76*0.2</f>
        <v>-78111.1880000002</v>
      </c>
      <c r="T77" s="97" t="n">
        <f aca="false">-T76*0.2</f>
        <v>-76360.7816000002</v>
      </c>
      <c r="U77" s="97" t="n">
        <f aca="false">-U76*0.2</f>
        <v>-74610.3752000002</v>
      </c>
      <c r="V77" s="97" t="n">
        <f aca="false">-V76*0.2</f>
        <v>-72859.9688000002</v>
      </c>
      <c r="W77" s="97" t="n">
        <f aca="false">-W76*0.2</f>
        <v>-71109.5624000002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159</v>
      </c>
      <c r="D78" s="97" t="n">
        <f aca="false">SUM(D76:D77)</f>
        <v>11037.8911999999</v>
      </c>
      <c r="E78" s="97" t="n">
        <f aca="false">SUM(E76:E77)</f>
        <v>28805.8152533333</v>
      </c>
      <c r="F78" s="97" t="n">
        <f aca="false">SUM(F76:F77)</f>
        <v>46573.7393066669</v>
      </c>
      <c r="G78" s="97" t="n">
        <f aca="false">SUM(G76:G77)</f>
        <v>64341.6633600002</v>
      </c>
      <c r="H78" s="97" t="n">
        <f aca="false">SUM(H76:H77)</f>
        <v>82109.5874133336</v>
      </c>
      <c r="I78" s="97" t="n">
        <f aca="false">SUM(I76:I77)</f>
        <v>99877.5114666668</v>
      </c>
      <c r="J78" s="97" t="n">
        <f aca="false">SUM(J76:J77)</f>
        <v>117645.435520001</v>
      </c>
      <c r="K78" s="97" t="n">
        <f aca="false">SUM(K76:K77)</f>
        <v>135413.359573334</v>
      </c>
      <c r="L78" s="97" t="n">
        <f aca="false">SUM(L76:L77)</f>
        <v>153181.283626667</v>
      </c>
      <c r="M78" s="97" t="n">
        <f aca="false">SUM(M76:M77)</f>
        <v>170949.207680001</v>
      </c>
      <c r="N78" s="97" t="n">
        <f aca="false">SUM(N76:N77)</f>
        <v>223605.131733334</v>
      </c>
      <c r="O78" s="97" t="n">
        <f aca="false">SUM(O76:O77)</f>
        <v>241373.055786667</v>
      </c>
      <c r="P78" s="97" t="n">
        <f aca="false">SUM(P76:P77)</f>
        <v>259140.979840001</v>
      </c>
      <c r="Q78" s="97" t="n">
        <f aca="false">SUM(Q76:Q77)</f>
        <v>276908.903893334</v>
      </c>
      <c r="R78" s="97" t="n">
        <f aca="false">SUM(R76:R77)</f>
        <v>294676.827946667</v>
      </c>
      <c r="S78" s="97" t="n">
        <f aca="false">SUM(S76:S77)</f>
        <v>312444.752000001</v>
      </c>
      <c r="T78" s="97" t="n">
        <f aca="false">SUM(T76:T77)</f>
        <v>305443.126400001</v>
      </c>
      <c r="U78" s="97" t="n">
        <f aca="false">SUM(U76:U77)</f>
        <v>298441.500800001</v>
      </c>
      <c r="V78" s="97" t="n">
        <f aca="false">SUM(V76:V77)</f>
        <v>291439.875200001</v>
      </c>
      <c r="W78" s="97" t="n">
        <f aca="false">SUM(W76:W77)</f>
        <v>284438.249600001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154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155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136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137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159</v>
      </c>
      <c r="C85" s="135"/>
      <c r="D85" s="136" t="n">
        <f aca="false">D78</f>
        <v>11037.8911999999</v>
      </c>
      <c r="E85" s="136" t="n">
        <f aca="false">E78</f>
        <v>28805.8152533333</v>
      </c>
      <c r="F85" s="136" t="n">
        <f aca="false">F78</f>
        <v>46573.7393066669</v>
      </c>
      <c r="G85" s="136" t="n">
        <f aca="false">G78</f>
        <v>64341.6633600002</v>
      </c>
      <c r="H85" s="136" t="n">
        <f aca="false">H78</f>
        <v>82109.5874133336</v>
      </c>
      <c r="I85" s="136" t="n">
        <f aca="false">I78</f>
        <v>99877.5114666668</v>
      </c>
      <c r="J85" s="136" t="n">
        <f aca="false">J78</f>
        <v>117645.435520001</v>
      </c>
      <c r="K85" s="136" t="n">
        <f aca="false">K78</f>
        <v>135413.359573334</v>
      </c>
      <c r="L85" s="136" t="n">
        <f aca="false">L78</f>
        <v>153181.283626667</v>
      </c>
      <c r="M85" s="136" t="n">
        <f aca="false">M78</f>
        <v>170949.207680001</v>
      </c>
      <c r="N85" s="136" t="n">
        <f aca="false">N78</f>
        <v>223605.131733334</v>
      </c>
      <c r="O85" s="136" t="n">
        <f aca="false">O78</f>
        <v>241373.055786667</v>
      </c>
      <c r="P85" s="136" t="n">
        <f aca="false">P78</f>
        <v>259140.979840001</v>
      </c>
      <c r="Q85" s="136" t="n">
        <f aca="false">Q78</f>
        <v>276908.903893334</v>
      </c>
      <c r="R85" s="136" t="n">
        <f aca="false">R78</f>
        <v>294676.827946667</v>
      </c>
      <c r="S85" s="136" t="n">
        <f aca="false">S78</f>
        <v>312444.752000001</v>
      </c>
      <c r="T85" s="136" t="n">
        <f aca="false">T78</f>
        <v>305443.126400001</v>
      </c>
      <c r="U85" s="136" t="n">
        <f aca="false">U78</f>
        <v>298441.500800001</v>
      </c>
      <c r="V85" s="136" t="n">
        <f aca="false">V78</f>
        <v>291439.875200001</v>
      </c>
      <c r="W85" s="136" t="n">
        <f aca="false">W78</f>
        <v>284438.249600001</v>
      </c>
      <c r="X85" s="135"/>
      <c r="Y85" s="135"/>
    </row>
    <row r="86" customFormat="false" ht="15" hidden="false" customHeight="true" outlineLevel="0" collapsed="false">
      <c r="B86" s="135" t="s">
        <v>160</v>
      </c>
      <c r="C86" s="135"/>
      <c r="D86" s="137" t="n">
        <f aca="false">-D67</f>
        <v>1133860</v>
      </c>
      <c r="E86" s="137" t="n">
        <f aca="false">-E67</f>
        <v>1133860</v>
      </c>
      <c r="F86" s="137" t="n">
        <f aca="false">-F67</f>
        <v>1133860</v>
      </c>
      <c r="G86" s="137" t="n">
        <f aca="false">-G67</f>
        <v>1133860</v>
      </c>
      <c r="H86" s="137" t="n">
        <f aca="false">-H67</f>
        <v>1133860</v>
      </c>
      <c r="I86" s="137" t="n">
        <f aca="false">-I67</f>
        <v>1133860</v>
      </c>
      <c r="J86" s="137" t="n">
        <f aca="false">-J67</f>
        <v>1133860</v>
      </c>
      <c r="K86" s="137" t="n">
        <f aca="false">-K67</f>
        <v>1133860</v>
      </c>
      <c r="L86" s="137" t="n">
        <f aca="false">-L67</f>
        <v>1133860</v>
      </c>
      <c r="M86" s="137" t="n">
        <f aca="false">-M67</f>
        <v>1133860</v>
      </c>
      <c r="N86" s="137" t="n">
        <f aca="false">-N67</f>
        <v>1133860</v>
      </c>
      <c r="O86" s="137" t="n">
        <f aca="false">-O67</f>
        <v>1133860</v>
      </c>
      <c r="P86" s="137" t="n">
        <f aca="false">-P67</f>
        <v>1133860</v>
      </c>
      <c r="Q86" s="137" t="n">
        <f aca="false">-Q67</f>
        <v>1133860</v>
      </c>
      <c r="R86" s="137" t="n">
        <f aca="false">-R67</f>
        <v>1133860</v>
      </c>
      <c r="S86" s="137" t="n">
        <f aca="false">-S67</f>
        <v>1133860</v>
      </c>
      <c r="T86" s="137" t="n">
        <f aca="false">-T67</f>
        <v>1133860</v>
      </c>
      <c r="U86" s="137" t="n">
        <f aca="false">-U67</f>
        <v>1133860</v>
      </c>
      <c r="V86" s="137" t="n">
        <f aca="false">-V67</f>
        <v>1133860</v>
      </c>
      <c r="W86" s="137" t="n">
        <f aca="false">-W67</f>
        <v>1133860</v>
      </c>
      <c r="X86" s="138"/>
      <c r="Y86" s="138"/>
    </row>
    <row r="87" customFormat="false" ht="15" hidden="false" customHeight="true" outlineLevel="0" collapsed="false">
      <c r="B87" s="135" t="s">
        <v>161</v>
      </c>
      <c r="C87" s="135"/>
      <c r="D87" s="139" t="n">
        <f aca="false">SUM(D85:D86)</f>
        <v>1144897.8912</v>
      </c>
      <c r="E87" s="139" t="n">
        <f aca="false">SUM(E85:E86)</f>
        <v>1162665.81525333</v>
      </c>
      <c r="F87" s="139" t="n">
        <f aca="false">SUM(F85:F86)</f>
        <v>1180433.73930667</v>
      </c>
      <c r="G87" s="139" t="n">
        <f aca="false">SUM(G85:G86)</f>
        <v>1198201.66336</v>
      </c>
      <c r="H87" s="139" t="n">
        <f aca="false">SUM(H85:H86)</f>
        <v>1215969.58741333</v>
      </c>
      <c r="I87" s="139" t="n">
        <f aca="false">SUM(I85:I86)</f>
        <v>1233737.51146667</v>
      </c>
      <c r="J87" s="139" t="n">
        <f aca="false">SUM(J85:J86)</f>
        <v>1251505.43552</v>
      </c>
      <c r="K87" s="139" t="n">
        <f aca="false">SUM(K85:K86)</f>
        <v>1269273.35957333</v>
      </c>
      <c r="L87" s="139" t="n">
        <f aca="false">SUM(L85:L86)</f>
        <v>1287041.28362667</v>
      </c>
      <c r="M87" s="139" t="n">
        <f aca="false">SUM(M85:M86)</f>
        <v>1304809.20768</v>
      </c>
      <c r="N87" s="139" t="n">
        <f aca="false">SUM(N85:N86)</f>
        <v>1357465.13173333</v>
      </c>
      <c r="O87" s="139" t="n">
        <f aca="false">SUM(O85:O86)</f>
        <v>1375233.05578667</v>
      </c>
      <c r="P87" s="139" t="n">
        <f aca="false">SUM(P85:P86)</f>
        <v>1393000.97984</v>
      </c>
      <c r="Q87" s="139" t="n">
        <f aca="false">SUM(Q85:Q86)</f>
        <v>1410768.90389333</v>
      </c>
      <c r="R87" s="139" t="n">
        <f aca="false">SUM(R85:R86)</f>
        <v>1428536.82794667</v>
      </c>
      <c r="S87" s="139" t="n">
        <f aca="false">SUM(S85:S86)</f>
        <v>1446304.752</v>
      </c>
      <c r="T87" s="139" t="n">
        <f aca="false">SUM(T85:T86)</f>
        <v>1439303.1264</v>
      </c>
      <c r="U87" s="139" t="n">
        <f aca="false">SUM(U85:U86)</f>
        <v>1432301.5008</v>
      </c>
      <c r="V87" s="139" t="n">
        <f aca="false">SUM(V85:V86)</f>
        <v>1425299.8752</v>
      </c>
      <c r="W87" s="139" t="n">
        <f aca="false">SUM(W85:W86)</f>
        <v>1418298.2496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162</v>
      </c>
      <c r="C89" s="142"/>
      <c r="D89" s="143" t="n">
        <f aca="false">C44</f>
        <v>-22677200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163</v>
      </c>
      <c r="C92" s="142"/>
      <c r="D92" s="143" t="n">
        <f aca="false">-D89*D31</f>
        <v>18141760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164</v>
      </c>
      <c r="C93" s="135"/>
      <c r="D93" s="145"/>
      <c r="E93" s="145" t="n">
        <v>-1209450.66666667</v>
      </c>
      <c r="F93" s="145" t="n">
        <v>-1209450.66666667</v>
      </c>
      <c r="G93" s="145" t="n">
        <v>-1209450.66666667</v>
      </c>
      <c r="H93" s="145" t="n">
        <v>-1209450.66666667</v>
      </c>
      <c r="I93" s="145" t="n">
        <v>-1209450.66666667</v>
      </c>
      <c r="J93" s="145" t="n">
        <v>-1209450.66666667</v>
      </c>
      <c r="K93" s="145" t="n">
        <v>-1209450.66666667</v>
      </c>
      <c r="L93" s="145" t="n">
        <v>-1209450.66666667</v>
      </c>
      <c r="M93" s="145" t="n">
        <v>-1209450.66666667</v>
      </c>
      <c r="N93" s="145" t="n">
        <v>-1209450.66666667</v>
      </c>
      <c r="O93" s="145" t="n">
        <v>-1209450.66666667</v>
      </c>
      <c r="P93" s="145" t="n">
        <v>-1209450.66666667</v>
      </c>
      <c r="Q93" s="145" t="n">
        <v>-1209450.66666667</v>
      </c>
      <c r="R93" s="145" t="n">
        <v>-1209450.66666667</v>
      </c>
      <c r="S93" s="145" t="n">
        <v>-1209450.66666667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165</v>
      </c>
      <c r="C94" s="140"/>
      <c r="D94" s="136" t="n">
        <f aca="false">-D89*(1-D31)</f>
        <v>4535440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-9934.10207999992</v>
      </c>
      <c r="F95" s="146" t="n">
        <f aca="false">-E85*$D$33</f>
        <v>-25925.233728</v>
      </c>
      <c r="G95" s="146" t="n">
        <f aca="false">-F85*$D$33</f>
        <v>-41916.3653760002</v>
      </c>
      <c r="H95" s="146" t="n">
        <f aca="false">-G85*$D$33</f>
        <v>-57907.4970240002</v>
      </c>
      <c r="I95" s="146" t="n">
        <f aca="false">-H85*$D$33</f>
        <v>-73898.6286720002</v>
      </c>
      <c r="J95" s="146" t="n">
        <f aca="false">-I85*$D$33</f>
        <v>-89889.7603200002</v>
      </c>
      <c r="K95" s="146" t="n">
        <f aca="false">-J85*$D$33</f>
        <v>-105880.891968</v>
      </c>
      <c r="L95" s="146" t="n">
        <f aca="false">-K85*$D$33</f>
        <v>-121872.023616</v>
      </c>
      <c r="M95" s="146" t="n">
        <f aca="false">-L85*$D$33</f>
        <v>-137863.155264</v>
      </c>
      <c r="N95" s="146" t="n">
        <f aca="false">-M85*$D$33</f>
        <v>-153854.286912001</v>
      </c>
      <c r="O95" s="146" t="n">
        <f aca="false">-N85*$D$33</f>
        <v>-201244.618560001</v>
      </c>
      <c r="P95" s="146" t="n">
        <f aca="false">-O85*$D$33</f>
        <v>-217235.750208001</v>
      </c>
      <c r="Q95" s="146" t="n">
        <f aca="false">-P85*$D$33</f>
        <v>-233226.881856001</v>
      </c>
      <c r="R95" s="146" t="n">
        <f aca="false">-Q85*$D$33</f>
        <v>-249218.013504001</v>
      </c>
      <c r="S95" s="146" t="n">
        <f aca="false">-R85*$D$33</f>
        <v>-265209.145152001</v>
      </c>
      <c r="T95" s="146" t="n">
        <f aca="false">-S85*$D$33</f>
        <v>-281200.276800001</v>
      </c>
      <c r="U95" s="146" t="n">
        <f aca="false">-T85*$D$33</f>
        <v>-274898.813760001</v>
      </c>
      <c r="V95" s="146" t="n">
        <f aca="false">-U85*$D$33</f>
        <v>-268597.350720001</v>
      </c>
      <c r="W95" s="146" t="n">
        <f aca="false">-V85*$D$33</f>
        <v>-262295.887680001</v>
      </c>
      <c r="X95" s="146" t="n">
        <f aca="false">-W85*$D$33</f>
        <v>-255994.424640001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-1133860</v>
      </c>
      <c r="U96" s="149" t="n">
        <v>-1133860</v>
      </c>
      <c r="V96" s="149" t="n">
        <v>-1133860</v>
      </c>
      <c r="W96" s="149" t="n">
        <v>-1133860</v>
      </c>
      <c r="X96" s="150" t="n">
        <f aca="false">-W101-X95</f>
        <v>-369784.78975995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166</v>
      </c>
      <c r="C99" s="136" t="n">
        <v>0</v>
      </c>
      <c r="D99" s="136" t="n">
        <f aca="false">SUM(D87:D96)</f>
        <v>1144897.8912</v>
      </c>
      <c r="E99" s="136" t="n">
        <f aca="false">SUM(E87:E96)</f>
        <v>-56718.9534933367</v>
      </c>
      <c r="F99" s="136" t="n">
        <f aca="false">SUM(F87:F96)</f>
        <v>-54942.1610880031</v>
      </c>
      <c r="G99" s="136" t="n">
        <f aca="false">SUM(G87:G96)</f>
        <v>-53165.3686826701</v>
      </c>
      <c r="H99" s="136" t="n">
        <f aca="false">SUM(H87:H96)</f>
        <v>-51388.5762773366</v>
      </c>
      <c r="I99" s="136" t="n">
        <f aca="false">SUM(I87:I96)</f>
        <v>-49611.7838720034</v>
      </c>
      <c r="J99" s="136" t="n">
        <f aca="false">SUM(J87:J96)</f>
        <v>-47834.9914666696</v>
      </c>
      <c r="K99" s="136" t="n">
        <f aca="false">SUM(K87:K96)</f>
        <v>-46058.1990613367</v>
      </c>
      <c r="L99" s="136" t="n">
        <f aca="false">SUM(L87:L96)</f>
        <v>-44281.4066560032</v>
      </c>
      <c r="M99" s="136" t="n">
        <f aca="false">SUM(M87:M96)</f>
        <v>-42504.6142506697</v>
      </c>
      <c r="N99" s="136" t="n">
        <f aca="false">SUM(N87:N96)</f>
        <v>-5839.82184533661</v>
      </c>
      <c r="O99" s="136" t="n">
        <f aca="false">SUM(O87:O96)</f>
        <v>-35462.2294400031</v>
      </c>
      <c r="P99" s="136" t="n">
        <f aca="false">SUM(P87:P96)</f>
        <v>-33685.43703467</v>
      </c>
      <c r="Q99" s="136" t="n">
        <f aca="false">SUM(Q87:Q96)</f>
        <v>-31908.6446293365</v>
      </c>
      <c r="R99" s="136" t="n">
        <f aca="false">SUM(R87:R96)</f>
        <v>-30131.8522240032</v>
      </c>
      <c r="S99" s="136" t="n">
        <f aca="false">SUM(S87:S96)</f>
        <v>-28355.0598186697</v>
      </c>
      <c r="T99" s="136" t="n">
        <f aca="false">SUM(T87:T96)</f>
        <v>24242.8496000001</v>
      </c>
      <c r="U99" s="136" t="n">
        <f aca="false">SUM(U87:U96)</f>
        <v>23542.6870400002</v>
      </c>
      <c r="V99" s="136" t="n">
        <f aca="false">SUM(V87:V96)</f>
        <v>22842.5244799999</v>
      </c>
      <c r="W99" s="136" t="n">
        <f aca="false">SUM(W87:W96)</f>
        <v>22142.3619200001</v>
      </c>
      <c r="X99" s="105"/>
    </row>
    <row r="100" customFormat="false" ht="15" hidden="false" customHeight="true" outlineLevel="0" collapsed="false">
      <c r="B100" s="135" t="s">
        <v>167</v>
      </c>
      <c r="C100" s="136" t="n">
        <v>0</v>
      </c>
      <c r="D100" s="136" t="n">
        <f aca="false">C101</f>
        <v>0</v>
      </c>
      <c r="E100" s="136" t="n">
        <f aca="false">D101</f>
        <v>1144897.8912</v>
      </c>
      <c r="F100" s="136" t="n">
        <f aca="false">E101</f>
        <v>1088178.93770666</v>
      </c>
      <c r="G100" s="136" t="n">
        <f aca="false">F101</f>
        <v>1033236.77661866</v>
      </c>
      <c r="H100" s="136" t="n">
        <f aca="false">G101</f>
        <v>980071.407935989</v>
      </c>
      <c r="I100" s="136" t="n">
        <f aca="false">H101</f>
        <v>928682.831658653</v>
      </c>
      <c r="J100" s="136" t="n">
        <f aca="false">I101</f>
        <v>879071.047786649</v>
      </c>
      <c r="K100" s="136" t="n">
        <f aca="false">J101</f>
        <v>831236.05631998</v>
      </c>
      <c r="L100" s="136" t="n">
        <f aca="false">K101</f>
        <v>785177.857258643</v>
      </c>
      <c r="M100" s="136" t="n">
        <f aca="false">L101</f>
        <v>740896.45060264</v>
      </c>
      <c r="N100" s="136" t="n">
        <f aca="false">M101</f>
        <v>698391.83635197</v>
      </c>
      <c r="O100" s="136" t="n">
        <f aca="false">N101</f>
        <v>692552.014506633</v>
      </c>
      <c r="P100" s="136" t="n">
        <f aca="false">O101</f>
        <v>657089.78506663</v>
      </c>
      <c r="Q100" s="136" t="n">
        <f aca="false">P101</f>
        <v>623404.34803196</v>
      </c>
      <c r="R100" s="136" t="n">
        <f aca="false">Q101</f>
        <v>591495.703402624</v>
      </c>
      <c r="S100" s="136" t="n">
        <f aca="false">R101</f>
        <v>561363.851178621</v>
      </c>
      <c r="T100" s="136" t="n">
        <f aca="false">S101</f>
        <v>533008.791359951</v>
      </c>
      <c r="U100" s="136" t="n">
        <f aca="false">T101</f>
        <v>557251.640959951</v>
      </c>
      <c r="V100" s="136" t="n">
        <f aca="false">U101</f>
        <v>580794.327999951</v>
      </c>
      <c r="W100" s="136" t="n">
        <f aca="false">V101</f>
        <v>603636.852479951</v>
      </c>
      <c r="X100" s="104"/>
    </row>
    <row r="101" customFormat="false" ht="15" hidden="false" customHeight="true" outlineLevel="0" collapsed="false">
      <c r="B101" s="135" t="s">
        <v>168</v>
      </c>
      <c r="C101" s="136" t="n">
        <v>0</v>
      </c>
      <c r="D101" s="136" t="n">
        <f aca="false">D99+D100</f>
        <v>1144897.8912</v>
      </c>
      <c r="E101" s="136" t="n">
        <f aca="false">E99+E100</f>
        <v>1088178.93770666</v>
      </c>
      <c r="F101" s="136" t="n">
        <f aca="false">F99+F100</f>
        <v>1033236.77661866</v>
      </c>
      <c r="G101" s="136" t="n">
        <f aca="false">G99+G100</f>
        <v>980071.407935989</v>
      </c>
      <c r="H101" s="136" t="n">
        <f aca="false">H99+H100</f>
        <v>928682.831658653</v>
      </c>
      <c r="I101" s="136" t="n">
        <f aca="false">I99+I100</f>
        <v>879071.047786649</v>
      </c>
      <c r="J101" s="136" t="n">
        <f aca="false">J99+J100</f>
        <v>831236.05631998</v>
      </c>
      <c r="K101" s="136" t="n">
        <f aca="false">K99+K100</f>
        <v>785177.857258643</v>
      </c>
      <c r="L101" s="136" t="n">
        <f aca="false">L99+L100</f>
        <v>740896.45060264</v>
      </c>
      <c r="M101" s="136" t="n">
        <f aca="false">M99+M100</f>
        <v>698391.83635197</v>
      </c>
      <c r="N101" s="136" t="n">
        <f aca="false">N99+N100</f>
        <v>692552.014506633</v>
      </c>
      <c r="O101" s="136" t="n">
        <f aca="false">O99+O100</f>
        <v>657089.78506663</v>
      </c>
      <c r="P101" s="136" t="n">
        <f aca="false">P99+P100</f>
        <v>623404.34803196</v>
      </c>
      <c r="Q101" s="136" t="n">
        <f aca="false">Q99+Q100</f>
        <v>591495.703402624</v>
      </c>
      <c r="R101" s="136" t="n">
        <f aca="false">R99+R100</f>
        <v>561363.851178621</v>
      </c>
      <c r="S101" s="136" t="n">
        <f aca="false">S99+S100</f>
        <v>533008.791359951</v>
      </c>
      <c r="T101" s="136" t="n">
        <f aca="false">T99+T100</f>
        <v>557251.640959951</v>
      </c>
      <c r="U101" s="136" t="n">
        <f aca="false">U99+U100</f>
        <v>580794.327999951</v>
      </c>
      <c r="V101" s="136" t="n">
        <f aca="false">V99+V100</f>
        <v>603636.852479951</v>
      </c>
      <c r="W101" s="136" t="n">
        <f aca="false">W99+W100</f>
        <v>625779.214399951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169</v>
      </c>
      <c r="C104" s="152"/>
      <c r="D104" s="153" t="n">
        <f aca="false">-D94</f>
        <v>-4535440</v>
      </c>
      <c r="E104" s="139" t="n">
        <f aca="false">-E95-E96</f>
        <v>9934.10207999992</v>
      </c>
      <c r="F104" s="139" t="n">
        <f aca="false">-F95-F96</f>
        <v>25925.233728</v>
      </c>
      <c r="G104" s="139" t="n">
        <f aca="false">-G95-G96</f>
        <v>41916.3653760002</v>
      </c>
      <c r="H104" s="139" t="n">
        <f aca="false">-H95-H96</f>
        <v>57907.4970240002</v>
      </c>
      <c r="I104" s="139" t="n">
        <f aca="false">-I95-I96</f>
        <v>73898.6286720002</v>
      </c>
      <c r="J104" s="139" t="n">
        <f aca="false">-J95-J96</f>
        <v>89889.7603200002</v>
      </c>
      <c r="K104" s="139" t="n">
        <f aca="false">-K95-K96</f>
        <v>105880.891968</v>
      </c>
      <c r="L104" s="139" t="n">
        <f aca="false">-L95-L96</f>
        <v>121872.023616</v>
      </c>
      <c r="M104" s="139" t="n">
        <f aca="false">-M95-M96</f>
        <v>137863.155264</v>
      </c>
      <c r="N104" s="139" t="n">
        <f aca="false">-N95-N96</f>
        <v>153854.286912001</v>
      </c>
      <c r="O104" s="139" t="n">
        <f aca="false">-O95-O96</f>
        <v>201244.618560001</v>
      </c>
      <c r="P104" s="139" t="n">
        <f aca="false">-P95-P96</f>
        <v>217235.750208001</v>
      </c>
      <c r="Q104" s="139" t="n">
        <f aca="false">-Q95-Q96</f>
        <v>233226.881856001</v>
      </c>
      <c r="R104" s="139" t="n">
        <f aca="false">-R95-R96</f>
        <v>249218.013504001</v>
      </c>
      <c r="S104" s="139" t="n">
        <f aca="false">-S95-S96</f>
        <v>265209.145152001</v>
      </c>
      <c r="T104" s="139" t="n">
        <f aca="false">-T95-T96</f>
        <v>1415060.2768</v>
      </c>
      <c r="U104" s="139" t="n">
        <f aca="false">-U95-U96</f>
        <v>1408758.81376</v>
      </c>
      <c r="V104" s="139" t="n">
        <f aca="false">-V95-V96</f>
        <v>1402457.35072</v>
      </c>
      <c r="W104" s="139" t="n">
        <f aca="false">-W95-W96</f>
        <v>1396155.88768</v>
      </c>
      <c r="X104" s="139" t="n">
        <f aca="false">-X95-X96</f>
        <v>625779.214399951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0.0385593526702273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170</v>
      </c>
      <c r="C106" s="152"/>
      <c r="D106" s="153" t="n">
        <f aca="false">D85-D94</f>
        <v>-4524402.1088</v>
      </c>
      <c r="E106" s="139" t="n">
        <f aca="false">E85</f>
        <v>28805.8152533333</v>
      </c>
      <c r="F106" s="139" t="n">
        <f aca="false">F85-F96</f>
        <v>46573.7393066669</v>
      </c>
      <c r="G106" s="139" t="n">
        <f aca="false">G85-G96</f>
        <v>64341.6633600002</v>
      </c>
      <c r="H106" s="139" t="n">
        <f aca="false">H85-H96</f>
        <v>82109.5874133336</v>
      </c>
      <c r="I106" s="139" t="n">
        <f aca="false">I85-I96</f>
        <v>99877.5114666668</v>
      </c>
      <c r="J106" s="139" t="n">
        <f aca="false">J85-J96</f>
        <v>117645.435520001</v>
      </c>
      <c r="K106" s="139" t="n">
        <f aca="false">K85-K96</f>
        <v>135413.359573334</v>
      </c>
      <c r="L106" s="139" t="n">
        <f aca="false">L85-L96</f>
        <v>153181.283626667</v>
      </c>
      <c r="M106" s="139" t="n">
        <f aca="false">M85-M96</f>
        <v>170949.207680001</v>
      </c>
      <c r="N106" s="139" t="n">
        <f aca="false">N85-N96</f>
        <v>223605.131733334</v>
      </c>
      <c r="O106" s="139" t="n">
        <f aca="false">O85-O96</f>
        <v>241373.055786667</v>
      </c>
      <c r="P106" s="139" t="n">
        <f aca="false">P85-P96</f>
        <v>259140.979840001</v>
      </c>
      <c r="Q106" s="139" t="n">
        <f aca="false">Q85-Q96</f>
        <v>276908.903893334</v>
      </c>
      <c r="R106" s="139" t="n">
        <f aca="false">R85-R96</f>
        <v>294676.827946667</v>
      </c>
      <c r="S106" s="139" t="n">
        <f aca="false">S85-S96</f>
        <v>312444.752000001</v>
      </c>
      <c r="T106" s="139" t="n">
        <f aca="false">T85-T96</f>
        <v>1439303.1264</v>
      </c>
      <c r="U106" s="139" t="n">
        <f aca="false">U85-U96</f>
        <v>1432301.5008</v>
      </c>
      <c r="V106" s="139" t="n">
        <f aca="false">V85-V96</f>
        <v>1425299.8752</v>
      </c>
      <c r="W106" s="139" t="n">
        <f aca="false">W85-W96</f>
        <v>1418298.2496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0.0406878077614562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171</v>
      </c>
      <c r="C109" s="136" t="n">
        <v>0</v>
      </c>
      <c r="D109" s="136" t="n">
        <f aca="false">D92</f>
        <v>18141760</v>
      </c>
      <c r="E109" s="136" t="n">
        <f aca="false">D109+E93</f>
        <v>16932309.3333333</v>
      </c>
      <c r="F109" s="136" t="n">
        <f aca="false">E109+F93</f>
        <v>15722858.6666667</v>
      </c>
      <c r="G109" s="136" t="n">
        <f aca="false">F109+G93</f>
        <v>14513408</v>
      </c>
      <c r="H109" s="136" t="n">
        <f aca="false">G109+H93</f>
        <v>13303957.3333333</v>
      </c>
      <c r="I109" s="136" t="n">
        <f aca="false">H109+I93</f>
        <v>12094506.6666667</v>
      </c>
      <c r="J109" s="136" t="n">
        <f aca="false">I109+J93</f>
        <v>10885056</v>
      </c>
      <c r="K109" s="136" t="n">
        <f aca="false">J109+K93</f>
        <v>9675605.33333331</v>
      </c>
      <c r="L109" s="136" t="n">
        <f aca="false">K109+L93</f>
        <v>8466154.66666664</v>
      </c>
      <c r="M109" s="136" t="n">
        <f aca="false">L109+M93</f>
        <v>7256703.99999997</v>
      </c>
      <c r="N109" s="136" t="n">
        <f aca="false">M109+N93</f>
        <v>6047253.3333333</v>
      </c>
      <c r="O109" s="136" t="n">
        <f aca="false">N109+O93</f>
        <v>4837802.66666663</v>
      </c>
      <c r="P109" s="136" t="n">
        <f aca="false">O109+P93</f>
        <v>3628351.99999996</v>
      </c>
      <c r="Q109" s="136" t="n">
        <f aca="false">P109+Q93</f>
        <v>2418901.33333329</v>
      </c>
      <c r="R109" s="136" t="n">
        <f aca="false">Q109+R93</f>
        <v>1209450.66666662</v>
      </c>
      <c r="S109" s="136" t="n">
        <f aca="false">R109+S93</f>
        <v>-4.88944351673126E-008</v>
      </c>
      <c r="T109" s="136" t="n">
        <f aca="false">S109+T93</f>
        <v>-4.88944351673126E-008</v>
      </c>
      <c r="U109" s="136" t="n">
        <f aca="false">T109+U93</f>
        <v>-4.88944351673126E-008</v>
      </c>
      <c r="V109" s="136" t="n">
        <f aca="false">U109+V93</f>
        <v>-4.88944351673126E-008</v>
      </c>
      <c r="W109" s="136" t="n">
        <f aca="false">V109+W93</f>
        <v>-4.88944351673126E-008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131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172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97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98</v>
      </c>
    </row>
    <row r="7" customFormat="false" ht="22.5" hidden="false" customHeight="true" outlineLevel="0" collapsed="false">
      <c r="B7" s="2" t="s">
        <v>133</v>
      </c>
      <c r="C7" s="2"/>
      <c r="D7" s="2"/>
      <c r="E7" s="2"/>
      <c r="M7" s="1" t="s">
        <v>99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100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82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134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33000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135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136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137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138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139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140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141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142</v>
      </c>
      <c r="C44" s="96" t="n">
        <f aca="false">-(D16/(1-D17)+D18)*C4</f>
        <v>-21431200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143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144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145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146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147</v>
      </c>
      <c r="C49" s="87" t="s">
        <v>4</v>
      </c>
      <c r="D49" s="97" t="n">
        <v>-43173.9</v>
      </c>
      <c r="E49" s="97" t="n">
        <v>-43173.9</v>
      </c>
      <c r="F49" s="97" t="n">
        <v>-43173.9</v>
      </c>
      <c r="G49" s="97" t="n">
        <v>-43173.9</v>
      </c>
      <c r="H49" s="97" t="n">
        <v>-43173.9</v>
      </c>
      <c r="I49" s="97" t="n">
        <v>-43173.9</v>
      </c>
      <c r="J49" s="97" t="n">
        <v>-43173.9</v>
      </c>
      <c r="K49" s="97" t="n">
        <v>-43173.9</v>
      </c>
      <c r="L49" s="97" t="n">
        <v>-43173.9</v>
      </c>
      <c r="M49" s="97" t="n">
        <v>-43173.9</v>
      </c>
      <c r="N49" s="97" t="n">
        <v>-43173.9</v>
      </c>
      <c r="O49" s="97" t="n">
        <v>-43173.9</v>
      </c>
      <c r="P49" s="97" t="n">
        <v>-43173.9</v>
      </c>
      <c r="Q49" s="97" t="n">
        <v>-43173.9</v>
      </c>
      <c r="R49" s="97" t="n">
        <v>-43173.9</v>
      </c>
      <c r="S49" s="97" t="n">
        <v>-43173.9</v>
      </c>
      <c r="T49" s="97" t="n">
        <v>-43173.9</v>
      </c>
      <c r="U49" s="97" t="n">
        <v>-43173.9</v>
      </c>
      <c r="V49" s="97" t="n">
        <v>-43173.9</v>
      </c>
      <c r="W49" s="97" t="n">
        <v>-43173.9</v>
      </c>
      <c r="X49" s="97"/>
    </row>
    <row r="50" customFormat="false" ht="18.75" hidden="false" customHeight="true" outlineLevel="0" collapsed="false">
      <c r="B50" s="95" t="s">
        <v>148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149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150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151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152</v>
      </c>
      <c r="C54" s="98"/>
      <c r="D54" s="97" t="n">
        <f aca="false">-(D64+D67+D68+D71+D72+D73+D74)*0.2</f>
        <v>-108628.604</v>
      </c>
      <c r="E54" s="97" t="n">
        <f aca="false">-(E64+E67+E68+E71+E72+E73+E74)*0.2</f>
        <v>-106878.1976</v>
      </c>
      <c r="F54" s="97" t="n">
        <f aca="false">-(F64+F67+F68+F71+F72+F73+F74)*0.2</f>
        <v>-105127.7912</v>
      </c>
      <c r="G54" s="97" t="n">
        <f aca="false">-(G64+G67+G68+G71+G72+G73+G74)*0.2</f>
        <v>-103377.3848</v>
      </c>
      <c r="H54" s="97" t="n">
        <f aca="false">-(H64+H67+H68+H71+H72+H73+H74)*0.2</f>
        <v>-101626.9784</v>
      </c>
      <c r="I54" s="97" t="n">
        <f aca="false">-(I64+I67+I68+I71+I72+I73+I74)*0.2</f>
        <v>-99876.5719999999</v>
      </c>
      <c r="J54" s="97" t="n">
        <f aca="false">-(J64+J67+J68+J71+J72+J73+J74)*0.2</f>
        <v>-98126.1656</v>
      </c>
      <c r="K54" s="97" t="n">
        <f aca="false">-(K64+K67+K68+K71+K72+K73+K74)*0.2</f>
        <v>-96375.7592</v>
      </c>
      <c r="L54" s="97" t="n">
        <f aca="false">-(L64+L67+L68+L71+L72+L73+L74)*0.2</f>
        <v>-94625.3527999999</v>
      </c>
      <c r="M54" s="97" t="n">
        <f aca="false">-(M64+M67+M68+M71+M72+M73+M74)*0.2</f>
        <v>-92874.9464</v>
      </c>
      <c r="N54" s="97" t="n">
        <f aca="false">-(N64+N67+N68+N71+N72+N73+N74)*0.2</f>
        <v>-99846.5399999999</v>
      </c>
      <c r="O54" s="97" t="n">
        <f aca="false">-(O64+O67+O68+O71+O72+O73+O74)*0.2</f>
        <v>-98096.1335999999</v>
      </c>
      <c r="P54" s="97" t="n">
        <f aca="false">-(P64+P67+P68+P71+P72+P73+P74)*0.2</f>
        <v>-96345.7271999999</v>
      </c>
      <c r="Q54" s="97" t="n">
        <f aca="false">-(Q64+Q67+Q68+Q71+Q72+Q73+Q74)*0.2</f>
        <v>-94595.3207999999</v>
      </c>
      <c r="R54" s="97" t="n">
        <f aca="false">-(R64+R67+R68+R71+R72+R73+R74)*0.2</f>
        <v>-92844.9143999999</v>
      </c>
      <c r="S54" s="97" t="n">
        <f aca="false">-(S64+S67+S68+S71+S72+S73+S74)*0.2</f>
        <v>-91094.5079999999</v>
      </c>
      <c r="T54" s="97" t="n">
        <f aca="false">-(T64+T67+T68+T71+T72+T73+T74)*0.2</f>
        <v>-89344.1015999999</v>
      </c>
      <c r="U54" s="97" t="n">
        <f aca="false">-(U64+U67+U68+U71+U72+U73+U74)*0.2</f>
        <v>-87593.6951999999</v>
      </c>
      <c r="V54" s="97" t="n">
        <f aca="false">-(V64+V67+V68+V71+V72+V73+V74)*0.2</f>
        <v>-85843.2887999999</v>
      </c>
      <c r="W54" s="97" t="n">
        <f aca="false">-(W64+W67+W68+W71+W72+W73+W74)*0.2</f>
        <v>-84092.8823999999</v>
      </c>
      <c r="X54" s="88"/>
    </row>
    <row r="55" customFormat="false" ht="18.75" hidden="false" customHeight="true" outlineLevel="0" collapsed="false">
      <c r="B55" s="100" t="s">
        <v>153</v>
      </c>
      <c r="C55" s="101" t="n">
        <f aca="false">C44</f>
        <v>-21431200</v>
      </c>
      <c r="D55" s="102" t="n">
        <f aca="false">SUM(D41:D54)</f>
        <v>1506074.416</v>
      </c>
      <c r="E55" s="102" t="n">
        <f aca="false">SUM(E41:E54)</f>
        <v>1499072.7904</v>
      </c>
      <c r="F55" s="102" t="n">
        <f aca="false">SUM(F41:F54)</f>
        <v>1492071.1648</v>
      </c>
      <c r="G55" s="102" t="n">
        <f aca="false">SUM(G41:G54)</f>
        <v>1485069.5392</v>
      </c>
      <c r="H55" s="102" t="n">
        <f aca="false">SUM(H41:H54)</f>
        <v>1478067.9136</v>
      </c>
      <c r="I55" s="102" t="n">
        <f aca="false">SUM(I41:I54)</f>
        <v>1471066.288</v>
      </c>
      <c r="J55" s="102" t="n">
        <f aca="false">SUM(J41:J54)</f>
        <v>1464064.6624</v>
      </c>
      <c r="K55" s="102" t="n">
        <f aca="false">SUM(K41:K54)</f>
        <v>1457063.0368</v>
      </c>
      <c r="L55" s="102" t="n">
        <f aca="false">SUM(L41:L54)</f>
        <v>1450061.4112</v>
      </c>
      <c r="M55" s="102" t="n">
        <f aca="false">SUM(M41:M54)</f>
        <v>1443059.7856</v>
      </c>
      <c r="N55" s="102" t="n">
        <f aca="false">SUM(N41:N54)</f>
        <v>1470946.16</v>
      </c>
      <c r="O55" s="102" t="n">
        <f aca="false">SUM(O41:O54)</f>
        <v>1463944.5344</v>
      </c>
      <c r="P55" s="102" t="n">
        <f aca="false">SUM(P41:P54)</f>
        <v>1456942.9088</v>
      </c>
      <c r="Q55" s="102" t="n">
        <f aca="false">SUM(Q41:Q54)</f>
        <v>1449941.2832</v>
      </c>
      <c r="R55" s="102" t="n">
        <f aca="false">SUM(R41:R54)</f>
        <v>1442939.6576</v>
      </c>
      <c r="S55" s="102" t="n">
        <f aca="false">SUM(S41:S54)</f>
        <v>1435938.032</v>
      </c>
      <c r="T55" s="102" t="n">
        <f aca="false">SUM(T41:T54)</f>
        <v>1428936.4064</v>
      </c>
      <c r="U55" s="102" t="n">
        <f aca="false">SUM(U41:U54)</f>
        <v>1421934.7808</v>
      </c>
      <c r="V55" s="102" t="n">
        <f aca="false">SUM(V41:V54)</f>
        <v>1414933.1552</v>
      </c>
      <c r="W55" s="102" t="n">
        <f aca="false">SUM(W41:W54)</f>
        <v>1407931.5296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154</v>
      </c>
      <c r="D56" s="107" t="n">
        <f aca="false">C55+D55</f>
        <v>-19925125.584</v>
      </c>
      <c r="E56" s="107" t="n">
        <f aca="false">D56+E55</f>
        <v>-18426052.7936</v>
      </c>
      <c r="F56" s="107" t="n">
        <f aca="false">E56+F55</f>
        <v>-16933981.6288</v>
      </c>
      <c r="G56" s="107" t="n">
        <f aca="false">F56+G55</f>
        <v>-15448912.0896</v>
      </c>
      <c r="H56" s="107" t="n">
        <f aca="false">G56+H55</f>
        <v>-13970844.176</v>
      </c>
      <c r="I56" s="107" t="n">
        <f aca="false">H56+I55</f>
        <v>-12499777.888</v>
      </c>
      <c r="J56" s="107" t="n">
        <f aca="false">I56+J55</f>
        <v>-11035713.2256</v>
      </c>
      <c r="K56" s="107" t="n">
        <f aca="false">J56+K55</f>
        <v>-9578650.1888</v>
      </c>
      <c r="L56" s="107" t="n">
        <f aca="false">K56+L55</f>
        <v>-8128588.7776</v>
      </c>
      <c r="M56" s="107" t="n">
        <f aca="false">L56+M55</f>
        <v>-6685528.992</v>
      </c>
      <c r="N56" s="107" t="n">
        <f aca="false">M56+N55</f>
        <v>-5214582.832</v>
      </c>
      <c r="O56" s="107" t="n">
        <f aca="false">N56+O55</f>
        <v>-3750638.2976</v>
      </c>
      <c r="P56" s="107" t="n">
        <f aca="false">O56+P55</f>
        <v>-2293695.3888</v>
      </c>
      <c r="Q56" s="107" t="n">
        <f aca="false">P56+Q55</f>
        <v>-843754.105600003</v>
      </c>
      <c r="R56" s="107" t="n">
        <f aca="false">Q56+R55</f>
        <v>599185.551999998</v>
      </c>
      <c r="S56" s="107" t="n">
        <f aca="false">R56+S55</f>
        <v>2035123.584</v>
      </c>
      <c r="T56" s="107" t="n">
        <f aca="false">S56+T55</f>
        <v>3464059.9904</v>
      </c>
      <c r="U56" s="107" t="n">
        <f aca="false">T56+U55</f>
        <v>4885994.7712</v>
      </c>
      <c r="V56" s="107" t="n">
        <f aca="false">U56+V55</f>
        <v>6300927.9264</v>
      </c>
      <c r="W56" s="107" t="n">
        <f aca="false">V56+W55</f>
        <v>7708859.456</v>
      </c>
      <c r="X56" s="107" t="n">
        <f aca="false">W56+X55</f>
        <v>7708859.456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155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未回收</v>
      </c>
      <c r="Q57" s="111" t="str">
        <f aca="false">IF((Q56)&gt;0,"回收","未回收")</f>
        <v>未回收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0.0315699550778097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136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156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137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138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139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140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141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157</v>
      </c>
      <c r="C67" s="87"/>
      <c r="D67" s="120" t="n">
        <f aca="false">$C$44/$E$16</f>
        <v>-1071560</v>
      </c>
      <c r="E67" s="120" t="n">
        <f aca="false">$C$44/$E$16</f>
        <v>-1071560</v>
      </c>
      <c r="F67" s="120" t="n">
        <f aca="false">$C$44/$E$16</f>
        <v>-1071560</v>
      </c>
      <c r="G67" s="120" t="n">
        <f aca="false">$C$44/$E$16</f>
        <v>-1071560</v>
      </c>
      <c r="H67" s="120" t="n">
        <f aca="false">$C$44/$E$16</f>
        <v>-1071560</v>
      </c>
      <c r="I67" s="120" t="n">
        <f aca="false">$C$44/$E$16</f>
        <v>-1071560</v>
      </c>
      <c r="J67" s="120" t="n">
        <f aca="false">$C$44/$E$16</f>
        <v>-1071560</v>
      </c>
      <c r="K67" s="120" t="n">
        <f aca="false">$C$44/$E$16</f>
        <v>-1071560</v>
      </c>
      <c r="L67" s="120" t="n">
        <f aca="false">$C$44/$E$16</f>
        <v>-1071560</v>
      </c>
      <c r="M67" s="120" t="n">
        <f aca="false">$C$44/$E$16</f>
        <v>-1071560</v>
      </c>
      <c r="N67" s="120" t="n">
        <f aca="false">$C$44/$E$16</f>
        <v>-1071560</v>
      </c>
      <c r="O67" s="120" t="n">
        <f aca="false">$C$44/$E$16</f>
        <v>-1071560</v>
      </c>
      <c r="P67" s="120" t="n">
        <f aca="false">$C$44/$E$16</f>
        <v>-1071560</v>
      </c>
      <c r="Q67" s="120" t="n">
        <f aca="false">$C$44/$E$16</f>
        <v>-1071560</v>
      </c>
      <c r="R67" s="120" t="n">
        <f aca="false">$C$44/$E$16</f>
        <v>-1071560</v>
      </c>
      <c r="S67" s="120" t="n">
        <f aca="false">$C$44/$E$16</f>
        <v>-1071560</v>
      </c>
      <c r="T67" s="120" t="n">
        <f aca="false">$C$44/$E$16</f>
        <v>-1071560</v>
      </c>
      <c r="U67" s="120" t="n">
        <f aca="false">$C$44/$E$16</f>
        <v>-1071560</v>
      </c>
      <c r="V67" s="120" t="n">
        <f aca="false">$C$44/$E$16</f>
        <v>-1071560</v>
      </c>
      <c r="W67" s="120" t="n">
        <f aca="false">$C$44/$E$16</f>
        <v>-1071560</v>
      </c>
      <c r="X67" s="90"/>
    </row>
    <row r="68" customFormat="false" ht="18.75" hidden="false" customHeight="true" outlineLevel="0" collapsed="false">
      <c r="B68" s="95" t="s">
        <v>143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144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145</v>
      </c>
      <c r="C70" s="87" t="s">
        <v>4</v>
      </c>
      <c r="D70" s="97" t="n">
        <f aca="false">-D109*$D25</f>
        <v>-438910.976</v>
      </c>
      <c r="E70" s="97" t="n">
        <f aca="false">-E109*$D25</f>
        <v>-409650.244266667</v>
      </c>
      <c r="F70" s="97" t="n">
        <f aca="false">-F109*$D25</f>
        <v>-380389.512533334</v>
      </c>
      <c r="G70" s="97" t="n">
        <f aca="false">-G109*$D25</f>
        <v>-351128.7808</v>
      </c>
      <c r="H70" s="97" t="n">
        <f aca="false">-H109*$D25</f>
        <v>-321868.049066667</v>
      </c>
      <c r="I70" s="97" t="n">
        <f aca="false">-I109*$D25</f>
        <v>-292607.317333334</v>
      </c>
      <c r="J70" s="97" t="n">
        <f aca="false">-J109*$D25</f>
        <v>-263346.585600001</v>
      </c>
      <c r="K70" s="97" t="n">
        <f aca="false">-K109*$D25</f>
        <v>-234085.853866667</v>
      </c>
      <c r="L70" s="97" t="n">
        <f aca="false">-L109*$D25</f>
        <v>-204825.122133334</v>
      </c>
      <c r="M70" s="97" t="n">
        <f aca="false">-M109*$D25</f>
        <v>-175564.390400001</v>
      </c>
      <c r="N70" s="97" t="n">
        <f aca="false">-N109*$D25</f>
        <v>-146303.658666668</v>
      </c>
      <c r="O70" s="97" t="n">
        <f aca="false">-O109*$D25</f>
        <v>-117042.926933334</v>
      </c>
      <c r="P70" s="97" t="n">
        <f aca="false">-P109*$D25</f>
        <v>-87782.1952000011</v>
      </c>
      <c r="Q70" s="97" t="n">
        <f aca="false">-Q109*$D25</f>
        <v>-58521.4634666678</v>
      </c>
      <c r="R70" s="97" t="n">
        <f aca="false">-R109*$D25</f>
        <v>-29260.7317333346</v>
      </c>
      <c r="S70" s="97" t="n">
        <f aca="false">-S109*$D25</f>
        <v>-1.29938125610352E-009</v>
      </c>
      <c r="T70" s="97" t="n">
        <f aca="false">-T109*$D25</f>
        <v>-1.29938125610352E-009</v>
      </c>
      <c r="U70" s="97" t="n">
        <f aca="false">-U109*$D25</f>
        <v>-1.29938125610352E-009</v>
      </c>
      <c r="V70" s="97" t="n">
        <f aca="false">-V109*$D25</f>
        <v>-1.29938125610352E-009</v>
      </c>
      <c r="W70" s="97" t="n">
        <f aca="false">-W109*$D25</f>
        <v>-1.29938125610352E-009</v>
      </c>
      <c r="X70" s="90"/>
    </row>
    <row r="71" customFormat="false" ht="18.75" hidden="false" customHeight="true" outlineLevel="0" collapsed="false">
      <c r="B71" s="95" t="s">
        <v>146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147</v>
      </c>
      <c r="C72" s="87" t="s">
        <v>4</v>
      </c>
      <c r="D72" s="97" t="n">
        <f aca="false">D49</f>
        <v>-43173.9</v>
      </c>
      <c r="E72" s="97" t="n">
        <f aca="false">E49</f>
        <v>-43173.9</v>
      </c>
      <c r="F72" s="97" t="n">
        <f aca="false">F49</f>
        <v>-43173.9</v>
      </c>
      <c r="G72" s="97" t="n">
        <f aca="false">G49</f>
        <v>-43173.9</v>
      </c>
      <c r="H72" s="97" t="n">
        <f aca="false">H49</f>
        <v>-43173.9</v>
      </c>
      <c r="I72" s="97" t="n">
        <f aca="false">I49</f>
        <v>-43173.9</v>
      </c>
      <c r="J72" s="97" t="n">
        <f aca="false">J49</f>
        <v>-43173.9</v>
      </c>
      <c r="K72" s="97" t="n">
        <f aca="false">K49</f>
        <v>-43173.9</v>
      </c>
      <c r="L72" s="97" t="n">
        <f aca="false">L49</f>
        <v>-43173.9</v>
      </c>
      <c r="M72" s="97" t="n">
        <f aca="false">M49</f>
        <v>-43173.9</v>
      </c>
      <c r="N72" s="97" t="n">
        <f aca="false">N49</f>
        <v>-43173.9</v>
      </c>
      <c r="O72" s="97" t="n">
        <f aca="false">O49</f>
        <v>-43173.9</v>
      </c>
      <c r="P72" s="97" t="n">
        <f aca="false">P49</f>
        <v>-43173.9</v>
      </c>
      <c r="Q72" s="97" t="n">
        <f aca="false">Q49</f>
        <v>-43173.9</v>
      </c>
      <c r="R72" s="97" t="n">
        <f aca="false">R49</f>
        <v>-43173.9</v>
      </c>
      <c r="S72" s="97" t="n">
        <f aca="false">S49</f>
        <v>-43173.9</v>
      </c>
      <c r="T72" s="97" t="n">
        <f aca="false">T49</f>
        <v>-43173.9</v>
      </c>
      <c r="U72" s="97" t="n">
        <f aca="false">U49</f>
        <v>-43173.9</v>
      </c>
      <c r="V72" s="97" t="n">
        <f aca="false">V49</f>
        <v>-43173.9</v>
      </c>
      <c r="W72" s="97" t="n">
        <f aca="false">W49</f>
        <v>-43173.9</v>
      </c>
      <c r="X72" s="90"/>
    </row>
    <row r="73" customFormat="false" ht="18.75" hidden="false" customHeight="true" outlineLevel="0" collapsed="false">
      <c r="B73" s="95" t="s">
        <v>148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149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150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158</v>
      </c>
      <c r="C76" s="123"/>
      <c r="D76" s="102" t="n">
        <f aca="false">SUM(D64:D75)</f>
        <v>104232.044</v>
      </c>
      <c r="E76" s="102" t="n">
        <f aca="false">SUM(E64:E75)</f>
        <v>124740.743733333</v>
      </c>
      <c r="F76" s="102" t="n">
        <f aca="false">SUM(F64:F75)</f>
        <v>145249.443466666</v>
      </c>
      <c r="G76" s="102" t="n">
        <f aca="false">SUM(G64:G75)</f>
        <v>165758.143199999</v>
      </c>
      <c r="H76" s="102" t="n">
        <f aca="false">SUM(H64:H75)</f>
        <v>186266.842933333</v>
      </c>
      <c r="I76" s="102" t="n">
        <f aca="false">SUM(I64:I75)</f>
        <v>206775.542666666</v>
      </c>
      <c r="J76" s="102" t="n">
        <f aca="false">SUM(J64:J75)</f>
        <v>227284.242399999</v>
      </c>
      <c r="K76" s="102" t="n">
        <f aca="false">SUM(K64:K75)</f>
        <v>247792.942133332</v>
      </c>
      <c r="L76" s="102" t="n">
        <f aca="false">SUM(L64:L75)</f>
        <v>268301.641866666</v>
      </c>
      <c r="M76" s="102" t="n">
        <f aca="false">SUM(M64:M75)</f>
        <v>288810.341599999</v>
      </c>
      <c r="N76" s="102" t="n">
        <f aca="false">SUM(N64:N75)</f>
        <v>352929.041333332</v>
      </c>
      <c r="O76" s="102" t="n">
        <f aca="false">SUM(O64:O75)</f>
        <v>373437.741066665</v>
      </c>
      <c r="P76" s="102" t="n">
        <f aca="false">SUM(P64:P75)</f>
        <v>393946.440799999</v>
      </c>
      <c r="Q76" s="102" t="n">
        <f aca="false">SUM(Q64:Q75)</f>
        <v>414455.140533332</v>
      </c>
      <c r="R76" s="102" t="n">
        <f aca="false">SUM(R64:R75)</f>
        <v>434963.840266665</v>
      </c>
      <c r="S76" s="102" t="n">
        <f aca="false">SUM(S64:S75)</f>
        <v>455472.539999998</v>
      </c>
      <c r="T76" s="102" t="n">
        <f aca="false">SUM(T64:T75)</f>
        <v>446720.507999998</v>
      </c>
      <c r="U76" s="102" t="n">
        <f aca="false">SUM(U64:U75)</f>
        <v>437968.475999998</v>
      </c>
      <c r="V76" s="102" t="n">
        <f aca="false">SUM(V64:V75)</f>
        <v>429216.443999998</v>
      </c>
      <c r="W76" s="102" t="n">
        <f aca="false">SUM(W64:W75)</f>
        <v>420464.411999998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152</v>
      </c>
      <c r="C77" s="98"/>
      <c r="D77" s="97" t="n">
        <f aca="false">-D76*0.2</f>
        <v>-20846.4087999999</v>
      </c>
      <c r="E77" s="97" t="n">
        <f aca="false">-E76*0.2</f>
        <v>-24948.1487466665</v>
      </c>
      <c r="F77" s="97" t="n">
        <f aca="false">-F76*0.2</f>
        <v>-29049.8886933333</v>
      </c>
      <c r="G77" s="97" t="n">
        <f aca="false">-G76*0.2</f>
        <v>-33151.6286399999</v>
      </c>
      <c r="H77" s="97" t="n">
        <f aca="false">-H76*0.2</f>
        <v>-37253.3685866665</v>
      </c>
      <c r="I77" s="97" t="n">
        <f aca="false">-I76*0.2</f>
        <v>-41355.1085333331</v>
      </c>
      <c r="J77" s="97" t="n">
        <f aca="false">-J76*0.2</f>
        <v>-45456.8484799999</v>
      </c>
      <c r="K77" s="97" t="n">
        <f aca="false">-K76*0.2</f>
        <v>-49558.5884266665</v>
      </c>
      <c r="L77" s="97" t="n">
        <f aca="false">-L76*0.2</f>
        <v>-53660.3283733331</v>
      </c>
      <c r="M77" s="97" t="n">
        <f aca="false">-M76*0.2</f>
        <v>-57762.0683199998</v>
      </c>
      <c r="N77" s="97" t="n">
        <f aca="false">-N76*0.2</f>
        <v>-70585.8082666664</v>
      </c>
      <c r="O77" s="97" t="n">
        <f aca="false">-O76*0.2</f>
        <v>-74687.5482133331</v>
      </c>
      <c r="P77" s="97" t="n">
        <f aca="false">-P76*0.2</f>
        <v>-78789.2881599997</v>
      </c>
      <c r="Q77" s="97" t="n">
        <f aca="false">-Q76*0.2</f>
        <v>-82891.0281066664</v>
      </c>
      <c r="R77" s="97" t="n">
        <f aca="false">-R76*0.2</f>
        <v>-86992.768053333</v>
      </c>
      <c r="S77" s="97" t="n">
        <f aca="false">-S76*0.2</f>
        <v>-91094.5079999997</v>
      </c>
      <c r="T77" s="97" t="n">
        <f aca="false">-T76*0.2</f>
        <v>-89344.1015999997</v>
      </c>
      <c r="U77" s="97" t="n">
        <f aca="false">-U76*0.2</f>
        <v>-87593.6951999997</v>
      </c>
      <c r="V77" s="97" t="n">
        <f aca="false">-V76*0.2</f>
        <v>-85843.2887999997</v>
      </c>
      <c r="W77" s="97" t="n">
        <f aca="false">-W76*0.2</f>
        <v>-84092.8823999997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159</v>
      </c>
      <c r="D78" s="97" t="n">
        <f aca="false">SUM(D76:D77)</f>
        <v>83385.6351999996</v>
      </c>
      <c r="E78" s="97" t="n">
        <f aca="false">SUM(E76:E77)</f>
        <v>99792.5949866662</v>
      </c>
      <c r="F78" s="97" t="n">
        <f aca="false">SUM(F76:F77)</f>
        <v>116199.554773333</v>
      </c>
      <c r="G78" s="97" t="n">
        <f aca="false">SUM(G76:G77)</f>
        <v>132606.51456</v>
      </c>
      <c r="H78" s="97" t="n">
        <f aca="false">SUM(H76:H77)</f>
        <v>149013.474346666</v>
      </c>
      <c r="I78" s="97" t="n">
        <f aca="false">SUM(I76:I77)</f>
        <v>165420.434133333</v>
      </c>
      <c r="J78" s="97" t="n">
        <f aca="false">SUM(J76:J77)</f>
        <v>181827.393919999</v>
      </c>
      <c r="K78" s="97" t="n">
        <f aca="false">SUM(K76:K77)</f>
        <v>198234.353706666</v>
      </c>
      <c r="L78" s="97" t="n">
        <f aca="false">SUM(L76:L77)</f>
        <v>214641.313493332</v>
      </c>
      <c r="M78" s="97" t="n">
        <f aca="false">SUM(M76:M77)</f>
        <v>231048.273279999</v>
      </c>
      <c r="N78" s="97" t="n">
        <f aca="false">SUM(N76:N77)</f>
        <v>282343.233066666</v>
      </c>
      <c r="O78" s="97" t="n">
        <f aca="false">SUM(O76:O77)</f>
        <v>298750.192853332</v>
      </c>
      <c r="P78" s="97" t="n">
        <f aca="false">SUM(P76:P77)</f>
        <v>315157.152639999</v>
      </c>
      <c r="Q78" s="97" t="n">
        <f aca="false">SUM(Q76:Q77)</f>
        <v>331564.112426666</v>
      </c>
      <c r="R78" s="97" t="n">
        <f aca="false">SUM(R76:R77)</f>
        <v>347971.072213332</v>
      </c>
      <c r="S78" s="97" t="n">
        <f aca="false">SUM(S76:S77)</f>
        <v>364378.031999999</v>
      </c>
      <c r="T78" s="97" t="n">
        <f aca="false">SUM(T76:T77)</f>
        <v>357376.406399999</v>
      </c>
      <c r="U78" s="97" t="n">
        <f aca="false">SUM(U76:U77)</f>
        <v>350374.780799999</v>
      </c>
      <c r="V78" s="97" t="n">
        <f aca="false">SUM(V76:V77)</f>
        <v>343373.155199999</v>
      </c>
      <c r="W78" s="97" t="n">
        <f aca="false">SUM(W76:W77)</f>
        <v>336371.529599999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154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155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136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137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159</v>
      </c>
      <c r="C85" s="135"/>
      <c r="D85" s="136" t="n">
        <f aca="false">D78</f>
        <v>83385.6351999996</v>
      </c>
      <c r="E85" s="136" t="n">
        <f aca="false">E78</f>
        <v>99792.5949866662</v>
      </c>
      <c r="F85" s="136" t="n">
        <f aca="false">F78</f>
        <v>116199.554773333</v>
      </c>
      <c r="G85" s="136" t="n">
        <f aca="false">G78</f>
        <v>132606.51456</v>
      </c>
      <c r="H85" s="136" t="n">
        <f aca="false">H78</f>
        <v>149013.474346666</v>
      </c>
      <c r="I85" s="136" t="n">
        <f aca="false">I78</f>
        <v>165420.434133333</v>
      </c>
      <c r="J85" s="136" t="n">
        <f aca="false">J78</f>
        <v>181827.393919999</v>
      </c>
      <c r="K85" s="136" t="n">
        <f aca="false">K78</f>
        <v>198234.353706666</v>
      </c>
      <c r="L85" s="136" t="n">
        <f aca="false">L78</f>
        <v>214641.313493332</v>
      </c>
      <c r="M85" s="136" t="n">
        <f aca="false">M78</f>
        <v>231048.273279999</v>
      </c>
      <c r="N85" s="136" t="n">
        <f aca="false">N78</f>
        <v>282343.233066666</v>
      </c>
      <c r="O85" s="136" t="n">
        <f aca="false">O78</f>
        <v>298750.192853332</v>
      </c>
      <c r="P85" s="136" t="n">
        <f aca="false">P78</f>
        <v>315157.152639999</v>
      </c>
      <c r="Q85" s="136" t="n">
        <f aca="false">Q78</f>
        <v>331564.112426666</v>
      </c>
      <c r="R85" s="136" t="n">
        <f aca="false">R78</f>
        <v>347971.072213332</v>
      </c>
      <c r="S85" s="136" t="n">
        <f aca="false">S78</f>
        <v>364378.031999999</v>
      </c>
      <c r="T85" s="136" t="n">
        <f aca="false">T78</f>
        <v>357376.406399999</v>
      </c>
      <c r="U85" s="136" t="n">
        <f aca="false">U78</f>
        <v>350374.780799999</v>
      </c>
      <c r="V85" s="136" t="n">
        <f aca="false">V78</f>
        <v>343373.155199999</v>
      </c>
      <c r="W85" s="136" t="n">
        <f aca="false">W78</f>
        <v>336371.529599999</v>
      </c>
      <c r="X85" s="135"/>
      <c r="Y85" s="135"/>
    </row>
    <row r="86" customFormat="false" ht="15" hidden="false" customHeight="true" outlineLevel="0" collapsed="false">
      <c r="B86" s="135" t="s">
        <v>160</v>
      </c>
      <c r="C86" s="135"/>
      <c r="D86" s="137" t="n">
        <f aca="false">-D67</f>
        <v>1071560</v>
      </c>
      <c r="E86" s="137" t="n">
        <f aca="false">-E67</f>
        <v>1071560</v>
      </c>
      <c r="F86" s="137" t="n">
        <f aca="false">-F67</f>
        <v>1071560</v>
      </c>
      <c r="G86" s="137" t="n">
        <f aca="false">-G67</f>
        <v>1071560</v>
      </c>
      <c r="H86" s="137" t="n">
        <f aca="false">-H67</f>
        <v>1071560</v>
      </c>
      <c r="I86" s="137" t="n">
        <f aca="false">-I67</f>
        <v>1071560</v>
      </c>
      <c r="J86" s="137" t="n">
        <f aca="false">-J67</f>
        <v>1071560</v>
      </c>
      <c r="K86" s="137" t="n">
        <f aca="false">-K67</f>
        <v>1071560</v>
      </c>
      <c r="L86" s="137" t="n">
        <f aca="false">-L67</f>
        <v>1071560</v>
      </c>
      <c r="M86" s="137" t="n">
        <f aca="false">-M67</f>
        <v>1071560</v>
      </c>
      <c r="N86" s="137" t="n">
        <f aca="false">-N67</f>
        <v>1071560</v>
      </c>
      <c r="O86" s="137" t="n">
        <f aca="false">-O67</f>
        <v>1071560</v>
      </c>
      <c r="P86" s="137" t="n">
        <f aca="false">-P67</f>
        <v>1071560</v>
      </c>
      <c r="Q86" s="137" t="n">
        <f aca="false">-Q67</f>
        <v>1071560</v>
      </c>
      <c r="R86" s="137" t="n">
        <f aca="false">-R67</f>
        <v>1071560</v>
      </c>
      <c r="S86" s="137" t="n">
        <f aca="false">-S67</f>
        <v>1071560</v>
      </c>
      <c r="T86" s="137" t="n">
        <f aca="false">-T67</f>
        <v>1071560</v>
      </c>
      <c r="U86" s="137" t="n">
        <f aca="false">-U67</f>
        <v>1071560</v>
      </c>
      <c r="V86" s="137" t="n">
        <f aca="false">-V67</f>
        <v>1071560</v>
      </c>
      <c r="W86" s="137" t="n">
        <f aca="false">-W67</f>
        <v>1071560</v>
      </c>
      <c r="X86" s="138"/>
      <c r="Y86" s="138"/>
    </row>
    <row r="87" customFormat="false" ht="15" hidden="false" customHeight="true" outlineLevel="0" collapsed="false">
      <c r="B87" s="135" t="s">
        <v>161</v>
      </c>
      <c r="C87" s="135"/>
      <c r="D87" s="139" t="n">
        <f aca="false">SUM(D85:D86)</f>
        <v>1154945.6352</v>
      </c>
      <c r="E87" s="139" t="n">
        <f aca="false">SUM(E85:E86)</f>
        <v>1171352.59498667</v>
      </c>
      <c r="F87" s="139" t="n">
        <f aca="false">SUM(F85:F86)</f>
        <v>1187759.55477333</v>
      </c>
      <c r="G87" s="139" t="n">
        <f aca="false">SUM(G85:G86)</f>
        <v>1204166.51456</v>
      </c>
      <c r="H87" s="139" t="n">
        <f aca="false">SUM(H85:H86)</f>
        <v>1220573.47434667</v>
      </c>
      <c r="I87" s="139" t="n">
        <f aca="false">SUM(I85:I86)</f>
        <v>1236980.43413333</v>
      </c>
      <c r="J87" s="139" t="n">
        <f aca="false">SUM(J85:J86)</f>
        <v>1253387.39392</v>
      </c>
      <c r="K87" s="139" t="n">
        <f aca="false">SUM(K85:K86)</f>
        <v>1269794.35370667</v>
      </c>
      <c r="L87" s="139" t="n">
        <f aca="false">SUM(L85:L86)</f>
        <v>1286201.31349333</v>
      </c>
      <c r="M87" s="139" t="n">
        <f aca="false">SUM(M85:M86)</f>
        <v>1302608.27328</v>
      </c>
      <c r="N87" s="139" t="n">
        <f aca="false">SUM(N85:N86)</f>
        <v>1353903.23306667</v>
      </c>
      <c r="O87" s="139" t="n">
        <f aca="false">SUM(O85:O86)</f>
        <v>1370310.19285333</v>
      </c>
      <c r="P87" s="139" t="n">
        <f aca="false">SUM(P85:P86)</f>
        <v>1386717.15264</v>
      </c>
      <c r="Q87" s="139" t="n">
        <f aca="false">SUM(Q85:Q86)</f>
        <v>1403124.11242667</v>
      </c>
      <c r="R87" s="139" t="n">
        <f aca="false">SUM(R85:R86)</f>
        <v>1419531.07221333</v>
      </c>
      <c r="S87" s="139" t="n">
        <f aca="false">SUM(S85:S86)</f>
        <v>1435938.032</v>
      </c>
      <c r="T87" s="139" t="n">
        <f aca="false">SUM(T85:T86)</f>
        <v>1428936.4064</v>
      </c>
      <c r="U87" s="139" t="n">
        <f aca="false">SUM(U85:U86)</f>
        <v>1421934.7808</v>
      </c>
      <c r="V87" s="139" t="n">
        <f aca="false">SUM(V85:V86)</f>
        <v>1414933.1552</v>
      </c>
      <c r="W87" s="139" t="n">
        <f aca="false">SUM(W85:W86)</f>
        <v>1407931.5296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162</v>
      </c>
      <c r="C89" s="142"/>
      <c r="D89" s="143" t="n">
        <f aca="false">C44</f>
        <v>-21431200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163</v>
      </c>
      <c r="C92" s="142"/>
      <c r="D92" s="143" t="n">
        <f aca="false">-D89*D31</f>
        <v>17144960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164</v>
      </c>
      <c r="C93" s="135"/>
      <c r="D93" s="145"/>
      <c r="E93" s="145" t="n">
        <v>-1142997.33333333</v>
      </c>
      <c r="F93" s="145" t="n">
        <v>-1142997.33333333</v>
      </c>
      <c r="G93" s="145" t="n">
        <v>-1142997.33333333</v>
      </c>
      <c r="H93" s="145" t="n">
        <v>-1142997.33333333</v>
      </c>
      <c r="I93" s="145" t="n">
        <v>-1142997.33333333</v>
      </c>
      <c r="J93" s="145" t="n">
        <v>-1142997.33333333</v>
      </c>
      <c r="K93" s="145" t="n">
        <v>-1142997.33333333</v>
      </c>
      <c r="L93" s="145" t="n">
        <v>-1142997.33333333</v>
      </c>
      <c r="M93" s="145" t="n">
        <v>-1142997.33333333</v>
      </c>
      <c r="N93" s="145" t="n">
        <v>-1142997.33333333</v>
      </c>
      <c r="O93" s="145" t="n">
        <v>-1142997.33333333</v>
      </c>
      <c r="P93" s="145" t="n">
        <v>-1142997.33333333</v>
      </c>
      <c r="Q93" s="145" t="n">
        <v>-1142997.33333333</v>
      </c>
      <c r="R93" s="145" t="n">
        <v>-1142997.33333333</v>
      </c>
      <c r="S93" s="145" t="n">
        <v>-1142997.33333333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165</v>
      </c>
      <c r="C94" s="140"/>
      <c r="D94" s="136" t="n">
        <f aca="false">-D89*(1-D31)</f>
        <v>4286240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-75047.0716799997</v>
      </c>
      <c r="F95" s="146" t="n">
        <f aca="false">-E85*$D$33</f>
        <v>-89813.3354879996</v>
      </c>
      <c r="G95" s="146" t="n">
        <f aca="false">-F85*$D$33</f>
        <v>-104579.599296</v>
      </c>
      <c r="H95" s="146" t="n">
        <f aca="false">-G85*$D$33</f>
        <v>-119345.863104</v>
      </c>
      <c r="I95" s="146" t="n">
        <f aca="false">-H85*$D$33</f>
        <v>-134112.126911999</v>
      </c>
      <c r="J95" s="146" t="n">
        <f aca="false">-I85*$D$33</f>
        <v>-148878.390719999</v>
      </c>
      <c r="K95" s="146" t="n">
        <f aca="false">-J85*$D$33</f>
        <v>-163644.654528</v>
      </c>
      <c r="L95" s="146" t="n">
        <f aca="false">-K85*$D$33</f>
        <v>-178410.918335999</v>
      </c>
      <c r="M95" s="146" t="n">
        <f aca="false">-L85*$D$33</f>
        <v>-193177.182143999</v>
      </c>
      <c r="N95" s="146" t="n">
        <f aca="false">-M85*$D$33</f>
        <v>-207943.445951999</v>
      </c>
      <c r="O95" s="146" t="n">
        <f aca="false">-N85*$D$33</f>
        <v>-254108.909759999</v>
      </c>
      <c r="P95" s="146" t="n">
        <f aca="false">-O85*$D$33</f>
        <v>-268875.173567999</v>
      </c>
      <c r="Q95" s="146" t="n">
        <f aca="false">-P85*$D$33</f>
        <v>-283641.437375999</v>
      </c>
      <c r="R95" s="146" t="n">
        <f aca="false">-Q85*$D$33</f>
        <v>-298407.701183999</v>
      </c>
      <c r="S95" s="146" t="n">
        <f aca="false">-R85*$D$33</f>
        <v>-313173.964991999</v>
      </c>
      <c r="T95" s="146" t="n">
        <f aca="false">-S85*$D$33</f>
        <v>-327940.228799999</v>
      </c>
      <c r="U95" s="146" t="n">
        <f aca="false">-T85*$D$33</f>
        <v>-321638.765759999</v>
      </c>
      <c r="V95" s="146" t="n">
        <f aca="false">-U85*$D$33</f>
        <v>-315337.302719999</v>
      </c>
      <c r="W95" s="146" t="n">
        <f aca="false">-V85*$D$33</f>
        <v>-309035.839679999</v>
      </c>
      <c r="X95" s="146" t="n">
        <f aca="false">-W85*$D$33</f>
        <v>-302734.376639999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-1071560</v>
      </c>
      <c r="U96" s="149" t="n">
        <v>-1071560</v>
      </c>
      <c r="V96" s="149" t="n">
        <v>-1071560</v>
      </c>
      <c r="W96" s="149" t="n">
        <v>-1071560</v>
      </c>
      <c r="X96" s="150" t="n">
        <f aca="false">-W101-X95</f>
        <v>-489982.920960053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166</v>
      </c>
      <c r="C99" s="136" t="n">
        <v>0</v>
      </c>
      <c r="D99" s="136" t="n">
        <f aca="false">SUM(D87:D96)</f>
        <v>1154945.6352</v>
      </c>
      <c r="E99" s="136" t="n">
        <f aca="false">SUM(E87:E96)</f>
        <v>-46691.8100266632</v>
      </c>
      <c r="F99" s="136" t="n">
        <f aca="false">SUM(F87:F96)</f>
        <v>-45051.1140479963</v>
      </c>
      <c r="G99" s="136" t="n">
        <f aca="false">SUM(G87:G96)</f>
        <v>-43410.4180693299</v>
      </c>
      <c r="H99" s="136" t="n">
        <f aca="false">SUM(H87:H96)</f>
        <v>-41769.7220906632</v>
      </c>
      <c r="I99" s="136" t="n">
        <f aca="false">SUM(I87:I96)</f>
        <v>-40129.0261119968</v>
      </c>
      <c r="J99" s="136" t="n">
        <f aca="false">SUM(J87:J96)</f>
        <v>-38488.3301333296</v>
      </c>
      <c r="K99" s="136" t="n">
        <f aca="false">SUM(K87:K96)</f>
        <v>-36847.6341546632</v>
      </c>
      <c r="L99" s="136" t="n">
        <f aca="false">SUM(L87:L96)</f>
        <v>-35206.9381759968</v>
      </c>
      <c r="M99" s="136" t="n">
        <f aca="false">SUM(M87:M96)</f>
        <v>-33566.2421973298</v>
      </c>
      <c r="N99" s="136" t="n">
        <f aca="false">SUM(N87:N96)</f>
        <v>2962.45378133669</v>
      </c>
      <c r="O99" s="136" t="n">
        <f aca="false">SUM(O87:O96)</f>
        <v>-26796.0502399966</v>
      </c>
      <c r="P99" s="136" t="n">
        <f aca="false">SUM(P87:P96)</f>
        <v>-25155.35426133</v>
      </c>
      <c r="Q99" s="136" t="n">
        <f aca="false">SUM(Q87:Q96)</f>
        <v>-23514.6582826633</v>
      </c>
      <c r="R99" s="136" t="n">
        <f aca="false">SUM(R87:R96)</f>
        <v>-21873.9623039968</v>
      </c>
      <c r="S99" s="136" t="n">
        <f aca="false">SUM(S87:S96)</f>
        <v>-20233.2663253299</v>
      </c>
      <c r="T99" s="136" t="n">
        <f aca="false">SUM(T87:T96)</f>
        <v>29436.1776000001</v>
      </c>
      <c r="U99" s="136" t="n">
        <f aca="false">SUM(U87:U96)</f>
        <v>28736.0150400002</v>
      </c>
      <c r="V99" s="136" t="n">
        <f aca="false">SUM(V87:V96)</f>
        <v>28035.8524800001</v>
      </c>
      <c r="W99" s="136" t="n">
        <f aca="false">SUM(W87:W96)</f>
        <v>27335.6899200003</v>
      </c>
      <c r="X99" s="105"/>
    </row>
    <row r="100" customFormat="false" ht="15" hidden="false" customHeight="true" outlineLevel="0" collapsed="false">
      <c r="B100" s="135" t="s">
        <v>167</v>
      </c>
      <c r="C100" s="136" t="n">
        <v>0</v>
      </c>
      <c r="D100" s="136" t="n">
        <f aca="false">C101</f>
        <v>0</v>
      </c>
      <c r="E100" s="136" t="n">
        <f aca="false">D101</f>
        <v>1154945.6352</v>
      </c>
      <c r="F100" s="136" t="n">
        <f aca="false">E101</f>
        <v>1108253.82517334</v>
      </c>
      <c r="G100" s="136" t="n">
        <f aca="false">F101</f>
        <v>1063202.71112534</v>
      </c>
      <c r="H100" s="136" t="n">
        <f aca="false">G101</f>
        <v>1019792.29305601</v>
      </c>
      <c r="I100" s="136" t="n">
        <f aca="false">H101</f>
        <v>978022.570965347</v>
      </c>
      <c r="J100" s="136" t="n">
        <f aca="false">I101</f>
        <v>937893.544853351</v>
      </c>
      <c r="K100" s="136" t="n">
        <f aca="false">J101</f>
        <v>899405.214720021</v>
      </c>
      <c r="L100" s="136" t="n">
        <f aca="false">K101</f>
        <v>862557.580565358</v>
      </c>
      <c r="M100" s="136" t="n">
        <f aca="false">L101</f>
        <v>827350.642389361</v>
      </c>
      <c r="N100" s="136" t="n">
        <f aca="false">M101</f>
        <v>793784.400192031</v>
      </c>
      <c r="O100" s="136" t="n">
        <f aca="false">N101</f>
        <v>796746.853973368</v>
      </c>
      <c r="P100" s="136" t="n">
        <f aca="false">O101</f>
        <v>769950.803733371</v>
      </c>
      <c r="Q100" s="136" t="n">
        <f aca="false">P101</f>
        <v>744795.449472041</v>
      </c>
      <c r="R100" s="136" t="n">
        <f aca="false">Q101</f>
        <v>721280.791189378</v>
      </c>
      <c r="S100" s="136" t="n">
        <f aca="false">R101</f>
        <v>699406.828885381</v>
      </c>
      <c r="T100" s="136" t="n">
        <f aca="false">S101</f>
        <v>679173.562560051</v>
      </c>
      <c r="U100" s="136" t="n">
        <f aca="false">T101</f>
        <v>708609.740160051</v>
      </c>
      <c r="V100" s="136" t="n">
        <f aca="false">U101</f>
        <v>737345.755200051</v>
      </c>
      <c r="W100" s="136" t="n">
        <f aca="false">V101</f>
        <v>765381.607680052</v>
      </c>
      <c r="X100" s="104"/>
    </row>
    <row r="101" customFormat="false" ht="15" hidden="false" customHeight="true" outlineLevel="0" collapsed="false">
      <c r="B101" s="135" t="s">
        <v>168</v>
      </c>
      <c r="C101" s="136" t="n">
        <v>0</v>
      </c>
      <c r="D101" s="136" t="n">
        <f aca="false">D99+D100</f>
        <v>1154945.6352</v>
      </c>
      <c r="E101" s="136" t="n">
        <f aca="false">E99+E100</f>
        <v>1108253.82517334</v>
      </c>
      <c r="F101" s="136" t="n">
        <f aca="false">F99+F100</f>
        <v>1063202.71112534</v>
      </c>
      <c r="G101" s="136" t="n">
        <f aca="false">G99+G100</f>
        <v>1019792.29305601</v>
      </c>
      <c r="H101" s="136" t="n">
        <f aca="false">H99+H100</f>
        <v>978022.570965347</v>
      </c>
      <c r="I101" s="136" t="n">
        <f aca="false">I99+I100</f>
        <v>937893.544853351</v>
      </c>
      <c r="J101" s="136" t="n">
        <f aca="false">J99+J100</f>
        <v>899405.214720021</v>
      </c>
      <c r="K101" s="136" t="n">
        <f aca="false">K99+K100</f>
        <v>862557.580565358</v>
      </c>
      <c r="L101" s="136" t="n">
        <f aca="false">L99+L100</f>
        <v>827350.642389361</v>
      </c>
      <c r="M101" s="136" t="n">
        <f aca="false">M99+M100</f>
        <v>793784.400192031</v>
      </c>
      <c r="N101" s="136" t="n">
        <f aca="false">N99+N100</f>
        <v>796746.853973368</v>
      </c>
      <c r="O101" s="136" t="n">
        <f aca="false">O99+O100</f>
        <v>769950.803733371</v>
      </c>
      <c r="P101" s="136" t="n">
        <f aca="false">P99+P100</f>
        <v>744795.449472041</v>
      </c>
      <c r="Q101" s="136" t="n">
        <f aca="false">Q99+Q100</f>
        <v>721280.791189378</v>
      </c>
      <c r="R101" s="136" t="n">
        <f aca="false">R99+R100</f>
        <v>699406.828885381</v>
      </c>
      <c r="S101" s="136" t="n">
        <f aca="false">S99+S100</f>
        <v>679173.562560051</v>
      </c>
      <c r="T101" s="136" t="n">
        <f aca="false">T99+T100</f>
        <v>708609.740160051</v>
      </c>
      <c r="U101" s="136" t="n">
        <f aca="false">U99+U100</f>
        <v>737345.755200051</v>
      </c>
      <c r="V101" s="136" t="n">
        <f aca="false">V99+V100</f>
        <v>765381.607680052</v>
      </c>
      <c r="W101" s="136" t="n">
        <f aca="false">W99+W100</f>
        <v>792717.297600052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169</v>
      </c>
      <c r="C104" s="152"/>
      <c r="D104" s="153" t="n">
        <f aca="false">-D94</f>
        <v>-4286240</v>
      </c>
      <c r="E104" s="139" t="n">
        <f aca="false">-E95-E96</f>
        <v>75047.0716799997</v>
      </c>
      <c r="F104" s="139" t="n">
        <f aca="false">-F95-F96</f>
        <v>89813.3354879996</v>
      </c>
      <c r="G104" s="139" t="n">
        <f aca="false">-G95-G96</f>
        <v>104579.599296</v>
      </c>
      <c r="H104" s="139" t="n">
        <f aca="false">-H95-H96</f>
        <v>119345.863104</v>
      </c>
      <c r="I104" s="139" t="n">
        <f aca="false">-I95-I96</f>
        <v>134112.126911999</v>
      </c>
      <c r="J104" s="139" t="n">
        <f aca="false">-J95-J96</f>
        <v>148878.390719999</v>
      </c>
      <c r="K104" s="139" t="n">
        <f aca="false">-K95-K96</f>
        <v>163644.654528</v>
      </c>
      <c r="L104" s="139" t="n">
        <f aca="false">-L95-L96</f>
        <v>178410.918335999</v>
      </c>
      <c r="M104" s="139" t="n">
        <f aca="false">-M95-M96</f>
        <v>193177.182143999</v>
      </c>
      <c r="N104" s="139" t="n">
        <f aca="false">-N95-N96</f>
        <v>207943.445951999</v>
      </c>
      <c r="O104" s="139" t="n">
        <f aca="false">-O95-O96</f>
        <v>254108.909759999</v>
      </c>
      <c r="P104" s="139" t="n">
        <f aca="false">-P95-P96</f>
        <v>268875.173567999</v>
      </c>
      <c r="Q104" s="139" t="n">
        <f aca="false">-Q95-Q96</f>
        <v>283641.437375999</v>
      </c>
      <c r="R104" s="139" t="n">
        <f aca="false">-R95-R96</f>
        <v>298407.701183999</v>
      </c>
      <c r="S104" s="139" t="n">
        <f aca="false">-S95-S96</f>
        <v>313173.964991999</v>
      </c>
      <c r="T104" s="139" t="n">
        <f aca="false">-T95-T96</f>
        <v>1399500.2288</v>
      </c>
      <c r="U104" s="139" t="n">
        <f aca="false">-U95-U96</f>
        <v>1393198.76576</v>
      </c>
      <c r="V104" s="139" t="n">
        <f aca="false">-V95-V96</f>
        <v>1386897.30272</v>
      </c>
      <c r="W104" s="139" t="n">
        <f aca="false">-W95-W96</f>
        <v>1380595.83968</v>
      </c>
      <c r="X104" s="139" t="n">
        <f aca="false">-X95-X96</f>
        <v>792717.297600052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0.0530771739007239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170</v>
      </c>
      <c r="C106" s="152"/>
      <c r="D106" s="153" t="n">
        <f aca="false">D85-D94</f>
        <v>-4202854.3648</v>
      </c>
      <c r="E106" s="139" t="n">
        <f aca="false">E85</f>
        <v>99792.5949866662</v>
      </c>
      <c r="F106" s="139" t="n">
        <f aca="false">F85-F96</f>
        <v>116199.554773333</v>
      </c>
      <c r="G106" s="139" t="n">
        <f aca="false">G85-G96</f>
        <v>132606.51456</v>
      </c>
      <c r="H106" s="139" t="n">
        <f aca="false">H85-H96</f>
        <v>149013.474346666</v>
      </c>
      <c r="I106" s="139" t="n">
        <f aca="false">I85-I96</f>
        <v>165420.434133333</v>
      </c>
      <c r="J106" s="139" t="n">
        <f aca="false">J85-J96</f>
        <v>181827.393919999</v>
      </c>
      <c r="K106" s="139" t="n">
        <f aca="false">K85-K96</f>
        <v>198234.353706666</v>
      </c>
      <c r="L106" s="139" t="n">
        <f aca="false">L85-L96</f>
        <v>214641.313493332</v>
      </c>
      <c r="M106" s="139" t="n">
        <f aca="false">M85-M96</f>
        <v>231048.273279999</v>
      </c>
      <c r="N106" s="139" t="n">
        <f aca="false">N85-N96</f>
        <v>282343.233066666</v>
      </c>
      <c r="O106" s="139" t="n">
        <f aca="false">O85-O96</f>
        <v>298750.192853332</v>
      </c>
      <c r="P106" s="139" t="n">
        <f aca="false">P85-P96</f>
        <v>315157.152639999</v>
      </c>
      <c r="Q106" s="139" t="n">
        <f aca="false">Q85-Q96</f>
        <v>331564.112426666</v>
      </c>
      <c r="R106" s="139" t="n">
        <f aca="false">R85-R96</f>
        <v>347971.072213332</v>
      </c>
      <c r="S106" s="139" t="n">
        <f aca="false">S85-S96</f>
        <v>364378.031999999</v>
      </c>
      <c r="T106" s="139" t="n">
        <f aca="false">T85-T96</f>
        <v>1428936.4064</v>
      </c>
      <c r="U106" s="139" t="n">
        <f aca="false">U85-U96</f>
        <v>1421934.7808</v>
      </c>
      <c r="V106" s="139" t="n">
        <f aca="false">V85-V96</f>
        <v>1414933.1552</v>
      </c>
      <c r="W106" s="139" t="n">
        <f aca="false">W85-W96</f>
        <v>1407931.5296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0.0573368548541926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171</v>
      </c>
      <c r="C109" s="136" t="n">
        <v>0</v>
      </c>
      <c r="D109" s="136" t="n">
        <f aca="false">D92</f>
        <v>17144960</v>
      </c>
      <c r="E109" s="136" t="n">
        <f aca="false">D109+E93</f>
        <v>16001962.6666667</v>
      </c>
      <c r="F109" s="136" t="n">
        <f aca="false">E109+F93</f>
        <v>14858965.3333333</v>
      </c>
      <c r="G109" s="136" t="n">
        <f aca="false">F109+G93</f>
        <v>13715968</v>
      </c>
      <c r="H109" s="136" t="n">
        <f aca="false">G109+H93</f>
        <v>12572970.6666667</v>
      </c>
      <c r="I109" s="136" t="n">
        <f aca="false">H109+I93</f>
        <v>11429973.3333334</v>
      </c>
      <c r="J109" s="136" t="n">
        <f aca="false">I109+J93</f>
        <v>10286976</v>
      </c>
      <c r="K109" s="136" t="n">
        <f aca="false">J109+K93</f>
        <v>9143978.66666669</v>
      </c>
      <c r="L109" s="136" t="n">
        <f aca="false">K109+L93</f>
        <v>8000981.33333336</v>
      </c>
      <c r="M109" s="136" t="n">
        <f aca="false">L109+M93</f>
        <v>6857984.00000003</v>
      </c>
      <c r="N109" s="136" t="n">
        <f aca="false">M109+N93</f>
        <v>5714986.6666667</v>
      </c>
      <c r="O109" s="136" t="n">
        <f aca="false">N109+O93</f>
        <v>4571989.33333337</v>
      </c>
      <c r="P109" s="136" t="n">
        <f aca="false">O109+P93</f>
        <v>3428992.00000004</v>
      </c>
      <c r="Q109" s="136" t="n">
        <f aca="false">P109+Q93</f>
        <v>2285994.66666671</v>
      </c>
      <c r="R109" s="136" t="n">
        <f aca="false">Q109+R93</f>
        <v>1142997.33333338</v>
      </c>
      <c r="S109" s="136" t="n">
        <f aca="false">R109+S93</f>
        <v>5.07570803165436E-008</v>
      </c>
      <c r="T109" s="136" t="n">
        <f aca="false">S109+T93</f>
        <v>5.07570803165436E-008</v>
      </c>
      <c r="U109" s="136" t="n">
        <f aca="false">T109+U93</f>
        <v>5.07570803165436E-008</v>
      </c>
      <c r="V109" s="136" t="n">
        <f aca="false">U109+V93</f>
        <v>5.07570803165436E-008</v>
      </c>
      <c r="W109" s="136" t="n">
        <f aca="false">V109+W93</f>
        <v>5.07570803165436E-008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131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173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102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103</v>
      </c>
    </row>
    <row r="7" customFormat="false" ht="22.5" hidden="false" customHeight="true" outlineLevel="0" collapsed="false">
      <c r="B7" s="2" t="s">
        <v>133</v>
      </c>
      <c r="C7" s="2"/>
      <c r="D7" s="2"/>
      <c r="E7" s="2"/>
      <c r="M7" s="1" t="s">
        <v>104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105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83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134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31000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135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136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137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138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139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140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141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142</v>
      </c>
      <c r="C44" s="96" t="n">
        <f aca="false">-(D16/(1-D17)+D18)*C4</f>
        <v>-20185200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143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144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145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146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147</v>
      </c>
      <c r="C49" s="87" t="s">
        <v>4</v>
      </c>
      <c r="D49" s="97" t="n">
        <v>-40557.3</v>
      </c>
      <c r="E49" s="97" t="n">
        <v>-40557.3</v>
      </c>
      <c r="F49" s="97" t="n">
        <v>-40557.3</v>
      </c>
      <c r="G49" s="97" t="n">
        <v>-40557.3</v>
      </c>
      <c r="H49" s="97" t="n">
        <v>-40557.3</v>
      </c>
      <c r="I49" s="97" t="n">
        <v>-40557.3</v>
      </c>
      <c r="J49" s="97" t="n">
        <v>-40557.3</v>
      </c>
      <c r="K49" s="97" t="n">
        <v>-40557.3</v>
      </c>
      <c r="L49" s="97" t="n">
        <v>-40557.3</v>
      </c>
      <c r="M49" s="97" t="n">
        <v>-40557.3</v>
      </c>
      <c r="N49" s="97" t="n">
        <v>-40557.3</v>
      </c>
      <c r="O49" s="97" t="n">
        <v>-40557.3</v>
      </c>
      <c r="P49" s="97" t="n">
        <v>-40557.3</v>
      </c>
      <c r="Q49" s="97" t="n">
        <v>-40557.3</v>
      </c>
      <c r="R49" s="97" t="n">
        <v>-40557.3</v>
      </c>
      <c r="S49" s="97" t="n">
        <v>-40557.3</v>
      </c>
      <c r="T49" s="97" t="n">
        <v>-40557.3</v>
      </c>
      <c r="U49" s="97" t="n">
        <v>-40557.3</v>
      </c>
      <c r="V49" s="97" t="n">
        <v>-40557.3</v>
      </c>
      <c r="W49" s="97" t="n">
        <v>-40557.3</v>
      </c>
      <c r="X49" s="97"/>
    </row>
    <row r="50" customFormat="false" ht="18.75" hidden="false" customHeight="true" outlineLevel="0" collapsed="false">
      <c r="B50" s="95" t="s">
        <v>148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149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150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151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152</v>
      </c>
      <c r="C54" s="98"/>
      <c r="D54" s="97" t="n">
        <f aca="false">-(D64+D67+D68+D71+D72+D73+D74)*0.2</f>
        <v>-121611.924</v>
      </c>
      <c r="E54" s="97" t="n">
        <f aca="false">-(E64+E67+E68+E71+E72+E73+E74)*0.2</f>
        <v>-119861.5176</v>
      </c>
      <c r="F54" s="97" t="n">
        <f aca="false">-(F64+F67+F68+F71+F72+F73+F74)*0.2</f>
        <v>-118111.1112</v>
      </c>
      <c r="G54" s="97" t="n">
        <f aca="false">-(G64+G67+G68+G71+G72+G73+G74)*0.2</f>
        <v>-116360.7048</v>
      </c>
      <c r="H54" s="97" t="n">
        <f aca="false">-(H64+H67+H68+H71+H72+H73+H74)*0.2</f>
        <v>-114610.2984</v>
      </c>
      <c r="I54" s="97" t="n">
        <f aca="false">-(I64+I67+I68+I71+I72+I73+I74)*0.2</f>
        <v>-112859.892</v>
      </c>
      <c r="J54" s="97" t="n">
        <f aca="false">-(J64+J67+J68+J71+J72+J73+J74)*0.2</f>
        <v>-111109.4856</v>
      </c>
      <c r="K54" s="97" t="n">
        <f aca="false">-(K64+K67+K68+K71+K72+K73+K74)*0.2</f>
        <v>-109359.0792</v>
      </c>
      <c r="L54" s="97" t="n">
        <f aca="false">-(L64+L67+L68+L71+L72+L73+L74)*0.2</f>
        <v>-107608.6728</v>
      </c>
      <c r="M54" s="97" t="n">
        <f aca="false">-(M64+M67+M68+M71+M72+M73+M74)*0.2</f>
        <v>-105858.2664</v>
      </c>
      <c r="N54" s="97" t="n">
        <f aca="false">-(N64+N67+N68+N71+N72+N73+N74)*0.2</f>
        <v>-112829.86</v>
      </c>
      <c r="O54" s="97" t="n">
        <f aca="false">-(O64+O67+O68+O71+O72+O73+O74)*0.2</f>
        <v>-111079.4536</v>
      </c>
      <c r="P54" s="97" t="n">
        <f aca="false">-(P64+P67+P68+P71+P72+P73+P74)*0.2</f>
        <v>-109329.0472</v>
      </c>
      <c r="Q54" s="97" t="n">
        <f aca="false">-(Q64+Q67+Q68+Q71+Q72+Q73+Q74)*0.2</f>
        <v>-107578.6408</v>
      </c>
      <c r="R54" s="97" t="n">
        <f aca="false">-(R64+R67+R68+R71+R72+R73+R74)*0.2</f>
        <v>-105828.2344</v>
      </c>
      <c r="S54" s="97" t="n">
        <f aca="false">-(S64+S67+S68+S71+S72+S73+S74)*0.2</f>
        <v>-104077.828</v>
      </c>
      <c r="T54" s="97" t="n">
        <f aca="false">-(T64+T67+T68+T71+T72+T73+T74)*0.2</f>
        <v>-102327.4216</v>
      </c>
      <c r="U54" s="97" t="n">
        <f aca="false">-(U64+U67+U68+U71+U72+U73+U74)*0.2</f>
        <v>-100577.0152</v>
      </c>
      <c r="V54" s="97" t="n">
        <f aca="false">-(V64+V67+V68+V71+V72+V73+V74)*0.2</f>
        <v>-98826.6087999999</v>
      </c>
      <c r="W54" s="97" t="n">
        <f aca="false">-(W64+W67+W68+W71+W72+W73+W74)*0.2</f>
        <v>-97076.2024</v>
      </c>
      <c r="X54" s="88"/>
    </row>
    <row r="55" customFormat="false" ht="18.75" hidden="false" customHeight="true" outlineLevel="0" collapsed="false">
      <c r="B55" s="100" t="s">
        <v>153</v>
      </c>
      <c r="C55" s="101" t="n">
        <f aca="false">C44</f>
        <v>-20185200</v>
      </c>
      <c r="D55" s="102" t="n">
        <f aca="false">SUM(D41:D54)</f>
        <v>1495707.696</v>
      </c>
      <c r="E55" s="102" t="n">
        <f aca="false">SUM(E41:E54)</f>
        <v>1488706.0704</v>
      </c>
      <c r="F55" s="102" t="n">
        <f aca="false">SUM(F41:F54)</f>
        <v>1481704.4448</v>
      </c>
      <c r="G55" s="102" t="n">
        <f aca="false">SUM(G41:G54)</f>
        <v>1474702.8192</v>
      </c>
      <c r="H55" s="102" t="n">
        <f aca="false">SUM(H41:H54)</f>
        <v>1467701.1936</v>
      </c>
      <c r="I55" s="102" t="n">
        <f aca="false">SUM(I41:I54)</f>
        <v>1460699.568</v>
      </c>
      <c r="J55" s="102" t="n">
        <f aca="false">SUM(J41:J54)</f>
        <v>1453697.9424</v>
      </c>
      <c r="K55" s="102" t="n">
        <f aca="false">SUM(K41:K54)</f>
        <v>1446696.3168</v>
      </c>
      <c r="L55" s="102" t="n">
        <f aca="false">SUM(L41:L54)</f>
        <v>1439694.6912</v>
      </c>
      <c r="M55" s="102" t="n">
        <f aca="false">SUM(M41:M54)</f>
        <v>1432693.0656</v>
      </c>
      <c r="N55" s="102" t="n">
        <f aca="false">SUM(N41:N54)</f>
        <v>1460579.44</v>
      </c>
      <c r="O55" s="102" t="n">
        <f aca="false">SUM(O41:O54)</f>
        <v>1453577.8144</v>
      </c>
      <c r="P55" s="102" t="n">
        <f aca="false">SUM(P41:P54)</f>
        <v>1446576.1888</v>
      </c>
      <c r="Q55" s="102" t="n">
        <f aca="false">SUM(Q41:Q54)</f>
        <v>1439574.5632</v>
      </c>
      <c r="R55" s="102" t="n">
        <f aca="false">SUM(R41:R54)</f>
        <v>1432572.9376</v>
      </c>
      <c r="S55" s="102" t="n">
        <f aca="false">SUM(S41:S54)</f>
        <v>1425571.312</v>
      </c>
      <c r="T55" s="102" t="n">
        <f aca="false">SUM(T41:T54)</f>
        <v>1418569.6864</v>
      </c>
      <c r="U55" s="102" t="n">
        <f aca="false">SUM(U41:U54)</f>
        <v>1411568.0608</v>
      </c>
      <c r="V55" s="102" t="n">
        <f aca="false">SUM(V41:V54)</f>
        <v>1404566.4352</v>
      </c>
      <c r="W55" s="102" t="n">
        <f aca="false">SUM(W41:W54)</f>
        <v>1397564.8096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154</v>
      </c>
      <c r="D56" s="107" t="n">
        <f aca="false">C55+D55</f>
        <v>-18689492.304</v>
      </c>
      <c r="E56" s="107" t="n">
        <f aca="false">D56+E55</f>
        <v>-17200786.2336</v>
      </c>
      <c r="F56" s="107" t="n">
        <f aca="false">E56+F55</f>
        <v>-15719081.7888</v>
      </c>
      <c r="G56" s="107" t="n">
        <f aca="false">F56+G55</f>
        <v>-14244378.9696</v>
      </c>
      <c r="H56" s="107" t="n">
        <f aca="false">G56+H55</f>
        <v>-12776677.776</v>
      </c>
      <c r="I56" s="107" t="n">
        <f aca="false">H56+I55</f>
        <v>-11315978.208</v>
      </c>
      <c r="J56" s="107" t="n">
        <f aca="false">I56+J55</f>
        <v>-9862280.2656</v>
      </c>
      <c r="K56" s="107" t="n">
        <f aca="false">J56+K55</f>
        <v>-8415583.9488</v>
      </c>
      <c r="L56" s="107" t="n">
        <f aca="false">K56+L55</f>
        <v>-6975889.2576</v>
      </c>
      <c r="M56" s="107" t="n">
        <f aca="false">L56+M55</f>
        <v>-5543196.192</v>
      </c>
      <c r="N56" s="107" t="n">
        <f aca="false">M56+N55</f>
        <v>-4082616.752</v>
      </c>
      <c r="O56" s="107" t="n">
        <f aca="false">N56+O55</f>
        <v>-2629038.9376</v>
      </c>
      <c r="P56" s="107" t="n">
        <f aca="false">O56+P55</f>
        <v>-1182462.7488</v>
      </c>
      <c r="Q56" s="107" t="n">
        <f aca="false">P56+Q55</f>
        <v>257111.814399997</v>
      </c>
      <c r="R56" s="107" t="n">
        <f aca="false">Q56+R55</f>
        <v>1689684.752</v>
      </c>
      <c r="S56" s="107" t="n">
        <f aca="false">R56+S55</f>
        <v>3115256.064</v>
      </c>
      <c r="T56" s="107" t="n">
        <f aca="false">S56+T55</f>
        <v>4533825.7504</v>
      </c>
      <c r="U56" s="107" t="n">
        <f aca="false">T56+U55</f>
        <v>5945393.8112</v>
      </c>
      <c r="V56" s="107" t="n">
        <f aca="false">U56+V55</f>
        <v>7349960.2464</v>
      </c>
      <c r="W56" s="107" t="n">
        <f aca="false">V56+W55</f>
        <v>8747525.056</v>
      </c>
      <c r="X56" s="107" t="n">
        <f aca="false">W56+X55</f>
        <v>8747525.056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155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未回收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0.0374522369705447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136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156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137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138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139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140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141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157</v>
      </c>
      <c r="C67" s="87"/>
      <c r="D67" s="120" t="n">
        <f aca="false">$C$44/$E$16</f>
        <v>-1009260</v>
      </c>
      <c r="E67" s="120" t="n">
        <f aca="false">$C$44/$E$16</f>
        <v>-1009260</v>
      </c>
      <c r="F67" s="120" t="n">
        <f aca="false">$C$44/$E$16</f>
        <v>-1009260</v>
      </c>
      <c r="G67" s="120" t="n">
        <f aca="false">$C$44/$E$16</f>
        <v>-1009260</v>
      </c>
      <c r="H67" s="120" t="n">
        <f aca="false">$C$44/$E$16</f>
        <v>-1009260</v>
      </c>
      <c r="I67" s="120" t="n">
        <f aca="false">$C$44/$E$16</f>
        <v>-1009260</v>
      </c>
      <c r="J67" s="120" t="n">
        <f aca="false">$C$44/$E$16</f>
        <v>-1009260</v>
      </c>
      <c r="K67" s="120" t="n">
        <f aca="false">$C$44/$E$16</f>
        <v>-1009260</v>
      </c>
      <c r="L67" s="120" t="n">
        <f aca="false">$C$44/$E$16</f>
        <v>-1009260</v>
      </c>
      <c r="M67" s="120" t="n">
        <f aca="false">$C$44/$E$16</f>
        <v>-1009260</v>
      </c>
      <c r="N67" s="120" t="n">
        <f aca="false">$C$44/$E$16</f>
        <v>-1009260</v>
      </c>
      <c r="O67" s="120" t="n">
        <f aca="false">$C$44/$E$16</f>
        <v>-1009260</v>
      </c>
      <c r="P67" s="120" t="n">
        <f aca="false">$C$44/$E$16</f>
        <v>-1009260</v>
      </c>
      <c r="Q67" s="120" t="n">
        <f aca="false">$C$44/$E$16</f>
        <v>-1009260</v>
      </c>
      <c r="R67" s="120" t="n">
        <f aca="false">$C$44/$E$16</f>
        <v>-1009260</v>
      </c>
      <c r="S67" s="120" t="n">
        <f aca="false">$C$44/$E$16</f>
        <v>-1009260</v>
      </c>
      <c r="T67" s="120" t="n">
        <f aca="false">$C$44/$E$16</f>
        <v>-1009260</v>
      </c>
      <c r="U67" s="120" t="n">
        <f aca="false">$C$44/$E$16</f>
        <v>-1009260</v>
      </c>
      <c r="V67" s="120" t="n">
        <f aca="false">$C$44/$E$16</f>
        <v>-1009260</v>
      </c>
      <c r="W67" s="120" t="n">
        <f aca="false">$C$44/$E$16</f>
        <v>-1009260</v>
      </c>
      <c r="X67" s="90"/>
    </row>
    <row r="68" customFormat="false" ht="18.75" hidden="false" customHeight="true" outlineLevel="0" collapsed="false">
      <c r="B68" s="95" t="s">
        <v>143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144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145</v>
      </c>
      <c r="C70" s="87" t="s">
        <v>4</v>
      </c>
      <c r="D70" s="97" t="n">
        <f aca="false">-D109*$D25</f>
        <v>-413392.896</v>
      </c>
      <c r="E70" s="97" t="n">
        <f aca="false">-E109*$D25</f>
        <v>-385833.3696</v>
      </c>
      <c r="F70" s="97" t="n">
        <f aca="false">-F109*$D25</f>
        <v>-358273.8432</v>
      </c>
      <c r="G70" s="97" t="n">
        <f aca="false">-G109*$D25</f>
        <v>-330714.3168</v>
      </c>
      <c r="H70" s="97" t="n">
        <f aca="false">-H109*$D25</f>
        <v>-303154.7904</v>
      </c>
      <c r="I70" s="97" t="n">
        <f aca="false">-I109*$D25</f>
        <v>-275595.264</v>
      </c>
      <c r="J70" s="97" t="n">
        <f aca="false">-J109*$D25</f>
        <v>-248035.7376</v>
      </c>
      <c r="K70" s="97" t="n">
        <f aca="false">-K109*$D25</f>
        <v>-220476.2112</v>
      </c>
      <c r="L70" s="97" t="n">
        <f aca="false">-L109*$D25</f>
        <v>-192916.6848</v>
      </c>
      <c r="M70" s="97" t="n">
        <f aca="false">-M109*$D25</f>
        <v>-165357.1584</v>
      </c>
      <c r="N70" s="97" t="n">
        <f aca="false">-N109*$D25</f>
        <v>-137797.632</v>
      </c>
      <c r="O70" s="97" t="n">
        <f aca="false">-O109*$D25</f>
        <v>-110238.1056</v>
      </c>
      <c r="P70" s="97" t="n">
        <f aca="false">-P109*$D25</f>
        <v>-82678.5792000001</v>
      </c>
      <c r="Q70" s="97" t="n">
        <f aca="false">-Q109*$D25</f>
        <v>-55119.0528000001</v>
      </c>
      <c r="R70" s="97" t="n">
        <f aca="false">-R109*$D25</f>
        <v>-27559.5264000001</v>
      </c>
      <c r="S70" s="97" t="n">
        <f aca="false">-S109*$D25</f>
        <v>-0</v>
      </c>
      <c r="T70" s="97" t="n">
        <f aca="false">-T109*$D25</f>
        <v>-0</v>
      </c>
      <c r="U70" s="97" t="n">
        <f aca="false">-U109*$D25</f>
        <v>-0</v>
      </c>
      <c r="V70" s="97" t="n">
        <f aca="false">-V109*$D25</f>
        <v>-0</v>
      </c>
      <c r="W70" s="97" t="n">
        <f aca="false">-W109*$D25</f>
        <v>-0</v>
      </c>
      <c r="X70" s="90"/>
    </row>
    <row r="71" customFormat="false" ht="18.75" hidden="false" customHeight="true" outlineLevel="0" collapsed="false">
      <c r="B71" s="95" t="s">
        <v>146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147</v>
      </c>
      <c r="C72" s="87" t="s">
        <v>4</v>
      </c>
      <c r="D72" s="97" t="n">
        <f aca="false">D49</f>
        <v>-40557.3</v>
      </c>
      <c r="E72" s="97" t="n">
        <f aca="false">E49</f>
        <v>-40557.3</v>
      </c>
      <c r="F72" s="97" t="n">
        <f aca="false">F49</f>
        <v>-40557.3</v>
      </c>
      <c r="G72" s="97" t="n">
        <f aca="false">G49</f>
        <v>-40557.3</v>
      </c>
      <c r="H72" s="97" t="n">
        <f aca="false">H49</f>
        <v>-40557.3</v>
      </c>
      <c r="I72" s="97" t="n">
        <f aca="false">I49</f>
        <v>-40557.3</v>
      </c>
      <c r="J72" s="97" t="n">
        <f aca="false">J49</f>
        <v>-40557.3</v>
      </c>
      <c r="K72" s="97" t="n">
        <f aca="false">K49</f>
        <v>-40557.3</v>
      </c>
      <c r="L72" s="97" t="n">
        <f aca="false">L49</f>
        <v>-40557.3</v>
      </c>
      <c r="M72" s="97" t="n">
        <f aca="false">M49</f>
        <v>-40557.3</v>
      </c>
      <c r="N72" s="97" t="n">
        <f aca="false">N49</f>
        <v>-40557.3</v>
      </c>
      <c r="O72" s="97" t="n">
        <f aca="false">O49</f>
        <v>-40557.3</v>
      </c>
      <c r="P72" s="97" t="n">
        <f aca="false">P49</f>
        <v>-40557.3</v>
      </c>
      <c r="Q72" s="97" t="n">
        <f aca="false">Q49</f>
        <v>-40557.3</v>
      </c>
      <c r="R72" s="97" t="n">
        <f aca="false">R49</f>
        <v>-40557.3</v>
      </c>
      <c r="S72" s="97" t="n">
        <f aca="false">S49</f>
        <v>-40557.3</v>
      </c>
      <c r="T72" s="97" t="n">
        <f aca="false">T49</f>
        <v>-40557.3</v>
      </c>
      <c r="U72" s="97" t="n">
        <f aca="false">U49</f>
        <v>-40557.3</v>
      </c>
      <c r="V72" s="97" t="n">
        <f aca="false">V49</f>
        <v>-40557.3</v>
      </c>
      <c r="W72" s="97" t="n">
        <f aca="false">W49</f>
        <v>-40557.3</v>
      </c>
      <c r="X72" s="90"/>
    </row>
    <row r="73" customFormat="false" ht="18.75" hidden="false" customHeight="true" outlineLevel="0" collapsed="false">
      <c r="B73" s="95" t="s">
        <v>148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149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150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158</v>
      </c>
      <c r="C76" s="123"/>
      <c r="D76" s="102" t="n">
        <f aca="false">SUM(D64:D75)</f>
        <v>194666.724</v>
      </c>
      <c r="E76" s="102" t="n">
        <f aca="false">SUM(E64:E75)</f>
        <v>213474.2184</v>
      </c>
      <c r="F76" s="102" t="n">
        <f aca="false">SUM(F64:F75)</f>
        <v>232281.7128</v>
      </c>
      <c r="G76" s="102" t="n">
        <f aca="false">SUM(G64:G75)</f>
        <v>251089.2072</v>
      </c>
      <c r="H76" s="102" t="n">
        <f aca="false">SUM(H64:H75)</f>
        <v>269896.7016</v>
      </c>
      <c r="I76" s="102" t="n">
        <f aca="false">SUM(I64:I75)</f>
        <v>288704.196</v>
      </c>
      <c r="J76" s="102" t="n">
        <f aca="false">SUM(J64:J75)</f>
        <v>307511.6904</v>
      </c>
      <c r="K76" s="102" t="n">
        <f aca="false">SUM(K64:K75)</f>
        <v>326319.1848</v>
      </c>
      <c r="L76" s="102" t="n">
        <f aca="false">SUM(L64:L75)</f>
        <v>345126.6792</v>
      </c>
      <c r="M76" s="102" t="n">
        <f aca="false">SUM(M64:M75)</f>
        <v>363934.1736</v>
      </c>
      <c r="N76" s="102" t="n">
        <f aca="false">SUM(N64:N75)</f>
        <v>426351.668</v>
      </c>
      <c r="O76" s="102" t="n">
        <f aca="false">SUM(O64:O75)</f>
        <v>445159.1624</v>
      </c>
      <c r="P76" s="102" t="n">
        <f aca="false">SUM(P64:P75)</f>
        <v>463966.6568</v>
      </c>
      <c r="Q76" s="102" t="n">
        <f aca="false">SUM(Q64:Q75)</f>
        <v>482774.1512</v>
      </c>
      <c r="R76" s="102" t="n">
        <f aca="false">SUM(R64:R75)</f>
        <v>501581.6456</v>
      </c>
      <c r="S76" s="102" t="n">
        <f aca="false">SUM(S64:S75)</f>
        <v>520389.14</v>
      </c>
      <c r="T76" s="102" t="n">
        <f aca="false">SUM(T64:T75)</f>
        <v>511637.108</v>
      </c>
      <c r="U76" s="102" t="n">
        <f aca="false">SUM(U64:U75)</f>
        <v>502885.076</v>
      </c>
      <c r="V76" s="102" t="n">
        <f aca="false">SUM(V64:V75)</f>
        <v>494133.044</v>
      </c>
      <c r="W76" s="102" t="n">
        <f aca="false">SUM(W64:W75)</f>
        <v>485381.012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152</v>
      </c>
      <c r="C77" s="98"/>
      <c r="D77" s="97" t="n">
        <f aca="false">-D76*0.2</f>
        <v>-38933.3447999999</v>
      </c>
      <c r="E77" s="97" t="n">
        <f aca="false">-E76*0.2</f>
        <v>-42694.8436799999</v>
      </c>
      <c r="F77" s="97" t="n">
        <f aca="false">-F76*0.2</f>
        <v>-46456.34256</v>
      </c>
      <c r="G77" s="97" t="n">
        <f aca="false">-G76*0.2</f>
        <v>-50217.8414399999</v>
      </c>
      <c r="H77" s="97" t="n">
        <f aca="false">-H76*0.2</f>
        <v>-53979.3403199999</v>
      </c>
      <c r="I77" s="97" t="n">
        <f aca="false">-I76*0.2</f>
        <v>-57740.8391999999</v>
      </c>
      <c r="J77" s="97" t="n">
        <f aca="false">-J76*0.2</f>
        <v>-61502.33808</v>
      </c>
      <c r="K77" s="97" t="n">
        <f aca="false">-K76*0.2</f>
        <v>-65263.8369599999</v>
      </c>
      <c r="L77" s="97" t="n">
        <f aca="false">-L76*0.2</f>
        <v>-69025.3358399999</v>
      </c>
      <c r="M77" s="97" t="n">
        <f aca="false">-M76*0.2</f>
        <v>-72786.8347199999</v>
      </c>
      <c r="N77" s="97" t="n">
        <f aca="false">-N76*0.2</f>
        <v>-85270.3335999999</v>
      </c>
      <c r="O77" s="97" t="n">
        <f aca="false">-O76*0.2</f>
        <v>-89031.8324799999</v>
      </c>
      <c r="P77" s="97" t="n">
        <f aca="false">-P76*0.2</f>
        <v>-92793.3313599999</v>
      </c>
      <c r="Q77" s="97" t="n">
        <f aca="false">-Q76*0.2</f>
        <v>-96554.8302399999</v>
      </c>
      <c r="R77" s="97" t="n">
        <f aca="false">-R76*0.2</f>
        <v>-100316.32912</v>
      </c>
      <c r="S77" s="97" t="n">
        <f aca="false">-S76*0.2</f>
        <v>-104077.828</v>
      </c>
      <c r="T77" s="97" t="n">
        <f aca="false">-T76*0.2</f>
        <v>-102327.4216</v>
      </c>
      <c r="U77" s="97" t="n">
        <f aca="false">-U76*0.2</f>
        <v>-100577.0152</v>
      </c>
      <c r="V77" s="97" t="n">
        <f aca="false">-V76*0.2</f>
        <v>-98826.6087999999</v>
      </c>
      <c r="W77" s="97" t="n">
        <f aca="false">-W76*0.2</f>
        <v>-97076.2024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159</v>
      </c>
      <c r="D78" s="97" t="n">
        <f aca="false">SUM(D76:D77)</f>
        <v>155733.3792</v>
      </c>
      <c r="E78" s="97" t="n">
        <f aca="false">SUM(E76:E77)</f>
        <v>170779.37472</v>
      </c>
      <c r="F78" s="97" t="n">
        <f aca="false">SUM(F76:F77)</f>
        <v>185825.37024</v>
      </c>
      <c r="G78" s="97" t="n">
        <f aca="false">SUM(G76:G77)</f>
        <v>200871.36576</v>
      </c>
      <c r="H78" s="97" t="n">
        <f aca="false">SUM(H76:H77)</f>
        <v>215917.36128</v>
      </c>
      <c r="I78" s="97" t="n">
        <f aca="false">SUM(I76:I77)</f>
        <v>230963.3568</v>
      </c>
      <c r="J78" s="97" t="n">
        <f aca="false">SUM(J76:J77)</f>
        <v>246009.35232</v>
      </c>
      <c r="K78" s="97" t="n">
        <f aca="false">SUM(K76:K77)</f>
        <v>261055.34784</v>
      </c>
      <c r="L78" s="97" t="n">
        <f aca="false">SUM(L76:L77)</f>
        <v>276101.34336</v>
      </c>
      <c r="M78" s="97" t="n">
        <f aca="false">SUM(M76:M77)</f>
        <v>291147.33888</v>
      </c>
      <c r="N78" s="97" t="n">
        <f aca="false">SUM(N76:N77)</f>
        <v>341081.3344</v>
      </c>
      <c r="O78" s="97" t="n">
        <f aca="false">SUM(O76:O77)</f>
        <v>356127.32992</v>
      </c>
      <c r="P78" s="97" t="n">
        <f aca="false">SUM(P76:P77)</f>
        <v>371173.32544</v>
      </c>
      <c r="Q78" s="97" t="n">
        <f aca="false">SUM(Q76:Q77)</f>
        <v>386219.32096</v>
      </c>
      <c r="R78" s="97" t="n">
        <f aca="false">SUM(R76:R77)</f>
        <v>401265.31648</v>
      </c>
      <c r="S78" s="97" t="n">
        <f aca="false">SUM(S76:S77)</f>
        <v>416311.312</v>
      </c>
      <c r="T78" s="97" t="n">
        <f aca="false">SUM(T76:T77)</f>
        <v>409309.6864</v>
      </c>
      <c r="U78" s="97" t="n">
        <f aca="false">SUM(U76:U77)</f>
        <v>402308.0608</v>
      </c>
      <c r="V78" s="97" t="n">
        <f aca="false">SUM(V76:V77)</f>
        <v>395306.4352</v>
      </c>
      <c r="W78" s="97" t="n">
        <f aca="false">SUM(W76:W77)</f>
        <v>388304.8096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154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155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136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137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159</v>
      </c>
      <c r="C85" s="135"/>
      <c r="D85" s="136" t="n">
        <f aca="false">D78</f>
        <v>155733.3792</v>
      </c>
      <c r="E85" s="136" t="n">
        <f aca="false">E78</f>
        <v>170779.37472</v>
      </c>
      <c r="F85" s="136" t="n">
        <f aca="false">F78</f>
        <v>185825.37024</v>
      </c>
      <c r="G85" s="136" t="n">
        <f aca="false">G78</f>
        <v>200871.36576</v>
      </c>
      <c r="H85" s="136" t="n">
        <f aca="false">H78</f>
        <v>215917.36128</v>
      </c>
      <c r="I85" s="136" t="n">
        <f aca="false">I78</f>
        <v>230963.3568</v>
      </c>
      <c r="J85" s="136" t="n">
        <f aca="false">J78</f>
        <v>246009.35232</v>
      </c>
      <c r="K85" s="136" t="n">
        <f aca="false">K78</f>
        <v>261055.34784</v>
      </c>
      <c r="L85" s="136" t="n">
        <f aca="false">L78</f>
        <v>276101.34336</v>
      </c>
      <c r="M85" s="136" t="n">
        <f aca="false">M78</f>
        <v>291147.33888</v>
      </c>
      <c r="N85" s="136" t="n">
        <f aca="false">N78</f>
        <v>341081.3344</v>
      </c>
      <c r="O85" s="136" t="n">
        <f aca="false">O78</f>
        <v>356127.32992</v>
      </c>
      <c r="P85" s="136" t="n">
        <f aca="false">P78</f>
        <v>371173.32544</v>
      </c>
      <c r="Q85" s="136" t="n">
        <f aca="false">Q78</f>
        <v>386219.32096</v>
      </c>
      <c r="R85" s="136" t="n">
        <f aca="false">R78</f>
        <v>401265.31648</v>
      </c>
      <c r="S85" s="136" t="n">
        <f aca="false">S78</f>
        <v>416311.312</v>
      </c>
      <c r="T85" s="136" t="n">
        <f aca="false">T78</f>
        <v>409309.6864</v>
      </c>
      <c r="U85" s="136" t="n">
        <f aca="false">U78</f>
        <v>402308.0608</v>
      </c>
      <c r="V85" s="136" t="n">
        <f aca="false">V78</f>
        <v>395306.4352</v>
      </c>
      <c r="W85" s="136" t="n">
        <f aca="false">W78</f>
        <v>388304.8096</v>
      </c>
      <c r="X85" s="135"/>
      <c r="Y85" s="135"/>
    </row>
    <row r="86" customFormat="false" ht="15" hidden="false" customHeight="true" outlineLevel="0" collapsed="false">
      <c r="B86" s="135" t="s">
        <v>160</v>
      </c>
      <c r="C86" s="135"/>
      <c r="D86" s="137" t="n">
        <f aca="false">-D67</f>
        <v>1009260</v>
      </c>
      <c r="E86" s="137" t="n">
        <f aca="false">-E67</f>
        <v>1009260</v>
      </c>
      <c r="F86" s="137" t="n">
        <f aca="false">-F67</f>
        <v>1009260</v>
      </c>
      <c r="G86" s="137" t="n">
        <f aca="false">-G67</f>
        <v>1009260</v>
      </c>
      <c r="H86" s="137" t="n">
        <f aca="false">-H67</f>
        <v>1009260</v>
      </c>
      <c r="I86" s="137" t="n">
        <f aca="false">-I67</f>
        <v>1009260</v>
      </c>
      <c r="J86" s="137" t="n">
        <f aca="false">-J67</f>
        <v>1009260</v>
      </c>
      <c r="K86" s="137" t="n">
        <f aca="false">-K67</f>
        <v>1009260</v>
      </c>
      <c r="L86" s="137" t="n">
        <f aca="false">-L67</f>
        <v>1009260</v>
      </c>
      <c r="M86" s="137" t="n">
        <f aca="false">-M67</f>
        <v>1009260</v>
      </c>
      <c r="N86" s="137" t="n">
        <f aca="false">-N67</f>
        <v>1009260</v>
      </c>
      <c r="O86" s="137" t="n">
        <f aca="false">-O67</f>
        <v>1009260</v>
      </c>
      <c r="P86" s="137" t="n">
        <f aca="false">-P67</f>
        <v>1009260</v>
      </c>
      <c r="Q86" s="137" t="n">
        <f aca="false">-Q67</f>
        <v>1009260</v>
      </c>
      <c r="R86" s="137" t="n">
        <f aca="false">-R67</f>
        <v>1009260</v>
      </c>
      <c r="S86" s="137" t="n">
        <f aca="false">-S67</f>
        <v>1009260</v>
      </c>
      <c r="T86" s="137" t="n">
        <f aca="false">-T67</f>
        <v>1009260</v>
      </c>
      <c r="U86" s="137" t="n">
        <f aca="false">-U67</f>
        <v>1009260</v>
      </c>
      <c r="V86" s="137" t="n">
        <f aca="false">-V67</f>
        <v>1009260</v>
      </c>
      <c r="W86" s="137" t="n">
        <f aca="false">-W67</f>
        <v>1009260</v>
      </c>
      <c r="X86" s="138"/>
      <c r="Y86" s="138"/>
    </row>
    <row r="87" customFormat="false" ht="15" hidden="false" customHeight="true" outlineLevel="0" collapsed="false">
      <c r="B87" s="135" t="s">
        <v>161</v>
      </c>
      <c r="C87" s="135"/>
      <c r="D87" s="139" t="n">
        <f aca="false">SUM(D85:D86)</f>
        <v>1164993.3792</v>
      </c>
      <c r="E87" s="139" t="n">
        <f aca="false">SUM(E85:E86)</f>
        <v>1180039.37472</v>
      </c>
      <c r="F87" s="139" t="n">
        <f aca="false">SUM(F85:F86)</f>
        <v>1195085.37024</v>
      </c>
      <c r="G87" s="139" t="n">
        <f aca="false">SUM(G85:G86)</f>
        <v>1210131.36576</v>
      </c>
      <c r="H87" s="139" t="n">
        <f aca="false">SUM(H85:H86)</f>
        <v>1225177.36128</v>
      </c>
      <c r="I87" s="139" t="n">
        <f aca="false">SUM(I85:I86)</f>
        <v>1240223.3568</v>
      </c>
      <c r="J87" s="139" t="n">
        <f aca="false">SUM(J85:J86)</f>
        <v>1255269.35232</v>
      </c>
      <c r="K87" s="139" t="n">
        <f aca="false">SUM(K85:K86)</f>
        <v>1270315.34784</v>
      </c>
      <c r="L87" s="139" t="n">
        <f aca="false">SUM(L85:L86)</f>
        <v>1285361.34336</v>
      </c>
      <c r="M87" s="139" t="n">
        <f aca="false">SUM(M85:M86)</f>
        <v>1300407.33888</v>
      </c>
      <c r="N87" s="139" t="n">
        <f aca="false">SUM(N85:N86)</f>
        <v>1350341.3344</v>
      </c>
      <c r="O87" s="139" t="n">
        <f aca="false">SUM(O85:O86)</f>
        <v>1365387.32992</v>
      </c>
      <c r="P87" s="139" t="n">
        <f aca="false">SUM(P85:P86)</f>
        <v>1380433.32544</v>
      </c>
      <c r="Q87" s="139" t="n">
        <f aca="false">SUM(Q85:Q86)</f>
        <v>1395479.32096</v>
      </c>
      <c r="R87" s="139" t="n">
        <f aca="false">SUM(R85:R86)</f>
        <v>1410525.31648</v>
      </c>
      <c r="S87" s="139" t="n">
        <f aca="false">SUM(S85:S86)</f>
        <v>1425571.312</v>
      </c>
      <c r="T87" s="139" t="n">
        <f aca="false">SUM(T85:T86)</f>
        <v>1418569.6864</v>
      </c>
      <c r="U87" s="139" t="n">
        <f aca="false">SUM(U85:U86)</f>
        <v>1411568.0608</v>
      </c>
      <c r="V87" s="139" t="n">
        <f aca="false">SUM(V85:V86)</f>
        <v>1404566.4352</v>
      </c>
      <c r="W87" s="139" t="n">
        <f aca="false">SUM(W85:W86)</f>
        <v>1397564.8096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162</v>
      </c>
      <c r="C89" s="142"/>
      <c r="D89" s="143" t="n">
        <f aca="false">C44</f>
        <v>-20185200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163</v>
      </c>
      <c r="C92" s="142"/>
      <c r="D92" s="143" t="n">
        <f aca="false">-D89*D31</f>
        <v>16148160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164</v>
      </c>
      <c r="C93" s="135"/>
      <c r="D93" s="145"/>
      <c r="E93" s="145" t="n">
        <v>-1076544</v>
      </c>
      <c r="F93" s="145" t="n">
        <v>-1076544</v>
      </c>
      <c r="G93" s="145" t="n">
        <v>-1076544</v>
      </c>
      <c r="H93" s="145" t="n">
        <v>-1076544</v>
      </c>
      <c r="I93" s="145" t="n">
        <v>-1076544</v>
      </c>
      <c r="J93" s="145" t="n">
        <v>-1076544</v>
      </c>
      <c r="K93" s="145" t="n">
        <v>-1076544</v>
      </c>
      <c r="L93" s="145" t="n">
        <v>-1076544</v>
      </c>
      <c r="M93" s="145" t="n">
        <v>-1076544</v>
      </c>
      <c r="N93" s="145" t="n">
        <v>-1076544</v>
      </c>
      <c r="O93" s="145" t="n">
        <v>-1076544</v>
      </c>
      <c r="P93" s="145" t="n">
        <v>-1076544</v>
      </c>
      <c r="Q93" s="145" t="n">
        <v>-1076544</v>
      </c>
      <c r="R93" s="145" t="n">
        <v>-1076544</v>
      </c>
      <c r="S93" s="145" t="n">
        <v>-1076544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165</v>
      </c>
      <c r="C94" s="140"/>
      <c r="D94" s="136" t="n">
        <f aca="false">-D89*(1-D31)</f>
        <v>4037040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-140160.04128</v>
      </c>
      <c r="F95" s="146" t="n">
        <f aca="false">-E85*$D$33</f>
        <v>-153701.437248</v>
      </c>
      <c r="G95" s="146" t="n">
        <f aca="false">-F85*$D$33</f>
        <v>-167242.833216</v>
      </c>
      <c r="H95" s="146" t="n">
        <f aca="false">-G85*$D$33</f>
        <v>-180784.229184</v>
      </c>
      <c r="I95" s="146" t="n">
        <f aca="false">-H85*$D$33</f>
        <v>-194325.625152</v>
      </c>
      <c r="J95" s="146" t="n">
        <f aca="false">-I85*$D$33</f>
        <v>-207867.02112</v>
      </c>
      <c r="K95" s="146" t="n">
        <f aca="false">-J85*$D$33</f>
        <v>-221408.417088</v>
      </c>
      <c r="L95" s="146" t="n">
        <f aca="false">-K85*$D$33</f>
        <v>-234949.813056</v>
      </c>
      <c r="M95" s="146" t="n">
        <f aca="false">-L85*$D$33</f>
        <v>-248491.209024</v>
      </c>
      <c r="N95" s="146" t="n">
        <f aca="false">-M85*$D$33</f>
        <v>-262032.604992</v>
      </c>
      <c r="O95" s="146" t="n">
        <f aca="false">-N85*$D$33</f>
        <v>-306973.20096</v>
      </c>
      <c r="P95" s="146" t="n">
        <f aca="false">-O85*$D$33</f>
        <v>-320514.596928</v>
      </c>
      <c r="Q95" s="146" t="n">
        <f aca="false">-P85*$D$33</f>
        <v>-334055.992896</v>
      </c>
      <c r="R95" s="146" t="n">
        <f aca="false">-Q85*$D$33</f>
        <v>-347597.388864</v>
      </c>
      <c r="S95" s="146" t="n">
        <f aca="false">-R85*$D$33</f>
        <v>-361138.784832</v>
      </c>
      <c r="T95" s="146" t="n">
        <f aca="false">-S85*$D$33</f>
        <v>-374680.1808</v>
      </c>
      <c r="U95" s="146" t="n">
        <f aca="false">-T85*$D$33</f>
        <v>-368378.71776</v>
      </c>
      <c r="V95" s="146" t="n">
        <f aca="false">-U85*$D$33</f>
        <v>-362077.25472</v>
      </c>
      <c r="W95" s="146" t="n">
        <f aca="false">-V85*$D$33</f>
        <v>-355775.79168</v>
      </c>
      <c r="X95" s="146" t="n">
        <f aca="false">-W85*$D$33</f>
        <v>-349474.32864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-1009260</v>
      </c>
      <c r="U96" s="149" t="n">
        <v>-1009260</v>
      </c>
      <c r="V96" s="149" t="n">
        <v>-1009260</v>
      </c>
      <c r="W96" s="149" t="n">
        <v>-1009260</v>
      </c>
      <c r="X96" s="150" t="n">
        <f aca="false">-W101-X95</f>
        <v>-610181.052160003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166</v>
      </c>
      <c r="C99" s="136" t="n">
        <v>0</v>
      </c>
      <c r="D99" s="136" t="n">
        <f aca="false">SUM(D87:D96)</f>
        <v>1164993.3792</v>
      </c>
      <c r="E99" s="136" t="n">
        <f aca="false">SUM(E87:E96)</f>
        <v>-36664.66656</v>
      </c>
      <c r="F99" s="136" t="n">
        <f aca="false">SUM(F87:F96)</f>
        <v>-35160.0670079996</v>
      </c>
      <c r="G99" s="136" t="n">
        <f aca="false">SUM(G87:G96)</f>
        <v>-33655.4674559999</v>
      </c>
      <c r="H99" s="136" t="n">
        <f aca="false">SUM(H87:H96)</f>
        <v>-32150.867904</v>
      </c>
      <c r="I99" s="136" t="n">
        <f aca="false">SUM(I87:I96)</f>
        <v>-30646.268352</v>
      </c>
      <c r="J99" s="136" t="n">
        <f aca="false">SUM(J87:J96)</f>
        <v>-29141.6687999996</v>
      </c>
      <c r="K99" s="136" t="n">
        <f aca="false">SUM(K87:K96)</f>
        <v>-27637.0692479999</v>
      </c>
      <c r="L99" s="136" t="n">
        <f aca="false">SUM(L87:L96)</f>
        <v>-26132.4696959999</v>
      </c>
      <c r="M99" s="136" t="n">
        <f aca="false">SUM(M87:M96)</f>
        <v>-24627.8701439998</v>
      </c>
      <c r="N99" s="136" t="n">
        <f aca="false">SUM(N87:N96)</f>
        <v>11764.7294080001</v>
      </c>
      <c r="O99" s="136" t="n">
        <f aca="false">SUM(O87:O96)</f>
        <v>-18129.8710399998</v>
      </c>
      <c r="P99" s="136" t="n">
        <f aca="false">SUM(P87:P96)</f>
        <v>-16625.2714879999</v>
      </c>
      <c r="Q99" s="136" t="n">
        <f aca="false">SUM(Q87:Q96)</f>
        <v>-15120.6719359998</v>
      </c>
      <c r="R99" s="136" t="n">
        <f aca="false">SUM(R87:R96)</f>
        <v>-13616.0723839999</v>
      </c>
      <c r="S99" s="136" t="n">
        <f aca="false">SUM(S87:S96)</f>
        <v>-12111.4728319998</v>
      </c>
      <c r="T99" s="136" t="n">
        <f aca="false">SUM(T87:T96)</f>
        <v>34629.5056000002</v>
      </c>
      <c r="U99" s="136" t="n">
        <f aca="false">SUM(U87:U96)</f>
        <v>33929.3430400004</v>
      </c>
      <c r="V99" s="136" t="n">
        <f aca="false">SUM(V87:V96)</f>
        <v>33229.1804800001</v>
      </c>
      <c r="W99" s="136" t="n">
        <f aca="false">SUM(W87:W96)</f>
        <v>32529.0179200004</v>
      </c>
      <c r="X99" s="105"/>
    </row>
    <row r="100" customFormat="false" ht="15" hidden="false" customHeight="true" outlineLevel="0" collapsed="false">
      <c r="B100" s="135" t="s">
        <v>167</v>
      </c>
      <c r="C100" s="136" t="n">
        <v>0</v>
      </c>
      <c r="D100" s="136" t="n">
        <f aca="false">C101</f>
        <v>0</v>
      </c>
      <c r="E100" s="136" t="n">
        <f aca="false">D101</f>
        <v>1164993.3792</v>
      </c>
      <c r="F100" s="136" t="n">
        <f aca="false">E101</f>
        <v>1128328.71264</v>
      </c>
      <c r="G100" s="136" t="n">
        <f aca="false">F101</f>
        <v>1093168.645632</v>
      </c>
      <c r="H100" s="136" t="n">
        <f aca="false">G101</f>
        <v>1059513.178176</v>
      </c>
      <c r="I100" s="136" t="n">
        <f aca="false">H101</f>
        <v>1027362.310272</v>
      </c>
      <c r="J100" s="136" t="n">
        <f aca="false">I101</f>
        <v>996716.04192</v>
      </c>
      <c r="K100" s="136" t="n">
        <f aca="false">J101</f>
        <v>967574.373120001</v>
      </c>
      <c r="L100" s="136" t="n">
        <f aca="false">K101</f>
        <v>939937.303872001</v>
      </c>
      <c r="M100" s="136" t="n">
        <f aca="false">L101</f>
        <v>913804.834176001</v>
      </c>
      <c r="N100" s="136" t="n">
        <f aca="false">M101</f>
        <v>889176.964032001</v>
      </c>
      <c r="O100" s="136" t="n">
        <f aca="false">N101</f>
        <v>900941.693440001</v>
      </c>
      <c r="P100" s="136" t="n">
        <f aca="false">O101</f>
        <v>882811.822400002</v>
      </c>
      <c r="Q100" s="136" t="n">
        <f aca="false">P101</f>
        <v>866186.550912002</v>
      </c>
      <c r="R100" s="136" t="n">
        <f aca="false">Q101</f>
        <v>851065.878976002</v>
      </c>
      <c r="S100" s="136" t="n">
        <f aca="false">R101</f>
        <v>837449.806592002</v>
      </c>
      <c r="T100" s="136" t="n">
        <f aca="false">S101</f>
        <v>825338.333760002</v>
      </c>
      <c r="U100" s="136" t="n">
        <f aca="false">T101</f>
        <v>859967.839360002</v>
      </c>
      <c r="V100" s="136" t="n">
        <f aca="false">U101</f>
        <v>893897.182400003</v>
      </c>
      <c r="W100" s="136" t="n">
        <f aca="false">V101</f>
        <v>927126.362880003</v>
      </c>
      <c r="X100" s="104"/>
    </row>
    <row r="101" customFormat="false" ht="15" hidden="false" customHeight="true" outlineLevel="0" collapsed="false">
      <c r="B101" s="135" t="s">
        <v>168</v>
      </c>
      <c r="C101" s="136" t="n">
        <v>0</v>
      </c>
      <c r="D101" s="136" t="n">
        <f aca="false">D99+D100</f>
        <v>1164993.3792</v>
      </c>
      <c r="E101" s="136" t="n">
        <f aca="false">E99+E100</f>
        <v>1128328.71264</v>
      </c>
      <c r="F101" s="136" t="n">
        <f aca="false">F99+F100</f>
        <v>1093168.645632</v>
      </c>
      <c r="G101" s="136" t="n">
        <f aca="false">G99+G100</f>
        <v>1059513.178176</v>
      </c>
      <c r="H101" s="136" t="n">
        <f aca="false">H99+H100</f>
        <v>1027362.310272</v>
      </c>
      <c r="I101" s="136" t="n">
        <f aca="false">I99+I100</f>
        <v>996716.04192</v>
      </c>
      <c r="J101" s="136" t="n">
        <f aca="false">J99+J100</f>
        <v>967574.373120001</v>
      </c>
      <c r="K101" s="136" t="n">
        <f aca="false">K99+K100</f>
        <v>939937.303872001</v>
      </c>
      <c r="L101" s="136" t="n">
        <f aca="false">L99+L100</f>
        <v>913804.834176001</v>
      </c>
      <c r="M101" s="136" t="n">
        <f aca="false">M99+M100</f>
        <v>889176.964032001</v>
      </c>
      <c r="N101" s="136" t="n">
        <f aca="false">N99+N100</f>
        <v>900941.693440001</v>
      </c>
      <c r="O101" s="136" t="n">
        <f aca="false">O99+O100</f>
        <v>882811.822400002</v>
      </c>
      <c r="P101" s="136" t="n">
        <f aca="false">P99+P100</f>
        <v>866186.550912002</v>
      </c>
      <c r="Q101" s="136" t="n">
        <f aca="false">Q99+Q100</f>
        <v>851065.878976002</v>
      </c>
      <c r="R101" s="136" t="n">
        <f aca="false">R99+R100</f>
        <v>837449.806592002</v>
      </c>
      <c r="S101" s="136" t="n">
        <f aca="false">S99+S100</f>
        <v>825338.333760002</v>
      </c>
      <c r="T101" s="136" t="n">
        <f aca="false">T99+T100</f>
        <v>859967.839360002</v>
      </c>
      <c r="U101" s="136" t="n">
        <f aca="false">U99+U100</f>
        <v>893897.182400003</v>
      </c>
      <c r="V101" s="136" t="n">
        <f aca="false">V99+V100</f>
        <v>927126.362880003</v>
      </c>
      <c r="W101" s="136" t="n">
        <f aca="false">W99+W100</f>
        <v>959655.380800003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169</v>
      </c>
      <c r="C104" s="152"/>
      <c r="D104" s="153" t="n">
        <f aca="false">-D94</f>
        <v>-4037040</v>
      </c>
      <c r="E104" s="139" t="n">
        <f aca="false">-E95-E96</f>
        <v>140160.04128</v>
      </c>
      <c r="F104" s="139" t="n">
        <f aca="false">-F95-F96</f>
        <v>153701.437248</v>
      </c>
      <c r="G104" s="139" t="n">
        <f aca="false">-G95-G96</f>
        <v>167242.833216</v>
      </c>
      <c r="H104" s="139" t="n">
        <f aca="false">-H95-H96</f>
        <v>180784.229184</v>
      </c>
      <c r="I104" s="139" t="n">
        <f aca="false">-I95-I96</f>
        <v>194325.625152</v>
      </c>
      <c r="J104" s="139" t="n">
        <f aca="false">-J95-J96</f>
        <v>207867.02112</v>
      </c>
      <c r="K104" s="139" t="n">
        <f aca="false">-K95-K96</f>
        <v>221408.417088</v>
      </c>
      <c r="L104" s="139" t="n">
        <f aca="false">-L95-L96</f>
        <v>234949.813056</v>
      </c>
      <c r="M104" s="139" t="n">
        <f aca="false">-M95-M96</f>
        <v>248491.209024</v>
      </c>
      <c r="N104" s="139" t="n">
        <f aca="false">-N95-N96</f>
        <v>262032.604992</v>
      </c>
      <c r="O104" s="139" t="n">
        <f aca="false">-O95-O96</f>
        <v>306973.20096</v>
      </c>
      <c r="P104" s="139" t="n">
        <f aca="false">-P95-P96</f>
        <v>320514.596928</v>
      </c>
      <c r="Q104" s="139" t="n">
        <f aca="false">-Q95-Q96</f>
        <v>334055.992896</v>
      </c>
      <c r="R104" s="139" t="n">
        <f aca="false">-R95-R96</f>
        <v>347597.388864</v>
      </c>
      <c r="S104" s="139" t="n">
        <f aca="false">-S95-S96</f>
        <v>361138.784832</v>
      </c>
      <c r="T104" s="139" t="n">
        <f aca="false">-T95-T96</f>
        <v>1383940.1808</v>
      </c>
      <c r="U104" s="139" t="n">
        <f aca="false">-U95-U96</f>
        <v>1377638.71776</v>
      </c>
      <c r="V104" s="139" t="n">
        <f aca="false">-V95-V96</f>
        <v>1371337.25472</v>
      </c>
      <c r="W104" s="139" t="n">
        <f aca="false">-W95-W96</f>
        <v>1365035.79168</v>
      </c>
      <c r="X104" s="139" t="n">
        <f aca="false">-X95-X96</f>
        <v>959655.380800003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0.0689811898503583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170</v>
      </c>
      <c r="C106" s="152"/>
      <c r="D106" s="153" t="n">
        <f aca="false">D85-D94</f>
        <v>-3881306.6208</v>
      </c>
      <c r="E106" s="139" t="n">
        <f aca="false">E85</f>
        <v>170779.37472</v>
      </c>
      <c r="F106" s="139" t="n">
        <f aca="false">F85-F96</f>
        <v>185825.37024</v>
      </c>
      <c r="G106" s="139" t="n">
        <f aca="false">G85-G96</f>
        <v>200871.36576</v>
      </c>
      <c r="H106" s="139" t="n">
        <f aca="false">H85-H96</f>
        <v>215917.36128</v>
      </c>
      <c r="I106" s="139" t="n">
        <f aca="false">I85-I96</f>
        <v>230963.3568</v>
      </c>
      <c r="J106" s="139" t="n">
        <f aca="false">J85-J96</f>
        <v>246009.35232</v>
      </c>
      <c r="K106" s="139" t="n">
        <f aca="false">K85-K96</f>
        <v>261055.34784</v>
      </c>
      <c r="L106" s="139" t="n">
        <f aca="false">L85-L96</f>
        <v>276101.34336</v>
      </c>
      <c r="M106" s="139" t="n">
        <f aca="false">M85-M96</f>
        <v>291147.33888</v>
      </c>
      <c r="N106" s="139" t="n">
        <f aca="false">N85-N96</f>
        <v>341081.3344</v>
      </c>
      <c r="O106" s="139" t="n">
        <f aca="false">O85-O96</f>
        <v>356127.32992</v>
      </c>
      <c r="P106" s="139" t="n">
        <f aca="false">P85-P96</f>
        <v>371173.32544</v>
      </c>
      <c r="Q106" s="139" t="n">
        <f aca="false">Q85-Q96</f>
        <v>386219.32096</v>
      </c>
      <c r="R106" s="139" t="n">
        <f aca="false">R85-R96</f>
        <v>401265.31648</v>
      </c>
      <c r="S106" s="139" t="n">
        <f aca="false">S85-S96</f>
        <v>416311.312</v>
      </c>
      <c r="T106" s="139" t="n">
        <f aca="false">T85-T96</f>
        <v>1418569.6864</v>
      </c>
      <c r="U106" s="139" t="n">
        <f aca="false">U85-U96</f>
        <v>1411568.0608</v>
      </c>
      <c r="V106" s="139" t="n">
        <f aca="false">V85-V96</f>
        <v>1404566.4352</v>
      </c>
      <c r="W106" s="139" t="n">
        <f aca="false">W85-W96</f>
        <v>1397564.8096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0.076409661748464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171</v>
      </c>
      <c r="C109" s="136" t="n">
        <v>0</v>
      </c>
      <c r="D109" s="136" t="n">
        <f aca="false">D92</f>
        <v>16148160</v>
      </c>
      <c r="E109" s="136" t="n">
        <f aca="false">D109+E93</f>
        <v>15071616</v>
      </c>
      <c r="F109" s="136" t="n">
        <f aca="false">E109+F93</f>
        <v>13995072</v>
      </c>
      <c r="G109" s="136" t="n">
        <f aca="false">F109+G93</f>
        <v>12918528</v>
      </c>
      <c r="H109" s="136" t="n">
        <f aca="false">G109+H93</f>
        <v>11841984</v>
      </c>
      <c r="I109" s="136" t="n">
        <f aca="false">H109+I93</f>
        <v>10765440</v>
      </c>
      <c r="J109" s="136" t="n">
        <f aca="false">I109+J93</f>
        <v>9688896</v>
      </c>
      <c r="K109" s="136" t="n">
        <f aca="false">J109+K93</f>
        <v>8612352</v>
      </c>
      <c r="L109" s="136" t="n">
        <f aca="false">K109+L93</f>
        <v>7535808</v>
      </c>
      <c r="M109" s="136" t="n">
        <f aca="false">L109+M93</f>
        <v>6459264</v>
      </c>
      <c r="N109" s="136" t="n">
        <f aca="false">M109+N93</f>
        <v>5382720</v>
      </c>
      <c r="O109" s="136" t="n">
        <f aca="false">N109+O93</f>
        <v>4306176</v>
      </c>
      <c r="P109" s="136" t="n">
        <f aca="false">O109+P93</f>
        <v>3229632</v>
      </c>
      <c r="Q109" s="136" t="n">
        <f aca="false">P109+Q93</f>
        <v>2153088</v>
      </c>
      <c r="R109" s="136" t="n">
        <f aca="false">Q109+R93</f>
        <v>1076544</v>
      </c>
      <c r="S109" s="136" t="n">
        <f aca="false">R109+S93</f>
        <v>0</v>
      </c>
      <c r="T109" s="136" t="n">
        <f aca="false">S109+T93</f>
        <v>0</v>
      </c>
      <c r="U109" s="136" t="n">
        <f aca="false">T109+U93</f>
        <v>0</v>
      </c>
      <c r="V109" s="136" t="n">
        <f aca="false">U109+V93</f>
        <v>0</v>
      </c>
      <c r="W109" s="136" t="n">
        <f aca="false">V109+W93</f>
        <v>0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131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174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107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108</v>
      </c>
    </row>
    <row r="7" customFormat="false" ht="22.5" hidden="false" customHeight="true" outlineLevel="0" collapsed="false">
      <c r="B7" s="2" t="s">
        <v>133</v>
      </c>
      <c r="C7" s="2"/>
      <c r="D7" s="2"/>
      <c r="E7" s="2"/>
      <c r="M7" s="1" t="s">
        <v>109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110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84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134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29000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135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136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137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138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139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140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141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142</v>
      </c>
      <c r="C44" s="96" t="n">
        <f aca="false">-(D16/(1-D17)+D18)*C4</f>
        <v>-18939200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143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144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145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146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147</v>
      </c>
      <c r="C49" s="87" t="s">
        <v>4</v>
      </c>
      <c r="D49" s="97" t="n">
        <v>-37940.7</v>
      </c>
      <c r="E49" s="97" t="n">
        <v>-37940.7</v>
      </c>
      <c r="F49" s="97" t="n">
        <v>-37940.7</v>
      </c>
      <c r="G49" s="97" t="n">
        <v>-37940.7</v>
      </c>
      <c r="H49" s="97" t="n">
        <v>-37940.7</v>
      </c>
      <c r="I49" s="97" t="n">
        <v>-37940.7</v>
      </c>
      <c r="J49" s="97" t="n">
        <v>-37940.7</v>
      </c>
      <c r="K49" s="97" t="n">
        <v>-37940.7</v>
      </c>
      <c r="L49" s="97" t="n">
        <v>-37940.7</v>
      </c>
      <c r="M49" s="97" t="n">
        <v>-37940.7</v>
      </c>
      <c r="N49" s="97" t="n">
        <v>-37940.7</v>
      </c>
      <c r="O49" s="97" t="n">
        <v>-37940.7</v>
      </c>
      <c r="P49" s="97" t="n">
        <v>-37940.7</v>
      </c>
      <c r="Q49" s="97" t="n">
        <v>-37940.7</v>
      </c>
      <c r="R49" s="97" t="n">
        <v>-37940.7</v>
      </c>
      <c r="S49" s="97" t="n">
        <v>-37940.7</v>
      </c>
      <c r="T49" s="97" t="n">
        <v>-37940.7</v>
      </c>
      <c r="U49" s="97" t="n">
        <v>-37940.7</v>
      </c>
      <c r="V49" s="97" t="n">
        <v>-37940.7</v>
      </c>
      <c r="W49" s="97" t="n">
        <v>-37940.7</v>
      </c>
      <c r="X49" s="97"/>
    </row>
    <row r="50" customFormat="false" ht="18.75" hidden="false" customHeight="true" outlineLevel="0" collapsed="false">
      <c r="B50" s="95" t="s">
        <v>148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149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150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151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152</v>
      </c>
      <c r="C54" s="98"/>
      <c r="D54" s="97" t="n">
        <f aca="false">-(D64+D67+D68+D71+D72+D73+D74)*0.2</f>
        <v>-134595.244</v>
      </c>
      <c r="E54" s="97" t="n">
        <f aca="false">-(E64+E67+E68+E71+E72+E73+E74)*0.2</f>
        <v>-132844.8376</v>
      </c>
      <c r="F54" s="97" t="n">
        <f aca="false">-(F64+F67+F68+F71+F72+F73+F74)*0.2</f>
        <v>-131094.4312</v>
      </c>
      <c r="G54" s="97" t="n">
        <f aca="false">-(G64+G67+G68+G71+G72+G73+G74)*0.2</f>
        <v>-129344.0248</v>
      </c>
      <c r="H54" s="97" t="n">
        <f aca="false">-(H64+H67+H68+H71+H72+H73+H74)*0.2</f>
        <v>-127593.6184</v>
      </c>
      <c r="I54" s="97" t="n">
        <f aca="false">-(I64+I67+I68+I71+I72+I73+I74)*0.2</f>
        <v>-125843.212</v>
      </c>
      <c r="J54" s="97" t="n">
        <f aca="false">-(J64+J67+J68+J71+J72+J73+J74)*0.2</f>
        <v>-124092.8056</v>
      </c>
      <c r="K54" s="97" t="n">
        <f aca="false">-(K64+K67+K68+K71+K72+K73+K74)*0.2</f>
        <v>-122342.3992</v>
      </c>
      <c r="L54" s="97" t="n">
        <f aca="false">-(L64+L67+L68+L71+L72+L73+L74)*0.2</f>
        <v>-120591.9928</v>
      </c>
      <c r="M54" s="97" t="n">
        <f aca="false">-(M64+M67+M68+M71+M72+M73+M74)*0.2</f>
        <v>-118841.5864</v>
      </c>
      <c r="N54" s="97" t="n">
        <f aca="false">-(N64+N67+N68+N71+N72+N73+N74)*0.2</f>
        <v>-125813.18</v>
      </c>
      <c r="O54" s="97" t="n">
        <f aca="false">-(O64+O67+O68+O71+O72+O73+O74)*0.2</f>
        <v>-124062.7736</v>
      </c>
      <c r="P54" s="97" t="n">
        <f aca="false">-(P64+P67+P68+P71+P72+P73+P74)*0.2</f>
        <v>-122312.3672</v>
      </c>
      <c r="Q54" s="97" t="n">
        <f aca="false">-(Q64+Q67+Q68+Q71+Q72+Q73+Q74)*0.2</f>
        <v>-120561.9608</v>
      </c>
      <c r="R54" s="97" t="n">
        <f aca="false">-(R64+R67+R68+R71+R72+R73+R74)*0.2</f>
        <v>-118811.5544</v>
      </c>
      <c r="S54" s="97" t="n">
        <f aca="false">-(S64+S67+S68+S71+S72+S73+S74)*0.2</f>
        <v>-117061.148</v>
      </c>
      <c r="T54" s="97" t="n">
        <f aca="false">-(T64+T67+T68+T71+T72+T73+T74)*0.2</f>
        <v>-115310.7416</v>
      </c>
      <c r="U54" s="97" t="n">
        <f aca="false">-(U64+U67+U68+U71+U72+U73+U74)*0.2</f>
        <v>-113560.3352</v>
      </c>
      <c r="V54" s="97" t="n">
        <f aca="false">-(V64+V67+V68+V71+V72+V73+V74)*0.2</f>
        <v>-111809.9288</v>
      </c>
      <c r="W54" s="97" t="n">
        <f aca="false">-(W64+W67+W68+W71+W72+W73+W74)*0.2</f>
        <v>-110059.5224</v>
      </c>
      <c r="X54" s="88"/>
    </row>
    <row r="55" customFormat="false" ht="18.75" hidden="false" customHeight="true" outlineLevel="0" collapsed="false">
      <c r="B55" s="100" t="s">
        <v>153</v>
      </c>
      <c r="C55" s="101" t="n">
        <f aca="false">C44</f>
        <v>-18939200</v>
      </c>
      <c r="D55" s="102" t="n">
        <f aca="false">SUM(D41:D54)</f>
        <v>1485340.976</v>
      </c>
      <c r="E55" s="102" t="n">
        <f aca="false">SUM(E41:E54)</f>
        <v>1478339.3504</v>
      </c>
      <c r="F55" s="102" t="n">
        <f aca="false">SUM(F41:F54)</f>
        <v>1471337.7248</v>
      </c>
      <c r="G55" s="102" t="n">
        <f aca="false">SUM(G41:G54)</f>
        <v>1464336.0992</v>
      </c>
      <c r="H55" s="102" t="n">
        <f aca="false">SUM(H41:H54)</f>
        <v>1457334.4736</v>
      </c>
      <c r="I55" s="102" t="n">
        <f aca="false">SUM(I41:I54)</f>
        <v>1450332.848</v>
      </c>
      <c r="J55" s="102" t="n">
        <f aca="false">SUM(J41:J54)</f>
        <v>1443331.2224</v>
      </c>
      <c r="K55" s="102" t="n">
        <f aca="false">SUM(K41:K54)</f>
        <v>1436329.5968</v>
      </c>
      <c r="L55" s="102" t="n">
        <f aca="false">SUM(L41:L54)</f>
        <v>1429327.9712</v>
      </c>
      <c r="M55" s="102" t="n">
        <f aca="false">SUM(M41:M54)</f>
        <v>1422326.3456</v>
      </c>
      <c r="N55" s="102" t="n">
        <f aca="false">SUM(N41:N54)</f>
        <v>1450212.72</v>
      </c>
      <c r="O55" s="102" t="n">
        <f aca="false">SUM(O41:O54)</f>
        <v>1443211.0944</v>
      </c>
      <c r="P55" s="102" t="n">
        <f aca="false">SUM(P41:P54)</f>
        <v>1436209.4688</v>
      </c>
      <c r="Q55" s="102" t="n">
        <f aca="false">SUM(Q41:Q54)</f>
        <v>1429207.8432</v>
      </c>
      <c r="R55" s="102" t="n">
        <f aca="false">SUM(R41:R54)</f>
        <v>1422206.2176</v>
      </c>
      <c r="S55" s="102" t="n">
        <f aca="false">SUM(S41:S54)</f>
        <v>1415204.592</v>
      </c>
      <c r="T55" s="102" t="n">
        <f aca="false">SUM(T41:T54)</f>
        <v>1408202.9664</v>
      </c>
      <c r="U55" s="102" t="n">
        <f aca="false">SUM(U41:U54)</f>
        <v>1401201.3408</v>
      </c>
      <c r="V55" s="102" t="n">
        <f aca="false">SUM(V41:V54)</f>
        <v>1394199.7152</v>
      </c>
      <c r="W55" s="102" t="n">
        <f aca="false">SUM(W41:W54)</f>
        <v>1387198.0896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154</v>
      </c>
      <c r="D56" s="107" t="n">
        <f aca="false">C55+D55</f>
        <v>-17453859.024</v>
      </c>
      <c r="E56" s="107" t="n">
        <f aca="false">D56+E55</f>
        <v>-15975519.6736</v>
      </c>
      <c r="F56" s="107" t="n">
        <f aca="false">E56+F55</f>
        <v>-14504181.9488</v>
      </c>
      <c r="G56" s="107" t="n">
        <f aca="false">F56+G55</f>
        <v>-13039845.8496</v>
      </c>
      <c r="H56" s="107" t="n">
        <f aca="false">G56+H55</f>
        <v>-11582511.376</v>
      </c>
      <c r="I56" s="107" t="n">
        <f aca="false">H56+I55</f>
        <v>-10132178.528</v>
      </c>
      <c r="J56" s="107" t="n">
        <f aca="false">I56+J55</f>
        <v>-8688847.3056</v>
      </c>
      <c r="K56" s="107" t="n">
        <f aca="false">J56+K55</f>
        <v>-7252517.7088</v>
      </c>
      <c r="L56" s="107" t="n">
        <f aca="false">K56+L55</f>
        <v>-5823189.7376</v>
      </c>
      <c r="M56" s="107" t="n">
        <f aca="false">L56+M55</f>
        <v>-4400863.392</v>
      </c>
      <c r="N56" s="107" t="n">
        <f aca="false">M56+N55</f>
        <v>-2950650.672</v>
      </c>
      <c r="O56" s="107" t="n">
        <f aca="false">N56+O55</f>
        <v>-1507439.5776</v>
      </c>
      <c r="P56" s="107" t="n">
        <f aca="false">O56+P55</f>
        <v>-71230.1088000031</v>
      </c>
      <c r="Q56" s="107" t="n">
        <f aca="false">P56+Q55</f>
        <v>1357977.7344</v>
      </c>
      <c r="R56" s="107" t="n">
        <f aca="false">Q56+R55</f>
        <v>2780183.952</v>
      </c>
      <c r="S56" s="107" t="n">
        <f aca="false">R56+S55</f>
        <v>4195388.544</v>
      </c>
      <c r="T56" s="107" t="n">
        <f aca="false">S56+T55</f>
        <v>5603591.5104</v>
      </c>
      <c r="U56" s="107" t="n">
        <f aca="false">T56+U55</f>
        <v>7004792.8512</v>
      </c>
      <c r="V56" s="107" t="n">
        <f aca="false">U56+V55</f>
        <v>8398992.5664</v>
      </c>
      <c r="W56" s="107" t="n">
        <f aca="false">V56+W55</f>
        <v>9786190.656</v>
      </c>
      <c r="X56" s="107" t="n">
        <f aca="false">W56+X55</f>
        <v>9786190.656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155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未回收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0.0439267062806111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136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156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137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138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139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140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141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157</v>
      </c>
      <c r="C67" s="87"/>
      <c r="D67" s="120" t="n">
        <f aca="false">$C$44/$E$16</f>
        <v>-946960</v>
      </c>
      <c r="E67" s="120" t="n">
        <f aca="false">$C$44/$E$16</f>
        <v>-946960</v>
      </c>
      <c r="F67" s="120" t="n">
        <f aca="false">$C$44/$E$16</f>
        <v>-946960</v>
      </c>
      <c r="G67" s="120" t="n">
        <f aca="false">$C$44/$E$16</f>
        <v>-946960</v>
      </c>
      <c r="H67" s="120" t="n">
        <f aca="false">$C$44/$E$16</f>
        <v>-946960</v>
      </c>
      <c r="I67" s="120" t="n">
        <f aca="false">$C$44/$E$16</f>
        <v>-946960</v>
      </c>
      <c r="J67" s="120" t="n">
        <f aca="false">$C$44/$E$16</f>
        <v>-946960</v>
      </c>
      <c r="K67" s="120" t="n">
        <f aca="false">$C$44/$E$16</f>
        <v>-946960</v>
      </c>
      <c r="L67" s="120" t="n">
        <f aca="false">$C$44/$E$16</f>
        <v>-946960</v>
      </c>
      <c r="M67" s="120" t="n">
        <f aca="false">$C$44/$E$16</f>
        <v>-946960</v>
      </c>
      <c r="N67" s="120" t="n">
        <f aca="false">$C$44/$E$16</f>
        <v>-946960</v>
      </c>
      <c r="O67" s="120" t="n">
        <f aca="false">$C$44/$E$16</f>
        <v>-946960</v>
      </c>
      <c r="P67" s="120" t="n">
        <f aca="false">$C$44/$E$16</f>
        <v>-946960</v>
      </c>
      <c r="Q67" s="120" t="n">
        <f aca="false">$C$44/$E$16</f>
        <v>-946960</v>
      </c>
      <c r="R67" s="120" t="n">
        <f aca="false">$C$44/$E$16</f>
        <v>-946960</v>
      </c>
      <c r="S67" s="120" t="n">
        <f aca="false">$C$44/$E$16</f>
        <v>-946960</v>
      </c>
      <c r="T67" s="120" t="n">
        <f aca="false">$C$44/$E$16</f>
        <v>-946960</v>
      </c>
      <c r="U67" s="120" t="n">
        <f aca="false">$C$44/$E$16</f>
        <v>-946960</v>
      </c>
      <c r="V67" s="120" t="n">
        <f aca="false">$C$44/$E$16</f>
        <v>-946960</v>
      </c>
      <c r="W67" s="120" t="n">
        <f aca="false">$C$44/$E$16</f>
        <v>-946960</v>
      </c>
      <c r="X67" s="90"/>
    </row>
    <row r="68" customFormat="false" ht="18.75" hidden="false" customHeight="true" outlineLevel="0" collapsed="false">
      <c r="B68" s="95" t="s">
        <v>143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144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145</v>
      </c>
      <c r="C70" s="87" t="s">
        <v>4</v>
      </c>
      <c r="D70" s="97" t="n">
        <f aca="false">-D109*$D25</f>
        <v>-387874.816</v>
      </c>
      <c r="E70" s="97" t="n">
        <f aca="false">-E109*$D25</f>
        <v>-362016.494933333</v>
      </c>
      <c r="F70" s="97" t="n">
        <f aca="false">-F109*$D25</f>
        <v>-336158.173866667</v>
      </c>
      <c r="G70" s="97" t="n">
        <f aca="false">-G109*$D25</f>
        <v>-310299.8528</v>
      </c>
      <c r="H70" s="97" t="n">
        <f aca="false">-H109*$D25</f>
        <v>-284441.531733333</v>
      </c>
      <c r="I70" s="97" t="n">
        <f aca="false">-I109*$D25</f>
        <v>-258583.210666666</v>
      </c>
      <c r="J70" s="97" t="n">
        <f aca="false">-J109*$D25</f>
        <v>-232724.8896</v>
      </c>
      <c r="K70" s="97" t="n">
        <f aca="false">-K109*$D25</f>
        <v>-206866.568533333</v>
      </c>
      <c r="L70" s="97" t="n">
        <f aca="false">-L109*$D25</f>
        <v>-181008.247466666</v>
      </c>
      <c r="M70" s="97" t="n">
        <f aca="false">-M109*$D25</f>
        <v>-155149.926399999</v>
      </c>
      <c r="N70" s="97" t="n">
        <f aca="false">-N109*$D25</f>
        <v>-129291.605333333</v>
      </c>
      <c r="O70" s="97" t="n">
        <f aca="false">-O109*$D25</f>
        <v>-103433.284266666</v>
      </c>
      <c r="P70" s="97" t="n">
        <f aca="false">-P109*$D25</f>
        <v>-77574.9631999991</v>
      </c>
      <c r="Q70" s="97" t="n">
        <f aca="false">-Q109*$D25</f>
        <v>-51716.6421333324</v>
      </c>
      <c r="R70" s="97" t="n">
        <f aca="false">-R109*$D25</f>
        <v>-25858.3210666656</v>
      </c>
      <c r="S70" s="97" t="n">
        <f aca="false">-S109*$D25</f>
        <v>1.1146068572998E-009</v>
      </c>
      <c r="T70" s="97" t="n">
        <f aca="false">-T109*$D25</f>
        <v>1.1146068572998E-009</v>
      </c>
      <c r="U70" s="97" t="n">
        <f aca="false">-U109*$D25</f>
        <v>1.1146068572998E-009</v>
      </c>
      <c r="V70" s="97" t="n">
        <f aca="false">-V109*$D25</f>
        <v>1.1146068572998E-009</v>
      </c>
      <c r="W70" s="97" t="n">
        <f aca="false">-W109*$D25</f>
        <v>1.1146068572998E-009</v>
      </c>
      <c r="X70" s="90"/>
    </row>
    <row r="71" customFormat="false" ht="18.75" hidden="false" customHeight="true" outlineLevel="0" collapsed="false">
      <c r="B71" s="95" t="s">
        <v>146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147</v>
      </c>
      <c r="C72" s="87" t="s">
        <v>4</v>
      </c>
      <c r="D72" s="97" t="n">
        <f aca="false">D49</f>
        <v>-37940.7</v>
      </c>
      <c r="E72" s="97" t="n">
        <f aca="false">E49</f>
        <v>-37940.7</v>
      </c>
      <c r="F72" s="97" t="n">
        <f aca="false">F49</f>
        <v>-37940.7</v>
      </c>
      <c r="G72" s="97" t="n">
        <f aca="false">G49</f>
        <v>-37940.7</v>
      </c>
      <c r="H72" s="97" t="n">
        <f aca="false">H49</f>
        <v>-37940.7</v>
      </c>
      <c r="I72" s="97" t="n">
        <f aca="false">I49</f>
        <v>-37940.7</v>
      </c>
      <c r="J72" s="97" t="n">
        <f aca="false">J49</f>
        <v>-37940.7</v>
      </c>
      <c r="K72" s="97" t="n">
        <f aca="false">K49</f>
        <v>-37940.7</v>
      </c>
      <c r="L72" s="97" t="n">
        <f aca="false">L49</f>
        <v>-37940.7</v>
      </c>
      <c r="M72" s="97" t="n">
        <f aca="false">M49</f>
        <v>-37940.7</v>
      </c>
      <c r="N72" s="97" t="n">
        <f aca="false">N49</f>
        <v>-37940.7</v>
      </c>
      <c r="O72" s="97" t="n">
        <f aca="false">O49</f>
        <v>-37940.7</v>
      </c>
      <c r="P72" s="97" t="n">
        <f aca="false">P49</f>
        <v>-37940.7</v>
      </c>
      <c r="Q72" s="97" t="n">
        <f aca="false">Q49</f>
        <v>-37940.7</v>
      </c>
      <c r="R72" s="97" t="n">
        <f aca="false">R49</f>
        <v>-37940.7</v>
      </c>
      <c r="S72" s="97" t="n">
        <f aca="false">S49</f>
        <v>-37940.7</v>
      </c>
      <c r="T72" s="97" t="n">
        <f aca="false">T49</f>
        <v>-37940.7</v>
      </c>
      <c r="U72" s="97" t="n">
        <f aca="false">U49</f>
        <v>-37940.7</v>
      </c>
      <c r="V72" s="97" t="n">
        <f aca="false">V49</f>
        <v>-37940.7</v>
      </c>
      <c r="W72" s="97" t="n">
        <f aca="false">W49</f>
        <v>-37940.7</v>
      </c>
      <c r="X72" s="90"/>
    </row>
    <row r="73" customFormat="false" ht="18.75" hidden="false" customHeight="true" outlineLevel="0" collapsed="false">
      <c r="B73" s="95" t="s">
        <v>148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149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150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158</v>
      </c>
      <c r="C76" s="123"/>
      <c r="D76" s="102" t="n">
        <f aca="false">SUM(D64:D75)</f>
        <v>285101.404</v>
      </c>
      <c r="E76" s="102" t="n">
        <f aca="false">SUM(E64:E75)</f>
        <v>302207.693066666</v>
      </c>
      <c r="F76" s="102" t="n">
        <f aca="false">SUM(F64:F75)</f>
        <v>319313.982133333</v>
      </c>
      <c r="G76" s="102" t="n">
        <f aca="false">SUM(G64:G75)</f>
        <v>336420.2712</v>
      </c>
      <c r="H76" s="102" t="n">
        <f aca="false">SUM(H64:H75)</f>
        <v>353526.560266667</v>
      </c>
      <c r="I76" s="102" t="n">
        <f aca="false">SUM(I64:I75)</f>
        <v>370632.849333333</v>
      </c>
      <c r="J76" s="102" t="n">
        <f aca="false">SUM(J64:J75)</f>
        <v>387739.1384</v>
      </c>
      <c r="K76" s="102" t="n">
        <f aca="false">SUM(K64:K75)</f>
        <v>404845.427466667</v>
      </c>
      <c r="L76" s="102" t="n">
        <f aca="false">SUM(L64:L75)</f>
        <v>421951.716533334</v>
      </c>
      <c r="M76" s="102" t="n">
        <f aca="false">SUM(M64:M75)</f>
        <v>439058.0056</v>
      </c>
      <c r="N76" s="102" t="n">
        <f aca="false">SUM(N64:N75)</f>
        <v>499774.294666667</v>
      </c>
      <c r="O76" s="102" t="n">
        <f aca="false">SUM(O64:O75)</f>
        <v>516880.583733334</v>
      </c>
      <c r="P76" s="102" t="n">
        <f aca="false">SUM(P64:P75)</f>
        <v>533986.872800001</v>
      </c>
      <c r="Q76" s="102" t="n">
        <f aca="false">SUM(Q64:Q75)</f>
        <v>551093.161866667</v>
      </c>
      <c r="R76" s="102" t="n">
        <f aca="false">SUM(R64:R75)</f>
        <v>568199.450933334</v>
      </c>
      <c r="S76" s="102" t="n">
        <f aca="false">SUM(S64:S75)</f>
        <v>585305.740000001</v>
      </c>
      <c r="T76" s="102" t="n">
        <f aca="false">SUM(T64:T75)</f>
        <v>576553.708000001</v>
      </c>
      <c r="U76" s="102" t="n">
        <f aca="false">SUM(U64:U75)</f>
        <v>567801.676000001</v>
      </c>
      <c r="V76" s="102" t="n">
        <f aca="false">SUM(V64:V75)</f>
        <v>559049.644000001</v>
      </c>
      <c r="W76" s="102" t="n">
        <f aca="false">SUM(W64:W75)</f>
        <v>550297.612000001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152</v>
      </c>
      <c r="C77" s="98"/>
      <c r="D77" s="97" t="n">
        <f aca="false">-D76*0.2</f>
        <v>-57020.2807999999</v>
      </c>
      <c r="E77" s="97" t="n">
        <f aca="false">-E76*0.2</f>
        <v>-60441.5386133332</v>
      </c>
      <c r="F77" s="97" t="n">
        <f aca="false">-F76*0.2</f>
        <v>-63862.7964266667</v>
      </c>
      <c r="G77" s="97" t="n">
        <f aca="false">-G76*0.2</f>
        <v>-67284.05424</v>
      </c>
      <c r="H77" s="97" t="n">
        <f aca="false">-H76*0.2</f>
        <v>-70705.3120533333</v>
      </c>
      <c r="I77" s="97" t="n">
        <f aca="false">-I76*0.2</f>
        <v>-74126.5698666666</v>
      </c>
      <c r="J77" s="97" t="n">
        <f aca="false">-J76*0.2</f>
        <v>-77547.8276800001</v>
      </c>
      <c r="K77" s="97" t="n">
        <f aca="false">-K76*0.2</f>
        <v>-80969.0854933334</v>
      </c>
      <c r="L77" s="97" t="n">
        <f aca="false">-L76*0.2</f>
        <v>-84390.3433066667</v>
      </c>
      <c r="M77" s="97" t="n">
        <f aca="false">-M76*0.2</f>
        <v>-87811.6011200001</v>
      </c>
      <c r="N77" s="97" t="n">
        <f aca="false">-N76*0.2</f>
        <v>-99954.8589333334</v>
      </c>
      <c r="O77" s="97" t="n">
        <f aca="false">-O76*0.2</f>
        <v>-103376.116746667</v>
      </c>
      <c r="P77" s="97" t="n">
        <f aca="false">-P76*0.2</f>
        <v>-106797.37456</v>
      </c>
      <c r="Q77" s="97" t="n">
        <f aca="false">-Q76*0.2</f>
        <v>-110218.632373333</v>
      </c>
      <c r="R77" s="97" t="n">
        <f aca="false">-R76*0.2</f>
        <v>-113639.890186667</v>
      </c>
      <c r="S77" s="97" t="n">
        <f aca="false">-S76*0.2</f>
        <v>-117061.148</v>
      </c>
      <c r="T77" s="97" t="n">
        <f aca="false">-T76*0.2</f>
        <v>-115310.7416</v>
      </c>
      <c r="U77" s="97" t="n">
        <f aca="false">-U76*0.2</f>
        <v>-113560.3352</v>
      </c>
      <c r="V77" s="97" t="n">
        <f aca="false">-V76*0.2</f>
        <v>-111809.9288</v>
      </c>
      <c r="W77" s="97" t="n">
        <f aca="false">-W76*0.2</f>
        <v>-110059.5224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159</v>
      </c>
      <c r="D78" s="97" t="n">
        <f aca="false">SUM(D76:D77)</f>
        <v>228081.1232</v>
      </c>
      <c r="E78" s="97" t="n">
        <f aca="false">SUM(E76:E77)</f>
        <v>241766.154453333</v>
      </c>
      <c r="F78" s="97" t="n">
        <f aca="false">SUM(F76:F77)</f>
        <v>255451.185706667</v>
      </c>
      <c r="G78" s="97" t="n">
        <f aca="false">SUM(G76:G77)</f>
        <v>269136.21696</v>
      </c>
      <c r="H78" s="97" t="n">
        <f aca="false">SUM(H76:H77)</f>
        <v>282821.248213333</v>
      </c>
      <c r="I78" s="97" t="n">
        <f aca="false">SUM(I76:I77)</f>
        <v>296506.279466667</v>
      </c>
      <c r="J78" s="97" t="n">
        <f aca="false">SUM(J76:J77)</f>
        <v>310191.31072</v>
      </c>
      <c r="K78" s="97" t="n">
        <f aca="false">SUM(K76:K77)</f>
        <v>323876.341973334</v>
      </c>
      <c r="L78" s="97" t="n">
        <f aca="false">SUM(L76:L77)</f>
        <v>337561.373226667</v>
      </c>
      <c r="M78" s="97" t="n">
        <f aca="false">SUM(M76:M77)</f>
        <v>351246.40448</v>
      </c>
      <c r="N78" s="97" t="n">
        <f aca="false">SUM(N76:N77)</f>
        <v>399819.435733334</v>
      </c>
      <c r="O78" s="97" t="n">
        <f aca="false">SUM(O76:O77)</f>
        <v>413504.466986667</v>
      </c>
      <c r="P78" s="97" t="n">
        <f aca="false">SUM(P76:P77)</f>
        <v>427189.49824</v>
      </c>
      <c r="Q78" s="97" t="n">
        <f aca="false">SUM(Q76:Q77)</f>
        <v>440874.529493334</v>
      </c>
      <c r="R78" s="97" t="n">
        <f aca="false">SUM(R76:R77)</f>
        <v>454559.560746667</v>
      </c>
      <c r="S78" s="97" t="n">
        <f aca="false">SUM(S76:S77)</f>
        <v>468244.592000001</v>
      </c>
      <c r="T78" s="97" t="n">
        <f aca="false">SUM(T76:T77)</f>
        <v>461242.966400001</v>
      </c>
      <c r="U78" s="97" t="n">
        <f aca="false">SUM(U76:U77)</f>
        <v>454241.340800001</v>
      </c>
      <c r="V78" s="97" t="n">
        <f aca="false">SUM(V76:V77)</f>
        <v>447239.715200001</v>
      </c>
      <c r="W78" s="97" t="n">
        <f aca="false">SUM(W76:W77)</f>
        <v>440238.089600001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154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155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136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137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159</v>
      </c>
      <c r="C85" s="135"/>
      <c r="D85" s="136" t="n">
        <f aca="false">D78</f>
        <v>228081.1232</v>
      </c>
      <c r="E85" s="136" t="n">
        <f aca="false">E78</f>
        <v>241766.154453333</v>
      </c>
      <c r="F85" s="136" t="n">
        <f aca="false">F78</f>
        <v>255451.185706667</v>
      </c>
      <c r="G85" s="136" t="n">
        <f aca="false">G78</f>
        <v>269136.21696</v>
      </c>
      <c r="H85" s="136" t="n">
        <f aca="false">H78</f>
        <v>282821.248213333</v>
      </c>
      <c r="I85" s="136" t="n">
        <f aca="false">I78</f>
        <v>296506.279466667</v>
      </c>
      <c r="J85" s="136" t="n">
        <f aca="false">J78</f>
        <v>310191.31072</v>
      </c>
      <c r="K85" s="136" t="n">
        <f aca="false">K78</f>
        <v>323876.341973334</v>
      </c>
      <c r="L85" s="136" t="n">
        <f aca="false">L78</f>
        <v>337561.373226667</v>
      </c>
      <c r="M85" s="136" t="n">
        <f aca="false">M78</f>
        <v>351246.40448</v>
      </c>
      <c r="N85" s="136" t="n">
        <f aca="false">N78</f>
        <v>399819.435733334</v>
      </c>
      <c r="O85" s="136" t="n">
        <f aca="false">O78</f>
        <v>413504.466986667</v>
      </c>
      <c r="P85" s="136" t="n">
        <f aca="false">P78</f>
        <v>427189.49824</v>
      </c>
      <c r="Q85" s="136" t="n">
        <f aca="false">Q78</f>
        <v>440874.529493334</v>
      </c>
      <c r="R85" s="136" t="n">
        <f aca="false">R78</f>
        <v>454559.560746667</v>
      </c>
      <c r="S85" s="136" t="n">
        <f aca="false">S78</f>
        <v>468244.592000001</v>
      </c>
      <c r="T85" s="136" t="n">
        <f aca="false">T78</f>
        <v>461242.966400001</v>
      </c>
      <c r="U85" s="136" t="n">
        <f aca="false">U78</f>
        <v>454241.340800001</v>
      </c>
      <c r="V85" s="136" t="n">
        <f aca="false">V78</f>
        <v>447239.715200001</v>
      </c>
      <c r="W85" s="136" t="n">
        <f aca="false">W78</f>
        <v>440238.089600001</v>
      </c>
      <c r="X85" s="135"/>
      <c r="Y85" s="135"/>
    </row>
    <row r="86" customFormat="false" ht="15" hidden="false" customHeight="true" outlineLevel="0" collapsed="false">
      <c r="B86" s="135" t="s">
        <v>160</v>
      </c>
      <c r="C86" s="135"/>
      <c r="D86" s="137" t="n">
        <f aca="false">-D67</f>
        <v>946960</v>
      </c>
      <c r="E86" s="137" t="n">
        <f aca="false">-E67</f>
        <v>946960</v>
      </c>
      <c r="F86" s="137" t="n">
        <f aca="false">-F67</f>
        <v>946960</v>
      </c>
      <c r="G86" s="137" t="n">
        <f aca="false">-G67</f>
        <v>946960</v>
      </c>
      <c r="H86" s="137" t="n">
        <f aca="false">-H67</f>
        <v>946960</v>
      </c>
      <c r="I86" s="137" t="n">
        <f aca="false">-I67</f>
        <v>946960</v>
      </c>
      <c r="J86" s="137" t="n">
        <f aca="false">-J67</f>
        <v>946960</v>
      </c>
      <c r="K86" s="137" t="n">
        <f aca="false">-K67</f>
        <v>946960</v>
      </c>
      <c r="L86" s="137" t="n">
        <f aca="false">-L67</f>
        <v>946960</v>
      </c>
      <c r="M86" s="137" t="n">
        <f aca="false">-M67</f>
        <v>946960</v>
      </c>
      <c r="N86" s="137" t="n">
        <f aca="false">-N67</f>
        <v>946960</v>
      </c>
      <c r="O86" s="137" t="n">
        <f aca="false">-O67</f>
        <v>946960</v>
      </c>
      <c r="P86" s="137" t="n">
        <f aca="false">-P67</f>
        <v>946960</v>
      </c>
      <c r="Q86" s="137" t="n">
        <f aca="false">-Q67</f>
        <v>946960</v>
      </c>
      <c r="R86" s="137" t="n">
        <f aca="false">-R67</f>
        <v>946960</v>
      </c>
      <c r="S86" s="137" t="n">
        <f aca="false">-S67</f>
        <v>946960</v>
      </c>
      <c r="T86" s="137" t="n">
        <f aca="false">-T67</f>
        <v>946960</v>
      </c>
      <c r="U86" s="137" t="n">
        <f aca="false">-U67</f>
        <v>946960</v>
      </c>
      <c r="V86" s="137" t="n">
        <f aca="false">-V67</f>
        <v>946960</v>
      </c>
      <c r="W86" s="137" t="n">
        <f aca="false">-W67</f>
        <v>946960</v>
      </c>
      <c r="X86" s="138"/>
      <c r="Y86" s="138"/>
    </row>
    <row r="87" customFormat="false" ht="15" hidden="false" customHeight="true" outlineLevel="0" collapsed="false">
      <c r="B87" s="135" t="s">
        <v>161</v>
      </c>
      <c r="C87" s="135"/>
      <c r="D87" s="139" t="n">
        <f aca="false">SUM(D85:D86)</f>
        <v>1175041.1232</v>
      </c>
      <c r="E87" s="139" t="n">
        <f aca="false">SUM(E85:E86)</f>
        <v>1188726.15445333</v>
      </c>
      <c r="F87" s="139" t="n">
        <f aca="false">SUM(F85:F86)</f>
        <v>1202411.18570667</v>
      </c>
      <c r="G87" s="139" t="n">
        <f aca="false">SUM(G85:G86)</f>
        <v>1216096.21696</v>
      </c>
      <c r="H87" s="139" t="n">
        <f aca="false">SUM(H85:H86)</f>
        <v>1229781.24821333</v>
      </c>
      <c r="I87" s="139" t="n">
        <f aca="false">SUM(I85:I86)</f>
        <v>1243466.27946667</v>
      </c>
      <c r="J87" s="139" t="n">
        <f aca="false">SUM(J85:J86)</f>
        <v>1257151.31072</v>
      </c>
      <c r="K87" s="139" t="n">
        <f aca="false">SUM(K85:K86)</f>
        <v>1270836.34197333</v>
      </c>
      <c r="L87" s="139" t="n">
        <f aca="false">SUM(L85:L86)</f>
        <v>1284521.37322667</v>
      </c>
      <c r="M87" s="139" t="n">
        <f aca="false">SUM(M85:M86)</f>
        <v>1298206.40448</v>
      </c>
      <c r="N87" s="139" t="n">
        <f aca="false">SUM(N85:N86)</f>
        <v>1346779.43573333</v>
      </c>
      <c r="O87" s="139" t="n">
        <f aca="false">SUM(O85:O86)</f>
        <v>1360464.46698667</v>
      </c>
      <c r="P87" s="139" t="n">
        <f aca="false">SUM(P85:P86)</f>
        <v>1374149.49824</v>
      </c>
      <c r="Q87" s="139" t="n">
        <f aca="false">SUM(Q85:Q86)</f>
        <v>1387834.52949333</v>
      </c>
      <c r="R87" s="139" t="n">
        <f aca="false">SUM(R85:R86)</f>
        <v>1401519.56074667</v>
      </c>
      <c r="S87" s="139" t="n">
        <f aca="false">SUM(S85:S86)</f>
        <v>1415204.592</v>
      </c>
      <c r="T87" s="139" t="n">
        <f aca="false">SUM(T85:T86)</f>
        <v>1408202.9664</v>
      </c>
      <c r="U87" s="139" t="n">
        <f aca="false">SUM(U85:U86)</f>
        <v>1401201.3408</v>
      </c>
      <c r="V87" s="139" t="n">
        <f aca="false">SUM(V85:V86)</f>
        <v>1394199.7152</v>
      </c>
      <c r="W87" s="139" t="n">
        <f aca="false">SUM(W85:W86)</f>
        <v>1387198.0896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162</v>
      </c>
      <c r="C89" s="142"/>
      <c r="D89" s="143" t="n">
        <f aca="false">C44</f>
        <v>-18939200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163</v>
      </c>
      <c r="C92" s="142"/>
      <c r="D92" s="143" t="n">
        <f aca="false">-D89*D31</f>
        <v>15151360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164</v>
      </c>
      <c r="C93" s="135"/>
      <c r="D93" s="145"/>
      <c r="E93" s="145" t="n">
        <v>-1010090.66666667</v>
      </c>
      <c r="F93" s="145" t="n">
        <v>-1010090.66666667</v>
      </c>
      <c r="G93" s="145" t="n">
        <v>-1010090.66666667</v>
      </c>
      <c r="H93" s="145" t="n">
        <v>-1010090.66666667</v>
      </c>
      <c r="I93" s="145" t="n">
        <v>-1010090.66666667</v>
      </c>
      <c r="J93" s="145" t="n">
        <v>-1010090.66666667</v>
      </c>
      <c r="K93" s="145" t="n">
        <v>-1010090.66666667</v>
      </c>
      <c r="L93" s="145" t="n">
        <v>-1010090.66666667</v>
      </c>
      <c r="M93" s="145" t="n">
        <v>-1010090.66666667</v>
      </c>
      <c r="N93" s="145" t="n">
        <v>-1010090.66666667</v>
      </c>
      <c r="O93" s="145" t="n">
        <v>-1010090.66666667</v>
      </c>
      <c r="P93" s="145" t="n">
        <v>-1010090.66666667</v>
      </c>
      <c r="Q93" s="145" t="n">
        <v>-1010090.66666667</v>
      </c>
      <c r="R93" s="145" t="n">
        <v>-1010090.66666667</v>
      </c>
      <c r="S93" s="145" t="n">
        <v>-1010090.66666667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165</v>
      </c>
      <c r="C94" s="140"/>
      <c r="D94" s="136" t="n">
        <f aca="false">-D89*(1-D31)</f>
        <v>3787840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-205273.01088</v>
      </c>
      <c r="F95" s="146" t="n">
        <f aca="false">-E85*$D$33</f>
        <v>-217589.539008</v>
      </c>
      <c r="G95" s="146" t="n">
        <f aca="false">-F85*$D$33</f>
        <v>-229906.067136</v>
      </c>
      <c r="H95" s="146" t="n">
        <f aca="false">-G85*$D$33</f>
        <v>-242222.595264</v>
      </c>
      <c r="I95" s="146" t="n">
        <f aca="false">-H85*$D$33</f>
        <v>-254539.123392</v>
      </c>
      <c r="J95" s="146" t="n">
        <f aca="false">-I85*$D$33</f>
        <v>-266855.65152</v>
      </c>
      <c r="K95" s="146" t="n">
        <f aca="false">-J85*$D$33</f>
        <v>-279172.179648</v>
      </c>
      <c r="L95" s="146" t="n">
        <f aca="false">-K85*$D$33</f>
        <v>-291488.707776</v>
      </c>
      <c r="M95" s="146" t="n">
        <f aca="false">-L85*$D$33</f>
        <v>-303805.235904</v>
      </c>
      <c r="N95" s="146" t="n">
        <f aca="false">-M85*$D$33</f>
        <v>-316121.764032</v>
      </c>
      <c r="O95" s="146" t="n">
        <f aca="false">-N85*$D$33</f>
        <v>-359837.49216</v>
      </c>
      <c r="P95" s="146" t="n">
        <f aca="false">-O85*$D$33</f>
        <v>-372154.020288</v>
      </c>
      <c r="Q95" s="146" t="n">
        <f aca="false">-P85*$D$33</f>
        <v>-384470.548416</v>
      </c>
      <c r="R95" s="146" t="n">
        <f aca="false">-Q85*$D$33</f>
        <v>-396787.076544001</v>
      </c>
      <c r="S95" s="146" t="n">
        <f aca="false">-R85*$D$33</f>
        <v>-409103.604672</v>
      </c>
      <c r="T95" s="146" t="n">
        <f aca="false">-S85*$D$33</f>
        <v>-421420.132800001</v>
      </c>
      <c r="U95" s="146" t="n">
        <f aca="false">-T85*$D$33</f>
        <v>-415118.669760001</v>
      </c>
      <c r="V95" s="146" t="n">
        <f aca="false">-U85*$D$33</f>
        <v>-408817.206720001</v>
      </c>
      <c r="W95" s="146" t="n">
        <f aca="false">-V85*$D$33</f>
        <v>-402515.743680001</v>
      </c>
      <c r="X95" s="146" t="n">
        <f aca="false">-W85*$D$33</f>
        <v>-396214.280640001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-946960</v>
      </c>
      <c r="U96" s="149" t="n">
        <v>-946960</v>
      </c>
      <c r="V96" s="149" t="n">
        <v>-946960</v>
      </c>
      <c r="W96" s="149" t="n">
        <v>-946960</v>
      </c>
      <c r="X96" s="150" t="n">
        <f aca="false">-W101-X95</f>
        <v>-730379.183359955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166</v>
      </c>
      <c r="C99" s="136" t="n">
        <v>0</v>
      </c>
      <c r="D99" s="136" t="n">
        <f aca="false">SUM(D87:D96)</f>
        <v>1175041.1232</v>
      </c>
      <c r="E99" s="136" t="n">
        <f aca="false">SUM(E87:E96)</f>
        <v>-26637.5230933365</v>
      </c>
      <c r="F99" s="136" t="n">
        <f aca="false">SUM(F87:F96)</f>
        <v>-25269.0199680027</v>
      </c>
      <c r="G99" s="136" t="n">
        <f aca="false">SUM(G87:G96)</f>
        <v>-23900.5168426699</v>
      </c>
      <c r="H99" s="136" t="n">
        <f aca="false">SUM(H87:H96)</f>
        <v>-22532.0137173364</v>
      </c>
      <c r="I99" s="136" t="n">
        <f aca="false">SUM(I87:I96)</f>
        <v>-21163.5105920032</v>
      </c>
      <c r="J99" s="136" t="n">
        <f aca="false">SUM(J87:J96)</f>
        <v>-19795.0074666695</v>
      </c>
      <c r="K99" s="136" t="n">
        <f aca="false">SUM(K87:K96)</f>
        <v>-18426.5043413366</v>
      </c>
      <c r="L99" s="136" t="n">
        <f aca="false">SUM(L87:L96)</f>
        <v>-17058.0012160031</v>
      </c>
      <c r="M99" s="136" t="n">
        <f aca="false">SUM(M87:M96)</f>
        <v>-15689.4980906697</v>
      </c>
      <c r="N99" s="136" t="n">
        <f aca="false">SUM(N87:N96)</f>
        <v>20567.0050346634</v>
      </c>
      <c r="O99" s="136" t="n">
        <f aca="false">SUM(O87:O96)</f>
        <v>-9463.6918400029</v>
      </c>
      <c r="P99" s="136" t="n">
        <f aca="false">SUM(P87:P96)</f>
        <v>-8095.18871466978</v>
      </c>
      <c r="Q99" s="136" t="n">
        <f aca="false">SUM(Q87:Q96)</f>
        <v>-6726.68558933615</v>
      </c>
      <c r="R99" s="136" t="n">
        <f aca="false">SUM(R87:R96)</f>
        <v>-5358.1824640031</v>
      </c>
      <c r="S99" s="136" t="n">
        <f aca="false">SUM(S87:S96)</f>
        <v>-3989.67933866935</v>
      </c>
      <c r="T99" s="136" t="n">
        <f aca="false">SUM(T87:T96)</f>
        <v>39822.8336</v>
      </c>
      <c r="U99" s="136" t="n">
        <f aca="false">SUM(U87:U96)</f>
        <v>39122.6710400003</v>
      </c>
      <c r="V99" s="136" t="n">
        <f aca="false">SUM(V87:V96)</f>
        <v>38422.5084800003</v>
      </c>
      <c r="W99" s="136" t="n">
        <f aca="false">SUM(W87:W96)</f>
        <v>37722.3459200005</v>
      </c>
      <c r="X99" s="105"/>
    </row>
    <row r="100" customFormat="false" ht="15" hidden="false" customHeight="true" outlineLevel="0" collapsed="false">
      <c r="B100" s="135" t="s">
        <v>167</v>
      </c>
      <c r="C100" s="136" t="n">
        <v>0</v>
      </c>
      <c r="D100" s="136" t="n">
        <f aca="false">C101</f>
        <v>0</v>
      </c>
      <c r="E100" s="136" t="n">
        <f aca="false">D101</f>
        <v>1175041.1232</v>
      </c>
      <c r="F100" s="136" t="n">
        <f aca="false">E101</f>
        <v>1148403.60010666</v>
      </c>
      <c r="G100" s="136" t="n">
        <f aca="false">F101</f>
        <v>1123134.58013866</v>
      </c>
      <c r="H100" s="136" t="n">
        <f aca="false">G101</f>
        <v>1099234.06329599</v>
      </c>
      <c r="I100" s="136" t="n">
        <f aca="false">H101</f>
        <v>1076702.04957865</v>
      </c>
      <c r="J100" s="136" t="n">
        <f aca="false">I101</f>
        <v>1055538.53898665</v>
      </c>
      <c r="K100" s="136" t="n">
        <f aca="false">J101</f>
        <v>1035743.53151998</v>
      </c>
      <c r="L100" s="136" t="n">
        <f aca="false">K101</f>
        <v>1017317.02717865</v>
      </c>
      <c r="M100" s="136" t="n">
        <f aca="false">L101</f>
        <v>1000259.02596264</v>
      </c>
      <c r="N100" s="136" t="n">
        <f aca="false">M101</f>
        <v>984569.527871972</v>
      </c>
      <c r="O100" s="136" t="n">
        <f aca="false">N101</f>
        <v>1005136.53290664</v>
      </c>
      <c r="P100" s="136" t="n">
        <f aca="false">O101</f>
        <v>995672.841066633</v>
      </c>
      <c r="Q100" s="136" t="n">
        <f aca="false">P101</f>
        <v>987577.652351963</v>
      </c>
      <c r="R100" s="136" t="n">
        <f aca="false">Q101</f>
        <v>980850.966762627</v>
      </c>
      <c r="S100" s="136" t="n">
        <f aca="false">R101</f>
        <v>975492.784298624</v>
      </c>
      <c r="T100" s="136" t="n">
        <f aca="false">S101</f>
        <v>971503.104959955</v>
      </c>
      <c r="U100" s="136" t="n">
        <f aca="false">T101</f>
        <v>1011325.93855995</v>
      </c>
      <c r="V100" s="136" t="n">
        <f aca="false">U101</f>
        <v>1050448.60959996</v>
      </c>
      <c r="W100" s="136" t="n">
        <f aca="false">V101</f>
        <v>1088871.11807996</v>
      </c>
      <c r="X100" s="104"/>
    </row>
    <row r="101" customFormat="false" ht="15" hidden="false" customHeight="true" outlineLevel="0" collapsed="false">
      <c r="B101" s="135" t="s">
        <v>168</v>
      </c>
      <c r="C101" s="136" t="n">
        <v>0</v>
      </c>
      <c r="D101" s="136" t="n">
        <f aca="false">D99+D100</f>
        <v>1175041.1232</v>
      </c>
      <c r="E101" s="136" t="n">
        <f aca="false">E99+E100</f>
        <v>1148403.60010666</v>
      </c>
      <c r="F101" s="136" t="n">
        <f aca="false">F99+F100</f>
        <v>1123134.58013866</v>
      </c>
      <c r="G101" s="136" t="n">
        <f aca="false">G99+G100</f>
        <v>1099234.06329599</v>
      </c>
      <c r="H101" s="136" t="n">
        <f aca="false">H99+H100</f>
        <v>1076702.04957865</v>
      </c>
      <c r="I101" s="136" t="n">
        <f aca="false">I99+I100</f>
        <v>1055538.53898665</v>
      </c>
      <c r="J101" s="136" t="n">
        <f aca="false">J99+J100</f>
        <v>1035743.53151998</v>
      </c>
      <c r="K101" s="136" t="n">
        <f aca="false">K99+K100</f>
        <v>1017317.02717865</v>
      </c>
      <c r="L101" s="136" t="n">
        <f aca="false">L99+L100</f>
        <v>1000259.02596264</v>
      </c>
      <c r="M101" s="136" t="n">
        <f aca="false">M99+M100</f>
        <v>984569.527871972</v>
      </c>
      <c r="N101" s="136" t="n">
        <f aca="false">N99+N100</f>
        <v>1005136.53290664</v>
      </c>
      <c r="O101" s="136" t="n">
        <f aca="false">O99+O100</f>
        <v>995672.841066633</v>
      </c>
      <c r="P101" s="136" t="n">
        <f aca="false">P99+P100</f>
        <v>987577.652351963</v>
      </c>
      <c r="Q101" s="136" t="n">
        <f aca="false">Q99+Q100</f>
        <v>980850.966762627</v>
      </c>
      <c r="R101" s="136" t="n">
        <f aca="false">R99+R100</f>
        <v>975492.784298624</v>
      </c>
      <c r="S101" s="136" t="n">
        <f aca="false">S99+S100</f>
        <v>971503.104959955</v>
      </c>
      <c r="T101" s="136" t="n">
        <f aca="false">T99+T100</f>
        <v>1011325.93855995</v>
      </c>
      <c r="U101" s="136" t="n">
        <f aca="false">U99+U100</f>
        <v>1050448.60959996</v>
      </c>
      <c r="V101" s="136" t="n">
        <f aca="false">V99+V100</f>
        <v>1088871.11807996</v>
      </c>
      <c r="W101" s="136" t="n">
        <f aca="false">W99+W100</f>
        <v>1126593.46399996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169</v>
      </c>
      <c r="C104" s="152"/>
      <c r="D104" s="153" t="n">
        <f aca="false">-D94</f>
        <v>-3787840</v>
      </c>
      <c r="E104" s="139" t="n">
        <f aca="false">-E95-E96</f>
        <v>205273.01088</v>
      </c>
      <c r="F104" s="139" t="n">
        <f aca="false">-F95-F96</f>
        <v>217589.539008</v>
      </c>
      <c r="G104" s="139" t="n">
        <f aca="false">-G95-G96</f>
        <v>229906.067136</v>
      </c>
      <c r="H104" s="139" t="n">
        <f aca="false">-H95-H96</f>
        <v>242222.595264</v>
      </c>
      <c r="I104" s="139" t="n">
        <f aca="false">-I95-I96</f>
        <v>254539.123392</v>
      </c>
      <c r="J104" s="139" t="n">
        <f aca="false">-J95-J96</f>
        <v>266855.65152</v>
      </c>
      <c r="K104" s="139" t="n">
        <f aca="false">-K95-K96</f>
        <v>279172.179648</v>
      </c>
      <c r="L104" s="139" t="n">
        <f aca="false">-L95-L96</f>
        <v>291488.707776</v>
      </c>
      <c r="M104" s="139" t="n">
        <f aca="false">-M95-M96</f>
        <v>303805.235904</v>
      </c>
      <c r="N104" s="139" t="n">
        <f aca="false">-N95-N96</f>
        <v>316121.764032</v>
      </c>
      <c r="O104" s="139" t="n">
        <f aca="false">-O95-O96</f>
        <v>359837.49216</v>
      </c>
      <c r="P104" s="139" t="n">
        <f aca="false">-P95-P96</f>
        <v>372154.020288</v>
      </c>
      <c r="Q104" s="139" t="n">
        <f aca="false">-Q95-Q96</f>
        <v>384470.548416</v>
      </c>
      <c r="R104" s="139" t="n">
        <f aca="false">-R95-R96</f>
        <v>396787.076544001</v>
      </c>
      <c r="S104" s="139" t="n">
        <f aca="false">-S95-S96</f>
        <v>409103.604672</v>
      </c>
      <c r="T104" s="139" t="n">
        <f aca="false">-T95-T96</f>
        <v>1368380.1328</v>
      </c>
      <c r="U104" s="139" t="n">
        <f aca="false">-U95-U96</f>
        <v>1362078.66976</v>
      </c>
      <c r="V104" s="139" t="n">
        <f aca="false">-V95-V96</f>
        <v>1355777.20672</v>
      </c>
      <c r="W104" s="139" t="n">
        <f aca="false">-W95-W96</f>
        <v>1349475.74368</v>
      </c>
      <c r="X104" s="139" t="n">
        <f aca="false">-X95-X96</f>
        <v>1126593.46399996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0.0866252847769146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170</v>
      </c>
      <c r="C106" s="152"/>
      <c r="D106" s="153" t="n">
        <f aca="false">D85-D94</f>
        <v>-3559758.8768</v>
      </c>
      <c r="E106" s="139" t="n">
        <f aca="false">E85</f>
        <v>241766.154453333</v>
      </c>
      <c r="F106" s="139" t="n">
        <f aca="false">F85-F96</f>
        <v>255451.185706667</v>
      </c>
      <c r="G106" s="139" t="n">
        <f aca="false">G85-G96</f>
        <v>269136.21696</v>
      </c>
      <c r="H106" s="139" t="n">
        <f aca="false">H85-H96</f>
        <v>282821.248213333</v>
      </c>
      <c r="I106" s="139" t="n">
        <f aca="false">I85-I96</f>
        <v>296506.279466667</v>
      </c>
      <c r="J106" s="139" t="n">
        <f aca="false">J85-J96</f>
        <v>310191.31072</v>
      </c>
      <c r="K106" s="139" t="n">
        <f aca="false">K85-K96</f>
        <v>323876.341973334</v>
      </c>
      <c r="L106" s="139" t="n">
        <f aca="false">L85-L96</f>
        <v>337561.373226667</v>
      </c>
      <c r="M106" s="139" t="n">
        <f aca="false">M85-M96</f>
        <v>351246.40448</v>
      </c>
      <c r="N106" s="139" t="n">
        <f aca="false">N85-N96</f>
        <v>399819.435733334</v>
      </c>
      <c r="O106" s="139" t="n">
        <f aca="false">O85-O96</f>
        <v>413504.466986667</v>
      </c>
      <c r="P106" s="139" t="n">
        <f aca="false">P85-P96</f>
        <v>427189.49824</v>
      </c>
      <c r="Q106" s="139" t="n">
        <f aca="false">Q85-Q96</f>
        <v>440874.529493334</v>
      </c>
      <c r="R106" s="139" t="n">
        <f aca="false">R85-R96</f>
        <v>454559.560746667</v>
      </c>
      <c r="S106" s="139" t="n">
        <f aca="false">S85-S96</f>
        <v>468244.592000001</v>
      </c>
      <c r="T106" s="139" t="n">
        <f aca="false">T85-T96</f>
        <v>1408202.9664</v>
      </c>
      <c r="U106" s="139" t="n">
        <f aca="false">U85-U96</f>
        <v>1401201.3408</v>
      </c>
      <c r="V106" s="139" t="n">
        <f aca="false">V85-V96</f>
        <v>1394199.7152</v>
      </c>
      <c r="W106" s="139" t="n">
        <f aca="false">W85-W96</f>
        <v>1387198.0896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0.0986163320751227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171</v>
      </c>
      <c r="C109" s="136" t="n">
        <v>0</v>
      </c>
      <c r="D109" s="136" t="n">
        <f aca="false">D92</f>
        <v>15151360</v>
      </c>
      <c r="E109" s="136" t="n">
        <f aca="false">D109+E93</f>
        <v>14141269.3333333</v>
      </c>
      <c r="F109" s="136" t="n">
        <f aca="false">E109+F93</f>
        <v>13131178.6666667</v>
      </c>
      <c r="G109" s="136" t="n">
        <f aca="false">F109+G93</f>
        <v>12121088</v>
      </c>
      <c r="H109" s="136" t="n">
        <f aca="false">G109+H93</f>
        <v>11110997.3333333</v>
      </c>
      <c r="I109" s="136" t="n">
        <f aca="false">H109+I93</f>
        <v>10100906.6666667</v>
      </c>
      <c r="J109" s="136" t="n">
        <f aca="false">I109+J93</f>
        <v>9090815.99999999</v>
      </c>
      <c r="K109" s="136" t="n">
        <f aca="false">J109+K93</f>
        <v>8080725.33333332</v>
      </c>
      <c r="L109" s="136" t="n">
        <f aca="false">K109+L93</f>
        <v>7070634.66666665</v>
      </c>
      <c r="M109" s="136" t="n">
        <f aca="false">L109+M93</f>
        <v>6060543.99999998</v>
      </c>
      <c r="N109" s="136" t="n">
        <f aca="false">M109+N93</f>
        <v>5050453.33333331</v>
      </c>
      <c r="O109" s="136" t="n">
        <f aca="false">N109+O93</f>
        <v>4040362.66666664</v>
      </c>
      <c r="P109" s="136" t="n">
        <f aca="false">O109+P93</f>
        <v>3030271.99999997</v>
      </c>
      <c r="Q109" s="136" t="n">
        <f aca="false">P109+Q93</f>
        <v>2020181.3333333</v>
      </c>
      <c r="R109" s="136" t="n">
        <f aca="false">Q109+R93</f>
        <v>1010090.66666663</v>
      </c>
      <c r="S109" s="136" t="n">
        <f aca="false">R109+S93</f>
        <v>-4.35393303632736E-008</v>
      </c>
      <c r="T109" s="136" t="n">
        <f aca="false">S109+T93</f>
        <v>-4.35393303632736E-008</v>
      </c>
      <c r="U109" s="136" t="n">
        <f aca="false">T109+U93</f>
        <v>-4.35393303632736E-008</v>
      </c>
      <c r="V109" s="136" t="n">
        <f aca="false">U109+V93</f>
        <v>-4.35393303632736E-008</v>
      </c>
      <c r="W109" s="136" t="n">
        <f aca="false">V109+W93</f>
        <v>-4.35393303632736E-008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131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175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112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113</v>
      </c>
    </row>
    <row r="7" customFormat="false" ht="22.5" hidden="false" customHeight="true" outlineLevel="0" collapsed="false">
      <c r="B7" s="2" t="s">
        <v>133</v>
      </c>
      <c r="C7" s="2"/>
      <c r="D7" s="2"/>
      <c r="E7" s="2"/>
      <c r="M7" s="1" t="s">
        <v>114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115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85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134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27000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135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136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137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138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139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140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141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142</v>
      </c>
      <c r="C44" s="96" t="n">
        <f aca="false">-(D16/(1-D17)+D18)*C4</f>
        <v>-17693200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143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144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145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146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147</v>
      </c>
      <c r="C49" s="87" t="s">
        <v>4</v>
      </c>
      <c r="D49" s="97" t="n">
        <v>-35324.1</v>
      </c>
      <c r="E49" s="97" t="n">
        <v>-35324.1</v>
      </c>
      <c r="F49" s="97" t="n">
        <v>-35324.1</v>
      </c>
      <c r="G49" s="97" t="n">
        <v>-35324.1</v>
      </c>
      <c r="H49" s="97" t="n">
        <v>-35324.1</v>
      </c>
      <c r="I49" s="97" t="n">
        <v>-35324.1</v>
      </c>
      <c r="J49" s="97" t="n">
        <v>-35324.1</v>
      </c>
      <c r="K49" s="97" t="n">
        <v>-35324.1</v>
      </c>
      <c r="L49" s="97" t="n">
        <v>-35324.1</v>
      </c>
      <c r="M49" s="97" t="n">
        <v>-35324.1</v>
      </c>
      <c r="N49" s="97" t="n">
        <v>-35324.1</v>
      </c>
      <c r="O49" s="97" t="n">
        <v>-35324.1</v>
      </c>
      <c r="P49" s="97" t="n">
        <v>-35324.1</v>
      </c>
      <c r="Q49" s="97" t="n">
        <v>-35324.1</v>
      </c>
      <c r="R49" s="97" t="n">
        <v>-35324.1</v>
      </c>
      <c r="S49" s="97" t="n">
        <v>-35324.1</v>
      </c>
      <c r="T49" s="97" t="n">
        <v>-35324.1</v>
      </c>
      <c r="U49" s="97" t="n">
        <v>-35324.1</v>
      </c>
      <c r="V49" s="97" t="n">
        <v>-35324.1</v>
      </c>
      <c r="W49" s="97" t="n">
        <v>-35324.1</v>
      </c>
      <c r="X49" s="97"/>
    </row>
    <row r="50" customFormat="false" ht="18.75" hidden="false" customHeight="true" outlineLevel="0" collapsed="false">
      <c r="B50" s="95" t="s">
        <v>148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149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150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151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152</v>
      </c>
      <c r="C54" s="98"/>
      <c r="D54" s="97" t="n">
        <f aca="false">-(D64+D67+D68+D71+D72+D73+D74)*0.2</f>
        <v>-147578.564</v>
      </c>
      <c r="E54" s="97" t="n">
        <f aca="false">-(E64+E67+E68+E71+E72+E73+E74)*0.2</f>
        <v>-145828.1576</v>
      </c>
      <c r="F54" s="97" t="n">
        <f aca="false">-(F64+F67+F68+F71+F72+F73+F74)*0.2</f>
        <v>-144077.7512</v>
      </c>
      <c r="G54" s="97" t="n">
        <f aca="false">-(G64+G67+G68+G71+G72+G73+G74)*0.2</f>
        <v>-142327.3448</v>
      </c>
      <c r="H54" s="97" t="n">
        <f aca="false">-(H64+H67+H68+H71+H72+H73+H74)*0.2</f>
        <v>-140576.9384</v>
      </c>
      <c r="I54" s="97" t="n">
        <f aca="false">-(I64+I67+I68+I71+I72+I73+I74)*0.2</f>
        <v>-138826.532</v>
      </c>
      <c r="J54" s="97" t="n">
        <f aca="false">-(J64+J67+J68+J71+J72+J73+J74)*0.2</f>
        <v>-137076.1256</v>
      </c>
      <c r="K54" s="97" t="n">
        <f aca="false">-(K64+K67+K68+K71+K72+K73+K74)*0.2</f>
        <v>-135325.7192</v>
      </c>
      <c r="L54" s="97" t="n">
        <f aca="false">-(L64+L67+L68+L71+L72+L73+L74)*0.2</f>
        <v>-133575.3128</v>
      </c>
      <c r="M54" s="97" t="n">
        <f aca="false">-(M64+M67+M68+M71+M72+M73+M74)*0.2</f>
        <v>-131824.9064</v>
      </c>
      <c r="N54" s="97" t="n">
        <f aca="false">-(N64+N67+N68+N71+N72+N73+N74)*0.2</f>
        <v>-138796.5</v>
      </c>
      <c r="O54" s="97" t="n">
        <f aca="false">-(O64+O67+O68+O71+O72+O73+O74)*0.2</f>
        <v>-137046.0936</v>
      </c>
      <c r="P54" s="97" t="n">
        <f aca="false">-(P64+P67+P68+P71+P72+P73+P74)*0.2</f>
        <v>-135295.6872</v>
      </c>
      <c r="Q54" s="97" t="n">
        <f aca="false">-(Q64+Q67+Q68+Q71+Q72+Q73+Q74)*0.2</f>
        <v>-133545.2808</v>
      </c>
      <c r="R54" s="97" t="n">
        <f aca="false">-(R64+R67+R68+R71+R72+R73+R74)*0.2</f>
        <v>-131794.8744</v>
      </c>
      <c r="S54" s="97" t="n">
        <f aca="false">-(S64+S67+S68+S71+S72+S73+S74)*0.2</f>
        <v>-130044.468</v>
      </c>
      <c r="T54" s="97" t="n">
        <f aca="false">-(T64+T67+T68+T71+T72+T73+T74)*0.2</f>
        <v>-128294.0616</v>
      </c>
      <c r="U54" s="97" t="n">
        <f aca="false">-(U64+U67+U68+U71+U72+U73+U74)*0.2</f>
        <v>-126543.6552</v>
      </c>
      <c r="V54" s="97" t="n">
        <f aca="false">-(V64+V67+V68+V71+V72+V73+V74)*0.2</f>
        <v>-124793.2488</v>
      </c>
      <c r="W54" s="97" t="n">
        <f aca="false">-(W64+W67+W68+W71+W72+W73+W74)*0.2</f>
        <v>-123042.8424</v>
      </c>
      <c r="X54" s="88"/>
    </row>
    <row r="55" customFormat="false" ht="18.75" hidden="false" customHeight="true" outlineLevel="0" collapsed="false">
      <c r="B55" s="100" t="s">
        <v>153</v>
      </c>
      <c r="C55" s="101" t="n">
        <f aca="false">C44</f>
        <v>-17693200</v>
      </c>
      <c r="D55" s="102" t="n">
        <f aca="false">SUM(D41:D54)</f>
        <v>1474974.256</v>
      </c>
      <c r="E55" s="102" t="n">
        <f aca="false">SUM(E41:E54)</f>
        <v>1467972.6304</v>
      </c>
      <c r="F55" s="102" t="n">
        <f aca="false">SUM(F41:F54)</f>
        <v>1460971.0048</v>
      </c>
      <c r="G55" s="102" t="n">
        <f aca="false">SUM(G41:G54)</f>
        <v>1453969.3792</v>
      </c>
      <c r="H55" s="102" t="n">
        <f aca="false">SUM(H41:H54)</f>
        <v>1446967.7536</v>
      </c>
      <c r="I55" s="102" t="n">
        <f aca="false">SUM(I41:I54)</f>
        <v>1439966.128</v>
      </c>
      <c r="J55" s="102" t="n">
        <f aca="false">SUM(J41:J54)</f>
        <v>1432964.5024</v>
      </c>
      <c r="K55" s="102" t="n">
        <f aca="false">SUM(K41:K54)</f>
        <v>1425962.8768</v>
      </c>
      <c r="L55" s="102" t="n">
        <f aca="false">SUM(L41:L54)</f>
        <v>1418961.2512</v>
      </c>
      <c r="M55" s="102" t="n">
        <f aca="false">SUM(M41:M54)</f>
        <v>1411959.6256</v>
      </c>
      <c r="N55" s="102" t="n">
        <f aca="false">SUM(N41:N54)</f>
        <v>1439846</v>
      </c>
      <c r="O55" s="102" t="n">
        <f aca="false">SUM(O41:O54)</f>
        <v>1432844.3744</v>
      </c>
      <c r="P55" s="102" t="n">
        <f aca="false">SUM(P41:P54)</f>
        <v>1425842.7488</v>
      </c>
      <c r="Q55" s="102" t="n">
        <f aca="false">SUM(Q41:Q54)</f>
        <v>1418841.1232</v>
      </c>
      <c r="R55" s="102" t="n">
        <f aca="false">SUM(R41:R54)</f>
        <v>1411839.4976</v>
      </c>
      <c r="S55" s="102" t="n">
        <f aca="false">SUM(S41:S54)</f>
        <v>1404837.872</v>
      </c>
      <c r="T55" s="102" t="n">
        <f aca="false">SUM(T41:T54)</f>
        <v>1397836.2464</v>
      </c>
      <c r="U55" s="102" t="n">
        <f aca="false">SUM(U41:U54)</f>
        <v>1390834.6208</v>
      </c>
      <c r="V55" s="102" t="n">
        <f aca="false">SUM(V41:V54)</f>
        <v>1383832.9952</v>
      </c>
      <c r="W55" s="102" t="n">
        <f aca="false">SUM(W41:W54)</f>
        <v>1376831.3696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154</v>
      </c>
      <c r="D56" s="107" t="n">
        <f aca="false">C55+D55</f>
        <v>-16218225.744</v>
      </c>
      <c r="E56" s="107" t="n">
        <f aca="false">D56+E55</f>
        <v>-14750253.1136</v>
      </c>
      <c r="F56" s="107" t="n">
        <f aca="false">E56+F55</f>
        <v>-13289282.1088</v>
      </c>
      <c r="G56" s="107" t="n">
        <f aca="false">F56+G55</f>
        <v>-11835312.7296</v>
      </c>
      <c r="H56" s="107" t="n">
        <f aca="false">G56+H55</f>
        <v>-10388344.976</v>
      </c>
      <c r="I56" s="107" t="n">
        <f aca="false">H56+I55</f>
        <v>-8948378.848</v>
      </c>
      <c r="J56" s="107" t="n">
        <f aca="false">I56+J55</f>
        <v>-7515414.3456</v>
      </c>
      <c r="K56" s="107" t="n">
        <f aca="false">J56+K55</f>
        <v>-6089451.4688</v>
      </c>
      <c r="L56" s="107" t="n">
        <f aca="false">K56+L55</f>
        <v>-4670490.2176</v>
      </c>
      <c r="M56" s="107" t="n">
        <f aca="false">L56+M55</f>
        <v>-3258530.592</v>
      </c>
      <c r="N56" s="107" t="n">
        <f aca="false">M56+N55</f>
        <v>-1818684.592</v>
      </c>
      <c r="O56" s="107" t="n">
        <f aca="false">N56+O55</f>
        <v>-385840.217600002</v>
      </c>
      <c r="P56" s="107" t="n">
        <f aca="false">O56+P55</f>
        <v>1040002.5312</v>
      </c>
      <c r="Q56" s="107" t="n">
        <f aca="false">P56+Q55</f>
        <v>2458843.6544</v>
      </c>
      <c r="R56" s="107" t="n">
        <f aca="false">Q56+R55</f>
        <v>3870683.152</v>
      </c>
      <c r="S56" s="107" t="n">
        <f aca="false">R56+S55</f>
        <v>5275521.024</v>
      </c>
      <c r="T56" s="107" t="n">
        <f aca="false">S56+T55</f>
        <v>6673357.2704</v>
      </c>
      <c r="U56" s="107" t="n">
        <f aca="false">T56+U55</f>
        <v>8064191.8912</v>
      </c>
      <c r="V56" s="107" t="n">
        <f aca="false">U56+V55</f>
        <v>9448024.8864</v>
      </c>
      <c r="W56" s="107" t="n">
        <f aca="false">V56+W55</f>
        <v>10824856.256</v>
      </c>
      <c r="X56" s="107" t="n">
        <f aca="false">W56+X55</f>
        <v>10824856.256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155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0.051103168713152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136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156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137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138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139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140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141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157</v>
      </c>
      <c r="C67" s="87"/>
      <c r="D67" s="120" t="n">
        <f aca="false">$C$44/$E$16</f>
        <v>-884660</v>
      </c>
      <c r="E67" s="120" t="n">
        <f aca="false">$C$44/$E$16</f>
        <v>-884660</v>
      </c>
      <c r="F67" s="120" t="n">
        <f aca="false">$C$44/$E$16</f>
        <v>-884660</v>
      </c>
      <c r="G67" s="120" t="n">
        <f aca="false">$C$44/$E$16</f>
        <v>-884660</v>
      </c>
      <c r="H67" s="120" t="n">
        <f aca="false">$C$44/$E$16</f>
        <v>-884660</v>
      </c>
      <c r="I67" s="120" t="n">
        <f aca="false">$C$44/$E$16</f>
        <v>-884660</v>
      </c>
      <c r="J67" s="120" t="n">
        <f aca="false">$C$44/$E$16</f>
        <v>-884660</v>
      </c>
      <c r="K67" s="120" t="n">
        <f aca="false">$C$44/$E$16</f>
        <v>-884660</v>
      </c>
      <c r="L67" s="120" t="n">
        <f aca="false">$C$44/$E$16</f>
        <v>-884660</v>
      </c>
      <c r="M67" s="120" t="n">
        <f aca="false">$C$44/$E$16</f>
        <v>-884660</v>
      </c>
      <c r="N67" s="120" t="n">
        <f aca="false">$C$44/$E$16</f>
        <v>-884660</v>
      </c>
      <c r="O67" s="120" t="n">
        <f aca="false">$C$44/$E$16</f>
        <v>-884660</v>
      </c>
      <c r="P67" s="120" t="n">
        <f aca="false">$C$44/$E$16</f>
        <v>-884660</v>
      </c>
      <c r="Q67" s="120" t="n">
        <f aca="false">$C$44/$E$16</f>
        <v>-884660</v>
      </c>
      <c r="R67" s="120" t="n">
        <f aca="false">$C$44/$E$16</f>
        <v>-884660</v>
      </c>
      <c r="S67" s="120" t="n">
        <f aca="false">$C$44/$E$16</f>
        <v>-884660</v>
      </c>
      <c r="T67" s="120" t="n">
        <f aca="false">$C$44/$E$16</f>
        <v>-884660</v>
      </c>
      <c r="U67" s="120" t="n">
        <f aca="false">$C$44/$E$16</f>
        <v>-884660</v>
      </c>
      <c r="V67" s="120" t="n">
        <f aca="false">$C$44/$E$16</f>
        <v>-884660</v>
      </c>
      <c r="W67" s="120" t="n">
        <f aca="false">$C$44/$E$16</f>
        <v>-884660</v>
      </c>
      <c r="X67" s="90"/>
    </row>
    <row r="68" customFormat="false" ht="18.75" hidden="false" customHeight="true" outlineLevel="0" collapsed="false">
      <c r="B68" s="95" t="s">
        <v>143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144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145</v>
      </c>
      <c r="C70" s="87" t="s">
        <v>4</v>
      </c>
      <c r="D70" s="97" t="n">
        <f aca="false">-D109*$D25</f>
        <v>-362356.736</v>
      </c>
      <c r="E70" s="97" t="n">
        <f aca="false">-E109*$D25</f>
        <v>-338199.620266667</v>
      </c>
      <c r="F70" s="97" t="n">
        <f aca="false">-F109*$D25</f>
        <v>-314042.504533333</v>
      </c>
      <c r="G70" s="97" t="n">
        <f aca="false">-G109*$D25</f>
        <v>-289885.3888</v>
      </c>
      <c r="H70" s="97" t="n">
        <f aca="false">-H109*$D25</f>
        <v>-265728.273066667</v>
      </c>
      <c r="I70" s="97" t="n">
        <f aca="false">-I109*$D25</f>
        <v>-241571.157333334</v>
      </c>
      <c r="J70" s="97" t="n">
        <f aca="false">-J109*$D25</f>
        <v>-217414.0416</v>
      </c>
      <c r="K70" s="97" t="n">
        <f aca="false">-K109*$D25</f>
        <v>-193256.925866667</v>
      </c>
      <c r="L70" s="97" t="n">
        <f aca="false">-L109*$D25</f>
        <v>-169099.810133334</v>
      </c>
      <c r="M70" s="97" t="n">
        <f aca="false">-M109*$D25</f>
        <v>-144942.6944</v>
      </c>
      <c r="N70" s="97" t="n">
        <f aca="false">-N109*$D25</f>
        <v>-120785.578666667</v>
      </c>
      <c r="O70" s="97" t="n">
        <f aca="false">-O109*$D25</f>
        <v>-96628.4629333336</v>
      </c>
      <c r="P70" s="97" t="n">
        <f aca="false">-P109*$D25</f>
        <v>-72471.3472000002</v>
      </c>
      <c r="Q70" s="97" t="n">
        <f aca="false">-Q109*$D25</f>
        <v>-48314.2314666669</v>
      </c>
      <c r="R70" s="97" t="n">
        <f aca="false">-R109*$D25</f>
        <v>-24157.1157333336</v>
      </c>
      <c r="S70" s="97" t="n">
        <f aca="false">-S109*$D25</f>
        <v>-2.62260437011719E-010</v>
      </c>
      <c r="T70" s="97" t="n">
        <f aca="false">-T109*$D25</f>
        <v>-2.62260437011719E-010</v>
      </c>
      <c r="U70" s="97" t="n">
        <f aca="false">-U109*$D25</f>
        <v>-2.62260437011719E-010</v>
      </c>
      <c r="V70" s="97" t="n">
        <f aca="false">-V109*$D25</f>
        <v>-2.62260437011719E-010</v>
      </c>
      <c r="W70" s="97" t="n">
        <f aca="false">-W109*$D25</f>
        <v>-2.62260437011719E-010</v>
      </c>
      <c r="X70" s="90"/>
    </row>
    <row r="71" customFormat="false" ht="18.75" hidden="false" customHeight="true" outlineLevel="0" collapsed="false">
      <c r="B71" s="95" t="s">
        <v>146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147</v>
      </c>
      <c r="C72" s="87" t="s">
        <v>4</v>
      </c>
      <c r="D72" s="97" t="n">
        <f aca="false">D49</f>
        <v>-35324.1</v>
      </c>
      <c r="E72" s="97" t="n">
        <f aca="false">E49</f>
        <v>-35324.1</v>
      </c>
      <c r="F72" s="97" t="n">
        <f aca="false">F49</f>
        <v>-35324.1</v>
      </c>
      <c r="G72" s="97" t="n">
        <f aca="false">G49</f>
        <v>-35324.1</v>
      </c>
      <c r="H72" s="97" t="n">
        <f aca="false">H49</f>
        <v>-35324.1</v>
      </c>
      <c r="I72" s="97" t="n">
        <f aca="false">I49</f>
        <v>-35324.1</v>
      </c>
      <c r="J72" s="97" t="n">
        <f aca="false">J49</f>
        <v>-35324.1</v>
      </c>
      <c r="K72" s="97" t="n">
        <f aca="false">K49</f>
        <v>-35324.1</v>
      </c>
      <c r="L72" s="97" t="n">
        <f aca="false">L49</f>
        <v>-35324.1</v>
      </c>
      <c r="M72" s="97" t="n">
        <f aca="false">M49</f>
        <v>-35324.1</v>
      </c>
      <c r="N72" s="97" t="n">
        <f aca="false">N49</f>
        <v>-35324.1</v>
      </c>
      <c r="O72" s="97" t="n">
        <f aca="false">O49</f>
        <v>-35324.1</v>
      </c>
      <c r="P72" s="97" t="n">
        <f aca="false">P49</f>
        <v>-35324.1</v>
      </c>
      <c r="Q72" s="97" t="n">
        <f aca="false">Q49</f>
        <v>-35324.1</v>
      </c>
      <c r="R72" s="97" t="n">
        <f aca="false">R49</f>
        <v>-35324.1</v>
      </c>
      <c r="S72" s="97" t="n">
        <f aca="false">S49</f>
        <v>-35324.1</v>
      </c>
      <c r="T72" s="97" t="n">
        <f aca="false">T49</f>
        <v>-35324.1</v>
      </c>
      <c r="U72" s="97" t="n">
        <f aca="false">U49</f>
        <v>-35324.1</v>
      </c>
      <c r="V72" s="97" t="n">
        <f aca="false">V49</f>
        <v>-35324.1</v>
      </c>
      <c r="W72" s="97" t="n">
        <f aca="false">W49</f>
        <v>-35324.1</v>
      </c>
      <c r="X72" s="90"/>
    </row>
    <row r="73" customFormat="false" ht="18.75" hidden="false" customHeight="true" outlineLevel="0" collapsed="false">
      <c r="B73" s="95" t="s">
        <v>148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149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150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158</v>
      </c>
      <c r="C76" s="123"/>
      <c r="D76" s="102" t="n">
        <f aca="false">SUM(D64:D75)</f>
        <v>375536.084</v>
      </c>
      <c r="E76" s="102" t="n">
        <f aca="false">SUM(E64:E75)</f>
        <v>390941.167733333</v>
      </c>
      <c r="F76" s="102" t="n">
        <f aca="false">SUM(F64:F75)</f>
        <v>406346.251466667</v>
      </c>
      <c r="G76" s="102" t="n">
        <f aca="false">SUM(G64:G75)</f>
        <v>421751.3352</v>
      </c>
      <c r="H76" s="102" t="n">
        <f aca="false">SUM(H64:H75)</f>
        <v>437156.418933333</v>
      </c>
      <c r="I76" s="102" t="n">
        <f aca="false">SUM(I64:I75)</f>
        <v>452561.502666666</v>
      </c>
      <c r="J76" s="102" t="n">
        <f aca="false">SUM(J64:J75)</f>
        <v>467966.5864</v>
      </c>
      <c r="K76" s="102" t="n">
        <f aca="false">SUM(K64:K75)</f>
        <v>483371.670133333</v>
      </c>
      <c r="L76" s="102" t="n">
        <f aca="false">SUM(L64:L75)</f>
        <v>498776.753866666</v>
      </c>
      <c r="M76" s="102" t="n">
        <f aca="false">SUM(M64:M75)</f>
        <v>514181.8376</v>
      </c>
      <c r="N76" s="102" t="n">
        <f aca="false">SUM(N64:N75)</f>
        <v>573196.921333333</v>
      </c>
      <c r="O76" s="102" t="n">
        <f aca="false">SUM(O64:O75)</f>
        <v>588602.005066666</v>
      </c>
      <c r="P76" s="102" t="n">
        <f aca="false">SUM(P64:P75)</f>
        <v>604007.0888</v>
      </c>
      <c r="Q76" s="102" t="n">
        <f aca="false">SUM(Q64:Q75)</f>
        <v>619412.172533333</v>
      </c>
      <c r="R76" s="102" t="n">
        <f aca="false">SUM(R64:R75)</f>
        <v>634817.256266666</v>
      </c>
      <c r="S76" s="102" t="n">
        <f aca="false">SUM(S64:S75)</f>
        <v>650222.34</v>
      </c>
      <c r="T76" s="102" t="n">
        <f aca="false">SUM(T64:T75)</f>
        <v>641470.308</v>
      </c>
      <c r="U76" s="102" t="n">
        <f aca="false">SUM(U64:U75)</f>
        <v>632718.276</v>
      </c>
      <c r="V76" s="102" t="n">
        <f aca="false">SUM(V64:V75)</f>
        <v>623966.244</v>
      </c>
      <c r="W76" s="102" t="n">
        <f aca="false">SUM(W64:W75)</f>
        <v>615214.212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152</v>
      </c>
      <c r="C77" s="98"/>
      <c r="D77" s="97" t="n">
        <f aca="false">-D76*0.2</f>
        <v>-75107.2168</v>
      </c>
      <c r="E77" s="97" t="n">
        <f aca="false">-E76*0.2</f>
        <v>-78188.2335466666</v>
      </c>
      <c r="F77" s="97" t="n">
        <f aca="false">-F76*0.2</f>
        <v>-81269.2502933334</v>
      </c>
      <c r="G77" s="97" t="n">
        <f aca="false">-G76*0.2</f>
        <v>-84350.26704</v>
      </c>
      <c r="H77" s="97" t="n">
        <f aca="false">-H76*0.2</f>
        <v>-87431.2837866666</v>
      </c>
      <c r="I77" s="97" t="n">
        <f aca="false">-I76*0.2</f>
        <v>-90512.3005333333</v>
      </c>
      <c r="J77" s="97" t="n">
        <f aca="false">-J76*0.2</f>
        <v>-93593.31728</v>
      </c>
      <c r="K77" s="97" t="n">
        <f aca="false">-K76*0.2</f>
        <v>-96674.3340266667</v>
      </c>
      <c r="L77" s="97" t="n">
        <f aca="false">-L76*0.2</f>
        <v>-99755.3507733333</v>
      </c>
      <c r="M77" s="97" t="n">
        <f aca="false">-M76*0.2</f>
        <v>-102836.36752</v>
      </c>
      <c r="N77" s="97" t="n">
        <f aca="false">-N76*0.2</f>
        <v>-114639.384266667</v>
      </c>
      <c r="O77" s="97" t="n">
        <f aca="false">-O76*0.2</f>
        <v>-117720.401013333</v>
      </c>
      <c r="P77" s="97" t="n">
        <f aca="false">-P76*0.2</f>
        <v>-120801.41776</v>
      </c>
      <c r="Q77" s="97" t="n">
        <f aca="false">-Q76*0.2</f>
        <v>-123882.434506667</v>
      </c>
      <c r="R77" s="97" t="n">
        <f aca="false">-R76*0.2</f>
        <v>-126963.451253333</v>
      </c>
      <c r="S77" s="97" t="n">
        <f aca="false">-S76*0.2</f>
        <v>-130044.468</v>
      </c>
      <c r="T77" s="97" t="n">
        <f aca="false">-T76*0.2</f>
        <v>-128294.0616</v>
      </c>
      <c r="U77" s="97" t="n">
        <f aca="false">-U76*0.2</f>
        <v>-126543.6552</v>
      </c>
      <c r="V77" s="97" t="n">
        <f aca="false">-V76*0.2</f>
        <v>-124793.2488</v>
      </c>
      <c r="W77" s="97" t="n">
        <f aca="false">-W76*0.2</f>
        <v>-123042.8424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159</v>
      </c>
      <c r="D78" s="97" t="n">
        <f aca="false">SUM(D76:D77)</f>
        <v>300428.8672</v>
      </c>
      <c r="E78" s="97" t="n">
        <f aca="false">SUM(E76:E77)</f>
        <v>312752.934186667</v>
      </c>
      <c r="F78" s="97" t="n">
        <f aca="false">SUM(F76:F77)</f>
        <v>325077.001173333</v>
      </c>
      <c r="G78" s="97" t="n">
        <f aca="false">SUM(G76:G77)</f>
        <v>337401.06816</v>
      </c>
      <c r="H78" s="97" t="n">
        <f aca="false">SUM(H76:H77)</f>
        <v>349725.135146667</v>
      </c>
      <c r="I78" s="97" t="n">
        <f aca="false">SUM(I76:I77)</f>
        <v>362049.202133333</v>
      </c>
      <c r="J78" s="97" t="n">
        <f aca="false">SUM(J76:J77)</f>
        <v>374373.26912</v>
      </c>
      <c r="K78" s="97" t="n">
        <f aca="false">SUM(K76:K77)</f>
        <v>386697.336106667</v>
      </c>
      <c r="L78" s="97" t="n">
        <f aca="false">SUM(L76:L77)</f>
        <v>399021.403093333</v>
      </c>
      <c r="M78" s="97" t="n">
        <f aca="false">SUM(M76:M77)</f>
        <v>411345.47008</v>
      </c>
      <c r="N78" s="97" t="n">
        <f aca="false">SUM(N76:N77)</f>
        <v>458557.537066666</v>
      </c>
      <c r="O78" s="97" t="n">
        <f aca="false">SUM(O76:O77)</f>
        <v>470881.604053333</v>
      </c>
      <c r="P78" s="97" t="n">
        <f aca="false">SUM(P76:P77)</f>
        <v>483205.67104</v>
      </c>
      <c r="Q78" s="97" t="n">
        <f aca="false">SUM(Q76:Q77)</f>
        <v>495529.738026666</v>
      </c>
      <c r="R78" s="97" t="n">
        <f aca="false">SUM(R76:R77)</f>
        <v>507853.805013333</v>
      </c>
      <c r="S78" s="97" t="n">
        <f aca="false">SUM(S76:S77)</f>
        <v>520177.872</v>
      </c>
      <c r="T78" s="97" t="n">
        <f aca="false">SUM(T76:T77)</f>
        <v>513176.2464</v>
      </c>
      <c r="U78" s="97" t="n">
        <f aca="false">SUM(U76:U77)</f>
        <v>506174.6208</v>
      </c>
      <c r="V78" s="97" t="n">
        <f aca="false">SUM(V76:V77)</f>
        <v>499172.9952</v>
      </c>
      <c r="W78" s="97" t="n">
        <f aca="false">SUM(W76:W77)</f>
        <v>492171.3696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154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155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136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137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159</v>
      </c>
      <c r="C85" s="135"/>
      <c r="D85" s="136" t="n">
        <f aca="false">D78</f>
        <v>300428.8672</v>
      </c>
      <c r="E85" s="136" t="n">
        <f aca="false">E78</f>
        <v>312752.934186667</v>
      </c>
      <c r="F85" s="136" t="n">
        <f aca="false">F78</f>
        <v>325077.001173333</v>
      </c>
      <c r="G85" s="136" t="n">
        <f aca="false">G78</f>
        <v>337401.06816</v>
      </c>
      <c r="H85" s="136" t="n">
        <f aca="false">H78</f>
        <v>349725.135146667</v>
      </c>
      <c r="I85" s="136" t="n">
        <f aca="false">I78</f>
        <v>362049.202133333</v>
      </c>
      <c r="J85" s="136" t="n">
        <f aca="false">J78</f>
        <v>374373.26912</v>
      </c>
      <c r="K85" s="136" t="n">
        <f aca="false">K78</f>
        <v>386697.336106667</v>
      </c>
      <c r="L85" s="136" t="n">
        <f aca="false">L78</f>
        <v>399021.403093333</v>
      </c>
      <c r="M85" s="136" t="n">
        <f aca="false">M78</f>
        <v>411345.47008</v>
      </c>
      <c r="N85" s="136" t="n">
        <f aca="false">N78</f>
        <v>458557.537066666</v>
      </c>
      <c r="O85" s="136" t="n">
        <f aca="false">O78</f>
        <v>470881.604053333</v>
      </c>
      <c r="P85" s="136" t="n">
        <f aca="false">P78</f>
        <v>483205.67104</v>
      </c>
      <c r="Q85" s="136" t="n">
        <f aca="false">Q78</f>
        <v>495529.738026666</v>
      </c>
      <c r="R85" s="136" t="n">
        <f aca="false">R78</f>
        <v>507853.805013333</v>
      </c>
      <c r="S85" s="136" t="n">
        <f aca="false">S78</f>
        <v>520177.872</v>
      </c>
      <c r="T85" s="136" t="n">
        <f aca="false">T78</f>
        <v>513176.2464</v>
      </c>
      <c r="U85" s="136" t="n">
        <f aca="false">U78</f>
        <v>506174.6208</v>
      </c>
      <c r="V85" s="136" t="n">
        <f aca="false">V78</f>
        <v>499172.9952</v>
      </c>
      <c r="W85" s="136" t="n">
        <f aca="false">W78</f>
        <v>492171.3696</v>
      </c>
      <c r="X85" s="135"/>
      <c r="Y85" s="135"/>
    </row>
    <row r="86" customFormat="false" ht="15" hidden="false" customHeight="true" outlineLevel="0" collapsed="false">
      <c r="B86" s="135" t="s">
        <v>160</v>
      </c>
      <c r="C86" s="135"/>
      <c r="D86" s="137" t="n">
        <f aca="false">-D67</f>
        <v>884660</v>
      </c>
      <c r="E86" s="137" t="n">
        <f aca="false">-E67</f>
        <v>884660</v>
      </c>
      <c r="F86" s="137" t="n">
        <f aca="false">-F67</f>
        <v>884660</v>
      </c>
      <c r="G86" s="137" t="n">
        <f aca="false">-G67</f>
        <v>884660</v>
      </c>
      <c r="H86" s="137" t="n">
        <f aca="false">-H67</f>
        <v>884660</v>
      </c>
      <c r="I86" s="137" t="n">
        <f aca="false">-I67</f>
        <v>884660</v>
      </c>
      <c r="J86" s="137" t="n">
        <f aca="false">-J67</f>
        <v>884660</v>
      </c>
      <c r="K86" s="137" t="n">
        <f aca="false">-K67</f>
        <v>884660</v>
      </c>
      <c r="L86" s="137" t="n">
        <f aca="false">-L67</f>
        <v>884660</v>
      </c>
      <c r="M86" s="137" t="n">
        <f aca="false">-M67</f>
        <v>884660</v>
      </c>
      <c r="N86" s="137" t="n">
        <f aca="false">-N67</f>
        <v>884660</v>
      </c>
      <c r="O86" s="137" t="n">
        <f aca="false">-O67</f>
        <v>884660</v>
      </c>
      <c r="P86" s="137" t="n">
        <f aca="false">-P67</f>
        <v>884660</v>
      </c>
      <c r="Q86" s="137" t="n">
        <f aca="false">-Q67</f>
        <v>884660</v>
      </c>
      <c r="R86" s="137" t="n">
        <f aca="false">-R67</f>
        <v>884660</v>
      </c>
      <c r="S86" s="137" t="n">
        <f aca="false">-S67</f>
        <v>884660</v>
      </c>
      <c r="T86" s="137" t="n">
        <f aca="false">-T67</f>
        <v>884660</v>
      </c>
      <c r="U86" s="137" t="n">
        <f aca="false">-U67</f>
        <v>884660</v>
      </c>
      <c r="V86" s="137" t="n">
        <f aca="false">-V67</f>
        <v>884660</v>
      </c>
      <c r="W86" s="137" t="n">
        <f aca="false">-W67</f>
        <v>884660</v>
      </c>
      <c r="X86" s="138"/>
      <c r="Y86" s="138"/>
    </row>
    <row r="87" customFormat="false" ht="15" hidden="false" customHeight="true" outlineLevel="0" collapsed="false">
      <c r="B87" s="135" t="s">
        <v>161</v>
      </c>
      <c r="C87" s="135"/>
      <c r="D87" s="139" t="n">
        <f aca="false">SUM(D85:D86)</f>
        <v>1185088.8672</v>
      </c>
      <c r="E87" s="139" t="n">
        <f aca="false">SUM(E85:E86)</f>
        <v>1197412.93418667</v>
      </c>
      <c r="F87" s="139" t="n">
        <f aca="false">SUM(F85:F86)</f>
        <v>1209737.00117333</v>
      </c>
      <c r="G87" s="139" t="n">
        <f aca="false">SUM(G85:G86)</f>
        <v>1222061.06816</v>
      </c>
      <c r="H87" s="139" t="n">
        <f aca="false">SUM(H85:H86)</f>
        <v>1234385.13514667</v>
      </c>
      <c r="I87" s="139" t="n">
        <f aca="false">SUM(I85:I86)</f>
        <v>1246709.20213333</v>
      </c>
      <c r="J87" s="139" t="n">
        <f aca="false">SUM(J85:J86)</f>
        <v>1259033.26912</v>
      </c>
      <c r="K87" s="139" t="n">
        <f aca="false">SUM(K85:K86)</f>
        <v>1271357.33610667</v>
      </c>
      <c r="L87" s="139" t="n">
        <f aca="false">SUM(L85:L86)</f>
        <v>1283681.40309333</v>
      </c>
      <c r="M87" s="139" t="n">
        <f aca="false">SUM(M85:M86)</f>
        <v>1296005.47008</v>
      </c>
      <c r="N87" s="139" t="n">
        <f aca="false">SUM(N85:N86)</f>
        <v>1343217.53706667</v>
      </c>
      <c r="O87" s="139" t="n">
        <f aca="false">SUM(O85:O86)</f>
        <v>1355541.60405333</v>
      </c>
      <c r="P87" s="139" t="n">
        <f aca="false">SUM(P85:P86)</f>
        <v>1367865.67104</v>
      </c>
      <c r="Q87" s="139" t="n">
        <f aca="false">SUM(Q85:Q86)</f>
        <v>1380189.73802667</v>
      </c>
      <c r="R87" s="139" t="n">
        <f aca="false">SUM(R85:R86)</f>
        <v>1392513.80501333</v>
      </c>
      <c r="S87" s="139" t="n">
        <f aca="false">SUM(S85:S86)</f>
        <v>1404837.872</v>
      </c>
      <c r="T87" s="139" t="n">
        <f aca="false">SUM(T85:T86)</f>
        <v>1397836.2464</v>
      </c>
      <c r="U87" s="139" t="n">
        <f aca="false">SUM(U85:U86)</f>
        <v>1390834.6208</v>
      </c>
      <c r="V87" s="139" t="n">
        <f aca="false">SUM(V85:V86)</f>
        <v>1383832.9952</v>
      </c>
      <c r="W87" s="139" t="n">
        <f aca="false">SUM(W85:W86)</f>
        <v>1376831.3696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162</v>
      </c>
      <c r="C89" s="142"/>
      <c r="D89" s="143" t="n">
        <f aca="false">C44</f>
        <v>-17693200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163</v>
      </c>
      <c r="C92" s="142"/>
      <c r="D92" s="143" t="n">
        <f aca="false">-D89*D31</f>
        <v>14154560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164</v>
      </c>
      <c r="C93" s="135"/>
      <c r="D93" s="145"/>
      <c r="E93" s="145" t="n">
        <v>-943637.333333333</v>
      </c>
      <c r="F93" s="145" t="n">
        <v>-943637.333333333</v>
      </c>
      <c r="G93" s="145" t="n">
        <v>-943637.333333333</v>
      </c>
      <c r="H93" s="145" t="n">
        <v>-943637.333333333</v>
      </c>
      <c r="I93" s="145" t="n">
        <v>-943637.333333333</v>
      </c>
      <c r="J93" s="145" t="n">
        <v>-943637.333333333</v>
      </c>
      <c r="K93" s="145" t="n">
        <v>-943637.333333333</v>
      </c>
      <c r="L93" s="145" t="n">
        <v>-943637.333333333</v>
      </c>
      <c r="M93" s="145" t="n">
        <v>-943637.333333333</v>
      </c>
      <c r="N93" s="145" t="n">
        <v>-943637.333333333</v>
      </c>
      <c r="O93" s="145" t="n">
        <v>-943637.333333333</v>
      </c>
      <c r="P93" s="145" t="n">
        <v>-943637.333333333</v>
      </c>
      <c r="Q93" s="145" t="n">
        <v>-943637.333333333</v>
      </c>
      <c r="R93" s="145" t="n">
        <v>-943637.333333333</v>
      </c>
      <c r="S93" s="145" t="n">
        <v>-943637.333333333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165</v>
      </c>
      <c r="C94" s="140"/>
      <c r="D94" s="136" t="n">
        <f aca="false">-D89*(1-D31)</f>
        <v>3538640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-270385.98048</v>
      </c>
      <c r="F95" s="146" t="n">
        <f aca="false">-E85*$D$33</f>
        <v>-281477.640768</v>
      </c>
      <c r="G95" s="146" t="n">
        <f aca="false">-F85*$D$33</f>
        <v>-292569.301056</v>
      </c>
      <c r="H95" s="146" t="n">
        <f aca="false">-G85*$D$33</f>
        <v>-303660.961344</v>
      </c>
      <c r="I95" s="146" t="n">
        <f aca="false">-H85*$D$33</f>
        <v>-314752.621632</v>
      </c>
      <c r="J95" s="146" t="n">
        <f aca="false">-I85*$D$33</f>
        <v>-325844.28192</v>
      </c>
      <c r="K95" s="146" t="n">
        <f aca="false">-J85*$D$33</f>
        <v>-336935.942208</v>
      </c>
      <c r="L95" s="146" t="n">
        <f aca="false">-K85*$D$33</f>
        <v>-348027.602496</v>
      </c>
      <c r="M95" s="146" t="n">
        <f aca="false">-L85*$D$33</f>
        <v>-359119.262784</v>
      </c>
      <c r="N95" s="146" t="n">
        <f aca="false">-M85*$D$33</f>
        <v>-370210.923072</v>
      </c>
      <c r="O95" s="146" t="n">
        <f aca="false">-N85*$D$33</f>
        <v>-412701.78336</v>
      </c>
      <c r="P95" s="146" t="n">
        <f aca="false">-O85*$D$33</f>
        <v>-423793.443648</v>
      </c>
      <c r="Q95" s="146" t="n">
        <f aca="false">-P85*$D$33</f>
        <v>-434885.103936</v>
      </c>
      <c r="R95" s="146" t="n">
        <f aca="false">-Q85*$D$33</f>
        <v>-445976.764224</v>
      </c>
      <c r="S95" s="146" t="n">
        <f aca="false">-R85*$D$33</f>
        <v>-457068.424512</v>
      </c>
      <c r="T95" s="146" t="n">
        <f aca="false">-S85*$D$33</f>
        <v>-468160.0848</v>
      </c>
      <c r="U95" s="146" t="n">
        <f aca="false">-T85*$D$33</f>
        <v>-461858.62176</v>
      </c>
      <c r="V95" s="146" t="n">
        <f aca="false">-U85*$D$33</f>
        <v>-455557.15872</v>
      </c>
      <c r="W95" s="146" t="n">
        <f aca="false">-V85*$D$33</f>
        <v>-449255.69568</v>
      </c>
      <c r="X95" s="146" t="n">
        <f aca="false">-W85*$D$33</f>
        <v>-442954.23264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-884660</v>
      </c>
      <c r="U96" s="149" t="n">
        <v>-884660</v>
      </c>
      <c r="V96" s="149" t="n">
        <v>-884660</v>
      </c>
      <c r="W96" s="149" t="n">
        <v>-884660</v>
      </c>
      <c r="X96" s="150" t="n">
        <f aca="false">-W101-X95</f>
        <v>-850577.314560003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166</v>
      </c>
      <c r="C99" s="136" t="n">
        <v>0</v>
      </c>
      <c r="D99" s="136" t="n">
        <f aca="false">SUM(D87:D96)</f>
        <v>1185088.8672</v>
      </c>
      <c r="E99" s="136" t="n">
        <f aca="false">SUM(E87:E96)</f>
        <v>-16610.3796266664</v>
      </c>
      <c r="F99" s="136" t="n">
        <f aca="false">SUM(F87:F96)</f>
        <v>-15377.9729279996</v>
      </c>
      <c r="G99" s="136" t="n">
        <f aca="false">SUM(G87:G96)</f>
        <v>-14145.5662293333</v>
      </c>
      <c r="H99" s="136" t="n">
        <f aca="false">SUM(H87:H96)</f>
        <v>-12913.1595306664</v>
      </c>
      <c r="I99" s="136" t="n">
        <f aca="false">SUM(I87:I96)</f>
        <v>-11680.7528319998</v>
      </c>
      <c r="J99" s="136" t="n">
        <f aca="false">SUM(J87:J96)</f>
        <v>-10448.3461333329</v>
      </c>
      <c r="K99" s="136" t="n">
        <f aca="false">SUM(K87:K96)</f>
        <v>-9215.93943466642</v>
      </c>
      <c r="L99" s="136" t="n">
        <f aca="false">SUM(L87:L96)</f>
        <v>-7983.53273599979</v>
      </c>
      <c r="M99" s="136" t="n">
        <f aca="false">SUM(M87:M96)</f>
        <v>-6751.12603733293</v>
      </c>
      <c r="N99" s="136" t="n">
        <f aca="false">SUM(N87:N96)</f>
        <v>29369.2806613336</v>
      </c>
      <c r="O99" s="136" t="n">
        <f aca="false">SUM(O87:O96)</f>
        <v>-797.512639999623</v>
      </c>
      <c r="P99" s="136" t="n">
        <f aca="false">SUM(P87:P96)</f>
        <v>434.894058666891</v>
      </c>
      <c r="Q99" s="136" t="n">
        <f aca="false">SUM(Q87:Q96)</f>
        <v>1667.30075733364</v>
      </c>
      <c r="R99" s="136" t="n">
        <f aca="false">SUM(R87:R96)</f>
        <v>2899.70745600015</v>
      </c>
      <c r="S99" s="136" t="n">
        <f aca="false">SUM(S87:S96)</f>
        <v>4132.11415466701</v>
      </c>
      <c r="T99" s="136" t="n">
        <f aca="false">SUM(T87:T96)</f>
        <v>45016.1615999998</v>
      </c>
      <c r="U99" s="136" t="n">
        <f aca="false">SUM(U87:U96)</f>
        <v>44315.9990399999</v>
      </c>
      <c r="V99" s="136" t="n">
        <f aca="false">SUM(V87:V96)</f>
        <v>43615.8364799999</v>
      </c>
      <c r="W99" s="136" t="n">
        <f aca="false">SUM(W87:W96)</f>
        <v>42915.6739200002</v>
      </c>
      <c r="X99" s="105"/>
    </row>
    <row r="100" customFormat="false" ht="15" hidden="false" customHeight="true" outlineLevel="0" collapsed="false">
      <c r="B100" s="135" t="s">
        <v>167</v>
      </c>
      <c r="C100" s="136" t="n">
        <v>0</v>
      </c>
      <c r="D100" s="136" t="n">
        <f aca="false">C101</f>
        <v>0</v>
      </c>
      <c r="E100" s="136" t="n">
        <f aca="false">D101</f>
        <v>1185088.8672</v>
      </c>
      <c r="F100" s="136" t="n">
        <f aca="false">E101</f>
        <v>1168478.48757333</v>
      </c>
      <c r="G100" s="136" t="n">
        <f aca="false">F101</f>
        <v>1153100.51464533</v>
      </c>
      <c r="H100" s="136" t="n">
        <f aca="false">G101</f>
        <v>1138954.948416</v>
      </c>
      <c r="I100" s="136" t="n">
        <f aca="false">H101</f>
        <v>1126041.78888533</v>
      </c>
      <c r="J100" s="136" t="n">
        <f aca="false">I101</f>
        <v>1114361.03605333</v>
      </c>
      <c r="K100" s="136" t="n">
        <f aca="false">J101</f>
        <v>1103912.68992</v>
      </c>
      <c r="L100" s="136" t="n">
        <f aca="false">K101</f>
        <v>1094696.75048533</v>
      </c>
      <c r="M100" s="136" t="n">
        <f aca="false">L101</f>
        <v>1086713.21774933</v>
      </c>
      <c r="N100" s="136" t="n">
        <f aca="false">M101</f>
        <v>1079962.091712</v>
      </c>
      <c r="O100" s="136" t="n">
        <f aca="false">N101</f>
        <v>1109331.37237334</v>
      </c>
      <c r="P100" s="136" t="n">
        <f aca="false">O101</f>
        <v>1108533.85973334</v>
      </c>
      <c r="Q100" s="136" t="n">
        <f aca="false">P101</f>
        <v>1108968.753792</v>
      </c>
      <c r="R100" s="136" t="n">
        <f aca="false">Q101</f>
        <v>1110636.05454934</v>
      </c>
      <c r="S100" s="136" t="n">
        <f aca="false">R101</f>
        <v>1113535.76200534</v>
      </c>
      <c r="T100" s="136" t="n">
        <f aca="false">S101</f>
        <v>1117667.87616</v>
      </c>
      <c r="U100" s="136" t="n">
        <f aca="false">T101</f>
        <v>1162684.03776</v>
      </c>
      <c r="V100" s="136" t="n">
        <f aca="false">U101</f>
        <v>1207000.0368</v>
      </c>
      <c r="W100" s="136" t="n">
        <f aca="false">V101</f>
        <v>1250615.87328</v>
      </c>
      <c r="X100" s="104"/>
    </row>
    <row r="101" customFormat="false" ht="15" hidden="false" customHeight="true" outlineLevel="0" collapsed="false">
      <c r="B101" s="135" t="s">
        <v>168</v>
      </c>
      <c r="C101" s="136" t="n">
        <v>0</v>
      </c>
      <c r="D101" s="136" t="n">
        <f aca="false">D99+D100</f>
        <v>1185088.8672</v>
      </c>
      <c r="E101" s="136" t="n">
        <f aca="false">E99+E100</f>
        <v>1168478.48757333</v>
      </c>
      <c r="F101" s="136" t="n">
        <f aca="false">F99+F100</f>
        <v>1153100.51464533</v>
      </c>
      <c r="G101" s="136" t="n">
        <f aca="false">G99+G100</f>
        <v>1138954.948416</v>
      </c>
      <c r="H101" s="136" t="n">
        <f aca="false">H99+H100</f>
        <v>1126041.78888533</v>
      </c>
      <c r="I101" s="136" t="n">
        <f aca="false">I99+I100</f>
        <v>1114361.03605333</v>
      </c>
      <c r="J101" s="136" t="n">
        <f aca="false">J99+J100</f>
        <v>1103912.68992</v>
      </c>
      <c r="K101" s="136" t="n">
        <f aca="false">K99+K100</f>
        <v>1094696.75048533</v>
      </c>
      <c r="L101" s="136" t="n">
        <f aca="false">L99+L100</f>
        <v>1086713.21774933</v>
      </c>
      <c r="M101" s="136" t="n">
        <f aca="false">M99+M100</f>
        <v>1079962.091712</v>
      </c>
      <c r="N101" s="136" t="n">
        <f aca="false">N99+N100</f>
        <v>1109331.37237334</v>
      </c>
      <c r="O101" s="136" t="n">
        <f aca="false">O99+O100</f>
        <v>1108533.85973334</v>
      </c>
      <c r="P101" s="136" t="n">
        <f aca="false">P99+P100</f>
        <v>1108968.753792</v>
      </c>
      <c r="Q101" s="136" t="n">
        <f aca="false">Q99+Q100</f>
        <v>1110636.05454934</v>
      </c>
      <c r="R101" s="136" t="n">
        <f aca="false">R99+R100</f>
        <v>1113535.76200534</v>
      </c>
      <c r="S101" s="136" t="n">
        <f aca="false">S99+S100</f>
        <v>1117667.87616</v>
      </c>
      <c r="T101" s="136" t="n">
        <f aca="false">T99+T100</f>
        <v>1162684.03776</v>
      </c>
      <c r="U101" s="136" t="n">
        <f aca="false">U99+U100</f>
        <v>1207000.0368</v>
      </c>
      <c r="V101" s="136" t="n">
        <f aca="false">V99+V100</f>
        <v>1250615.87328</v>
      </c>
      <c r="W101" s="136" t="n">
        <f aca="false">W99+W100</f>
        <v>1293531.5472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169</v>
      </c>
      <c r="C104" s="152"/>
      <c r="D104" s="153" t="n">
        <f aca="false">-D94</f>
        <v>-3538640</v>
      </c>
      <c r="E104" s="139" t="n">
        <f aca="false">-E95-E96</f>
        <v>270385.98048</v>
      </c>
      <c r="F104" s="139" t="n">
        <f aca="false">-F95-F96</f>
        <v>281477.640768</v>
      </c>
      <c r="G104" s="139" t="n">
        <f aca="false">-G95-G96</f>
        <v>292569.301056</v>
      </c>
      <c r="H104" s="139" t="n">
        <f aca="false">-H95-H96</f>
        <v>303660.961344</v>
      </c>
      <c r="I104" s="139" t="n">
        <f aca="false">-I95-I96</f>
        <v>314752.621632</v>
      </c>
      <c r="J104" s="139" t="n">
        <f aca="false">-J95-J96</f>
        <v>325844.28192</v>
      </c>
      <c r="K104" s="139" t="n">
        <f aca="false">-K95-K96</f>
        <v>336935.942208</v>
      </c>
      <c r="L104" s="139" t="n">
        <f aca="false">-L95-L96</f>
        <v>348027.602496</v>
      </c>
      <c r="M104" s="139" t="n">
        <f aca="false">-M95-M96</f>
        <v>359119.262784</v>
      </c>
      <c r="N104" s="139" t="n">
        <f aca="false">-N95-N96</f>
        <v>370210.923072</v>
      </c>
      <c r="O104" s="139" t="n">
        <f aca="false">-O95-O96</f>
        <v>412701.78336</v>
      </c>
      <c r="P104" s="139" t="n">
        <f aca="false">-P95-P96</f>
        <v>423793.443648</v>
      </c>
      <c r="Q104" s="139" t="n">
        <f aca="false">-Q95-Q96</f>
        <v>434885.103936</v>
      </c>
      <c r="R104" s="139" t="n">
        <f aca="false">-R95-R96</f>
        <v>445976.764224</v>
      </c>
      <c r="S104" s="139" t="n">
        <f aca="false">-S95-S96</f>
        <v>457068.424512</v>
      </c>
      <c r="T104" s="139" t="n">
        <f aca="false">-T95-T96</f>
        <v>1352820.0848</v>
      </c>
      <c r="U104" s="139" t="n">
        <f aca="false">-U95-U96</f>
        <v>1346518.62176</v>
      </c>
      <c r="V104" s="139" t="n">
        <f aca="false">-V95-V96</f>
        <v>1340217.15872</v>
      </c>
      <c r="W104" s="139" t="n">
        <f aca="false">-W95-W96</f>
        <v>1333915.69568</v>
      </c>
      <c r="X104" s="139" t="n">
        <f aca="false">-X95-X96</f>
        <v>1293531.5472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0.106478088613238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170</v>
      </c>
      <c r="C106" s="152"/>
      <c r="D106" s="153" t="n">
        <f aca="false">D85-D94</f>
        <v>-3238211.1328</v>
      </c>
      <c r="E106" s="139" t="n">
        <f aca="false">E85</f>
        <v>312752.934186667</v>
      </c>
      <c r="F106" s="139" t="n">
        <f aca="false">F85-F96</f>
        <v>325077.001173333</v>
      </c>
      <c r="G106" s="139" t="n">
        <f aca="false">G85-G96</f>
        <v>337401.06816</v>
      </c>
      <c r="H106" s="139" t="n">
        <f aca="false">H85-H96</f>
        <v>349725.135146667</v>
      </c>
      <c r="I106" s="139" t="n">
        <f aca="false">I85-I96</f>
        <v>362049.202133333</v>
      </c>
      <c r="J106" s="139" t="n">
        <f aca="false">J85-J96</f>
        <v>374373.26912</v>
      </c>
      <c r="K106" s="139" t="n">
        <f aca="false">K85-K96</f>
        <v>386697.336106667</v>
      </c>
      <c r="L106" s="139" t="n">
        <f aca="false">L85-L96</f>
        <v>399021.403093333</v>
      </c>
      <c r="M106" s="139" t="n">
        <f aca="false">M85-M96</f>
        <v>411345.47008</v>
      </c>
      <c r="N106" s="139" t="n">
        <f aca="false">N85-N96</f>
        <v>458557.537066666</v>
      </c>
      <c r="O106" s="139" t="n">
        <f aca="false">O85-O96</f>
        <v>470881.604053333</v>
      </c>
      <c r="P106" s="139" t="n">
        <f aca="false">P85-P96</f>
        <v>483205.67104</v>
      </c>
      <c r="Q106" s="139" t="n">
        <f aca="false">Q85-Q96</f>
        <v>495529.738026666</v>
      </c>
      <c r="R106" s="139" t="n">
        <f aca="false">R85-R96</f>
        <v>507853.805013333</v>
      </c>
      <c r="S106" s="139" t="n">
        <f aca="false">S85-S96</f>
        <v>520177.872</v>
      </c>
      <c r="T106" s="139" t="n">
        <f aca="false">T85-T96</f>
        <v>1397836.2464</v>
      </c>
      <c r="U106" s="139" t="n">
        <f aca="false">U85-U96</f>
        <v>1390834.6208</v>
      </c>
      <c r="V106" s="139" t="n">
        <f aca="false">V85-V96</f>
        <v>1383832.9952</v>
      </c>
      <c r="W106" s="139" t="n">
        <f aca="false">W85-W96</f>
        <v>1376831.3696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0.124983412459358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171</v>
      </c>
      <c r="C109" s="136" t="n">
        <v>0</v>
      </c>
      <c r="D109" s="136" t="n">
        <f aca="false">D92</f>
        <v>14154560</v>
      </c>
      <c r="E109" s="136" t="n">
        <f aca="false">D109+E93</f>
        <v>13210922.6666667</v>
      </c>
      <c r="F109" s="136" t="n">
        <f aca="false">E109+F93</f>
        <v>12267285.3333333</v>
      </c>
      <c r="G109" s="136" t="n">
        <f aca="false">F109+G93</f>
        <v>11323648</v>
      </c>
      <c r="H109" s="136" t="n">
        <f aca="false">G109+H93</f>
        <v>10380010.6666667</v>
      </c>
      <c r="I109" s="136" t="n">
        <f aca="false">H109+I93</f>
        <v>9436373.33333334</v>
      </c>
      <c r="J109" s="136" t="n">
        <f aca="false">I109+J93</f>
        <v>8492736.00000001</v>
      </c>
      <c r="K109" s="136" t="n">
        <f aca="false">J109+K93</f>
        <v>7549098.66666667</v>
      </c>
      <c r="L109" s="136" t="n">
        <f aca="false">K109+L93</f>
        <v>6605461.33333334</v>
      </c>
      <c r="M109" s="136" t="n">
        <f aca="false">L109+M93</f>
        <v>5661824.00000001</v>
      </c>
      <c r="N109" s="136" t="n">
        <f aca="false">M109+N93</f>
        <v>4718186.66666668</v>
      </c>
      <c r="O109" s="136" t="n">
        <f aca="false">N109+O93</f>
        <v>3774549.33333334</v>
      </c>
      <c r="P109" s="136" t="n">
        <f aca="false">O109+P93</f>
        <v>2830912.00000001</v>
      </c>
      <c r="Q109" s="136" t="n">
        <f aca="false">P109+Q93</f>
        <v>1887274.66666668</v>
      </c>
      <c r="R109" s="136" t="n">
        <f aca="false">Q109+R93</f>
        <v>943637.333333343</v>
      </c>
      <c r="S109" s="136" t="n">
        <f aca="false">R109+S93</f>
        <v>1.02445483207703E-008</v>
      </c>
      <c r="T109" s="136" t="n">
        <f aca="false">S109+T93</f>
        <v>1.02445483207703E-008</v>
      </c>
      <c r="U109" s="136" t="n">
        <f aca="false">T109+U93</f>
        <v>1.02445483207703E-008</v>
      </c>
      <c r="V109" s="136" t="n">
        <f aca="false">U109+V93</f>
        <v>1.02445483207703E-008</v>
      </c>
      <c r="W109" s="136" t="n">
        <f aca="false">V109+W93</f>
        <v>1.02445483207703E-008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131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176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117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118</v>
      </c>
    </row>
    <row r="7" customFormat="false" ht="22.5" hidden="false" customHeight="true" outlineLevel="0" collapsed="false">
      <c r="B7" s="2" t="s">
        <v>133</v>
      </c>
      <c r="C7" s="2"/>
      <c r="D7" s="2"/>
      <c r="E7" s="2"/>
      <c r="M7" s="1" t="s">
        <v>119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120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86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134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135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136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137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138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139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140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141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142</v>
      </c>
      <c r="C44" s="96" t="n">
        <f aca="false">-(D16/(1-D17)+D18)*C4</f>
        <v>-16447200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143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144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145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146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147</v>
      </c>
      <c r="C49" s="87" t="s">
        <v>4</v>
      </c>
      <c r="D49" s="97" t="n">
        <v>-32707.5</v>
      </c>
      <c r="E49" s="97" t="n">
        <v>-32707.5</v>
      </c>
      <c r="F49" s="97" t="n">
        <v>-32707.5</v>
      </c>
      <c r="G49" s="97" t="n">
        <v>-32707.5</v>
      </c>
      <c r="H49" s="97" t="n">
        <v>-32707.5</v>
      </c>
      <c r="I49" s="97" t="n">
        <v>-32707.5</v>
      </c>
      <c r="J49" s="97" t="n">
        <v>-32707.5</v>
      </c>
      <c r="K49" s="97" t="n">
        <v>-32707.5</v>
      </c>
      <c r="L49" s="97" t="n">
        <v>-32707.5</v>
      </c>
      <c r="M49" s="97" t="n">
        <v>-32707.5</v>
      </c>
      <c r="N49" s="97" t="n">
        <v>-32707.5</v>
      </c>
      <c r="O49" s="97" t="n">
        <v>-32707.5</v>
      </c>
      <c r="P49" s="97" t="n">
        <v>-32707.5</v>
      </c>
      <c r="Q49" s="97" t="n">
        <v>-32707.5</v>
      </c>
      <c r="R49" s="97" t="n">
        <v>-32707.5</v>
      </c>
      <c r="S49" s="97" t="n">
        <v>-32707.5</v>
      </c>
      <c r="T49" s="97" t="n">
        <v>-32707.5</v>
      </c>
      <c r="U49" s="97" t="n">
        <v>-32707.5</v>
      </c>
      <c r="V49" s="97" t="n">
        <v>-32707.5</v>
      </c>
      <c r="W49" s="97" t="n">
        <v>-32707.5</v>
      </c>
      <c r="X49" s="97"/>
    </row>
    <row r="50" customFormat="false" ht="18.75" hidden="false" customHeight="true" outlineLevel="0" collapsed="false">
      <c r="B50" s="95" t="s">
        <v>148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149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150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151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152</v>
      </c>
      <c r="C54" s="98"/>
      <c r="D54" s="97" t="n">
        <f aca="false">-(D64+D67+D68+D71+D72+D73+D74)*0.2</f>
        <v>-160561.884</v>
      </c>
      <c r="E54" s="97" t="n">
        <f aca="false">-(E64+E67+E68+E71+E72+E73+E74)*0.2</f>
        <v>-158811.4776</v>
      </c>
      <c r="F54" s="97" t="n">
        <f aca="false">-(F64+F67+F68+F71+F72+F73+F74)*0.2</f>
        <v>-157061.0712</v>
      </c>
      <c r="G54" s="97" t="n">
        <f aca="false">-(G64+G67+G68+G71+G72+G73+G74)*0.2</f>
        <v>-155310.6648</v>
      </c>
      <c r="H54" s="97" t="n">
        <f aca="false">-(H64+H67+H68+H71+H72+H73+H74)*0.2</f>
        <v>-153560.2584</v>
      </c>
      <c r="I54" s="97" t="n">
        <f aca="false">-(I64+I67+I68+I71+I72+I73+I74)*0.2</f>
        <v>-151809.852</v>
      </c>
      <c r="J54" s="97" t="n">
        <f aca="false">-(J64+J67+J68+J71+J72+J73+J74)*0.2</f>
        <v>-150059.4456</v>
      </c>
      <c r="K54" s="97" t="n">
        <f aca="false">-(K64+K67+K68+K71+K72+K73+K74)*0.2</f>
        <v>-148309.0392</v>
      </c>
      <c r="L54" s="97" t="n">
        <f aca="false">-(L64+L67+L68+L71+L72+L73+L74)*0.2</f>
        <v>-146558.6328</v>
      </c>
      <c r="M54" s="97" t="n">
        <f aca="false">-(M64+M67+M68+M71+M72+M73+M74)*0.2</f>
        <v>-144808.2264</v>
      </c>
      <c r="N54" s="97" t="n">
        <f aca="false">-(N64+N67+N68+N71+N72+N73+N74)*0.2</f>
        <v>-151779.82</v>
      </c>
      <c r="O54" s="97" t="n">
        <f aca="false">-(O64+O67+O68+O71+O72+O73+O74)*0.2</f>
        <v>-150029.4136</v>
      </c>
      <c r="P54" s="97" t="n">
        <f aca="false">-(P64+P67+P68+P71+P72+P73+P74)*0.2</f>
        <v>-148279.0072</v>
      </c>
      <c r="Q54" s="97" t="n">
        <f aca="false">-(Q64+Q67+Q68+Q71+Q72+Q73+Q74)*0.2</f>
        <v>-146528.6008</v>
      </c>
      <c r="R54" s="97" t="n">
        <f aca="false">-(R64+R67+R68+R71+R72+R73+R74)*0.2</f>
        <v>-144778.1944</v>
      </c>
      <c r="S54" s="97" t="n">
        <f aca="false">-(S64+S67+S68+S71+S72+S73+S74)*0.2</f>
        <v>-143027.788</v>
      </c>
      <c r="T54" s="97" t="n">
        <f aca="false">-(T64+T67+T68+T71+T72+T73+T74)*0.2</f>
        <v>-141277.3816</v>
      </c>
      <c r="U54" s="97" t="n">
        <f aca="false">-(U64+U67+U68+U71+U72+U73+U74)*0.2</f>
        <v>-139526.9752</v>
      </c>
      <c r="V54" s="97" t="n">
        <f aca="false">-(V64+V67+V68+V71+V72+V73+V74)*0.2</f>
        <v>-137776.5688</v>
      </c>
      <c r="W54" s="97" t="n">
        <f aca="false">-(W64+W67+W68+W71+W72+W73+W74)*0.2</f>
        <v>-136026.1624</v>
      </c>
      <c r="X54" s="88"/>
    </row>
    <row r="55" customFormat="false" ht="18.75" hidden="false" customHeight="true" outlineLevel="0" collapsed="false">
      <c r="B55" s="100" t="s">
        <v>153</v>
      </c>
      <c r="C55" s="101" t="n">
        <f aca="false">C44</f>
        <v>-16447200</v>
      </c>
      <c r="D55" s="102" t="n">
        <f aca="false">SUM(D41:D54)</f>
        <v>1464607.536</v>
      </c>
      <c r="E55" s="102" t="n">
        <f aca="false">SUM(E41:E54)</f>
        <v>1457605.9104</v>
      </c>
      <c r="F55" s="102" t="n">
        <f aca="false">SUM(F41:F54)</f>
        <v>1450604.2848</v>
      </c>
      <c r="G55" s="102" t="n">
        <f aca="false">SUM(G41:G54)</f>
        <v>1443602.6592</v>
      </c>
      <c r="H55" s="102" t="n">
        <f aca="false">SUM(H41:H54)</f>
        <v>1436601.0336</v>
      </c>
      <c r="I55" s="102" t="n">
        <f aca="false">SUM(I41:I54)</f>
        <v>1429599.408</v>
      </c>
      <c r="J55" s="102" t="n">
        <f aca="false">SUM(J41:J54)</f>
        <v>1422597.7824</v>
      </c>
      <c r="K55" s="102" t="n">
        <f aca="false">SUM(K41:K54)</f>
        <v>1415596.1568</v>
      </c>
      <c r="L55" s="102" t="n">
        <f aca="false">SUM(L41:L54)</f>
        <v>1408594.5312</v>
      </c>
      <c r="M55" s="102" t="n">
        <f aca="false">SUM(M41:M54)</f>
        <v>1401592.9056</v>
      </c>
      <c r="N55" s="102" t="n">
        <f aca="false">SUM(N41:N54)</f>
        <v>1429479.28</v>
      </c>
      <c r="O55" s="102" t="n">
        <f aca="false">SUM(O41:O54)</f>
        <v>1422477.6544</v>
      </c>
      <c r="P55" s="102" t="n">
        <f aca="false">SUM(P41:P54)</f>
        <v>1415476.0288</v>
      </c>
      <c r="Q55" s="102" t="n">
        <f aca="false">SUM(Q41:Q54)</f>
        <v>1408474.4032</v>
      </c>
      <c r="R55" s="102" t="n">
        <f aca="false">SUM(R41:R54)</f>
        <v>1401472.7776</v>
      </c>
      <c r="S55" s="102" t="n">
        <f aca="false">SUM(S41:S54)</f>
        <v>1394471.152</v>
      </c>
      <c r="T55" s="102" t="n">
        <f aca="false">SUM(T41:T54)</f>
        <v>1387469.5264</v>
      </c>
      <c r="U55" s="102" t="n">
        <f aca="false">SUM(U41:U54)</f>
        <v>1380467.9008</v>
      </c>
      <c r="V55" s="102" t="n">
        <f aca="false">SUM(V41:V54)</f>
        <v>1373466.2752</v>
      </c>
      <c r="W55" s="102" t="n">
        <f aca="false">SUM(W41:W54)</f>
        <v>1366464.6496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154</v>
      </c>
      <c r="D56" s="107" t="n">
        <f aca="false">C55+D55</f>
        <v>-14982592.464</v>
      </c>
      <c r="E56" s="107" t="n">
        <f aca="false">D56+E55</f>
        <v>-13524986.5536</v>
      </c>
      <c r="F56" s="107" t="n">
        <f aca="false">E56+F55</f>
        <v>-12074382.2688</v>
      </c>
      <c r="G56" s="107" t="n">
        <f aca="false">F56+G55</f>
        <v>-10630779.6096</v>
      </c>
      <c r="H56" s="107" t="n">
        <f aca="false">G56+H55</f>
        <v>-9194178.576</v>
      </c>
      <c r="I56" s="107" t="n">
        <f aca="false">H56+I55</f>
        <v>-7764579.168</v>
      </c>
      <c r="J56" s="107" t="n">
        <f aca="false">I56+J55</f>
        <v>-6341981.3856</v>
      </c>
      <c r="K56" s="107" t="n">
        <f aca="false">J56+K55</f>
        <v>-4926385.2288</v>
      </c>
      <c r="L56" s="107" t="n">
        <f aca="false">K56+L55</f>
        <v>-3517790.6976</v>
      </c>
      <c r="M56" s="107" t="n">
        <f aca="false">L56+M55</f>
        <v>-2116197.792</v>
      </c>
      <c r="N56" s="107" t="n">
        <f aca="false">M56+N55</f>
        <v>-686718.512000001</v>
      </c>
      <c r="O56" s="107" t="n">
        <f aca="false">N56+O55</f>
        <v>735759.142399999</v>
      </c>
      <c r="P56" s="107" t="n">
        <f aca="false">O56+P55</f>
        <v>2151235.1712</v>
      </c>
      <c r="Q56" s="107" t="n">
        <f aca="false">P56+Q55</f>
        <v>3559709.5744</v>
      </c>
      <c r="R56" s="107" t="n">
        <f aca="false">Q56+R55</f>
        <v>4961182.352</v>
      </c>
      <c r="S56" s="107" t="n">
        <f aca="false">R56+S55</f>
        <v>6355653.504</v>
      </c>
      <c r="T56" s="107" t="n">
        <f aca="false">S56+T55</f>
        <v>7743123.0304</v>
      </c>
      <c r="U56" s="107" t="n">
        <f aca="false">T56+U55</f>
        <v>9123590.9312</v>
      </c>
      <c r="V56" s="107" t="n">
        <f aca="false">U56+V55</f>
        <v>10497057.2064</v>
      </c>
      <c r="W56" s="107" t="n">
        <f aca="false">V56+W55</f>
        <v>11863521.856</v>
      </c>
      <c r="X56" s="107" t="n">
        <f aca="false">W56+X55</f>
        <v>11863521.856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155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回收</v>
      </c>
      <c r="P57" s="111" t="str">
        <f aca="false">IF((P56)&gt;0,"回收","未回收")</f>
        <v>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0.059122680872179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136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156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137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138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139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140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141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157</v>
      </c>
      <c r="C67" s="87"/>
      <c r="D67" s="120" t="n">
        <f aca="false">$C$44/$E$16</f>
        <v>-822360</v>
      </c>
      <c r="E67" s="120" t="n">
        <f aca="false">$C$44/$E$16</f>
        <v>-822360</v>
      </c>
      <c r="F67" s="120" t="n">
        <f aca="false">$C$44/$E$16</f>
        <v>-822360</v>
      </c>
      <c r="G67" s="120" t="n">
        <f aca="false">$C$44/$E$16</f>
        <v>-822360</v>
      </c>
      <c r="H67" s="120" t="n">
        <f aca="false">$C$44/$E$16</f>
        <v>-822360</v>
      </c>
      <c r="I67" s="120" t="n">
        <f aca="false">$C$44/$E$16</f>
        <v>-822360</v>
      </c>
      <c r="J67" s="120" t="n">
        <f aca="false">$C$44/$E$16</f>
        <v>-822360</v>
      </c>
      <c r="K67" s="120" t="n">
        <f aca="false">$C$44/$E$16</f>
        <v>-822360</v>
      </c>
      <c r="L67" s="120" t="n">
        <f aca="false">$C$44/$E$16</f>
        <v>-822360</v>
      </c>
      <c r="M67" s="120" t="n">
        <f aca="false">$C$44/$E$16</f>
        <v>-822360</v>
      </c>
      <c r="N67" s="120" t="n">
        <f aca="false">$C$44/$E$16</f>
        <v>-822360</v>
      </c>
      <c r="O67" s="120" t="n">
        <f aca="false">$C$44/$E$16</f>
        <v>-822360</v>
      </c>
      <c r="P67" s="120" t="n">
        <f aca="false">$C$44/$E$16</f>
        <v>-822360</v>
      </c>
      <c r="Q67" s="120" t="n">
        <f aca="false">$C$44/$E$16</f>
        <v>-822360</v>
      </c>
      <c r="R67" s="120" t="n">
        <f aca="false">$C$44/$E$16</f>
        <v>-822360</v>
      </c>
      <c r="S67" s="120" t="n">
        <f aca="false">$C$44/$E$16</f>
        <v>-822360</v>
      </c>
      <c r="T67" s="120" t="n">
        <f aca="false">$C$44/$E$16</f>
        <v>-822360</v>
      </c>
      <c r="U67" s="120" t="n">
        <f aca="false">$C$44/$E$16</f>
        <v>-822360</v>
      </c>
      <c r="V67" s="120" t="n">
        <f aca="false">$C$44/$E$16</f>
        <v>-822360</v>
      </c>
      <c r="W67" s="120" t="n">
        <f aca="false">$C$44/$E$16</f>
        <v>-822360</v>
      </c>
      <c r="X67" s="90"/>
    </row>
    <row r="68" customFormat="false" ht="18.75" hidden="false" customHeight="true" outlineLevel="0" collapsed="false">
      <c r="B68" s="95" t="s">
        <v>143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144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145</v>
      </c>
      <c r="C70" s="87" t="s">
        <v>4</v>
      </c>
      <c r="D70" s="97" t="n">
        <f aca="false">-D109*$D25</f>
        <v>-336838.656</v>
      </c>
      <c r="E70" s="97" t="n">
        <f aca="false">-E109*$D25</f>
        <v>-314382.7456</v>
      </c>
      <c r="F70" s="97" t="n">
        <f aca="false">-F109*$D25</f>
        <v>-291926.8352</v>
      </c>
      <c r="G70" s="97" t="n">
        <f aca="false">-G109*$D25</f>
        <v>-269470.9248</v>
      </c>
      <c r="H70" s="97" t="n">
        <f aca="false">-H109*$D25</f>
        <v>-247015.0144</v>
      </c>
      <c r="I70" s="97" t="n">
        <f aca="false">-I109*$D25</f>
        <v>-224559.104</v>
      </c>
      <c r="J70" s="97" t="n">
        <f aca="false">-J109*$D25</f>
        <v>-202103.1936</v>
      </c>
      <c r="K70" s="97" t="n">
        <f aca="false">-K109*$D25</f>
        <v>-179647.2832</v>
      </c>
      <c r="L70" s="97" t="n">
        <f aca="false">-L109*$D25</f>
        <v>-157191.3728</v>
      </c>
      <c r="M70" s="97" t="n">
        <f aca="false">-M109*$D25</f>
        <v>-134735.4624</v>
      </c>
      <c r="N70" s="97" t="n">
        <f aca="false">-N109*$D25</f>
        <v>-112279.552</v>
      </c>
      <c r="O70" s="97" t="n">
        <f aca="false">-O109*$D25</f>
        <v>-89823.6416000001</v>
      </c>
      <c r="P70" s="97" t="n">
        <f aca="false">-P109*$D25</f>
        <v>-67367.7312000001</v>
      </c>
      <c r="Q70" s="97" t="n">
        <f aca="false">-Q109*$D25</f>
        <v>-44911.8208000001</v>
      </c>
      <c r="R70" s="97" t="n">
        <f aca="false">-R109*$D25</f>
        <v>-22455.9104</v>
      </c>
      <c r="S70" s="97" t="n">
        <f aca="false">-S109*$D25</f>
        <v>-0</v>
      </c>
      <c r="T70" s="97" t="n">
        <f aca="false">-T109*$D25</f>
        <v>-0</v>
      </c>
      <c r="U70" s="97" t="n">
        <f aca="false">-U109*$D25</f>
        <v>-0</v>
      </c>
      <c r="V70" s="97" t="n">
        <f aca="false">-V109*$D25</f>
        <v>-0</v>
      </c>
      <c r="W70" s="97" t="n">
        <f aca="false">-W109*$D25</f>
        <v>-0</v>
      </c>
      <c r="X70" s="90"/>
    </row>
    <row r="71" customFormat="false" ht="18.75" hidden="false" customHeight="true" outlineLevel="0" collapsed="false">
      <c r="B71" s="95" t="s">
        <v>146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147</v>
      </c>
      <c r="C72" s="87" t="s">
        <v>4</v>
      </c>
      <c r="D72" s="97" t="n">
        <f aca="false">D49</f>
        <v>-32707.5</v>
      </c>
      <c r="E72" s="97" t="n">
        <f aca="false">E49</f>
        <v>-32707.5</v>
      </c>
      <c r="F72" s="97" t="n">
        <f aca="false">F49</f>
        <v>-32707.5</v>
      </c>
      <c r="G72" s="97" t="n">
        <f aca="false">G49</f>
        <v>-32707.5</v>
      </c>
      <c r="H72" s="97" t="n">
        <f aca="false">H49</f>
        <v>-32707.5</v>
      </c>
      <c r="I72" s="97" t="n">
        <f aca="false">I49</f>
        <v>-32707.5</v>
      </c>
      <c r="J72" s="97" t="n">
        <f aca="false">J49</f>
        <v>-32707.5</v>
      </c>
      <c r="K72" s="97" t="n">
        <f aca="false">K49</f>
        <v>-32707.5</v>
      </c>
      <c r="L72" s="97" t="n">
        <f aca="false">L49</f>
        <v>-32707.5</v>
      </c>
      <c r="M72" s="97" t="n">
        <f aca="false">M49</f>
        <v>-32707.5</v>
      </c>
      <c r="N72" s="97" t="n">
        <f aca="false">N49</f>
        <v>-32707.5</v>
      </c>
      <c r="O72" s="97" t="n">
        <f aca="false">O49</f>
        <v>-32707.5</v>
      </c>
      <c r="P72" s="97" t="n">
        <f aca="false">P49</f>
        <v>-32707.5</v>
      </c>
      <c r="Q72" s="97" t="n">
        <f aca="false">Q49</f>
        <v>-32707.5</v>
      </c>
      <c r="R72" s="97" t="n">
        <f aca="false">R49</f>
        <v>-32707.5</v>
      </c>
      <c r="S72" s="97" t="n">
        <f aca="false">S49</f>
        <v>-32707.5</v>
      </c>
      <c r="T72" s="97" t="n">
        <f aca="false">T49</f>
        <v>-32707.5</v>
      </c>
      <c r="U72" s="97" t="n">
        <f aca="false">U49</f>
        <v>-32707.5</v>
      </c>
      <c r="V72" s="97" t="n">
        <f aca="false">V49</f>
        <v>-32707.5</v>
      </c>
      <c r="W72" s="97" t="n">
        <f aca="false">W49</f>
        <v>-32707.5</v>
      </c>
      <c r="X72" s="90"/>
    </row>
    <row r="73" customFormat="false" ht="18.75" hidden="false" customHeight="true" outlineLevel="0" collapsed="false">
      <c r="B73" s="95" t="s">
        <v>148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149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150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158</v>
      </c>
      <c r="C76" s="123"/>
      <c r="D76" s="102" t="n">
        <f aca="false">SUM(D64:D75)</f>
        <v>465970.764</v>
      </c>
      <c r="E76" s="102" t="n">
        <f aca="false">SUM(E64:E75)</f>
        <v>479674.6424</v>
      </c>
      <c r="F76" s="102" t="n">
        <f aca="false">SUM(F64:F75)</f>
        <v>493378.5208</v>
      </c>
      <c r="G76" s="102" t="n">
        <f aca="false">SUM(G64:G75)</f>
        <v>507082.3992</v>
      </c>
      <c r="H76" s="102" t="n">
        <f aca="false">SUM(H64:H75)</f>
        <v>520786.2776</v>
      </c>
      <c r="I76" s="102" t="n">
        <f aca="false">SUM(I64:I75)</f>
        <v>534490.156</v>
      </c>
      <c r="J76" s="102" t="n">
        <f aca="false">SUM(J64:J75)</f>
        <v>548194.0344</v>
      </c>
      <c r="K76" s="102" t="n">
        <f aca="false">SUM(K64:K75)</f>
        <v>561897.9128</v>
      </c>
      <c r="L76" s="102" t="n">
        <f aca="false">SUM(L64:L75)</f>
        <v>575601.7912</v>
      </c>
      <c r="M76" s="102" t="n">
        <f aca="false">SUM(M64:M75)</f>
        <v>589305.6696</v>
      </c>
      <c r="N76" s="102" t="n">
        <f aca="false">SUM(N64:N75)</f>
        <v>646619.548</v>
      </c>
      <c r="O76" s="102" t="n">
        <f aca="false">SUM(O64:O75)</f>
        <v>660323.4264</v>
      </c>
      <c r="P76" s="102" t="n">
        <f aca="false">SUM(P64:P75)</f>
        <v>674027.3048</v>
      </c>
      <c r="Q76" s="102" t="n">
        <f aca="false">SUM(Q64:Q75)</f>
        <v>687731.1832</v>
      </c>
      <c r="R76" s="102" t="n">
        <f aca="false">SUM(R64:R75)</f>
        <v>701435.0616</v>
      </c>
      <c r="S76" s="102" t="n">
        <f aca="false">SUM(S64:S75)</f>
        <v>715138.94</v>
      </c>
      <c r="T76" s="102" t="n">
        <f aca="false">SUM(T64:T75)</f>
        <v>706386.908</v>
      </c>
      <c r="U76" s="102" t="n">
        <f aca="false">SUM(U64:U75)</f>
        <v>697634.876</v>
      </c>
      <c r="V76" s="102" t="n">
        <f aca="false">SUM(V64:V75)</f>
        <v>688882.844</v>
      </c>
      <c r="W76" s="102" t="n">
        <f aca="false">SUM(W64:W75)</f>
        <v>680130.812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152</v>
      </c>
      <c r="C77" s="98"/>
      <c r="D77" s="97" t="n">
        <f aca="false">-D76*0.2</f>
        <v>-93194.1528</v>
      </c>
      <c r="E77" s="97" t="n">
        <f aca="false">-E76*0.2</f>
        <v>-95934.9284799999</v>
      </c>
      <c r="F77" s="97" t="n">
        <f aca="false">-F76*0.2</f>
        <v>-98675.70416</v>
      </c>
      <c r="G77" s="97" t="n">
        <f aca="false">-G76*0.2</f>
        <v>-101416.47984</v>
      </c>
      <c r="H77" s="97" t="n">
        <f aca="false">-H76*0.2</f>
        <v>-104157.25552</v>
      </c>
      <c r="I77" s="97" t="n">
        <f aca="false">-I76*0.2</f>
        <v>-106898.0312</v>
      </c>
      <c r="J77" s="97" t="n">
        <f aca="false">-J76*0.2</f>
        <v>-109638.80688</v>
      </c>
      <c r="K77" s="97" t="n">
        <f aca="false">-K76*0.2</f>
        <v>-112379.58256</v>
      </c>
      <c r="L77" s="97" t="n">
        <f aca="false">-L76*0.2</f>
        <v>-115120.35824</v>
      </c>
      <c r="M77" s="97" t="n">
        <f aca="false">-M76*0.2</f>
        <v>-117861.13392</v>
      </c>
      <c r="N77" s="97" t="n">
        <f aca="false">-N76*0.2</f>
        <v>-129323.9096</v>
      </c>
      <c r="O77" s="97" t="n">
        <f aca="false">-O76*0.2</f>
        <v>-132064.68528</v>
      </c>
      <c r="P77" s="97" t="n">
        <f aca="false">-P76*0.2</f>
        <v>-134805.46096</v>
      </c>
      <c r="Q77" s="97" t="n">
        <f aca="false">-Q76*0.2</f>
        <v>-137546.23664</v>
      </c>
      <c r="R77" s="97" t="n">
        <f aca="false">-R76*0.2</f>
        <v>-140287.01232</v>
      </c>
      <c r="S77" s="97" t="n">
        <f aca="false">-S76*0.2</f>
        <v>-143027.788</v>
      </c>
      <c r="T77" s="97" t="n">
        <f aca="false">-T76*0.2</f>
        <v>-141277.3816</v>
      </c>
      <c r="U77" s="97" t="n">
        <f aca="false">-U76*0.2</f>
        <v>-139526.9752</v>
      </c>
      <c r="V77" s="97" t="n">
        <f aca="false">-V76*0.2</f>
        <v>-137776.5688</v>
      </c>
      <c r="W77" s="97" t="n">
        <f aca="false">-W76*0.2</f>
        <v>-136026.1624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159</v>
      </c>
      <c r="D78" s="97" t="n">
        <f aca="false">SUM(D76:D77)</f>
        <v>372776.6112</v>
      </c>
      <c r="E78" s="97" t="n">
        <f aca="false">SUM(E76:E77)</f>
        <v>383739.71392</v>
      </c>
      <c r="F78" s="97" t="n">
        <f aca="false">SUM(F76:F77)</f>
        <v>394702.81664</v>
      </c>
      <c r="G78" s="97" t="n">
        <f aca="false">SUM(G76:G77)</f>
        <v>405665.91936</v>
      </c>
      <c r="H78" s="97" t="n">
        <f aca="false">SUM(H76:H77)</f>
        <v>416629.02208</v>
      </c>
      <c r="I78" s="97" t="n">
        <f aca="false">SUM(I76:I77)</f>
        <v>427592.1248</v>
      </c>
      <c r="J78" s="97" t="n">
        <f aca="false">SUM(J76:J77)</f>
        <v>438555.22752</v>
      </c>
      <c r="K78" s="97" t="n">
        <f aca="false">SUM(K76:K77)</f>
        <v>449518.33024</v>
      </c>
      <c r="L78" s="97" t="n">
        <f aca="false">SUM(L76:L77)</f>
        <v>460481.43296</v>
      </c>
      <c r="M78" s="97" t="n">
        <f aca="false">SUM(M76:M77)</f>
        <v>471444.53568</v>
      </c>
      <c r="N78" s="97" t="n">
        <f aca="false">SUM(N76:N77)</f>
        <v>517295.6384</v>
      </c>
      <c r="O78" s="97" t="n">
        <f aca="false">SUM(O76:O77)</f>
        <v>528258.74112</v>
      </c>
      <c r="P78" s="97" t="n">
        <f aca="false">SUM(P76:P77)</f>
        <v>539221.84384</v>
      </c>
      <c r="Q78" s="97" t="n">
        <f aca="false">SUM(Q76:Q77)</f>
        <v>550184.94656</v>
      </c>
      <c r="R78" s="97" t="n">
        <f aca="false">SUM(R76:R77)</f>
        <v>561148.04928</v>
      </c>
      <c r="S78" s="97" t="n">
        <f aca="false">SUM(S76:S77)</f>
        <v>572111.152</v>
      </c>
      <c r="T78" s="97" t="n">
        <f aca="false">SUM(T76:T77)</f>
        <v>565109.5264</v>
      </c>
      <c r="U78" s="97" t="n">
        <f aca="false">SUM(U76:U77)</f>
        <v>558107.9008</v>
      </c>
      <c r="V78" s="97" t="n">
        <f aca="false">SUM(V76:V77)</f>
        <v>551106.2752</v>
      </c>
      <c r="W78" s="97" t="n">
        <f aca="false">SUM(W76:W77)</f>
        <v>544104.6496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154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155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136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137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159</v>
      </c>
      <c r="C85" s="135"/>
      <c r="D85" s="136" t="n">
        <f aca="false">D78</f>
        <v>372776.6112</v>
      </c>
      <c r="E85" s="136" t="n">
        <f aca="false">E78</f>
        <v>383739.71392</v>
      </c>
      <c r="F85" s="136" t="n">
        <f aca="false">F78</f>
        <v>394702.81664</v>
      </c>
      <c r="G85" s="136" t="n">
        <f aca="false">G78</f>
        <v>405665.91936</v>
      </c>
      <c r="H85" s="136" t="n">
        <f aca="false">H78</f>
        <v>416629.02208</v>
      </c>
      <c r="I85" s="136" t="n">
        <f aca="false">I78</f>
        <v>427592.1248</v>
      </c>
      <c r="J85" s="136" t="n">
        <f aca="false">J78</f>
        <v>438555.22752</v>
      </c>
      <c r="K85" s="136" t="n">
        <f aca="false">K78</f>
        <v>449518.33024</v>
      </c>
      <c r="L85" s="136" t="n">
        <f aca="false">L78</f>
        <v>460481.43296</v>
      </c>
      <c r="M85" s="136" t="n">
        <f aca="false">M78</f>
        <v>471444.53568</v>
      </c>
      <c r="N85" s="136" t="n">
        <f aca="false">N78</f>
        <v>517295.6384</v>
      </c>
      <c r="O85" s="136" t="n">
        <f aca="false">O78</f>
        <v>528258.74112</v>
      </c>
      <c r="P85" s="136" t="n">
        <f aca="false">P78</f>
        <v>539221.84384</v>
      </c>
      <c r="Q85" s="136" t="n">
        <f aca="false">Q78</f>
        <v>550184.94656</v>
      </c>
      <c r="R85" s="136" t="n">
        <f aca="false">R78</f>
        <v>561148.04928</v>
      </c>
      <c r="S85" s="136" t="n">
        <f aca="false">S78</f>
        <v>572111.152</v>
      </c>
      <c r="T85" s="136" t="n">
        <f aca="false">T78</f>
        <v>565109.5264</v>
      </c>
      <c r="U85" s="136" t="n">
        <f aca="false">U78</f>
        <v>558107.9008</v>
      </c>
      <c r="V85" s="136" t="n">
        <f aca="false">V78</f>
        <v>551106.2752</v>
      </c>
      <c r="W85" s="136" t="n">
        <f aca="false">W78</f>
        <v>544104.6496</v>
      </c>
      <c r="X85" s="135"/>
      <c r="Y85" s="135"/>
    </row>
    <row r="86" customFormat="false" ht="15" hidden="false" customHeight="true" outlineLevel="0" collapsed="false">
      <c r="B86" s="135" t="s">
        <v>160</v>
      </c>
      <c r="C86" s="135"/>
      <c r="D86" s="137" t="n">
        <f aca="false">-D67</f>
        <v>822360</v>
      </c>
      <c r="E86" s="137" t="n">
        <f aca="false">-E67</f>
        <v>822360</v>
      </c>
      <c r="F86" s="137" t="n">
        <f aca="false">-F67</f>
        <v>822360</v>
      </c>
      <c r="G86" s="137" t="n">
        <f aca="false">-G67</f>
        <v>822360</v>
      </c>
      <c r="H86" s="137" t="n">
        <f aca="false">-H67</f>
        <v>822360</v>
      </c>
      <c r="I86" s="137" t="n">
        <f aca="false">-I67</f>
        <v>822360</v>
      </c>
      <c r="J86" s="137" t="n">
        <f aca="false">-J67</f>
        <v>822360</v>
      </c>
      <c r="K86" s="137" t="n">
        <f aca="false">-K67</f>
        <v>822360</v>
      </c>
      <c r="L86" s="137" t="n">
        <f aca="false">-L67</f>
        <v>822360</v>
      </c>
      <c r="M86" s="137" t="n">
        <f aca="false">-M67</f>
        <v>822360</v>
      </c>
      <c r="N86" s="137" t="n">
        <f aca="false">-N67</f>
        <v>822360</v>
      </c>
      <c r="O86" s="137" t="n">
        <f aca="false">-O67</f>
        <v>822360</v>
      </c>
      <c r="P86" s="137" t="n">
        <f aca="false">-P67</f>
        <v>822360</v>
      </c>
      <c r="Q86" s="137" t="n">
        <f aca="false">-Q67</f>
        <v>822360</v>
      </c>
      <c r="R86" s="137" t="n">
        <f aca="false">-R67</f>
        <v>822360</v>
      </c>
      <c r="S86" s="137" t="n">
        <f aca="false">-S67</f>
        <v>822360</v>
      </c>
      <c r="T86" s="137" t="n">
        <f aca="false">-T67</f>
        <v>822360</v>
      </c>
      <c r="U86" s="137" t="n">
        <f aca="false">-U67</f>
        <v>822360</v>
      </c>
      <c r="V86" s="137" t="n">
        <f aca="false">-V67</f>
        <v>822360</v>
      </c>
      <c r="W86" s="137" t="n">
        <f aca="false">-W67</f>
        <v>822360</v>
      </c>
      <c r="X86" s="138"/>
      <c r="Y86" s="138"/>
    </row>
    <row r="87" customFormat="false" ht="15" hidden="false" customHeight="true" outlineLevel="0" collapsed="false">
      <c r="B87" s="135" t="s">
        <v>161</v>
      </c>
      <c r="C87" s="135"/>
      <c r="D87" s="139" t="n">
        <f aca="false">SUM(D85:D86)</f>
        <v>1195136.6112</v>
      </c>
      <c r="E87" s="139" t="n">
        <f aca="false">SUM(E85:E86)</f>
        <v>1206099.71392</v>
      </c>
      <c r="F87" s="139" t="n">
        <f aca="false">SUM(F85:F86)</f>
        <v>1217062.81664</v>
      </c>
      <c r="G87" s="139" t="n">
        <f aca="false">SUM(G85:G86)</f>
        <v>1228025.91936</v>
      </c>
      <c r="H87" s="139" t="n">
        <f aca="false">SUM(H85:H86)</f>
        <v>1238989.02208</v>
      </c>
      <c r="I87" s="139" t="n">
        <f aca="false">SUM(I85:I86)</f>
        <v>1249952.1248</v>
      </c>
      <c r="J87" s="139" t="n">
        <f aca="false">SUM(J85:J86)</f>
        <v>1260915.22752</v>
      </c>
      <c r="K87" s="139" t="n">
        <f aca="false">SUM(K85:K86)</f>
        <v>1271878.33024</v>
      </c>
      <c r="L87" s="139" t="n">
        <f aca="false">SUM(L85:L86)</f>
        <v>1282841.43296</v>
      </c>
      <c r="M87" s="139" t="n">
        <f aca="false">SUM(M85:M86)</f>
        <v>1293804.53568</v>
      </c>
      <c r="N87" s="139" t="n">
        <f aca="false">SUM(N85:N86)</f>
        <v>1339655.6384</v>
      </c>
      <c r="O87" s="139" t="n">
        <f aca="false">SUM(O85:O86)</f>
        <v>1350618.74112</v>
      </c>
      <c r="P87" s="139" t="n">
        <f aca="false">SUM(P85:P86)</f>
        <v>1361581.84384</v>
      </c>
      <c r="Q87" s="139" t="n">
        <f aca="false">SUM(Q85:Q86)</f>
        <v>1372544.94656</v>
      </c>
      <c r="R87" s="139" t="n">
        <f aca="false">SUM(R85:R86)</f>
        <v>1383508.04928</v>
      </c>
      <c r="S87" s="139" t="n">
        <f aca="false">SUM(S85:S86)</f>
        <v>1394471.152</v>
      </c>
      <c r="T87" s="139" t="n">
        <f aca="false">SUM(T85:T86)</f>
        <v>1387469.5264</v>
      </c>
      <c r="U87" s="139" t="n">
        <f aca="false">SUM(U85:U86)</f>
        <v>1380467.9008</v>
      </c>
      <c r="V87" s="139" t="n">
        <f aca="false">SUM(V85:V86)</f>
        <v>1373466.2752</v>
      </c>
      <c r="W87" s="139" t="n">
        <f aca="false">SUM(W85:W86)</f>
        <v>1366464.6496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162</v>
      </c>
      <c r="C89" s="142"/>
      <c r="D89" s="143" t="n">
        <f aca="false">C44</f>
        <v>-16447200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163</v>
      </c>
      <c r="C92" s="142"/>
      <c r="D92" s="143" t="n">
        <f aca="false">-D89*D31</f>
        <v>13157760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164</v>
      </c>
      <c r="C93" s="135"/>
      <c r="D93" s="145"/>
      <c r="E93" s="145" t="n">
        <v>-877184</v>
      </c>
      <c r="F93" s="145" t="n">
        <v>-877184</v>
      </c>
      <c r="G93" s="145" t="n">
        <v>-877184</v>
      </c>
      <c r="H93" s="145" t="n">
        <v>-877184</v>
      </c>
      <c r="I93" s="145" t="n">
        <v>-877184</v>
      </c>
      <c r="J93" s="145" t="n">
        <v>-877184</v>
      </c>
      <c r="K93" s="145" t="n">
        <v>-877184</v>
      </c>
      <c r="L93" s="145" t="n">
        <v>-877184</v>
      </c>
      <c r="M93" s="145" t="n">
        <v>-877184</v>
      </c>
      <c r="N93" s="145" t="n">
        <v>-877184</v>
      </c>
      <c r="O93" s="145" t="n">
        <v>-877184</v>
      </c>
      <c r="P93" s="145" t="n">
        <v>-877184</v>
      </c>
      <c r="Q93" s="145" t="n">
        <v>-877184</v>
      </c>
      <c r="R93" s="145" t="n">
        <v>-877184</v>
      </c>
      <c r="S93" s="145" t="n">
        <v>-877184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165</v>
      </c>
      <c r="C94" s="140"/>
      <c r="D94" s="136" t="n">
        <f aca="false">-D89*(1-D31)</f>
        <v>3289440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-335498.95008</v>
      </c>
      <c r="F95" s="146" t="n">
        <f aca="false">-E85*$D$33</f>
        <v>-345365.742528</v>
      </c>
      <c r="G95" s="146" t="n">
        <f aca="false">-F85*$D$33</f>
        <v>-355232.534976</v>
      </c>
      <c r="H95" s="146" t="n">
        <f aca="false">-G85*$D$33</f>
        <v>-365099.327424</v>
      </c>
      <c r="I95" s="146" t="n">
        <f aca="false">-H85*$D$33</f>
        <v>-374966.119872</v>
      </c>
      <c r="J95" s="146" t="n">
        <f aca="false">-I85*$D$33</f>
        <v>-384832.91232</v>
      </c>
      <c r="K95" s="146" t="n">
        <f aca="false">-J85*$D$33</f>
        <v>-394699.704768</v>
      </c>
      <c r="L95" s="146" t="n">
        <f aca="false">-K85*$D$33</f>
        <v>-404566.497216</v>
      </c>
      <c r="M95" s="146" t="n">
        <f aca="false">-L85*$D$33</f>
        <v>-414433.289664</v>
      </c>
      <c r="N95" s="146" t="n">
        <f aca="false">-M85*$D$33</f>
        <v>-424300.082112</v>
      </c>
      <c r="O95" s="146" t="n">
        <f aca="false">-N85*$D$33</f>
        <v>-465566.07456</v>
      </c>
      <c r="P95" s="146" t="n">
        <f aca="false">-O85*$D$33</f>
        <v>-475432.867008</v>
      </c>
      <c r="Q95" s="146" t="n">
        <f aca="false">-P85*$D$33</f>
        <v>-485299.659456</v>
      </c>
      <c r="R95" s="146" t="n">
        <f aca="false">-Q85*$D$33</f>
        <v>-495166.451904</v>
      </c>
      <c r="S95" s="146" t="n">
        <f aca="false">-R85*$D$33</f>
        <v>-505033.244352</v>
      </c>
      <c r="T95" s="146" t="n">
        <f aca="false">-S85*$D$33</f>
        <v>-514900.0368</v>
      </c>
      <c r="U95" s="146" t="n">
        <f aca="false">-T85*$D$33</f>
        <v>-508598.57376</v>
      </c>
      <c r="V95" s="146" t="n">
        <f aca="false">-U85*$D$33</f>
        <v>-502297.11072</v>
      </c>
      <c r="W95" s="146" t="n">
        <f aca="false">-V85*$D$33</f>
        <v>-495995.64768</v>
      </c>
      <c r="X95" s="146" t="n">
        <f aca="false">-W85*$D$33</f>
        <v>-489694.18464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-822360</v>
      </c>
      <c r="U96" s="149" t="n">
        <v>-822360</v>
      </c>
      <c r="V96" s="149" t="n">
        <v>-822360</v>
      </c>
      <c r="W96" s="149" t="n">
        <v>-822360</v>
      </c>
      <c r="X96" s="150" t="n">
        <f aca="false">-W101-X95</f>
        <v>-970775.445760002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166</v>
      </c>
      <c r="C99" s="136" t="n">
        <v>0</v>
      </c>
      <c r="D99" s="136" t="n">
        <f aca="false">SUM(D87:D96)</f>
        <v>1195136.6112</v>
      </c>
      <c r="E99" s="136" t="n">
        <f aca="false">SUM(E87:E96)</f>
        <v>-6583.23616000009</v>
      </c>
      <c r="F99" s="136" t="n">
        <f aca="false">SUM(F87:F96)</f>
        <v>-5486.92588799959</v>
      </c>
      <c r="G99" s="136" t="n">
        <f aca="false">SUM(G87:G96)</f>
        <v>-4390.61561600003</v>
      </c>
      <c r="H99" s="136" t="n">
        <f aca="false">SUM(H87:H96)</f>
        <v>-3294.30534400011</v>
      </c>
      <c r="I99" s="136" t="n">
        <f aca="false">SUM(I87:I96)</f>
        <v>-2197.9950719999</v>
      </c>
      <c r="J99" s="136" t="n">
        <f aca="false">SUM(J87:J96)</f>
        <v>-1101.68479999952</v>
      </c>
      <c r="K99" s="136" t="n">
        <f aca="false">SUM(K87:K96)</f>
        <v>-5.37452799995663</v>
      </c>
      <c r="L99" s="136" t="n">
        <f aca="false">SUM(L87:L96)</f>
        <v>1090.93574400002</v>
      </c>
      <c r="M99" s="136" t="n">
        <f aca="false">SUM(M87:M96)</f>
        <v>2187.24601600016</v>
      </c>
      <c r="N99" s="136" t="n">
        <f aca="false">SUM(N87:N96)</f>
        <v>38171.556288</v>
      </c>
      <c r="O99" s="136" t="n">
        <f aca="false">SUM(O87:O96)</f>
        <v>7868.6665600001</v>
      </c>
      <c r="P99" s="136" t="n">
        <f aca="false">SUM(P87:P96)</f>
        <v>8964.97683199996</v>
      </c>
      <c r="Q99" s="136" t="n">
        <f aca="false">SUM(Q87:Q96)</f>
        <v>10061.2871040003</v>
      </c>
      <c r="R99" s="136" t="n">
        <f aca="false">SUM(R87:R96)</f>
        <v>11157.5973760001</v>
      </c>
      <c r="S99" s="136" t="n">
        <f aca="false">SUM(S87:S96)</f>
        <v>12253.9076480003</v>
      </c>
      <c r="T99" s="136" t="n">
        <f aca="false">SUM(T87:T96)</f>
        <v>50209.4896</v>
      </c>
      <c r="U99" s="136" t="n">
        <f aca="false">SUM(U87:U96)</f>
        <v>49509.3270400001</v>
      </c>
      <c r="V99" s="136" t="n">
        <f aca="false">SUM(V87:V96)</f>
        <v>48809.1644800002</v>
      </c>
      <c r="W99" s="136" t="n">
        <f aca="false">SUM(W87:W96)</f>
        <v>48109.0019200003</v>
      </c>
      <c r="X99" s="105"/>
    </row>
    <row r="100" customFormat="false" ht="15" hidden="false" customHeight="true" outlineLevel="0" collapsed="false">
      <c r="B100" s="135" t="s">
        <v>167</v>
      </c>
      <c r="C100" s="136" t="n">
        <v>0</v>
      </c>
      <c r="D100" s="136" t="n">
        <f aca="false">C101</f>
        <v>0</v>
      </c>
      <c r="E100" s="136" t="n">
        <f aca="false">D101</f>
        <v>1195136.6112</v>
      </c>
      <c r="F100" s="136" t="n">
        <f aca="false">E101</f>
        <v>1188553.37504</v>
      </c>
      <c r="G100" s="136" t="n">
        <f aca="false">F101</f>
        <v>1183066.449152</v>
      </c>
      <c r="H100" s="136" t="n">
        <f aca="false">G101</f>
        <v>1178675.833536</v>
      </c>
      <c r="I100" s="136" t="n">
        <f aca="false">H101</f>
        <v>1175381.528192</v>
      </c>
      <c r="J100" s="136" t="n">
        <f aca="false">I101</f>
        <v>1173183.53312</v>
      </c>
      <c r="K100" s="136" t="n">
        <f aca="false">J101</f>
        <v>1172081.84832</v>
      </c>
      <c r="L100" s="136" t="n">
        <f aca="false">K101</f>
        <v>1172076.473792</v>
      </c>
      <c r="M100" s="136" t="n">
        <f aca="false">L101</f>
        <v>1173167.409536</v>
      </c>
      <c r="N100" s="136" t="n">
        <f aca="false">M101</f>
        <v>1175354.655552</v>
      </c>
      <c r="O100" s="136" t="n">
        <f aca="false">N101</f>
        <v>1213526.21184</v>
      </c>
      <c r="P100" s="136" t="n">
        <f aca="false">O101</f>
        <v>1221394.8784</v>
      </c>
      <c r="Q100" s="136" t="n">
        <f aca="false">P101</f>
        <v>1230359.855232</v>
      </c>
      <c r="R100" s="136" t="n">
        <f aca="false">Q101</f>
        <v>1240421.142336</v>
      </c>
      <c r="S100" s="136" t="n">
        <f aca="false">R101</f>
        <v>1251578.739712</v>
      </c>
      <c r="T100" s="136" t="n">
        <f aca="false">S101</f>
        <v>1263832.64736</v>
      </c>
      <c r="U100" s="136" t="n">
        <f aca="false">T101</f>
        <v>1314042.13696</v>
      </c>
      <c r="V100" s="136" t="n">
        <f aca="false">U101</f>
        <v>1363551.464</v>
      </c>
      <c r="W100" s="136" t="n">
        <f aca="false">V101</f>
        <v>1412360.62848</v>
      </c>
      <c r="X100" s="104"/>
    </row>
    <row r="101" customFormat="false" ht="15" hidden="false" customHeight="true" outlineLevel="0" collapsed="false">
      <c r="B101" s="135" t="s">
        <v>168</v>
      </c>
      <c r="C101" s="136" t="n">
        <v>0</v>
      </c>
      <c r="D101" s="136" t="n">
        <f aca="false">D99+D100</f>
        <v>1195136.6112</v>
      </c>
      <c r="E101" s="136" t="n">
        <f aca="false">E99+E100</f>
        <v>1188553.37504</v>
      </c>
      <c r="F101" s="136" t="n">
        <f aca="false">F99+F100</f>
        <v>1183066.449152</v>
      </c>
      <c r="G101" s="136" t="n">
        <f aca="false">G99+G100</f>
        <v>1178675.833536</v>
      </c>
      <c r="H101" s="136" t="n">
        <f aca="false">H99+H100</f>
        <v>1175381.528192</v>
      </c>
      <c r="I101" s="136" t="n">
        <f aca="false">I99+I100</f>
        <v>1173183.53312</v>
      </c>
      <c r="J101" s="136" t="n">
        <f aca="false">J99+J100</f>
        <v>1172081.84832</v>
      </c>
      <c r="K101" s="136" t="n">
        <f aca="false">K99+K100</f>
        <v>1172076.473792</v>
      </c>
      <c r="L101" s="136" t="n">
        <f aca="false">L99+L100</f>
        <v>1173167.409536</v>
      </c>
      <c r="M101" s="136" t="n">
        <f aca="false">M99+M100</f>
        <v>1175354.655552</v>
      </c>
      <c r="N101" s="136" t="n">
        <f aca="false">N99+N100</f>
        <v>1213526.21184</v>
      </c>
      <c r="O101" s="136" t="n">
        <f aca="false">O99+O100</f>
        <v>1221394.8784</v>
      </c>
      <c r="P101" s="136" t="n">
        <f aca="false">P99+P100</f>
        <v>1230359.855232</v>
      </c>
      <c r="Q101" s="136" t="n">
        <f aca="false">Q99+Q100</f>
        <v>1240421.142336</v>
      </c>
      <c r="R101" s="136" t="n">
        <f aca="false">R99+R100</f>
        <v>1251578.739712</v>
      </c>
      <c r="S101" s="136" t="n">
        <f aca="false">S99+S100</f>
        <v>1263832.64736</v>
      </c>
      <c r="T101" s="136" t="n">
        <f aca="false">T99+T100</f>
        <v>1314042.13696</v>
      </c>
      <c r="U101" s="136" t="n">
        <f aca="false">U99+U100</f>
        <v>1363551.464</v>
      </c>
      <c r="V101" s="136" t="n">
        <f aca="false">V99+V100</f>
        <v>1412360.62848</v>
      </c>
      <c r="W101" s="136" t="n">
        <f aca="false">W99+W100</f>
        <v>1460469.6304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169</v>
      </c>
      <c r="C104" s="152"/>
      <c r="D104" s="153" t="n">
        <f aca="false">-D94</f>
        <v>-3289440</v>
      </c>
      <c r="E104" s="139" t="n">
        <f aca="false">-E95-E96</f>
        <v>335498.95008</v>
      </c>
      <c r="F104" s="139" t="n">
        <f aca="false">-F95-F96</f>
        <v>345365.742528</v>
      </c>
      <c r="G104" s="139" t="n">
        <f aca="false">-G95-G96</f>
        <v>355232.534976</v>
      </c>
      <c r="H104" s="139" t="n">
        <f aca="false">-H95-H96</f>
        <v>365099.327424</v>
      </c>
      <c r="I104" s="139" t="n">
        <f aca="false">-I95-I96</f>
        <v>374966.119872</v>
      </c>
      <c r="J104" s="139" t="n">
        <f aca="false">-J95-J96</f>
        <v>384832.91232</v>
      </c>
      <c r="K104" s="139" t="n">
        <f aca="false">-K95-K96</f>
        <v>394699.704768</v>
      </c>
      <c r="L104" s="139" t="n">
        <f aca="false">-L95-L96</f>
        <v>404566.497216</v>
      </c>
      <c r="M104" s="139" t="n">
        <f aca="false">-M95-M96</f>
        <v>414433.289664</v>
      </c>
      <c r="N104" s="139" t="n">
        <f aca="false">-N95-N96</f>
        <v>424300.082112</v>
      </c>
      <c r="O104" s="139" t="n">
        <f aca="false">-O95-O96</f>
        <v>465566.07456</v>
      </c>
      <c r="P104" s="139" t="n">
        <f aca="false">-P95-P96</f>
        <v>475432.867008</v>
      </c>
      <c r="Q104" s="139" t="n">
        <f aca="false">-Q95-Q96</f>
        <v>485299.659456</v>
      </c>
      <c r="R104" s="139" t="n">
        <f aca="false">-R95-R96</f>
        <v>495166.451904</v>
      </c>
      <c r="S104" s="139" t="n">
        <f aca="false">-S95-S96</f>
        <v>505033.244352</v>
      </c>
      <c r="T104" s="139" t="n">
        <f aca="false">-T95-T96</f>
        <v>1337260.0368</v>
      </c>
      <c r="U104" s="139" t="n">
        <f aca="false">-U95-U96</f>
        <v>1330958.57376</v>
      </c>
      <c r="V104" s="139" t="n">
        <f aca="false">-V95-V96</f>
        <v>1324657.11072</v>
      </c>
      <c r="W104" s="139" t="n">
        <f aca="false">-W95-W96</f>
        <v>1318355.64768</v>
      </c>
      <c r="X104" s="139" t="n">
        <f aca="false">-X95-X96</f>
        <v>1460469.6304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0.12917194028715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170</v>
      </c>
      <c r="C106" s="152"/>
      <c r="D106" s="153" t="n">
        <f aca="false">D85-D94</f>
        <v>-2916663.3888</v>
      </c>
      <c r="E106" s="139" t="n">
        <f aca="false">E85</f>
        <v>383739.71392</v>
      </c>
      <c r="F106" s="139" t="n">
        <f aca="false">F85-F96</f>
        <v>394702.81664</v>
      </c>
      <c r="G106" s="139" t="n">
        <f aca="false">G85-G96</f>
        <v>405665.91936</v>
      </c>
      <c r="H106" s="139" t="n">
        <f aca="false">H85-H96</f>
        <v>416629.02208</v>
      </c>
      <c r="I106" s="139" t="n">
        <f aca="false">I85-I96</f>
        <v>427592.1248</v>
      </c>
      <c r="J106" s="139" t="n">
        <f aca="false">J85-J96</f>
        <v>438555.22752</v>
      </c>
      <c r="K106" s="139" t="n">
        <f aca="false">K85-K96</f>
        <v>449518.33024</v>
      </c>
      <c r="L106" s="139" t="n">
        <f aca="false">L85-L96</f>
        <v>460481.43296</v>
      </c>
      <c r="M106" s="139" t="n">
        <f aca="false">M85-M96</f>
        <v>471444.53568</v>
      </c>
      <c r="N106" s="139" t="n">
        <f aca="false">N85-N96</f>
        <v>517295.6384</v>
      </c>
      <c r="O106" s="139" t="n">
        <f aca="false">O85-O96</f>
        <v>528258.74112</v>
      </c>
      <c r="P106" s="139" t="n">
        <f aca="false">P85-P96</f>
        <v>539221.84384</v>
      </c>
      <c r="Q106" s="139" t="n">
        <f aca="false">Q85-Q96</f>
        <v>550184.94656</v>
      </c>
      <c r="R106" s="139" t="n">
        <f aca="false">R85-R96</f>
        <v>561148.04928</v>
      </c>
      <c r="S106" s="139" t="n">
        <f aca="false">S85-S96</f>
        <v>572111.152</v>
      </c>
      <c r="T106" s="139" t="n">
        <f aca="false">T85-T96</f>
        <v>1387469.5264</v>
      </c>
      <c r="U106" s="139" t="n">
        <f aca="false">U85-U96</f>
        <v>1380467.9008</v>
      </c>
      <c r="V106" s="139" t="n">
        <f aca="false">V85-V96</f>
        <v>1373466.2752</v>
      </c>
      <c r="W106" s="139" t="n">
        <f aca="false">W85-W96</f>
        <v>1366464.6496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0.157043101852602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171</v>
      </c>
      <c r="C109" s="136" t="n">
        <v>0</v>
      </c>
      <c r="D109" s="136" t="n">
        <f aca="false">D92</f>
        <v>13157760</v>
      </c>
      <c r="E109" s="136" t="n">
        <f aca="false">D109+E93</f>
        <v>12280576</v>
      </c>
      <c r="F109" s="136" t="n">
        <f aca="false">E109+F93</f>
        <v>11403392</v>
      </c>
      <c r="G109" s="136" t="n">
        <f aca="false">F109+G93</f>
        <v>10526208</v>
      </c>
      <c r="H109" s="136" t="n">
        <f aca="false">G109+H93</f>
        <v>9649024</v>
      </c>
      <c r="I109" s="136" t="n">
        <f aca="false">H109+I93</f>
        <v>8771840</v>
      </c>
      <c r="J109" s="136" t="n">
        <f aca="false">I109+J93</f>
        <v>7894656</v>
      </c>
      <c r="K109" s="136" t="n">
        <f aca="false">J109+K93</f>
        <v>7017472</v>
      </c>
      <c r="L109" s="136" t="n">
        <f aca="false">K109+L93</f>
        <v>6140288</v>
      </c>
      <c r="M109" s="136" t="n">
        <f aca="false">L109+M93</f>
        <v>5263104</v>
      </c>
      <c r="N109" s="136" t="n">
        <f aca="false">M109+N93</f>
        <v>4385920</v>
      </c>
      <c r="O109" s="136" t="n">
        <f aca="false">N109+O93</f>
        <v>3508736</v>
      </c>
      <c r="P109" s="136" t="n">
        <f aca="false">O109+P93</f>
        <v>2631552</v>
      </c>
      <c r="Q109" s="136" t="n">
        <f aca="false">P109+Q93</f>
        <v>1754368</v>
      </c>
      <c r="R109" s="136" t="n">
        <f aca="false">Q109+R93</f>
        <v>877184.000000002</v>
      </c>
      <c r="S109" s="136" t="n">
        <f aca="false">R109+S93</f>
        <v>0</v>
      </c>
      <c r="T109" s="136" t="n">
        <f aca="false">S109+T93</f>
        <v>0</v>
      </c>
      <c r="U109" s="136" t="n">
        <f aca="false">T109+U93</f>
        <v>0</v>
      </c>
      <c r="V109" s="136" t="n">
        <f aca="false">U109+V93</f>
        <v>0</v>
      </c>
      <c r="W109" s="136" t="n">
        <f aca="false">V109+W93</f>
        <v>0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131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177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122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123</v>
      </c>
    </row>
    <row r="7" customFormat="false" ht="22.5" hidden="false" customHeight="true" outlineLevel="0" collapsed="false">
      <c r="B7" s="2" t="s">
        <v>133</v>
      </c>
      <c r="C7" s="2"/>
      <c r="D7" s="2"/>
      <c r="E7" s="2"/>
      <c r="M7" s="1" t="s">
        <v>124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125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87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134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135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136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137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138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139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140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141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142</v>
      </c>
      <c r="C44" s="96" t="n">
        <f aca="false">-(D16/(1-D17)+D18)*C4</f>
        <v>-15201200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143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144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145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146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147</v>
      </c>
      <c r="C49" s="87" t="s">
        <v>4</v>
      </c>
      <c r="D49" s="97" t="n">
        <v>-30090.9</v>
      </c>
      <c r="E49" s="97" t="n">
        <v>-30090.9</v>
      </c>
      <c r="F49" s="97" t="n">
        <v>-30090.9</v>
      </c>
      <c r="G49" s="97" t="n">
        <v>-30090.9</v>
      </c>
      <c r="H49" s="97" t="n">
        <v>-30090.9</v>
      </c>
      <c r="I49" s="97" t="n">
        <v>-30090.9</v>
      </c>
      <c r="J49" s="97" t="n">
        <v>-30090.9</v>
      </c>
      <c r="K49" s="97" t="n">
        <v>-30090.9</v>
      </c>
      <c r="L49" s="97" t="n">
        <v>-30090.9</v>
      </c>
      <c r="M49" s="97" t="n">
        <v>-30090.9</v>
      </c>
      <c r="N49" s="97" t="n">
        <v>-30090.9</v>
      </c>
      <c r="O49" s="97" t="n">
        <v>-30090.9</v>
      </c>
      <c r="P49" s="97" t="n">
        <v>-30090.9</v>
      </c>
      <c r="Q49" s="97" t="n">
        <v>-30090.9</v>
      </c>
      <c r="R49" s="97" t="n">
        <v>-30090.9</v>
      </c>
      <c r="S49" s="97" t="n">
        <v>-30090.9</v>
      </c>
      <c r="T49" s="97" t="n">
        <v>-30090.9</v>
      </c>
      <c r="U49" s="97" t="n">
        <v>-30090.9</v>
      </c>
      <c r="V49" s="97" t="n">
        <v>-30090.9</v>
      </c>
      <c r="W49" s="97" t="n">
        <v>-30090.9</v>
      </c>
      <c r="X49" s="97"/>
    </row>
    <row r="50" customFormat="false" ht="18.75" hidden="false" customHeight="true" outlineLevel="0" collapsed="false">
      <c r="B50" s="95" t="s">
        <v>148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149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150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151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152</v>
      </c>
      <c r="C54" s="98"/>
      <c r="D54" s="97" t="n">
        <f aca="false">-(D64+D67+D68+D71+D72+D73+D74)*0.2</f>
        <v>-173545.204</v>
      </c>
      <c r="E54" s="97" t="n">
        <f aca="false">-(E64+E67+E68+E71+E72+E73+E74)*0.2</f>
        <v>-171794.7976</v>
      </c>
      <c r="F54" s="97" t="n">
        <f aca="false">-(F64+F67+F68+F71+F72+F73+F74)*0.2</f>
        <v>-170044.3912</v>
      </c>
      <c r="G54" s="97" t="n">
        <f aca="false">-(G64+G67+G68+G71+G72+G73+G74)*0.2</f>
        <v>-168293.9848</v>
      </c>
      <c r="H54" s="97" t="n">
        <f aca="false">-(H64+H67+H68+H71+H72+H73+H74)*0.2</f>
        <v>-166543.5784</v>
      </c>
      <c r="I54" s="97" t="n">
        <f aca="false">-(I64+I67+I68+I71+I72+I73+I74)*0.2</f>
        <v>-164793.172</v>
      </c>
      <c r="J54" s="97" t="n">
        <f aca="false">-(J64+J67+J68+J71+J72+J73+J74)*0.2</f>
        <v>-163042.7656</v>
      </c>
      <c r="K54" s="97" t="n">
        <f aca="false">-(K64+K67+K68+K71+K72+K73+K74)*0.2</f>
        <v>-161292.3592</v>
      </c>
      <c r="L54" s="97" t="n">
        <f aca="false">-(L64+L67+L68+L71+L72+L73+L74)*0.2</f>
        <v>-159541.9528</v>
      </c>
      <c r="M54" s="97" t="n">
        <f aca="false">-(M64+M67+M68+M71+M72+M73+M74)*0.2</f>
        <v>-157791.5464</v>
      </c>
      <c r="N54" s="97" t="n">
        <f aca="false">-(N64+N67+N68+N71+N72+N73+N74)*0.2</f>
        <v>-164763.14</v>
      </c>
      <c r="O54" s="97" t="n">
        <f aca="false">-(O64+O67+O68+O71+O72+O73+O74)*0.2</f>
        <v>-163012.7336</v>
      </c>
      <c r="P54" s="97" t="n">
        <f aca="false">-(P64+P67+P68+P71+P72+P73+P74)*0.2</f>
        <v>-161262.3272</v>
      </c>
      <c r="Q54" s="97" t="n">
        <f aca="false">-(Q64+Q67+Q68+Q71+Q72+Q73+Q74)*0.2</f>
        <v>-159511.9208</v>
      </c>
      <c r="R54" s="97" t="n">
        <f aca="false">-(R64+R67+R68+R71+R72+R73+R74)*0.2</f>
        <v>-157761.5144</v>
      </c>
      <c r="S54" s="97" t="n">
        <f aca="false">-(S64+S67+S68+S71+S72+S73+S74)*0.2</f>
        <v>-156011.108</v>
      </c>
      <c r="T54" s="97" t="n">
        <f aca="false">-(T64+T67+T68+T71+T72+T73+T74)*0.2</f>
        <v>-154260.7016</v>
      </c>
      <c r="U54" s="97" t="n">
        <f aca="false">-(U64+U67+U68+U71+U72+U73+U74)*0.2</f>
        <v>-152510.2952</v>
      </c>
      <c r="V54" s="97" t="n">
        <f aca="false">-(V64+V67+V68+V71+V72+V73+V74)*0.2</f>
        <v>-150759.8888</v>
      </c>
      <c r="W54" s="97" t="n">
        <f aca="false">-(W64+W67+W68+W71+W72+W73+W74)*0.2</f>
        <v>-149009.4824</v>
      </c>
      <c r="X54" s="88"/>
    </row>
    <row r="55" customFormat="false" ht="18.75" hidden="false" customHeight="true" outlineLevel="0" collapsed="false">
      <c r="B55" s="100" t="s">
        <v>153</v>
      </c>
      <c r="C55" s="101" t="n">
        <f aca="false">C44</f>
        <v>-15201200</v>
      </c>
      <c r="D55" s="102" t="n">
        <f aca="false">SUM(D41:D54)</f>
        <v>1454240.816</v>
      </c>
      <c r="E55" s="102" t="n">
        <f aca="false">SUM(E41:E54)</f>
        <v>1447239.1904</v>
      </c>
      <c r="F55" s="102" t="n">
        <f aca="false">SUM(F41:F54)</f>
        <v>1440237.5648</v>
      </c>
      <c r="G55" s="102" t="n">
        <f aca="false">SUM(G41:G54)</f>
        <v>1433235.9392</v>
      </c>
      <c r="H55" s="102" t="n">
        <f aca="false">SUM(H41:H54)</f>
        <v>1426234.3136</v>
      </c>
      <c r="I55" s="102" t="n">
        <f aca="false">SUM(I41:I54)</f>
        <v>1419232.688</v>
      </c>
      <c r="J55" s="102" t="n">
        <f aca="false">SUM(J41:J54)</f>
        <v>1412231.0624</v>
      </c>
      <c r="K55" s="102" t="n">
        <f aca="false">SUM(K41:K54)</f>
        <v>1405229.4368</v>
      </c>
      <c r="L55" s="102" t="n">
        <f aca="false">SUM(L41:L54)</f>
        <v>1398227.8112</v>
      </c>
      <c r="M55" s="102" t="n">
        <f aca="false">SUM(M41:M54)</f>
        <v>1391226.1856</v>
      </c>
      <c r="N55" s="102" t="n">
        <f aca="false">SUM(N41:N54)</f>
        <v>1419112.56</v>
      </c>
      <c r="O55" s="102" t="n">
        <f aca="false">SUM(O41:O54)</f>
        <v>1412110.9344</v>
      </c>
      <c r="P55" s="102" t="n">
        <f aca="false">SUM(P41:P54)</f>
        <v>1405109.3088</v>
      </c>
      <c r="Q55" s="102" t="n">
        <f aca="false">SUM(Q41:Q54)</f>
        <v>1398107.6832</v>
      </c>
      <c r="R55" s="102" t="n">
        <f aca="false">SUM(R41:R54)</f>
        <v>1391106.0576</v>
      </c>
      <c r="S55" s="102" t="n">
        <f aca="false">SUM(S41:S54)</f>
        <v>1384104.432</v>
      </c>
      <c r="T55" s="102" t="n">
        <f aca="false">SUM(T41:T54)</f>
        <v>1377102.8064</v>
      </c>
      <c r="U55" s="102" t="n">
        <f aca="false">SUM(U41:U54)</f>
        <v>1370101.1808</v>
      </c>
      <c r="V55" s="102" t="n">
        <f aca="false">SUM(V41:V54)</f>
        <v>1363099.5552</v>
      </c>
      <c r="W55" s="102" t="n">
        <f aca="false">SUM(W41:W54)</f>
        <v>1356097.9296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154</v>
      </c>
      <c r="D56" s="107" t="n">
        <f aca="false">C55+D55</f>
        <v>-13746959.184</v>
      </c>
      <c r="E56" s="107" t="n">
        <f aca="false">D56+E55</f>
        <v>-12299719.9936</v>
      </c>
      <c r="F56" s="107" t="n">
        <f aca="false">E56+F55</f>
        <v>-10859482.4288</v>
      </c>
      <c r="G56" s="107" t="n">
        <f aca="false">F56+G55</f>
        <v>-9426246.4896</v>
      </c>
      <c r="H56" s="107" t="n">
        <f aca="false">G56+H55</f>
        <v>-8000012.176</v>
      </c>
      <c r="I56" s="107" t="n">
        <f aca="false">H56+I55</f>
        <v>-6580779.488</v>
      </c>
      <c r="J56" s="107" t="n">
        <f aca="false">I56+J55</f>
        <v>-5168548.4256</v>
      </c>
      <c r="K56" s="107" t="n">
        <f aca="false">J56+K55</f>
        <v>-3763318.9888</v>
      </c>
      <c r="L56" s="107" t="n">
        <f aca="false">K56+L55</f>
        <v>-2365091.1776</v>
      </c>
      <c r="M56" s="107" t="n">
        <f aca="false">L56+M55</f>
        <v>-973864.992000002</v>
      </c>
      <c r="N56" s="107" t="n">
        <f aca="false">M56+N55</f>
        <v>445247.567999998</v>
      </c>
      <c r="O56" s="107" t="n">
        <f aca="false">N56+O55</f>
        <v>1857358.5024</v>
      </c>
      <c r="P56" s="107" t="n">
        <f aca="false">O56+P55</f>
        <v>3262467.8112</v>
      </c>
      <c r="Q56" s="107" t="n">
        <f aca="false">P56+Q55</f>
        <v>4660575.4944</v>
      </c>
      <c r="R56" s="107" t="n">
        <f aca="false">Q56+R55</f>
        <v>6051681.552</v>
      </c>
      <c r="S56" s="107" t="n">
        <f aca="false">R56+S55</f>
        <v>7435785.984</v>
      </c>
      <c r="T56" s="107" t="n">
        <f aca="false">S56+T55</f>
        <v>8812888.7904</v>
      </c>
      <c r="U56" s="107" t="n">
        <f aca="false">T56+U55</f>
        <v>10182989.9712</v>
      </c>
      <c r="V56" s="107" t="n">
        <f aca="false">U56+V55</f>
        <v>11546089.5264</v>
      </c>
      <c r="W56" s="107" t="n">
        <f aca="false">V56+W55</f>
        <v>12902187.456</v>
      </c>
      <c r="X56" s="107" t="n">
        <f aca="false">W56+X55</f>
        <v>12902187.456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155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回收</v>
      </c>
      <c r="O57" s="111" t="str">
        <f aca="false">IF((O56)&gt;0,"回收","未回收")</f>
        <v>回收</v>
      </c>
      <c r="P57" s="111" t="str">
        <f aca="false">IF((P56)&gt;0,"回收","未回收")</f>
        <v>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0.0681700242503885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136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156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137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138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139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140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141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157</v>
      </c>
      <c r="C67" s="87"/>
      <c r="D67" s="120" t="n">
        <f aca="false">$C$44/$E$16</f>
        <v>-760060</v>
      </c>
      <c r="E67" s="120" t="n">
        <f aca="false">$C$44/$E$16</f>
        <v>-760060</v>
      </c>
      <c r="F67" s="120" t="n">
        <f aca="false">$C$44/$E$16</f>
        <v>-760060</v>
      </c>
      <c r="G67" s="120" t="n">
        <f aca="false">$C$44/$E$16</f>
        <v>-760060</v>
      </c>
      <c r="H67" s="120" t="n">
        <f aca="false">$C$44/$E$16</f>
        <v>-760060</v>
      </c>
      <c r="I67" s="120" t="n">
        <f aca="false">$C$44/$E$16</f>
        <v>-760060</v>
      </c>
      <c r="J67" s="120" t="n">
        <f aca="false">$C$44/$E$16</f>
        <v>-760060</v>
      </c>
      <c r="K67" s="120" t="n">
        <f aca="false">$C$44/$E$16</f>
        <v>-760060</v>
      </c>
      <c r="L67" s="120" t="n">
        <f aca="false">$C$44/$E$16</f>
        <v>-760060</v>
      </c>
      <c r="M67" s="120" t="n">
        <f aca="false">$C$44/$E$16</f>
        <v>-760060</v>
      </c>
      <c r="N67" s="120" t="n">
        <f aca="false">$C$44/$E$16</f>
        <v>-760060</v>
      </c>
      <c r="O67" s="120" t="n">
        <f aca="false">$C$44/$E$16</f>
        <v>-760060</v>
      </c>
      <c r="P67" s="120" t="n">
        <f aca="false">$C$44/$E$16</f>
        <v>-760060</v>
      </c>
      <c r="Q67" s="120" t="n">
        <f aca="false">$C$44/$E$16</f>
        <v>-760060</v>
      </c>
      <c r="R67" s="120" t="n">
        <f aca="false">$C$44/$E$16</f>
        <v>-760060</v>
      </c>
      <c r="S67" s="120" t="n">
        <f aca="false">$C$44/$E$16</f>
        <v>-760060</v>
      </c>
      <c r="T67" s="120" t="n">
        <f aca="false">$C$44/$E$16</f>
        <v>-760060</v>
      </c>
      <c r="U67" s="120" t="n">
        <f aca="false">$C$44/$E$16</f>
        <v>-760060</v>
      </c>
      <c r="V67" s="120" t="n">
        <f aca="false">$C$44/$E$16</f>
        <v>-760060</v>
      </c>
      <c r="W67" s="120" t="n">
        <f aca="false">$C$44/$E$16</f>
        <v>-760060</v>
      </c>
      <c r="X67" s="90"/>
    </row>
    <row r="68" customFormat="false" ht="18.75" hidden="false" customHeight="true" outlineLevel="0" collapsed="false">
      <c r="B68" s="95" t="s">
        <v>143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144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145</v>
      </c>
      <c r="C70" s="87" t="s">
        <v>4</v>
      </c>
      <c r="D70" s="97" t="n">
        <f aca="false">-D109*$D25</f>
        <v>-311320.576</v>
      </c>
      <c r="E70" s="97" t="n">
        <f aca="false">-E109*$D25</f>
        <v>-290565.870933333</v>
      </c>
      <c r="F70" s="97" t="n">
        <f aca="false">-F109*$D25</f>
        <v>-269811.165866667</v>
      </c>
      <c r="G70" s="97" t="n">
        <f aca="false">-G109*$D25</f>
        <v>-249056.4608</v>
      </c>
      <c r="H70" s="97" t="n">
        <f aca="false">-H109*$D25</f>
        <v>-228301.755733333</v>
      </c>
      <c r="I70" s="97" t="n">
        <f aca="false">-I109*$D25</f>
        <v>-207547.050666667</v>
      </c>
      <c r="J70" s="97" t="n">
        <f aca="false">-J109*$D25</f>
        <v>-186792.3456</v>
      </c>
      <c r="K70" s="97" t="n">
        <f aca="false">-K109*$D25</f>
        <v>-166037.640533333</v>
      </c>
      <c r="L70" s="97" t="n">
        <f aca="false">-L109*$D25</f>
        <v>-145282.935466667</v>
      </c>
      <c r="M70" s="97" t="n">
        <f aca="false">-M109*$D25</f>
        <v>-124528.2304</v>
      </c>
      <c r="N70" s="97" t="n">
        <f aca="false">-N109*$D25</f>
        <v>-103773.525333333</v>
      </c>
      <c r="O70" s="97" t="n">
        <f aca="false">-O109*$D25</f>
        <v>-83018.8202666666</v>
      </c>
      <c r="P70" s="97" t="n">
        <f aca="false">-P109*$D25</f>
        <v>-62264.1151999999</v>
      </c>
      <c r="Q70" s="97" t="n">
        <f aca="false">-Q109*$D25</f>
        <v>-41509.4101333332</v>
      </c>
      <c r="R70" s="97" t="n">
        <f aca="false">-R109*$D25</f>
        <v>-20754.7050666666</v>
      </c>
      <c r="S70" s="97" t="n">
        <f aca="false">-S109*$D25</f>
        <v>1.19209289550781E-010</v>
      </c>
      <c r="T70" s="97" t="n">
        <f aca="false">-T109*$D25</f>
        <v>1.19209289550781E-010</v>
      </c>
      <c r="U70" s="97" t="n">
        <f aca="false">-U109*$D25</f>
        <v>1.19209289550781E-010</v>
      </c>
      <c r="V70" s="97" t="n">
        <f aca="false">-V109*$D25</f>
        <v>1.19209289550781E-010</v>
      </c>
      <c r="W70" s="97" t="n">
        <f aca="false">-W109*$D25</f>
        <v>1.19209289550781E-010</v>
      </c>
      <c r="X70" s="90"/>
    </row>
    <row r="71" customFormat="false" ht="18.75" hidden="false" customHeight="true" outlineLevel="0" collapsed="false">
      <c r="B71" s="95" t="s">
        <v>146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147</v>
      </c>
      <c r="C72" s="87" t="s">
        <v>4</v>
      </c>
      <c r="D72" s="97" t="n">
        <f aca="false">D49</f>
        <v>-30090.9</v>
      </c>
      <c r="E72" s="97" t="n">
        <f aca="false">E49</f>
        <v>-30090.9</v>
      </c>
      <c r="F72" s="97" t="n">
        <f aca="false">F49</f>
        <v>-30090.9</v>
      </c>
      <c r="G72" s="97" t="n">
        <f aca="false">G49</f>
        <v>-30090.9</v>
      </c>
      <c r="H72" s="97" t="n">
        <f aca="false">H49</f>
        <v>-30090.9</v>
      </c>
      <c r="I72" s="97" t="n">
        <f aca="false">I49</f>
        <v>-30090.9</v>
      </c>
      <c r="J72" s="97" t="n">
        <f aca="false">J49</f>
        <v>-30090.9</v>
      </c>
      <c r="K72" s="97" t="n">
        <f aca="false">K49</f>
        <v>-30090.9</v>
      </c>
      <c r="L72" s="97" t="n">
        <f aca="false">L49</f>
        <v>-30090.9</v>
      </c>
      <c r="M72" s="97" t="n">
        <f aca="false">M49</f>
        <v>-30090.9</v>
      </c>
      <c r="N72" s="97" t="n">
        <f aca="false">N49</f>
        <v>-30090.9</v>
      </c>
      <c r="O72" s="97" t="n">
        <f aca="false">O49</f>
        <v>-30090.9</v>
      </c>
      <c r="P72" s="97" t="n">
        <f aca="false">P49</f>
        <v>-30090.9</v>
      </c>
      <c r="Q72" s="97" t="n">
        <f aca="false">Q49</f>
        <v>-30090.9</v>
      </c>
      <c r="R72" s="97" t="n">
        <f aca="false">R49</f>
        <v>-30090.9</v>
      </c>
      <c r="S72" s="97" t="n">
        <f aca="false">S49</f>
        <v>-30090.9</v>
      </c>
      <c r="T72" s="97" t="n">
        <f aca="false">T49</f>
        <v>-30090.9</v>
      </c>
      <c r="U72" s="97" t="n">
        <f aca="false">U49</f>
        <v>-30090.9</v>
      </c>
      <c r="V72" s="97" t="n">
        <f aca="false">V49</f>
        <v>-30090.9</v>
      </c>
      <c r="W72" s="97" t="n">
        <f aca="false">W49</f>
        <v>-30090.9</v>
      </c>
      <c r="X72" s="90"/>
    </row>
    <row r="73" customFormat="false" ht="18.75" hidden="false" customHeight="true" outlineLevel="0" collapsed="false">
      <c r="B73" s="95" t="s">
        <v>148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149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150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158</v>
      </c>
      <c r="C76" s="123"/>
      <c r="D76" s="102" t="n">
        <f aca="false">SUM(D64:D75)</f>
        <v>556405.444</v>
      </c>
      <c r="E76" s="102" t="n">
        <f aca="false">SUM(E64:E75)</f>
        <v>568408.117066666</v>
      </c>
      <c r="F76" s="102" t="n">
        <f aca="false">SUM(F64:F75)</f>
        <v>580410.790133333</v>
      </c>
      <c r="G76" s="102" t="n">
        <f aca="false">SUM(G64:G75)</f>
        <v>592413.4632</v>
      </c>
      <c r="H76" s="102" t="n">
        <f aca="false">SUM(H64:H75)</f>
        <v>604416.136266666</v>
      </c>
      <c r="I76" s="102" t="n">
        <f aca="false">SUM(I64:I75)</f>
        <v>616418.809333333</v>
      </c>
      <c r="J76" s="102" t="n">
        <f aca="false">SUM(J64:J75)</f>
        <v>628421.4824</v>
      </c>
      <c r="K76" s="102" t="n">
        <f aca="false">SUM(K64:K75)</f>
        <v>640424.155466666</v>
      </c>
      <c r="L76" s="102" t="n">
        <f aca="false">SUM(L64:L75)</f>
        <v>652426.828533333</v>
      </c>
      <c r="M76" s="102" t="n">
        <f aca="false">SUM(M64:M75)</f>
        <v>664429.5016</v>
      </c>
      <c r="N76" s="102" t="n">
        <f aca="false">SUM(N64:N75)</f>
        <v>720042.174666666</v>
      </c>
      <c r="O76" s="102" t="n">
        <f aca="false">SUM(O64:O75)</f>
        <v>732044.847733333</v>
      </c>
      <c r="P76" s="102" t="n">
        <f aca="false">SUM(P64:P75)</f>
        <v>744047.5208</v>
      </c>
      <c r="Q76" s="102" t="n">
        <f aca="false">SUM(Q64:Q75)</f>
        <v>756050.193866667</v>
      </c>
      <c r="R76" s="102" t="n">
        <f aca="false">SUM(R64:R75)</f>
        <v>768052.866933333</v>
      </c>
      <c r="S76" s="102" t="n">
        <f aca="false">SUM(S64:S75)</f>
        <v>780055.54</v>
      </c>
      <c r="T76" s="102" t="n">
        <f aca="false">SUM(T64:T75)</f>
        <v>771303.508</v>
      </c>
      <c r="U76" s="102" t="n">
        <f aca="false">SUM(U64:U75)</f>
        <v>762551.476</v>
      </c>
      <c r="V76" s="102" t="n">
        <f aca="false">SUM(V64:V75)</f>
        <v>753799.444</v>
      </c>
      <c r="W76" s="102" t="n">
        <f aca="false">SUM(W64:W75)</f>
        <v>745047.412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152</v>
      </c>
      <c r="C77" s="98"/>
      <c r="D77" s="97" t="n">
        <f aca="false">-D76*0.2</f>
        <v>-111281.0888</v>
      </c>
      <c r="E77" s="97" t="n">
        <f aca="false">-E76*0.2</f>
        <v>-113681.623413333</v>
      </c>
      <c r="F77" s="97" t="n">
        <f aca="false">-F76*0.2</f>
        <v>-116082.158026667</v>
      </c>
      <c r="G77" s="97" t="n">
        <f aca="false">-G76*0.2</f>
        <v>-118482.69264</v>
      </c>
      <c r="H77" s="97" t="n">
        <f aca="false">-H76*0.2</f>
        <v>-120883.227253333</v>
      </c>
      <c r="I77" s="97" t="n">
        <f aca="false">-I76*0.2</f>
        <v>-123283.761866667</v>
      </c>
      <c r="J77" s="97" t="n">
        <f aca="false">-J76*0.2</f>
        <v>-125684.29648</v>
      </c>
      <c r="K77" s="97" t="n">
        <f aca="false">-K76*0.2</f>
        <v>-128084.831093333</v>
      </c>
      <c r="L77" s="97" t="n">
        <f aca="false">-L76*0.2</f>
        <v>-130485.365706667</v>
      </c>
      <c r="M77" s="97" t="n">
        <f aca="false">-M76*0.2</f>
        <v>-132885.90032</v>
      </c>
      <c r="N77" s="97" t="n">
        <f aca="false">-N76*0.2</f>
        <v>-144008.434933333</v>
      </c>
      <c r="O77" s="97" t="n">
        <f aca="false">-O76*0.2</f>
        <v>-146408.969546667</v>
      </c>
      <c r="P77" s="97" t="n">
        <f aca="false">-P76*0.2</f>
        <v>-148809.50416</v>
      </c>
      <c r="Q77" s="97" t="n">
        <f aca="false">-Q76*0.2</f>
        <v>-151210.038773333</v>
      </c>
      <c r="R77" s="97" t="n">
        <f aca="false">-R76*0.2</f>
        <v>-153610.573386667</v>
      </c>
      <c r="S77" s="97" t="n">
        <f aca="false">-S76*0.2</f>
        <v>-156011.108</v>
      </c>
      <c r="T77" s="97" t="n">
        <f aca="false">-T76*0.2</f>
        <v>-154260.7016</v>
      </c>
      <c r="U77" s="97" t="n">
        <f aca="false">-U76*0.2</f>
        <v>-152510.2952</v>
      </c>
      <c r="V77" s="97" t="n">
        <f aca="false">-V76*0.2</f>
        <v>-150759.8888</v>
      </c>
      <c r="W77" s="97" t="n">
        <f aca="false">-W76*0.2</f>
        <v>-149009.4824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159</v>
      </c>
      <c r="D78" s="97" t="n">
        <f aca="false">SUM(D76:D77)</f>
        <v>445124.3552</v>
      </c>
      <c r="E78" s="97" t="n">
        <f aca="false">SUM(E76:E77)</f>
        <v>454726.493653333</v>
      </c>
      <c r="F78" s="97" t="n">
        <f aca="false">SUM(F76:F77)</f>
        <v>464328.632106667</v>
      </c>
      <c r="G78" s="97" t="n">
        <f aca="false">SUM(G76:G77)</f>
        <v>473930.77056</v>
      </c>
      <c r="H78" s="97" t="n">
        <f aca="false">SUM(H76:H77)</f>
        <v>483532.909013333</v>
      </c>
      <c r="I78" s="97" t="n">
        <f aca="false">SUM(I76:I77)</f>
        <v>493135.047466666</v>
      </c>
      <c r="J78" s="97" t="n">
        <f aca="false">SUM(J76:J77)</f>
        <v>502737.18592</v>
      </c>
      <c r="K78" s="97" t="n">
        <f aca="false">SUM(K76:K77)</f>
        <v>512339.324373333</v>
      </c>
      <c r="L78" s="97" t="n">
        <f aca="false">SUM(L76:L77)</f>
        <v>521941.462826666</v>
      </c>
      <c r="M78" s="97" t="n">
        <f aca="false">SUM(M76:M77)</f>
        <v>531543.60128</v>
      </c>
      <c r="N78" s="97" t="n">
        <f aca="false">SUM(N76:N77)</f>
        <v>576033.739733333</v>
      </c>
      <c r="O78" s="97" t="n">
        <f aca="false">SUM(O76:O77)</f>
        <v>585635.878186667</v>
      </c>
      <c r="P78" s="97" t="n">
        <f aca="false">SUM(P76:P77)</f>
        <v>595238.01664</v>
      </c>
      <c r="Q78" s="97" t="n">
        <f aca="false">SUM(Q76:Q77)</f>
        <v>604840.155093333</v>
      </c>
      <c r="R78" s="97" t="n">
        <f aca="false">SUM(R76:R77)</f>
        <v>614442.293546666</v>
      </c>
      <c r="S78" s="97" t="n">
        <f aca="false">SUM(S76:S77)</f>
        <v>624044.432</v>
      </c>
      <c r="T78" s="97" t="n">
        <f aca="false">SUM(T76:T77)</f>
        <v>617042.8064</v>
      </c>
      <c r="U78" s="97" t="n">
        <f aca="false">SUM(U76:U77)</f>
        <v>610041.1808</v>
      </c>
      <c r="V78" s="97" t="n">
        <f aca="false">SUM(V76:V77)</f>
        <v>603039.5552</v>
      </c>
      <c r="W78" s="97" t="n">
        <f aca="false">SUM(W76:W77)</f>
        <v>596037.9296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154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155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136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137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159</v>
      </c>
      <c r="C85" s="135"/>
      <c r="D85" s="136" t="n">
        <f aca="false">D78</f>
        <v>445124.3552</v>
      </c>
      <c r="E85" s="136" t="n">
        <f aca="false">E78</f>
        <v>454726.493653333</v>
      </c>
      <c r="F85" s="136" t="n">
        <f aca="false">F78</f>
        <v>464328.632106667</v>
      </c>
      <c r="G85" s="136" t="n">
        <f aca="false">G78</f>
        <v>473930.77056</v>
      </c>
      <c r="H85" s="136" t="n">
        <f aca="false">H78</f>
        <v>483532.909013333</v>
      </c>
      <c r="I85" s="136" t="n">
        <f aca="false">I78</f>
        <v>493135.047466666</v>
      </c>
      <c r="J85" s="136" t="n">
        <f aca="false">J78</f>
        <v>502737.18592</v>
      </c>
      <c r="K85" s="136" t="n">
        <f aca="false">K78</f>
        <v>512339.324373333</v>
      </c>
      <c r="L85" s="136" t="n">
        <f aca="false">L78</f>
        <v>521941.462826666</v>
      </c>
      <c r="M85" s="136" t="n">
        <f aca="false">M78</f>
        <v>531543.60128</v>
      </c>
      <c r="N85" s="136" t="n">
        <f aca="false">N78</f>
        <v>576033.739733333</v>
      </c>
      <c r="O85" s="136" t="n">
        <f aca="false">O78</f>
        <v>585635.878186667</v>
      </c>
      <c r="P85" s="136" t="n">
        <f aca="false">P78</f>
        <v>595238.01664</v>
      </c>
      <c r="Q85" s="136" t="n">
        <f aca="false">Q78</f>
        <v>604840.155093333</v>
      </c>
      <c r="R85" s="136" t="n">
        <f aca="false">R78</f>
        <v>614442.293546666</v>
      </c>
      <c r="S85" s="136" t="n">
        <f aca="false">S78</f>
        <v>624044.432</v>
      </c>
      <c r="T85" s="136" t="n">
        <f aca="false">T78</f>
        <v>617042.8064</v>
      </c>
      <c r="U85" s="136" t="n">
        <f aca="false">U78</f>
        <v>610041.1808</v>
      </c>
      <c r="V85" s="136" t="n">
        <f aca="false">V78</f>
        <v>603039.5552</v>
      </c>
      <c r="W85" s="136" t="n">
        <f aca="false">W78</f>
        <v>596037.9296</v>
      </c>
      <c r="X85" s="135"/>
      <c r="Y85" s="135"/>
    </row>
    <row r="86" customFormat="false" ht="15" hidden="false" customHeight="true" outlineLevel="0" collapsed="false">
      <c r="B86" s="135" t="s">
        <v>160</v>
      </c>
      <c r="C86" s="135"/>
      <c r="D86" s="137" t="n">
        <f aca="false">-D67</f>
        <v>760060</v>
      </c>
      <c r="E86" s="137" t="n">
        <f aca="false">-E67</f>
        <v>760060</v>
      </c>
      <c r="F86" s="137" t="n">
        <f aca="false">-F67</f>
        <v>760060</v>
      </c>
      <c r="G86" s="137" t="n">
        <f aca="false">-G67</f>
        <v>760060</v>
      </c>
      <c r="H86" s="137" t="n">
        <f aca="false">-H67</f>
        <v>760060</v>
      </c>
      <c r="I86" s="137" t="n">
        <f aca="false">-I67</f>
        <v>760060</v>
      </c>
      <c r="J86" s="137" t="n">
        <f aca="false">-J67</f>
        <v>760060</v>
      </c>
      <c r="K86" s="137" t="n">
        <f aca="false">-K67</f>
        <v>760060</v>
      </c>
      <c r="L86" s="137" t="n">
        <f aca="false">-L67</f>
        <v>760060</v>
      </c>
      <c r="M86" s="137" t="n">
        <f aca="false">-M67</f>
        <v>760060</v>
      </c>
      <c r="N86" s="137" t="n">
        <f aca="false">-N67</f>
        <v>760060</v>
      </c>
      <c r="O86" s="137" t="n">
        <f aca="false">-O67</f>
        <v>760060</v>
      </c>
      <c r="P86" s="137" t="n">
        <f aca="false">-P67</f>
        <v>760060</v>
      </c>
      <c r="Q86" s="137" t="n">
        <f aca="false">-Q67</f>
        <v>760060</v>
      </c>
      <c r="R86" s="137" t="n">
        <f aca="false">-R67</f>
        <v>760060</v>
      </c>
      <c r="S86" s="137" t="n">
        <f aca="false">-S67</f>
        <v>760060</v>
      </c>
      <c r="T86" s="137" t="n">
        <f aca="false">-T67</f>
        <v>760060</v>
      </c>
      <c r="U86" s="137" t="n">
        <f aca="false">-U67</f>
        <v>760060</v>
      </c>
      <c r="V86" s="137" t="n">
        <f aca="false">-V67</f>
        <v>760060</v>
      </c>
      <c r="W86" s="137" t="n">
        <f aca="false">-W67</f>
        <v>760060</v>
      </c>
      <c r="X86" s="138"/>
      <c r="Y86" s="138"/>
    </row>
    <row r="87" customFormat="false" ht="15" hidden="false" customHeight="true" outlineLevel="0" collapsed="false">
      <c r="B87" s="135" t="s">
        <v>161</v>
      </c>
      <c r="C87" s="135"/>
      <c r="D87" s="139" t="n">
        <f aca="false">SUM(D85:D86)</f>
        <v>1205184.3552</v>
      </c>
      <c r="E87" s="139" t="n">
        <f aca="false">SUM(E85:E86)</f>
        <v>1214786.49365333</v>
      </c>
      <c r="F87" s="139" t="n">
        <f aca="false">SUM(F85:F86)</f>
        <v>1224388.63210667</v>
      </c>
      <c r="G87" s="139" t="n">
        <f aca="false">SUM(G85:G86)</f>
        <v>1233990.77056</v>
      </c>
      <c r="H87" s="139" t="n">
        <f aca="false">SUM(H85:H86)</f>
        <v>1243592.90901333</v>
      </c>
      <c r="I87" s="139" t="n">
        <f aca="false">SUM(I85:I86)</f>
        <v>1253195.04746667</v>
      </c>
      <c r="J87" s="139" t="n">
        <f aca="false">SUM(J85:J86)</f>
        <v>1262797.18592</v>
      </c>
      <c r="K87" s="139" t="n">
        <f aca="false">SUM(K85:K86)</f>
        <v>1272399.32437333</v>
      </c>
      <c r="L87" s="139" t="n">
        <f aca="false">SUM(L85:L86)</f>
        <v>1282001.46282667</v>
      </c>
      <c r="M87" s="139" t="n">
        <f aca="false">SUM(M85:M86)</f>
        <v>1291603.60128</v>
      </c>
      <c r="N87" s="139" t="n">
        <f aca="false">SUM(N85:N86)</f>
        <v>1336093.73973333</v>
      </c>
      <c r="O87" s="139" t="n">
        <f aca="false">SUM(O85:O86)</f>
        <v>1345695.87818667</v>
      </c>
      <c r="P87" s="139" t="n">
        <f aca="false">SUM(P85:P86)</f>
        <v>1355298.01664</v>
      </c>
      <c r="Q87" s="139" t="n">
        <f aca="false">SUM(Q85:Q86)</f>
        <v>1364900.15509333</v>
      </c>
      <c r="R87" s="139" t="n">
        <f aca="false">SUM(R85:R86)</f>
        <v>1374502.29354667</v>
      </c>
      <c r="S87" s="139" t="n">
        <f aca="false">SUM(S85:S86)</f>
        <v>1384104.432</v>
      </c>
      <c r="T87" s="139" t="n">
        <f aca="false">SUM(T85:T86)</f>
        <v>1377102.8064</v>
      </c>
      <c r="U87" s="139" t="n">
        <f aca="false">SUM(U85:U86)</f>
        <v>1370101.1808</v>
      </c>
      <c r="V87" s="139" t="n">
        <f aca="false">SUM(V85:V86)</f>
        <v>1363099.5552</v>
      </c>
      <c r="W87" s="139" t="n">
        <f aca="false">SUM(W85:W86)</f>
        <v>1356097.9296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162</v>
      </c>
      <c r="C89" s="142"/>
      <c r="D89" s="143" t="n">
        <f aca="false">C44</f>
        <v>-15201200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163</v>
      </c>
      <c r="C92" s="142"/>
      <c r="D92" s="143" t="n">
        <f aca="false">-D89*D31</f>
        <v>12160960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164</v>
      </c>
      <c r="C93" s="135"/>
      <c r="D93" s="145"/>
      <c r="E93" s="145" t="n">
        <v>-810730.666666667</v>
      </c>
      <c r="F93" s="145" t="n">
        <v>-810730.666666667</v>
      </c>
      <c r="G93" s="145" t="n">
        <v>-810730.666666667</v>
      </c>
      <c r="H93" s="145" t="n">
        <v>-810730.666666667</v>
      </c>
      <c r="I93" s="145" t="n">
        <v>-810730.666666667</v>
      </c>
      <c r="J93" s="145" t="n">
        <v>-810730.666666667</v>
      </c>
      <c r="K93" s="145" t="n">
        <v>-810730.666666667</v>
      </c>
      <c r="L93" s="145" t="n">
        <v>-810730.666666667</v>
      </c>
      <c r="M93" s="145" t="n">
        <v>-810730.666666667</v>
      </c>
      <c r="N93" s="145" t="n">
        <v>-810730.666666667</v>
      </c>
      <c r="O93" s="145" t="n">
        <v>-810730.666666667</v>
      </c>
      <c r="P93" s="145" t="n">
        <v>-810730.666666667</v>
      </c>
      <c r="Q93" s="145" t="n">
        <v>-810730.666666667</v>
      </c>
      <c r="R93" s="145" t="n">
        <v>-810730.666666667</v>
      </c>
      <c r="S93" s="145" t="n">
        <v>-810730.666666667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165</v>
      </c>
      <c r="C94" s="140"/>
      <c r="D94" s="136" t="n">
        <f aca="false">-D89*(1-D31)</f>
        <v>3040240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-400611.91968</v>
      </c>
      <c r="F95" s="146" t="n">
        <f aca="false">-E85*$D$33</f>
        <v>-409253.844288</v>
      </c>
      <c r="G95" s="146" t="n">
        <f aca="false">-F85*$D$33</f>
        <v>-417895.768896</v>
      </c>
      <c r="H95" s="146" t="n">
        <f aca="false">-G85*$D$33</f>
        <v>-426537.693504</v>
      </c>
      <c r="I95" s="146" t="n">
        <f aca="false">-H85*$D$33</f>
        <v>-435179.618112</v>
      </c>
      <c r="J95" s="146" t="n">
        <f aca="false">-I85*$D$33</f>
        <v>-443821.54272</v>
      </c>
      <c r="K95" s="146" t="n">
        <f aca="false">-J85*$D$33</f>
        <v>-452463.467328</v>
      </c>
      <c r="L95" s="146" t="n">
        <f aca="false">-K85*$D$33</f>
        <v>-461105.391936</v>
      </c>
      <c r="M95" s="146" t="n">
        <f aca="false">-L85*$D$33</f>
        <v>-469747.316544</v>
      </c>
      <c r="N95" s="146" t="n">
        <f aca="false">-M85*$D$33</f>
        <v>-478389.241152</v>
      </c>
      <c r="O95" s="146" t="n">
        <f aca="false">-N85*$D$33</f>
        <v>-518430.36576</v>
      </c>
      <c r="P95" s="146" t="n">
        <f aca="false">-O85*$D$33</f>
        <v>-527072.290368</v>
      </c>
      <c r="Q95" s="146" t="n">
        <f aca="false">-P85*$D$33</f>
        <v>-535714.214976</v>
      </c>
      <c r="R95" s="146" t="n">
        <f aca="false">-Q85*$D$33</f>
        <v>-544356.139584</v>
      </c>
      <c r="S95" s="146" t="n">
        <f aca="false">-R85*$D$33</f>
        <v>-552998.064192</v>
      </c>
      <c r="T95" s="146" t="n">
        <f aca="false">-S85*$D$33</f>
        <v>-561639.9888</v>
      </c>
      <c r="U95" s="146" t="n">
        <f aca="false">-T85*$D$33</f>
        <v>-555338.52576</v>
      </c>
      <c r="V95" s="146" t="n">
        <f aca="false">-U85*$D$33</f>
        <v>-549037.06272</v>
      </c>
      <c r="W95" s="146" t="n">
        <f aca="false">-V85*$D$33</f>
        <v>-542735.59968</v>
      </c>
      <c r="X95" s="146" t="n">
        <f aca="false">-W85*$D$33</f>
        <v>-536434.13664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-760060</v>
      </c>
      <c r="U96" s="149" t="n">
        <v>-760060</v>
      </c>
      <c r="V96" s="149" t="n">
        <v>-760060</v>
      </c>
      <c r="W96" s="149" t="n">
        <v>-760060</v>
      </c>
      <c r="X96" s="150" t="n">
        <f aca="false">-W101-X95</f>
        <v>-1090973.57696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166</v>
      </c>
      <c r="C99" s="136" t="n">
        <v>0</v>
      </c>
      <c r="D99" s="136" t="n">
        <f aca="false">SUM(D87:D96)</f>
        <v>1205184.3552</v>
      </c>
      <c r="E99" s="136" t="n">
        <f aca="false">SUM(E87:E96)</f>
        <v>3443.9073066666</v>
      </c>
      <c r="F99" s="136" t="n">
        <f aca="false">SUM(F87:F96)</f>
        <v>4404.12115200027</v>
      </c>
      <c r="G99" s="136" t="n">
        <f aca="false">SUM(G87:G96)</f>
        <v>5364.33499733318</v>
      </c>
      <c r="H99" s="136" t="n">
        <f aca="false">SUM(H87:H96)</f>
        <v>6324.54884266644</v>
      </c>
      <c r="I99" s="136" t="n">
        <f aca="false">SUM(I87:I96)</f>
        <v>7284.7626879997</v>
      </c>
      <c r="J99" s="136" t="n">
        <f aca="false">SUM(J87:J96)</f>
        <v>8244.97653333342</v>
      </c>
      <c r="K99" s="136" t="n">
        <f aca="false">SUM(K87:K96)</f>
        <v>9205.19037866633</v>
      </c>
      <c r="L99" s="136" t="n">
        <f aca="false">SUM(L87:L96)</f>
        <v>10165.4042239998</v>
      </c>
      <c r="M99" s="136" t="n">
        <f aca="false">SUM(M87:M96)</f>
        <v>11125.6180693333</v>
      </c>
      <c r="N99" s="136" t="n">
        <f aca="false">SUM(N87:N96)</f>
        <v>46973.8319146664</v>
      </c>
      <c r="O99" s="136" t="n">
        <f aca="false">SUM(O87:O96)</f>
        <v>16534.8457600002</v>
      </c>
      <c r="P99" s="136" t="n">
        <f aca="false">SUM(P87:P96)</f>
        <v>17495.0596053331</v>
      </c>
      <c r="Q99" s="136" t="n">
        <f aca="false">SUM(Q87:Q96)</f>
        <v>18455.2734506666</v>
      </c>
      <c r="R99" s="136" t="n">
        <f aca="false">SUM(R87:R96)</f>
        <v>19415.4872959998</v>
      </c>
      <c r="S99" s="136" t="n">
        <f aca="false">SUM(S87:S96)</f>
        <v>20375.7011413333</v>
      </c>
      <c r="T99" s="136" t="n">
        <f aca="false">SUM(T87:T96)</f>
        <v>55402.8176000003</v>
      </c>
      <c r="U99" s="136" t="n">
        <f aca="false">SUM(U87:U96)</f>
        <v>54702.6550400005</v>
      </c>
      <c r="V99" s="136" t="n">
        <f aca="false">SUM(V87:V96)</f>
        <v>54002.4924799999</v>
      </c>
      <c r="W99" s="136" t="n">
        <f aca="false">SUM(W87:W96)</f>
        <v>53302.3299200002</v>
      </c>
      <c r="X99" s="105"/>
    </row>
    <row r="100" customFormat="false" ht="15" hidden="false" customHeight="true" outlineLevel="0" collapsed="false">
      <c r="B100" s="135" t="s">
        <v>167</v>
      </c>
      <c r="C100" s="136" t="n">
        <v>0</v>
      </c>
      <c r="D100" s="136" t="n">
        <f aca="false">C101</f>
        <v>0</v>
      </c>
      <c r="E100" s="136" t="n">
        <f aca="false">D101</f>
        <v>1205184.3552</v>
      </c>
      <c r="F100" s="136" t="n">
        <f aca="false">E101</f>
        <v>1208628.26250667</v>
      </c>
      <c r="G100" s="136" t="n">
        <f aca="false">F101</f>
        <v>1213032.38365867</v>
      </c>
      <c r="H100" s="136" t="n">
        <f aca="false">G101</f>
        <v>1218396.718656</v>
      </c>
      <c r="I100" s="136" t="n">
        <f aca="false">H101</f>
        <v>1224721.26749867</v>
      </c>
      <c r="J100" s="136" t="n">
        <f aca="false">I101</f>
        <v>1232006.03018667</v>
      </c>
      <c r="K100" s="136" t="n">
        <f aca="false">J101</f>
        <v>1240251.00672</v>
      </c>
      <c r="L100" s="136" t="n">
        <f aca="false">K101</f>
        <v>1249456.19709867</v>
      </c>
      <c r="M100" s="136" t="n">
        <f aca="false">L101</f>
        <v>1259621.60132267</v>
      </c>
      <c r="N100" s="136" t="n">
        <f aca="false">M101</f>
        <v>1270747.219392</v>
      </c>
      <c r="O100" s="136" t="n">
        <f aca="false">N101</f>
        <v>1317721.05130667</v>
      </c>
      <c r="P100" s="136" t="n">
        <f aca="false">O101</f>
        <v>1334255.89706667</v>
      </c>
      <c r="Q100" s="136" t="n">
        <f aca="false">P101</f>
        <v>1351750.956672</v>
      </c>
      <c r="R100" s="136" t="n">
        <f aca="false">Q101</f>
        <v>1370206.23012267</v>
      </c>
      <c r="S100" s="136" t="n">
        <f aca="false">R101</f>
        <v>1389621.71741867</v>
      </c>
      <c r="T100" s="136" t="n">
        <f aca="false">S101</f>
        <v>1409997.41856</v>
      </c>
      <c r="U100" s="136" t="n">
        <f aca="false">T101</f>
        <v>1465400.23616</v>
      </c>
      <c r="V100" s="136" t="n">
        <f aca="false">U101</f>
        <v>1520102.8912</v>
      </c>
      <c r="W100" s="136" t="n">
        <f aca="false">V101</f>
        <v>1574105.38368</v>
      </c>
      <c r="X100" s="104"/>
    </row>
    <row r="101" customFormat="false" ht="15" hidden="false" customHeight="true" outlineLevel="0" collapsed="false">
      <c r="B101" s="135" t="s">
        <v>168</v>
      </c>
      <c r="C101" s="136" t="n">
        <v>0</v>
      </c>
      <c r="D101" s="136" t="n">
        <f aca="false">D99+D100</f>
        <v>1205184.3552</v>
      </c>
      <c r="E101" s="136" t="n">
        <f aca="false">E99+E100</f>
        <v>1208628.26250667</v>
      </c>
      <c r="F101" s="136" t="n">
        <f aca="false">F99+F100</f>
        <v>1213032.38365867</v>
      </c>
      <c r="G101" s="136" t="n">
        <f aca="false">G99+G100</f>
        <v>1218396.718656</v>
      </c>
      <c r="H101" s="136" t="n">
        <f aca="false">H99+H100</f>
        <v>1224721.26749867</v>
      </c>
      <c r="I101" s="136" t="n">
        <f aca="false">I99+I100</f>
        <v>1232006.03018667</v>
      </c>
      <c r="J101" s="136" t="n">
        <f aca="false">J99+J100</f>
        <v>1240251.00672</v>
      </c>
      <c r="K101" s="136" t="n">
        <f aca="false">K99+K100</f>
        <v>1249456.19709867</v>
      </c>
      <c r="L101" s="136" t="n">
        <f aca="false">L99+L100</f>
        <v>1259621.60132267</v>
      </c>
      <c r="M101" s="136" t="n">
        <f aca="false">M99+M100</f>
        <v>1270747.219392</v>
      </c>
      <c r="N101" s="136" t="n">
        <f aca="false">N99+N100</f>
        <v>1317721.05130667</v>
      </c>
      <c r="O101" s="136" t="n">
        <f aca="false">O99+O100</f>
        <v>1334255.89706667</v>
      </c>
      <c r="P101" s="136" t="n">
        <f aca="false">P99+P100</f>
        <v>1351750.956672</v>
      </c>
      <c r="Q101" s="136" t="n">
        <f aca="false">Q99+Q100</f>
        <v>1370206.23012267</v>
      </c>
      <c r="R101" s="136" t="n">
        <f aca="false">R99+R100</f>
        <v>1389621.71741867</v>
      </c>
      <c r="S101" s="136" t="n">
        <f aca="false">S99+S100</f>
        <v>1409997.41856</v>
      </c>
      <c r="T101" s="136" t="n">
        <f aca="false">T99+T100</f>
        <v>1465400.23616</v>
      </c>
      <c r="U101" s="136" t="n">
        <f aca="false">U99+U100</f>
        <v>1520102.8912</v>
      </c>
      <c r="V101" s="136" t="n">
        <f aca="false">V99+V100</f>
        <v>1574105.38368</v>
      </c>
      <c r="W101" s="136" t="n">
        <f aca="false">W99+W100</f>
        <v>1627407.7136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169</v>
      </c>
      <c r="C104" s="152"/>
      <c r="D104" s="153" t="n">
        <f aca="false">-D94</f>
        <v>-3040240</v>
      </c>
      <c r="E104" s="139" t="n">
        <f aca="false">-E95-E96</f>
        <v>400611.91968</v>
      </c>
      <c r="F104" s="139" t="n">
        <f aca="false">-F95-F96</f>
        <v>409253.844288</v>
      </c>
      <c r="G104" s="139" t="n">
        <f aca="false">-G95-G96</f>
        <v>417895.768896</v>
      </c>
      <c r="H104" s="139" t="n">
        <f aca="false">-H95-H96</f>
        <v>426537.693504</v>
      </c>
      <c r="I104" s="139" t="n">
        <f aca="false">-I95-I96</f>
        <v>435179.618112</v>
      </c>
      <c r="J104" s="139" t="n">
        <f aca="false">-J95-J96</f>
        <v>443821.54272</v>
      </c>
      <c r="K104" s="139" t="n">
        <f aca="false">-K95-K96</f>
        <v>452463.467328</v>
      </c>
      <c r="L104" s="139" t="n">
        <f aca="false">-L95-L96</f>
        <v>461105.391936</v>
      </c>
      <c r="M104" s="139" t="n">
        <f aca="false">-M95-M96</f>
        <v>469747.316544</v>
      </c>
      <c r="N104" s="139" t="n">
        <f aca="false">-N95-N96</f>
        <v>478389.241152</v>
      </c>
      <c r="O104" s="139" t="n">
        <f aca="false">-O95-O96</f>
        <v>518430.36576</v>
      </c>
      <c r="P104" s="139" t="n">
        <f aca="false">-P95-P96</f>
        <v>527072.290368</v>
      </c>
      <c r="Q104" s="139" t="n">
        <f aca="false">-Q95-Q96</f>
        <v>535714.214976</v>
      </c>
      <c r="R104" s="139" t="n">
        <f aca="false">-R95-R96</f>
        <v>544356.139584</v>
      </c>
      <c r="S104" s="139" t="n">
        <f aca="false">-S95-S96</f>
        <v>552998.064192</v>
      </c>
      <c r="T104" s="139" t="n">
        <f aca="false">-T95-T96</f>
        <v>1321699.9888</v>
      </c>
      <c r="U104" s="139" t="n">
        <f aca="false">-U95-U96</f>
        <v>1315398.52576</v>
      </c>
      <c r="V104" s="139" t="n">
        <f aca="false">-V95-V96</f>
        <v>1309097.06272</v>
      </c>
      <c r="W104" s="139" t="n">
        <f aca="false">-W95-W96</f>
        <v>1302795.59968</v>
      </c>
      <c r="X104" s="139" t="n">
        <f aca="false">-X95-X96</f>
        <v>1627407.7136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0.155575430256685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170</v>
      </c>
      <c r="C106" s="152"/>
      <c r="D106" s="153" t="n">
        <f aca="false">D85-D94</f>
        <v>-2595115.6448</v>
      </c>
      <c r="E106" s="139" t="n">
        <f aca="false">E85</f>
        <v>454726.493653333</v>
      </c>
      <c r="F106" s="139" t="n">
        <f aca="false">F85-F96</f>
        <v>464328.632106667</v>
      </c>
      <c r="G106" s="139" t="n">
        <f aca="false">G85-G96</f>
        <v>473930.77056</v>
      </c>
      <c r="H106" s="139" t="n">
        <f aca="false">H85-H96</f>
        <v>483532.909013333</v>
      </c>
      <c r="I106" s="139" t="n">
        <f aca="false">I85-I96</f>
        <v>493135.047466666</v>
      </c>
      <c r="J106" s="139" t="n">
        <f aca="false">J85-J96</f>
        <v>502737.18592</v>
      </c>
      <c r="K106" s="139" t="n">
        <f aca="false">K85-K96</f>
        <v>512339.324373333</v>
      </c>
      <c r="L106" s="139" t="n">
        <f aca="false">L85-L96</f>
        <v>521941.462826666</v>
      </c>
      <c r="M106" s="139" t="n">
        <f aca="false">M85-M96</f>
        <v>531543.60128</v>
      </c>
      <c r="N106" s="139" t="n">
        <f aca="false">N85-N96</f>
        <v>576033.739733333</v>
      </c>
      <c r="O106" s="139" t="n">
        <f aca="false">O85-O96</f>
        <v>585635.878186667</v>
      </c>
      <c r="P106" s="139" t="n">
        <f aca="false">P85-P96</f>
        <v>595238.01664</v>
      </c>
      <c r="Q106" s="139" t="n">
        <f aca="false">Q85-Q96</f>
        <v>604840.155093333</v>
      </c>
      <c r="R106" s="139" t="n">
        <f aca="false">R85-R96</f>
        <v>614442.293546666</v>
      </c>
      <c r="S106" s="139" t="n">
        <f aca="false">S85-S96</f>
        <v>624044.432</v>
      </c>
      <c r="T106" s="139" t="n">
        <f aca="false">T85-T96</f>
        <v>1377102.8064</v>
      </c>
      <c r="U106" s="139" t="n">
        <f aca="false">U85-U96</f>
        <v>1370101.1808</v>
      </c>
      <c r="V106" s="139" t="n">
        <f aca="false">V85-V96</f>
        <v>1363099.5552</v>
      </c>
      <c r="W106" s="139" t="n">
        <f aca="false">W85-W96</f>
        <v>1356097.9296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0.197163601057695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171</v>
      </c>
      <c r="C109" s="136" t="n">
        <v>0</v>
      </c>
      <c r="D109" s="136" t="n">
        <f aca="false">D92</f>
        <v>12160960</v>
      </c>
      <c r="E109" s="136" t="n">
        <f aca="false">D109+E93</f>
        <v>11350229.3333333</v>
      </c>
      <c r="F109" s="136" t="n">
        <f aca="false">E109+F93</f>
        <v>10539498.6666667</v>
      </c>
      <c r="G109" s="136" t="n">
        <f aca="false">F109+G93</f>
        <v>9728768</v>
      </c>
      <c r="H109" s="136" t="n">
        <f aca="false">G109+H93</f>
        <v>8918037.33333333</v>
      </c>
      <c r="I109" s="136" t="n">
        <f aca="false">H109+I93</f>
        <v>8107306.66666667</v>
      </c>
      <c r="J109" s="136" t="n">
        <f aca="false">I109+J93</f>
        <v>7296576</v>
      </c>
      <c r="K109" s="136" t="n">
        <f aca="false">J109+K93</f>
        <v>6485845.33333333</v>
      </c>
      <c r="L109" s="136" t="n">
        <f aca="false">K109+L93</f>
        <v>5675114.66666666</v>
      </c>
      <c r="M109" s="136" t="n">
        <f aca="false">L109+M93</f>
        <v>4864384</v>
      </c>
      <c r="N109" s="136" t="n">
        <f aca="false">M109+N93</f>
        <v>4053653.33333333</v>
      </c>
      <c r="O109" s="136" t="n">
        <f aca="false">N109+O93</f>
        <v>3242922.66666666</v>
      </c>
      <c r="P109" s="136" t="n">
        <f aca="false">O109+P93</f>
        <v>2432192</v>
      </c>
      <c r="Q109" s="136" t="n">
        <f aca="false">P109+Q93</f>
        <v>1621461.33333333</v>
      </c>
      <c r="R109" s="136" t="n">
        <f aca="false">Q109+R93</f>
        <v>810730.666666662</v>
      </c>
      <c r="S109" s="136" t="n">
        <f aca="false">R109+S93</f>
        <v>-4.65661287307739E-009</v>
      </c>
      <c r="T109" s="136" t="n">
        <f aca="false">S109+T93</f>
        <v>-4.65661287307739E-009</v>
      </c>
      <c r="U109" s="136" t="n">
        <f aca="false">T109+U93</f>
        <v>-4.65661287307739E-009</v>
      </c>
      <c r="V109" s="136" t="n">
        <f aca="false">U109+V93</f>
        <v>-4.65661287307739E-009</v>
      </c>
      <c r="W109" s="136" t="n">
        <f aca="false">V109+W93</f>
        <v>-4.65661287307739E-009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131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178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127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128</v>
      </c>
    </row>
    <row r="7" customFormat="false" ht="22.5" hidden="false" customHeight="true" outlineLevel="0" collapsed="false">
      <c r="B7" s="2" t="s">
        <v>133</v>
      </c>
      <c r="C7" s="2"/>
      <c r="D7" s="2"/>
      <c r="E7" s="2"/>
      <c r="M7" s="1" t="s">
        <v>129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130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88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134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135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136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137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138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139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140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141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142</v>
      </c>
      <c r="C44" s="96" t="n">
        <f aca="false">-(D16/(1-D17)+D18)*C4</f>
        <v>-13955200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143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144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145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146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147</v>
      </c>
      <c r="C49" s="87" t="s">
        <v>4</v>
      </c>
      <c r="D49" s="97" t="n">
        <v>-27474.3</v>
      </c>
      <c r="E49" s="97" t="n">
        <v>-27474.3</v>
      </c>
      <c r="F49" s="97" t="n">
        <v>-27474.3</v>
      </c>
      <c r="G49" s="97" t="n">
        <v>-27474.3</v>
      </c>
      <c r="H49" s="97" t="n">
        <v>-27474.3</v>
      </c>
      <c r="I49" s="97" t="n">
        <v>-27474.3</v>
      </c>
      <c r="J49" s="97" t="n">
        <v>-27474.3</v>
      </c>
      <c r="K49" s="97" t="n">
        <v>-27474.3</v>
      </c>
      <c r="L49" s="97" t="n">
        <v>-27474.3</v>
      </c>
      <c r="M49" s="97" t="n">
        <v>-27474.3</v>
      </c>
      <c r="N49" s="97" t="n">
        <v>-27474.3</v>
      </c>
      <c r="O49" s="97" t="n">
        <v>-27474.3</v>
      </c>
      <c r="P49" s="97" t="n">
        <v>-27474.3</v>
      </c>
      <c r="Q49" s="97" t="n">
        <v>-27474.3</v>
      </c>
      <c r="R49" s="97" t="n">
        <v>-27474.3</v>
      </c>
      <c r="S49" s="97" t="n">
        <v>-27474.3</v>
      </c>
      <c r="T49" s="97" t="n">
        <v>-27474.3</v>
      </c>
      <c r="U49" s="97" t="n">
        <v>-27474.3</v>
      </c>
      <c r="V49" s="97" t="n">
        <v>-27474.3</v>
      </c>
      <c r="W49" s="97" t="n">
        <v>-27474.3</v>
      </c>
      <c r="X49" s="97"/>
    </row>
    <row r="50" customFormat="false" ht="18.75" hidden="false" customHeight="true" outlineLevel="0" collapsed="false">
      <c r="B50" s="95" t="s">
        <v>148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149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150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151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152</v>
      </c>
      <c r="C54" s="98"/>
      <c r="D54" s="97" t="n">
        <f aca="false">-(D64+D67+D68+D71+D72+D73+D74)*0.2</f>
        <v>-186528.524</v>
      </c>
      <c r="E54" s="97" t="n">
        <f aca="false">-(E64+E67+E68+E71+E72+E73+E74)*0.2</f>
        <v>-184778.1176</v>
      </c>
      <c r="F54" s="97" t="n">
        <f aca="false">-(F64+F67+F68+F71+F72+F73+F74)*0.2</f>
        <v>-183027.7112</v>
      </c>
      <c r="G54" s="97" t="n">
        <f aca="false">-(G64+G67+G68+G71+G72+G73+G74)*0.2</f>
        <v>-181277.3048</v>
      </c>
      <c r="H54" s="97" t="n">
        <f aca="false">-(H64+H67+H68+H71+H72+H73+H74)*0.2</f>
        <v>-179526.8984</v>
      </c>
      <c r="I54" s="97" t="n">
        <f aca="false">-(I64+I67+I68+I71+I72+I73+I74)*0.2</f>
        <v>-177776.492</v>
      </c>
      <c r="J54" s="97" t="n">
        <f aca="false">-(J64+J67+J68+J71+J72+J73+J74)*0.2</f>
        <v>-176026.0856</v>
      </c>
      <c r="K54" s="97" t="n">
        <f aca="false">-(K64+K67+K68+K71+K72+K73+K74)*0.2</f>
        <v>-174275.6792</v>
      </c>
      <c r="L54" s="97" t="n">
        <f aca="false">-(L64+L67+L68+L71+L72+L73+L74)*0.2</f>
        <v>-172525.2728</v>
      </c>
      <c r="M54" s="97" t="n">
        <f aca="false">-(M64+M67+M68+M71+M72+M73+M74)*0.2</f>
        <v>-170774.8664</v>
      </c>
      <c r="N54" s="97" t="n">
        <f aca="false">-(N64+N67+N68+N71+N72+N73+N74)*0.2</f>
        <v>-177746.46</v>
      </c>
      <c r="O54" s="97" t="n">
        <f aca="false">-(O64+O67+O68+O71+O72+O73+O74)*0.2</f>
        <v>-175996.0536</v>
      </c>
      <c r="P54" s="97" t="n">
        <f aca="false">-(P64+P67+P68+P71+P72+P73+P74)*0.2</f>
        <v>-174245.6472</v>
      </c>
      <c r="Q54" s="97" t="n">
        <f aca="false">-(Q64+Q67+Q68+Q71+Q72+Q73+Q74)*0.2</f>
        <v>-172495.2408</v>
      </c>
      <c r="R54" s="97" t="n">
        <f aca="false">-(R64+R67+R68+R71+R72+R73+R74)*0.2</f>
        <v>-170744.8344</v>
      </c>
      <c r="S54" s="97" t="n">
        <f aca="false">-(S64+S67+S68+S71+S72+S73+S74)*0.2</f>
        <v>-168994.428</v>
      </c>
      <c r="T54" s="97" t="n">
        <f aca="false">-(T64+T67+T68+T71+T72+T73+T74)*0.2</f>
        <v>-167244.0216</v>
      </c>
      <c r="U54" s="97" t="n">
        <f aca="false">-(U64+U67+U68+U71+U72+U73+U74)*0.2</f>
        <v>-165493.6152</v>
      </c>
      <c r="V54" s="97" t="n">
        <f aca="false">-(V64+V67+V68+V71+V72+V73+V74)*0.2</f>
        <v>-163743.2088</v>
      </c>
      <c r="W54" s="97" t="n">
        <f aca="false">-(W64+W67+W68+W71+W72+W73+W74)*0.2</f>
        <v>-161992.8024</v>
      </c>
      <c r="X54" s="88"/>
    </row>
    <row r="55" customFormat="false" ht="18.75" hidden="false" customHeight="true" outlineLevel="0" collapsed="false">
      <c r="B55" s="100" t="s">
        <v>153</v>
      </c>
      <c r="C55" s="101" t="n">
        <f aca="false">C44</f>
        <v>-13955200</v>
      </c>
      <c r="D55" s="102" t="n">
        <f aca="false">SUM(D41:D54)</f>
        <v>1443874.096</v>
      </c>
      <c r="E55" s="102" t="n">
        <f aca="false">SUM(E41:E54)</f>
        <v>1436872.4704</v>
      </c>
      <c r="F55" s="102" t="n">
        <f aca="false">SUM(F41:F54)</f>
        <v>1429870.8448</v>
      </c>
      <c r="G55" s="102" t="n">
        <f aca="false">SUM(G41:G54)</f>
        <v>1422869.2192</v>
      </c>
      <c r="H55" s="102" t="n">
        <f aca="false">SUM(H41:H54)</f>
        <v>1415867.5936</v>
      </c>
      <c r="I55" s="102" t="n">
        <f aca="false">SUM(I41:I54)</f>
        <v>1408865.968</v>
      </c>
      <c r="J55" s="102" t="n">
        <f aca="false">SUM(J41:J54)</f>
        <v>1401864.3424</v>
      </c>
      <c r="K55" s="102" t="n">
        <f aca="false">SUM(K41:K54)</f>
        <v>1394862.7168</v>
      </c>
      <c r="L55" s="102" t="n">
        <f aca="false">SUM(L41:L54)</f>
        <v>1387861.0912</v>
      </c>
      <c r="M55" s="102" t="n">
        <f aca="false">SUM(M41:M54)</f>
        <v>1380859.4656</v>
      </c>
      <c r="N55" s="102" t="n">
        <f aca="false">SUM(N41:N54)</f>
        <v>1408745.84</v>
      </c>
      <c r="O55" s="102" t="n">
        <f aca="false">SUM(O41:O54)</f>
        <v>1401744.2144</v>
      </c>
      <c r="P55" s="102" t="n">
        <f aca="false">SUM(P41:P54)</f>
        <v>1394742.5888</v>
      </c>
      <c r="Q55" s="102" t="n">
        <f aca="false">SUM(Q41:Q54)</f>
        <v>1387740.9632</v>
      </c>
      <c r="R55" s="102" t="n">
        <f aca="false">SUM(R41:R54)</f>
        <v>1380739.3376</v>
      </c>
      <c r="S55" s="102" t="n">
        <f aca="false">SUM(S41:S54)</f>
        <v>1373737.712</v>
      </c>
      <c r="T55" s="102" t="n">
        <f aca="false">SUM(T41:T54)</f>
        <v>1366736.0864</v>
      </c>
      <c r="U55" s="102" t="n">
        <f aca="false">SUM(U41:U54)</f>
        <v>1359734.4608</v>
      </c>
      <c r="V55" s="102" t="n">
        <f aca="false">SUM(V41:V54)</f>
        <v>1352732.8352</v>
      </c>
      <c r="W55" s="102" t="n">
        <f aca="false">SUM(W41:W54)</f>
        <v>1345731.2096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154</v>
      </c>
      <c r="D56" s="107" t="n">
        <f aca="false">C55+D55</f>
        <v>-12511325.904</v>
      </c>
      <c r="E56" s="107" t="n">
        <f aca="false">D56+E55</f>
        <v>-11074453.4336</v>
      </c>
      <c r="F56" s="107" t="n">
        <f aca="false">E56+F55</f>
        <v>-9644582.5888</v>
      </c>
      <c r="G56" s="107" t="n">
        <f aca="false">F56+G55</f>
        <v>-8221713.3696</v>
      </c>
      <c r="H56" s="107" t="n">
        <f aca="false">G56+H55</f>
        <v>-6805845.776</v>
      </c>
      <c r="I56" s="107" t="n">
        <f aca="false">H56+I55</f>
        <v>-5396979.808</v>
      </c>
      <c r="J56" s="107" t="n">
        <f aca="false">I56+J55</f>
        <v>-3995115.4656</v>
      </c>
      <c r="K56" s="107" t="n">
        <f aca="false">J56+K55</f>
        <v>-2600252.7488</v>
      </c>
      <c r="L56" s="107" t="n">
        <f aca="false">K56+L55</f>
        <v>-1212391.6576</v>
      </c>
      <c r="M56" s="107" t="n">
        <f aca="false">L56+M55</f>
        <v>168467.807999998</v>
      </c>
      <c r="N56" s="107" t="n">
        <f aca="false">M56+N55</f>
        <v>1577213.648</v>
      </c>
      <c r="O56" s="107" t="n">
        <f aca="false">N56+O55</f>
        <v>2978957.8624</v>
      </c>
      <c r="P56" s="107" t="n">
        <f aca="false">O56+P55</f>
        <v>4373700.4512</v>
      </c>
      <c r="Q56" s="107" t="n">
        <f aca="false">P56+Q55</f>
        <v>5761441.4144</v>
      </c>
      <c r="R56" s="107" t="n">
        <f aca="false">Q56+R55</f>
        <v>7142180.752</v>
      </c>
      <c r="S56" s="107" t="n">
        <f aca="false">R56+S55</f>
        <v>8515918.464</v>
      </c>
      <c r="T56" s="107" t="n">
        <f aca="false">S56+T55</f>
        <v>9882654.5504</v>
      </c>
      <c r="U56" s="107" t="n">
        <f aca="false">T56+U55</f>
        <v>11242389.0112</v>
      </c>
      <c r="V56" s="107" t="n">
        <f aca="false">U56+V55</f>
        <v>12595121.8464</v>
      </c>
      <c r="W56" s="107" t="n">
        <f aca="false">V56+W55</f>
        <v>13940853.056</v>
      </c>
      <c r="X56" s="107" t="n">
        <f aca="false">W56+X55</f>
        <v>13940853.056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155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回收</v>
      </c>
      <c r="N57" s="111" t="str">
        <f aca="false">IF((N56)&gt;0,"回收","未回收")</f>
        <v>回收</v>
      </c>
      <c r="O57" s="111" t="str">
        <f aca="false">IF((O56)&gt;0,"回收","未回收")</f>
        <v>回收</v>
      </c>
      <c r="P57" s="111" t="str">
        <f aca="false">IF((P56)&gt;0,"回收","未回收")</f>
        <v>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0.0784928266517908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136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156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137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138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139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140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141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157</v>
      </c>
      <c r="C67" s="87"/>
      <c r="D67" s="120" t="n">
        <f aca="false">$C$44/$E$16</f>
        <v>-697760</v>
      </c>
      <c r="E67" s="120" t="n">
        <f aca="false">$C$44/$E$16</f>
        <v>-697760</v>
      </c>
      <c r="F67" s="120" t="n">
        <f aca="false">$C$44/$E$16</f>
        <v>-697760</v>
      </c>
      <c r="G67" s="120" t="n">
        <f aca="false">$C$44/$E$16</f>
        <v>-697760</v>
      </c>
      <c r="H67" s="120" t="n">
        <f aca="false">$C$44/$E$16</f>
        <v>-697760</v>
      </c>
      <c r="I67" s="120" t="n">
        <f aca="false">$C$44/$E$16</f>
        <v>-697760</v>
      </c>
      <c r="J67" s="120" t="n">
        <f aca="false">$C$44/$E$16</f>
        <v>-697760</v>
      </c>
      <c r="K67" s="120" t="n">
        <f aca="false">$C$44/$E$16</f>
        <v>-697760</v>
      </c>
      <c r="L67" s="120" t="n">
        <f aca="false">$C$44/$E$16</f>
        <v>-697760</v>
      </c>
      <c r="M67" s="120" t="n">
        <f aca="false">$C$44/$E$16</f>
        <v>-697760</v>
      </c>
      <c r="N67" s="120" t="n">
        <f aca="false">$C$44/$E$16</f>
        <v>-697760</v>
      </c>
      <c r="O67" s="120" t="n">
        <f aca="false">$C$44/$E$16</f>
        <v>-697760</v>
      </c>
      <c r="P67" s="120" t="n">
        <f aca="false">$C$44/$E$16</f>
        <v>-697760</v>
      </c>
      <c r="Q67" s="120" t="n">
        <f aca="false">$C$44/$E$16</f>
        <v>-697760</v>
      </c>
      <c r="R67" s="120" t="n">
        <f aca="false">$C$44/$E$16</f>
        <v>-697760</v>
      </c>
      <c r="S67" s="120" t="n">
        <f aca="false">$C$44/$E$16</f>
        <v>-697760</v>
      </c>
      <c r="T67" s="120" t="n">
        <f aca="false">$C$44/$E$16</f>
        <v>-697760</v>
      </c>
      <c r="U67" s="120" t="n">
        <f aca="false">$C$44/$E$16</f>
        <v>-697760</v>
      </c>
      <c r="V67" s="120" t="n">
        <f aca="false">$C$44/$E$16</f>
        <v>-697760</v>
      </c>
      <c r="W67" s="120" t="n">
        <f aca="false">$C$44/$E$16</f>
        <v>-697760</v>
      </c>
      <c r="X67" s="90"/>
    </row>
    <row r="68" customFormat="false" ht="18.75" hidden="false" customHeight="true" outlineLevel="0" collapsed="false">
      <c r="B68" s="95" t="s">
        <v>143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144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145</v>
      </c>
      <c r="C70" s="87" t="s">
        <v>4</v>
      </c>
      <c r="D70" s="97" t="n">
        <f aca="false">-D109*$D25</f>
        <v>-285802.496</v>
      </c>
      <c r="E70" s="97" t="n">
        <f aca="false">-E109*$D25</f>
        <v>-266748.996266667</v>
      </c>
      <c r="F70" s="97" t="n">
        <f aca="false">-F109*$D25</f>
        <v>-247695.496533333</v>
      </c>
      <c r="G70" s="97" t="n">
        <f aca="false">-G109*$D25</f>
        <v>-228641.9968</v>
      </c>
      <c r="H70" s="97" t="n">
        <f aca="false">-H109*$D25</f>
        <v>-209588.497066667</v>
      </c>
      <c r="I70" s="97" t="n">
        <f aca="false">-I109*$D25</f>
        <v>-190534.997333333</v>
      </c>
      <c r="J70" s="97" t="n">
        <f aca="false">-J109*$D25</f>
        <v>-171481.4976</v>
      </c>
      <c r="K70" s="97" t="n">
        <f aca="false">-K109*$D25</f>
        <v>-152427.997866667</v>
      </c>
      <c r="L70" s="97" t="n">
        <f aca="false">-L109*$D25</f>
        <v>-133374.498133334</v>
      </c>
      <c r="M70" s="97" t="n">
        <f aca="false">-M109*$D25</f>
        <v>-114320.9984</v>
      </c>
      <c r="N70" s="97" t="n">
        <f aca="false">-N109*$D25</f>
        <v>-95267.4986666668</v>
      </c>
      <c r="O70" s="97" t="n">
        <f aca="false">-O109*$D25</f>
        <v>-76213.9989333335</v>
      </c>
      <c r="P70" s="97" t="n">
        <f aca="false">-P109*$D25</f>
        <v>-57160.4992000002</v>
      </c>
      <c r="Q70" s="97" t="n">
        <f aca="false">-Q109*$D25</f>
        <v>-38106.9994666668</v>
      </c>
      <c r="R70" s="97" t="n">
        <f aca="false">-R109*$D25</f>
        <v>-19053.4997333335</v>
      </c>
      <c r="S70" s="97" t="n">
        <f aca="false">-S109*$D25</f>
        <v>-1.9073486328125E-010</v>
      </c>
      <c r="T70" s="97" t="n">
        <f aca="false">-T109*$D25</f>
        <v>-1.9073486328125E-010</v>
      </c>
      <c r="U70" s="97" t="n">
        <f aca="false">-U109*$D25</f>
        <v>-1.9073486328125E-010</v>
      </c>
      <c r="V70" s="97" t="n">
        <f aca="false">-V109*$D25</f>
        <v>-1.9073486328125E-010</v>
      </c>
      <c r="W70" s="97" t="n">
        <f aca="false">-W109*$D25</f>
        <v>-1.9073486328125E-010</v>
      </c>
      <c r="X70" s="90"/>
    </row>
    <row r="71" customFormat="false" ht="18.75" hidden="false" customHeight="true" outlineLevel="0" collapsed="false">
      <c r="B71" s="95" t="s">
        <v>146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147</v>
      </c>
      <c r="C72" s="87" t="s">
        <v>4</v>
      </c>
      <c r="D72" s="97" t="n">
        <f aca="false">D49</f>
        <v>-27474.3</v>
      </c>
      <c r="E72" s="97" t="n">
        <f aca="false">E49</f>
        <v>-27474.3</v>
      </c>
      <c r="F72" s="97" t="n">
        <f aca="false">F49</f>
        <v>-27474.3</v>
      </c>
      <c r="G72" s="97" t="n">
        <f aca="false">G49</f>
        <v>-27474.3</v>
      </c>
      <c r="H72" s="97" t="n">
        <f aca="false">H49</f>
        <v>-27474.3</v>
      </c>
      <c r="I72" s="97" t="n">
        <f aca="false">I49</f>
        <v>-27474.3</v>
      </c>
      <c r="J72" s="97" t="n">
        <f aca="false">J49</f>
        <v>-27474.3</v>
      </c>
      <c r="K72" s="97" t="n">
        <f aca="false">K49</f>
        <v>-27474.3</v>
      </c>
      <c r="L72" s="97" t="n">
        <f aca="false">L49</f>
        <v>-27474.3</v>
      </c>
      <c r="M72" s="97" t="n">
        <f aca="false">M49</f>
        <v>-27474.3</v>
      </c>
      <c r="N72" s="97" t="n">
        <f aca="false">N49</f>
        <v>-27474.3</v>
      </c>
      <c r="O72" s="97" t="n">
        <f aca="false">O49</f>
        <v>-27474.3</v>
      </c>
      <c r="P72" s="97" t="n">
        <f aca="false">P49</f>
        <v>-27474.3</v>
      </c>
      <c r="Q72" s="97" t="n">
        <f aca="false">Q49</f>
        <v>-27474.3</v>
      </c>
      <c r="R72" s="97" t="n">
        <f aca="false">R49</f>
        <v>-27474.3</v>
      </c>
      <c r="S72" s="97" t="n">
        <f aca="false">S49</f>
        <v>-27474.3</v>
      </c>
      <c r="T72" s="97" t="n">
        <f aca="false">T49</f>
        <v>-27474.3</v>
      </c>
      <c r="U72" s="97" t="n">
        <f aca="false">U49</f>
        <v>-27474.3</v>
      </c>
      <c r="V72" s="97" t="n">
        <f aca="false">V49</f>
        <v>-27474.3</v>
      </c>
      <c r="W72" s="97" t="n">
        <f aca="false">W49</f>
        <v>-27474.3</v>
      </c>
      <c r="X72" s="90"/>
    </row>
    <row r="73" customFormat="false" ht="18.75" hidden="false" customHeight="true" outlineLevel="0" collapsed="false">
      <c r="B73" s="95" t="s">
        <v>148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149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150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158</v>
      </c>
      <c r="C76" s="123"/>
      <c r="D76" s="102" t="n">
        <f aca="false">SUM(D64:D75)</f>
        <v>646840.124</v>
      </c>
      <c r="E76" s="102" t="n">
        <f aca="false">SUM(E64:E75)</f>
        <v>657141.591733333</v>
      </c>
      <c r="F76" s="102" t="n">
        <f aca="false">SUM(F64:F75)</f>
        <v>667443.059466667</v>
      </c>
      <c r="G76" s="102" t="n">
        <f aca="false">SUM(G64:G75)</f>
        <v>677744.5272</v>
      </c>
      <c r="H76" s="102" t="n">
        <f aca="false">SUM(H64:H75)</f>
        <v>688045.994933333</v>
      </c>
      <c r="I76" s="102" t="n">
        <f aca="false">SUM(I64:I75)</f>
        <v>698347.462666666</v>
      </c>
      <c r="J76" s="102" t="n">
        <f aca="false">SUM(J64:J75)</f>
        <v>708648.9304</v>
      </c>
      <c r="K76" s="102" t="n">
        <f aca="false">SUM(K64:K75)</f>
        <v>718950.398133333</v>
      </c>
      <c r="L76" s="102" t="n">
        <f aca="false">SUM(L64:L75)</f>
        <v>729251.865866666</v>
      </c>
      <c r="M76" s="102" t="n">
        <f aca="false">SUM(M64:M75)</f>
        <v>739553.3336</v>
      </c>
      <c r="N76" s="102" t="n">
        <f aca="false">SUM(N64:N75)</f>
        <v>793464.801333333</v>
      </c>
      <c r="O76" s="102" t="n">
        <f aca="false">SUM(O64:O75)</f>
        <v>803766.269066666</v>
      </c>
      <c r="P76" s="102" t="n">
        <f aca="false">SUM(P64:P75)</f>
        <v>814067.7368</v>
      </c>
      <c r="Q76" s="102" t="n">
        <f aca="false">SUM(Q64:Q75)</f>
        <v>824369.204533333</v>
      </c>
      <c r="R76" s="102" t="n">
        <f aca="false">SUM(R64:R75)</f>
        <v>834670.672266666</v>
      </c>
      <c r="S76" s="102" t="n">
        <f aca="false">SUM(S64:S75)</f>
        <v>844972.14</v>
      </c>
      <c r="T76" s="102" t="n">
        <f aca="false">SUM(T64:T75)</f>
        <v>836220.107999999</v>
      </c>
      <c r="U76" s="102" t="n">
        <f aca="false">SUM(U64:U75)</f>
        <v>827468.076</v>
      </c>
      <c r="V76" s="102" t="n">
        <f aca="false">SUM(V64:V75)</f>
        <v>818716.043999999</v>
      </c>
      <c r="W76" s="102" t="n">
        <f aca="false">SUM(W64:W75)</f>
        <v>809964.012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152</v>
      </c>
      <c r="C77" s="98"/>
      <c r="D77" s="97" t="n">
        <f aca="false">-D76*0.2</f>
        <v>-129368.0248</v>
      </c>
      <c r="E77" s="97" t="n">
        <f aca="false">-E76*0.2</f>
        <v>-131428.318346667</v>
      </c>
      <c r="F77" s="97" t="n">
        <f aca="false">-F76*0.2</f>
        <v>-133488.611893333</v>
      </c>
      <c r="G77" s="97" t="n">
        <f aca="false">-G76*0.2</f>
        <v>-135548.90544</v>
      </c>
      <c r="H77" s="97" t="n">
        <f aca="false">-H76*0.2</f>
        <v>-137609.198986667</v>
      </c>
      <c r="I77" s="97" t="n">
        <f aca="false">-I76*0.2</f>
        <v>-139669.492533333</v>
      </c>
      <c r="J77" s="97" t="n">
        <f aca="false">-J76*0.2</f>
        <v>-141729.78608</v>
      </c>
      <c r="K77" s="97" t="n">
        <f aca="false">-K76*0.2</f>
        <v>-143790.079626667</v>
      </c>
      <c r="L77" s="97" t="n">
        <f aca="false">-L76*0.2</f>
        <v>-145850.373173333</v>
      </c>
      <c r="M77" s="97" t="n">
        <f aca="false">-M76*0.2</f>
        <v>-147910.66672</v>
      </c>
      <c r="N77" s="97" t="n">
        <f aca="false">-N76*0.2</f>
        <v>-158692.960266667</v>
      </c>
      <c r="O77" s="97" t="n">
        <f aca="false">-O76*0.2</f>
        <v>-160753.253813333</v>
      </c>
      <c r="P77" s="97" t="n">
        <f aca="false">-P76*0.2</f>
        <v>-162813.54736</v>
      </c>
      <c r="Q77" s="97" t="n">
        <f aca="false">-Q76*0.2</f>
        <v>-164873.840906667</v>
      </c>
      <c r="R77" s="97" t="n">
        <f aca="false">-R76*0.2</f>
        <v>-166934.134453333</v>
      </c>
      <c r="S77" s="97" t="n">
        <f aca="false">-S76*0.2</f>
        <v>-168994.428</v>
      </c>
      <c r="T77" s="97" t="n">
        <f aca="false">-T76*0.2</f>
        <v>-167244.0216</v>
      </c>
      <c r="U77" s="97" t="n">
        <f aca="false">-U76*0.2</f>
        <v>-165493.6152</v>
      </c>
      <c r="V77" s="97" t="n">
        <f aca="false">-V76*0.2</f>
        <v>-163743.2088</v>
      </c>
      <c r="W77" s="97" t="n">
        <f aca="false">-W76*0.2</f>
        <v>-161992.8024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159</v>
      </c>
      <c r="D78" s="97" t="n">
        <f aca="false">SUM(D76:D77)</f>
        <v>517472.0992</v>
      </c>
      <c r="E78" s="97" t="n">
        <f aca="false">SUM(E76:E77)</f>
        <v>525713.273386666</v>
      </c>
      <c r="F78" s="97" t="n">
        <f aca="false">SUM(F76:F77)</f>
        <v>533954.447573333</v>
      </c>
      <c r="G78" s="97" t="n">
        <f aca="false">SUM(G76:G77)</f>
        <v>542195.62176</v>
      </c>
      <c r="H78" s="97" t="n">
        <f aca="false">SUM(H76:H77)</f>
        <v>550436.795946666</v>
      </c>
      <c r="I78" s="97" t="n">
        <f aca="false">SUM(I76:I77)</f>
        <v>558677.970133333</v>
      </c>
      <c r="J78" s="97" t="n">
        <f aca="false">SUM(J76:J77)</f>
        <v>566919.14432</v>
      </c>
      <c r="K78" s="97" t="n">
        <f aca="false">SUM(K76:K77)</f>
        <v>575160.318506667</v>
      </c>
      <c r="L78" s="97" t="n">
        <f aca="false">SUM(L76:L77)</f>
        <v>583401.492693333</v>
      </c>
      <c r="M78" s="97" t="n">
        <f aca="false">SUM(M76:M77)</f>
        <v>591642.66688</v>
      </c>
      <c r="N78" s="97" t="n">
        <f aca="false">SUM(N76:N77)</f>
        <v>634771.841066666</v>
      </c>
      <c r="O78" s="97" t="n">
        <f aca="false">SUM(O76:O77)</f>
        <v>643013.015253333</v>
      </c>
      <c r="P78" s="97" t="n">
        <f aca="false">SUM(P76:P77)</f>
        <v>651254.18944</v>
      </c>
      <c r="Q78" s="97" t="n">
        <f aca="false">SUM(Q76:Q77)</f>
        <v>659495.363626666</v>
      </c>
      <c r="R78" s="97" t="n">
        <f aca="false">SUM(R76:R77)</f>
        <v>667736.537813333</v>
      </c>
      <c r="S78" s="97" t="n">
        <f aca="false">SUM(S76:S77)</f>
        <v>675977.712</v>
      </c>
      <c r="T78" s="97" t="n">
        <f aca="false">SUM(T76:T77)</f>
        <v>668976.0864</v>
      </c>
      <c r="U78" s="97" t="n">
        <f aca="false">SUM(U76:U77)</f>
        <v>661974.4608</v>
      </c>
      <c r="V78" s="97" t="n">
        <f aca="false">SUM(V76:V77)</f>
        <v>654972.8352</v>
      </c>
      <c r="W78" s="97" t="n">
        <f aca="false">SUM(W76:W77)</f>
        <v>647971.2096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154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155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136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137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159</v>
      </c>
      <c r="C85" s="135"/>
      <c r="D85" s="136" t="n">
        <f aca="false">D78</f>
        <v>517472.0992</v>
      </c>
      <c r="E85" s="136" t="n">
        <f aca="false">E78</f>
        <v>525713.273386666</v>
      </c>
      <c r="F85" s="136" t="n">
        <f aca="false">F78</f>
        <v>533954.447573333</v>
      </c>
      <c r="G85" s="136" t="n">
        <f aca="false">G78</f>
        <v>542195.62176</v>
      </c>
      <c r="H85" s="136" t="n">
        <f aca="false">H78</f>
        <v>550436.795946666</v>
      </c>
      <c r="I85" s="136" t="n">
        <f aca="false">I78</f>
        <v>558677.970133333</v>
      </c>
      <c r="J85" s="136" t="n">
        <f aca="false">J78</f>
        <v>566919.14432</v>
      </c>
      <c r="K85" s="136" t="n">
        <f aca="false">K78</f>
        <v>575160.318506667</v>
      </c>
      <c r="L85" s="136" t="n">
        <f aca="false">L78</f>
        <v>583401.492693333</v>
      </c>
      <c r="M85" s="136" t="n">
        <f aca="false">M78</f>
        <v>591642.66688</v>
      </c>
      <c r="N85" s="136" t="n">
        <f aca="false">N78</f>
        <v>634771.841066666</v>
      </c>
      <c r="O85" s="136" t="n">
        <f aca="false">O78</f>
        <v>643013.015253333</v>
      </c>
      <c r="P85" s="136" t="n">
        <f aca="false">P78</f>
        <v>651254.18944</v>
      </c>
      <c r="Q85" s="136" t="n">
        <f aca="false">Q78</f>
        <v>659495.363626666</v>
      </c>
      <c r="R85" s="136" t="n">
        <f aca="false">R78</f>
        <v>667736.537813333</v>
      </c>
      <c r="S85" s="136" t="n">
        <f aca="false">S78</f>
        <v>675977.712</v>
      </c>
      <c r="T85" s="136" t="n">
        <f aca="false">T78</f>
        <v>668976.0864</v>
      </c>
      <c r="U85" s="136" t="n">
        <f aca="false">U78</f>
        <v>661974.4608</v>
      </c>
      <c r="V85" s="136" t="n">
        <f aca="false">V78</f>
        <v>654972.8352</v>
      </c>
      <c r="W85" s="136" t="n">
        <f aca="false">W78</f>
        <v>647971.2096</v>
      </c>
      <c r="X85" s="135"/>
      <c r="Y85" s="135"/>
    </row>
    <row r="86" customFormat="false" ht="15" hidden="false" customHeight="true" outlineLevel="0" collapsed="false">
      <c r="B86" s="135" t="s">
        <v>160</v>
      </c>
      <c r="C86" s="135"/>
      <c r="D86" s="137" t="n">
        <f aca="false">-D67</f>
        <v>697760</v>
      </c>
      <c r="E86" s="137" t="n">
        <f aca="false">-E67</f>
        <v>697760</v>
      </c>
      <c r="F86" s="137" t="n">
        <f aca="false">-F67</f>
        <v>697760</v>
      </c>
      <c r="G86" s="137" t="n">
        <f aca="false">-G67</f>
        <v>697760</v>
      </c>
      <c r="H86" s="137" t="n">
        <f aca="false">-H67</f>
        <v>697760</v>
      </c>
      <c r="I86" s="137" t="n">
        <f aca="false">-I67</f>
        <v>697760</v>
      </c>
      <c r="J86" s="137" t="n">
        <f aca="false">-J67</f>
        <v>697760</v>
      </c>
      <c r="K86" s="137" t="n">
        <f aca="false">-K67</f>
        <v>697760</v>
      </c>
      <c r="L86" s="137" t="n">
        <f aca="false">-L67</f>
        <v>697760</v>
      </c>
      <c r="M86" s="137" t="n">
        <f aca="false">-M67</f>
        <v>697760</v>
      </c>
      <c r="N86" s="137" t="n">
        <f aca="false">-N67</f>
        <v>697760</v>
      </c>
      <c r="O86" s="137" t="n">
        <f aca="false">-O67</f>
        <v>697760</v>
      </c>
      <c r="P86" s="137" t="n">
        <f aca="false">-P67</f>
        <v>697760</v>
      </c>
      <c r="Q86" s="137" t="n">
        <f aca="false">-Q67</f>
        <v>697760</v>
      </c>
      <c r="R86" s="137" t="n">
        <f aca="false">-R67</f>
        <v>697760</v>
      </c>
      <c r="S86" s="137" t="n">
        <f aca="false">-S67</f>
        <v>697760</v>
      </c>
      <c r="T86" s="137" t="n">
        <f aca="false">-T67</f>
        <v>697760</v>
      </c>
      <c r="U86" s="137" t="n">
        <f aca="false">-U67</f>
        <v>697760</v>
      </c>
      <c r="V86" s="137" t="n">
        <f aca="false">-V67</f>
        <v>697760</v>
      </c>
      <c r="W86" s="137" t="n">
        <f aca="false">-W67</f>
        <v>697760</v>
      </c>
      <c r="X86" s="138"/>
      <c r="Y86" s="138"/>
    </row>
    <row r="87" customFormat="false" ht="15" hidden="false" customHeight="true" outlineLevel="0" collapsed="false">
      <c r="B87" s="135" t="s">
        <v>161</v>
      </c>
      <c r="C87" s="135"/>
      <c r="D87" s="139" t="n">
        <f aca="false">SUM(D85:D86)</f>
        <v>1215232.0992</v>
      </c>
      <c r="E87" s="139" t="n">
        <f aca="false">SUM(E85:E86)</f>
        <v>1223473.27338667</v>
      </c>
      <c r="F87" s="139" t="n">
        <f aca="false">SUM(F85:F86)</f>
        <v>1231714.44757333</v>
      </c>
      <c r="G87" s="139" t="n">
        <f aca="false">SUM(G85:G86)</f>
        <v>1239955.62176</v>
      </c>
      <c r="H87" s="139" t="n">
        <f aca="false">SUM(H85:H86)</f>
        <v>1248196.79594667</v>
      </c>
      <c r="I87" s="139" t="n">
        <f aca="false">SUM(I85:I86)</f>
        <v>1256437.97013333</v>
      </c>
      <c r="J87" s="139" t="n">
        <f aca="false">SUM(J85:J86)</f>
        <v>1264679.14432</v>
      </c>
      <c r="K87" s="139" t="n">
        <f aca="false">SUM(K85:K86)</f>
        <v>1272920.31850667</v>
      </c>
      <c r="L87" s="139" t="n">
        <f aca="false">SUM(L85:L86)</f>
        <v>1281161.49269333</v>
      </c>
      <c r="M87" s="139" t="n">
        <f aca="false">SUM(M85:M86)</f>
        <v>1289402.66688</v>
      </c>
      <c r="N87" s="139" t="n">
        <f aca="false">SUM(N85:N86)</f>
        <v>1332531.84106667</v>
      </c>
      <c r="O87" s="139" t="n">
        <f aca="false">SUM(O85:O86)</f>
        <v>1340773.01525333</v>
      </c>
      <c r="P87" s="139" t="n">
        <f aca="false">SUM(P85:P86)</f>
        <v>1349014.18944</v>
      </c>
      <c r="Q87" s="139" t="n">
        <f aca="false">SUM(Q85:Q86)</f>
        <v>1357255.36362667</v>
      </c>
      <c r="R87" s="139" t="n">
        <f aca="false">SUM(R85:R86)</f>
        <v>1365496.53781333</v>
      </c>
      <c r="S87" s="139" t="n">
        <f aca="false">SUM(S85:S86)</f>
        <v>1373737.712</v>
      </c>
      <c r="T87" s="139" t="n">
        <f aca="false">SUM(T85:T86)</f>
        <v>1366736.0864</v>
      </c>
      <c r="U87" s="139" t="n">
        <f aca="false">SUM(U85:U86)</f>
        <v>1359734.4608</v>
      </c>
      <c r="V87" s="139" t="n">
        <f aca="false">SUM(V85:V86)</f>
        <v>1352732.8352</v>
      </c>
      <c r="W87" s="139" t="n">
        <f aca="false">SUM(W85:W86)</f>
        <v>1345731.2096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162</v>
      </c>
      <c r="C89" s="142"/>
      <c r="D89" s="143" t="n">
        <f aca="false">C44</f>
        <v>-13955200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163</v>
      </c>
      <c r="C92" s="142"/>
      <c r="D92" s="143" t="n">
        <f aca="false">-D89*D31</f>
        <v>11164160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164</v>
      </c>
      <c r="C93" s="135"/>
      <c r="D93" s="145"/>
      <c r="E93" s="145" t="n">
        <v>-744277.333333333</v>
      </c>
      <c r="F93" s="145" t="n">
        <v>-744277.333333333</v>
      </c>
      <c r="G93" s="145" t="n">
        <v>-744277.333333333</v>
      </c>
      <c r="H93" s="145" t="n">
        <v>-744277.333333333</v>
      </c>
      <c r="I93" s="145" t="n">
        <v>-744277.333333333</v>
      </c>
      <c r="J93" s="145" t="n">
        <v>-744277.333333333</v>
      </c>
      <c r="K93" s="145" t="n">
        <v>-744277.333333333</v>
      </c>
      <c r="L93" s="145" t="n">
        <v>-744277.333333333</v>
      </c>
      <c r="M93" s="145" t="n">
        <v>-744277.333333333</v>
      </c>
      <c r="N93" s="145" t="n">
        <v>-744277.333333333</v>
      </c>
      <c r="O93" s="145" t="n">
        <v>-744277.333333333</v>
      </c>
      <c r="P93" s="145" t="n">
        <v>-744277.333333333</v>
      </c>
      <c r="Q93" s="145" t="n">
        <v>-744277.333333333</v>
      </c>
      <c r="R93" s="145" t="n">
        <v>-744277.333333333</v>
      </c>
      <c r="S93" s="145" t="n">
        <v>-744277.333333333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165</v>
      </c>
      <c r="C94" s="140"/>
      <c r="D94" s="136" t="n">
        <f aca="false">-D89*(1-D31)</f>
        <v>2791040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-465724.88928</v>
      </c>
      <c r="F95" s="146" t="n">
        <f aca="false">-E85*$D$33</f>
        <v>-473141.946048</v>
      </c>
      <c r="G95" s="146" t="n">
        <f aca="false">-F85*$D$33</f>
        <v>-480559.002816</v>
      </c>
      <c r="H95" s="146" t="n">
        <f aca="false">-G85*$D$33</f>
        <v>-487976.059584</v>
      </c>
      <c r="I95" s="146" t="n">
        <f aca="false">-H85*$D$33</f>
        <v>-495393.116352</v>
      </c>
      <c r="J95" s="146" t="n">
        <f aca="false">-I85*$D$33</f>
        <v>-502810.17312</v>
      </c>
      <c r="K95" s="146" t="n">
        <f aca="false">-J85*$D$33</f>
        <v>-510227.229888</v>
      </c>
      <c r="L95" s="146" t="n">
        <f aca="false">-K85*$D$33</f>
        <v>-517644.286656</v>
      </c>
      <c r="M95" s="146" t="n">
        <f aca="false">-L85*$D$33</f>
        <v>-525061.343424</v>
      </c>
      <c r="N95" s="146" t="n">
        <f aca="false">-M85*$D$33</f>
        <v>-532478.400192</v>
      </c>
      <c r="O95" s="146" t="n">
        <f aca="false">-N85*$D$33</f>
        <v>-571294.65696</v>
      </c>
      <c r="P95" s="146" t="n">
        <f aca="false">-O85*$D$33</f>
        <v>-578711.713728</v>
      </c>
      <c r="Q95" s="146" t="n">
        <f aca="false">-P85*$D$33</f>
        <v>-586128.770496</v>
      </c>
      <c r="R95" s="146" t="n">
        <f aca="false">-Q85*$D$33</f>
        <v>-593545.827264</v>
      </c>
      <c r="S95" s="146" t="n">
        <f aca="false">-R85*$D$33</f>
        <v>-600962.884032</v>
      </c>
      <c r="T95" s="146" t="n">
        <f aca="false">-S85*$D$33</f>
        <v>-608379.9408</v>
      </c>
      <c r="U95" s="146" t="n">
        <f aca="false">-T85*$D$33</f>
        <v>-602078.47776</v>
      </c>
      <c r="V95" s="146" t="n">
        <f aca="false">-U85*$D$33</f>
        <v>-595777.01472</v>
      </c>
      <c r="W95" s="146" t="n">
        <f aca="false">-V85*$D$33</f>
        <v>-589475.55168</v>
      </c>
      <c r="X95" s="146" t="n">
        <f aca="false">-W85*$D$33</f>
        <v>-583174.08864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-697760</v>
      </c>
      <c r="U96" s="149" t="n">
        <v>-697760</v>
      </c>
      <c r="V96" s="149" t="n">
        <v>-697760</v>
      </c>
      <c r="W96" s="149" t="n">
        <v>-697760</v>
      </c>
      <c r="X96" s="150" t="n">
        <f aca="false">-W101-X95</f>
        <v>-1211171.70816001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166</v>
      </c>
      <c r="C99" s="136" t="n">
        <v>0</v>
      </c>
      <c r="D99" s="136" t="n">
        <f aca="false">SUM(D87:D96)</f>
        <v>1215232.0992</v>
      </c>
      <c r="E99" s="136" t="n">
        <f aca="false">SUM(E87:E96)</f>
        <v>13471.0507733338</v>
      </c>
      <c r="F99" s="136" t="n">
        <f aca="false">SUM(F87:F96)</f>
        <v>14295.1681920008</v>
      </c>
      <c r="G99" s="136" t="n">
        <f aca="false">SUM(G87:G96)</f>
        <v>15119.285610667</v>
      </c>
      <c r="H99" s="136" t="n">
        <f aca="false">SUM(H87:H96)</f>
        <v>15943.4030293337</v>
      </c>
      <c r="I99" s="136" t="n">
        <f aca="false">SUM(I87:I96)</f>
        <v>16767.5204480002</v>
      </c>
      <c r="J99" s="136" t="n">
        <f aca="false">SUM(J87:J96)</f>
        <v>17591.6378666672</v>
      </c>
      <c r="K99" s="136" t="n">
        <f aca="false">SUM(K87:K96)</f>
        <v>18415.7552853336</v>
      </c>
      <c r="L99" s="136" t="n">
        <f aca="false">SUM(L87:L96)</f>
        <v>19239.8727040003</v>
      </c>
      <c r="M99" s="136" t="n">
        <f aca="false">SUM(M87:M96)</f>
        <v>20063.9901226672</v>
      </c>
      <c r="N99" s="136" t="n">
        <f aca="false">SUM(N87:N96)</f>
        <v>55776.1075413335</v>
      </c>
      <c r="O99" s="136" t="n">
        <f aca="false">SUM(O87:O96)</f>
        <v>25201.0249600004</v>
      </c>
      <c r="P99" s="136" t="n">
        <f aca="false">SUM(P87:P96)</f>
        <v>26025.1423786671</v>
      </c>
      <c r="Q99" s="136" t="n">
        <f aca="false">SUM(Q87:Q96)</f>
        <v>26849.2597973336</v>
      </c>
      <c r="R99" s="136" t="n">
        <f aca="false">SUM(R87:R96)</f>
        <v>27673.3772160003</v>
      </c>
      <c r="S99" s="136" t="n">
        <f aca="false">SUM(S87:S96)</f>
        <v>28497.4946346671</v>
      </c>
      <c r="T99" s="136" t="n">
        <f aca="false">SUM(T87:T96)</f>
        <v>60596.1456000001</v>
      </c>
      <c r="U99" s="136" t="n">
        <f aca="false">SUM(U87:U96)</f>
        <v>59895.9830400002</v>
      </c>
      <c r="V99" s="136" t="n">
        <f aca="false">SUM(V87:V96)</f>
        <v>59195.8204799999</v>
      </c>
      <c r="W99" s="136" t="n">
        <f aca="false">SUM(W87:W96)</f>
        <v>58495.6579200001</v>
      </c>
      <c r="X99" s="105"/>
    </row>
    <row r="100" customFormat="false" ht="15" hidden="false" customHeight="true" outlineLevel="0" collapsed="false">
      <c r="B100" s="135" t="s">
        <v>167</v>
      </c>
      <c r="C100" s="136" t="n">
        <v>0</v>
      </c>
      <c r="D100" s="136" t="n">
        <f aca="false">C101</f>
        <v>0</v>
      </c>
      <c r="E100" s="136" t="n">
        <f aca="false">D101</f>
        <v>1215232.0992</v>
      </c>
      <c r="F100" s="136" t="n">
        <f aca="false">E101</f>
        <v>1228703.14997333</v>
      </c>
      <c r="G100" s="136" t="n">
        <f aca="false">F101</f>
        <v>1242998.31816533</v>
      </c>
      <c r="H100" s="136" t="n">
        <f aca="false">G101</f>
        <v>1258117.603776</v>
      </c>
      <c r="I100" s="136" t="n">
        <f aca="false">H101</f>
        <v>1274061.00680533</v>
      </c>
      <c r="J100" s="136" t="n">
        <f aca="false">I101</f>
        <v>1290828.52725333</v>
      </c>
      <c r="K100" s="136" t="n">
        <f aca="false">J101</f>
        <v>1308420.16512</v>
      </c>
      <c r="L100" s="136" t="n">
        <f aca="false">K101</f>
        <v>1326835.92040534</v>
      </c>
      <c r="M100" s="136" t="n">
        <f aca="false">L101</f>
        <v>1346075.79310934</v>
      </c>
      <c r="N100" s="136" t="n">
        <f aca="false">M101</f>
        <v>1366139.783232</v>
      </c>
      <c r="O100" s="136" t="n">
        <f aca="false">N101</f>
        <v>1421915.89077334</v>
      </c>
      <c r="P100" s="136" t="n">
        <f aca="false">O101</f>
        <v>1447116.91573334</v>
      </c>
      <c r="Q100" s="136" t="n">
        <f aca="false">P101</f>
        <v>1473142.058112</v>
      </c>
      <c r="R100" s="136" t="n">
        <f aca="false">Q101</f>
        <v>1499991.31790934</v>
      </c>
      <c r="S100" s="136" t="n">
        <f aca="false">R101</f>
        <v>1527664.69512534</v>
      </c>
      <c r="T100" s="136" t="n">
        <f aca="false">S101</f>
        <v>1556162.18976001</v>
      </c>
      <c r="U100" s="136" t="n">
        <f aca="false">T101</f>
        <v>1616758.33536001</v>
      </c>
      <c r="V100" s="136" t="n">
        <f aca="false">U101</f>
        <v>1676654.31840001</v>
      </c>
      <c r="W100" s="136" t="n">
        <f aca="false">V101</f>
        <v>1735850.13888001</v>
      </c>
      <c r="X100" s="104"/>
    </row>
    <row r="101" customFormat="false" ht="15" hidden="false" customHeight="true" outlineLevel="0" collapsed="false">
      <c r="B101" s="135" t="s">
        <v>168</v>
      </c>
      <c r="C101" s="136" t="n">
        <v>0</v>
      </c>
      <c r="D101" s="136" t="n">
        <f aca="false">D99+D100</f>
        <v>1215232.0992</v>
      </c>
      <c r="E101" s="136" t="n">
        <f aca="false">E99+E100</f>
        <v>1228703.14997333</v>
      </c>
      <c r="F101" s="136" t="n">
        <f aca="false">F99+F100</f>
        <v>1242998.31816533</v>
      </c>
      <c r="G101" s="136" t="n">
        <f aca="false">G99+G100</f>
        <v>1258117.603776</v>
      </c>
      <c r="H101" s="136" t="n">
        <f aca="false">H99+H100</f>
        <v>1274061.00680533</v>
      </c>
      <c r="I101" s="136" t="n">
        <f aca="false">I99+I100</f>
        <v>1290828.52725333</v>
      </c>
      <c r="J101" s="136" t="n">
        <f aca="false">J99+J100</f>
        <v>1308420.16512</v>
      </c>
      <c r="K101" s="136" t="n">
        <f aca="false">K99+K100</f>
        <v>1326835.92040534</v>
      </c>
      <c r="L101" s="136" t="n">
        <f aca="false">L99+L100</f>
        <v>1346075.79310934</v>
      </c>
      <c r="M101" s="136" t="n">
        <f aca="false">M99+M100</f>
        <v>1366139.783232</v>
      </c>
      <c r="N101" s="136" t="n">
        <f aca="false">N99+N100</f>
        <v>1421915.89077334</v>
      </c>
      <c r="O101" s="136" t="n">
        <f aca="false">O99+O100</f>
        <v>1447116.91573334</v>
      </c>
      <c r="P101" s="136" t="n">
        <f aca="false">P99+P100</f>
        <v>1473142.058112</v>
      </c>
      <c r="Q101" s="136" t="n">
        <f aca="false">Q99+Q100</f>
        <v>1499991.31790934</v>
      </c>
      <c r="R101" s="136" t="n">
        <f aca="false">R99+R100</f>
        <v>1527664.69512534</v>
      </c>
      <c r="S101" s="136" t="n">
        <f aca="false">S99+S100</f>
        <v>1556162.18976001</v>
      </c>
      <c r="T101" s="136" t="n">
        <f aca="false">T99+T100</f>
        <v>1616758.33536001</v>
      </c>
      <c r="U101" s="136" t="n">
        <f aca="false">U99+U100</f>
        <v>1676654.31840001</v>
      </c>
      <c r="V101" s="136" t="n">
        <f aca="false">V99+V100</f>
        <v>1735850.13888001</v>
      </c>
      <c r="W101" s="136" t="n">
        <f aca="false">W99+W100</f>
        <v>1794345.79680001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169</v>
      </c>
      <c r="C104" s="152"/>
      <c r="D104" s="153" t="n">
        <f aca="false">-D94</f>
        <v>-2791040</v>
      </c>
      <c r="E104" s="139" t="n">
        <f aca="false">-E95-E96</f>
        <v>465724.88928</v>
      </c>
      <c r="F104" s="139" t="n">
        <f aca="false">-F95-F96</f>
        <v>473141.946048</v>
      </c>
      <c r="G104" s="139" t="n">
        <f aca="false">-G95-G96</f>
        <v>480559.002816</v>
      </c>
      <c r="H104" s="139" t="n">
        <f aca="false">-H95-H96</f>
        <v>487976.059584</v>
      </c>
      <c r="I104" s="139" t="n">
        <f aca="false">-I95-I96</f>
        <v>495393.116352</v>
      </c>
      <c r="J104" s="139" t="n">
        <f aca="false">-J95-J96</f>
        <v>502810.17312</v>
      </c>
      <c r="K104" s="139" t="n">
        <f aca="false">-K95-K96</f>
        <v>510227.229888</v>
      </c>
      <c r="L104" s="139" t="n">
        <f aca="false">-L95-L96</f>
        <v>517644.286656</v>
      </c>
      <c r="M104" s="139" t="n">
        <f aca="false">-M95-M96</f>
        <v>525061.343424</v>
      </c>
      <c r="N104" s="139" t="n">
        <f aca="false">-N95-N96</f>
        <v>532478.400192</v>
      </c>
      <c r="O104" s="139" t="n">
        <f aca="false">-O95-O96</f>
        <v>571294.65696</v>
      </c>
      <c r="P104" s="139" t="n">
        <f aca="false">-P95-P96</f>
        <v>578711.713728</v>
      </c>
      <c r="Q104" s="139" t="n">
        <f aca="false">-Q95-Q96</f>
        <v>586128.770496</v>
      </c>
      <c r="R104" s="139" t="n">
        <f aca="false">-R95-R96</f>
        <v>593545.827264</v>
      </c>
      <c r="S104" s="139" t="n">
        <f aca="false">-S95-S96</f>
        <v>600962.884032</v>
      </c>
      <c r="T104" s="139" t="n">
        <f aca="false">-T95-T96</f>
        <v>1306139.9408</v>
      </c>
      <c r="U104" s="139" t="n">
        <f aca="false">-U95-U96</f>
        <v>1299838.47776</v>
      </c>
      <c r="V104" s="139" t="n">
        <f aca="false">-V95-V96</f>
        <v>1293537.01472</v>
      </c>
      <c r="W104" s="139" t="n">
        <f aca="false">-W95-W96</f>
        <v>1287235.55168</v>
      </c>
      <c r="X104" s="139" t="n">
        <f aca="false">-X95-X96</f>
        <v>1794345.79680001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0.186901366000545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170</v>
      </c>
      <c r="C106" s="152"/>
      <c r="D106" s="153" t="n">
        <f aca="false">D85-D94</f>
        <v>-2273567.9008</v>
      </c>
      <c r="E106" s="139" t="n">
        <f aca="false">E85</f>
        <v>525713.273386666</v>
      </c>
      <c r="F106" s="139" t="n">
        <f aca="false">F85-F96</f>
        <v>533954.447573333</v>
      </c>
      <c r="G106" s="139" t="n">
        <f aca="false">G85-G96</f>
        <v>542195.62176</v>
      </c>
      <c r="H106" s="139" t="n">
        <f aca="false">H85-H96</f>
        <v>550436.795946666</v>
      </c>
      <c r="I106" s="139" t="n">
        <f aca="false">I85-I96</f>
        <v>558677.970133333</v>
      </c>
      <c r="J106" s="139" t="n">
        <f aca="false">J85-J96</f>
        <v>566919.14432</v>
      </c>
      <c r="K106" s="139" t="n">
        <f aca="false">K85-K96</f>
        <v>575160.318506667</v>
      </c>
      <c r="L106" s="139" t="n">
        <f aca="false">L85-L96</f>
        <v>583401.492693333</v>
      </c>
      <c r="M106" s="139" t="n">
        <f aca="false">M85-M96</f>
        <v>591642.66688</v>
      </c>
      <c r="N106" s="139" t="n">
        <f aca="false">N85-N96</f>
        <v>634771.841066666</v>
      </c>
      <c r="O106" s="139" t="n">
        <f aca="false">O85-O96</f>
        <v>643013.015253333</v>
      </c>
      <c r="P106" s="139" t="n">
        <f aca="false">P85-P96</f>
        <v>651254.18944</v>
      </c>
      <c r="Q106" s="139" t="n">
        <f aca="false">Q85-Q96</f>
        <v>659495.363626666</v>
      </c>
      <c r="R106" s="139" t="n">
        <f aca="false">R85-R96</f>
        <v>667736.537813333</v>
      </c>
      <c r="S106" s="139" t="n">
        <f aca="false">S85-S96</f>
        <v>675977.712</v>
      </c>
      <c r="T106" s="139" t="n">
        <f aca="false">T85-T96</f>
        <v>1366736.0864</v>
      </c>
      <c r="U106" s="139" t="n">
        <f aca="false">U85-U96</f>
        <v>1359734.4608</v>
      </c>
      <c r="V106" s="139" t="n">
        <f aca="false">V85-V96</f>
        <v>1352732.8352</v>
      </c>
      <c r="W106" s="139" t="n">
        <f aca="false">W85-W96</f>
        <v>1345731.2096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0.249147544522398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171</v>
      </c>
      <c r="C109" s="136" t="n">
        <v>0</v>
      </c>
      <c r="D109" s="136" t="n">
        <f aca="false">D92</f>
        <v>11164160</v>
      </c>
      <c r="E109" s="136" t="n">
        <f aca="false">D109+E93</f>
        <v>10419882.6666667</v>
      </c>
      <c r="F109" s="136" t="n">
        <f aca="false">E109+F93</f>
        <v>9675605.33333334</v>
      </c>
      <c r="G109" s="136" t="n">
        <f aca="false">F109+G93</f>
        <v>8931328</v>
      </c>
      <c r="H109" s="136" t="n">
        <f aca="false">G109+H93</f>
        <v>8187050.66666667</v>
      </c>
      <c r="I109" s="136" t="n">
        <f aca="false">H109+I93</f>
        <v>7442773.33333334</v>
      </c>
      <c r="J109" s="136" t="n">
        <f aca="false">I109+J93</f>
        <v>6698496.00000001</v>
      </c>
      <c r="K109" s="136" t="n">
        <f aca="false">J109+K93</f>
        <v>5954218.66666667</v>
      </c>
      <c r="L109" s="136" t="n">
        <f aca="false">K109+L93</f>
        <v>5209941.33333334</v>
      </c>
      <c r="M109" s="136" t="n">
        <f aca="false">L109+M93</f>
        <v>4465664.00000001</v>
      </c>
      <c r="N109" s="136" t="n">
        <f aca="false">M109+N93</f>
        <v>3721386.66666667</v>
      </c>
      <c r="O109" s="136" t="n">
        <f aca="false">N109+O93</f>
        <v>2977109.33333334</v>
      </c>
      <c r="P109" s="136" t="n">
        <f aca="false">O109+P93</f>
        <v>2232832.00000001</v>
      </c>
      <c r="Q109" s="136" t="n">
        <f aca="false">P109+Q93</f>
        <v>1488554.66666667</v>
      </c>
      <c r="R109" s="136" t="n">
        <f aca="false">Q109+R93</f>
        <v>744277.333333341</v>
      </c>
      <c r="S109" s="136" t="n">
        <f aca="false">R109+S93</f>
        <v>7.45058059692383E-009</v>
      </c>
      <c r="T109" s="136" t="n">
        <f aca="false">S109+T93</f>
        <v>7.45058059692383E-009</v>
      </c>
      <c r="U109" s="136" t="n">
        <f aca="false">T109+U93</f>
        <v>7.45058059692383E-009</v>
      </c>
      <c r="V109" s="136" t="n">
        <f aca="false">U109+V93</f>
        <v>7.45058059692383E-009</v>
      </c>
      <c r="W109" s="136" t="n">
        <f aca="false">V109+W93</f>
        <v>7.45058059692383E-009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179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90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91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92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93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95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-45790.5</v>
      </c>
      <c r="E49" s="1" t="n">
        <v>-45790.5</v>
      </c>
      <c r="F49" s="1" t="n">
        <v>-45790.5</v>
      </c>
      <c r="G49" s="1" t="n">
        <v>-45790.5</v>
      </c>
      <c r="H49" s="1" t="n">
        <v>-45790.5</v>
      </c>
      <c r="I49" s="1" t="n">
        <v>-45790.5</v>
      </c>
      <c r="J49" s="1" t="n">
        <v>-45790.5</v>
      </c>
      <c r="K49" s="1" t="n">
        <v>-45790.5</v>
      </c>
      <c r="L49" s="1" t="n">
        <v>-45790.5</v>
      </c>
      <c r="M49" s="1" t="n">
        <v>-45790.5</v>
      </c>
      <c r="N49" s="1" t="n">
        <v>-45790.5</v>
      </c>
      <c r="O49" s="1" t="n">
        <v>-45790.5</v>
      </c>
      <c r="P49" s="1" t="n">
        <v>-45790.5</v>
      </c>
      <c r="Q49" s="1" t="n">
        <v>-45790.5</v>
      </c>
      <c r="R49" s="1" t="n">
        <v>-45790.5</v>
      </c>
      <c r="S49" s="1" t="n">
        <v>-45790.5</v>
      </c>
      <c r="T49" s="1" t="n">
        <v>-45790.5</v>
      </c>
      <c r="U49" s="1" t="n">
        <v>-45790.5</v>
      </c>
      <c r="V49" s="1" t="n">
        <v>-45790.5</v>
      </c>
      <c r="W49" s="1" t="n">
        <v>-45790.5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-1209450.66666667</v>
      </c>
      <c r="F93" s="1" t="n">
        <v>-1209450.66666667</v>
      </c>
      <c r="G93" s="1" t="n">
        <v>-1209450.66666667</v>
      </c>
      <c r="H93" s="1" t="n">
        <v>-1209450.66666667</v>
      </c>
      <c r="I93" s="1" t="n">
        <v>-1209450.66666667</v>
      </c>
      <c r="J93" s="1" t="n">
        <v>-1209450.66666667</v>
      </c>
      <c r="K93" s="1" t="n">
        <v>-1209450.66666667</v>
      </c>
      <c r="L93" s="1" t="n">
        <v>-1209450.66666667</v>
      </c>
      <c r="M93" s="1" t="n">
        <v>-1209450.66666667</v>
      </c>
      <c r="N93" s="1" t="n">
        <v>-1209450.66666667</v>
      </c>
      <c r="O93" s="1" t="n">
        <v>-1209450.66666667</v>
      </c>
      <c r="P93" s="1" t="n">
        <v>-1209450.66666667</v>
      </c>
      <c r="Q93" s="1" t="n">
        <v>-1209450.66666667</v>
      </c>
      <c r="R93" s="1" t="n">
        <v>-1209450.66666667</v>
      </c>
      <c r="S93" s="1" t="n">
        <v>-1209450.66666667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-1133860</v>
      </c>
      <c r="U96" s="1" t="n">
        <v>-1133860</v>
      </c>
      <c r="V96" s="1" t="n">
        <v>-1133860</v>
      </c>
      <c r="W96" s="1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180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82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-43173.9</v>
      </c>
      <c r="E49" s="1" t="n">
        <v>-43173.9</v>
      </c>
      <c r="F49" s="1" t="n">
        <v>-43173.9</v>
      </c>
      <c r="G49" s="1" t="n">
        <v>-43173.9</v>
      </c>
      <c r="H49" s="1" t="n">
        <v>-43173.9</v>
      </c>
      <c r="I49" s="1" t="n">
        <v>-43173.9</v>
      </c>
      <c r="J49" s="1" t="n">
        <v>-43173.9</v>
      </c>
      <c r="K49" s="1" t="n">
        <v>-43173.9</v>
      </c>
      <c r="L49" s="1" t="n">
        <v>-43173.9</v>
      </c>
      <c r="M49" s="1" t="n">
        <v>-43173.9</v>
      </c>
      <c r="N49" s="1" t="n">
        <v>-43173.9</v>
      </c>
      <c r="O49" s="1" t="n">
        <v>-43173.9</v>
      </c>
      <c r="P49" s="1" t="n">
        <v>-43173.9</v>
      </c>
      <c r="Q49" s="1" t="n">
        <v>-43173.9</v>
      </c>
      <c r="R49" s="1" t="n">
        <v>-43173.9</v>
      </c>
      <c r="S49" s="1" t="n">
        <v>-43173.9</v>
      </c>
      <c r="T49" s="1" t="n">
        <v>-43173.9</v>
      </c>
      <c r="U49" s="1" t="n">
        <v>-43173.9</v>
      </c>
      <c r="V49" s="1" t="n">
        <v>-43173.9</v>
      </c>
      <c r="W49" s="1" t="n">
        <v>-43173.9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-1142997.33333333</v>
      </c>
      <c r="F93" s="1" t="n">
        <v>-1142997.33333333</v>
      </c>
      <c r="G93" s="1" t="n">
        <v>-1142997.33333333</v>
      </c>
      <c r="H93" s="1" t="n">
        <v>-1142997.33333333</v>
      </c>
      <c r="I93" s="1" t="n">
        <v>-1142997.33333333</v>
      </c>
      <c r="J93" s="1" t="n">
        <v>-1142997.33333333</v>
      </c>
      <c r="K93" s="1" t="n">
        <v>-1142997.33333333</v>
      </c>
      <c r="L93" s="1" t="n">
        <v>-1142997.33333333</v>
      </c>
      <c r="M93" s="1" t="n">
        <v>-1142997.33333333</v>
      </c>
      <c r="N93" s="1" t="n">
        <v>-1142997.33333333</v>
      </c>
      <c r="O93" s="1" t="n">
        <v>-1142997.33333333</v>
      </c>
      <c r="P93" s="1" t="n">
        <v>-1142997.33333333</v>
      </c>
      <c r="Q93" s="1" t="n">
        <v>-1142997.33333333</v>
      </c>
      <c r="R93" s="1" t="n">
        <v>-1142997.33333333</v>
      </c>
      <c r="S93" s="1" t="n">
        <v>-1142997.33333333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-1071560</v>
      </c>
      <c r="U96" s="1" t="n">
        <v>-1071560</v>
      </c>
      <c r="V96" s="1" t="n">
        <v>-1071560</v>
      </c>
      <c r="W96" s="1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2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181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83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-40557.3</v>
      </c>
      <c r="E49" s="1" t="n">
        <v>-40557.3</v>
      </c>
      <c r="F49" s="1" t="n">
        <v>-40557.3</v>
      </c>
      <c r="G49" s="1" t="n">
        <v>-40557.3</v>
      </c>
      <c r="H49" s="1" t="n">
        <v>-40557.3</v>
      </c>
      <c r="I49" s="1" t="n">
        <v>-40557.3</v>
      </c>
      <c r="J49" s="1" t="n">
        <v>-40557.3</v>
      </c>
      <c r="K49" s="1" t="n">
        <v>-40557.3</v>
      </c>
      <c r="L49" s="1" t="n">
        <v>-40557.3</v>
      </c>
      <c r="M49" s="1" t="n">
        <v>-40557.3</v>
      </c>
      <c r="N49" s="1" t="n">
        <v>-40557.3</v>
      </c>
      <c r="O49" s="1" t="n">
        <v>-40557.3</v>
      </c>
      <c r="P49" s="1" t="n">
        <v>-40557.3</v>
      </c>
      <c r="Q49" s="1" t="n">
        <v>-40557.3</v>
      </c>
      <c r="R49" s="1" t="n">
        <v>-40557.3</v>
      </c>
      <c r="S49" s="1" t="n">
        <v>-40557.3</v>
      </c>
      <c r="T49" s="1" t="n">
        <v>-40557.3</v>
      </c>
      <c r="U49" s="1" t="n">
        <v>-40557.3</v>
      </c>
      <c r="V49" s="1" t="n">
        <v>-40557.3</v>
      </c>
      <c r="W49" s="1" t="n">
        <v>-40557.3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-1076544</v>
      </c>
      <c r="F93" s="1" t="n">
        <v>-1076544</v>
      </c>
      <c r="G93" s="1" t="n">
        <v>-1076544</v>
      </c>
      <c r="H93" s="1" t="n">
        <v>-1076544</v>
      </c>
      <c r="I93" s="1" t="n">
        <v>-1076544</v>
      </c>
      <c r="J93" s="1" t="n">
        <v>-1076544</v>
      </c>
      <c r="K93" s="1" t="n">
        <v>-1076544</v>
      </c>
      <c r="L93" s="1" t="n">
        <v>-1076544</v>
      </c>
      <c r="M93" s="1" t="n">
        <v>-1076544</v>
      </c>
      <c r="N93" s="1" t="n">
        <v>-1076544</v>
      </c>
      <c r="O93" s="1" t="n">
        <v>-1076544</v>
      </c>
      <c r="P93" s="1" t="n">
        <v>-1076544</v>
      </c>
      <c r="Q93" s="1" t="n">
        <v>-1076544</v>
      </c>
      <c r="R93" s="1" t="n">
        <v>-1076544</v>
      </c>
      <c r="S93" s="1" t="n">
        <v>-1076544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-1009260</v>
      </c>
      <c r="U96" s="1" t="n">
        <v>-1009260</v>
      </c>
      <c r="V96" s="1" t="n">
        <v>-1009260</v>
      </c>
      <c r="W96" s="1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182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84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29000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-37940.7</v>
      </c>
      <c r="E49" s="1" t="n">
        <v>-37940.7</v>
      </c>
      <c r="F49" s="1" t="n">
        <v>-37940.7</v>
      </c>
      <c r="G49" s="1" t="n">
        <v>-37940.7</v>
      </c>
      <c r="H49" s="1" t="n">
        <v>-37940.7</v>
      </c>
      <c r="I49" s="1" t="n">
        <v>-37940.7</v>
      </c>
      <c r="J49" s="1" t="n">
        <v>-37940.7</v>
      </c>
      <c r="K49" s="1" t="n">
        <v>-37940.7</v>
      </c>
      <c r="L49" s="1" t="n">
        <v>-37940.7</v>
      </c>
      <c r="M49" s="1" t="n">
        <v>-37940.7</v>
      </c>
      <c r="N49" s="1" t="n">
        <v>-37940.7</v>
      </c>
      <c r="O49" s="1" t="n">
        <v>-37940.7</v>
      </c>
      <c r="P49" s="1" t="n">
        <v>-37940.7</v>
      </c>
      <c r="Q49" s="1" t="n">
        <v>-37940.7</v>
      </c>
      <c r="R49" s="1" t="n">
        <v>-37940.7</v>
      </c>
      <c r="S49" s="1" t="n">
        <v>-37940.7</v>
      </c>
      <c r="T49" s="1" t="n">
        <v>-37940.7</v>
      </c>
      <c r="U49" s="1" t="n">
        <v>-37940.7</v>
      </c>
      <c r="V49" s="1" t="n">
        <v>-37940.7</v>
      </c>
      <c r="W49" s="1" t="n">
        <v>-37940.7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-1010090.66666667</v>
      </c>
      <c r="F93" s="1" t="n">
        <v>-1010090.66666667</v>
      </c>
      <c r="G93" s="1" t="n">
        <v>-1010090.66666667</v>
      </c>
      <c r="H93" s="1" t="n">
        <v>-1010090.66666667</v>
      </c>
      <c r="I93" s="1" t="n">
        <v>-1010090.66666667</v>
      </c>
      <c r="J93" s="1" t="n">
        <v>-1010090.66666667</v>
      </c>
      <c r="K93" s="1" t="n">
        <v>-1010090.66666667</v>
      </c>
      <c r="L93" s="1" t="n">
        <v>-1010090.66666667</v>
      </c>
      <c r="M93" s="1" t="n">
        <v>-1010090.66666667</v>
      </c>
      <c r="N93" s="1" t="n">
        <v>-1010090.66666667</v>
      </c>
      <c r="O93" s="1" t="n">
        <v>-1010090.66666667</v>
      </c>
      <c r="P93" s="1" t="n">
        <v>-1010090.66666667</v>
      </c>
      <c r="Q93" s="1" t="n">
        <v>-1010090.66666667</v>
      </c>
      <c r="R93" s="1" t="n">
        <v>-1010090.66666667</v>
      </c>
      <c r="S93" s="1" t="n">
        <v>-1010090.66666667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-946960</v>
      </c>
      <c r="U96" s="1" t="n">
        <v>-946960</v>
      </c>
      <c r="V96" s="1" t="n">
        <v>-946960</v>
      </c>
      <c r="W96" s="1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183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27000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-35324.1</v>
      </c>
      <c r="E49" s="1" t="n">
        <v>-35324.1</v>
      </c>
      <c r="F49" s="1" t="n">
        <v>-35324.1</v>
      </c>
      <c r="G49" s="1" t="n">
        <v>-35324.1</v>
      </c>
      <c r="H49" s="1" t="n">
        <v>-35324.1</v>
      </c>
      <c r="I49" s="1" t="n">
        <v>-35324.1</v>
      </c>
      <c r="J49" s="1" t="n">
        <v>-35324.1</v>
      </c>
      <c r="K49" s="1" t="n">
        <v>-35324.1</v>
      </c>
      <c r="L49" s="1" t="n">
        <v>-35324.1</v>
      </c>
      <c r="M49" s="1" t="n">
        <v>-35324.1</v>
      </c>
      <c r="N49" s="1" t="n">
        <v>-35324.1</v>
      </c>
      <c r="O49" s="1" t="n">
        <v>-35324.1</v>
      </c>
      <c r="P49" s="1" t="n">
        <v>-35324.1</v>
      </c>
      <c r="Q49" s="1" t="n">
        <v>-35324.1</v>
      </c>
      <c r="R49" s="1" t="n">
        <v>-35324.1</v>
      </c>
      <c r="S49" s="1" t="n">
        <v>-35324.1</v>
      </c>
      <c r="T49" s="1" t="n">
        <v>-35324.1</v>
      </c>
      <c r="U49" s="1" t="n">
        <v>-35324.1</v>
      </c>
      <c r="V49" s="1" t="n">
        <v>-35324.1</v>
      </c>
      <c r="W49" s="1" t="n">
        <v>-35324.1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-943637.333333333</v>
      </c>
      <c r="F93" s="1" t="n">
        <v>-943637.333333333</v>
      </c>
      <c r="G93" s="1" t="n">
        <v>-943637.333333333</v>
      </c>
      <c r="H93" s="1" t="n">
        <v>-943637.333333333</v>
      </c>
      <c r="I93" s="1" t="n">
        <v>-943637.333333333</v>
      </c>
      <c r="J93" s="1" t="n">
        <v>-943637.333333333</v>
      </c>
      <c r="K93" s="1" t="n">
        <v>-943637.333333333</v>
      </c>
      <c r="L93" s="1" t="n">
        <v>-943637.333333333</v>
      </c>
      <c r="M93" s="1" t="n">
        <v>-943637.333333333</v>
      </c>
      <c r="N93" s="1" t="n">
        <v>-943637.333333333</v>
      </c>
      <c r="O93" s="1" t="n">
        <v>-943637.333333333</v>
      </c>
      <c r="P93" s="1" t="n">
        <v>-943637.333333333</v>
      </c>
      <c r="Q93" s="1" t="n">
        <v>-943637.333333333</v>
      </c>
      <c r="R93" s="1" t="n">
        <v>-943637.333333333</v>
      </c>
      <c r="S93" s="1" t="n">
        <v>-943637.333333333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-884660</v>
      </c>
      <c r="U96" s="1" t="n">
        <v>-884660</v>
      </c>
      <c r="V96" s="1" t="n">
        <v>-884660</v>
      </c>
      <c r="W96" s="1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34" min="6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184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86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-32707.5</v>
      </c>
      <c r="E49" s="1" t="n">
        <v>-32707.5</v>
      </c>
      <c r="F49" s="1" t="n">
        <v>-32707.5</v>
      </c>
      <c r="G49" s="1" t="n">
        <v>-32707.5</v>
      </c>
      <c r="H49" s="1" t="n">
        <v>-32707.5</v>
      </c>
      <c r="I49" s="1" t="n">
        <v>-32707.5</v>
      </c>
      <c r="J49" s="1" t="n">
        <v>-32707.5</v>
      </c>
      <c r="K49" s="1" t="n">
        <v>-32707.5</v>
      </c>
      <c r="L49" s="1" t="n">
        <v>-32707.5</v>
      </c>
      <c r="M49" s="1" t="n">
        <v>-32707.5</v>
      </c>
      <c r="N49" s="1" t="n">
        <v>-32707.5</v>
      </c>
      <c r="O49" s="1" t="n">
        <v>-32707.5</v>
      </c>
      <c r="P49" s="1" t="n">
        <v>-32707.5</v>
      </c>
      <c r="Q49" s="1" t="n">
        <v>-32707.5</v>
      </c>
      <c r="R49" s="1" t="n">
        <v>-32707.5</v>
      </c>
      <c r="S49" s="1" t="n">
        <v>-32707.5</v>
      </c>
      <c r="T49" s="1" t="n">
        <v>-32707.5</v>
      </c>
      <c r="U49" s="1" t="n">
        <v>-32707.5</v>
      </c>
      <c r="V49" s="1" t="n">
        <v>-32707.5</v>
      </c>
      <c r="W49" s="1" t="n">
        <v>-32707.5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-877184</v>
      </c>
      <c r="F93" s="1" t="n">
        <v>-877184</v>
      </c>
      <c r="G93" s="1" t="n">
        <v>-877184</v>
      </c>
      <c r="H93" s="1" t="n">
        <v>-877184</v>
      </c>
      <c r="I93" s="1" t="n">
        <v>-877184</v>
      </c>
      <c r="J93" s="1" t="n">
        <v>-877184</v>
      </c>
      <c r="K93" s="1" t="n">
        <v>-877184</v>
      </c>
      <c r="L93" s="1" t="n">
        <v>-877184</v>
      </c>
      <c r="M93" s="1" t="n">
        <v>-877184</v>
      </c>
      <c r="N93" s="1" t="n">
        <v>-877184</v>
      </c>
      <c r="O93" s="1" t="n">
        <v>-877184</v>
      </c>
      <c r="P93" s="1" t="n">
        <v>-877184</v>
      </c>
      <c r="Q93" s="1" t="n">
        <v>-877184</v>
      </c>
      <c r="R93" s="1" t="n">
        <v>-877184</v>
      </c>
      <c r="S93" s="1" t="n">
        <v>-877184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-822360</v>
      </c>
      <c r="U96" s="1" t="n">
        <v>-822360</v>
      </c>
      <c r="V96" s="1" t="n">
        <v>-822360</v>
      </c>
      <c r="W96" s="1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185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87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-30090.9</v>
      </c>
      <c r="E49" s="1" t="n">
        <v>-30090.9</v>
      </c>
      <c r="F49" s="1" t="n">
        <v>-30090.9</v>
      </c>
      <c r="G49" s="1" t="n">
        <v>-30090.9</v>
      </c>
      <c r="H49" s="1" t="n">
        <v>-30090.9</v>
      </c>
      <c r="I49" s="1" t="n">
        <v>-30090.9</v>
      </c>
      <c r="J49" s="1" t="n">
        <v>-30090.9</v>
      </c>
      <c r="K49" s="1" t="n">
        <v>-30090.9</v>
      </c>
      <c r="L49" s="1" t="n">
        <v>-30090.9</v>
      </c>
      <c r="M49" s="1" t="n">
        <v>-30090.9</v>
      </c>
      <c r="N49" s="1" t="n">
        <v>-30090.9</v>
      </c>
      <c r="O49" s="1" t="n">
        <v>-30090.9</v>
      </c>
      <c r="P49" s="1" t="n">
        <v>-30090.9</v>
      </c>
      <c r="Q49" s="1" t="n">
        <v>-30090.9</v>
      </c>
      <c r="R49" s="1" t="n">
        <v>-30090.9</v>
      </c>
      <c r="S49" s="1" t="n">
        <v>-30090.9</v>
      </c>
      <c r="T49" s="1" t="n">
        <v>-30090.9</v>
      </c>
      <c r="U49" s="1" t="n">
        <v>-30090.9</v>
      </c>
      <c r="V49" s="1" t="n">
        <v>-30090.9</v>
      </c>
      <c r="W49" s="1" t="n">
        <v>-30090.9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-810730.666666667</v>
      </c>
      <c r="F93" s="1" t="n">
        <v>-810730.666666667</v>
      </c>
      <c r="G93" s="1" t="n">
        <v>-810730.666666667</v>
      </c>
      <c r="H93" s="1" t="n">
        <v>-810730.666666667</v>
      </c>
      <c r="I93" s="1" t="n">
        <v>-810730.666666667</v>
      </c>
      <c r="J93" s="1" t="n">
        <v>-810730.666666667</v>
      </c>
      <c r="K93" s="1" t="n">
        <v>-810730.666666667</v>
      </c>
      <c r="L93" s="1" t="n">
        <v>-810730.666666667</v>
      </c>
      <c r="M93" s="1" t="n">
        <v>-810730.666666667</v>
      </c>
      <c r="N93" s="1" t="n">
        <v>-810730.666666667</v>
      </c>
      <c r="O93" s="1" t="n">
        <v>-810730.666666667</v>
      </c>
      <c r="P93" s="1" t="n">
        <v>-810730.666666667</v>
      </c>
      <c r="Q93" s="1" t="n">
        <v>-810730.666666667</v>
      </c>
      <c r="R93" s="1" t="n">
        <v>-810730.666666667</v>
      </c>
      <c r="S93" s="1" t="n">
        <v>-810730.666666667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-760060</v>
      </c>
      <c r="U96" s="1" t="n">
        <v>-760060</v>
      </c>
      <c r="V96" s="1" t="n">
        <v>-760060</v>
      </c>
      <c r="W96" s="1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186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88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-27474.3</v>
      </c>
      <c r="E49" s="1" t="n">
        <v>-27474.3</v>
      </c>
      <c r="F49" s="1" t="n">
        <v>-27474.3</v>
      </c>
      <c r="G49" s="1" t="n">
        <v>-27474.3</v>
      </c>
      <c r="H49" s="1" t="n">
        <v>-27474.3</v>
      </c>
      <c r="I49" s="1" t="n">
        <v>-27474.3</v>
      </c>
      <c r="J49" s="1" t="n">
        <v>-27474.3</v>
      </c>
      <c r="K49" s="1" t="n">
        <v>-27474.3</v>
      </c>
      <c r="L49" s="1" t="n">
        <v>-27474.3</v>
      </c>
      <c r="M49" s="1" t="n">
        <v>-27474.3</v>
      </c>
      <c r="N49" s="1" t="n">
        <v>-27474.3</v>
      </c>
      <c r="O49" s="1" t="n">
        <v>-27474.3</v>
      </c>
      <c r="P49" s="1" t="n">
        <v>-27474.3</v>
      </c>
      <c r="Q49" s="1" t="n">
        <v>-27474.3</v>
      </c>
      <c r="R49" s="1" t="n">
        <v>-27474.3</v>
      </c>
      <c r="S49" s="1" t="n">
        <v>-27474.3</v>
      </c>
      <c r="T49" s="1" t="n">
        <v>-27474.3</v>
      </c>
      <c r="U49" s="1" t="n">
        <v>-27474.3</v>
      </c>
      <c r="V49" s="1" t="n">
        <v>-27474.3</v>
      </c>
      <c r="W49" s="1" t="n">
        <v>-27474.3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-744277.333333333</v>
      </c>
      <c r="F93" s="1" t="n">
        <v>-744277.333333333</v>
      </c>
      <c r="G93" s="1" t="n">
        <v>-744277.333333333</v>
      </c>
      <c r="H93" s="1" t="n">
        <v>-744277.333333333</v>
      </c>
      <c r="I93" s="1" t="n">
        <v>-744277.333333333</v>
      </c>
      <c r="J93" s="1" t="n">
        <v>-744277.333333333</v>
      </c>
      <c r="K93" s="1" t="n">
        <v>-744277.333333333</v>
      </c>
      <c r="L93" s="1" t="n">
        <v>-744277.333333333</v>
      </c>
      <c r="M93" s="1" t="n">
        <v>-744277.333333333</v>
      </c>
      <c r="N93" s="1" t="n">
        <v>-744277.333333333</v>
      </c>
      <c r="O93" s="1" t="n">
        <v>-744277.333333333</v>
      </c>
      <c r="P93" s="1" t="n">
        <v>-744277.333333333</v>
      </c>
      <c r="Q93" s="1" t="n">
        <v>-744277.333333333</v>
      </c>
      <c r="R93" s="1" t="n">
        <v>-744277.333333333</v>
      </c>
      <c r="S93" s="1" t="n">
        <v>-744277.333333333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-697760</v>
      </c>
      <c r="U96" s="1" t="n">
        <v>-697760</v>
      </c>
      <c r="V96" s="1" t="n">
        <v>-697760</v>
      </c>
      <c r="W96" s="1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2026-04-14T13:27:51Z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