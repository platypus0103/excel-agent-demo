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  <sheet name="p9" sheetId="11" state="visible" r:id="rId13"/>
    <sheet name="p10" sheetId="12" state="visible" r:id="rId14"/>
    <sheet name="p11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<sst xmlns="http://schemas.openxmlformats.org/spreadsheetml/2006/main" count="2373" uniqueCount="203">
  <si>
    <t xml:space="preserve">電站基本資料</t>
  </si>
  <si>
    <t xml:space="preserve">電站名稱</t>
  </si>
  <si>
    <r>
      <rPr>
        <sz val="12"/>
        <color theme="1"/>
        <rFont val="新細明體"/>
        <family val="2"/>
        <charset val="1"/>
      </rPr>
      <t xml:space="preserve">淡江大學</t>
    </r>
    <r>
      <rPr>
        <sz val="12"/>
        <color theme="1"/>
        <rFont val="Calibri"/>
        <family val="2"/>
        <charset val="136"/>
      </rPr>
      <t xml:space="preserve">-</t>
    </r>
    <r>
      <rPr>
        <sz val="12"/>
        <color theme="1"/>
        <rFont val="新細明體"/>
        <family val="2"/>
        <charset val="1"/>
      </rPr>
      <t xml:space="preserve">財務模擬案場</t>
    </r>
  </si>
  <si>
    <t xml:space="preserve">-</t>
  </si>
  <si>
    <t xml:space="preserve">電站壽命</t>
  </si>
  <si>
    <t xml:space="preserve">建置量(kWp)</t>
  </si>
  <si>
    <t xml:space="preserve">起始年度</t>
  </si>
  <si>
    <t xml:space="preserve">結束年度</t>
  </si>
  <si>
    <t xml:space="preserve">綜合損益表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</si>
  <si>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</si>
  <si>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</si>
  <si>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</si>
  <si>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</si>
  <si>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</si>
  <si>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</si>
  <si>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</si>
  <si>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t xml:space="preserve">首年衰退率</t>
  </si>
  <si>
    <t xml:space="preserve">次年衰退率</t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</si>
  <si>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</t>
    </r>
  </si>
  <si>
    <t xml:space="preserve">支出</t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</si>
  <si>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</si>
  <si>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</si>
  <si>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t xml:space="preserve">每kWp設備成本</t>
  </si>
  <si>
    <t xml:space="preserve">信邦利潤率</t>
  </si>
  <si>
    <t xml:space="preserve">開發費</t>
  </si>
  <si>
    <t xml:space="preserve">租金費用</t>
  </si>
  <si>
    <t xml:space="preserve">租金計算方式
(1=固定攤提/2=電費抽成)</t>
  </si>
  <si>
    <t xml:space="preserve">【方式1參數】租金總額</t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</si>
  <si>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36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</si>
  <si>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</si>
  <si>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</si>
  <si>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t xml:space="preserve">保險費用</t>
  </si>
  <si>
    <t xml:space="preserve">占整體設備費用比例</t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</si>
  <si>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</si>
  <si>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</si>
  <si>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t xml:space="preserve">利息費用</t>
  </si>
  <si>
    <t xml:space="preserve">銀行利率</t>
  </si>
  <si>
    <t xml:space="preserve">所得稅</t>
  </si>
  <si>
    <t xml:space="preserve">所得稅率</t>
  </si>
  <si>
    <t xml:space="preserve">現金流量表</t>
  </si>
  <si>
    <t xml:space="preserve">金流項目</t>
  </si>
  <si>
    <t xml:space="preserve">貸款成數</t>
  </si>
  <si>
    <t xml:space="preserve">占總設備費用比例</t>
  </si>
  <si>
    <t xml:space="preserve">貸款還款</t>
  </si>
  <si>
    <t xml:space="preserve">攤還期數</t>
  </si>
  <si>
    <t xml:space="preserve">現金股利</t>
  </si>
  <si>
    <t xml:space="preserve">股利比率</t>
  </si>
  <si>
    <t xml:space="preserve">年底減資</t>
  </si>
  <si>
    <t xml:space="preserve">年份</t>
  </si>
  <si>
    <t xml:space="preserve">手動計算值</t>
  </si>
  <si>
    <t xml:space="preserve">償還年限</t>
  </si>
  <si>
    <t xml:space="preserve">(Unit : Currency)</t>
  </si>
  <si>
    <r>
      <rPr>
        <sz val="12"/>
        <color rgb="FF000000"/>
        <rFont val="新細明體"/>
        <family val="2"/>
        <charset val="1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</si>
  <si>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</si>
  <si>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</si>
  <si>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</si>
  <si>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</si>
  <si>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</si>
  <si>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</si>
  <si>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</si>
  <si>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</si>
  <si>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</si>
  <si>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</si>
  <si>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</si>
  <si>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</si>
  <si>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</si>
  <si>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</si>
  <si>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</si>
  <si>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</si>
  <si>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Discounted cash flow</t>
  </si>
  <si>
    <t xml:space="preserve">Minus : Depreciation</t>
  </si>
  <si>
    <t xml:space="preserve">Plus : Principle payment</t>
  </si>
  <si>
    <t xml:space="preserve">Profit</t>
  </si>
  <si>
    <t xml:space="preserve">EPS</t>
  </si>
  <si>
    <t xml:space="preserve">回收年限評估</t>
  </si>
  <si>
    <t xml:space="preserve">預估可建置量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</si>
  <si>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</si>
  <si>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</si>
  <si>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</si>
  <si>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</si>
  <si>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</si>
  <si>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</si>
  <si>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</si>
  <si>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</si>
  <si>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</si>
  <si>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</si>
  <si>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</si>
  <si>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成本法IRR</t>
  </si>
  <si>
    <t xml:space="preserve">權益法實際現金流</t>
  </si>
  <si>
    <t xml:space="preserve">權益法IRR</t>
  </si>
  <si>
    <t xml:space="preserve">借款餘額</t>
  </si>
  <si>
    <t xml:space="preserve">編號</t>
  </si>
  <si>
    <t xml:space="preserve">價金每KW</t>
  </si>
  <si>
    <t xml:space="preserve">專案法IRR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</si>
  <si>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</si>
  <si>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</si>
  <si>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</si>
  <si>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</si>
  <si>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</si>
  <si>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</si>
  <si>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</si>
  <si>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</si>
  <si>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</si>
  <si>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</si>
  <si>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</si>
  <si>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t xml:space="preserve">第8次滾算，減少 2000 元 - 現金模式，每次減少 2000 元</t>
  </si>
  <si>
    <t xml:space="preserve">第9次滾算，減少 2000 元 - 現金模式，每次減少 2000 元</t>
  </si>
  <si>
    <t xml:space="preserve">第10次滾算，減少 2000 元 - 現金模式，每次減少 2000 元</t>
  </si>
  <si>
    <t xml:space="preserve">說明</t>
  </si>
  <si>
    <r>
      <rPr>
        <sz val="12"/>
        <color theme="1"/>
        <rFont val="新細明體"/>
        <family val="2"/>
        <charset val="1"/>
      </rPr>
      <t xml:space="preserve">淡江大學</t>
    </r>
    <r>
      <rPr>
        <sz val="12"/>
        <color theme="1"/>
        <rFont val="Noto Sans CJK SC"/>
        <family val="2"/>
        <charset val="1"/>
      </rPr>
      <t xml:space="preserve">-</t>
    </r>
    <r>
      <rPr>
        <sz val="12"/>
        <color theme="1"/>
        <rFont val="新細明體"/>
        <family val="2"/>
        <charset val="1"/>
      </rPr>
      <t xml:space="preserve">財務模擬案場</t>
    </r>
  </si>
  <si>
    <t xml:space="preserve">填入本案場名稱</t>
  </si>
  <si>
    <r>
      <rPr>
        <sz val="10"/>
        <color rgb="FF404040"/>
        <rFont val="新細明體"/>
        <family val="2"/>
        <charset val="1"/>
      </rPr>
      <t xml:space="preserve">預設 </t>
    </r>
    <r>
      <rPr>
        <sz val="10"/>
        <color rgb="FF404040"/>
        <rFont val="Noto Sans CJK SC"/>
        <family val="2"/>
        <charset val="1"/>
      </rPr>
      <t xml:space="preserve">20 </t>
    </r>
    <r>
      <rPr>
        <sz val="10"/>
        <color rgb="FF404040"/>
        <rFont val="新細明體"/>
        <family val="2"/>
        <charset val="1"/>
      </rPr>
      <t xml:space="preserve">年，代表財務評估年期。若合約年限不同可依實際情況修改</t>
    </r>
  </si>
  <si>
    <r>
      <rPr>
        <sz val="12"/>
        <color theme="1"/>
        <rFont val="新細明體"/>
        <family val="2"/>
        <charset val="1"/>
      </rPr>
      <t xml:space="preserve">建置量</t>
    </r>
    <r>
      <rPr>
        <sz val="12"/>
        <color theme="1"/>
        <rFont val="Noto Sans CJK SC"/>
        <family val="2"/>
        <charset val="1"/>
      </rPr>
      <t xml:space="preserve">(kWp)</t>
    </r>
  </si>
  <si>
    <r>
      <rPr>
        <sz val="10"/>
        <color rgb="FF404040"/>
        <rFont val="新細明體"/>
        <family val="2"/>
        <charset val="1"/>
      </rPr>
      <t xml:space="preserve">填入裝置容量（</t>
    </r>
    <r>
      <rPr>
        <sz val="10"/>
        <color rgb="FF404040"/>
        <rFont val="Noto Sans CJK SC"/>
        <family val="2"/>
        <charset val="1"/>
      </rPr>
      <t xml:space="preserve">kWp</t>
    </r>
    <r>
      <rPr>
        <sz val="10"/>
        <color rgb="FF404040"/>
        <rFont val="新細明體"/>
        <family val="2"/>
        <charset val="1"/>
      </rPr>
      <t xml:space="preserve">），通常由設計圖面或報價書取得</t>
    </r>
  </si>
  <si>
    <t xml:space="preserve">情境編號: 1</t>
  </si>
  <si>
    <r>
      <rPr>
        <sz val="10"/>
        <color rgb="FF404040"/>
        <rFont val="新細明體"/>
        <family val="2"/>
        <charset val="1"/>
      </rPr>
      <t xml:space="preserve">填入電站預計掛表的西元年份（例：</t>
    </r>
    <r>
      <rPr>
        <sz val="10"/>
        <color rgb="FF404040"/>
        <rFont val="Noto Sans CJK SC"/>
        <family val="2"/>
        <charset val="136"/>
      </rPr>
      <t xml:space="preserve">2025</t>
    </r>
    <r>
      <rPr>
        <sz val="10"/>
        <color rgb="FF404040"/>
        <rFont val="新細明體"/>
        <family val="2"/>
        <charset val="1"/>
      </rPr>
      <t xml:space="preserve">）。結束年度會自動計算</t>
    </r>
  </si>
  <si>
    <t xml:space="preserve">初始價金摘要</t>
  </si>
  <si>
    <t xml:space="preserve">價金: 40000</t>
  </si>
  <si>
    <t xml:space="preserve">專案IRR: -0.33</t>
  </si>
  <si>
    <t xml:space="preserve">權益法IRR: -3.76</t>
  </si>
  <si>
    <t xml:space="preserve">利潤率: 20.00%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</si>
  <si>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Noto Sans CJK SC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</si>
  <si>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r>
      <rPr>
        <sz val="10"/>
        <color rgb="FF404040"/>
        <rFont val="新細明體"/>
        <family val="2"/>
        <charset val="1"/>
      </rPr>
      <t xml:space="preserve">預估年發電量（</t>
    </r>
    <r>
      <rPr>
        <sz val="10"/>
        <color rgb="FF404040"/>
        <rFont val="Noto Sans CJK SC"/>
        <family val="2"/>
        <charset val="1"/>
      </rPr>
      <t xml:space="preserve">kWh</t>
    </r>
    <r>
      <rPr>
        <sz val="10"/>
        <color rgb="FF404040"/>
        <rFont val="新細明體"/>
        <family val="2"/>
        <charset val="1"/>
      </rPr>
      <t xml:space="preserve">），通常來自 </t>
    </r>
    <r>
      <rPr>
        <sz val="10"/>
        <color rgb="FF404040"/>
        <rFont val="Noto Sans CJK SC"/>
        <family val="2"/>
        <charset val="1"/>
      </rPr>
      <t xml:space="preserve">PVsyst </t>
    </r>
    <r>
      <rPr>
        <sz val="10"/>
        <color rgb="FF404040"/>
        <rFont val="新細明體"/>
        <family val="2"/>
        <charset val="1"/>
      </rPr>
      <t xml:space="preserve">模擬或估算：裝置容量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年日照時數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系統效率</t>
    </r>
  </si>
  <si>
    <t xml:space="preserve">初始價金 - 現金模式，每次減少 2000 元</t>
  </si>
  <si>
    <r>
      <rPr>
        <sz val="10"/>
        <color rgb="FF404040"/>
        <rFont val="新細明體"/>
        <family val="2"/>
        <charset val="1"/>
      </rPr>
      <t xml:space="preserve">第一年發電衰退比率，請填小數（例：</t>
    </r>
    <r>
      <rPr>
        <sz val="10"/>
        <color rgb="FF404040"/>
        <rFont val="Noto Sans CJK SC"/>
        <family val="2"/>
        <charset val="136"/>
      </rPr>
      <t xml:space="preserve">1%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36"/>
      </rPr>
      <t xml:space="preserve">0.01</t>
    </r>
    <r>
      <rPr>
        <sz val="10"/>
        <color rgb="FF404040"/>
        <rFont val="新細明體"/>
        <family val="2"/>
        <charset val="1"/>
      </rPr>
      <t xml:space="preserve">）。一般首年衰退約 </t>
    </r>
    <r>
      <rPr>
        <sz val="10"/>
        <color rgb="FF404040"/>
        <rFont val="Noto Sans CJK SC"/>
        <family val="2"/>
        <charset val="136"/>
      </rPr>
      <t xml:space="preserve">1~2%(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Noto Sans CJK SC"/>
        <family val="2"/>
        <charset val="136"/>
      </rPr>
      <t xml:space="preserve">)</t>
    </r>
  </si>
  <si>
    <r>
      <rPr>
        <sz val="10"/>
        <color rgb="FF404040"/>
        <rFont val="新細明體"/>
        <family val="2"/>
        <charset val="1"/>
      </rPr>
      <t xml:space="preserve">第二年起每年固定衰退比率，請填小數（例：</t>
    </r>
    <r>
      <rPr>
        <sz val="10"/>
        <color rgb="FF404040"/>
        <rFont val="Noto Sans CJK SC"/>
        <family val="2"/>
        <charset val="136"/>
      </rPr>
      <t xml:space="preserve">0.4%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36"/>
      </rPr>
      <t xml:space="preserve">0.004</t>
    </r>
    <r>
      <rPr>
        <sz val="10"/>
        <color rgb="FF404040"/>
        <rFont val="新細明體"/>
        <family val="2"/>
        <charset val="1"/>
      </rPr>
      <t xml:space="preserve">）。一般約 </t>
    </r>
    <r>
      <rPr>
        <sz val="10"/>
        <color rgb="FF404040"/>
        <rFont val="Noto Sans CJK SC"/>
        <family val="2"/>
        <charset val="136"/>
      </rPr>
      <t xml:space="preserve">0.4~0.7%(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Noto Sans CJK SC"/>
        <family val="2"/>
        <charset val="136"/>
      </rPr>
      <t xml:space="preserve">)</t>
    </r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</si>
  <si>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Noto Sans CJK SC"/>
        <family val="2"/>
        <charset val="1"/>
      </rPr>
      <t xml:space="preserve">(FIT) / </t>
    </r>
    <r>
      <rPr>
        <sz val="12"/>
        <color theme="1"/>
        <rFont val="新細明體"/>
        <family val="2"/>
        <charset val="1"/>
      </rPr>
      <t xml:space="preserve">綠電費率</t>
    </r>
  </si>
  <si>
    <r>
      <rPr>
        <sz val="10"/>
        <color rgb="FF404040"/>
        <rFont val="新細明體"/>
        <family val="2"/>
        <charset val="1"/>
      </rPr>
      <t xml:space="preserve">與台電簽訂的躉購費率或綠電合約費率，單位：元</t>
    </r>
    <r>
      <rPr>
        <sz val="10"/>
        <color rgb="FF404040"/>
        <rFont val="Noto Sans CJK SC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度。請參考台電公告或合約內容</t>
    </r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</si>
  <si>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Noto Sans CJK SC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Noto Sans CJK SC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</si>
  <si>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kWp</t>
    </r>
    <r>
      <rPr>
        <sz val="12"/>
        <color theme="1"/>
        <rFont val="新細明體"/>
        <family val="2"/>
        <charset val="1"/>
      </rPr>
      <t xml:space="preserve">設備成本</t>
    </r>
  </si>
  <si>
    <r>
      <rPr>
        <sz val="10"/>
        <color rgb="FF404040"/>
        <rFont val="新細明體"/>
        <family val="2"/>
        <charset val="1"/>
      </rPr>
      <t xml:space="preserve">每峰瓩設備成本（元</t>
    </r>
    <r>
      <rPr>
        <sz val="10"/>
        <color rgb="FF404040"/>
        <rFont val="Noto Sans CJK SC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），包含模組、逆變器、支架等硬體，不含工程施工費</t>
    </r>
  </si>
  <si>
    <r>
      <rPr>
        <sz val="12"/>
        <color theme="1"/>
        <rFont val="新細明體"/>
        <family val="2"/>
        <charset val="1"/>
      </rPr>
      <t xml:space="preserve">信邦利潤率</t>
    </r>
    <r>
      <rPr>
        <sz val="12"/>
        <color theme="1"/>
        <rFont val="Noto Sans CJK SC"/>
        <family val="2"/>
        <charset val="1"/>
      </rPr>
      <t xml:space="preserve">(ex:20%</t>
    </r>
    <r>
      <rPr>
        <sz val="12"/>
        <color theme="1"/>
        <rFont val="新細明體"/>
        <family val="2"/>
        <charset val="1"/>
      </rPr>
      <t xml:space="preserve">填</t>
    </r>
    <r>
      <rPr>
        <sz val="12"/>
        <color theme="1"/>
        <rFont val="Noto Sans CJK SC"/>
        <family val="2"/>
        <charset val="1"/>
      </rPr>
      <t xml:space="preserve">0.2)</t>
    </r>
  </si>
  <si>
    <r>
      <rPr>
        <sz val="10"/>
        <color rgb="FF404040"/>
        <rFont val="新細明體"/>
        <family val="2"/>
        <charset val="1"/>
      </rPr>
      <t xml:space="preserve">公司在設備費用上加計的利潤比率，請填小數（例：</t>
    </r>
    <r>
      <rPr>
        <sz val="10"/>
        <color rgb="FF404040"/>
        <rFont val="Noto Sans CJK SC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</t>
    </r>
  </si>
  <si>
    <r>
      <rPr>
        <sz val="10"/>
        <color rgb="FF404040"/>
        <rFont val="新細明體"/>
        <family val="2"/>
        <charset val="1"/>
      </rPr>
      <t xml:space="preserve">前期開發費用（元），含可行性評估、申請規費、地主溝通等。若無則填 </t>
    </r>
    <r>
      <rPr>
        <sz val="10"/>
        <color rgb="FF404040"/>
        <rFont val="Noto Sans CJK SC"/>
        <family val="2"/>
        <charset val="1"/>
      </rPr>
      <t xml:space="preserve">0</t>
    </r>
  </si>
  <si>
    <t xml:space="preserve">租金計算方式</t>
  </si>
  <si>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1 = </t>
    </r>
    <r>
      <rPr>
        <sz val="10"/>
        <color rgb="FF404040"/>
        <rFont val="新細明體"/>
        <family val="2"/>
        <charset val="1"/>
      </rPr>
      <t xml:space="preserve">固定年租金（需填方式</t>
    </r>
    <r>
      <rPr>
        <sz val="10"/>
        <color rgb="FF404040"/>
        <rFont val="Noto Sans CJK SC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參數）；填 </t>
    </r>
    <r>
      <rPr>
        <sz val="10"/>
        <color rgb="FF404040"/>
        <rFont val="Noto Sans CJK SC"/>
        <family val="2"/>
        <charset val="1"/>
      </rPr>
      <t xml:space="preserve">2 = </t>
    </r>
    <r>
      <rPr>
        <sz val="10"/>
        <color rgb="FF404040"/>
        <rFont val="新細明體"/>
        <family val="2"/>
        <charset val="1"/>
      </rPr>
      <t xml:space="preserve">依電費收入抽成（需填方式</t>
    </r>
    <r>
      <rPr>
        <sz val="10"/>
        <color rgb="FF404040"/>
        <rFont val="Noto Sans CJK SC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參數）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</si>
  <si>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Noto Sans CJK SC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參數】每年相同價格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</si>
  <si>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Noto Sans CJK SC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」時填寫，固定年租金金額（元</t>
    </r>
    <r>
      <rPr>
        <sz val="10"/>
        <color rgb="FF404040"/>
        <rFont val="Noto Sans CJK SC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年），套用至整個電站壽命期</t>
    </r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</si>
  <si>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Noto Sans CJK SC"/>
        <family val="2"/>
        <charset val="1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</si>
  <si>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Noto Sans CJK SC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」時填寫，請填小數（例：</t>
    </r>
    <r>
      <rPr>
        <sz val="10"/>
        <color rgb="FF404040"/>
        <rFont val="Noto Sans CJK SC"/>
        <family val="2"/>
        <charset val="1"/>
      </rPr>
      <t xml:space="preserve">10%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0.1</t>
    </r>
    <r>
      <rPr>
        <sz val="10"/>
        <color rgb="FF404040"/>
        <rFont val="新細明體"/>
        <family val="2"/>
        <charset val="1"/>
      </rPr>
      <t xml:space="preserve">）。租金 </t>
    </r>
    <r>
      <rPr>
        <sz val="10"/>
        <color rgb="FF404040"/>
        <rFont val="Noto Sans CJK SC"/>
        <family val="2"/>
        <charset val="1"/>
      </rPr>
      <t xml:space="preserve">= </t>
    </r>
    <r>
      <rPr>
        <sz val="10"/>
        <color rgb="FF404040"/>
        <rFont val="新細明體"/>
        <family val="2"/>
        <charset val="1"/>
      </rPr>
      <t xml:space="preserve">當年電費收入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抽成比率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</si>
  <si>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</si>
  <si>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r>
      <rPr>
        <sz val="10"/>
        <color rgb="FF404040"/>
        <rFont val="新細明體"/>
        <family val="2"/>
        <charset val="1"/>
      </rPr>
      <t xml:space="preserve">每峰瓩每年運維費用（元</t>
    </r>
    <r>
      <rPr>
        <sz val="10"/>
        <color rgb="FF404040"/>
        <rFont val="Noto Sans CJK SC"/>
        <family val="2"/>
        <charset val="136"/>
      </rPr>
      <t xml:space="preserve">/kWp/</t>
    </r>
    <r>
      <rPr>
        <sz val="10"/>
        <color rgb="FF404040"/>
        <rFont val="新細明體"/>
        <family val="2"/>
        <charset val="1"/>
      </rPr>
      <t xml:space="preserve">年），含清洗、巡檢、維修等。</t>
    </r>
  </si>
  <si>
    <r>
      <rPr>
        <sz val="10"/>
        <color rgb="FF404040"/>
        <rFont val="新細明體"/>
        <family val="2"/>
        <charset val="1"/>
      </rPr>
      <t xml:space="preserve">保險費佔設備總費用比率，填小數（例：</t>
    </r>
    <r>
      <rPr>
        <sz val="10"/>
        <color rgb="FF404040"/>
        <rFont val="Noto Sans CJK SC"/>
        <family val="2"/>
        <charset val="1"/>
      </rPr>
      <t xml:space="preserve">0.3%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，可依投保條件調整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</si>
  <si>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</si>
  <si>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r>
      <rPr>
        <sz val="10"/>
        <color rgb="FF404040"/>
        <rFont val="新細明體"/>
        <family val="2"/>
        <charset val="1"/>
      </rPr>
      <t xml:space="preserve">每峰瓩模組廢棄回收費用（元</t>
    </r>
    <r>
      <rPr>
        <sz val="10"/>
        <color rgb="FF404040"/>
        <rFont val="Noto Sans CJK SC"/>
        <family val="2"/>
        <charset val="136"/>
      </rPr>
      <t xml:space="preserve">/kWp</t>
    </r>
    <r>
      <rPr>
        <sz val="10"/>
        <color rgb="FF404040"/>
        <rFont val="新細明體"/>
        <family val="2"/>
        <charset val="1"/>
      </rPr>
      <t xml:space="preserve">），於第 </t>
    </r>
    <r>
      <rPr>
        <sz val="10"/>
        <color rgb="FF404040"/>
        <rFont val="Noto Sans CJK SC"/>
        <family val="2"/>
        <charset val="136"/>
      </rPr>
      <t xml:space="preserve">1~10 </t>
    </r>
    <r>
      <rPr>
        <sz val="10"/>
        <color rgb="FF404040"/>
        <rFont val="新細明體"/>
        <family val="2"/>
        <charset val="1"/>
      </rPr>
      <t xml:space="preserve">年計提（攤提 </t>
    </r>
    <r>
      <rPr>
        <sz val="10"/>
        <color rgb="FF404040"/>
        <rFont val="Noto Sans CJK SC"/>
        <family val="2"/>
        <charset val="136"/>
      </rPr>
      <t xml:space="preserve">10 </t>
    </r>
    <r>
      <rPr>
        <sz val="10"/>
        <color rgb="FF404040"/>
        <rFont val="新細明體"/>
        <family val="2"/>
        <charset val="1"/>
      </rPr>
      <t xml:space="preserve">年）。</t>
    </r>
  </si>
  <si>
    <r>
      <rPr>
        <sz val="10"/>
        <color rgb="FF404040"/>
        <rFont val="新細明體"/>
        <family val="2"/>
        <charset val="1"/>
      </rPr>
      <t xml:space="preserve">向銀行貸款的年利率，填小數（例：</t>
    </r>
    <r>
      <rPr>
        <sz val="10"/>
        <color rgb="FF404040"/>
        <rFont val="Noto Sans CJK SC"/>
        <family val="2"/>
        <charset val="1"/>
      </rPr>
      <t xml:space="preserve">2.56%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0.0256</t>
    </r>
    <r>
      <rPr>
        <sz val="10"/>
        <color rgb="FF404040"/>
        <rFont val="新細明體"/>
        <family val="2"/>
        <charset val="1"/>
      </rPr>
      <t xml:space="preserve">）。請依銀行核准利率填入</t>
    </r>
  </si>
  <si>
    <r>
      <rPr>
        <sz val="10"/>
        <color rgb="FF404040"/>
        <rFont val="新細明體"/>
        <family val="2"/>
        <charset val="1"/>
      </rPr>
      <t xml:space="preserve">公司所得稅率，填小數（例：</t>
    </r>
    <r>
      <rPr>
        <sz val="10"/>
        <color rgb="FF404040"/>
        <rFont val="Noto Sans CJK SC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，通常不需更改</t>
    </r>
  </si>
  <si>
    <r>
      <rPr>
        <sz val="10"/>
        <color rgb="FF404040"/>
        <rFont val="新細明體"/>
        <family val="2"/>
        <charset val="1"/>
      </rPr>
      <t xml:space="preserve">貸款佔設備總費用比例，填小數（例：</t>
    </r>
    <r>
      <rPr>
        <sz val="10"/>
        <color rgb="FF404040"/>
        <rFont val="Noto Sans CJK SC"/>
        <family val="2"/>
        <charset val="1"/>
      </rPr>
      <t xml:space="preserve">80%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0.8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0.8 </t>
    </r>
    <r>
      <rPr>
        <sz val="10"/>
        <color rgb="FF404040"/>
        <rFont val="新細明體"/>
        <family val="2"/>
        <charset val="1"/>
      </rPr>
      <t xml:space="preserve">代表貸八成、自備二成</t>
    </r>
  </si>
  <si>
    <r>
      <rPr>
        <sz val="10"/>
        <color rgb="FF404040"/>
        <rFont val="新細明體"/>
        <family val="2"/>
        <charset val="1"/>
      </rPr>
      <t xml:space="preserve">貸款還款年數（年）。預設 </t>
    </r>
    <r>
      <rPr>
        <sz val="10"/>
        <color rgb="FF404040"/>
        <rFont val="Noto Sans CJK SC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年，代表分 </t>
    </r>
    <r>
      <rPr>
        <sz val="10"/>
        <color rgb="FF404040"/>
        <rFont val="Noto Sans CJK SC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年平均攤還本金</t>
    </r>
  </si>
  <si>
    <r>
      <rPr>
        <sz val="10"/>
        <color rgb="FF404040"/>
        <rFont val="新細明體"/>
        <family val="2"/>
        <charset val="1"/>
      </rPr>
      <t xml:space="preserve">稅後現金流中分配給股東的比例，填小數（例：</t>
    </r>
    <r>
      <rPr>
        <sz val="10"/>
        <color rgb="FF404040"/>
        <rFont val="Noto Sans CJK SC"/>
        <family val="2"/>
        <charset val="1"/>
      </rPr>
      <t xml:space="preserve">90%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0.9</t>
    </r>
    <r>
      <rPr>
        <sz val="10"/>
        <color rgb="FF404040"/>
        <rFont val="新細明體"/>
        <family val="2"/>
        <charset val="1"/>
      </rPr>
      <t xml:space="preserve">）</t>
    </r>
  </si>
  <si>
    <r>
      <rPr>
        <sz val="10"/>
        <color rgb="FF404040"/>
        <rFont val="新細明體"/>
        <family val="2"/>
        <charset val="1"/>
      </rPr>
      <t xml:space="preserve">年底減資返還股東的年數。預設 </t>
    </r>
    <r>
      <rPr>
        <sz val="10"/>
        <color rgb="FF404040"/>
        <rFont val="Noto Sans CJK SC"/>
        <family val="2"/>
        <charset val="136"/>
      </rPr>
      <t xml:space="preserve">4 </t>
    </r>
    <r>
      <rPr>
        <sz val="10"/>
        <color rgb="FF404040"/>
        <rFont val="新細明體"/>
        <family val="2"/>
        <charset val="1"/>
      </rPr>
      <t xml:space="preserve">年，代表 倒數 </t>
    </r>
    <r>
      <rPr>
        <sz val="10"/>
        <color rgb="FF404040"/>
        <rFont val="Noto Sans CJK SC"/>
        <family val="2"/>
        <charset val="136"/>
      </rPr>
      <t xml:space="preserve">4 </t>
    </r>
    <r>
      <rPr>
        <sz val="10"/>
        <color rgb="FF404040"/>
        <rFont val="新細明體"/>
        <family val="2"/>
        <charset val="1"/>
      </rPr>
      <t xml:space="preserve">年進行減資，加速資金返還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</si>
  <si>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</si>
  <si>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</si>
  <si>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情境編號: 2</t>
  </si>
  <si>
    <t xml:space="preserve">第1次滾算摘要</t>
  </si>
  <si>
    <t xml:space="preserve">價金: 38000</t>
  </si>
  <si>
    <t xml:space="preserve">專案IRR: 0.05</t>
  </si>
  <si>
    <t xml:space="preserve">權益法IRR: -2.7</t>
  </si>
  <si>
    <t xml:space="preserve">情境編號: 3</t>
  </si>
  <si>
    <t xml:space="preserve">第2次滾算摘要</t>
  </si>
  <si>
    <t xml:space="preserve">價金: 36000</t>
  </si>
  <si>
    <t xml:space="preserve">專案IRR: 0.46</t>
  </si>
  <si>
    <t xml:space="preserve">權益法IRR: -1.53</t>
  </si>
  <si>
    <t xml:space="preserve">情境編號: 4</t>
  </si>
  <si>
    <t xml:space="preserve">第3次滾算摘要</t>
  </si>
  <si>
    <t xml:space="preserve">價金: 34000</t>
  </si>
  <si>
    <t xml:space="preserve">專案IRR: 0.91</t>
  </si>
  <si>
    <t xml:space="preserve">權益法IRR: -0.23</t>
  </si>
  <si>
    <t xml:space="preserve">情境編號: 5</t>
  </si>
  <si>
    <t xml:space="preserve">第4次滾算摘要</t>
  </si>
  <si>
    <t xml:space="preserve">價金: 32000</t>
  </si>
  <si>
    <t xml:space="preserve">專案IRR: 1.4</t>
  </si>
  <si>
    <t xml:space="preserve">權益法IRR: 1.23</t>
  </si>
  <si>
    <t xml:space="preserve">情境編號: 6</t>
  </si>
  <si>
    <t xml:space="preserve">第5次滾算摘要</t>
  </si>
  <si>
    <t xml:space="preserve">價金: 30000</t>
  </si>
  <si>
    <t xml:space="preserve">專案IRR: 1.93</t>
  </si>
  <si>
    <t xml:space="preserve">權益法IRR: 2.9</t>
  </si>
  <si>
    <t xml:space="preserve">情境編號: 7</t>
  </si>
  <si>
    <t xml:space="preserve">第6次滾算摘要</t>
  </si>
  <si>
    <t xml:space="preserve">價金: 28000</t>
  </si>
  <si>
    <t xml:space="preserve">專案IRR: 2.51</t>
  </si>
  <si>
    <t xml:space="preserve">權益法IRR: 4.83</t>
  </si>
  <si>
    <t xml:space="preserve">情境編號: 8</t>
  </si>
  <si>
    <t xml:space="preserve">第7次滾算摘要</t>
  </si>
  <si>
    <t xml:space="preserve">價金: 26000</t>
  </si>
  <si>
    <t xml:space="preserve">專案IRR: 3.16</t>
  </si>
  <si>
    <t xml:space="preserve">權益法IRR: 7.11</t>
  </si>
  <si>
    <t xml:space="preserve">情境編號: 9</t>
  </si>
  <si>
    <t xml:space="preserve">第8次滾算摘要</t>
  </si>
  <si>
    <t xml:space="preserve">價金: 24000</t>
  </si>
  <si>
    <t xml:space="preserve">專案IRR: 3.88</t>
  </si>
  <si>
    <t xml:space="preserve">權益法IRR: 9.9</t>
  </si>
  <si>
    <t xml:space="preserve">情境編號: 10</t>
  </si>
  <si>
    <t xml:space="preserve">第9次滾算摘要</t>
  </si>
  <si>
    <t xml:space="preserve">價金: 22000</t>
  </si>
  <si>
    <t xml:space="preserve">專案IRR: 4.69</t>
  </si>
  <si>
    <t xml:space="preserve">權益法IRR: 13.41</t>
  </si>
  <si>
    <t xml:space="preserve">情境編號: 11</t>
  </si>
  <si>
    <t xml:space="preserve">第10次滾算摘要</t>
  </si>
  <si>
    <t xml:space="preserve">價金: 20000</t>
  </si>
  <si>
    <t xml:space="preserve">專案IRR: 5.61</t>
  </si>
  <si>
    <t xml:space="preserve">權益法IRR: 18.06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</si>
</sst>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0"/>
    <numFmt numFmtId="166" formatCode="#,##0"/>
    <numFmt numFmtId="167" formatCode="0%"/>
    <numFmt numFmtId="168" formatCode="0.00%"/>
    <numFmt numFmtId="169" formatCode="#,##0.000"/>
    <numFmt numFmtId="170" formatCode="#,##0.00%"/>
    <numFmt numFmtId="171" formatCode="0.00_);[RED]\(0.00\)"/>
    <numFmt numFmtId="172" formatCode="#,##0_ "/>
    <numFmt numFmtId="173" formatCode="_-* #,##0_-;\-* #,##0_-;_-* \-??_-;_-@_-"/>
    <numFmt numFmtId="174" formatCode="0_);[RED]\(0\)"/>
    <numFmt numFmtId="175" formatCode="\$#,##0.00_);[RED]&quot;($&quot;#,##0.00\)"/>
    <numFmt numFmtId="176" formatCode="\$#,##0_);[RED]&quot;($&quot;#,##0\)"/>
    <numFmt numFmtId="177" formatCode="_-\$* #,##0_-;&quot;-$&quot;* #,##0_-;_-\$* \-??_-;_-@_-"/>
  </numFmts>
  <fonts count="42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"/>
    </font>
    <font>
      <sz val="12"/>
      <color theme="1"/>
      <name val="Calibri"/>
      <family val="2"/>
      <charset val="136"/>
    </font>
    <font>
      <sz val="12"/>
      <color theme="1"/>
      <name val="Calibri"/>
      <family val="2"/>
      <charset val="1"/>
    </font>
    <font>
      <b val="true"/>
      <sz val="12"/>
      <color theme="0"/>
      <name val="新細明體"/>
      <family val="2"/>
      <charset val="1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2"/>
      <color rgb="FF993366"/>
      <name val="Arial"/>
      <family val="2"/>
      <charset val="1"/>
    </font>
    <font>
      <b val="true"/>
      <sz val="12"/>
      <color rgb="FF993366"/>
      <name val="新細明體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theme="1"/>
      <name val="細明體"/>
      <family val="2"/>
      <charset val="1"/>
    </font>
    <font>
      <sz val="12"/>
      <color rgb="FF000000"/>
      <name val="微軟正黑體"/>
      <family val="2"/>
      <charset val="1"/>
    </font>
    <font>
      <sz val="10"/>
      <color rgb="FF000000"/>
      <name val="新細明體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Noto Sans CJK SC"/>
      <family val="2"/>
      <charset val="1"/>
    </font>
    <font>
      <sz val="10"/>
      <color rgb="FF404040"/>
      <name val="微軟正黑體"/>
      <family val="2"/>
      <charset val="136"/>
    </font>
    <font>
      <sz val="10"/>
      <color rgb="FF404040"/>
      <name val="新細明體"/>
      <family val="2"/>
      <charset val="1"/>
    </font>
    <font>
      <sz val="10"/>
      <color rgb="FF404040"/>
      <name val="Noto Sans CJK SC"/>
      <family val="2"/>
      <charset val="1"/>
    </font>
    <font>
      <sz val="10"/>
      <color rgb="FF404040"/>
      <name val="Noto Sans CJK SC"/>
      <family val="2"/>
      <charset val="136"/>
    </font>
    <font>
      <sz val="11"/>
      <color theme="1"/>
      <name val="Noto Sans CJK SC"/>
      <family val="2"/>
      <charset val="1"/>
    </font>
    <font>
      <sz val="12"/>
      <name val="Arial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新細明體"/>
      <family val="1"/>
      <charset val="136"/>
    </font>
    <font>
      <b val="true"/>
      <sz val="11"/>
      <color theme="1"/>
      <name val="新細明體"/>
      <family val="1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4" tint="0.7999"/>
        <bgColor rgb="FFD9D9D9"/>
      </patternFill>
    </fill>
    <fill>
      <patternFill patternType="solid">
        <fgColor theme="5" tint="0.3999"/>
        <bgColor rgb="FFFFCCCC"/>
      </patternFill>
    </fill>
    <fill>
      <patternFill patternType="solid">
        <fgColor rgb="FF376092"/>
        <bgColor rgb="FF2F75B5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FFFFCC"/>
        <bgColor rgb="FFFFF2CC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D9D9D9"/>
      </patternFill>
    </fill>
    <fill>
      <patternFill patternType="solid">
        <fgColor rgb="FF9BC2E6"/>
        <bgColor rgb="FFC6C6C6"/>
      </patternFill>
    </fill>
    <fill>
      <patternFill patternType="solid">
        <fgColor theme="7" tint="0.7998"/>
        <bgColor rgb="FFFFFFCC"/>
      </patternFill>
    </fill>
  </fills>
  <borders count="3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6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1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0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7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8" fillId="1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8" fillId="0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8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8" fillId="1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8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8" fillId="0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8" fillId="0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8" fillId="8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8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8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8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1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5" fillId="1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4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3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39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3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7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3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3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14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7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28" fillId="1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8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28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8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28" fillId="1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28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8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28" fillId="0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28" fillId="0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8" fillId="8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8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EEBF7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BC2E6"/>
      <rgbColor rgb="FFF4B183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2" width="38"/>
    <col collapsed="false" customWidth="true" hidden="false" outlineLevel="0" max="22" min="3" style="2" width="50"/>
    <col collapsed="false" customWidth="true" hidden="false" outlineLevel="0" max="35" min="23" style="0" width="8"/>
  </cols>
  <sheetData>
    <row r="1" customFormat="false" ht="22.5" hidden="false" customHeight="true" outlineLevel="0" collapsed="false">
      <c r="A1" s="3" t="s">
        <v>0</v>
      </c>
      <c r="B1" s="3"/>
      <c r="C1" s="3"/>
      <c r="D1" s="3"/>
    </row>
    <row r="2" customFormat="false" ht="21.75" hidden="false" customHeight="true" outlineLevel="0" collapsed="false">
      <c r="A2" s="4" t="s">
        <v>1</v>
      </c>
      <c r="B2" s="5" t="s">
        <v>2</v>
      </c>
      <c r="C2" s="6" t="s">
        <v>3</v>
      </c>
      <c r="D2" s="6" t="s">
        <v>3</v>
      </c>
    </row>
    <row r="3" customFormat="false" ht="21.75" hidden="false" customHeight="true" outlineLevel="0" collapsed="false">
      <c r="A3" s="7" t="s">
        <v>4</v>
      </c>
      <c r="B3" s="8" t="n">
        <v>20</v>
      </c>
      <c r="C3" s="9" t="s">
        <v>3</v>
      </c>
      <c r="D3" s="9" t="s">
        <v>3</v>
      </c>
    </row>
    <row r="4" customFormat="false" ht="21.75" hidden="false" customHeight="true" outlineLevel="0" collapsed="false">
      <c r="A4" s="7" t="s">
        <v>5</v>
      </c>
      <c r="B4" s="8" t="n">
        <v>436.1</v>
      </c>
      <c r="C4" s="9" t="s">
        <v>3</v>
      </c>
      <c r="D4" s="9" t="s">
        <v>3</v>
      </c>
    </row>
    <row r="5" customFormat="false" ht="22.5" hidden="false" customHeight="true" outlineLevel="0" collapsed="false">
      <c r="A5" s="10" t="s">
        <v>6</v>
      </c>
      <c r="B5" s="10" t="n">
        <v>2023</v>
      </c>
      <c r="C5" s="10" t="s">
        <v>7</v>
      </c>
      <c r="D5" s="10" t="n">
        <v>2042</v>
      </c>
    </row>
    <row r="6" customFormat="false" ht="20.25" hidden="false" customHeight="true" outlineLevel="0" collapsed="false">
      <c r="A6" s="11"/>
      <c r="B6" s="11"/>
      <c r="C6" s="11"/>
      <c r="D6" s="11"/>
    </row>
    <row r="7" customFormat="false" ht="22.5" hidden="false" customHeight="true" outlineLevel="0" collapsed="false">
      <c r="A7" s="12" t="s">
        <v>8</v>
      </c>
      <c r="B7" s="12"/>
      <c r="C7" s="12"/>
      <c r="D7" s="12"/>
    </row>
    <row r="8" customFormat="false" ht="22.5" hidden="false" customHeight="true" outlineLevel="0" collapsed="false">
      <c r="A8" s="13" t="s">
        <v>9</v>
      </c>
      <c r="B8" s="13"/>
      <c r="C8" s="13"/>
      <c r="D8" s="13"/>
    </row>
    <row r="9" customFormat="false" ht="22.5" hidden="false" customHeight="true" outlineLevel="0" collapsed="false">
      <c r="A9" s="14" t="s">
        <v>10</v>
      </c>
      <c r="B9" s="15" t="s">
        <v>11</v>
      </c>
      <c r="C9" s="15" t="s">
        <v>12</v>
      </c>
      <c r="D9" s="16" t="s">
        <v>13</v>
      </c>
    </row>
    <row r="10" customFormat="false" ht="21.75" hidden="false" customHeight="true" outlineLevel="0" collapsed="false">
      <c r="A10" s="17" t="s">
        <v>14</v>
      </c>
      <c r="B10" s="18" t="s">
        <v>15</v>
      </c>
      <c r="C10" s="18" t="n">
        <v>547002</v>
      </c>
      <c r="D10" s="17" t="n">
        <v>20</v>
      </c>
    </row>
    <row r="11" customFormat="false" ht="21.75" hidden="false" customHeight="true" outlineLevel="0" collapsed="false">
      <c r="A11" s="17"/>
      <c r="B11" s="10" t="s">
        <v>16</v>
      </c>
      <c r="C11" s="19" t="n">
        <v>0.01</v>
      </c>
      <c r="D11" s="17"/>
    </row>
    <row r="12" customFormat="false" ht="21.75" hidden="false" customHeight="true" outlineLevel="0" collapsed="false">
      <c r="A12" s="17"/>
      <c r="B12" s="10" t="s">
        <v>17</v>
      </c>
      <c r="C12" s="20" t="n">
        <v>0.004</v>
      </c>
      <c r="D12" s="17"/>
    </row>
    <row r="13" customFormat="false" ht="22.5" hidden="false" customHeight="true" outlineLevel="0" collapsed="false">
      <c r="A13" s="17"/>
      <c r="B13" s="21" t="s">
        <v>18</v>
      </c>
      <c r="C13" s="21" t="n">
        <v>3.7152</v>
      </c>
      <c r="D13" s="17"/>
    </row>
    <row r="14" customFormat="false" ht="22.5" hidden="false" customHeight="true" outlineLevel="0" collapsed="false">
      <c r="A14" s="22" t="s">
        <v>19</v>
      </c>
      <c r="B14" s="22"/>
      <c r="C14" s="22"/>
      <c r="D14" s="22"/>
    </row>
    <row r="15" customFormat="false" ht="22.5" hidden="false" customHeight="true" outlineLevel="0" collapsed="false">
      <c r="A15" s="14" t="s">
        <v>10</v>
      </c>
      <c r="B15" s="15" t="s">
        <v>11</v>
      </c>
      <c r="C15" s="15" t="s">
        <v>12</v>
      </c>
      <c r="D15" s="23" t="s">
        <v>20</v>
      </c>
    </row>
    <row r="16" customFormat="false" ht="21.75" hidden="false" customHeight="true" outlineLevel="0" collapsed="false">
      <c r="A16" s="18" t="s">
        <v>21</v>
      </c>
      <c r="B16" s="24" t="s">
        <v>22</v>
      </c>
      <c r="C16" s="18" t="n">
        <v>40000</v>
      </c>
      <c r="D16" s="6" t="n">
        <v>20</v>
      </c>
    </row>
    <row r="17" customFormat="false" ht="21.75" hidden="false" customHeight="true" outlineLevel="0" collapsed="false">
      <c r="A17" s="18"/>
      <c r="B17" s="10" t="s">
        <v>23</v>
      </c>
      <c r="C17" s="8" t="n">
        <v>0.2</v>
      </c>
      <c r="D17" s="6"/>
    </row>
    <row r="18" customFormat="false" ht="21.75" hidden="false" customHeight="true" outlineLevel="0" collapsed="false">
      <c r="A18" s="18"/>
      <c r="B18" s="10" t="s">
        <v>24</v>
      </c>
      <c r="C18" s="8" t="n">
        <v>3000</v>
      </c>
      <c r="D18" s="6"/>
    </row>
    <row r="19" customFormat="false" ht="54" hidden="false" customHeight="true" outlineLevel="0" collapsed="false">
      <c r="A19" s="10" t="s">
        <v>25</v>
      </c>
      <c r="B19" s="25" t="s">
        <v>26</v>
      </c>
      <c r="C19" s="8" t="n">
        <v>2</v>
      </c>
      <c r="D19" s="6" t="s">
        <v>3</v>
      </c>
    </row>
    <row r="20" customFormat="false" ht="20.25" hidden="false" customHeight="true" outlineLevel="0" collapsed="false">
      <c r="A20" s="10"/>
      <c r="B20" s="26" t="s">
        <v>27</v>
      </c>
      <c r="C20" s="8"/>
      <c r="D20" s="6" t="n">
        <v>20</v>
      </c>
    </row>
    <row r="21" customFormat="false" ht="21.75" hidden="false" customHeight="true" outlineLevel="0" collapsed="false">
      <c r="A21" s="10"/>
      <c r="B21" s="10" t="s">
        <v>28</v>
      </c>
      <c r="C21" s="8" t="n">
        <v>0.3</v>
      </c>
      <c r="D21" s="9" t="s">
        <v>3</v>
      </c>
    </row>
    <row r="22" customFormat="false" ht="21.75" hidden="false" customHeight="true" outlineLevel="0" collapsed="false">
      <c r="A22" s="10" t="s">
        <v>29</v>
      </c>
      <c r="B22" s="10" t="s">
        <v>30</v>
      </c>
      <c r="C22" s="8" t="n">
        <v>400</v>
      </c>
      <c r="D22" s="9" t="n">
        <v>20</v>
      </c>
    </row>
    <row r="23" customFormat="false" ht="21.75" hidden="false" customHeight="true" outlineLevel="0" collapsed="false">
      <c r="A23" s="10" t="s">
        <v>31</v>
      </c>
      <c r="B23" s="27" t="s">
        <v>32</v>
      </c>
      <c r="C23" s="8" t="n">
        <v>0.003</v>
      </c>
      <c r="D23" s="9" t="n">
        <v>20</v>
      </c>
    </row>
    <row r="24" customFormat="false" ht="21.75" hidden="false" customHeight="true" outlineLevel="0" collapsed="false">
      <c r="A24" s="10" t="s">
        <v>33</v>
      </c>
      <c r="B24" s="10" t="s">
        <v>34</v>
      </c>
      <c r="C24" s="8" t="n">
        <v>1000</v>
      </c>
      <c r="D24" s="9" t="n">
        <v>10</v>
      </c>
    </row>
    <row r="25" customFormat="false" ht="21.75" hidden="false" customHeight="true" outlineLevel="0" collapsed="false">
      <c r="A25" s="10" t="s">
        <v>35</v>
      </c>
      <c r="B25" s="10" t="s">
        <v>36</v>
      </c>
      <c r="C25" s="28" t="n">
        <v>0.025595</v>
      </c>
      <c r="D25" s="9" t="s">
        <v>3</v>
      </c>
    </row>
    <row r="26" customFormat="false" ht="22.5" hidden="false" customHeight="true" outlineLevel="0" collapsed="false">
      <c r="A26" s="10" t="s">
        <v>37</v>
      </c>
      <c r="B26" s="10" t="s">
        <v>38</v>
      </c>
      <c r="C26" s="8" t="n">
        <v>0.2</v>
      </c>
      <c r="D26" s="9" t="s">
        <v>3</v>
      </c>
    </row>
    <row r="27" customFormat="false" ht="20.25" hidden="false" customHeight="true" outlineLevel="0" collapsed="false">
      <c r="A27" s="11"/>
      <c r="B27" s="11"/>
      <c r="C27" s="11"/>
      <c r="D27" s="11"/>
    </row>
    <row r="28" customFormat="false" ht="20.25" hidden="false" customHeight="true" outlineLevel="0" collapsed="false">
      <c r="A28" s="11"/>
      <c r="B28" s="11"/>
      <c r="C28" s="11"/>
      <c r="D28" s="11"/>
    </row>
    <row r="29" customFormat="false" ht="22.5" hidden="false" customHeight="true" outlineLevel="0" collapsed="false">
      <c r="A29" s="12" t="s">
        <v>39</v>
      </c>
      <c r="B29" s="12"/>
      <c r="C29" s="12"/>
      <c r="D29" s="11"/>
    </row>
    <row r="30" customFormat="false" ht="22.5" hidden="false" customHeight="true" outlineLevel="0" collapsed="false">
      <c r="A30" s="14" t="s">
        <v>40</v>
      </c>
      <c r="B30" s="29" t="s">
        <v>11</v>
      </c>
      <c r="C30" s="30" t="s">
        <v>12</v>
      </c>
      <c r="D30" s="11"/>
    </row>
    <row r="31" customFormat="false" ht="18.75" hidden="false" customHeight="true" outlineLevel="0" collapsed="false">
      <c r="A31" s="24" t="s">
        <v>41</v>
      </c>
      <c r="B31" s="4" t="s">
        <v>42</v>
      </c>
      <c r="C31" s="31" t="n">
        <v>0.8</v>
      </c>
      <c r="D31" s="11"/>
    </row>
    <row r="32" customFormat="false" ht="18.75" hidden="false" customHeight="true" outlineLevel="0" collapsed="false">
      <c r="A32" s="18" t="s">
        <v>43</v>
      </c>
      <c r="B32" s="5" t="s">
        <v>44</v>
      </c>
      <c r="C32" s="5" t="n">
        <v>15</v>
      </c>
      <c r="D32" s="11"/>
    </row>
    <row r="33" customFormat="false" ht="18.75" hidden="false" customHeight="true" outlineLevel="0" collapsed="false">
      <c r="A33" s="10" t="s">
        <v>45</v>
      </c>
      <c r="B33" s="32" t="s">
        <v>46</v>
      </c>
      <c r="C33" s="32" t="n">
        <v>0.9</v>
      </c>
      <c r="D33" s="11"/>
    </row>
    <row r="34" customFormat="false" ht="18.75" hidden="false" customHeight="true" outlineLevel="0" collapsed="false">
      <c r="A34" s="10" t="s">
        <v>47</v>
      </c>
      <c r="B34" s="32" t="s">
        <v>44</v>
      </c>
      <c r="C34" s="32" t="n">
        <v>4</v>
      </c>
      <c r="D34" s="1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A37" s="33"/>
      <c r="B37" s="34" t="s">
        <v>48</v>
      </c>
      <c r="C37" s="34" t="n">
        <v>2020</v>
      </c>
      <c r="D37" s="34" t="n">
        <v>2021</v>
      </c>
      <c r="E37" s="34" t="n">
        <v>2022</v>
      </c>
      <c r="F37" s="34" t="n">
        <v>2023</v>
      </c>
      <c r="G37" s="34" t="n">
        <v>2024</v>
      </c>
      <c r="H37" s="34" t="n">
        <v>2025</v>
      </c>
      <c r="I37" s="34" t="n">
        <v>2026</v>
      </c>
      <c r="J37" s="34" t="n">
        <v>2027</v>
      </c>
      <c r="K37" s="34" t="n">
        <v>2028</v>
      </c>
      <c r="L37" s="34" t="n">
        <v>2029</v>
      </c>
      <c r="M37" s="34" t="n">
        <v>2030</v>
      </c>
      <c r="N37" s="34" t="n">
        <v>2031</v>
      </c>
      <c r="O37" s="34" t="n">
        <v>2032</v>
      </c>
      <c r="P37" s="34" t="n">
        <v>2033</v>
      </c>
      <c r="Q37" s="34" t="n">
        <v>2034</v>
      </c>
      <c r="R37" s="34" t="n">
        <v>2035</v>
      </c>
      <c r="S37" s="34" t="n">
        <v>2036</v>
      </c>
      <c r="T37" s="34" t="n">
        <v>2037</v>
      </c>
      <c r="U37" s="34" t="n">
        <v>2038</v>
      </c>
      <c r="V37" s="34" t="n">
        <v>2039</v>
      </c>
      <c r="W37" s="35"/>
    </row>
    <row r="38" customFormat="false" ht="18.75" hidden="false" customHeight="true" outlineLevel="0" collapsed="false">
      <c r="A38" s="36" t="n">
        <v>0</v>
      </c>
      <c r="B38" s="37"/>
      <c r="C38" s="38"/>
      <c r="D38" s="38"/>
      <c r="E38" s="39" t="s">
        <v>49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1" t="s">
        <v>50</v>
      </c>
      <c r="T38" s="40"/>
      <c r="U38" s="40"/>
      <c r="V38" s="40"/>
      <c r="W38" s="42"/>
    </row>
    <row r="39" customFormat="false" ht="18.75" hidden="false" customHeight="true" outlineLevel="0" collapsed="false">
      <c r="A39" s="43" t="s">
        <v>51</v>
      </c>
      <c r="B39" s="44" t="n">
        <v>0</v>
      </c>
      <c r="C39" s="45" t="n">
        <v>1</v>
      </c>
      <c r="D39" s="45" t="n">
        <v>2</v>
      </c>
      <c r="E39" s="45" t="n">
        <v>3</v>
      </c>
      <c r="F39" s="45" t="n">
        <v>4</v>
      </c>
      <c r="G39" s="45" t="n">
        <v>5</v>
      </c>
      <c r="H39" s="45" t="n">
        <v>6</v>
      </c>
      <c r="I39" s="45" t="n">
        <v>7</v>
      </c>
      <c r="J39" s="45" t="n">
        <v>8</v>
      </c>
      <c r="K39" s="45" t="n">
        <v>9</v>
      </c>
      <c r="L39" s="45" t="n">
        <v>10</v>
      </c>
      <c r="M39" s="45" t="n">
        <v>11</v>
      </c>
      <c r="N39" s="45" t="n">
        <v>12</v>
      </c>
      <c r="O39" s="45" t="n">
        <v>13</v>
      </c>
      <c r="P39" s="45" t="n">
        <v>14</v>
      </c>
      <c r="Q39" s="45" t="n">
        <v>15</v>
      </c>
      <c r="R39" s="45" t="n">
        <v>16</v>
      </c>
      <c r="S39" s="46" t="n">
        <v>17</v>
      </c>
      <c r="T39" s="45" t="n">
        <v>18</v>
      </c>
      <c r="U39" s="45" t="n">
        <v>19</v>
      </c>
      <c r="V39" s="45" t="n">
        <v>20</v>
      </c>
      <c r="W39" s="47"/>
    </row>
    <row r="40" customFormat="false" ht="18.75" hidden="false" customHeight="true" outlineLevel="0" collapsed="false">
      <c r="A40" s="48" t="s">
        <v>52</v>
      </c>
      <c r="B40" s="44" t="n">
        <v>0</v>
      </c>
      <c r="C40" s="45" t="e">
        <f aca="false">#REF!</f>
        <v>#REF!</v>
      </c>
      <c r="D40" s="45" t="e">
        <f aca="false">#REF!</f>
        <v>#REF!</v>
      </c>
      <c r="E40" s="45" t="e">
        <f aca="false">#REF!</f>
        <v>#REF!</v>
      </c>
      <c r="F40" s="45" t="e">
        <f aca="false">#REF!</f>
        <v>#REF!</v>
      </c>
      <c r="G40" s="45" t="e">
        <f aca="false">#REF!</f>
        <v>#REF!</v>
      </c>
      <c r="H40" s="45" t="e">
        <f aca="false">#REF!</f>
        <v>#REF!</v>
      </c>
      <c r="I40" s="45" t="e">
        <f aca="false">#REF!</f>
        <v>#REF!</v>
      </c>
      <c r="J40" s="45" t="e">
        <f aca="false">#REF!</f>
        <v>#REF!</v>
      </c>
      <c r="K40" s="45" t="e">
        <f aca="false">#REF!</f>
        <v>#REF!</v>
      </c>
      <c r="L40" s="45" t="e">
        <f aca="false">#REF!</f>
        <v>#REF!</v>
      </c>
      <c r="M40" s="45" t="e">
        <f aca="false">#REF!</f>
        <v>#REF!</v>
      </c>
      <c r="N40" s="45" t="e">
        <f aca="false">#REF!</f>
        <v>#REF!</v>
      </c>
      <c r="O40" s="45" t="e">
        <f aca="false">#REF!</f>
        <v>#REF!</v>
      </c>
      <c r="P40" s="45" t="e">
        <f aca="false">#REF!</f>
        <v>#REF!</v>
      </c>
      <c r="Q40" s="45" t="e">
        <f aca="false">#REF!</f>
        <v>#REF!</v>
      </c>
      <c r="R40" s="45" t="e">
        <f aca="false">#REF!</f>
        <v>#REF!</v>
      </c>
      <c r="S40" s="45" t="e">
        <f aca="false">#REF!</f>
        <v>#REF!</v>
      </c>
      <c r="T40" s="45" t="e">
        <f aca="false">#REF!</f>
        <v>#REF!</v>
      </c>
      <c r="U40" s="45" t="e">
        <f aca="false">#REF!</f>
        <v>#REF!</v>
      </c>
      <c r="V40" s="45" t="e">
        <f aca="false">#REF!</f>
        <v>#REF!</v>
      </c>
      <c r="W40" s="49"/>
    </row>
    <row r="41" customFormat="false" ht="18.75" hidden="false" customHeight="true" outlineLevel="0" collapsed="false">
      <c r="A41" s="50" t="s">
        <v>53</v>
      </c>
      <c r="B41" s="51" t="s">
        <v>3</v>
      </c>
      <c r="C41" s="52" t="e">
        <f aca="false">#REF!</f>
        <v>#REF!</v>
      </c>
      <c r="D41" s="52" t="e">
        <f aca="false">#REF!</f>
        <v>#REF!</v>
      </c>
      <c r="E41" s="52" t="e">
        <f aca="false">#REF!</f>
        <v>#REF!</v>
      </c>
      <c r="F41" s="52" t="e">
        <f aca="false">#REF!</f>
        <v>#REF!</v>
      </c>
      <c r="G41" s="52" t="e">
        <f aca="false">#REF!</f>
        <v>#REF!</v>
      </c>
      <c r="H41" s="52" t="e">
        <f aca="false">#REF!</f>
        <v>#REF!</v>
      </c>
      <c r="I41" s="52" t="e">
        <f aca="false">#REF!</f>
        <v>#REF!</v>
      </c>
      <c r="J41" s="52" t="e">
        <f aca="false">#REF!</f>
        <v>#REF!</v>
      </c>
      <c r="K41" s="52" t="e">
        <f aca="false">#REF!</f>
        <v>#REF!</v>
      </c>
      <c r="L41" s="52" t="e">
        <f aca="false">#REF!</f>
        <v>#REF!</v>
      </c>
      <c r="M41" s="52" t="e">
        <f aca="false">#REF!</f>
        <v>#REF!</v>
      </c>
      <c r="N41" s="52" t="e">
        <f aca="false">#REF!</f>
        <v>#REF!</v>
      </c>
      <c r="O41" s="52" t="e">
        <f aca="false">#REF!</f>
        <v>#REF!</v>
      </c>
      <c r="P41" s="52" t="e">
        <f aca="false">#REF!</f>
        <v>#REF!</v>
      </c>
      <c r="Q41" s="52" t="e">
        <f aca="false">#REF!</f>
        <v>#REF!</v>
      </c>
      <c r="R41" s="52" t="e">
        <f aca="false">#REF!</f>
        <v>#REF!</v>
      </c>
      <c r="S41" s="52" t="e">
        <f aca="false">#REF!</f>
        <v>#REF!</v>
      </c>
      <c r="T41" s="52" t="e">
        <f aca="false">#REF!</f>
        <v>#REF!</v>
      </c>
      <c r="U41" s="52" t="e">
        <f aca="false">#REF!</f>
        <v>#REF!</v>
      </c>
      <c r="V41" s="52" t="e">
        <f aca="false">#REF!</f>
        <v>#REF!</v>
      </c>
      <c r="W41" s="53"/>
    </row>
    <row r="42" customFormat="false" ht="18.75" hidden="false" customHeight="true" outlineLevel="0" collapsed="false">
      <c r="A42" s="54" t="s">
        <v>54</v>
      </c>
      <c r="B42" s="44" t="s">
        <v>3</v>
      </c>
      <c r="C42" s="45"/>
      <c r="D42" s="45"/>
      <c r="E42" s="45" t="n">
        <v>0</v>
      </c>
      <c r="F42" s="45" t="s">
        <v>3</v>
      </c>
      <c r="G42" s="45" t="s">
        <v>3</v>
      </c>
      <c r="H42" s="45" t="s">
        <v>3</v>
      </c>
      <c r="I42" s="45" t="s">
        <v>3</v>
      </c>
      <c r="J42" s="45" t="s">
        <v>3</v>
      </c>
      <c r="K42" s="45" t="s">
        <v>3</v>
      </c>
      <c r="L42" s="45" t="s">
        <v>3</v>
      </c>
      <c r="M42" s="45" t="s">
        <v>3</v>
      </c>
      <c r="N42" s="45" t="s">
        <v>3</v>
      </c>
      <c r="O42" s="45" t="s">
        <v>3</v>
      </c>
      <c r="P42" s="45" t="s">
        <v>3</v>
      </c>
      <c r="Q42" s="45" t="s">
        <v>3</v>
      </c>
      <c r="R42" s="45" t="s">
        <v>3</v>
      </c>
      <c r="S42" s="45" t="s">
        <v>3</v>
      </c>
      <c r="T42" s="45" t="s">
        <v>3</v>
      </c>
      <c r="U42" s="45" t="s">
        <v>3</v>
      </c>
      <c r="V42" s="45" t="s">
        <v>3</v>
      </c>
      <c r="W42" s="55"/>
    </row>
    <row r="43" customFormat="false" ht="18.75" hidden="false" customHeight="true" outlineLevel="0" collapsed="false">
      <c r="A43" s="56" t="s">
        <v>55</v>
      </c>
      <c r="B43" s="57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9"/>
    </row>
    <row r="44" customFormat="false" ht="18.75" hidden="false" customHeight="true" outlineLevel="0" collapsed="false">
      <c r="A44" s="60" t="s">
        <v>56</v>
      </c>
      <c r="B44" s="44" t="e">
        <f aca="false">-#REF!</f>
        <v>#REF!</v>
      </c>
      <c r="C44" s="61"/>
      <c r="D44" s="45"/>
      <c r="E44" s="45" t="s">
        <v>3</v>
      </c>
      <c r="F44" s="45" t="s">
        <v>3</v>
      </c>
      <c r="G44" s="45" t="s">
        <v>3</v>
      </c>
      <c r="H44" s="45" t="s">
        <v>3</v>
      </c>
      <c r="I44" s="45" t="s">
        <v>3</v>
      </c>
      <c r="J44" s="45" t="s">
        <v>3</v>
      </c>
      <c r="K44" s="45" t="s">
        <v>3</v>
      </c>
      <c r="L44" s="45" t="s">
        <v>3</v>
      </c>
      <c r="M44" s="45" t="s">
        <v>3</v>
      </c>
      <c r="N44" s="45" t="s">
        <v>3</v>
      </c>
      <c r="O44" s="45" t="s">
        <v>3</v>
      </c>
      <c r="P44" s="45" t="s">
        <v>3</v>
      </c>
      <c r="Q44" s="45" t="s">
        <v>3</v>
      </c>
      <c r="R44" s="45" t="s">
        <v>3</v>
      </c>
      <c r="S44" s="45" t="s">
        <v>3</v>
      </c>
      <c r="T44" s="45" t="s">
        <v>3</v>
      </c>
      <c r="U44" s="45" t="s">
        <v>3</v>
      </c>
      <c r="V44" s="45" t="s">
        <v>3</v>
      </c>
      <c r="W44" s="55"/>
    </row>
    <row r="45" customFormat="false" ht="18.75" hidden="false" customHeight="true" outlineLevel="0" collapsed="false">
      <c r="A45" s="60" t="s">
        <v>57</v>
      </c>
      <c r="B45" s="44" t="s">
        <v>3</v>
      </c>
      <c r="C45" s="45" t="e">
        <f aca="false">-#REF!</f>
        <v>#REF!</v>
      </c>
      <c r="D45" s="45" t="e">
        <f aca="false">-#REF!</f>
        <v>#REF!</v>
      </c>
      <c r="E45" s="45" t="e">
        <f aca="false">-#REF!</f>
        <v>#REF!</v>
      </c>
      <c r="F45" s="45" t="e">
        <f aca="false">-#REF!</f>
        <v>#REF!</v>
      </c>
      <c r="G45" s="45" t="e">
        <f aca="false">-#REF!</f>
        <v>#REF!</v>
      </c>
      <c r="H45" s="45" t="e">
        <f aca="false">-#REF!</f>
        <v>#REF!</v>
      </c>
      <c r="I45" s="45" t="e">
        <f aca="false">-#REF!</f>
        <v>#REF!</v>
      </c>
      <c r="J45" s="45" t="e">
        <f aca="false">-#REF!</f>
        <v>#REF!</v>
      </c>
      <c r="K45" s="45" t="e">
        <f aca="false">-#REF!</f>
        <v>#REF!</v>
      </c>
      <c r="L45" s="45" t="e">
        <f aca="false">-#REF!</f>
        <v>#REF!</v>
      </c>
      <c r="M45" s="45" t="e">
        <f aca="false">-#REF!</f>
        <v>#REF!</v>
      </c>
      <c r="N45" s="45" t="e">
        <f aca="false">-#REF!</f>
        <v>#REF!</v>
      </c>
      <c r="O45" s="45" t="e">
        <f aca="false">-#REF!</f>
        <v>#REF!</v>
      </c>
      <c r="P45" s="45" t="e">
        <f aca="false">-#REF!</f>
        <v>#REF!</v>
      </c>
      <c r="Q45" s="45" t="e">
        <f aca="false">-#REF!</f>
        <v>#REF!</v>
      </c>
      <c r="R45" s="45" t="e">
        <f aca="false">-#REF!</f>
        <v>#REF!</v>
      </c>
      <c r="S45" s="45" t="e">
        <f aca="false">-#REF!</f>
        <v>#REF!</v>
      </c>
      <c r="T45" s="45" t="e">
        <f aca="false">-#REF!</f>
        <v>#REF!</v>
      </c>
      <c r="U45" s="45" t="e">
        <f aca="false">-#REF!</f>
        <v>#REF!</v>
      </c>
      <c r="V45" s="45" t="e">
        <f aca="false">-#REF!</f>
        <v>#REF!</v>
      </c>
      <c r="W45" s="55"/>
    </row>
    <row r="46" customFormat="false" ht="18.75" hidden="false" customHeight="true" outlineLevel="0" collapsed="false">
      <c r="A46" s="60" t="s">
        <v>58</v>
      </c>
      <c r="B46" s="44" t="n">
        <v>0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 t="n">
        <v>0</v>
      </c>
      <c r="V46" s="45" t="n">
        <v>0</v>
      </c>
      <c r="W46" s="55"/>
    </row>
    <row r="47" customFormat="false" ht="18.75" hidden="false" customHeight="true" outlineLevel="0" collapsed="false">
      <c r="A47" s="60" t="s">
        <v>59</v>
      </c>
      <c r="B47" s="44" t="s">
        <v>3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55"/>
    </row>
    <row r="48" customFormat="false" ht="18.75" hidden="false" customHeight="true" outlineLevel="0" collapsed="false">
      <c r="A48" s="60" t="s">
        <v>60</v>
      </c>
      <c r="B48" s="44" t="s">
        <v>3</v>
      </c>
      <c r="C48" s="45" t="e">
        <f aca="false">-#REF!</f>
        <v>#REF!</v>
      </c>
      <c r="D48" s="45" t="e">
        <f aca="false">-#REF!</f>
        <v>#REF!</v>
      </c>
      <c r="E48" s="45" t="e">
        <f aca="false">-#REF!</f>
        <v>#REF!</v>
      </c>
      <c r="F48" s="45" t="e">
        <f aca="false">-#REF!</f>
        <v>#REF!</v>
      </c>
      <c r="G48" s="45" t="e">
        <f aca="false">-#REF!</f>
        <v>#REF!</v>
      </c>
      <c r="H48" s="45" t="e">
        <f aca="false">-#REF!</f>
        <v>#REF!</v>
      </c>
      <c r="I48" s="45" t="e">
        <f aca="false">-#REF!</f>
        <v>#REF!</v>
      </c>
      <c r="J48" s="45" t="e">
        <f aca="false">-#REF!</f>
        <v>#REF!</v>
      </c>
      <c r="K48" s="45" t="e">
        <f aca="false">-#REF!</f>
        <v>#REF!</v>
      </c>
      <c r="L48" s="45" t="e">
        <f aca="false">-#REF!</f>
        <v>#REF!</v>
      </c>
      <c r="M48" s="45" t="e">
        <f aca="false">-#REF!</f>
        <v>#REF!</v>
      </c>
      <c r="N48" s="45" t="e">
        <f aca="false">-#REF!</f>
        <v>#REF!</v>
      </c>
      <c r="O48" s="45" t="e">
        <f aca="false">-#REF!</f>
        <v>#REF!</v>
      </c>
      <c r="P48" s="45" t="e">
        <f aca="false">-#REF!</f>
        <v>#REF!</v>
      </c>
      <c r="Q48" s="45" t="e">
        <f aca="false">-#REF!</f>
        <v>#REF!</v>
      </c>
      <c r="R48" s="45" t="e">
        <f aca="false">-#REF!</f>
        <v>#REF!</v>
      </c>
      <c r="S48" s="45" t="e">
        <f aca="false">-#REF!</f>
        <v>#REF!</v>
      </c>
      <c r="T48" s="45" t="e">
        <f aca="false">-#REF!</f>
        <v>#REF!</v>
      </c>
      <c r="U48" s="45" t="e">
        <f aca="false">-#REF!</f>
        <v>#REF!</v>
      </c>
      <c r="V48" s="45" t="e">
        <f aca="false">-#REF!</f>
        <v>#REF!</v>
      </c>
      <c r="W48" s="55"/>
    </row>
    <row r="49" customFormat="false" ht="18.75" hidden="false" customHeight="true" outlineLevel="0" collapsed="false">
      <c r="A49" s="60" t="s">
        <v>61</v>
      </c>
      <c r="B49" s="44" t="s">
        <v>3</v>
      </c>
      <c r="C49" s="45" t="e">
        <f aca="false">-#REF!</f>
        <v>#REF!</v>
      </c>
      <c r="D49" s="45" t="e">
        <f aca="false">-#REF!</f>
        <v>#REF!</v>
      </c>
      <c r="E49" s="45" t="e">
        <f aca="false">-#REF!</f>
        <v>#REF!</v>
      </c>
      <c r="F49" s="45" t="e">
        <f aca="false">-#REF!</f>
        <v>#REF!</v>
      </c>
      <c r="G49" s="45" t="e">
        <f aca="false">-#REF!</f>
        <v>#REF!</v>
      </c>
      <c r="H49" s="45" t="e">
        <f aca="false">-#REF!</f>
        <v>#REF!</v>
      </c>
      <c r="I49" s="45" t="e">
        <f aca="false">-#REF!</f>
        <v>#REF!</v>
      </c>
      <c r="J49" s="45" t="e">
        <f aca="false">-#REF!</f>
        <v>#REF!</v>
      </c>
      <c r="K49" s="45" t="e">
        <f aca="false">-#REF!</f>
        <v>#REF!</v>
      </c>
      <c r="L49" s="45" t="e">
        <f aca="false">-#REF!</f>
        <v>#REF!</v>
      </c>
      <c r="M49" s="45" t="e">
        <f aca="false">-#REF!</f>
        <v>#REF!</v>
      </c>
      <c r="N49" s="45" t="e">
        <f aca="false">-#REF!</f>
        <v>#REF!</v>
      </c>
      <c r="O49" s="45" t="e">
        <f aca="false">-#REF!</f>
        <v>#REF!</v>
      </c>
      <c r="P49" s="45" t="e">
        <f aca="false">-#REF!</f>
        <v>#REF!</v>
      </c>
      <c r="Q49" s="45" t="e">
        <f aca="false">-#REF!</f>
        <v>#REF!</v>
      </c>
      <c r="R49" s="45" t="e">
        <f aca="false">-#REF!</f>
        <v>#REF!</v>
      </c>
      <c r="S49" s="45" t="e">
        <f aca="false">-#REF!</f>
        <v>#REF!</v>
      </c>
      <c r="T49" s="45" t="e">
        <f aca="false">-#REF!</f>
        <v>#REF!</v>
      </c>
      <c r="U49" s="45" t="e">
        <f aca="false">-#REF!</f>
        <v>#REF!</v>
      </c>
      <c r="V49" s="45" t="e">
        <f aca="false">-#REF!</f>
        <v>#REF!</v>
      </c>
      <c r="W49" s="55"/>
    </row>
    <row r="50" customFormat="false" ht="18.75" hidden="false" customHeight="true" outlineLevel="0" collapsed="false">
      <c r="A50" s="60" t="s">
        <v>62</v>
      </c>
      <c r="B50" s="44"/>
      <c r="C50" s="45" t="e">
        <f aca="false">-#REF!</f>
        <v>#REF!</v>
      </c>
      <c r="D50" s="45" t="e">
        <f aca="false">-#REF!</f>
        <v>#REF!</v>
      </c>
      <c r="E50" s="45" t="e">
        <f aca="false">-#REF!</f>
        <v>#REF!</v>
      </c>
      <c r="F50" s="45" t="e">
        <f aca="false">-#REF!</f>
        <v>#REF!</v>
      </c>
      <c r="G50" s="45" t="e">
        <f aca="false">-#REF!</f>
        <v>#REF!</v>
      </c>
      <c r="H50" s="45" t="e">
        <f aca="false">-#REF!</f>
        <v>#REF!</v>
      </c>
      <c r="I50" s="45" t="e">
        <f aca="false">-#REF!</f>
        <v>#REF!</v>
      </c>
      <c r="J50" s="45" t="e">
        <f aca="false">-#REF!</f>
        <v>#REF!</v>
      </c>
      <c r="K50" s="45" t="e">
        <f aca="false">-#REF!</f>
        <v>#REF!</v>
      </c>
      <c r="L50" s="45" t="e">
        <f aca="false">-#REF!</f>
        <v>#REF!</v>
      </c>
      <c r="M50" s="45" t="e">
        <f aca="false">-#REF!</f>
        <v>#REF!</v>
      </c>
      <c r="N50" s="45" t="e">
        <f aca="false">-#REF!</f>
        <v>#REF!</v>
      </c>
      <c r="O50" s="45" t="e">
        <f aca="false">-#REF!</f>
        <v>#REF!</v>
      </c>
      <c r="P50" s="45" t="e">
        <f aca="false">-#REF!</f>
        <v>#REF!</v>
      </c>
      <c r="Q50" s="45" t="e">
        <f aca="false">-#REF!</f>
        <v>#REF!</v>
      </c>
      <c r="R50" s="45" t="e">
        <f aca="false">-#REF!</f>
        <v>#REF!</v>
      </c>
      <c r="S50" s="45" t="e">
        <f aca="false">-#REF!</f>
        <v>#REF!</v>
      </c>
      <c r="T50" s="45" t="e">
        <f aca="false">-#REF!</f>
        <v>#REF!</v>
      </c>
      <c r="U50" s="45" t="e">
        <f aca="false">-#REF!</f>
        <v>#REF!</v>
      </c>
      <c r="V50" s="45" t="e">
        <f aca="false">-#REF!</f>
        <v>#REF!</v>
      </c>
      <c r="W50" s="55"/>
    </row>
    <row r="51" customFormat="false" ht="18.75" hidden="false" customHeight="true" outlineLevel="0" collapsed="false">
      <c r="A51" s="60" t="s">
        <v>63</v>
      </c>
      <c r="B51" s="62"/>
      <c r="C51" s="63"/>
      <c r="D51" s="64"/>
      <c r="E51" s="45" t="e">
        <f aca="false">-(E41*#REF!)</f>
        <v>#REF!</v>
      </c>
      <c r="F51" s="45" t="e">
        <f aca="false">-(F41*#REF!)</f>
        <v>#REF!</v>
      </c>
      <c r="G51" s="45" t="e">
        <f aca="false">-(G41*#REF!)</f>
        <v>#REF!</v>
      </c>
      <c r="H51" s="45" t="e">
        <f aca="false">-(H41*#REF!)</f>
        <v>#REF!</v>
      </c>
      <c r="I51" s="45" t="e">
        <f aca="false">-(I41*#REF!)</f>
        <v>#REF!</v>
      </c>
      <c r="J51" s="45" t="e">
        <f aca="false">-(J41*#REF!)</f>
        <v>#REF!</v>
      </c>
      <c r="K51" s="45" t="e">
        <f aca="false">-(K41*#REF!)</f>
        <v>#REF!</v>
      </c>
      <c r="L51" s="45" t="e">
        <f aca="false">-(L41*#REF!)</f>
        <v>#REF!</v>
      </c>
      <c r="M51" s="45" t="e">
        <f aca="false">-(M41*#REF!)</f>
        <v>#REF!</v>
      </c>
      <c r="N51" s="45" t="e">
        <f aca="false">-(N41*#REF!)</f>
        <v>#REF!</v>
      </c>
      <c r="O51" s="45" t="e">
        <f aca="false">-(O41*#REF!)</f>
        <v>#REF!</v>
      </c>
      <c r="P51" s="45" t="e">
        <f aca="false">-(P41*#REF!)</f>
        <v>#REF!</v>
      </c>
      <c r="Q51" s="45" t="e">
        <f aca="false">-(Q41*#REF!)</f>
        <v>#REF!</v>
      </c>
      <c r="R51" s="45" t="e">
        <f aca="false">-(R41*#REF!)</f>
        <v>#REF!</v>
      </c>
      <c r="S51" s="45" t="e">
        <f aca="false">-(S41*#REF!)</f>
        <v>#REF!</v>
      </c>
      <c r="T51" s="45" t="e">
        <f aca="false">-(T41*#REF!)</f>
        <v>#REF!</v>
      </c>
      <c r="U51" s="45" t="e">
        <f aca="false">-(U41*#REF!)</f>
        <v>#REF!</v>
      </c>
      <c r="V51" s="45" t="e">
        <f aca="false">-(V41*#REF!)</f>
        <v>#REF!</v>
      </c>
      <c r="W51" s="55"/>
    </row>
    <row r="52" customFormat="false" ht="18.75" hidden="false" customHeight="true" outlineLevel="0" collapsed="false">
      <c r="A52" s="60" t="s">
        <v>64</v>
      </c>
      <c r="B52" s="62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55"/>
    </row>
    <row r="53" customFormat="false" ht="18.75" hidden="false" customHeight="true" outlineLevel="0" collapsed="false">
      <c r="A53" s="65" t="s">
        <v>65</v>
      </c>
      <c r="B53" s="62"/>
      <c r="C53" s="66"/>
      <c r="D53" s="66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55"/>
    </row>
    <row r="54" customFormat="false" ht="18.75" hidden="false" customHeight="true" outlineLevel="0" collapsed="false">
      <c r="A54" s="65" t="s">
        <v>66</v>
      </c>
      <c r="B54" s="62"/>
      <c r="C54" s="45" t="e">
        <f aca="false">IF((#REF!+SUM(#REF!+#REF!+#REF!+#REF!+#REF!+#REF!))&gt;0,-(#REF!+SUM(#REF!+#REF!+#REF!+#REF!+#REF!+#REF!))*0.2,0)</f>
        <v>#REF!</v>
      </c>
      <c r="D54" s="45" t="e">
        <f aca="false">IF((#REF!+SUM(#REF!+#REF!+#REF!+#REF!+#REF!+#REF!))&gt;0,-(#REF!+SUM(#REF!+#REF!+#REF!+#REF!+#REF!+#REF!))*0.2,0)</f>
        <v>#REF!</v>
      </c>
      <c r="E54" s="45" t="e">
        <f aca="false">IF((#REF!+SUM(#REF!+#REF!+#REF!+#REF!+#REF!+#REF!))&gt;0,-(#REF!+SUM(#REF!+#REF!+#REF!+#REF!+#REF!+#REF!))*0.2,0)</f>
        <v>#REF!</v>
      </c>
      <c r="F54" s="45" t="e">
        <f aca="false">IF((#REF!+SUM(#REF!+#REF!+#REF!+#REF!+#REF!+#REF!))&gt;0,-(#REF!+SUM(#REF!+#REF!+#REF!+#REF!+#REF!+#REF!))*0.2,0)</f>
        <v>#REF!</v>
      </c>
      <c r="G54" s="45" t="e">
        <f aca="false">IF((#REF!+SUM(#REF!+#REF!+#REF!+#REF!+#REF!+#REF!))&gt;0,-(#REF!+SUM(#REF!+#REF!+#REF!+#REF!+#REF!+#REF!))*0.2,0)</f>
        <v>#REF!</v>
      </c>
      <c r="H54" s="45" t="e">
        <f aca="false">IF((#REF!+SUM(#REF!+#REF!+#REF!+#REF!+#REF!+#REF!))&gt;0,-(#REF!+SUM(#REF!+#REF!+#REF!+#REF!+#REF!+#REF!))*0.2,0)</f>
        <v>#REF!</v>
      </c>
      <c r="I54" s="45" t="e">
        <f aca="false">IF((#REF!+SUM(#REF!+#REF!+#REF!+#REF!+#REF!+#REF!))&gt;0,-(#REF!+SUM(#REF!+#REF!+#REF!+#REF!+#REF!+#REF!))*0.2,0)</f>
        <v>#REF!</v>
      </c>
      <c r="J54" s="45" t="e">
        <f aca="false">IF((#REF!+SUM(#REF!+#REF!+#REF!+#REF!+#REF!+#REF!))&gt;0,-(#REF!+SUM(#REF!+#REF!+#REF!+#REF!+#REF!+#REF!))*0.2,0)</f>
        <v>#REF!</v>
      </c>
      <c r="K54" s="45" t="e">
        <f aca="false">IF((#REF!+SUM(#REF!+#REF!+#REF!+#REF!+#REF!+#REF!))&gt;0,-(#REF!+SUM(#REF!+#REF!+#REF!+#REF!+#REF!+#REF!))*0.2,0)</f>
        <v>#REF!</v>
      </c>
      <c r="L54" s="45" t="e">
        <f aca="false">IF((#REF!+SUM(#REF!+#REF!+#REF!+#REF!+#REF!+#REF!))&gt;0,-(#REF!+SUM(#REF!+#REF!+#REF!+#REF!+#REF!+#REF!))*0.2,0)</f>
        <v>#REF!</v>
      </c>
      <c r="M54" s="45" t="e">
        <f aca="false">IF((#REF!+SUM(#REF!+#REF!+#REF!+#REF!+#REF!+#REF!))&gt;0,-(#REF!+SUM(#REF!+#REF!+#REF!+#REF!+#REF!+#REF!))*0.2,0)</f>
        <v>#REF!</v>
      </c>
      <c r="N54" s="45" t="e">
        <f aca="false">IF((#REF!+SUM(#REF!+#REF!+#REF!+#REF!+#REF!+#REF!))&gt;0,-(#REF!+SUM(#REF!+#REF!+#REF!+#REF!+#REF!+#REF!))*0.2,0)</f>
        <v>#REF!</v>
      </c>
      <c r="O54" s="45" t="e">
        <f aca="false">IF((#REF!+SUM(#REF!+#REF!+#REF!+#REF!+#REF!+#REF!))&gt;0,-(#REF!+SUM(#REF!+#REF!+#REF!+#REF!+#REF!+#REF!))*0.2,0)</f>
        <v>#REF!</v>
      </c>
      <c r="P54" s="45" t="e">
        <f aca="false">IF((#REF!+SUM(#REF!+#REF!+#REF!+#REF!+#REF!+#REF!))&gt;0,-(#REF!+SUM(#REF!+#REF!+#REF!+#REF!+#REF!+#REF!))*0.2,0)</f>
        <v>#REF!</v>
      </c>
      <c r="Q54" s="45" t="e">
        <f aca="false">IF((#REF!+SUM(#REF!+#REF!+#REF!+#REF!+#REF!+#REF!))&gt;0,-(#REF!+SUM(#REF!+#REF!+#REF!+#REF!+#REF!+#REF!))*0.2,0)</f>
        <v>#REF!</v>
      </c>
      <c r="R54" s="45" t="e">
        <f aca="false">IF((#REF!+SUM(#REF!+#REF!+#REF!+#REF!+#REF!+#REF!))&gt;0,-(#REF!+SUM(#REF!+#REF!+#REF!+#REF!+#REF!+#REF!))*0.2,0)</f>
        <v>#REF!</v>
      </c>
      <c r="S54" s="45" t="e">
        <f aca="false">IF((#REF!+SUM(#REF!+#REF!+#REF!+#REF!+#REF!+#REF!))&gt;0,-(#REF!+SUM(#REF!+#REF!+#REF!+#REF!+#REF!+#REF!))*0.2,0)</f>
        <v>#REF!</v>
      </c>
      <c r="T54" s="45" t="e">
        <f aca="false">IF((#REF!+SUM(#REF!+#REF!+#REF!+#REF!+#REF!+#REF!))&gt;0,-(#REF!+SUM(#REF!+#REF!+#REF!+#REF!+#REF!+#REF!))*0.2,0)</f>
        <v>#REF!</v>
      </c>
      <c r="U54" s="45" t="e">
        <f aca="false">IF((#REF!+SUM(#REF!+#REF!+#REF!+#REF!+#REF!+#REF!))&gt;0,-(#REF!+SUM(#REF!+#REF!+#REF!+#REF!+#REF!+#REF!))*0.2,0)</f>
        <v>#REF!</v>
      </c>
      <c r="V54" s="45" t="e">
        <f aca="false">IF((#REF!+SUM(#REF!+#REF!+#REF!+#REF!+#REF!+#REF!))&gt;0,-(#REF!+SUM(#REF!+#REF!+#REF!+#REF!+#REF!+#REF!))*0.2,0)</f>
        <v>#REF!</v>
      </c>
      <c r="W54" s="55"/>
    </row>
    <row r="55" customFormat="false" ht="18.75" hidden="false" customHeight="true" outlineLevel="0" collapsed="false">
      <c r="A55" s="67"/>
      <c r="B55" s="62"/>
      <c r="C55" s="64"/>
      <c r="D55" s="64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47"/>
    </row>
    <row r="56" customFormat="false" ht="18.75" hidden="false" customHeight="true" outlineLevel="0" collapsed="false">
      <c r="A56" s="68" t="s">
        <v>67</v>
      </c>
      <c r="B56" s="69" t="e">
        <f aca="false">B44</f>
        <v>#REF!</v>
      </c>
      <c r="C56" s="70" t="e">
        <f aca="false">SUM(C41:C54)</f>
        <v>#REF!</v>
      </c>
      <c r="D56" s="69" t="e">
        <f aca="false">SUM(D41:D54)</f>
        <v>#REF!</v>
      </c>
      <c r="E56" s="69" t="e">
        <f aca="false">SUM(E41:E54)</f>
        <v>#REF!</v>
      </c>
      <c r="F56" s="69" t="e">
        <f aca="false">SUM(F41:F54)</f>
        <v>#REF!</v>
      </c>
      <c r="G56" s="69" t="e">
        <f aca="false">SUM(G41:G54)</f>
        <v>#REF!</v>
      </c>
      <c r="H56" s="69" t="e">
        <f aca="false">SUM(H41:H54)</f>
        <v>#REF!</v>
      </c>
      <c r="I56" s="69" t="e">
        <f aca="false">SUM(I41:I54)</f>
        <v>#REF!</v>
      </c>
      <c r="J56" s="69" t="e">
        <f aca="false">SUM(J41:J54)</f>
        <v>#REF!</v>
      </c>
      <c r="K56" s="69" t="e">
        <f aca="false">SUM(K41:K54)</f>
        <v>#REF!</v>
      </c>
      <c r="L56" s="69" t="e">
        <f aca="false">SUM(L41:L54)</f>
        <v>#REF!</v>
      </c>
      <c r="M56" s="69" t="e">
        <f aca="false">SUM(M41:M54)</f>
        <v>#REF!</v>
      </c>
      <c r="N56" s="69" t="e">
        <f aca="false">SUM(N41:N54)</f>
        <v>#REF!</v>
      </c>
      <c r="O56" s="69" t="e">
        <f aca="false">SUM(O41:O54)</f>
        <v>#REF!</v>
      </c>
      <c r="P56" s="69" t="e">
        <f aca="false">SUM(P41:P54)</f>
        <v>#REF!</v>
      </c>
      <c r="Q56" s="69" t="e">
        <f aca="false">SUM(Q41:Q54)</f>
        <v>#REF!</v>
      </c>
      <c r="R56" s="69" t="e">
        <f aca="false">SUM(R41:R54)</f>
        <v>#REF!</v>
      </c>
      <c r="S56" s="69" t="e">
        <f aca="false">SUM(S41:S54)</f>
        <v>#REF!</v>
      </c>
      <c r="T56" s="69" t="e">
        <f aca="false">SUM(T41:T54)</f>
        <v>#REF!</v>
      </c>
      <c r="U56" s="69" t="e">
        <f aca="false">SUM(U41:U54)</f>
        <v>#REF!</v>
      </c>
      <c r="V56" s="69" t="e">
        <f aca="false">SUM(V41:V54)</f>
        <v>#REF!</v>
      </c>
      <c r="W56" s="71"/>
      <c r="X56" s="72"/>
      <c r="Y56" s="73"/>
      <c r="Z56" s="72"/>
      <c r="AA56" s="72"/>
      <c r="AB56" s="72"/>
      <c r="AC56" s="72"/>
      <c r="AD56" s="72"/>
      <c r="AE56" s="72"/>
      <c r="AF56" s="72"/>
      <c r="AG56" s="72"/>
      <c r="AH56" s="72"/>
      <c r="AI56" s="72"/>
    </row>
    <row r="57" customFormat="false" ht="18.75" hidden="false" customHeight="true" outlineLevel="0" collapsed="false">
      <c r="A57" s="74" t="s">
        <v>68</v>
      </c>
      <c r="B57" s="75"/>
      <c r="C57" s="76" t="e">
        <f aca="false">C56+B56</f>
        <v>#REF!</v>
      </c>
      <c r="D57" s="76" t="e">
        <f aca="false">D56+C57</f>
        <v>#REF!</v>
      </c>
      <c r="E57" s="76" t="e">
        <f aca="false">E56+D57</f>
        <v>#REF!</v>
      </c>
      <c r="F57" s="76" t="e">
        <f aca="false">F56+E57</f>
        <v>#REF!</v>
      </c>
      <c r="G57" s="76" t="e">
        <f aca="false">G56+F57</f>
        <v>#REF!</v>
      </c>
      <c r="H57" s="76" t="e">
        <f aca="false">H56+G57</f>
        <v>#REF!</v>
      </c>
      <c r="I57" s="76" t="e">
        <f aca="false">I56+H57</f>
        <v>#REF!</v>
      </c>
      <c r="J57" s="76" t="e">
        <f aca="false">J56+I57</f>
        <v>#REF!</v>
      </c>
      <c r="K57" s="76" t="e">
        <f aca="false">K56+J57</f>
        <v>#REF!</v>
      </c>
      <c r="L57" s="76" t="e">
        <f aca="false">L56+K57</f>
        <v>#REF!</v>
      </c>
      <c r="M57" s="76" t="e">
        <f aca="false">M56+L57</f>
        <v>#REF!</v>
      </c>
      <c r="N57" s="76" t="e">
        <f aca="false">N56+M57</f>
        <v>#REF!</v>
      </c>
      <c r="O57" s="76" t="e">
        <f aca="false">O56+N57</f>
        <v>#REF!</v>
      </c>
      <c r="P57" s="76" t="e">
        <f aca="false">P56+O57</f>
        <v>#REF!</v>
      </c>
      <c r="Q57" s="76" t="e">
        <f aca="false">Q56+P57</f>
        <v>#REF!</v>
      </c>
      <c r="R57" s="76" t="e">
        <f aca="false">R56+Q57</f>
        <v>#REF!</v>
      </c>
      <c r="S57" s="76" t="e">
        <f aca="false">S56+R57</f>
        <v>#REF!</v>
      </c>
      <c r="T57" s="76" t="e">
        <f aca="false">T56+S57</f>
        <v>#REF!</v>
      </c>
      <c r="U57" s="76" t="e">
        <f aca="false">U56+T57</f>
        <v>#REF!</v>
      </c>
      <c r="V57" s="76" t="e">
        <f aca="false">V56+U57</f>
        <v>#REF!</v>
      </c>
      <c r="W57" s="77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</row>
    <row r="58" customFormat="false" ht="18.75" hidden="true" customHeight="true" outlineLevel="0" collapsed="false">
      <c r="A58" s="78" t="s">
        <v>69</v>
      </c>
      <c r="B58" s="79" t="n">
        <v>-37721416.4</v>
      </c>
      <c r="C58" s="80"/>
      <c r="D58" s="80"/>
      <c r="E58" s="81" t="n">
        <v>4765724.10193463</v>
      </c>
      <c r="F58" s="81" t="n">
        <v>4715578.68712299</v>
      </c>
      <c r="G58" s="81" t="n">
        <v>4665433.27231135</v>
      </c>
      <c r="H58" s="81" t="n">
        <v>4615287.85749972</v>
      </c>
      <c r="I58" s="81" t="n">
        <v>4565142.44268808</v>
      </c>
      <c r="J58" s="81" t="n">
        <v>4517504.29861703</v>
      </c>
      <c r="K58" s="81" t="n">
        <v>4469866.15454598</v>
      </c>
      <c r="L58" s="81" t="n">
        <v>4422228.01047492</v>
      </c>
      <c r="M58" s="81" t="n">
        <v>4374589.86640387</v>
      </c>
      <c r="N58" s="81" t="n">
        <v>4326951.72233282</v>
      </c>
      <c r="O58" s="81" t="n">
        <v>4284954.93742807</v>
      </c>
      <c r="P58" s="81" t="n">
        <v>4242958.15252333</v>
      </c>
      <c r="Q58" s="81" t="n">
        <v>4200961.36761858</v>
      </c>
      <c r="R58" s="81" t="n">
        <v>4158964.58271384</v>
      </c>
      <c r="S58" s="81" t="n">
        <v>4116967.79780909</v>
      </c>
      <c r="T58" s="81" t="n">
        <v>4074971.01290435</v>
      </c>
      <c r="U58" s="81" t="n">
        <v>4032974.2279996</v>
      </c>
      <c r="V58" s="81" t="n">
        <v>3990977.44309486</v>
      </c>
      <c r="W58" s="8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</row>
    <row r="59" customFormat="false" ht="18.75" hidden="true" customHeight="true" outlineLevel="0" collapsed="false">
      <c r="A59" s="78" t="s">
        <v>70</v>
      </c>
      <c r="B59" s="83"/>
      <c r="C59" s="66"/>
      <c r="D59" s="66"/>
      <c r="E59" s="66" t="n">
        <v>1886070.82</v>
      </c>
      <c r="F59" s="66" t="n">
        <v>1886070.82</v>
      </c>
      <c r="G59" s="66" t="n">
        <v>1886070.82</v>
      </c>
      <c r="H59" s="66" t="n">
        <v>1886070.82</v>
      </c>
      <c r="I59" s="66" t="n">
        <v>1886070.82</v>
      </c>
      <c r="J59" s="66" t="n">
        <v>1886070.82</v>
      </c>
      <c r="K59" s="66" t="n">
        <v>1886070.82</v>
      </c>
      <c r="L59" s="66" t="n">
        <v>1886070.82</v>
      </c>
      <c r="M59" s="66" t="n">
        <v>1886070.82</v>
      </c>
      <c r="N59" s="66" t="n">
        <v>1886070.82</v>
      </c>
      <c r="O59" s="66" t="n">
        <v>1886070.82</v>
      </c>
      <c r="P59" s="66" t="n">
        <v>1886070.82</v>
      </c>
      <c r="Q59" s="66" t="n">
        <v>1886070.82</v>
      </c>
      <c r="R59" s="66" t="n">
        <v>1886070.82</v>
      </c>
      <c r="S59" s="66" t="n">
        <v>1886070.82</v>
      </c>
      <c r="T59" s="66" t="n">
        <v>1886070.82</v>
      </c>
      <c r="U59" s="66" t="n">
        <v>1886070.82</v>
      </c>
      <c r="V59" s="66" t="n">
        <v>1886070.82</v>
      </c>
      <c r="W59" s="55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</row>
    <row r="60" customFormat="false" ht="18.75" hidden="true" customHeight="true" outlineLevel="0" collapsed="false">
      <c r="A60" s="78" t="s">
        <v>71</v>
      </c>
      <c r="B60" s="83"/>
      <c r="C60" s="66"/>
      <c r="D60" s="66"/>
      <c r="E60" s="66" t="n">
        <v>0</v>
      </c>
      <c r="F60" s="66" t="n">
        <v>0</v>
      </c>
      <c r="G60" s="66" t="n">
        <v>0</v>
      </c>
      <c r="H60" s="66" t="n">
        <v>0</v>
      </c>
      <c r="I60" s="66" t="n">
        <v>0</v>
      </c>
      <c r="J60" s="66" t="n">
        <v>0</v>
      </c>
      <c r="K60" s="66" t="n">
        <v>0</v>
      </c>
      <c r="L60" s="66" t="n">
        <v>0</v>
      </c>
      <c r="M60" s="66" t="n">
        <v>0</v>
      </c>
      <c r="N60" s="66" t="n">
        <v>0</v>
      </c>
      <c r="O60" s="66" t="n">
        <v>0</v>
      </c>
      <c r="P60" s="66" t="n">
        <v>0</v>
      </c>
      <c r="Q60" s="66" t="n">
        <v>0</v>
      </c>
      <c r="R60" s="66" t="n">
        <v>0</v>
      </c>
      <c r="S60" s="66" t="n">
        <v>0</v>
      </c>
      <c r="T60" s="66" t="n">
        <v>0</v>
      </c>
      <c r="U60" s="66" t="n">
        <v>0</v>
      </c>
      <c r="V60" s="66" t="n">
        <v>0</v>
      </c>
      <c r="W60" s="55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</row>
    <row r="61" customFormat="false" ht="18.75" hidden="true" customHeight="true" outlineLevel="0" collapsed="false">
      <c r="A61" s="84" t="s">
        <v>72</v>
      </c>
      <c r="B61" s="85"/>
      <c r="C61" s="86"/>
      <c r="D61" s="86"/>
      <c r="E61" s="86" t="n">
        <v>2879653.28193463</v>
      </c>
      <c r="F61" s="86" t="n">
        <v>2829507.86712299</v>
      </c>
      <c r="G61" s="86" t="n">
        <v>2779362.45231135</v>
      </c>
      <c r="H61" s="86" t="n">
        <v>2729217.03749972</v>
      </c>
      <c r="I61" s="86" t="n">
        <v>2679071.62268808</v>
      </c>
      <c r="J61" s="86" t="n">
        <v>2631433.47861703</v>
      </c>
      <c r="K61" s="86" t="n">
        <v>2583795.33454598</v>
      </c>
      <c r="L61" s="86" t="n">
        <v>2536157.19047492</v>
      </c>
      <c r="M61" s="86" t="n">
        <v>2488519.04640387</v>
      </c>
      <c r="N61" s="86" t="n">
        <v>2440880.90233282</v>
      </c>
      <c r="O61" s="86" t="n">
        <v>2398884.11742807</v>
      </c>
      <c r="P61" s="86" t="n">
        <v>2356887.33252333</v>
      </c>
      <c r="Q61" s="86" t="n">
        <v>2314890.54761858</v>
      </c>
      <c r="R61" s="86" t="n">
        <v>2272893.76271384</v>
      </c>
      <c r="S61" s="86" t="n">
        <v>2230896.97780909</v>
      </c>
      <c r="T61" s="86" t="n">
        <v>2188900.19290435</v>
      </c>
      <c r="U61" s="86" t="n">
        <v>2146903.4079996</v>
      </c>
      <c r="V61" s="86" t="n">
        <v>2104906.62309486</v>
      </c>
      <c r="W61" s="87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</row>
    <row r="62" customFormat="false" ht="18.75" hidden="true" customHeight="true" outlineLevel="0" collapsed="false">
      <c r="A62" s="88" t="s">
        <v>73</v>
      </c>
      <c r="B62" s="89"/>
      <c r="C62" s="90"/>
      <c r="D62" s="90"/>
      <c r="E62" s="91" t="n">
        <v>0.763400093834924</v>
      </c>
      <c r="F62" s="91" t="n">
        <v>0.750106474560427</v>
      </c>
      <c r="G62" s="91" t="n">
        <v>0.736812855285931</v>
      </c>
      <c r="H62" s="91" t="n">
        <v>0.723519236011434</v>
      </c>
      <c r="I62" s="91" t="n">
        <v>0.710225616736937</v>
      </c>
      <c r="J62" s="91" t="n">
        <v>0.697596678426166</v>
      </c>
      <c r="K62" s="91" t="n">
        <v>0.684967740115394</v>
      </c>
      <c r="L62" s="91" t="n">
        <v>0.672338801804622</v>
      </c>
      <c r="M62" s="91" t="n">
        <v>0.65970986349385</v>
      </c>
      <c r="N62" s="91" t="n">
        <v>0.647080925183079</v>
      </c>
      <c r="O62" s="91" t="n">
        <v>0.635947519040687</v>
      </c>
      <c r="P62" s="91" t="n">
        <v>0.624814112898297</v>
      </c>
      <c r="Q62" s="91" t="n">
        <v>0.613680706755906</v>
      </c>
      <c r="R62" s="91" t="n">
        <v>0.602547300613515</v>
      </c>
      <c r="S62" s="91" t="n">
        <v>0.591413894471124</v>
      </c>
      <c r="T62" s="91" t="n">
        <v>0.580280488328733</v>
      </c>
      <c r="U62" s="91" t="n">
        <v>0.569147082186342</v>
      </c>
      <c r="V62" s="91" t="n">
        <v>0.558013676043951</v>
      </c>
      <c r="W62" s="9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</row>
    <row r="63" customFormat="false" ht="18.75" hidden="false" customHeight="true" outlineLevel="0" collapsed="false">
      <c r="A63" s="93" t="s">
        <v>74</v>
      </c>
      <c r="B63" s="75"/>
      <c r="C63" s="94" t="e">
        <f aca="false">IF((C57)&gt;0,"回收","未回收")</f>
        <v>#REF!</v>
      </c>
      <c r="D63" s="94" t="e">
        <f aca="false">IF((D57)&gt;0,"回收","未回收")</f>
        <v>#REF!</v>
      </c>
      <c r="E63" s="94" t="e">
        <f aca="false">IF((E57)&gt;0,"回收","未回收")</f>
        <v>#REF!</v>
      </c>
      <c r="F63" s="94" t="e">
        <f aca="false">IF((F57)&gt;0,"回收","未回收")</f>
        <v>#REF!</v>
      </c>
      <c r="G63" s="94" t="e">
        <f aca="false">IF((G57)&gt;0,"回收","未回收")</f>
        <v>#REF!</v>
      </c>
      <c r="H63" s="94" t="e">
        <f aca="false">IF((H57)&gt;0,"回收","未回收")</f>
        <v>#REF!</v>
      </c>
      <c r="I63" s="94" t="e">
        <f aca="false">IF((I57)&gt;0,"回收","未回收")</f>
        <v>#REF!</v>
      </c>
      <c r="J63" s="94" t="e">
        <f aca="false">IF((J57)&gt;0,"回收","未回收")</f>
        <v>#REF!</v>
      </c>
      <c r="K63" s="94" t="e">
        <f aca="false">IF((K57)&gt;0,"回收","未回收")</f>
        <v>#REF!</v>
      </c>
      <c r="L63" s="94" t="e">
        <f aca="false">IF((L57)&gt;0,"回收","未回收")</f>
        <v>#REF!</v>
      </c>
      <c r="M63" s="94" t="e">
        <f aca="false">IF((M57)&gt;0,"回收","未回收")</f>
        <v>#REF!</v>
      </c>
      <c r="N63" s="94" t="e">
        <f aca="false">IF((N57)&gt;0,"回收","未回收")</f>
        <v>#REF!</v>
      </c>
      <c r="O63" s="94" t="e">
        <f aca="false">IF((O57)&gt;0,"回收","未回收")</f>
        <v>#REF!</v>
      </c>
      <c r="P63" s="94" t="e">
        <f aca="false">IF((P57)&gt;0,"回收","未回收")</f>
        <v>#REF!</v>
      </c>
      <c r="Q63" s="94" t="e">
        <f aca="false">IF((Q57)&gt;0,"回收","未回收")</f>
        <v>#REF!</v>
      </c>
      <c r="R63" s="94" t="e">
        <f aca="false">IF((R57)&gt;0,"回收","未回收")</f>
        <v>#REF!</v>
      </c>
      <c r="S63" s="94" t="e">
        <f aca="false">IF((S57)&gt;0,"回收","未回收")</f>
        <v>#REF!</v>
      </c>
      <c r="T63" s="94" t="e">
        <f aca="false">IF((T57)&gt;0,"回收","未回收")</f>
        <v>#REF!</v>
      </c>
      <c r="U63" s="94" t="e">
        <f aca="false">IF((U57)&gt;0,"回收","未回收")</f>
        <v>#REF!</v>
      </c>
      <c r="V63" s="94" t="e">
        <f aca="false">IF((V57)&gt;0,"回收","未回收")</f>
        <v>#REF!</v>
      </c>
      <c r="W63" s="95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</row>
    <row r="64" customFormat="false" ht="18.75" hidden="false" customHeight="true" outlineLevel="0" collapsed="false">
      <c r="A64" s="33"/>
      <c r="B64" s="96"/>
      <c r="C64" s="96"/>
      <c r="D64" s="96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97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</row>
    <row r="65" customFormat="false" ht="18.75" hidden="false" customHeight="true" outlineLevel="0" collapsed="false">
      <c r="A65" s="33"/>
      <c r="B65" s="96"/>
      <c r="C65" s="96"/>
      <c r="D65" s="96"/>
      <c r="E65" s="64"/>
      <c r="F65" s="64"/>
      <c r="G65" s="64"/>
      <c r="H65" s="64"/>
      <c r="I65" s="64"/>
      <c r="J65" s="64"/>
      <c r="K65" s="64" t="s">
        <v>75</v>
      </c>
      <c r="L65" s="98" t="n">
        <v>0</v>
      </c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97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</row>
    <row r="66" customFormat="false" ht="18.75" hidden="false" customHeight="true" outlineLevel="0" collapsed="false">
      <c r="A66" s="33"/>
      <c r="B66" s="96"/>
      <c r="C66" s="96"/>
      <c r="D66" s="96"/>
      <c r="E66" s="64"/>
      <c r="F66" s="64"/>
      <c r="G66" s="64"/>
      <c r="H66" s="64"/>
      <c r="I66" s="64"/>
      <c r="J66" s="64"/>
      <c r="K66" s="64" t="s">
        <v>75</v>
      </c>
      <c r="L66" s="98" t="n">
        <v>0</v>
      </c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97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</row>
    <row r="67" customFormat="false" ht="18.75" hidden="false" customHeight="true" outlineLevel="0" collapsed="false">
      <c r="B67" s="99" t="s">
        <v>48</v>
      </c>
      <c r="C67" s="100" t="n">
        <v>2020</v>
      </c>
      <c r="D67" s="100" t="n">
        <v>2021</v>
      </c>
      <c r="E67" s="100" t="n">
        <v>2022</v>
      </c>
      <c r="F67" s="100" t="n">
        <v>2023</v>
      </c>
      <c r="G67" s="100" t="n">
        <v>2024</v>
      </c>
      <c r="H67" s="100" t="n">
        <v>2025</v>
      </c>
      <c r="I67" s="100" t="n">
        <v>2026</v>
      </c>
      <c r="J67" s="100" t="n">
        <v>2027</v>
      </c>
      <c r="K67" s="100" t="n">
        <v>2028</v>
      </c>
      <c r="L67" s="100" t="n">
        <v>2029</v>
      </c>
      <c r="M67" s="100" t="n">
        <v>2030</v>
      </c>
      <c r="N67" s="100" t="n">
        <v>2031</v>
      </c>
      <c r="O67" s="100" t="n">
        <v>2032</v>
      </c>
      <c r="P67" s="100" t="n">
        <v>2033</v>
      </c>
      <c r="Q67" s="100" t="n">
        <v>2034</v>
      </c>
      <c r="R67" s="100" t="n">
        <v>2035</v>
      </c>
      <c r="S67" s="100" t="n">
        <v>2036</v>
      </c>
      <c r="T67" s="100" t="n">
        <v>2037</v>
      </c>
      <c r="U67" s="100" t="n">
        <v>2038</v>
      </c>
      <c r="V67" s="100" t="n">
        <v>2039</v>
      </c>
      <c r="W67" s="72"/>
    </row>
    <row r="68" customFormat="false" ht="18.75" hidden="false" customHeight="true" outlineLevel="0" collapsed="false">
      <c r="W68" s="72"/>
    </row>
    <row r="69" customFormat="false" ht="18.75" hidden="false" customHeight="true" outlineLevel="0" collapsed="false">
      <c r="A69" s="101" t="s">
        <v>51</v>
      </c>
      <c r="B69" s="102" t="n">
        <v>0</v>
      </c>
      <c r="C69" s="102" t="n">
        <v>1</v>
      </c>
      <c r="D69" s="102" t="n">
        <v>2</v>
      </c>
      <c r="E69" s="102" t="n">
        <v>3</v>
      </c>
      <c r="F69" s="102" t="n">
        <v>4</v>
      </c>
      <c r="G69" s="102" t="n">
        <v>5</v>
      </c>
      <c r="H69" s="102" t="n">
        <v>6</v>
      </c>
      <c r="I69" s="102" t="n">
        <v>7</v>
      </c>
      <c r="J69" s="102" t="n">
        <v>8</v>
      </c>
      <c r="K69" s="102" t="n">
        <v>9</v>
      </c>
      <c r="L69" s="102" t="n">
        <v>10</v>
      </c>
      <c r="M69" s="102" t="n">
        <v>11</v>
      </c>
      <c r="N69" s="102" t="n">
        <v>12</v>
      </c>
      <c r="O69" s="102" t="n">
        <v>13</v>
      </c>
      <c r="P69" s="102" t="n">
        <v>14</v>
      </c>
      <c r="Q69" s="102" t="n">
        <v>15</v>
      </c>
      <c r="R69" s="102" t="n">
        <v>16</v>
      </c>
      <c r="S69" s="102" t="n">
        <v>17</v>
      </c>
      <c r="T69" s="102" t="n">
        <v>18</v>
      </c>
      <c r="U69" s="102" t="n">
        <v>19</v>
      </c>
      <c r="V69" s="102" t="n">
        <v>20</v>
      </c>
      <c r="W69" s="103"/>
    </row>
    <row r="70" customFormat="false" ht="18.75" hidden="false" customHeight="true" outlineLevel="0" collapsed="false">
      <c r="A70" s="104" t="s">
        <v>76</v>
      </c>
      <c r="B70" s="105"/>
      <c r="C70" s="105" t="e">
        <f aca="false">#REF!</f>
        <v>#REF!</v>
      </c>
      <c r="D70" s="105" t="e">
        <f aca="false">#REF!</f>
        <v>#REF!</v>
      </c>
      <c r="E70" s="105" t="e">
        <f aca="false">#REF!</f>
        <v>#REF!</v>
      </c>
      <c r="F70" s="105" t="e">
        <f aca="false">#REF!</f>
        <v>#REF!</v>
      </c>
      <c r="G70" s="105" t="e">
        <f aca="false">#REF!</f>
        <v>#REF!</v>
      </c>
      <c r="H70" s="105" t="e">
        <f aca="false">#REF!</f>
        <v>#REF!</v>
      </c>
      <c r="I70" s="105" t="e">
        <f aca="false">#REF!</f>
        <v>#REF!</v>
      </c>
      <c r="J70" s="105" t="e">
        <f aca="false">#REF!</f>
        <v>#REF!</v>
      </c>
      <c r="K70" s="105" t="e">
        <f aca="false">#REF!</f>
        <v>#REF!</v>
      </c>
      <c r="L70" s="105" t="e">
        <f aca="false">#REF!</f>
        <v>#REF!</v>
      </c>
      <c r="M70" s="105" t="e">
        <f aca="false">#REF!</f>
        <v>#REF!</v>
      </c>
      <c r="N70" s="105" t="e">
        <f aca="false">#REF!</f>
        <v>#REF!</v>
      </c>
      <c r="O70" s="105" t="e">
        <f aca="false">#REF!</f>
        <v>#REF!</v>
      </c>
      <c r="P70" s="105" t="e">
        <f aca="false">#REF!</f>
        <v>#REF!</v>
      </c>
      <c r="Q70" s="105" t="e">
        <f aca="false">#REF!</f>
        <v>#REF!</v>
      </c>
      <c r="R70" s="105" t="e">
        <f aca="false">#REF!</f>
        <v>#REF!</v>
      </c>
      <c r="S70" s="105" t="e">
        <f aca="false">#REF!</f>
        <v>#REF!</v>
      </c>
      <c r="T70" s="105" t="e">
        <f aca="false">#REF!</f>
        <v>#REF!</v>
      </c>
      <c r="U70" s="105" t="e">
        <f aca="false">#REF!</f>
        <v>#REF!</v>
      </c>
      <c r="V70" s="105" t="e">
        <f aca="false">#REF!</f>
        <v>#REF!</v>
      </c>
      <c r="W70" s="81"/>
    </row>
    <row r="71" customFormat="false" ht="18.75" hidden="false" customHeight="true" outlineLevel="0" collapsed="false">
      <c r="A71" s="104" t="s">
        <v>77</v>
      </c>
      <c r="B71" s="105"/>
      <c r="C71" s="106" t="e">
        <f aca="false">-#REF!</f>
        <v>#REF!</v>
      </c>
      <c r="D71" s="106" t="e">
        <f aca="false">-#REF!</f>
        <v>#REF!</v>
      </c>
      <c r="E71" s="106" t="e">
        <f aca="false">-#REF!</f>
        <v>#REF!</v>
      </c>
      <c r="F71" s="106" t="e">
        <f aca="false">-#REF!</f>
        <v>#REF!</v>
      </c>
      <c r="G71" s="106" t="e">
        <f aca="false">-#REF!</f>
        <v>#REF!</v>
      </c>
      <c r="H71" s="106" t="e">
        <f aca="false">-#REF!</f>
        <v>#REF!</v>
      </c>
      <c r="I71" s="106" t="e">
        <f aca="false">-#REF!</f>
        <v>#REF!</v>
      </c>
      <c r="J71" s="106" t="e">
        <f aca="false">-#REF!</f>
        <v>#REF!</v>
      </c>
      <c r="K71" s="106" t="e">
        <f aca="false">-#REF!</f>
        <v>#REF!</v>
      </c>
      <c r="L71" s="106" t="e">
        <f aca="false">-#REF!</f>
        <v>#REF!</v>
      </c>
      <c r="M71" s="106" t="e">
        <f aca="false">-#REF!</f>
        <v>#REF!</v>
      </c>
      <c r="N71" s="106" t="e">
        <f aca="false">-#REF!</f>
        <v>#REF!</v>
      </c>
      <c r="O71" s="106" t="e">
        <f aca="false">-#REF!</f>
        <v>#REF!</v>
      </c>
      <c r="P71" s="106" t="e">
        <f aca="false">-#REF!</f>
        <v>#REF!</v>
      </c>
      <c r="Q71" s="106" t="e">
        <f aca="false">-#REF!</f>
        <v>#REF!</v>
      </c>
      <c r="R71" s="106" t="e">
        <f aca="false">-#REF!</f>
        <v>#REF!</v>
      </c>
      <c r="S71" s="106" t="e">
        <f aca="false">-#REF!</f>
        <v>#REF!</v>
      </c>
      <c r="T71" s="106" t="e">
        <f aca="false">-#REF!</f>
        <v>#REF!</v>
      </c>
      <c r="U71" s="106" t="e">
        <f aca="false">-#REF!</f>
        <v>#REF!</v>
      </c>
      <c r="V71" s="106" t="e">
        <f aca="false">-#REF!</f>
        <v>#REF!</v>
      </c>
      <c r="W71" s="81"/>
    </row>
    <row r="72" customFormat="false" ht="18.75" hidden="false" customHeight="true" outlineLevel="0" collapsed="false">
      <c r="A72" s="104" t="s">
        <v>78</v>
      </c>
      <c r="B72" s="105"/>
      <c r="C72" s="107" t="e">
        <f aca="false">SUM(C70:C71)</f>
        <v>#REF!</v>
      </c>
      <c r="D72" s="107" t="e">
        <f aca="false">SUM(D70:D71)</f>
        <v>#REF!</v>
      </c>
      <c r="E72" s="107" t="e">
        <f aca="false">SUM(E70:E71)</f>
        <v>#REF!</v>
      </c>
      <c r="F72" s="107" t="e">
        <f aca="false">SUM(F70:F71)</f>
        <v>#REF!</v>
      </c>
      <c r="G72" s="107" t="e">
        <f aca="false">SUM(G70:G71)</f>
        <v>#REF!</v>
      </c>
      <c r="H72" s="107" t="e">
        <f aca="false">SUM(H70:H71)</f>
        <v>#REF!</v>
      </c>
      <c r="I72" s="107" t="e">
        <f aca="false">SUM(I70:I71)</f>
        <v>#REF!</v>
      </c>
      <c r="J72" s="107" t="e">
        <f aca="false">SUM(J70:J71)</f>
        <v>#REF!</v>
      </c>
      <c r="K72" s="107" t="e">
        <f aca="false">SUM(K70:K71)</f>
        <v>#REF!</v>
      </c>
      <c r="L72" s="107" t="e">
        <f aca="false">SUM(L70:L71)</f>
        <v>#REF!</v>
      </c>
      <c r="M72" s="107" t="e">
        <f aca="false">SUM(M70:M71)</f>
        <v>#REF!</v>
      </c>
      <c r="N72" s="107" t="e">
        <f aca="false">SUM(N70:N71)</f>
        <v>#REF!</v>
      </c>
      <c r="O72" s="107" t="e">
        <f aca="false">SUM(O70:O71)</f>
        <v>#REF!</v>
      </c>
      <c r="P72" s="107" t="e">
        <f aca="false">SUM(P70:P71)</f>
        <v>#REF!</v>
      </c>
      <c r="Q72" s="107" t="e">
        <f aca="false">SUM(Q70:Q71)</f>
        <v>#REF!</v>
      </c>
      <c r="R72" s="107" t="e">
        <f aca="false">SUM(R70:R71)</f>
        <v>#REF!</v>
      </c>
      <c r="S72" s="107" t="e">
        <f aca="false">SUM(S70:S71)</f>
        <v>#REF!</v>
      </c>
      <c r="T72" s="107" t="e">
        <f aca="false">SUM(T70:T71)</f>
        <v>#REF!</v>
      </c>
      <c r="U72" s="107" t="e">
        <f aca="false">SUM(U70:U71)</f>
        <v>#REF!</v>
      </c>
      <c r="V72" s="107" t="e">
        <f aca="false">SUM(V70:V71)</f>
        <v>#REF!</v>
      </c>
      <c r="W72" s="73"/>
    </row>
    <row r="73" customFormat="false" ht="18.75" hidden="false" customHeight="true" outlineLevel="0" collapsed="false">
      <c r="A73" s="104"/>
      <c r="B73" s="105"/>
      <c r="C73" s="105"/>
      <c r="D73" s="105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72"/>
    </row>
    <row r="74" customFormat="false" ht="18.75" hidden="false" customHeight="true" outlineLevel="0" collapsed="false">
      <c r="A74" s="109" t="s">
        <v>79</v>
      </c>
      <c r="B74" s="110"/>
      <c r="C74" s="111" t="e">
        <f aca="false">B44</f>
        <v>#REF!</v>
      </c>
      <c r="D74" s="110" t="n">
        <v>0</v>
      </c>
      <c r="E74" s="110"/>
      <c r="F74" s="110" t="n">
        <v>0</v>
      </c>
      <c r="G74" s="110" t="n">
        <v>0</v>
      </c>
      <c r="H74" s="110" t="n">
        <v>0</v>
      </c>
      <c r="I74" s="110" t="n">
        <v>0</v>
      </c>
      <c r="J74" s="110" t="n">
        <v>0</v>
      </c>
      <c r="K74" s="110" t="n">
        <v>0</v>
      </c>
      <c r="L74" s="110" t="n">
        <v>0</v>
      </c>
      <c r="M74" s="110" t="n">
        <v>0</v>
      </c>
      <c r="N74" s="110" t="n">
        <v>0</v>
      </c>
      <c r="O74" s="110" t="n">
        <v>0</v>
      </c>
      <c r="P74" s="110" t="n">
        <v>0</v>
      </c>
      <c r="Q74" s="110" t="n">
        <v>0</v>
      </c>
      <c r="R74" s="110" t="n">
        <v>0</v>
      </c>
      <c r="S74" s="110" t="n">
        <v>0</v>
      </c>
      <c r="T74" s="110" t="n">
        <v>0</v>
      </c>
      <c r="U74" s="110" t="n">
        <v>0</v>
      </c>
      <c r="V74" s="110" t="n">
        <v>0</v>
      </c>
      <c r="W74" s="81"/>
    </row>
    <row r="75" customFormat="false" ht="18.75" hidden="false" customHeight="true" outlineLevel="0" collapsed="false">
      <c r="A75" s="104"/>
      <c r="B75" s="105"/>
      <c r="C75" s="105"/>
      <c r="D75" s="105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72"/>
    </row>
    <row r="76" customFormat="false" ht="18.75" hidden="false" customHeight="true" outlineLevel="0" collapsed="false">
      <c r="A76" s="104"/>
      <c r="B76" s="105"/>
      <c r="C76" s="105"/>
      <c r="D76" s="105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72"/>
    </row>
    <row r="77" customFormat="false" ht="18.75" hidden="false" customHeight="true" outlineLevel="0" collapsed="false">
      <c r="A77" s="109" t="s">
        <v>80</v>
      </c>
      <c r="B77" s="110"/>
      <c r="C77" s="111" t="e">
        <f aca="false">#REF!*0.8</f>
        <v>#REF!</v>
      </c>
      <c r="D77" s="110"/>
      <c r="E77" s="110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  <c r="W77" s="72"/>
    </row>
    <row r="78" customFormat="false" ht="18.75" hidden="false" customHeight="true" outlineLevel="0" collapsed="false">
      <c r="A78" s="104" t="s">
        <v>81</v>
      </c>
      <c r="B78" s="105"/>
      <c r="C78" s="105"/>
      <c r="D78" s="105" t="e">
        <f aca="false">-#REF!</f>
        <v>#REF!</v>
      </c>
      <c r="E78" s="105" t="e">
        <f aca="false">-#REF!</f>
        <v>#REF!</v>
      </c>
      <c r="F78" s="105" t="e">
        <f aca="false">-#REF!</f>
        <v>#REF!</v>
      </c>
      <c r="G78" s="105" t="e">
        <f aca="false">-#REF!</f>
        <v>#REF!</v>
      </c>
      <c r="H78" s="105" t="e">
        <f aca="false">-#REF!</f>
        <v>#REF!</v>
      </c>
      <c r="I78" s="105" t="e">
        <f aca="false">-#REF!</f>
        <v>#REF!</v>
      </c>
      <c r="J78" s="105" t="e">
        <f aca="false">-#REF!</f>
        <v>#REF!</v>
      </c>
      <c r="K78" s="105" t="e">
        <f aca="false">-#REF!</f>
        <v>#REF!</v>
      </c>
      <c r="L78" s="105" t="e">
        <f aca="false">-#REF!</f>
        <v>#REF!</v>
      </c>
      <c r="M78" s="105" t="e">
        <f aca="false">-#REF!</f>
        <v>#REF!</v>
      </c>
      <c r="N78" s="105" t="e">
        <f aca="false">-#REF!</f>
        <v>#REF!</v>
      </c>
      <c r="O78" s="105" t="e">
        <f aca="false">-#REF!</f>
        <v>#REF!</v>
      </c>
      <c r="P78" s="105" t="e">
        <f aca="false">-#REF!</f>
        <v>#REF!</v>
      </c>
      <c r="Q78" s="105" t="e">
        <f aca="false">-#REF!</f>
        <v>#REF!</v>
      </c>
      <c r="R78" s="105" t="e">
        <f aca="false">-#REF!</f>
        <v>#REF!</v>
      </c>
      <c r="S78" s="108"/>
      <c r="T78" s="108"/>
      <c r="U78" s="108"/>
      <c r="V78" s="108"/>
      <c r="W78" s="81"/>
    </row>
    <row r="79" customFormat="false" ht="18.75" hidden="false" customHeight="true" outlineLevel="0" collapsed="false">
      <c r="A79" s="104" t="s">
        <v>82</v>
      </c>
      <c r="B79" s="108"/>
      <c r="C79" s="105" t="e">
        <f aca="false">#REF!*0.2</f>
        <v>#REF!</v>
      </c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73"/>
    </row>
    <row r="80" customFormat="false" ht="18.75" hidden="false" customHeight="true" outlineLevel="0" collapsed="false">
      <c r="A80" s="104" t="s">
        <v>45</v>
      </c>
      <c r="B80" s="108"/>
      <c r="C80" s="108"/>
      <c r="D80" s="112" t="e">
        <f aca="false">-C70*0.9</f>
        <v>#REF!</v>
      </c>
      <c r="E80" s="105" t="e">
        <f aca="false">-D70*0.9</f>
        <v>#REF!</v>
      </c>
      <c r="F80" s="105" t="e">
        <f aca="false">-E70*0.9</f>
        <v>#REF!</v>
      </c>
      <c r="G80" s="105" t="e">
        <f aca="false">-F70*0.9</f>
        <v>#REF!</v>
      </c>
      <c r="H80" s="105" t="e">
        <f aca="false">-G70*0.9</f>
        <v>#REF!</v>
      </c>
      <c r="I80" s="105" t="e">
        <f aca="false">-H70*0.9</f>
        <v>#REF!</v>
      </c>
      <c r="J80" s="105" t="e">
        <f aca="false">-I70*0.9</f>
        <v>#REF!</v>
      </c>
      <c r="K80" s="105" t="e">
        <f aca="false">-J70*0.9</f>
        <v>#REF!</v>
      </c>
      <c r="L80" s="105" t="e">
        <f aca="false">-K70*0.9</f>
        <v>#REF!</v>
      </c>
      <c r="M80" s="105" t="e">
        <f aca="false">-L70*0.9</f>
        <v>#REF!</v>
      </c>
      <c r="N80" s="105" t="e">
        <f aca="false">-M70*0.9</f>
        <v>#REF!</v>
      </c>
      <c r="O80" s="105" t="e">
        <f aca="false">-N70*0.9</f>
        <v>#REF!</v>
      </c>
      <c r="P80" s="105" t="e">
        <f aca="false">-O70*0.9</f>
        <v>#REF!</v>
      </c>
      <c r="Q80" s="105" t="e">
        <f aca="false">-P70*0.9</f>
        <v>#REF!</v>
      </c>
      <c r="R80" s="105" t="e">
        <f aca="false">-Q70*0.9</f>
        <v>#REF!</v>
      </c>
      <c r="S80" s="105" t="e">
        <f aca="false">-R70*0.9</f>
        <v>#REF!</v>
      </c>
      <c r="T80" s="105" t="e">
        <f aca="false">-S70*0.9</f>
        <v>#REF!</v>
      </c>
      <c r="U80" s="108"/>
      <c r="V80" s="105" t="e">
        <f aca="false">-U70*0.9</f>
        <v>#REF!</v>
      </c>
      <c r="W80" s="73"/>
    </row>
    <row r="81" customFormat="false" ht="18.75" hidden="false" customHeight="true" outlineLevel="0" collapsed="false">
      <c r="A81" s="113" t="s">
        <v>47</v>
      </c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5" t="e">
        <f aca="false">-$C$79/4</f>
        <v>#REF!</v>
      </c>
      <c r="R81" s="115" t="e">
        <f aca="false">-$C$79/4</f>
        <v>#REF!</v>
      </c>
      <c r="S81" s="115" t="e">
        <f aca="false">-$C$79/4</f>
        <v>#REF!</v>
      </c>
      <c r="T81" s="115" t="e">
        <f aca="false">-$C$79/4</f>
        <v>#REF!</v>
      </c>
      <c r="U81" s="114"/>
      <c r="V81" s="114"/>
      <c r="W81" s="73"/>
    </row>
    <row r="82" customFormat="false" ht="18.75" hidden="false" customHeight="true" outlineLevel="0" collapsed="false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73"/>
    </row>
    <row r="83" customFormat="false" ht="18.75" hidden="false" customHeight="true" outlineLevel="0" collapsed="false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73"/>
    </row>
    <row r="84" customFormat="false" ht="18.75" hidden="false" customHeight="true" outlineLevel="0" collapsed="false">
      <c r="A84" s="104" t="s">
        <v>83</v>
      </c>
      <c r="B84" s="108" t="n">
        <f aca="false">SUM(B74:B83)</f>
        <v>0</v>
      </c>
      <c r="C84" s="107" t="e">
        <f aca="false">SUM(C72:C83)</f>
        <v>#REF!</v>
      </c>
      <c r="D84" s="107" t="e">
        <f aca="false">SUM(D72:D83)</f>
        <v>#REF!</v>
      </c>
      <c r="E84" s="107" t="e">
        <f aca="false">SUM(E72:E83)</f>
        <v>#REF!</v>
      </c>
      <c r="F84" s="107" t="e">
        <f aca="false">SUM(F72:F83)</f>
        <v>#REF!</v>
      </c>
      <c r="G84" s="107" t="e">
        <f aca="false">SUM(G72:G83)</f>
        <v>#REF!</v>
      </c>
      <c r="H84" s="107" t="e">
        <f aca="false">SUM(H72:H83)</f>
        <v>#REF!</v>
      </c>
      <c r="I84" s="107" t="e">
        <f aca="false">SUM(I72:I83)</f>
        <v>#REF!</v>
      </c>
      <c r="J84" s="107" t="e">
        <f aca="false">SUM(J72:J83)</f>
        <v>#REF!</v>
      </c>
      <c r="K84" s="107" t="e">
        <f aca="false">SUM(K72:K83)</f>
        <v>#REF!</v>
      </c>
      <c r="L84" s="107" t="e">
        <f aca="false">SUM(L72:L83)</f>
        <v>#REF!</v>
      </c>
      <c r="M84" s="107" t="e">
        <f aca="false">SUM(M72:M83)</f>
        <v>#REF!</v>
      </c>
      <c r="N84" s="107" t="e">
        <f aca="false">SUM(N72:N83)</f>
        <v>#REF!</v>
      </c>
      <c r="O84" s="107" t="e">
        <f aca="false">SUM(O72:O83)</f>
        <v>#REF!</v>
      </c>
      <c r="P84" s="107" t="e">
        <f aca="false">SUM(P72:P83)</f>
        <v>#REF!</v>
      </c>
      <c r="Q84" s="107" t="e">
        <f aca="false">SUM(Q72:Q83)</f>
        <v>#REF!</v>
      </c>
      <c r="R84" s="107" t="e">
        <f aca="false">SUM(R72:R83)</f>
        <v>#REF!</v>
      </c>
      <c r="S84" s="107" t="e">
        <f aca="false">SUM(S72:S83)</f>
        <v>#REF!</v>
      </c>
      <c r="T84" s="107" t="e">
        <f aca="false">SUM(T72:T83)</f>
        <v>#REF!</v>
      </c>
      <c r="U84" s="107" t="e">
        <f aca="false">SUM(U72:U83)</f>
        <v>#REF!</v>
      </c>
      <c r="V84" s="107" t="e">
        <f aca="false">SUM(V72:V83)</f>
        <v>#REF!</v>
      </c>
      <c r="W84" s="73"/>
    </row>
    <row r="85" customFormat="false" ht="18.75" hidden="false" customHeight="true" outlineLevel="0" collapsed="false">
      <c r="A85" s="104" t="s">
        <v>84</v>
      </c>
      <c r="B85" s="108" t="n">
        <v>0</v>
      </c>
      <c r="C85" s="108" t="n">
        <f aca="false">B86</f>
        <v>0</v>
      </c>
      <c r="D85" s="105" t="e">
        <f aca="false">C86</f>
        <v>#REF!</v>
      </c>
      <c r="E85" s="105" t="e">
        <f aca="false">D86</f>
        <v>#REF!</v>
      </c>
      <c r="F85" s="105" t="e">
        <f aca="false">E86</f>
        <v>#REF!</v>
      </c>
      <c r="G85" s="105" t="e">
        <f aca="false">F86</f>
        <v>#REF!</v>
      </c>
      <c r="H85" s="105" t="e">
        <f aca="false">G86</f>
        <v>#REF!</v>
      </c>
      <c r="I85" s="105" t="e">
        <f aca="false">H86</f>
        <v>#REF!</v>
      </c>
      <c r="J85" s="105" t="e">
        <f aca="false">I86</f>
        <v>#REF!</v>
      </c>
      <c r="K85" s="105" t="e">
        <f aca="false">J86</f>
        <v>#REF!</v>
      </c>
      <c r="L85" s="105" t="e">
        <f aca="false">K86</f>
        <v>#REF!</v>
      </c>
      <c r="M85" s="105" t="e">
        <f aca="false">L86</f>
        <v>#REF!</v>
      </c>
      <c r="N85" s="105" t="e">
        <f aca="false">M86</f>
        <v>#REF!</v>
      </c>
      <c r="O85" s="105" t="e">
        <f aca="false">N86</f>
        <v>#REF!</v>
      </c>
      <c r="P85" s="105" t="e">
        <f aca="false">O86</f>
        <v>#REF!</v>
      </c>
      <c r="Q85" s="105" t="e">
        <f aca="false">P86</f>
        <v>#REF!</v>
      </c>
      <c r="R85" s="105" t="e">
        <f aca="false">Q86</f>
        <v>#REF!</v>
      </c>
      <c r="S85" s="105" t="e">
        <f aca="false">R86</f>
        <v>#REF!</v>
      </c>
      <c r="T85" s="105" t="e">
        <f aca="false">S86</f>
        <v>#REF!</v>
      </c>
      <c r="U85" s="108"/>
      <c r="V85" s="108"/>
      <c r="W85" s="72"/>
    </row>
    <row r="86" customFormat="false" ht="18.75" hidden="false" customHeight="true" outlineLevel="0" collapsed="false">
      <c r="A86" s="104" t="s">
        <v>85</v>
      </c>
      <c r="B86" s="108" t="n">
        <f aca="false">B84</f>
        <v>0</v>
      </c>
      <c r="C86" s="105" t="e">
        <f aca="false">C84+C85</f>
        <v>#REF!</v>
      </c>
      <c r="D86" s="105" t="e">
        <f aca="false">D84+D85</f>
        <v>#REF!</v>
      </c>
      <c r="E86" s="105" t="e">
        <f aca="false">E84+E85</f>
        <v>#REF!</v>
      </c>
      <c r="F86" s="105" t="e">
        <f aca="false">F84+F85</f>
        <v>#REF!</v>
      </c>
      <c r="G86" s="105" t="e">
        <f aca="false">G84+G85</f>
        <v>#REF!</v>
      </c>
      <c r="H86" s="105" t="e">
        <f aca="false">H84+H85</f>
        <v>#REF!</v>
      </c>
      <c r="I86" s="105" t="e">
        <f aca="false">I84+I85</f>
        <v>#REF!</v>
      </c>
      <c r="J86" s="105" t="e">
        <f aca="false">J84+J85</f>
        <v>#REF!</v>
      </c>
      <c r="K86" s="105" t="e">
        <f aca="false">K84+K85</f>
        <v>#REF!</v>
      </c>
      <c r="L86" s="105" t="e">
        <f aca="false">L84+L85</f>
        <v>#REF!</v>
      </c>
      <c r="M86" s="105" t="e">
        <f aca="false">M84+M85</f>
        <v>#REF!</v>
      </c>
      <c r="N86" s="105" t="e">
        <f aca="false">N84+N85</f>
        <v>#REF!</v>
      </c>
      <c r="O86" s="105" t="e">
        <f aca="false">O84+O85</f>
        <v>#REF!</v>
      </c>
      <c r="P86" s="105" t="e">
        <f aca="false">P84+P85</f>
        <v>#REF!</v>
      </c>
      <c r="Q86" s="105" t="e">
        <f aca="false">Q84+Q85</f>
        <v>#REF!</v>
      </c>
      <c r="R86" s="105" t="e">
        <f aca="false">R84+R85</f>
        <v>#REF!</v>
      </c>
      <c r="S86" s="105" t="e">
        <f aca="false">S84+S85</f>
        <v>#REF!</v>
      </c>
      <c r="T86" s="105" t="e">
        <f aca="false">T84+T85</f>
        <v>#REF!</v>
      </c>
      <c r="U86" s="108"/>
      <c r="V86" s="108"/>
      <c r="W86" s="72"/>
    </row>
    <row r="87" customFormat="false" ht="18.75" hidden="false" customHeight="true" outlineLevel="0" collapsed="false">
      <c r="A87" s="104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16"/>
    </row>
    <row r="88" customFormat="false" ht="18.75" hidden="false" customHeight="true" outlineLevel="0" collapsed="false">
      <c r="A88" s="104"/>
      <c r="B88" s="105"/>
      <c r="C88" s="105"/>
      <c r="D88" s="105"/>
      <c r="E88" s="108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16"/>
    </row>
    <row r="89" customFormat="false" ht="18.75" hidden="false" customHeight="true" outlineLevel="0" collapsed="false">
      <c r="A89" s="117" t="s">
        <v>86</v>
      </c>
      <c r="B89" s="118"/>
      <c r="C89" s="119" t="e">
        <f aca="false">-C79</f>
        <v>#REF!</v>
      </c>
      <c r="D89" s="107" t="e">
        <f aca="false">-D80-D81</f>
        <v>#REF!</v>
      </c>
      <c r="E89" s="107" t="e">
        <f aca="false">-E80-E81</f>
        <v>#REF!</v>
      </c>
      <c r="F89" s="107" t="e">
        <f aca="false">-F80-F81</f>
        <v>#REF!</v>
      </c>
      <c r="G89" s="107" t="e">
        <f aca="false">-G80-G81</f>
        <v>#REF!</v>
      </c>
      <c r="H89" s="107" t="e">
        <f aca="false">-H80-H81</f>
        <v>#REF!</v>
      </c>
      <c r="I89" s="107" t="e">
        <f aca="false">-I80-I81</f>
        <v>#REF!</v>
      </c>
      <c r="J89" s="107" t="e">
        <f aca="false">-J80-J81</f>
        <v>#REF!</v>
      </c>
      <c r="K89" s="107" t="e">
        <f aca="false">-K80-K81</f>
        <v>#REF!</v>
      </c>
      <c r="L89" s="107" t="e">
        <f aca="false">-L80-L81</f>
        <v>#REF!</v>
      </c>
      <c r="M89" s="107" t="e">
        <f aca="false">-M80-M81</f>
        <v>#REF!</v>
      </c>
      <c r="N89" s="107" t="e">
        <f aca="false">-N80-N81</f>
        <v>#REF!</v>
      </c>
      <c r="O89" s="107" t="e">
        <f aca="false">-O80-O81</f>
        <v>#REF!</v>
      </c>
      <c r="P89" s="107" t="e">
        <f aca="false">-P80-P81</f>
        <v>#REF!</v>
      </c>
      <c r="Q89" s="107" t="e">
        <f aca="false">-Q80-Q81</f>
        <v>#REF!</v>
      </c>
      <c r="R89" s="107" t="e">
        <f aca="false">-R80-R81</f>
        <v>#REF!</v>
      </c>
      <c r="S89" s="107" t="e">
        <f aca="false">-S80-S81</f>
        <v>#REF!</v>
      </c>
      <c r="T89" s="107" t="e">
        <f aca="false">-T80-T81</f>
        <v>#REF!</v>
      </c>
      <c r="U89" s="118" t="n">
        <f aca="false">-U80-U81</f>
        <v>-0</v>
      </c>
      <c r="V89" s="107" t="e">
        <f aca="false">-V80-V81</f>
        <v>#REF!</v>
      </c>
      <c r="W89" s="73"/>
    </row>
    <row r="90" customFormat="false" ht="18.75" hidden="false" customHeight="true" outlineLevel="0" collapsed="false">
      <c r="A90" s="104" t="s">
        <v>87</v>
      </c>
      <c r="B90" s="120" t="e">
        <f aca="false">IRR(C89:V89)</f>
        <v>#REF!</v>
      </c>
      <c r="C90" s="121"/>
      <c r="D90" s="121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16"/>
    </row>
    <row r="91" customFormat="false" ht="18.75" hidden="false" customHeight="true" outlineLevel="0" collapsed="false">
      <c r="A91" s="117" t="s">
        <v>88</v>
      </c>
      <c r="B91" s="118"/>
      <c r="C91" s="119" t="e">
        <f aca="false">#REF!-C79</f>
        <v>#REF!</v>
      </c>
      <c r="D91" s="107" t="e">
        <f aca="false">#REF!</f>
        <v>#REF!</v>
      </c>
      <c r="E91" s="107" t="e">
        <f aca="false">#REF!-E81</f>
        <v>#REF!</v>
      </c>
      <c r="F91" s="107" t="e">
        <f aca="false">#REF!-F81</f>
        <v>#REF!</v>
      </c>
      <c r="G91" s="107" t="e">
        <f aca="false">#REF!-G81</f>
        <v>#REF!</v>
      </c>
      <c r="H91" s="107" t="e">
        <f aca="false">#REF!-H81</f>
        <v>#REF!</v>
      </c>
      <c r="I91" s="107" t="e">
        <f aca="false">#REF!-I81</f>
        <v>#REF!</v>
      </c>
      <c r="J91" s="107" t="e">
        <f aca="false">#REF!-J81</f>
        <v>#REF!</v>
      </c>
      <c r="K91" s="107" t="e">
        <f aca="false">#REF!-K81</f>
        <v>#REF!</v>
      </c>
      <c r="L91" s="107" t="e">
        <f aca="false">#REF!-L81</f>
        <v>#REF!</v>
      </c>
      <c r="M91" s="107" t="e">
        <f aca="false">#REF!-M81</f>
        <v>#REF!</v>
      </c>
      <c r="N91" s="107" t="e">
        <f aca="false">#REF!-N81</f>
        <v>#REF!</v>
      </c>
      <c r="O91" s="107" t="e">
        <f aca="false">#REF!-O81</f>
        <v>#REF!</v>
      </c>
      <c r="P91" s="107" t="e">
        <f aca="false">#REF!-P81</f>
        <v>#REF!</v>
      </c>
      <c r="Q91" s="107" t="e">
        <f aca="false">#REF!-Q81</f>
        <v>#REF!</v>
      </c>
      <c r="R91" s="107" t="e">
        <f aca="false">#REF!-R81</f>
        <v>#REF!</v>
      </c>
      <c r="S91" s="107" t="e">
        <f aca="false">#REF!-S81</f>
        <v>#REF!</v>
      </c>
      <c r="T91" s="107" t="e">
        <f aca="false">#REF!-T81</f>
        <v>#REF!</v>
      </c>
      <c r="U91" s="107" t="e">
        <f aca="false">#REF!-U81</f>
        <v>#REF!</v>
      </c>
      <c r="V91" s="107" t="e">
        <f aca="false">#REF!-V81</f>
        <v>#REF!</v>
      </c>
      <c r="W91" s="81"/>
    </row>
    <row r="92" customFormat="false" ht="18.75" hidden="false" customHeight="true" outlineLevel="0" collapsed="false">
      <c r="A92" s="117" t="s">
        <v>89</v>
      </c>
      <c r="B92" s="120" t="e">
        <f aca="false">IRR(C91:V91)</f>
        <v>#REF!</v>
      </c>
      <c r="C92" s="121"/>
      <c r="D92" s="121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16"/>
    </row>
    <row r="93" customFormat="false" ht="18.75" hidden="false" customHeight="true" outlineLevel="0" collapsed="false">
      <c r="A93" s="104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16"/>
    </row>
    <row r="94" customFormat="false" ht="18.75" hidden="false" customHeight="true" outlineLevel="0" collapsed="false">
      <c r="A94" s="104" t="s">
        <v>90</v>
      </c>
      <c r="B94" s="108" t="n">
        <v>0</v>
      </c>
      <c r="C94" s="105" t="e">
        <f aca="false">C77</f>
        <v>#REF!</v>
      </c>
      <c r="D94" s="105" t="e">
        <f aca="false">C94+D77+D78</f>
        <v>#REF!</v>
      </c>
      <c r="E94" s="105" t="e">
        <f aca="false">D94+E77+E78</f>
        <v>#REF!</v>
      </c>
      <c r="F94" s="105" t="e">
        <f aca="false">E94+F77+F78</f>
        <v>#REF!</v>
      </c>
      <c r="G94" s="105" t="e">
        <f aca="false">F94+G77+G78</f>
        <v>#REF!</v>
      </c>
      <c r="H94" s="105" t="e">
        <f aca="false">G94+H77+H78</f>
        <v>#REF!</v>
      </c>
      <c r="I94" s="105" t="e">
        <f aca="false">H94+I77+I78</f>
        <v>#REF!</v>
      </c>
      <c r="J94" s="105" t="e">
        <f aca="false">I94+J77+J78</f>
        <v>#REF!</v>
      </c>
      <c r="K94" s="105" t="e">
        <f aca="false">J94+K77+K78</f>
        <v>#REF!</v>
      </c>
      <c r="L94" s="105" t="e">
        <f aca="false">K94+L77+L78</f>
        <v>#REF!</v>
      </c>
      <c r="M94" s="105" t="e">
        <f aca="false">L94+M77+M78</f>
        <v>#REF!</v>
      </c>
      <c r="N94" s="105" t="e">
        <f aca="false">M94+N77+N78</f>
        <v>#REF!</v>
      </c>
      <c r="O94" s="105" t="e">
        <f aca="false">N94+O77+O78</f>
        <v>#REF!</v>
      </c>
      <c r="P94" s="105" t="e">
        <f aca="false">O94+P77+P78</f>
        <v>#REF!</v>
      </c>
      <c r="Q94" s="105" t="e">
        <f aca="false">P94+Q77+Q78</f>
        <v>#REF!</v>
      </c>
      <c r="R94" s="105" t="e">
        <f aca="false">Q94+R77+R78</f>
        <v>#REF!</v>
      </c>
      <c r="S94" s="108"/>
      <c r="T94" s="108"/>
      <c r="U94" s="108"/>
      <c r="V94" s="108"/>
      <c r="W94" s="108"/>
    </row>
    <row r="95" customFormat="false" ht="18.75" hidden="false" customHeight="true" outlineLevel="0" collapsed="false"/>
    <row r="96" customFormat="false" ht="18.75" hidden="false" customHeight="true" outlineLevel="0" collapsed="false">
      <c r="A96" s="122"/>
    </row>
    <row r="97" customFormat="false" ht="18.75" hidden="false" customHeight="true" outlineLevel="0" collapsed="false">
      <c r="F97" s="73"/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23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91</v>
      </c>
      <c r="B1" s="0" t="s">
        <v>92</v>
      </c>
      <c r="C1" s="0" t="s">
        <v>93</v>
      </c>
      <c r="D1" s="0" t="s">
        <v>87</v>
      </c>
      <c r="E1" s="0" t="s">
        <v>89</v>
      </c>
      <c r="F1" s="0" t="s">
        <v>23</v>
      </c>
      <c r="G1" s="0" t="s">
        <v>94</v>
      </c>
      <c r="H1" s="0" t="s">
        <v>95</v>
      </c>
      <c r="I1" s="0" t="s">
        <v>24</v>
      </c>
      <c r="J1" s="0" t="s">
        <v>96</v>
      </c>
    </row>
    <row r="2" customFormat="false" ht="15" hidden="false" customHeight="false" outlineLevel="0" collapsed="false">
      <c r="A2" s="0" t="n">
        <v>1</v>
      </c>
      <c r="B2" s="0" t="n">
        <v>40000</v>
      </c>
      <c r="C2" s="123" t="n">
        <v>-0.0033</v>
      </c>
      <c r="D2" s="123" t="n">
        <v>-0.0413</v>
      </c>
      <c r="E2" s="123" t="n">
        <v>-0.0376</v>
      </c>
      <c r="F2" s="123" t="n">
        <v>0.2</v>
      </c>
      <c r="G2" s="0" t="n">
        <v>4361000</v>
      </c>
      <c r="H2" s="0" t="n">
        <v>10000</v>
      </c>
      <c r="I2" s="0" t="n">
        <v>3000</v>
      </c>
      <c r="J2" s="0" t="s">
        <v>97</v>
      </c>
    </row>
    <row r="3" customFormat="false" ht="15" hidden="false" customHeight="false" outlineLevel="0" collapsed="false">
      <c r="A3" s="0" t="n">
        <v>2</v>
      </c>
      <c r="B3" s="0" t="n">
        <v>38000</v>
      </c>
      <c r="C3" s="123" t="n">
        <v>0.0005</v>
      </c>
      <c r="D3" s="123" t="n">
        <v>-0.0289</v>
      </c>
      <c r="E3" s="123" t="n">
        <v>-0.027</v>
      </c>
      <c r="F3" s="123" t="n">
        <v>0.2</v>
      </c>
      <c r="G3" s="0" t="n">
        <v>4142950</v>
      </c>
      <c r="H3" s="0" t="n">
        <v>9500</v>
      </c>
      <c r="I3" s="0" t="n">
        <v>3000</v>
      </c>
      <c r="J3" s="0" t="s">
        <v>98</v>
      </c>
    </row>
    <row r="4" customFormat="false" ht="15" hidden="false" customHeight="false" outlineLevel="0" collapsed="false">
      <c r="A4" s="0" t="n">
        <v>3</v>
      </c>
      <c r="B4" s="0" t="n">
        <v>36000</v>
      </c>
      <c r="C4" s="123" t="n">
        <v>0.0046</v>
      </c>
      <c r="D4" s="123" t="n">
        <v>-0.0159</v>
      </c>
      <c r="E4" s="123" t="n">
        <v>-0.0153</v>
      </c>
      <c r="F4" s="123" t="n">
        <v>0.2</v>
      </c>
      <c r="G4" s="0" t="n">
        <v>3924900</v>
      </c>
      <c r="H4" s="0" t="n">
        <v>9000</v>
      </c>
      <c r="I4" s="0" t="n">
        <v>3000</v>
      </c>
      <c r="J4" s="0" t="s">
        <v>99</v>
      </c>
    </row>
    <row r="5" customFormat="false" ht="15" hidden="false" customHeight="false" outlineLevel="0" collapsed="false">
      <c r="A5" s="0" t="n">
        <v>4</v>
      </c>
      <c r="B5" s="0" t="n">
        <v>34000</v>
      </c>
      <c r="C5" s="123" t="n">
        <v>0.0091</v>
      </c>
      <c r="D5" s="123" t="n">
        <v>-0.0023</v>
      </c>
      <c r="E5" s="123" t="n">
        <v>-0.0023</v>
      </c>
      <c r="F5" s="123" t="n">
        <v>0.2</v>
      </c>
      <c r="G5" s="0" t="n">
        <v>3706850</v>
      </c>
      <c r="H5" s="0" t="n">
        <v>8500</v>
      </c>
      <c r="I5" s="0" t="n">
        <v>3000</v>
      </c>
      <c r="J5" s="0" t="s">
        <v>100</v>
      </c>
    </row>
    <row r="6" customFormat="false" ht="15" hidden="false" customHeight="false" outlineLevel="0" collapsed="false">
      <c r="A6" s="0" t="n">
        <v>5</v>
      </c>
      <c r="B6" s="0" t="n">
        <v>32000</v>
      </c>
      <c r="C6" s="123" t="n">
        <v>0.014</v>
      </c>
      <c r="D6" s="123" t="n">
        <v>0.0121</v>
      </c>
      <c r="E6" s="123" t="n">
        <v>0.0123</v>
      </c>
      <c r="F6" s="123" t="n">
        <v>0.2</v>
      </c>
      <c r="G6" s="0" t="n">
        <v>3488800</v>
      </c>
      <c r="H6" s="0" t="n">
        <v>8000</v>
      </c>
      <c r="I6" s="0" t="n">
        <v>3000</v>
      </c>
      <c r="J6" s="0" t="s">
        <v>101</v>
      </c>
    </row>
    <row r="7" customFormat="false" ht="15" hidden="false" customHeight="false" outlineLevel="0" collapsed="false">
      <c r="A7" s="0" t="n">
        <v>6</v>
      </c>
      <c r="B7" s="0" t="n">
        <v>30000</v>
      </c>
      <c r="C7" s="123" t="n">
        <v>0.0193</v>
      </c>
      <c r="D7" s="123" t="n">
        <v>0.0278</v>
      </c>
      <c r="E7" s="123" t="n">
        <v>0.029</v>
      </c>
      <c r="F7" s="123" t="n">
        <v>0.2</v>
      </c>
      <c r="G7" s="0" t="n">
        <v>3270750</v>
      </c>
      <c r="H7" s="0" t="n">
        <v>7500</v>
      </c>
      <c r="I7" s="0" t="n">
        <v>3000</v>
      </c>
      <c r="J7" s="0" t="s">
        <v>102</v>
      </c>
    </row>
    <row r="8" customFormat="false" ht="15" hidden="false" customHeight="false" outlineLevel="0" collapsed="false">
      <c r="A8" s="0" t="n">
        <v>7</v>
      </c>
      <c r="B8" s="0" t="n">
        <v>28000</v>
      </c>
      <c r="C8" s="123" t="n">
        <v>0.0251</v>
      </c>
      <c r="D8" s="123" t="n">
        <v>0.0449</v>
      </c>
      <c r="E8" s="123" t="n">
        <v>0.0483</v>
      </c>
      <c r="F8" s="123" t="n">
        <v>0.2</v>
      </c>
      <c r="G8" s="0" t="n">
        <v>3052700</v>
      </c>
      <c r="H8" s="0" t="n">
        <v>7000</v>
      </c>
      <c r="I8" s="0" t="n">
        <v>3000</v>
      </c>
      <c r="J8" s="0" t="s">
        <v>103</v>
      </c>
    </row>
    <row r="9" customFormat="false" ht="15" hidden="false" customHeight="false" outlineLevel="0" collapsed="false">
      <c r="A9" s="0" t="n">
        <v>8</v>
      </c>
      <c r="B9" s="0" t="n">
        <v>26000</v>
      </c>
      <c r="C9" s="123" t="n">
        <v>0.0316</v>
      </c>
      <c r="D9" s="123" t="n">
        <v>0.064</v>
      </c>
      <c r="E9" s="123" t="n">
        <v>0.0711</v>
      </c>
      <c r="F9" s="123" t="n">
        <v>0.2</v>
      </c>
      <c r="G9" s="0" t="n">
        <v>2834650</v>
      </c>
      <c r="H9" s="0" t="n">
        <v>6500</v>
      </c>
      <c r="I9" s="0" t="n">
        <v>3000</v>
      </c>
      <c r="J9" s="0" t="s">
        <v>104</v>
      </c>
    </row>
    <row r="10" customFormat="false" ht="15" hidden="false" customHeight="false" outlineLevel="0" collapsed="false">
      <c r="A10" s="0" t="n">
        <v>9</v>
      </c>
      <c r="B10" s="0" t="n">
        <v>24000</v>
      </c>
      <c r="C10" s="123" t="n">
        <v>0.0388</v>
      </c>
      <c r="D10" s="123" t="n">
        <v>0.0856</v>
      </c>
      <c r="E10" s="123" t="n">
        <v>0.099</v>
      </c>
      <c r="F10" s="123" t="n">
        <v>0.2</v>
      </c>
      <c r="G10" s="0" t="n">
        <v>2616600</v>
      </c>
      <c r="H10" s="0" t="n">
        <v>6000</v>
      </c>
      <c r="I10" s="0" t="n">
        <v>3000</v>
      </c>
      <c r="J10" s="0" t="s">
        <v>105</v>
      </c>
    </row>
    <row r="11" customFormat="false" ht="15" hidden="false" customHeight="false" outlineLevel="0" collapsed="false">
      <c r="A11" s="0" t="n">
        <v>10</v>
      </c>
      <c r="B11" s="0" t="n">
        <v>22000</v>
      </c>
      <c r="C11" s="123" t="n">
        <v>0.0469</v>
      </c>
      <c r="D11" s="123" t="n">
        <v>0.1108</v>
      </c>
      <c r="E11" s="123" t="n">
        <v>0.1341</v>
      </c>
      <c r="F11" s="123" t="n">
        <v>0.2</v>
      </c>
      <c r="G11" s="0" t="n">
        <v>2398550</v>
      </c>
      <c r="H11" s="0" t="n">
        <v>5500</v>
      </c>
      <c r="I11" s="0" t="n">
        <v>3000</v>
      </c>
      <c r="J11" s="0" t="s">
        <v>106</v>
      </c>
    </row>
    <row r="12" customFormat="false" ht="15" hidden="false" customHeight="false" outlineLevel="0" collapsed="false">
      <c r="A12" s="0" t="n">
        <v>11</v>
      </c>
      <c r="B12" s="0" t="n">
        <v>20000</v>
      </c>
      <c r="C12" s="123" t="n">
        <v>0.0561</v>
      </c>
      <c r="D12" s="123" t="n">
        <v>0.1409</v>
      </c>
      <c r="E12" s="123" t="n">
        <v>0.1806</v>
      </c>
      <c r="F12" s="123" t="n">
        <v>0.2</v>
      </c>
      <c r="G12" s="0" t="n">
        <v>2180500</v>
      </c>
      <c r="H12" s="0" t="n">
        <v>5000</v>
      </c>
      <c r="I12" s="0" t="n">
        <v>3000</v>
      </c>
      <c r="J12" s="0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39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2" t="s">
        <v>0</v>
      </c>
      <c r="C1" s="124"/>
      <c r="D1" s="124"/>
      <c r="E1" s="125"/>
      <c r="F1" s="126" t="s">
        <v>108</v>
      </c>
      <c r="P1" s="127" t="n">
        <f aca="false">1-D11</f>
        <v>0.99</v>
      </c>
      <c r="Q1" s="127" t="n">
        <f aca="false">P1-$D12</f>
        <v>0.986</v>
      </c>
      <c r="R1" s="127" t="n">
        <f aca="false">Q1-$D12</f>
        <v>0.982</v>
      </c>
      <c r="S1" s="127" t="n">
        <f aca="false">R1-$D12</f>
        <v>0.978</v>
      </c>
      <c r="T1" s="127" t="n">
        <f aca="false">S1-$D12</f>
        <v>0.974</v>
      </c>
      <c r="U1" s="127" t="n">
        <f aca="false">T1-$D12</f>
        <v>0.97</v>
      </c>
      <c r="V1" s="127" t="n">
        <f aca="false">U1-$D12</f>
        <v>0.966</v>
      </c>
      <c r="W1" s="127" t="n">
        <f aca="false">V1-$D12</f>
        <v>0.962</v>
      </c>
      <c r="X1" s="127" t="n">
        <f aca="false">W1-$D12</f>
        <v>0.958</v>
      </c>
      <c r="Y1" s="127" t="n">
        <f aca="false">X1-$D12</f>
        <v>0.954</v>
      </c>
      <c r="Z1" s="127" t="n">
        <f aca="false">Y1-$D12</f>
        <v>0.95</v>
      </c>
      <c r="AA1" s="127" t="n">
        <f aca="false">Z1-$D12</f>
        <v>0.946</v>
      </c>
      <c r="AB1" s="127" t="n">
        <f aca="false">AA1-$D12</f>
        <v>0.942</v>
      </c>
      <c r="AC1" s="127" t="n">
        <f aca="false">AB1-$D12</f>
        <v>0.938</v>
      </c>
      <c r="AD1" s="127" t="n">
        <f aca="false">AC1-$D12</f>
        <v>0.934</v>
      </c>
      <c r="AE1" s="127" t="n">
        <f aca="false">AD1-$D12</f>
        <v>0.93</v>
      </c>
      <c r="AF1" s="127" t="n">
        <f aca="false">AE1-$D12</f>
        <v>0.926</v>
      </c>
      <c r="AG1" s="127" t="n">
        <f aca="false">AF1-$D12</f>
        <v>0.922</v>
      </c>
      <c r="AH1" s="127" t="n">
        <f aca="false">AG1-$D12</f>
        <v>0.918</v>
      </c>
      <c r="AI1" s="127" t="n">
        <f aca="false">AH1-$D12</f>
        <v>0.914</v>
      </c>
    </row>
    <row r="2" customFormat="false" ht="21.75" hidden="false" customHeight="true" outlineLevel="0" collapsed="false">
      <c r="B2" s="5" t="s">
        <v>1</v>
      </c>
      <c r="C2" s="128" t="s">
        <v>109</v>
      </c>
      <c r="D2" s="6" t="s">
        <v>3</v>
      </c>
      <c r="E2" s="129" t="s">
        <v>3</v>
      </c>
      <c r="F2" s="130" t="s">
        <v>110</v>
      </c>
    </row>
    <row r="3" customFormat="false" ht="21.75" hidden="false" customHeight="true" outlineLevel="0" collapsed="false">
      <c r="B3" s="32" t="s">
        <v>4</v>
      </c>
      <c r="C3" s="131" t="n">
        <v>20</v>
      </c>
      <c r="D3" s="9" t="s">
        <v>3</v>
      </c>
      <c r="E3" s="132" t="s">
        <v>3</v>
      </c>
      <c r="F3" s="133" t="s">
        <v>111</v>
      </c>
    </row>
    <row r="4" customFormat="false" ht="21.75" hidden="false" customHeight="true" outlineLevel="0" collapsed="false">
      <c r="B4" s="32" t="s">
        <v>112</v>
      </c>
      <c r="C4" s="131" t="n">
        <v>436.1</v>
      </c>
      <c r="D4" s="9" t="s">
        <v>3</v>
      </c>
      <c r="E4" s="132" t="s">
        <v>3</v>
      </c>
      <c r="F4" s="133" t="s">
        <v>113</v>
      </c>
      <c r="M4" s="0" t="s">
        <v>114</v>
      </c>
    </row>
    <row r="5" customFormat="false" ht="22.5" hidden="false" customHeight="true" outlineLevel="0" collapsed="false">
      <c r="B5" s="10" t="s">
        <v>6</v>
      </c>
      <c r="C5" s="131" t="n">
        <v>2023</v>
      </c>
      <c r="D5" s="10" t="s">
        <v>7</v>
      </c>
      <c r="E5" s="134" t="n">
        <v>2042</v>
      </c>
      <c r="F5" s="133" t="s">
        <v>115</v>
      </c>
      <c r="M5" s="0" t="s">
        <v>116</v>
      </c>
    </row>
    <row r="6" customFormat="false" ht="20.25" hidden="false" customHeight="true" outlineLevel="0" collapsed="false">
      <c r="B6" s="11"/>
      <c r="C6" s="11"/>
      <c r="D6" s="11"/>
      <c r="E6" s="11"/>
      <c r="M6" s="0" t="s">
        <v>117</v>
      </c>
    </row>
    <row r="7" customFormat="false" ht="22.5" hidden="false" customHeight="true" outlineLevel="0" collapsed="false">
      <c r="B7" s="12" t="s">
        <v>8</v>
      </c>
      <c r="C7" s="124"/>
      <c r="D7" s="124"/>
      <c r="E7" s="125"/>
      <c r="M7" s="0" t="s">
        <v>118</v>
      </c>
    </row>
    <row r="8" customFormat="false" ht="22.5" hidden="false" customHeight="true" outlineLevel="0" collapsed="false">
      <c r="B8" s="13" t="s">
        <v>9</v>
      </c>
      <c r="E8" s="135"/>
      <c r="M8" s="0" t="s">
        <v>119</v>
      </c>
    </row>
    <row r="9" customFormat="false" ht="22.5" hidden="false" customHeight="true" outlineLevel="0" collapsed="false">
      <c r="B9" s="14" t="s">
        <v>10</v>
      </c>
      <c r="C9" s="15" t="s">
        <v>11</v>
      </c>
      <c r="D9" s="15" t="s">
        <v>12</v>
      </c>
      <c r="E9" s="136" t="s">
        <v>13</v>
      </c>
      <c r="F9" s="126" t="s">
        <v>108</v>
      </c>
      <c r="M9" s="0" t="s">
        <v>120</v>
      </c>
    </row>
    <row r="10" customFormat="false" ht="30" hidden="false" customHeight="true" outlineLevel="0" collapsed="false">
      <c r="B10" s="17" t="s">
        <v>14</v>
      </c>
      <c r="C10" s="18" t="s">
        <v>121</v>
      </c>
      <c r="D10" s="137" t="n">
        <v>547002</v>
      </c>
      <c r="E10" s="138" t="n">
        <v>20</v>
      </c>
      <c r="F10" s="133" t="s">
        <v>122</v>
      </c>
      <c r="M10" s="0" t="s">
        <v>123</v>
      </c>
    </row>
    <row r="11" customFormat="false" ht="30" hidden="false" customHeight="true" outlineLevel="0" collapsed="false">
      <c r="B11" s="139"/>
      <c r="C11" s="10" t="s">
        <v>16</v>
      </c>
      <c r="D11" s="140" t="n">
        <v>0.01</v>
      </c>
      <c r="E11" s="141"/>
      <c r="F11" s="133" t="s">
        <v>124</v>
      </c>
    </row>
    <row r="12" customFormat="false" ht="30" hidden="false" customHeight="true" outlineLevel="0" collapsed="false">
      <c r="B12" s="139"/>
      <c r="C12" s="10" t="s">
        <v>17</v>
      </c>
      <c r="D12" s="142" t="n">
        <v>0.004</v>
      </c>
      <c r="E12" s="141"/>
      <c r="F12" s="133" t="s">
        <v>125</v>
      </c>
    </row>
    <row r="13" customFormat="false" ht="22.5" hidden="false" customHeight="true" outlineLevel="0" collapsed="false">
      <c r="B13" s="139"/>
      <c r="C13" s="21" t="s">
        <v>126</v>
      </c>
      <c r="D13" s="143" t="n">
        <v>3.7152</v>
      </c>
      <c r="E13" s="141"/>
      <c r="F13" s="133" t="s">
        <v>127</v>
      </c>
    </row>
    <row r="14" customFormat="false" ht="22.5" hidden="false" customHeight="true" outlineLevel="0" collapsed="false">
      <c r="B14" s="22" t="s">
        <v>19</v>
      </c>
      <c r="C14" s="124"/>
      <c r="D14" s="124"/>
      <c r="E14" s="125"/>
    </row>
    <row r="15" customFormat="false" ht="22.5" hidden="false" customHeight="true" outlineLevel="0" collapsed="false">
      <c r="B15" s="14" t="s">
        <v>10</v>
      </c>
      <c r="C15" s="15" t="s">
        <v>11</v>
      </c>
      <c r="D15" s="15" t="s">
        <v>12</v>
      </c>
      <c r="E15" s="136" t="s">
        <v>20</v>
      </c>
      <c r="F15" s="126" t="s">
        <v>108</v>
      </c>
    </row>
    <row r="16" customFormat="false" ht="21.75" hidden="false" customHeight="true" outlineLevel="0" collapsed="false">
      <c r="B16" s="18" t="s">
        <v>128</v>
      </c>
      <c r="C16" s="18" t="s">
        <v>129</v>
      </c>
      <c r="D16" s="144" t="n">
        <v>40000</v>
      </c>
      <c r="E16" s="129" t="n">
        <v>20</v>
      </c>
      <c r="F16" s="133" t="s">
        <v>130</v>
      </c>
    </row>
    <row r="17" customFormat="false" ht="21.75" hidden="false" customHeight="true" outlineLevel="0" collapsed="false">
      <c r="B17" s="139"/>
      <c r="C17" s="10" t="s">
        <v>131</v>
      </c>
      <c r="D17" s="145" t="n">
        <v>0.2</v>
      </c>
      <c r="E17" s="141"/>
      <c r="F17" s="133" t="s">
        <v>132</v>
      </c>
    </row>
    <row r="18" customFormat="false" ht="21.75" hidden="false" customHeight="true" outlineLevel="0" collapsed="false">
      <c r="B18" s="146"/>
      <c r="C18" s="10" t="s">
        <v>24</v>
      </c>
      <c r="D18" s="147" t="n">
        <v>3000</v>
      </c>
      <c r="E18" s="148"/>
      <c r="F18" s="133" t="s">
        <v>133</v>
      </c>
    </row>
    <row r="19" customFormat="false" ht="54" hidden="false" customHeight="true" outlineLevel="0" collapsed="false">
      <c r="B19" s="10" t="s">
        <v>25</v>
      </c>
      <c r="C19" s="149" t="s">
        <v>134</v>
      </c>
      <c r="D19" s="145" t="n">
        <v>2</v>
      </c>
      <c r="E19" s="129" t="n">
        <v>20</v>
      </c>
      <c r="F19" s="133" t="s">
        <v>135</v>
      </c>
    </row>
    <row r="20" customFormat="false" ht="20.25" hidden="false" customHeight="true" outlineLevel="0" collapsed="false">
      <c r="B20" s="139"/>
      <c r="C20" s="26" t="s">
        <v>136</v>
      </c>
      <c r="D20" s="147" t="n">
        <v>0</v>
      </c>
      <c r="E20" s="129" t="n">
        <v>20</v>
      </c>
      <c r="F20" s="133" t="s">
        <v>137</v>
      </c>
    </row>
    <row r="21" customFormat="false" ht="30" hidden="false" customHeight="true" outlineLevel="0" collapsed="false">
      <c r="B21" s="146"/>
      <c r="C21" s="10" t="s">
        <v>138</v>
      </c>
      <c r="D21" s="145" t="n">
        <v>0.3</v>
      </c>
      <c r="E21" s="132" t="n">
        <v>20</v>
      </c>
      <c r="F21" s="133" t="s">
        <v>139</v>
      </c>
    </row>
    <row r="22" customFormat="false" ht="30" hidden="false" customHeight="true" outlineLevel="0" collapsed="false">
      <c r="B22" s="10" t="s">
        <v>29</v>
      </c>
      <c r="C22" s="10" t="s">
        <v>140</v>
      </c>
      <c r="D22" s="150" t="n">
        <v>400</v>
      </c>
      <c r="E22" s="132" t="n">
        <v>20</v>
      </c>
      <c r="F22" s="133" t="s">
        <v>141</v>
      </c>
    </row>
    <row r="23" customFormat="false" ht="30" hidden="false" customHeight="true" outlineLevel="0" collapsed="false">
      <c r="B23" s="10" t="s">
        <v>31</v>
      </c>
      <c r="C23" s="10" t="s">
        <v>32</v>
      </c>
      <c r="D23" s="145" t="n">
        <v>0.003</v>
      </c>
      <c r="E23" s="132" t="n">
        <v>20</v>
      </c>
      <c r="F23" s="133" t="s">
        <v>142</v>
      </c>
    </row>
    <row r="24" customFormat="false" ht="30" hidden="false" customHeight="true" outlineLevel="0" collapsed="false">
      <c r="B24" s="10" t="s">
        <v>33</v>
      </c>
      <c r="C24" s="10" t="s">
        <v>143</v>
      </c>
      <c r="D24" s="150" t="n">
        <v>1000</v>
      </c>
      <c r="E24" s="151" t="n">
        <v>10</v>
      </c>
      <c r="F24" s="133" t="s">
        <v>144</v>
      </c>
    </row>
    <row r="25" customFormat="false" ht="30" hidden="false" customHeight="true" outlineLevel="0" collapsed="false">
      <c r="B25" s="10" t="s">
        <v>35</v>
      </c>
      <c r="C25" s="10" t="s">
        <v>36</v>
      </c>
      <c r="D25" s="152" t="n">
        <v>0.025595</v>
      </c>
      <c r="E25" s="132" t="n">
        <v>20</v>
      </c>
      <c r="F25" s="133" t="s">
        <v>145</v>
      </c>
    </row>
    <row r="26" customFormat="false" ht="30" hidden="false" customHeight="true" outlineLevel="0" collapsed="false">
      <c r="B26" s="10" t="s">
        <v>37</v>
      </c>
      <c r="C26" s="10" t="s">
        <v>38</v>
      </c>
      <c r="D26" s="145" t="n">
        <v>0.2</v>
      </c>
      <c r="E26" s="132" t="n">
        <v>20</v>
      </c>
      <c r="F26" s="133" t="s">
        <v>146</v>
      </c>
    </row>
    <row r="27" customFormat="false" ht="20.25" hidden="false" customHeight="true" outlineLevel="0" collapsed="false">
      <c r="B27" s="11"/>
      <c r="C27" s="11"/>
      <c r="D27" s="11"/>
      <c r="E27" s="11"/>
    </row>
    <row r="28" customFormat="false" ht="20.25" hidden="false" customHeight="true" outlineLevel="0" collapsed="false">
      <c r="B28" s="11"/>
      <c r="C28" s="11"/>
      <c r="D28" s="11"/>
      <c r="E28" s="11"/>
    </row>
    <row r="29" customFormat="false" ht="22.5" hidden="false" customHeight="true" outlineLevel="0" collapsed="false">
      <c r="B29" s="12" t="s">
        <v>39</v>
      </c>
      <c r="C29" s="124"/>
      <c r="D29" s="125"/>
      <c r="E29" s="11"/>
    </row>
    <row r="30" customFormat="false" ht="22.5" hidden="false" customHeight="true" outlineLevel="0" collapsed="false">
      <c r="B30" s="14" t="s">
        <v>40</v>
      </c>
      <c r="C30" s="29" t="s">
        <v>11</v>
      </c>
      <c r="D30" s="30" t="s">
        <v>12</v>
      </c>
      <c r="E30" s="11"/>
      <c r="F30" s="126" t="s">
        <v>108</v>
      </c>
    </row>
    <row r="31" customFormat="false" ht="30" hidden="false" customHeight="true" outlineLevel="0" collapsed="false">
      <c r="B31" s="18" t="s">
        <v>41</v>
      </c>
      <c r="C31" s="5" t="s">
        <v>42</v>
      </c>
      <c r="D31" s="153" t="n">
        <v>0.8</v>
      </c>
      <c r="E31" s="11"/>
      <c r="F31" s="133" t="s">
        <v>147</v>
      </c>
    </row>
    <row r="32" customFormat="false" ht="18.75" hidden="false" customHeight="true" outlineLevel="0" collapsed="false">
      <c r="B32" s="18" t="s">
        <v>43</v>
      </c>
      <c r="C32" s="5" t="s">
        <v>44</v>
      </c>
      <c r="D32" s="153" t="n">
        <v>15</v>
      </c>
      <c r="E32" s="11"/>
      <c r="F32" s="133" t="s">
        <v>148</v>
      </c>
    </row>
    <row r="33" customFormat="false" ht="18.75" hidden="false" customHeight="true" outlineLevel="0" collapsed="false">
      <c r="B33" s="10" t="s">
        <v>45</v>
      </c>
      <c r="C33" s="32" t="s">
        <v>46</v>
      </c>
      <c r="D33" s="145" t="n">
        <v>0.9</v>
      </c>
      <c r="E33" s="11"/>
      <c r="F33" s="133" t="s">
        <v>149</v>
      </c>
    </row>
    <row r="34" customFormat="false" ht="30" hidden="false" customHeight="true" outlineLevel="0" collapsed="false">
      <c r="B34" s="10" t="s">
        <v>47</v>
      </c>
      <c r="C34" s="32" t="s">
        <v>44</v>
      </c>
      <c r="D34" s="145" t="n">
        <v>4</v>
      </c>
      <c r="E34" s="11"/>
      <c r="F34" s="133" t="s">
        <v>150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97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54" t="n">
        <v>0</v>
      </c>
      <c r="C38" s="155"/>
      <c r="D38" s="156"/>
      <c r="E38" s="156"/>
      <c r="F38" s="157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9"/>
      <c r="U38" s="158"/>
      <c r="V38" s="158"/>
      <c r="W38" s="158"/>
      <c r="X38" s="160"/>
    </row>
    <row r="39" customFormat="false" ht="18.75" hidden="false" customHeight="true" outlineLevel="0" collapsed="false">
      <c r="B39" s="161" t="s">
        <v>51</v>
      </c>
      <c r="C39" s="162" t="n">
        <v>0</v>
      </c>
      <c r="D39" s="163" t="n">
        <v>1</v>
      </c>
      <c r="E39" s="163" t="n">
        <v>2</v>
      </c>
      <c r="F39" s="163" t="n">
        <v>3</v>
      </c>
      <c r="G39" s="163" t="n">
        <v>4</v>
      </c>
      <c r="H39" s="163" t="n">
        <v>5</v>
      </c>
      <c r="I39" s="163" t="n">
        <v>6</v>
      </c>
      <c r="J39" s="163" t="n">
        <v>7</v>
      </c>
      <c r="K39" s="163" t="n">
        <v>8</v>
      </c>
      <c r="L39" s="163" t="n">
        <v>9</v>
      </c>
      <c r="M39" s="163" t="n">
        <v>10</v>
      </c>
      <c r="N39" s="163" t="n">
        <v>11</v>
      </c>
      <c r="O39" s="163" t="n">
        <v>12</v>
      </c>
      <c r="P39" s="163" t="n">
        <v>13</v>
      </c>
      <c r="Q39" s="163" t="n">
        <v>14</v>
      </c>
      <c r="R39" s="163" t="n">
        <v>15</v>
      </c>
      <c r="S39" s="163" t="n">
        <v>16</v>
      </c>
      <c r="T39" s="164" t="n">
        <v>17</v>
      </c>
      <c r="U39" s="163" t="n">
        <v>18</v>
      </c>
      <c r="V39" s="163" t="n">
        <v>19</v>
      </c>
      <c r="W39" s="163" t="n">
        <v>20</v>
      </c>
      <c r="X39" s="47"/>
    </row>
    <row r="40" customFormat="false" ht="18.75" hidden="false" customHeight="true" outlineLevel="0" collapsed="false">
      <c r="B40" s="165" t="s">
        <v>52</v>
      </c>
      <c r="C40" s="166" t="n">
        <v>0</v>
      </c>
      <c r="D40" s="167" t="n">
        <f aca="false">$D$10*P1</f>
        <v>541531.98</v>
      </c>
      <c r="E40" s="167" t="n">
        <f aca="false">$D$10*Q1</f>
        <v>539343.972</v>
      </c>
      <c r="F40" s="167" t="n">
        <f aca="false">$D$10*R1</f>
        <v>537155.964</v>
      </c>
      <c r="G40" s="167" t="n">
        <f aca="false">$D$10*S1</f>
        <v>534967.956</v>
      </c>
      <c r="H40" s="167" t="n">
        <f aca="false">$D$10*T1</f>
        <v>532779.948</v>
      </c>
      <c r="I40" s="167" t="n">
        <f aca="false">$D$10*U1</f>
        <v>530591.94</v>
      </c>
      <c r="J40" s="167" t="n">
        <f aca="false">$D$10*V1</f>
        <v>528403.932</v>
      </c>
      <c r="K40" s="167" t="n">
        <f aca="false">$D$10*W1</f>
        <v>526215.924</v>
      </c>
      <c r="L40" s="167" t="n">
        <f aca="false">$D$10*X1</f>
        <v>524027.916</v>
      </c>
      <c r="M40" s="167" t="n">
        <f aca="false">$D$10*Y1</f>
        <v>521839.908</v>
      </c>
      <c r="N40" s="167" t="n">
        <f aca="false">$D$10*Z1</f>
        <v>519651.9</v>
      </c>
      <c r="O40" s="167" t="n">
        <f aca="false">$D$10*AA1</f>
        <v>517463.892</v>
      </c>
      <c r="P40" s="167" t="n">
        <f aca="false">$D$10*AB1</f>
        <v>515275.884</v>
      </c>
      <c r="Q40" s="167" t="n">
        <f aca="false">$D$10*AC1</f>
        <v>513087.876</v>
      </c>
      <c r="R40" s="167" t="n">
        <f aca="false">$D$10*AD1</f>
        <v>510899.868</v>
      </c>
      <c r="S40" s="167" t="n">
        <f aca="false">$D$10*AE1</f>
        <v>508711.86</v>
      </c>
      <c r="T40" s="167" t="n">
        <f aca="false">$D$10*AF1</f>
        <v>506523.852</v>
      </c>
      <c r="U40" s="167" t="n">
        <f aca="false">$D$10*AG1</f>
        <v>504335.844</v>
      </c>
      <c r="V40" s="167" t="n">
        <f aca="false">$D$10*AH1</f>
        <v>502147.836</v>
      </c>
      <c r="W40" s="167" t="n">
        <f aca="false">$D$10*AI1</f>
        <v>499959.828</v>
      </c>
      <c r="X40" s="168"/>
    </row>
    <row r="41" customFormat="false" ht="18.75" hidden="false" customHeight="true" outlineLevel="0" collapsed="false">
      <c r="B41" s="169" t="s">
        <v>53</v>
      </c>
      <c r="C41" s="170" t="s">
        <v>3</v>
      </c>
      <c r="D41" s="171" t="n">
        <f aca="false">D40*$D$13</f>
        <v>2011899.612096</v>
      </c>
      <c r="E41" s="171" t="n">
        <f aca="false">E40*$D$13</f>
        <v>2003770.7247744</v>
      </c>
      <c r="F41" s="171" t="n">
        <f aca="false">F40*$D$13</f>
        <v>1995641.8374528</v>
      </c>
      <c r="G41" s="171" t="n">
        <f aca="false">G40*$D$13</f>
        <v>1987512.9501312</v>
      </c>
      <c r="H41" s="171" t="n">
        <f aca="false">H40*$D$13</f>
        <v>1979384.0628096</v>
      </c>
      <c r="I41" s="171" t="n">
        <f aca="false">I40*$D$13</f>
        <v>1971255.175488</v>
      </c>
      <c r="J41" s="171" t="n">
        <f aca="false">J40*$D$13</f>
        <v>1963126.2881664</v>
      </c>
      <c r="K41" s="171" t="n">
        <f aca="false">K40*$D$13</f>
        <v>1954997.4008448</v>
      </c>
      <c r="L41" s="171" t="n">
        <f aca="false">L40*$D$13</f>
        <v>1946868.5135232</v>
      </c>
      <c r="M41" s="171" t="n">
        <f aca="false">M40*$D$13</f>
        <v>1938739.6262016</v>
      </c>
      <c r="N41" s="171" t="n">
        <f aca="false">N40*$D$13</f>
        <v>1930610.73888</v>
      </c>
      <c r="O41" s="171" t="n">
        <f aca="false">O40*$D$13</f>
        <v>1922481.8515584</v>
      </c>
      <c r="P41" s="171" t="n">
        <f aca="false">P40*$D$13</f>
        <v>1914352.9642368</v>
      </c>
      <c r="Q41" s="171" t="n">
        <f aca="false">Q40*$D$13</f>
        <v>1906224.0769152</v>
      </c>
      <c r="R41" s="171" t="n">
        <f aca="false">R40*$D$13</f>
        <v>1898095.1895936</v>
      </c>
      <c r="S41" s="171" t="n">
        <f aca="false">S40*$D$13</f>
        <v>1889966.302272</v>
      </c>
      <c r="T41" s="171" t="n">
        <f aca="false">T40*$D$13</f>
        <v>1881837.4149504</v>
      </c>
      <c r="U41" s="171" t="n">
        <f aca="false">U40*$D$13</f>
        <v>1873708.5276288</v>
      </c>
      <c r="V41" s="171" t="n">
        <f aca="false">V40*$D$13</f>
        <v>1865579.6403072</v>
      </c>
      <c r="W41" s="171" t="n">
        <f aca="false">W40*$D$13</f>
        <v>1857450.7529856</v>
      </c>
      <c r="X41" s="172"/>
    </row>
    <row r="42" customFormat="false" ht="18.75" hidden="false" customHeight="true" outlineLevel="0" collapsed="false">
      <c r="B42" s="173" t="s">
        <v>54</v>
      </c>
      <c r="C42" s="174" t="s">
        <v>3</v>
      </c>
      <c r="D42" s="175"/>
      <c r="E42" s="175"/>
      <c r="F42" s="175"/>
      <c r="G42" s="176" t="s">
        <v>3</v>
      </c>
      <c r="H42" s="176" t="s">
        <v>3</v>
      </c>
      <c r="I42" s="176" t="s">
        <v>3</v>
      </c>
      <c r="J42" s="176" t="s">
        <v>3</v>
      </c>
      <c r="K42" s="176" t="s">
        <v>3</v>
      </c>
      <c r="L42" s="176" t="s">
        <v>3</v>
      </c>
      <c r="M42" s="176" t="s">
        <v>3</v>
      </c>
      <c r="N42" s="176" t="s">
        <v>3</v>
      </c>
      <c r="O42" s="176" t="s">
        <v>3</v>
      </c>
      <c r="P42" s="176" t="s">
        <v>3</v>
      </c>
      <c r="Q42" s="176" t="s">
        <v>3</v>
      </c>
      <c r="R42" s="176" t="s">
        <v>3</v>
      </c>
      <c r="S42" s="176" t="s">
        <v>3</v>
      </c>
      <c r="T42" s="176" t="s">
        <v>3</v>
      </c>
      <c r="U42" s="176" t="s">
        <v>3</v>
      </c>
      <c r="V42" s="176" t="s">
        <v>3</v>
      </c>
      <c r="W42" s="176" t="s">
        <v>3</v>
      </c>
      <c r="X42" s="177"/>
    </row>
    <row r="43" customFormat="false" ht="18.75" hidden="false" customHeight="true" outlineLevel="0" collapsed="false">
      <c r="B43" s="178" t="s">
        <v>55</v>
      </c>
      <c r="C43" s="179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customFormat="false" ht="18.75" hidden="false" customHeight="true" outlineLevel="0" collapsed="false">
      <c r="B44" s="182" t="s">
        <v>56</v>
      </c>
      <c r="C44" s="183" t="n">
        <f aca="false">-(D16/(1-D17)+D18)*C4</f>
        <v>-23113300</v>
      </c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</row>
    <row r="45" customFormat="false" ht="18.75" hidden="false" customHeight="true" outlineLevel="0" collapsed="false">
      <c r="B45" s="182" t="s">
        <v>57</v>
      </c>
      <c r="C45" s="174" t="s">
        <v>3</v>
      </c>
      <c r="D45" s="0" t="n">
        <v>-603569.8836288</v>
      </c>
      <c r="E45" s="184" t="n">
        <v>-601131.21743232</v>
      </c>
      <c r="F45" s="184" t="n">
        <v>-598692.55123584</v>
      </c>
      <c r="G45" s="184" t="n">
        <v>-596253.88503936</v>
      </c>
      <c r="H45" s="184" t="n">
        <v>-593815.21884288</v>
      </c>
      <c r="I45" s="184" t="n">
        <v>-591376.5526464</v>
      </c>
      <c r="J45" s="184" t="n">
        <v>-588937.88644992</v>
      </c>
      <c r="K45" s="184" t="n">
        <v>-586499.22025344</v>
      </c>
      <c r="L45" s="184" t="n">
        <v>-584060.55405696</v>
      </c>
      <c r="M45" s="184" t="n">
        <v>-581621.88786048</v>
      </c>
      <c r="N45" s="184" t="n">
        <v>-579183.221664</v>
      </c>
      <c r="O45" s="184" t="n">
        <v>-576744.55546752</v>
      </c>
      <c r="P45" s="184" t="n">
        <v>-574305.88927104</v>
      </c>
      <c r="Q45" s="184" t="n">
        <v>-571867.22307456</v>
      </c>
      <c r="R45" s="184" t="n">
        <v>-569428.55687808</v>
      </c>
      <c r="S45" s="184" t="n">
        <v>-566989.8906816</v>
      </c>
      <c r="T45" s="184" t="n">
        <v>-564551.22448512</v>
      </c>
      <c r="U45" s="184" t="n">
        <v>-562112.55828864</v>
      </c>
      <c r="V45" s="184" t="n">
        <v>-559673.89209216</v>
      </c>
      <c r="W45" s="184" t="n">
        <v>-557235.22589568</v>
      </c>
      <c r="X45" s="184"/>
    </row>
    <row r="46" customFormat="false" ht="18.75" hidden="false" customHeight="true" outlineLevel="0" collapsed="false">
      <c r="B46" s="182" t="s">
        <v>58</v>
      </c>
      <c r="C46" s="17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</row>
    <row r="47" customFormat="false" ht="18.75" hidden="false" customHeight="true" outlineLevel="0" collapsed="false">
      <c r="B47" s="182" t="s">
        <v>59</v>
      </c>
      <c r="C47" s="174" t="s">
        <v>3</v>
      </c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</row>
    <row r="48" customFormat="false" ht="18.75" hidden="false" customHeight="true" outlineLevel="0" collapsed="false">
      <c r="B48" s="182" t="s">
        <v>60</v>
      </c>
      <c r="C48" s="174" t="s">
        <v>3</v>
      </c>
      <c r="D48" s="184" t="n">
        <v>-174440</v>
      </c>
      <c r="E48" s="184" t="n">
        <v>-174440</v>
      </c>
      <c r="F48" s="184" t="n">
        <v>-174440</v>
      </c>
      <c r="G48" s="184" t="n">
        <v>-174440</v>
      </c>
      <c r="H48" s="184" t="n">
        <v>-174440</v>
      </c>
      <c r="I48" s="184" t="n">
        <v>-174440</v>
      </c>
      <c r="J48" s="184" t="n">
        <v>-174440</v>
      </c>
      <c r="K48" s="184" t="n">
        <v>-174440</v>
      </c>
      <c r="L48" s="184" t="n">
        <v>-174440</v>
      </c>
      <c r="M48" s="184" t="n">
        <v>-174440</v>
      </c>
      <c r="N48" s="184" t="n">
        <v>-174440</v>
      </c>
      <c r="O48" s="184" t="n">
        <v>-174440</v>
      </c>
      <c r="P48" s="184" t="n">
        <v>-174440</v>
      </c>
      <c r="Q48" s="184" t="n">
        <v>-174440</v>
      </c>
      <c r="R48" s="184" t="n">
        <v>-174440</v>
      </c>
      <c r="S48" s="184" t="n">
        <v>-174440</v>
      </c>
      <c r="T48" s="184" t="n">
        <v>-174440</v>
      </c>
      <c r="U48" s="184" t="n">
        <v>-174440</v>
      </c>
      <c r="V48" s="184" t="n">
        <v>-174440</v>
      </c>
      <c r="W48" s="184" t="n">
        <v>-174440</v>
      </c>
      <c r="X48" s="184"/>
    </row>
    <row r="49" customFormat="false" ht="18.75" hidden="false" customHeight="true" outlineLevel="0" collapsed="false">
      <c r="B49" s="182" t="s">
        <v>61</v>
      </c>
      <c r="C49" s="174" t="s">
        <v>3</v>
      </c>
      <c r="D49" s="184" t="n">
        <v>-52332</v>
      </c>
      <c r="E49" s="184" t="n">
        <v>-52332</v>
      </c>
      <c r="F49" s="184" t="n">
        <v>-52332</v>
      </c>
      <c r="G49" s="184" t="n">
        <v>-52332</v>
      </c>
      <c r="H49" s="184" t="n">
        <v>-52332</v>
      </c>
      <c r="I49" s="184" t="n">
        <v>-52332</v>
      </c>
      <c r="J49" s="184" t="n">
        <v>-52332</v>
      </c>
      <c r="K49" s="184" t="n">
        <v>-52332</v>
      </c>
      <c r="L49" s="184" t="n">
        <v>-52332</v>
      </c>
      <c r="M49" s="184" t="n">
        <v>-52332</v>
      </c>
      <c r="N49" s="184" t="n">
        <v>-52332</v>
      </c>
      <c r="O49" s="184" t="n">
        <v>-52332</v>
      </c>
      <c r="P49" s="184" t="n">
        <v>-52332</v>
      </c>
      <c r="Q49" s="184" t="n">
        <v>-52332</v>
      </c>
      <c r="R49" s="184" t="n">
        <v>-52332</v>
      </c>
      <c r="S49" s="184" t="n">
        <v>-52332</v>
      </c>
      <c r="T49" s="184" t="n">
        <v>-52332</v>
      </c>
      <c r="U49" s="184" t="n">
        <v>-52332</v>
      </c>
      <c r="V49" s="184" t="n">
        <v>-52332</v>
      </c>
      <c r="W49" s="184" t="n">
        <v>-52332</v>
      </c>
      <c r="X49" s="184"/>
    </row>
    <row r="50" customFormat="false" ht="18.75" hidden="false" customHeight="true" outlineLevel="0" collapsed="false">
      <c r="B50" s="182" t="s">
        <v>62</v>
      </c>
      <c r="C50" s="174"/>
      <c r="D50" s="184" t="n">
        <v>-43610</v>
      </c>
      <c r="E50" s="184" t="n">
        <v>-43610</v>
      </c>
      <c r="F50" s="184" t="n">
        <v>-43610</v>
      </c>
      <c r="G50" s="184" t="n">
        <v>-43610</v>
      </c>
      <c r="H50" s="184" t="n">
        <v>-43610</v>
      </c>
      <c r="I50" s="184" t="n">
        <v>-43610</v>
      </c>
      <c r="J50" s="184" t="n">
        <v>-43610</v>
      </c>
      <c r="K50" s="184" t="n">
        <v>-43610</v>
      </c>
      <c r="L50" s="184" t="n">
        <v>-43610</v>
      </c>
      <c r="M50" s="184" t="n">
        <v>-43610</v>
      </c>
      <c r="N50" s="184" t="n">
        <v>0</v>
      </c>
      <c r="O50" s="184" t="n">
        <v>0</v>
      </c>
      <c r="P50" s="184" t="n">
        <v>0</v>
      </c>
      <c r="Q50" s="184" t="n">
        <v>0</v>
      </c>
      <c r="R50" s="184" t="n">
        <v>0</v>
      </c>
      <c r="S50" s="184" t="n">
        <v>0</v>
      </c>
      <c r="T50" s="184" t="n">
        <v>0</v>
      </c>
      <c r="U50" s="184" t="n">
        <v>0</v>
      </c>
      <c r="V50" s="184" t="n">
        <v>0</v>
      </c>
      <c r="W50" s="184" t="n">
        <v>0</v>
      </c>
      <c r="X50" s="184"/>
    </row>
    <row r="51" customFormat="false" ht="18.75" hidden="false" customHeight="true" outlineLevel="0" collapsed="false">
      <c r="B51" s="182" t="s">
        <v>63</v>
      </c>
      <c r="C51" s="185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</row>
    <row r="52" customFormat="false" ht="18.75" hidden="false" customHeight="true" outlineLevel="0" collapsed="false">
      <c r="B52" s="182" t="s">
        <v>64</v>
      </c>
      <c r="C52" s="185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</row>
    <row r="53" customFormat="false" ht="18.75" hidden="false" customHeight="true" outlineLevel="0" collapsed="false">
      <c r="B53" s="186" t="s">
        <v>65</v>
      </c>
      <c r="C53" s="185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</row>
    <row r="54" customFormat="false" ht="18.75" hidden="false" customHeight="true" outlineLevel="0" collapsed="false">
      <c r="B54" s="186" t="s">
        <v>66</v>
      </c>
      <c r="C54" s="185"/>
      <c r="D54" s="184" t="n">
        <f aca="false">-(D64+D67+D68+D71+D72+D73+D74)*0.2</f>
        <v>-117170.5224192</v>
      </c>
      <c r="E54" s="184" t="n">
        <f aca="false">-(E64+E67+E68+E71+E72+E73+E74)*0.2</f>
        <v>4681.49853158405</v>
      </c>
      <c r="F54" s="184" t="n">
        <f aca="false">-(F64+F67+F68+F71+F72+F73+F74)*0.2</f>
        <v>5819.54275660799</v>
      </c>
      <c r="G54" s="184" t="n">
        <f aca="false">-(G64+G67+G68+G71+G72+G73+G74)*0.2</f>
        <v>6957.586981632</v>
      </c>
      <c r="H54" s="184" t="n">
        <f aca="false">-(H64+H67+H68+H71+H72+H73+H74)*0.2</f>
        <v>8095.63120665604</v>
      </c>
      <c r="I54" s="184" t="n">
        <f aca="false">-(I64+I67+I68+I71+I72+I73+I74)*0.2</f>
        <v>9233.67543168005</v>
      </c>
      <c r="J54" s="184" t="n">
        <f aca="false">-(J64+J67+J68+J71+J72+J73+J74)*0.2</f>
        <v>10371.719656704</v>
      </c>
      <c r="K54" s="184" t="n">
        <f aca="false">-(K64+K67+K68+K71+K72+K73+K74)*0.2</f>
        <v>11509.763881728</v>
      </c>
      <c r="L54" s="184" t="n">
        <f aca="false">-(L64+L67+L68+L71+L72+L73+L74)*0.2</f>
        <v>12647.808106752</v>
      </c>
      <c r="M54" s="184" t="n">
        <f aca="false">-(M64+M67+M68+M71+M72+M73+M74)*0.2</f>
        <v>13785.852331776</v>
      </c>
      <c r="N54" s="184" t="n">
        <f aca="false">-(N64+N67+N68+N71+N72+N73+N74)*0.2</f>
        <v>6201.89655680002</v>
      </c>
      <c r="O54" s="184" t="n">
        <f aca="false">-(O64+O67+O68+O71+O72+O73+O74)*0.2</f>
        <v>7339.94078182404</v>
      </c>
      <c r="P54" s="184" t="n">
        <f aca="false">-(P64+P67+P68+P71+P72+P73+P74)*0.2</f>
        <v>8477.98500684803</v>
      </c>
      <c r="Q54" s="184" t="n">
        <f aca="false">-(Q64+Q67+Q68+Q71+Q72+Q73+Q74)*0.2</f>
        <v>9616.02923187204</v>
      </c>
      <c r="R54" s="184" t="n">
        <f aca="false">-(R64+R67+R68+R71+R72+R73+R74)*0.2</f>
        <v>10754.073456896</v>
      </c>
      <c r="S54" s="184" t="n">
        <f aca="false">-(S64+S67+S68+S71+S72+S73+S74)*0.2</f>
        <v>11892.11768192</v>
      </c>
      <c r="T54" s="184" t="n">
        <f aca="false">-(T64+T67+T68+T71+T72+T73+T74)*0.2</f>
        <v>13030.1619069441</v>
      </c>
      <c r="U54" s="184" t="n">
        <f aca="false">-(U64+U67+U68+U71+U72+U73+U74)*0.2</f>
        <v>14168.206131968</v>
      </c>
      <c r="V54" s="184" t="n">
        <f aca="false">-(V64+V67+V68+V71+V72+V73+V74)*0.2</f>
        <v>15306.2503569921</v>
      </c>
      <c r="W54" s="184" t="n">
        <f aca="false">-(W64+W67+W68+W71+W72+W73+W74)*0.2</f>
        <v>16444.294582016</v>
      </c>
      <c r="X54" s="175"/>
    </row>
    <row r="55" customFormat="false" ht="18.75" hidden="false" customHeight="true" outlineLevel="0" collapsed="false">
      <c r="B55" s="187" t="s">
        <v>67</v>
      </c>
      <c r="C55" s="188" t="n">
        <f aca="false">C44</f>
        <v>-23113300</v>
      </c>
      <c r="D55" s="189" t="n">
        <f aca="false">SUM(D41:D54)</f>
        <v>1020777.206048</v>
      </c>
      <c r="E55" s="189" t="n">
        <f aca="false">SUM(E41:E54)</f>
        <v>1136939.00587366</v>
      </c>
      <c r="F55" s="189" t="n">
        <f aca="false">SUM(F41:F54)</f>
        <v>1132386.82897357</v>
      </c>
      <c r="G55" s="189" t="n">
        <f aca="false">SUM(G41:G54)</f>
        <v>1127834.65207347</v>
      </c>
      <c r="H55" s="189" t="n">
        <f aca="false">SUM(H41:H54)</f>
        <v>1123282.47517338</v>
      </c>
      <c r="I55" s="189" t="n">
        <f aca="false">SUM(I41:I54)</f>
        <v>1118730.29827328</v>
      </c>
      <c r="J55" s="189" t="n">
        <f aca="false">SUM(J41:J54)</f>
        <v>1114178.12137318</v>
      </c>
      <c r="K55" s="189" t="n">
        <f aca="false">SUM(K41:K54)</f>
        <v>1109625.94447309</v>
      </c>
      <c r="L55" s="189" t="n">
        <f aca="false">SUM(L41:L54)</f>
        <v>1105073.76757299</v>
      </c>
      <c r="M55" s="189" t="n">
        <f aca="false">SUM(M41:M54)</f>
        <v>1100521.5906729</v>
      </c>
      <c r="N55" s="189" t="n">
        <f aca="false">SUM(N41:N54)</f>
        <v>1130857.4137728</v>
      </c>
      <c r="O55" s="189" t="n">
        <f aca="false">SUM(O41:O54)</f>
        <v>1126305.2368727</v>
      </c>
      <c r="P55" s="189" t="n">
        <f aca="false">SUM(P41:P54)</f>
        <v>1121753.05997261</v>
      </c>
      <c r="Q55" s="189" t="n">
        <f aca="false">SUM(Q41:Q54)</f>
        <v>1117200.88307251</v>
      </c>
      <c r="R55" s="189" t="n">
        <f aca="false">SUM(R41:R54)</f>
        <v>1112648.70617242</v>
      </c>
      <c r="S55" s="189" t="n">
        <f aca="false">SUM(S41:S54)</f>
        <v>1108096.52927232</v>
      </c>
      <c r="T55" s="189" t="n">
        <f aca="false">SUM(T41:T54)</f>
        <v>1103544.35237222</v>
      </c>
      <c r="U55" s="189" t="n">
        <f aca="false">SUM(U41:U54)</f>
        <v>1098992.17547213</v>
      </c>
      <c r="V55" s="189" t="n">
        <f aca="false">SUM(V41:V54)</f>
        <v>1094439.99857203</v>
      </c>
      <c r="W55" s="189" t="n">
        <f aca="false">SUM(W41:W54)</f>
        <v>1089887.82167194</v>
      </c>
      <c r="X55" s="190"/>
      <c r="Y55" s="191"/>
      <c r="Z55" s="192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</row>
    <row r="56" customFormat="false" ht="18.75" hidden="false" customHeight="true" outlineLevel="0" collapsed="false">
      <c r="B56" s="193" t="s">
        <v>68</v>
      </c>
      <c r="D56" s="194" t="n">
        <f aca="false">C55+D55</f>
        <v>-22092522.793952</v>
      </c>
      <c r="E56" s="194" t="n">
        <f aca="false">D56+E55</f>
        <v>-20955583.7880783</v>
      </c>
      <c r="F56" s="194" t="n">
        <f aca="false">E56+F55</f>
        <v>-19823196.9591048</v>
      </c>
      <c r="G56" s="194" t="n">
        <f aca="false">F56+G55</f>
        <v>-18695362.3070313</v>
      </c>
      <c r="H56" s="194" t="n">
        <f aca="false">G56+H55</f>
        <v>-17572079.8318579</v>
      </c>
      <c r="I56" s="194" t="n">
        <f aca="false">H56+I55</f>
        <v>-16453349.5335846</v>
      </c>
      <c r="J56" s="194" t="n">
        <f aca="false">I56+J55</f>
        <v>-15339171.4122115</v>
      </c>
      <c r="K56" s="194" t="n">
        <f aca="false">J56+K55</f>
        <v>-14229545.4677384</v>
      </c>
      <c r="L56" s="194" t="n">
        <f aca="false">K56+L55</f>
        <v>-13124471.7001654</v>
      </c>
      <c r="M56" s="194" t="n">
        <f aca="false">L56+M55</f>
        <v>-12023950.1094925</v>
      </c>
      <c r="N56" s="194" t="n">
        <f aca="false">M56+N55</f>
        <v>-10893092.6957197</v>
      </c>
      <c r="O56" s="194" t="n">
        <f aca="false">N56+O55</f>
        <v>-9766787.45884697</v>
      </c>
      <c r="P56" s="194" t="n">
        <f aca="false">O56+P55</f>
        <v>-8645034.39887437</v>
      </c>
      <c r="Q56" s="194" t="n">
        <f aca="false">P56+Q55</f>
        <v>-7527833.51580185</v>
      </c>
      <c r="R56" s="194" t="n">
        <f aca="false">Q56+R55</f>
        <v>-6415184.80962944</v>
      </c>
      <c r="S56" s="194" t="n">
        <f aca="false">R56+S55</f>
        <v>-5307088.28035712</v>
      </c>
      <c r="T56" s="194" t="n">
        <f aca="false">S56+T55</f>
        <v>-4203543.92798489</v>
      </c>
      <c r="U56" s="194" t="n">
        <f aca="false">T56+U55</f>
        <v>-3104551.75251277</v>
      </c>
      <c r="V56" s="194" t="n">
        <f aca="false">U56+V55</f>
        <v>-2010111.75394073</v>
      </c>
      <c r="W56" s="194" t="n">
        <f aca="false">V56+W55</f>
        <v>-920223.932268797</v>
      </c>
      <c r="X56" s="194" t="n">
        <f aca="false">W56+X55</f>
        <v>-920223.932268797</v>
      </c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</row>
    <row r="57" customFormat="false" ht="18.75" hidden="false" customHeight="true" outlineLevel="0" collapsed="false">
      <c r="B57" s="195" t="s">
        <v>74</v>
      </c>
      <c r="C57" s="196"/>
      <c r="D57" s="197" t="str">
        <f aca="false">IF((D56)&gt;0,"回收","未回收")</f>
        <v>未回收</v>
      </c>
      <c r="E57" s="198" t="str">
        <f aca="false">IF((E56)&gt;0,"回收","未回收")</f>
        <v>未回收</v>
      </c>
      <c r="F57" s="198" t="str">
        <f aca="false">IF((F56)&gt;0,"回收","未回收")</f>
        <v>未回收</v>
      </c>
      <c r="G57" s="198" t="str">
        <f aca="false">IF((G56)&gt;0,"回收","未回收")</f>
        <v>未回收</v>
      </c>
      <c r="H57" s="198" t="str">
        <f aca="false">IF((H56)&gt;0,"回收","未回收")</f>
        <v>未回收</v>
      </c>
      <c r="I57" s="198" t="str">
        <f aca="false">IF((I56)&gt;0,"回收","未回收")</f>
        <v>未回收</v>
      </c>
      <c r="J57" s="198" t="str">
        <f aca="false">IF((J56)&gt;0,"回收","未回收")</f>
        <v>未回收</v>
      </c>
      <c r="K57" s="198" t="str">
        <f aca="false">IF((K56)&gt;0,"回收","未回收")</f>
        <v>未回收</v>
      </c>
      <c r="L57" s="198" t="str">
        <f aca="false">IF((L56)&gt;0,"回收","未回收")</f>
        <v>未回收</v>
      </c>
      <c r="M57" s="198" t="str">
        <f aca="false">IF((M56)&gt;0,"回收","未回收")</f>
        <v>未回收</v>
      </c>
      <c r="N57" s="198" t="str">
        <f aca="false">IF((N56)&gt;0,"回收","未回收")</f>
        <v>未回收</v>
      </c>
      <c r="O57" s="198" t="str">
        <f aca="false">IF((O56)&gt;0,"回收","未回收")</f>
        <v>未回收</v>
      </c>
      <c r="P57" s="198" t="str">
        <f aca="false">IF((P56)&gt;0,"回收","未回收")</f>
        <v>未回收</v>
      </c>
      <c r="Q57" s="198" t="str">
        <f aca="false">IF((Q56)&gt;0,"回收","未回收")</f>
        <v>未回收</v>
      </c>
      <c r="R57" s="198" t="str">
        <f aca="false">IF((R56)&gt;0,"回收","未回收")</f>
        <v>未回收</v>
      </c>
      <c r="S57" s="198" t="str">
        <f aca="false">IF((S56)&gt;0,"回收","未回收")</f>
        <v>未回收</v>
      </c>
      <c r="T57" s="198" t="str">
        <f aca="false">IF((T56)&gt;0,"回收","未回收")</f>
        <v>未回收</v>
      </c>
      <c r="U57" s="198" t="str">
        <f aca="false">IF((U56)&gt;0,"回收","未回收")</f>
        <v>未回收</v>
      </c>
      <c r="V57" s="198" t="str">
        <f aca="false">IF((V56)&gt;0,"回收","未回收")</f>
        <v>未回收</v>
      </c>
      <c r="W57" s="198" t="str">
        <f aca="false">IF((W56)&gt;0,"回收","未回收")</f>
        <v>未回收</v>
      </c>
      <c r="X57" s="198" t="str">
        <f aca="false">IF((X56)&gt;0,"回收","未回收")</f>
        <v>未回收</v>
      </c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</row>
    <row r="58" customFormat="false" ht="18.75" hidden="false" customHeight="true" outlineLevel="0" collapsed="false">
      <c r="B58" s="199" t="s">
        <v>93</v>
      </c>
      <c r="C58" s="200" t="n">
        <f aca="false">IRR(C55:W55)</f>
        <v>-0.00384094086399082</v>
      </c>
      <c r="D58" s="201"/>
      <c r="E58" s="201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customFormat="false" ht="18.75" hidden="false" customHeight="true" outlineLevel="0" collapsed="false">
      <c r="B59" s="202"/>
      <c r="C59" s="201"/>
      <c r="D59" s="201"/>
      <c r="E59" s="201"/>
      <c r="F59" s="202"/>
      <c r="G59" s="202"/>
      <c r="H59" s="202"/>
      <c r="I59" s="202"/>
      <c r="J59" s="202"/>
      <c r="K59" s="202"/>
      <c r="L59" s="202"/>
      <c r="M59" s="201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customFormat="false" ht="18.75" hidden="false" customHeight="true" outlineLevel="0" collapsed="false">
      <c r="B60" s="97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54" t="n">
        <v>0</v>
      </c>
      <c r="C61" s="155"/>
      <c r="D61" s="156"/>
      <c r="E61" s="156"/>
      <c r="F61" s="157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204" t="s">
        <v>50</v>
      </c>
      <c r="U61" s="158"/>
      <c r="V61" s="158"/>
      <c r="W61" s="158"/>
      <c r="X61" s="160"/>
    </row>
    <row r="62" customFormat="false" ht="18.75" hidden="false" customHeight="true" outlineLevel="0" collapsed="false">
      <c r="B62" s="161" t="s">
        <v>51</v>
      </c>
      <c r="C62" s="162" t="n">
        <v>0</v>
      </c>
      <c r="D62" s="163" t="n">
        <v>1</v>
      </c>
      <c r="E62" s="163" t="n">
        <v>2</v>
      </c>
      <c r="F62" s="163" t="n">
        <v>3</v>
      </c>
      <c r="G62" s="163" t="n">
        <v>4</v>
      </c>
      <c r="H62" s="163" t="n">
        <v>5</v>
      </c>
      <c r="I62" s="163" t="n">
        <v>6</v>
      </c>
      <c r="J62" s="163" t="n">
        <v>7</v>
      </c>
      <c r="K62" s="163" t="n">
        <v>8</v>
      </c>
      <c r="L62" s="163" t="n">
        <v>9</v>
      </c>
      <c r="M62" s="163" t="n">
        <v>10</v>
      </c>
      <c r="N62" s="163" t="n">
        <v>11</v>
      </c>
      <c r="O62" s="163" t="n">
        <v>12</v>
      </c>
      <c r="P62" s="163" t="n">
        <v>13</v>
      </c>
      <c r="Q62" s="163" t="n">
        <v>14</v>
      </c>
      <c r="R62" s="163" t="n">
        <v>15</v>
      </c>
      <c r="S62" s="163" t="n">
        <v>16</v>
      </c>
      <c r="T62" s="205" t="n">
        <v>17</v>
      </c>
      <c r="U62" s="163" t="n">
        <v>18</v>
      </c>
      <c r="V62" s="163" t="n">
        <v>19</v>
      </c>
      <c r="W62" s="163" t="n">
        <v>20</v>
      </c>
      <c r="X62" s="47"/>
    </row>
    <row r="63" customFormat="false" ht="18.75" hidden="false" customHeight="true" outlineLevel="0" collapsed="false">
      <c r="B63" s="165" t="s">
        <v>52</v>
      </c>
      <c r="C63" s="166" t="n">
        <v>0</v>
      </c>
      <c r="D63" s="167" t="n">
        <f aca="false">D40</f>
        <v>541531.98</v>
      </c>
      <c r="E63" s="167" t="n">
        <f aca="false">E40</f>
        <v>539343.972</v>
      </c>
      <c r="F63" s="167" t="n">
        <f aca="false">F40</f>
        <v>537155.964</v>
      </c>
      <c r="G63" s="167" t="n">
        <f aca="false">G40</f>
        <v>534967.956</v>
      </c>
      <c r="H63" s="167" t="n">
        <f aca="false">H40</f>
        <v>532779.948</v>
      </c>
      <c r="I63" s="167" t="n">
        <f aca="false">I40</f>
        <v>530591.94</v>
      </c>
      <c r="J63" s="167" t="n">
        <f aca="false">J40</f>
        <v>528403.932</v>
      </c>
      <c r="K63" s="167" t="n">
        <f aca="false">K40</f>
        <v>526215.924</v>
      </c>
      <c r="L63" s="167" t="n">
        <f aca="false">L40</f>
        <v>524027.916</v>
      </c>
      <c r="M63" s="167" t="n">
        <f aca="false">M40</f>
        <v>521839.908</v>
      </c>
      <c r="N63" s="167" t="n">
        <f aca="false">N40</f>
        <v>519651.9</v>
      </c>
      <c r="O63" s="167" t="n">
        <f aca="false">O40</f>
        <v>517463.892</v>
      </c>
      <c r="P63" s="167" t="n">
        <f aca="false">P40</f>
        <v>515275.884</v>
      </c>
      <c r="Q63" s="167" t="n">
        <f aca="false">Q40</f>
        <v>513087.876</v>
      </c>
      <c r="R63" s="167" t="n">
        <f aca="false">R40</f>
        <v>510899.868</v>
      </c>
      <c r="S63" s="167" t="n">
        <f aca="false">S40</f>
        <v>508711.86</v>
      </c>
      <c r="T63" s="167" t="n">
        <f aca="false">T40</f>
        <v>506523.852</v>
      </c>
      <c r="U63" s="167" t="n">
        <f aca="false">U40</f>
        <v>504335.844</v>
      </c>
      <c r="V63" s="167" t="n">
        <f aca="false">V40</f>
        <v>502147.836</v>
      </c>
      <c r="W63" s="167" t="n">
        <f aca="false">W40</f>
        <v>499959.828</v>
      </c>
      <c r="X63" s="168"/>
    </row>
    <row r="64" customFormat="false" ht="18.75" hidden="false" customHeight="true" outlineLevel="0" collapsed="false">
      <c r="B64" s="169" t="s">
        <v>53</v>
      </c>
      <c r="C64" s="170" t="s">
        <v>3</v>
      </c>
      <c r="D64" s="171" t="n">
        <f aca="false">D41</f>
        <v>2011899.612096</v>
      </c>
      <c r="E64" s="171" t="n">
        <f aca="false">E41</f>
        <v>2003770.7247744</v>
      </c>
      <c r="F64" s="171" t="n">
        <f aca="false">F41</f>
        <v>1995641.8374528</v>
      </c>
      <c r="G64" s="171" t="n">
        <f aca="false">G41</f>
        <v>1987512.9501312</v>
      </c>
      <c r="H64" s="171" t="n">
        <f aca="false">H41</f>
        <v>1979384.0628096</v>
      </c>
      <c r="I64" s="171" t="n">
        <f aca="false">I41</f>
        <v>1971255.175488</v>
      </c>
      <c r="J64" s="171" t="n">
        <f aca="false">J41</f>
        <v>1963126.2881664</v>
      </c>
      <c r="K64" s="171" t="n">
        <f aca="false">K41</f>
        <v>1954997.4008448</v>
      </c>
      <c r="L64" s="171" t="n">
        <f aca="false">L41</f>
        <v>1946868.5135232</v>
      </c>
      <c r="M64" s="171" t="n">
        <f aca="false">M41</f>
        <v>1938739.6262016</v>
      </c>
      <c r="N64" s="171" t="n">
        <f aca="false">N41</f>
        <v>1930610.73888</v>
      </c>
      <c r="O64" s="171" t="n">
        <f aca="false">O41</f>
        <v>1922481.8515584</v>
      </c>
      <c r="P64" s="171" t="n">
        <f aca="false">P41</f>
        <v>1914352.9642368</v>
      </c>
      <c r="Q64" s="171" t="n">
        <f aca="false">Q41</f>
        <v>1906224.0769152</v>
      </c>
      <c r="R64" s="171" t="n">
        <f aca="false">R41</f>
        <v>1898095.1895936</v>
      </c>
      <c r="S64" s="171" t="n">
        <f aca="false">S41</f>
        <v>1889966.302272</v>
      </c>
      <c r="T64" s="171" t="n">
        <f aca="false">T41</f>
        <v>1881837.4149504</v>
      </c>
      <c r="U64" s="171" t="n">
        <f aca="false">U41</f>
        <v>1873708.5276288</v>
      </c>
      <c r="V64" s="171" t="n">
        <f aca="false">V41</f>
        <v>1865579.6403072</v>
      </c>
      <c r="W64" s="171" t="n">
        <f aca="false">W41</f>
        <v>1857450.7529856</v>
      </c>
      <c r="X64" s="172"/>
    </row>
    <row r="65" customFormat="false" ht="18.75" hidden="false" customHeight="true" outlineLevel="0" collapsed="false">
      <c r="B65" s="173" t="s">
        <v>54</v>
      </c>
      <c r="C65" s="174" t="s">
        <v>3</v>
      </c>
      <c r="D65" s="175"/>
      <c r="E65" s="175"/>
      <c r="F65" s="175"/>
      <c r="G65" s="176" t="s">
        <v>3</v>
      </c>
      <c r="H65" s="176" t="s">
        <v>3</v>
      </c>
      <c r="I65" s="176" t="s">
        <v>3</v>
      </c>
      <c r="J65" s="176" t="s">
        <v>3</v>
      </c>
      <c r="K65" s="176" t="s">
        <v>3</v>
      </c>
      <c r="L65" s="176" t="s">
        <v>3</v>
      </c>
      <c r="M65" s="176" t="s">
        <v>3</v>
      </c>
      <c r="N65" s="176" t="s">
        <v>3</v>
      </c>
      <c r="O65" s="176" t="s">
        <v>3</v>
      </c>
      <c r="P65" s="176" t="s">
        <v>3</v>
      </c>
      <c r="Q65" s="176" t="s">
        <v>3</v>
      </c>
      <c r="R65" s="176" t="s">
        <v>3</v>
      </c>
      <c r="S65" s="176" t="s">
        <v>3</v>
      </c>
      <c r="T65" s="176" t="s">
        <v>3</v>
      </c>
      <c r="U65" s="176" t="s">
        <v>3</v>
      </c>
      <c r="V65" s="176" t="s">
        <v>3</v>
      </c>
      <c r="W65" s="176" t="s">
        <v>3</v>
      </c>
      <c r="X65" s="177"/>
    </row>
    <row r="66" customFormat="false" ht="18.75" hidden="false" customHeight="true" outlineLevel="0" collapsed="false">
      <c r="B66" s="178" t="s">
        <v>55</v>
      </c>
      <c r="C66" s="179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1"/>
    </row>
    <row r="67" customFormat="false" ht="18.75" hidden="false" customHeight="true" outlineLevel="0" collapsed="false">
      <c r="B67" s="182" t="s">
        <v>151</v>
      </c>
      <c r="C67" s="174"/>
      <c r="D67" s="206" t="n">
        <f aca="false">$C$44/$E$16</f>
        <v>-1155665</v>
      </c>
      <c r="E67" s="206" t="n">
        <f aca="false">$C$44/$E$16</f>
        <v>-1155665</v>
      </c>
      <c r="F67" s="206" t="n">
        <f aca="false">$C$44/$E$16</f>
        <v>-1155665</v>
      </c>
      <c r="G67" s="206" t="n">
        <f aca="false">$C$44/$E$16</f>
        <v>-1155665</v>
      </c>
      <c r="H67" s="206" t="n">
        <f aca="false">$C$44/$E$16</f>
        <v>-1155665</v>
      </c>
      <c r="I67" s="206" t="n">
        <f aca="false">$C$44/$E$16</f>
        <v>-1155665</v>
      </c>
      <c r="J67" s="206" t="n">
        <f aca="false">$C$44/$E$16</f>
        <v>-1155665</v>
      </c>
      <c r="K67" s="206" t="n">
        <f aca="false">$C$44/$E$16</f>
        <v>-1155665</v>
      </c>
      <c r="L67" s="206" t="n">
        <f aca="false">$C$44/$E$16</f>
        <v>-1155665</v>
      </c>
      <c r="M67" s="206" t="n">
        <f aca="false">$C$44/$E$16</f>
        <v>-1155665</v>
      </c>
      <c r="N67" s="206" t="n">
        <f aca="false">$C$44/$E$16</f>
        <v>-1155665</v>
      </c>
      <c r="O67" s="206" t="n">
        <f aca="false">$C$44/$E$16</f>
        <v>-1155665</v>
      </c>
      <c r="P67" s="206" t="n">
        <f aca="false">$C$44/$E$16</f>
        <v>-1155665</v>
      </c>
      <c r="Q67" s="206" t="n">
        <f aca="false">$C$44/$E$16</f>
        <v>-1155665</v>
      </c>
      <c r="R67" s="206" t="n">
        <f aca="false">$C$44/$E$16</f>
        <v>-1155665</v>
      </c>
      <c r="S67" s="206" t="n">
        <f aca="false">$C$44/$E$16</f>
        <v>-1155665</v>
      </c>
      <c r="T67" s="206" t="n">
        <f aca="false">$C$44/$E$16</f>
        <v>-1155665</v>
      </c>
      <c r="U67" s="206" t="n">
        <f aca="false">$C$44/$E$16</f>
        <v>-1155665</v>
      </c>
      <c r="V67" s="206" t="n">
        <f aca="false">$C$44/$E$16</f>
        <v>-1155665</v>
      </c>
      <c r="W67" s="206" t="n">
        <f aca="false">$C$44/$E$16</f>
        <v>-1155665</v>
      </c>
      <c r="X67" s="177"/>
    </row>
    <row r="68" customFormat="false" ht="18.75" hidden="false" customHeight="true" outlineLevel="0" collapsed="false">
      <c r="B68" s="182" t="s">
        <v>57</v>
      </c>
      <c r="C68" s="174" t="s">
        <v>3</v>
      </c>
      <c r="D68" s="184" t="n">
        <f aca="false">D44</f>
        <v>0</v>
      </c>
      <c r="E68" s="184" t="n">
        <f aca="false">E45</f>
        <v>-601131.21743232</v>
      </c>
      <c r="F68" s="184" t="n">
        <f aca="false">F45</f>
        <v>-598692.55123584</v>
      </c>
      <c r="G68" s="184" t="n">
        <f aca="false">G45</f>
        <v>-596253.88503936</v>
      </c>
      <c r="H68" s="184" t="n">
        <f aca="false">H45</f>
        <v>-593815.21884288</v>
      </c>
      <c r="I68" s="184" t="n">
        <f aca="false">I45</f>
        <v>-591376.5526464</v>
      </c>
      <c r="J68" s="184" t="n">
        <f aca="false">J45</f>
        <v>-588937.88644992</v>
      </c>
      <c r="K68" s="184" t="n">
        <f aca="false">K45</f>
        <v>-586499.22025344</v>
      </c>
      <c r="L68" s="184" t="n">
        <f aca="false">L45</f>
        <v>-584060.55405696</v>
      </c>
      <c r="M68" s="184" t="n">
        <f aca="false">M45</f>
        <v>-581621.88786048</v>
      </c>
      <c r="N68" s="184" t="n">
        <f aca="false">N45</f>
        <v>-579183.221664</v>
      </c>
      <c r="O68" s="184" t="n">
        <f aca="false">O45</f>
        <v>-576744.55546752</v>
      </c>
      <c r="P68" s="184" t="n">
        <f aca="false">P45</f>
        <v>-574305.88927104</v>
      </c>
      <c r="Q68" s="184" t="n">
        <f aca="false">Q45</f>
        <v>-571867.22307456</v>
      </c>
      <c r="R68" s="184" t="n">
        <f aca="false">R45</f>
        <v>-569428.55687808</v>
      </c>
      <c r="S68" s="184" t="n">
        <f aca="false">S45</f>
        <v>-566989.8906816</v>
      </c>
      <c r="T68" s="184" t="n">
        <f aca="false">T45</f>
        <v>-564551.22448512</v>
      </c>
      <c r="U68" s="184" t="n">
        <f aca="false">U45</f>
        <v>-562112.55828864</v>
      </c>
      <c r="V68" s="184" t="n">
        <f aca="false">V45</f>
        <v>-559673.89209216</v>
      </c>
      <c r="W68" s="184" t="n">
        <f aca="false">W45</f>
        <v>-557235.22589568</v>
      </c>
      <c r="X68" s="177"/>
    </row>
    <row r="69" customFormat="false" ht="18.75" hidden="false" customHeight="true" outlineLevel="0" collapsed="false">
      <c r="B69" s="182" t="s">
        <v>58</v>
      </c>
      <c r="C69" s="174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7"/>
    </row>
    <row r="70" customFormat="false" ht="18.75" hidden="false" customHeight="true" outlineLevel="0" collapsed="false">
      <c r="B70" s="182" t="s">
        <v>59</v>
      </c>
      <c r="C70" s="174" t="s">
        <v>3</v>
      </c>
      <c r="D70" s="184" t="n">
        <f aca="false">-D109*$D25</f>
        <v>-473267.9308</v>
      </c>
      <c r="E70" s="184" t="n">
        <f aca="false">-E109*$D25</f>
        <v>-441716.735413333</v>
      </c>
      <c r="F70" s="184" t="n">
        <f aca="false">-F109*$D25</f>
        <v>-410165.540026667</v>
      </c>
      <c r="G70" s="184" t="n">
        <f aca="false">-G109*$D25</f>
        <v>-378614.34464</v>
      </c>
      <c r="H70" s="184" t="n">
        <f aca="false">-H109*$D25</f>
        <v>-347063.149253333</v>
      </c>
      <c r="I70" s="184" t="n">
        <f aca="false">-I109*$D25</f>
        <v>-315511.953866667</v>
      </c>
      <c r="J70" s="184" t="n">
        <f aca="false">-J109*$D25</f>
        <v>-283960.75848</v>
      </c>
      <c r="K70" s="184" t="n">
        <f aca="false">-K109*$D25</f>
        <v>-252409.563093334</v>
      </c>
      <c r="L70" s="184" t="n">
        <f aca="false">-L109*$D25</f>
        <v>-220858.367706667</v>
      </c>
      <c r="M70" s="184" t="n">
        <f aca="false">-M109*$D25</f>
        <v>-189307.17232</v>
      </c>
      <c r="N70" s="184" t="n">
        <f aca="false">-N109*$D25</f>
        <v>-157755.976933334</v>
      </c>
      <c r="O70" s="184" t="n">
        <f aca="false">-O109*$D25</f>
        <v>-126204.781546667</v>
      </c>
      <c r="P70" s="184" t="n">
        <f aca="false">-P109*$D25</f>
        <v>-94653.5861600003</v>
      </c>
      <c r="Q70" s="184" t="n">
        <f aca="false">-Q109*$D25</f>
        <v>-63102.3907733336</v>
      </c>
      <c r="R70" s="184" t="n">
        <f aca="false">-R109*$D25</f>
        <v>-31551.195386667</v>
      </c>
      <c r="S70" s="184" t="n">
        <f aca="false">-S109*$D25</f>
        <v>-3.09883616864681E-010</v>
      </c>
      <c r="T70" s="184" t="n">
        <f aca="false">-T109*$D25</f>
        <v>-3.09883616864681E-010</v>
      </c>
      <c r="U70" s="184" t="n">
        <f aca="false">-U109*$D25</f>
        <v>-3.09883616864681E-010</v>
      </c>
      <c r="V70" s="184" t="n">
        <f aca="false">-V109*$D25</f>
        <v>-3.09883616864681E-010</v>
      </c>
      <c r="W70" s="184" t="n">
        <f aca="false">-W109*$D25</f>
        <v>-3.09883616864681E-010</v>
      </c>
      <c r="X70" s="177"/>
    </row>
    <row r="71" customFormat="false" ht="18.75" hidden="false" customHeight="true" outlineLevel="0" collapsed="false">
      <c r="B71" s="182" t="s">
        <v>60</v>
      </c>
      <c r="C71" s="174" t="s">
        <v>3</v>
      </c>
      <c r="D71" s="184" t="n">
        <f aca="false">D48</f>
        <v>-174440</v>
      </c>
      <c r="E71" s="184" t="n">
        <f aca="false">E48</f>
        <v>-174440</v>
      </c>
      <c r="F71" s="184" t="n">
        <f aca="false">F48</f>
        <v>-174440</v>
      </c>
      <c r="G71" s="184" t="n">
        <f aca="false">G48</f>
        <v>-174440</v>
      </c>
      <c r="H71" s="184" t="n">
        <f aca="false">H48</f>
        <v>-174440</v>
      </c>
      <c r="I71" s="184" t="n">
        <f aca="false">I48</f>
        <v>-174440</v>
      </c>
      <c r="J71" s="184" t="n">
        <f aca="false">J48</f>
        <v>-174440</v>
      </c>
      <c r="K71" s="184" t="n">
        <f aca="false">K48</f>
        <v>-174440</v>
      </c>
      <c r="L71" s="184" t="n">
        <f aca="false">L48</f>
        <v>-174440</v>
      </c>
      <c r="M71" s="184" t="n">
        <f aca="false">M48</f>
        <v>-174440</v>
      </c>
      <c r="N71" s="184" t="n">
        <f aca="false">N48</f>
        <v>-174440</v>
      </c>
      <c r="O71" s="184" t="n">
        <f aca="false">O48</f>
        <v>-174440</v>
      </c>
      <c r="P71" s="184" t="n">
        <f aca="false">P48</f>
        <v>-174440</v>
      </c>
      <c r="Q71" s="184" t="n">
        <f aca="false">Q48</f>
        <v>-174440</v>
      </c>
      <c r="R71" s="184" t="n">
        <f aca="false">R48</f>
        <v>-174440</v>
      </c>
      <c r="S71" s="184" t="n">
        <f aca="false">S48</f>
        <v>-174440</v>
      </c>
      <c r="T71" s="184" t="n">
        <f aca="false">T48</f>
        <v>-174440</v>
      </c>
      <c r="U71" s="184" t="n">
        <f aca="false">U48</f>
        <v>-174440</v>
      </c>
      <c r="V71" s="184" t="n">
        <f aca="false">V48</f>
        <v>-174440</v>
      </c>
      <c r="W71" s="184" t="n">
        <f aca="false">W48</f>
        <v>-174440</v>
      </c>
      <c r="X71" s="177"/>
    </row>
    <row r="72" customFormat="false" ht="18.75" hidden="false" customHeight="true" outlineLevel="0" collapsed="false">
      <c r="B72" s="182" t="s">
        <v>61</v>
      </c>
      <c r="C72" s="174" t="s">
        <v>3</v>
      </c>
      <c r="D72" s="184" t="n">
        <f aca="false">D49</f>
        <v>-52332</v>
      </c>
      <c r="E72" s="184" t="n">
        <f aca="false">E49</f>
        <v>-52332</v>
      </c>
      <c r="F72" s="184" t="n">
        <f aca="false">F49</f>
        <v>-52332</v>
      </c>
      <c r="G72" s="184" t="n">
        <f aca="false">G49</f>
        <v>-52332</v>
      </c>
      <c r="H72" s="184" t="n">
        <f aca="false">H49</f>
        <v>-52332</v>
      </c>
      <c r="I72" s="184" t="n">
        <f aca="false">I49</f>
        <v>-52332</v>
      </c>
      <c r="J72" s="184" t="n">
        <f aca="false">J49</f>
        <v>-52332</v>
      </c>
      <c r="K72" s="184" t="n">
        <f aca="false">K49</f>
        <v>-52332</v>
      </c>
      <c r="L72" s="184" t="n">
        <f aca="false">L49</f>
        <v>-52332</v>
      </c>
      <c r="M72" s="184" t="n">
        <f aca="false">M49</f>
        <v>-52332</v>
      </c>
      <c r="N72" s="184" t="n">
        <f aca="false">N49</f>
        <v>-52332</v>
      </c>
      <c r="O72" s="184" t="n">
        <f aca="false">O49</f>
        <v>-52332</v>
      </c>
      <c r="P72" s="184" t="n">
        <f aca="false">P49</f>
        <v>-52332</v>
      </c>
      <c r="Q72" s="184" t="n">
        <f aca="false">Q49</f>
        <v>-52332</v>
      </c>
      <c r="R72" s="184" t="n">
        <f aca="false">R49</f>
        <v>-52332</v>
      </c>
      <c r="S72" s="184" t="n">
        <f aca="false">S49</f>
        <v>-52332</v>
      </c>
      <c r="T72" s="184" t="n">
        <f aca="false">T49</f>
        <v>-52332</v>
      </c>
      <c r="U72" s="184" t="n">
        <f aca="false">U49</f>
        <v>-52332</v>
      </c>
      <c r="V72" s="184" t="n">
        <f aca="false">V49</f>
        <v>-52332</v>
      </c>
      <c r="W72" s="184" t="n">
        <f aca="false">W49</f>
        <v>-52332</v>
      </c>
      <c r="X72" s="177"/>
    </row>
    <row r="73" customFormat="false" ht="18.75" hidden="false" customHeight="true" outlineLevel="0" collapsed="false">
      <c r="B73" s="182" t="s">
        <v>62</v>
      </c>
      <c r="C73" s="174"/>
      <c r="D73" s="184" t="n">
        <f aca="false">D50</f>
        <v>-43610</v>
      </c>
      <c r="E73" s="184" t="n">
        <f aca="false">E50</f>
        <v>-43610</v>
      </c>
      <c r="F73" s="184" t="n">
        <f aca="false">F50</f>
        <v>-43610</v>
      </c>
      <c r="G73" s="184" t="n">
        <f aca="false">G50</f>
        <v>-43610</v>
      </c>
      <c r="H73" s="184" t="n">
        <f aca="false">H50</f>
        <v>-43610</v>
      </c>
      <c r="I73" s="184" t="n">
        <f aca="false">I50</f>
        <v>-43610</v>
      </c>
      <c r="J73" s="184" t="n">
        <f aca="false">J50</f>
        <v>-43610</v>
      </c>
      <c r="K73" s="184" t="n">
        <f aca="false">K50</f>
        <v>-43610</v>
      </c>
      <c r="L73" s="184" t="n">
        <f aca="false">L50</f>
        <v>-43610</v>
      </c>
      <c r="M73" s="184" t="n">
        <f aca="false">M50</f>
        <v>-43610</v>
      </c>
      <c r="N73" s="184" t="n">
        <f aca="false">N50</f>
        <v>0</v>
      </c>
      <c r="O73" s="184" t="n">
        <f aca="false">O50</f>
        <v>0</v>
      </c>
      <c r="P73" s="184" t="n">
        <f aca="false">P50</f>
        <v>0</v>
      </c>
      <c r="Q73" s="184" t="n">
        <f aca="false">Q50</f>
        <v>0</v>
      </c>
      <c r="R73" s="184" t="n">
        <f aca="false">R50</f>
        <v>0</v>
      </c>
      <c r="S73" s="184" t="n">
        <f aca="false">S50</f>
        <v>0</v>
      </c>
      <c r="T73" s="184" t="n">
        <f aca="false">T50</f>
        <v>0</v>
      </c>
      <c r="U73" s="184" t="n">
        <f aca="false">U50</f>
        <v>0</v>
      </c>
      <c r="V73" s="184" t="n">
        <f aca="false">V50</f>
        <v>0</v>
      </c>
      <c r="W73" s="184" t="n">
        <f aca="false">W50</f>
        <v>0</v>
      </c>
      <c r="X73" s="177"/>
    </row>
    <row r="74" customFormat="false" ht="18.75" hidden="false" customHeight="true" outlineLevel="0" collapsed="false">
      <c r="B74" s="182" t="s">
        <v>63</v>
      </c>
      <c r="C74" s="185"/>
      <c r="D74" s="207"/>
      <c r="E74" s="208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7"/>
    </row>
    <row r="75" customFormat="false" ht="18.75" hidden="false" customHeight="true" outlineLevel="0" collapsed="false">
      <c r="B75" s="182" t="s">
        <v>64</v>
      </c>
      <c r="C75" s="18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7"/>
    </row>
    <row r="76" customFormat="false" ht="18.75" hidden="false" customHeight="true" outlineLevel="0" collapsed="false">
      <c r="B76" s="187" t="s">
        <v>152</v>
      </c>
      <c r="C76" s="209"/>
      <c r="D76" s="189" t="n">
        <f aca="false">SUM(D64:D75)</f>
        <v>112584.681296</v>
      </c>
      <c r="E76" s="189" t="n">
        <f aca="false">SUM(E64:E75)</f>
        <v>-465124.228071254</v>
      </c>
      <c r="F76" s="189" t="n">
        <f aca="false">SUM(F64:F75)</f>
        <v>-439263.253809707</v>
      </c>
      <c r="G76" s="189" t="n">
        <f aca="false">SUM(G64:G75)</f>
        <v>-413402.27954816</v>
      </c>
      <c r="H76" s="189" t="n">
        <f aca="false">SUM(H64:H75)</f>
        <v>-387541.305286614</v>
      </c>
      <c r="I76" s="189" t="n">
        <f aca="false">SUM(I64:I75)</f>
        <v>-361680.331025067</v>
      </c>
      <c r="J76" s="189" t="n">
        <f aca="false">SUM(J64:J75)</f>
        <v>-335819.35676352</v>
      </c>
      <c r="K76" s="189" t="n">
        <f aca="false">SUM(K64:K75)</f>
        <v>-309958.382501974</v>
      </c>
      <c r="L76" s="189" t="n">
        <f aca="false">SUM(L64:L75)</f>
        <v>-284097.408240427</v>
      </c>
      <c r="M76" s="189" t="n">
        <f aca="false">SUM(M64:M75)</f>
        <v>-258236.43397888</v>
      </c>
      <c r="N76" s="189" t="n">
        <f aca="false">SUM(N64:N75)</f>
        <v>-188765.459717334</v>
      </c>
      <c r="O76" s="189" t="n">
        <f aca="false">SUM(O64:O75)</f>
        <v>-162904.485455787</v>
      </c>
      <c r="P76" s="189" t="n">
        <f aca="false">SUM(P64:P75)</f>
        <v>-137043.51119424</v>
      </c>
      <c r="Q76" s="189" t="n">
        <f aca="false">SUM(Q64:Q75)</f>
        <v>-111182.536932694</v>
      </c>
      <c r="R76" s="189" t="n">
        <f aca="false">SUM(R64:R75)</f>
        <v>-85321.5626711471</v>
      </c>
      <c r="S76" s="189" t="n">
        <f aca="false">SUM(S64:S75)</f>
        <v>-59460.5884096004</v>
      </c>
      <c r="T76" s="189" t="n">
        <f aca="false">SUM(T64:T75)</f>
        <v>-65150.8095347207</v>
      </c>
      <c r="U76" s="189" t="n">
        <f aca="false">SUM(U64:U75)</f>
        <v>-70841.0306598404</v>
      </c>
      <c r="V76" s="189" t="n">
        <f aca="false">SUM(V64:V75)</f>
        <v>-76531.2517849606</v>
      </c>
      <c r="W76" s="189" t="n">
        <f aca="false">SUM(W64:W75)</f>
        <v>-82221.4729100804</v>
      </c>
      <c r="X76" s="189" t="n">
        <f aca="false">SUM(X64:X75)</f>
        <v>0</v>
      </c>
    </row>
    <row r="77" customFormat="false" ht="18.75" hidden="false" customHeight="true" outlineLevel="0" collapsed="false">
      <c r="B77" s="186" t="s">
        <v>66</v>
      </c>
      <c r="C77" s="185"/>
      <c r="D77" s="184" t="n">
        <f aca="false">-D76*0.2</f>
        <v>-22516.9362592</v>
      </c>
      <c r="E77" s="184" t="n">
        <f aca="false">-E76*0.2</f>
        <v>93024.8456142507</v>
      </c>
      <c r="F77" s="184" t="n">
        <f aca="false">-F76*0.2</f>
        <v>87852.6507619413</v>
      </c>
      <c r="G77" s="184" t="n">
        <f aca="false">-G76*0.2</f>
        <v>82680.455909632</v>
      </c>
      <c r="H77" s="184" t="n">
        <f aca="false">-H76*0.2</f>
        <v>77508.2610573227</v>
      </c>
      <c r="I77" s="184" t="n">
        <f aca="false">-I76*0.2</f>
        <v>72336.0662050134</v>
      </c>
      <c r="J77" s="184" t="n">
        <f aca="false">-J76*0.2</f>
        <v>67163.871352704</v>
      </c>
      <c r="K77" s="184" t="n">
        <f aca="false">-K76*0.2</f>
        <v>61991.6765003947</v>
      </c>
      <c r="L77" s="184" t="n">
        <f aca="false">-L76*0.2</f>
        <v>56819.4816480854</v>
      </c>
      <c r="M77" s="184" t="n">
        <f aca="false">-M76*0.2</f>
        <v>51647.2867957761</v>
      </c>
      <c r="N77" s="184" t="n">
        <f aca="false">-N76*0.2</f>
        <v>37753.0919434667</v>
      </c>
      <c r="O77" s="184" t="n">
        <f aca="false">-O76*0.2</f>
        <v>32580.8970911574</v>
      </c>
      <c r="P77" s="184" t="n">
        <f aca="false">-P76*0.2</f>
        <v>27408.7022388481</v>
      </c>
      <c r="Q77" s="184" t="n">
        <f aca="false">-Q76*0.2</f>
        <v>22236.5073865388</v>
      </c>
      <c r="R77" s="184" t="n">
        <f aca="false">-R76*0.2</f>
        <v>17064.3125342294</v>
      </c>
      <c r="S77" s="184" t="n">
        <f aca="false">-S76*0.2</f>
        <v>11892.1176819201</v>
      </c>
      <c r="T77" s="184" t="n">
        <f aca="false">-T76*0.2</f>
        <v>13030.1619069441</v>
      </c>
      <c r="U77" s="184" t="n">
        <f aca="false">-U76*0.2</f>
        <v>14168.2061319681</v>
      </c>
      <c r="V77" s="184" t="n">
        <f aca="false">-V76*0.2</f>
        <v>15306.2503569921</v>
      </c>
      <c r="W77" s="184" t="n">
        <f aca="false">-W76*0.2</f>
        <v>16444.2945820161</v>
      </c>
      <c r="X77" s="184" t="n">
        <f aca="false">-X76*0.2</f>
        <v>-0</v>
      </c>
    </row>
    <row r="78" customFormat="false" ht="15.75" hidden="false" customHeight="true" outlineLevel="0" collapsed="false">
      <c r="B78" s="210" t="s">
        <v>76</v>
      </c>
      <c r="D78" s="184" t="n">
        <f aca="false">SUM(D76:D77)</f>
        <v>90067.7450367998</v>
      </c>
      <c r="E78" s="184" t="n">
        <f aca="false">SUM(E76:E77)</f>
        <v>-372099.382457003</v>
      </c>
      <c r="F78" s="184" t="n">
        <f aca="false">SUM(F76:F77)</f>
        <v>-351410.603047765</v>
      </c>
      <c r="G78" s="184" t="n">
        <f aca="false">SUM(G76:G77)</f>
        <v>-330721.823638528</v>
      </c>
      <c r="H78" s="184" t="n">
        <f aca="false">SUM(H76:H77)</f>
        <v>-310033.044229291</v>
      </c>
      <c r="I78" s="184" t="n">
        <f aca="false">SUM(I76:I77)</f>
        <v>-289344.264820054</v>
      </c>
      <c r="J78" s="184" t="n">
        <f aca="false">SUM(J76:J77)</f>
        <v>-268655.485410816</v>
      </c>
      <c r="K78" s="184" t="n">
        <f aca="false">SUM(K76:K77)</f>
        <v>-247966.706001579</v>
      </c>
      <c r="L78" s="184" t="n">
        <f aca="false">SUM(L76:L77)</f>
        <v>-227277.926592342</v>
      </c>
      <c r="M78" s="184" t="n">
        <f aca="false">SUM(M76:M77)</f>
        <v>-206589.147183104</v>
      </c>
      <c r="N78" s="184" t="n">
        <f aca="false">SUM(N76:N77)</f>
        <v>-151012.367773867</v>
      </c>
      <c r="O78" s="184" t="n">
        <f aca="false">SUM(O76:O77)</f>
        <v>-130323.58836463</v>
      </c>
      <c r="P78" s="184" t="n">
        <f aca="false">SUM(P76:P77)</f>
        <v>-109634.808955392</v>
      </c>
      <c r="Q78" s="184" t="n">
        <f aca="false">SUM(Q76:Q77)</f>
        <v>-88946.029546155</v>
      </c>
      <c r="R78" s="184" t="n">
        <f aca="false">SUM(R76:R77)</f>
        <v>-68257.2501369177</v>
      </c>
      <c r="S78" s="184" t="n">
        <f aca="false">SUM(S76:S77)</f>
        <v>-47568.4707276803</v>
      </c>
      <c r="T78" s="184" t="n">
        <f aca="false">SUM(T76:T77)</f>
        <v>-52120.6476277766</v>
      </c>
      <c r="U78" s="184" t="n">
        <f aca="false">SUM(U76:U77)</f>
        <v>-56672.8245278723</v>
      </c>
      <c r="V78" s="184" t="n">
        <f aca="false">SUM(V76:V77)</f>
        <v>-61225.0014279685</v>
      </c>
      <c r="W78" s="184" t="n">
        <f aca="false">SUM(W76:W77)</f>
        <v>-65777.1783280643</v>
      </c>
      <c r="X78" s="184" t="n">
        <f aca="false">SUM(X76:X77)</f>
        <v>0</v>
      </c>
    </row>
    <row r="79" customFormat="false" ht="18.75" hidden="false" customHeight="true" outlineLevel="0" collapsed="false">
      <c r="B79" s="193" t="s">
        <v>68</v>
      </c>
      <c r="C79" s="196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2"/>
    </row>
    <row r="80" customFormat="false" ht="18.75" hidden="false" customHeight="true" outlineLevel="0" collapsed="false">
      <c r="B80" s="213" t="s">
        <v>74</v>
      </c>
      <c r="C80" s="214"/>
      <c r="D80" s="215"/>
      <c r="E80" s="215"/>
      <c r="F80" s="215"/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6"/>
    </row>
    <row r="81" customFormat="false" ht="18.75" hidden="false" customHeight="true" outlineLevel="0" collapsed="false">
      <c r="B81" s="202"/>
      <c r="C81" s="201"/>
      <c r="D81" s="201"/>
      <c r="E81" s="201"/>
      <c r="F81" s="202"/>
      <c r="G81" s="202"/>
      <c r="H81" s="202"/>
      <c r="I81" s="202"/>
      <c r="J81" s="202"/>
      <c r="K81" s="202"/>
      <c r="L81" s="202"/>
      <c r="M81" s="201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</row>
    <row r="82" customFormat="false" ht="18.75" hidden="false" customHeight="true" outlineLevel="0" collapsed="false">
      <c r="C82" s="217" t="s">
        <v>48</v>
      </c>
      <c r="D82" s="218" t="n">
        <f aca="false">D37</f>
        <v>2023</v>
      </c>
      <c r="E82" s="218" t="n">
        <f aca="false">E37</f>
        <v>2024</v>
      </c>
      <c r="F82" s="218" t="n">
        <f aca="false">F37</f>
        <v>2025</v>
      </c>
      <c r="G82" s="218" t="n">
        <f aca="false">G37</f>
        <v>2026</v>
      </c>
      <c r="H82" s="218" t="n">
        <f aca="false">H37</f>
        <v>2027</v>
      </c>
      <c r="I82" s="218" t="n">
        <f aca="false">I37</f>
        <v>2028</v>
      </c>
      <c r="J82" s="218" t="n">
        <f aca="false">J37</f>
        <v>2029</v>
      </c>
      <c r="K82" s="218" t="n">
        <f aca="false">K37</f>
        <v>2030</v>
      </c>
      <c r="L82" s="218" t="n">
        <f aca="false">L37</f>
        <v>2031</v>
      </c>
      <c r="M82" s="218" t="n">
        <f aca="false">M37</f>
        <v>2032</v>
      </c>
      <c r="N82" s="218" t="n">
        <f aca="false">N37</f>
        <v>2033</v>
      </c>
      <c r="O82" s="218" t="n">
        <f aca="false">O37</f>
        <v>2034</v>
      </c>
      <c r="P82" s="218" t="n">
        <f aca="false">P37</f>
        <v>2035</v>
      </c>
      <c r="Q82" s="218" t="n">
        <f aca="false">Q37</f>
        <v>2036</v>
      </c>
      <c r="R82" s="218" t="n">
        <f aca="false">R37</f>
        <v>2037</v>
      </c>
      <c r="S82" s="218" t="n">
        <f aca="false">S37</f>
        <v>2038</v>
      </c>
      <c r="T82" s="218" t="n">
        <f aca="false">T37</f>
        <v>2039</v>
      </c>
      <c r="U82" s="218" t="n">
        <f aca="false">U37</f>
        <v>2040</v>
      </c>
      <c r="V82" s="218" t="n">
        <f aca="false">V37</f>
        <v>2041</v>
      </c>
      <c r="W82" s="218" t="n">
        <f aca="false">W37</f>
        <v>2042</v>
      </c>
      <c r="X82" s="72"/>
    </row>
    <row r="83" customFormat="false" ht="18.75" hidden="false" customHeight="true" outlineLevel="0" collapsed="false">
      <c r="X83" s="203"/>
    </row>
    <row r="84" customFormat="false" ht="18.75" hidden="false" customHeight="true" outlineLevel="0" collapsed="false">
      <c r="B84" s="219" t="s">
        <v>51</v>
      </c>
      <c r="C84" s="219" t="n">
        <v>0</v>
      </c>
      <c r="D84" s="219" t="n">
        <v>1</v>
      </c>
      <c r="E84" s="219" t="n">
        <v>2</v>
      </c>
      <c r="F84" s="219" t="n">
        <v>3</v>
      </c>
      <c r="G84" s="219" t="n">
        <v>4</v>
      </c>
      <c r="H84" s="219" t="n">
        <v>5</v>
      </c>
      <c r="I84" s="219" t="n">
        <v>6</v>
      </c>
      <c r="J84" s="219" t="n">
        <v>7</v>
      </c>
      <c r="K84" s="219" t="n">
        <v>8</v>
      </c>
      <c r="L84" s="219" t="n">
        <v>9</v>
      </c>
      <c r="M84" s="219" t="n">
        <v>10</v>
      </c>
      <c r="N84" s="219" t="n">
        <v>11</v>
      </c>
      <c r="O84" s="219" t="n">
        <v>12</v>
      </c>
      <c r="P84" s="219" t="n">
        <v>13</v>
      </c>
      <c r="Q84" s="219" t="n">
        <v>14</v>
      </c>
      <c r="R84" s="219" t="n">
        <v>15</v>
      </c>
      <c r="S84" s="219" t="n">
        <v>16</v>
      </c>
      <c r="T84" s="219" t="n">
        <v>17</v>
      </c>
      <c r="U84" s="219" t="n">
        <v>18</v>
      </c>
      <c r="V84" s="219" t="n">
        <v>19</v>
      </c>
      <c r="W84" s="219" t="n">
        <v>20</v>
      </c>
      <c r="X84" s="103"/>
    </row>
    <row r="85" customFormat="false" ht="18.75" hidden="false" customHeight="true" outlineLevel="0" collapsed="false">
      <c r="B85" s="220" t="s">
        <v>76</v>
      </c>
      <c r="C85" s="220"/>
      <c r="D85" s="221" t="n">
        <f aca="false">D78</f>
        <v>90067.7450367998</v>
      </c>
      <c r="E85" s="221" t="n">
        <f aca="false">E78</f>
        <v>-372099.382457003</v>
      </c>
      <c r="F85" s="221" t="n">
        <f aca="false">F78</f>
        <v>-351410.603047765</v>
      </c>
      <c r="G85" s="221" t="n">
        <f aca="false">G78</f>
        <v>-330721.823638528</v>
      </c>
      <c r="H85" s="221" t="n">
        <f aca="false">H78</f>
        <v>-310033.044229291</v>
      </c>
      <c r="I85" s="221" t="n">
        <f aca="false">I78</f>
        <v>-289344.264820054</v>
      </c>
      <c r="J85" s="221" t="n">
        <f aca="false">J78</f>
        <v>-268655.485410816</v>
      </c>
      <c r="K85" s="221" t="n">
        <f aca="false">K78</f>
        <v>-247966.706001579</v>
      </c>
      <c r="L85" s="221" t="n">
        <f aca="false">L78</f>
        <v>-227277.926592342</v>
      </c>
      <c r="M85" s="221" t="n">
        <f aca="false">M78</f>
        <v>-206589.147183104</v>
      </c>
      <c r="N85" s="221" t="n">
        <f aca="false">N78</f>
        <v>-151012.367773867</v>
      </c>
      <c r="O85" s="221" t="n">
        <f aca="false">O78</f>
        <v>-130323.58836463</v>
      </c>
      <c r="P85" s="221" t="n">
        <f aca="false">P78</f>
        <v>-109634.808955392</v>
      </c>
      <c r="Q85" s="221" t="n">
        <f aca="false">Q78</f>
        <v>-88946.029546155</v>
      </c>
      <c r="R85" s="221" t="n">
        <f aca="false">R78</f>
        <v>-68257.2501369177</v>
      </c>
      <c r="S85" s="221" t="n">
        <f aca="false">S78</f>
        <v>-47568.4707276803</v>
      </c>
      <c r="T85" s="221" t="n">
        <f aca="false">T78</f>
        <v>-52120.6476277766</v>
      </c>
      <c r="U85" s="221" t="n">
        <f aca="false">U78</f>
        <v>-56672.8245278723</v>
      </c>
      <c r="V85" s="221" t="n">
        <f aca="false">V78</f>
        <v>-61225.0014279685</v>
      </c>
      <c r="W85" s="221" t="n">
        <f aca="false">W78</f>
        <v>-65777.1783280643</v>
      </c>
      <c r="X85" s="220"/>
      <c r="Y85" s="220"/>
    </row>
    <row r="86" customFormat="false" ht="15.75" hidden="false" customHeight="true" outlineLevel="0" collapsed="false">
      <c r="B86" s="220" t="s">
        <v>77</v>
      </c>
      <c r="C86" s="220"/>
      <c r="D86" s="222" t="n">
        <f aca="false">-D67</f>
        <v>1155665</v>
      </c>
      <c r="E86" s="222" t="n">
        <f aca="false">-E67</f>
        <v>1155665</v>
      </c>
      <c r="F86" s="222" t="n">
        <f aca="false">-F67</f>
        <v>1155665</v>
      </c>
      <c r="G86" s="222" t="n">
        <f aca="false">-G67</f>
        <v>1155665</v>
      </c>
      <c r="H86" s="222" t="n">
        <f aca="false">-H67</f>
        <v>1155665</v>
      </c>
      <c r="I86" s="222" t="n">
        <f aca="false">-I67</f>
        <v>1155665</v>
      </c>
      <c r="J86" s="222" t="n">
        <f aca="false">-J67</f>
        <v>1155665</v>
      </c>
      <c r="K86" s="222" t="n">
        <f aca="false">-K67</f>
        <v>1155665</v>
      </c>
      <c r="L86" s="222" t="n">
        <f aca="false">-L67</f>
        <v>1155665</v>
      </c>
      <c r="M86" s="222" t="n">
        <f aca="false">-M67</f>
        <v>1155665</v>
      </c>
      <c r="N86" s="222" t="n">
        <f aca="false">-N67</f>
        <v>1155665</v>
      </c>
      <c r="O86" s="222" t="n">
        <f aca="false">-O67</f>
        <v>1155665</v>
      </c>
      <c r="P86" s="222" t="n">
        <f aca="false">-P67</f>
        <v>1155665</v>
      </c>
      <c r="Q86" s="222" t="n">
        <f aca="false">-Q67</f>
        <v>1155665</v>
      </c>
      <c r="R86" s="222" t="n">
        <f aca="false">-R67</f>
        <v>1155665</v>
      </c>
      <c r="S86" s="222" t="n">
        <f aca="false">-S67</f>
        <v>1155665</v>
      </c>
      <c r="T86" s="222" t="n">
        <f aca="false">-T67</f>
        <v>1155665</v>
      </c>
      <c r="U86" s="222" t="n">
        <f aca="false">-U67</f>
        <v>1155665</v>
      </c>
      <c r="V86" s="222" t="n">
        <f aca="false">-V67</f>
        <v>1155665</v>
      </c>
      <c r="W86" s="222" t="n">
        <f aca="false">-W67</f>
        <v>1155665</v>
      </c>
      <c r="X86" s="223"/>
      <c r="Y86" s="223"/>
    </row>
    <row r="87" customFormat="false" ht="15.75" hidden="false" customHeight="true" outlineLevel="0" collapsed="false">
      <c r="B87" s="220" t="s">
        <v>78</v>
      </c>
      <c r="C87" s="220"/>
      <c r="D87" s="224" t="n">
        <f aca="false">SUM(D85:D86)</f>
        <v>1245732.7450368</v>
      </c>
      <c r="E87" s="224" t="n">
        <f aca="false">SUM(E85:E86)</f>
        <v>783565.617542997</v>
      </c>
      <c r="F87" s="224" t="n">
        <f aca="false">SUM(F85:F86)</f>
        <v>804254.396952235</v>
      </c>
      <c r="G87" s="224" t="n">
        <f aca="false">SUM(G85:G86)</f>
        <v>824943.176361472</v>
      </c>
      <c r="H87" s="224" t="n">
        <f aca="false">SUM(H85:H86)</f>
        <v>845631.955770709</v>
      </c>
      <c r="I87" s="224" t="n">
        <f aca="false">SUM(I85:I86)</f>
        <v>866320.735179946</v>
      </c>
      <c r="J87" s="224" t="n">
        <f aca="false">SUM(J85:J86)</f>
        <v>887009.514589184</v>
      </c>
      <c r="K87" s="224" t="n">
        <f aca="false">SUM(K85:K86)</f>
        <v>907698.293998421</v>
      </c>
      <c r="L87" s="224" t="n">
        <f aca="false">SUM(L85:L86)</f>
        <v>928387.073407658</v>
      </c>
      <c r="M87" s="224" t="n">
        <f aca="false">SUM(M85:M86)</f>
        <v>949075.852816896</v>
      </c>
      <c r="N87" s="224" t="n">
        <f aca="false">SUM(N85:N86)</f>
        <v>1004652.63222613</v>
      </c>
      <c r="O87" s="224" t="n">
        <f aca="false">SUM(O85:O86)</f>
        <v>1025341.41163537</v>
      </c>
      <c r="P87" s="224" t="n">
        <f aca="false">SUM(P85:P86)</f>
        <v>1046030.19104461</v>
      </c>
      <c r="Q87" s="224" t="n">
        <f aca="false">SUM(Q85:Q86)</f>
        <v>1066718.97045384</v>
      </c>
      <c r="R87" s="224" t="n">
        <f aca="false">SUM(R85:R86)</f>
        <v>1087407.74986308</v>
      </c>
      <c r="S87" s="224" t="n">
        <f aca="false">SUM(S85:S86)</f>
        <v>1108096.52927232</v>
      </c>
      <c r="T87" s="224" t="n">
        <f aca="false">SUM(T85:T86)</f>
        <v>1103544.35237222</v>
      </c>
      <c r="U87" s="224" t="n">
        <f aca="false">SUM(U85:U86)</f>
        <v>1098992.17547213</v>
      </c>
      <c r="V87" s="224" t="n">
        <f aca="false">SUM(V85:V86)</f>
        <v>1094439.99857203</v>
      </c>
      <c r="W87" s="224" t="n">
        <f aca="false">SUM(W85:W86)</f>
        <v>1089887.82167194</v>
      </c>
      <c r="X87" s="192"/>
    </row>
    <row r="88" customFormat="false" ht="15.75" hidden="false" customHeight="true" outlineLevel="0" collapsed="false">
      <c r="B88" s="220"/>
      <c r="C88" s="220"/>
      <c r="D88" s="220"/>
      <c r="E88" s="220"/>
      <c r="F88" s="225"/>
      <c r="G88" s="225"/>
      <c r="H88" s="225"/>
      <c r="I88" s="225"/>
      <c r="J88" s="225"/>
      <c r="K88" s="225"/>
      <c r="L88" s="225"/>
      <c r="M88" s="225"/>
      <c r="N88" s="225"/>
      <c r="O88" s="225"/>
      <c r="P88" s="225"/>
      <c r="Q88" s="225"/>
      <c r="R88" s="225"/>
      <c r="S88" s="225"/>
      <c r="T88" s="225"/>
      <c r="U88" s="225"/>
      <c r="V88" s="225"/>
      <c r="W88" s="225"/>
      <c r="X88" s="191"/>
    </row>
    <row r="89" customFormat="false" ht="15.75" hidden="false" customHeight="true" outlineLevel="0" collapsed="false">
      <c r="B89" s="226" t="s">
        <v>79</v>
      </c>
      <c r="C89" s="227"/>
      <c r="D89" s="228" t="n">
        <f aca="false">C44</f>
        <v>-23113300</v>
      </c>
      <c r="E89" s="227"/>
      <c r="F89" s="227"/>
      <c r="G89" s="227"/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9"/>
    </row>
    <row r="90" customFormat="false" ht="15.75" hidden="false" customHeight="true" outlineLevel="0" collapsed="false">
      <c r="B90" s="220"/>
      <c r="C90" s="220"/>
      <c r="D90" s="220"/>
      <c r="E90" s="220"/>
      <c r="F90" s="225"/>
      <c r="G90" s="225"/>
      <c r="H90" s="225"/>
      <c r="I90" s="225"/>
      <c r="J90" s="225"/>
      <c r="K90" s="225"/>
      <c r="L90" s="225"/>
      <c r="M90" s="225"/>
      <c r="N90" s="225"/>
      <c r="O90" s="225"/>
      <c r="P90" s="225"/>
      <c r="Q90" s="225"/>
      <c r="R90" s="225"/>
      <c r="S90" s="225"/>
      <c r="T90" s="225"/>
      <c r="U90" s="225"/>
      <c r="V90" s="225"/>
      <c r="W90" s="225"/>
      <c r="X90" s="191"/>
    </row>
    <row r="91" customFormat="false" ht="15.75" hidden="false" customHeight="true" outlineLevel="0" collapsed="false">
      <c r="B91" s="220"/>
      <c r="C91" s="220"/>
      <c r="D91" s="220"/>
      <c r="E91" s="220"/>
      <c r="F91" s="225"/>
      <c r="G91" s="225"/>
      <c r="H91" s="225"/>
      <c r="I91" s="225"/>
      <c r="J91" s="225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191"/>
    </row>
    <row r="92" customFormat="false" ht="15.75" hidden="false" customHeight="true" outlineLevel="0" collapsed="false">
      <c r="B92" s="226" t="s">
        <v>80</v>
      </c>
      <c r="C92" s="227"/>
      <c r="D92" s="228" t="n">
        <f aca="false">-D89*D31</f>
        <v>18490640</v>
      </c>
      <c r="E92" s="227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191"/>
    </row>
    <row r="93" customFormat="false" ht="15.75" hidden="false" customHeight="true" outlineLevel="0" collapsed="false">
      <c r="B93" s="220" t="s">
        <v>81</v>
      </c>
      <c r="C93" s="220"/>
      <c r="D93" s="230"/>
      <c r="E93" s="230" t="n">
        <v>-1232709.33333333</v>
      </c>
      <c r="F93" s="230" t="n">
        <v>-1232709.33333333</v>
      </c>
      <c r="G93" s="230" t="n">
        <v>-1232709.33333333</v>
      </c>
      <c r="H93" s="230" t="n">
        <v>-1232709.33333333</v>
      </c>
      <c r="I93" s="230" t="n">
        <v>-1232709.33333333</v>
      </c>
      <c r="J93" s="230" t="n">
        <v>-1232709.33333333</v>
      </c>
      <c r="K93" s="230" t="n">
        <v>-1232709.33333333</v>
      </c>
      <c r="L93" s="230" t="n">
        <v>-1232709.33333333</v>
      </c>
      <c r="M93" s="230" t="n">
        <v>-1232709.33333333</v>
      </c>
      <c r="N93" s="230" t="n">
        <v>-1232709.33333333</v>
      </c>
      <c r="O93" s="230" t="n">
        <v>-1232709.33333333</v>
      </c>
      <c r="P93" s="230" t="n">
        <v>-1232709.33333333</v>
      </c>
      <c r="Q93" s="230" t="n">
        <v>-1232709.33333333</v>
      </c>
      <c r="R93" s="230" t="n">
        <v>-1232709.33333333</v>
      </c>
      <c r="S93" s="230" t="n">
        <v>-1232709.33333333</v>
      </c>
      <c r="T93" s="230" t="n">
        <v>0</v>
      </c>
      <c r="U93" s="230" t="n">
        <v>0</v>
      </c>
      <c r="V93" s="230" t="n">
        <v>0</v>
      </c>
      <c r="W93" s="230" t="n">
        <v>0</v>
      </c>
      <c r="X93" s="229"/>
    </row>
    <row r="94" customFormat="false" ht="15.75" hidden="false" customHeight="true" outlineLevel="0" collapsed="false">
      <c r="B94" s="220" t="s">
        <v>82</v>
      </c>
      <c r="C94" s="225"/>
      <c r="D94" s="221" t="n">
        <f aca="false">-D89*(1-D31)</f>
        <v>4622660</v>
      </c>
      <c r="E94" s="225"/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192"/>
    </row>
    <row r="95" customFormat="false" ht="15.75" hidden="false" customHeight="true" outlineLevel="0" collapsed="false">
      <c r="B95" s="220" t="s">
        <v>45</v>
      </c>
      <c r="C95" s="225"/>
      <c r="D95" s="225"/>
      <c r="E95" s="231" t="n">
        <f aca="false">-D85*$D$33</f>
        <v>-81060.9705331199</v>
      </c>
      <c r="F95" s="231" t="n">
        <f aca="false">-E85*$D$33</f>
        <v>334889.444211303</v>
      </c>
      <c r="G95" s="231" t="n">
        <f aca="false">-F85*$D$33</f>
        <v>316269.542742989</v>
      </c>
      <c r="H95" s="231" t="n">
        <f aca="false">-G85*$D$33</f>
        <v>297649.641274675</v>
      </c>
      <c r="I95" s="231" t="n">
        <f aca="false">-H85*$D$33</f>
        <v>279029.739806362</v>
      </c>
      <c r="J95" s="231" t="n">
        <f aca="false">-I85*$D$33</f>
        <v>260409.838338048</v>
      </c>
      <c r="K95" s="231" t="n">
        <f aca="false">-J85*$D$33</f>
        <v>241789.936869735</v>
      </c>
      <c r="L95" s="231" t="n">
        <f aca="false">-K85*$D$33</f>
        <v>223170.035401421</v>
      </c>
      <c r="M95" s="231" t="n">
        <f aca="false">-L85*$D$33</f>
        <v>204550.133933108</v>
      </c>
      <c r="N95" s="231" t="n">
        <f aca="false">-M85*$D$33</f>
        <v>185930.232464794</v>
      </c>
      <c r="O95" s="231" t="n">
        <f aca="false">-N85*$D$33</f>
        <v>135911.13099648</v>
      </c>
      <c r="P95" s="231" t="n">
        <f aca="false">-O85*$D$33</f>
        <v>117291.229528167</v>
      </c>
      <c r="Q95" s="231" t="n">
        <f aca="false">-P85*$D$33</f>
        <v>98671.3280598531</v>
      </c>
      <c r="R95" s="231" t="n">
        <f aca="false">-Q85*$D$33</f>
        <v>80051.4265915395</v>
      </c>
      <c r="S95" s="231" t="n">
        <f aca="false">-R85*$D$33</f>
        <v>61431.5251232259</v>
      </c>
      <c r="T95" s="231" t="n">
        <f aca="false">-S85*$D$33</f>
        <v>42811.6236549123</v>
      </c>
      <c r="U95" s="231" t="n">
        <f aca="false">-T85*$D$33</f>
        <v>46908.5828649989</v>
      </c>
      <c r="V95" s="231" t="n">
        <f aca="false">-U85*$D$33</f>
        <v>51005.5420750851</v>
      </c>
      <c r="W95" s="231" t="n">
        <f aca="false">-V85*$D$33</f>
        <v>55102.5012851716</v>
      </c>
      <c r="X95" s="231" t="n">
        <f aca="false">-W85*$D$33</f>
        <v>59199.4604952579</v>
      </c>
    </row>
    <row r="96" customFormat="false" ht="15.75" hidden="false" customHeight="true" outlineLevel="0" collapsed="false">
      <c r="B96" s="232" t="s">
        <v>47</v>
      </c>
      <c r="C96" s="233"/>
      <c r="D96" s="233" t="n">
        <v>0</v>
      </c>
      <c r="E96" s="234" t="n">
        <v>0</v>
      </c>
      <c r="F96" s="234" t="n">
        <v>0</v>
      </c>
      <c r="G96" s="234" t="n">
        <v>0</v>
      </c>
      <c r="H96" s="234" t="n">
        <v>0</v>
      </c>
      <c r="I96" s="234" t="n">
        <v>0</v>
      </c>
      <c r="J96" s="234" t="n">
        <v>0</v>
      </c>
      <c r="K96" s="234" t="n">
        <v>0</v>
      </c>
      <c r="L96" s="234" t="n">
        <v>0</v>
      </c>
      <c r="M96" s="234" t="n">
        <v>0</v>
      </c>
      <c r="N96" s="234" t="n">
        <v>0</v>
      </c>
      <c r="O96" s="234" t="n">
        <v>0</v>
      </c>
      <c r="P96" s="234" t="n">
        <v>0</v>
      </c>
      <c r="Q96" s="234" t="n">
        <v>0</v>
      </c>
      <c r="R96" s="234" t="n">
        <v>0</v>
      </c>
      <c r="S96" s="234" t="n">
        <v>0</v>
      </c>
      <c r="T96" s="234" t="n">
        <v>-1155665</v>
      </c>
      <c r="U96" s="234" t="n">
        <v>-1155665</v>
      </c>
      <c r="V96" s="234" t="n">
        <v>-1155665</v>
      </c>
      <c r="W96" s="234" t="n">
        <v>-1155665</v>
      </c>
      <c r="X96" s="235" t="n">
        <f aca="false">-W101-X95</f>
        <v>334556.880575997</v>
      </c>
    </row>
    <row r="97" customFormat="false" ht="15.75" hidden="false" customHeight="true" outlineLevel="0" collapsed="false">
      <c r="B97" s="225"/>
      <c r="C97" s="225"/>
      <c r="D97" s="225"/>
      <c r="E97" s="225"/>
      <c r="F97" s="22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192"/>
    </row>
    <row r="98" customFormat="false" ht="15.75" hidden="false" customHeight="true" outlineLevel="0" collapsed="false">
      <c r="B98" s="225"/>
      <c r="C98" s="225"/>
      <c r="D98" s="225"/>
      <c r="E98" s="225"/>
      <c r="F98" s="22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192"/>
    </row>
    <row r="99" customFormat="false" ht="15.75" hidden="false" customHeight="true" outlineLevel="0" collapsed="false">
      <c r="B99" s="220" t="s">
        <v>83</v>
      </c>
      <c r="C99" s="221" t="n">
        <v>0</v>
      </c>
      <c r="D99" s="221" t="n">
        <f aca="false">SUM(D87:D96)</f>
        <v>1245732.7450368</v>
      </c>
      <c r="E99" s="221" t="n">
        <f aca="false">SUM(E87:E96)</f>
        <v>-530204.686323456</v>
      </c>
      <c r="F99" s="221" t="n">
        <f aca="false">SUM(F87:F96)</f>
        <v>-93565.4921697957</v>
      </c>
      <c r="G99" s="221" t="n">
        <f aca="false">SUM(G87:G96)</f>
        <v>-91496.6142288724</v>
      </c>
      <c r="H99" s="221" t="n">
        <f aca="false">SUM(H87:H96)</f>
        <v>-89427.7362879487</v>
      </c>
      <c r="I99" s="221" t="n">
        <f aca="false">SUM(I87:I96)</f>
        <v>-87358.8583470249</v>
      </c>
      <c r="J99" s="221" t="n">
        <f aca="false">SUM(J87:J96)</f>
        <v>-85289.9804061009</v>
      </c>
      <c r="K99" s="221" t="n">
        <f aca="false">SUM(K87:K96)</f>
        <v>-83221.1024651774</v>
      </c>
      <c r="L99" s="221" t="n">
        <f aca="false">SUM(L87:L96)</f>
        <v>-81152.2245242537</v>
      </c>
      <c r="M99" s="221" t="n">
        <f aca="false">SUM(M87:M96)</f>
        <v>-79083.3465833299</v>
      </c>
      <c r="N99" s="221" t="n">
        <f aca="false">SUM(N87:N96)</f>
        <v>-42126.4686424061</v>
      </c>
      <c r="O99" s="221" t="n">
        <f aca="false">SUM(O87:O96)</f>
        <v>-71456.7907014824</v>
      </c>
      <c r="P99" s="221" t="n">
        <f aca="false">SUM(P87:P96)</f>
        <v>-69387.9127605586</v>
      </c>
      <c r="Q99" s="221" t="n">
        <f aca="false">SUM(Q87:Q96)</f>
        <v>-67319.0348196351</v>
      </c>
      <c r="R99" s="221" t="n">
        <f aca="false">SUM(R87:R96)</f>
        <v>-65250.1568787112</v>
      </c>
      <c r="S99" s="221" t="n">
        <f aca="false">SUM(S87:S96)</f>
        <v>-63181.2789377874</v>
      </c>
      <c r="T99" s="221" t="n">
        <f aca="false">SUM(T87:T96)</f>
        <v>-9309.02397286426</v>
      </c>
      <c r="U99" s="221" t="n">
        <f aca="false">SUM(U87:U96)</f>
        <v>-9764.24166287342</v>
      </c>
      <c r="V99" s="221" t="n">
        <f aca="false">SUM(V87:V96)</f>
        <v>-10219.4593528835</v>
      </c>
      <c r="W99" s="221" t="n">
        <f aca="false">SUM(W87:W96)</f>
        <v>-10674.6770428927</v>
      </c>
      <c r="X99" s="192"/>
    </row>
    <row r="100" customFormat="false" ht="15.75" hidden="false" customHeight="true" outlineLevel="0" collapsed="false">
      <c r="B100" s="220" t="s">
        <v>84</v>
      </c>
      <c r="C100" s="221" t="n">
        <v>0</v>
      </c>
      <c r="D100" s="221" t="n">
        <f aca="false">C101</f>
        <v>0</v>
      </c>
      <c r="E100" s="221" t="n">
        <f aca="false">D101</f>
        <v>1245732.7450368</v>
      </c>
      <c r="F100" s="221" t="n">
        <f aca="false">E101</f>
        <v>715528.058713343</v>
      </c>
      <c r="G100" s="221" t="n">
        <f aca="false">F101</f>
        <v>621962.566543547</v>
      </c>
      <c r="H100" s="221" t="n">
        <f aca="false">G101</f>
        <v>530465.952314675</v>
      </c>
      <c r="I100" s="221" t="n">
        <f aca="false">H101</f>
        <v>441038.216026726</v>
      </c>
      <c r="J100" s="221" t="n">
        <f aca="false">I101</f>
        <v>353679.357679702</v>
      </c>
      <c r="K100" s="221" t="n">
        <f aca="false">J101</f>
        <v>268389.377273601</v>
      </c>
      <c r="L100" s="221" t="n">
        <f aca="false">K101</f>
        <v>185168.274808423</v>
      </c>
      <c r="M100" s="221" t="n">
        <f aca="false">L101</f>
        <v>104016.05028417</v>
      </c>
      <c r="N100" s="221" t="n">
        <f aca="false">M101</f>
        <v>24932.7037008397</v>
      </c>
      <c r="O100" s="221" t="n">
        <f aca="false">N101</f>
        <v>-17193.7649415664</v>
      </c>
      <c r="P100" s="221" t="n">
        <f aca="false">O101</f>
        <v>-88650.5556430488</v>
      </c>
      <c r="Q100" s="221" t="n">
        <f aca="false">P101</f>
        <v>-158038.468403607</v>
      </c>
      <c r="R100" s="221" t="n">
        <f aca="false">Q101</f>
        <v>-225357.503223242</v>
      </c>
      <c r="S100" s="221" t="n">
        <f aca="false">R101</f>
        <v>-290607.660101954</v>
      </c>
      <c r="T100" s="221" t="n">
        <f aca="false">S101</f>
        <v>-353788.939039741</v>
      </c>
      <c r="U100" s="221" t="n">
        <f aca="false">T101</f>
        <v>-363097.963012605</v>
      </c>
      <c r="V100" s="221" t="n">
        <f aca="false">U101</f>
        <v>-372862.204675479</v>
      </c>
      <c r="W100" s="221" t="n">
        <f aca="false">V101</f>
        <v>-383081.664028362</v>
      </c>
      <c r="X100" s="191"/>
    </row>
    <row r="101" customFormat="false" ht="15.75" hidden="false" customHeight="true" outlineLevel="0" collapsed="false">
      <c r="B101" s="220" t="s">
        <v>85</v>
      </c>
      <c r="C101" s="221" t="n">
        <v>0</v>
      </c>
      <c r="D101" s="221" t="n">
        <f aca="false">D99+D100</f>
        <v>1245732.7450368</v>
      </c>
      <c r="E101" s="221" t="n">
        <f aca="false">E99+E100</f>
        <v>715528.058713343</v>
      </c>
      <c r="F101" s="221" t="n">
        <f aca="false">F99+F100</f>
        <v>621962.566543547</v>
      </c>
      <c r="G101" s="221" t="n">
        <f aca="false">G99+G100</f>
        <v>530465.952314675</v>
      </c>
      <c r="H101" s="221" t="n">
        <f aca="false">H99+H100</f>
        <v>441038.216026726</v>
      </c>
      <c r="I101" s="221" t="n">
        <f aca="false">I99+I100</f>
        <v>353679.357679702</v>
      </c>
      <c r="J101" s="221" t="n">
        <f aca="false">J99+J100</f>
        <v>268389.377273601</v>
      </c>
      <c r="K101" s="221" t="n">
        <f aca="false">K99+K100</f>
        <v>185168.274808423</v>
      </c>
      <c r="L101" s="221" t="n">
        <f aca="false">L99+L100</f>
        <v>104016.05028417</v>
      </c>
      <c r="M101" s="221" t="n">
        <f aca="false">M99+M100</f>
        <v>24932.7037008397</v>
      </c>
      <c r="N101" s="221" t="n">
        <f aca="false">N99+N100</f>
        <v>-17193.7649415664</v>
      </c>
      <c r="O101" s="221" t="n">
        <f aca="false">O99+O100</f>
        <v>-88650.5556430488</v>
      </c>
      <c r="P101" s="221" t="n">
        <f aca="false">P99+P100</f>
        <v>-158038.468403607</v>
      </c>
      <c r="Q101" s="221" t="n">
        <f aca="false">Q99+Q100</f>
        <v>-225357.503223242</v>
      </c>
      <c r="R101" s="221" t="n">
        <f aca="false">R99+R100</f>
        <v>-290607.660101954</v>
      </c>
      <c r="S101" s="221" t="n">
        <f aca="false">S99+S100</f>
        <v>-353788.939039741</v>
      </c>
      <c r="T101" s="221" t="n">
        <f aca="false">T99+T100</f>
        <v>-363097.963012605</v>
      </c>
      <c r="U101" s="221" t="n">
        <f aca="false">U99+U100</f>
        <v>-372862.204675479</v>
      </c>
      <c r="V101" s="221" t="n">
        <f aca="false">V99+V100</f>
        <v>-383081.664028362</v>
      </c>
      <c r="W101" s="221" t="n">
        <f aca="false">W99+W100</f>
        <v>-393756.341071255</v>
      </c>
      <c r="X101" s="191"/>
    </row>
    <row r="102" customFormat="false" ht="15.75" hidden="false" customHeight="true" outlineLevel="0" collapsed="false"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</row>
    <row r="103" customFormat="false" ht="15.75" hidden="false" customHeight="true" outlineLevel="0" collapsed="false">
      <c r="B103" s="220"/>
      <c r="C103" s="220"/>
      <c r="D103" s="220"/>
      <c r="E103" s="220"/>
      <c r="F103" s="225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</row>
    <row r="104" customFormat="false" ht="15.75" hidden="false" customHeight="true" outlineLevel="0" collapsed="false">
      <c r="B104" s="236" t="s">
        <v>86</v>
      </c>
      <c r="C104" s="237"/>
      <c r="D104" s="238" t="n">
        <f aca="false">-D94</f>
        <v>-4622660</v>
      </c>
      <c r="E104" s="224" t="n">
        <f aca="false">-E95-E96</f>
        <v>81060.9705331199</v>
      </c>
      <c r="F104" s="224" t="n">
        <f aca="false">-F95-F96</f>
        <v>-334889.444211303</v>
      </c>
      <c r="G104" s="224" t="n">
        <f aca="false">-G95-G96</f>
        <v>-316269.542742989</v>
      </c>
      <c r="H104" s="224" t="n">
        <f aca="false">-H95-H96</f>
        <v>-297649.641274675</v>
      </c>
      <c r="I104" s="224" t="n">
        <f aca="false">-I95-I96</f>
        <v>-279029.739806362</v>
      </c>
      <c r="J104" s="224" t="n">
        <f aca="false">-J95-J96</f>
        <v>-260409.838338048</v>
      </c>
      <c r="K104" s="224" t="n">
        <f aca="false">-K95-K96</f>
        <v>-241789.936869735</v>
      </c>
      <c r="L104" s="224" t="n">
        <f aca="false">-L95-L96</f>
        <v>-223170.035401421</v>
      </c>
      <c r="M104" s="224" t="n">
        <f aca="false">-M95-M96</f>
        <v>-204550.133933108</v>
      </c>
      <c r="N104" s="224" t="n">
        <f aca="false">-N95-N96</f>
        <v>-185930.232464794</v>
      </c>
      <c r="O104" s="224" t="n">
        <f aca="false">-O95-O96</f>
        <v>-135911.13099648</v>
      </c>
      <c r="P104" s="224" t="n">
        <f aca="false">-P95-P96</f>
        <v>-117291.229528167</v>
      </c>
      <c r="Q104" s="224" t="n">
        <f aca="false">-Q95-Q96</f>
        <v>-98671.3280598531</v>
      </c>
      <c r="R104" s="224" t="n">
        <f aca="false">-R95-R96</f>
        <v>-80051.4265915395</v>
      </c>
      <c r="S104" s="224" t="n">
        <f aca="false">-S95-S96</f>
        <v>-61431.5251232259</v>
      </c>
      <c r="T104" s="224" t="n">
        <f aca="false">-T95-T96</f>
        <v>1112853.37634509</v>
      </c>
      <c r="U104" s="224" t="n">
        <f aca="false">-U95-U96</f>
        <v>1108756.417135</v>
      </c>
      <c r="V104" s="224" t="n">
        <f aca="false">-V95-V96</f>
        <v>1104659.45792492</v>
      </c>
      <c r="W104" s="224" t="n">
        <f aca="false">-W95-W96</f>
        <v>1100562.49871483</v>
      </c>
      <c r="X104" s="224" t="n">
        <f aca="false">-X95-X96</f>
        <v>-393756.341071255</v>
      </c>
    </row>
    <row r="105" customFormat="false" ht="15.75" hidden="false" customHeight="true" outlineLevel="0" collapsed="false">
      <c r="B105" s="220" t="s">
        <v>87</v>
      </c>
      <c r="C105" s="239" t="e">
        <f aca="false">IRR(D104:X104)</f>
        <v>#N/A</v>
      </c>
      <c r="D105" s="225"/>
      <c r="E105" s="225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</row>
    <row r="106" customFormat="false" ht="15.75" hidden="false" customHeight="true" outlineLevel="0" collapsed="false">
      <c r="B106" s="236" t="s">
        <v>88</v>
      </c>
      <c r="C106" s="237"/>
      <c r="D106" s="238" t="n">
        <f aca="false">D85-D94</f>
        <v>-4532592.2549632</v>
      </c>
      <c r="E106" s="224" t="n">
        <f aca="false">E85</f>
        <v>-372099.382457003</v>
      </c>
      <c r="F106" s="224" t="n">
        <f aca="false">F85-F96</f>
        <v>-351410.603047765</v>
      </c>
      <c r="G106" s="224" t="n">
        <f aca="false">G85-G96</f>
        <v>-330721.823638528</v>
      </c>
      <c r="H106" s="224" t="n">
        <f aca="false">H85-H96</f>
        <v>-310033.044229291</v>
      </c>
      <c r="I106" s="224" t="n">
        <f aca="false">I85-I96</f>
        <v>-289344.264820054</v>
      </c>
      <c r="J106" s="224" t="n">
        <f aca="false">J85-J96</f>
        <v>-268655.485410816</v>
      </c>
      <c r="K106" s="224" t="n">
        <f aca="false">K85-K96</f>
        <v>-247966.706001579</v>
      </c>
      <c r="L106" s="224" t="n">
        <f aca="false">L85-L96</f>
        <v>-227277.926592342</v>
      </c>
      <c r="M106" s="224" t="n">
        <f aca="false">M85-M96</f>
        <v>-206589.147183104</v>
      </c>
      <c r="N106" s="224" t="n">
        <f aca="false">N85-N96</f>
        <v>-151012.367773867</v>
      </c>
      <c r="O106" s="224" t="n">
        <f aca="false">O85-O96</f>
        <v>-130323.58836463</v>
      </c>
      <c r="P106" s="224" t="n">
        <f aca="false">P85-P96</f>
        <v>-109634.808955392</v>
      </c>
      <c r="Q106" s="224" t="n">
        <f aca="false">Q85-Q96</f>
        <v>-88946.029546155</v>
      </c>
      <c r="R106" s="224" t="n">
        <f aca="false">R85-R96</f>
        <v>-68257.2501369177</v>
      </c>
      <c r="S106" s="224" t="n">
        <f aca="false">S85-S96</f>
        <v>-47568.4707276803</v>
      </c>
      <c r="T106" s="224" t="n">
        <f aca="false">T85-T96</f>
        <v>1103544.35237222</v>
      </c>
      <c r="U106" s="224" t="n">
        <f aca="false">U85-U96</f>
        <v>1098992.17547213</v>
      </c>
      <c r="V106" s="224" t="n">
        <f aca="false">V85-V96</f>
        <v>1094439.99857203</v>
      </c>
      <c r="W106" s="224" t="n">
        <f aca="false">W85-W96</f>
        <v>1089887.82167194</v>
      </c>
      <c r="X106" s="229"/>
    </row>
    <row r="107" customFormat="false" ht="15.75" hidden="false" customHeight="true" outlineLevel="0" collapsed="false">
      <c r="B107" s="236" t="s">
        <v>89</v>
      </c>
      <c r="C107" s="239" t="e">
        <f aca="false">IRR(D106:W106)</f>
        <v>#N/A</v>
      </c>
      <c r="D107" s="225"/>
      <c r="E107" s="225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</row>
    <row r="108" customFormat="false" ht="15.75" hidden="false" customHeight="true" outlineLevel="0" collapsed="false"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</row>
    <row r="109" customFormat="false" ht="15.75" hidden="false" customHeight="true" outlineLevel="0" collapsed="false">
      <c r="B109" s="220" t="s">
        <v>90</v>
      </c>
      <c r="C109" s="221" t="n">
        <v>0</v>
      </c>
      <c r="D109" s="221" t="n">
        <f aca="false">D92</f>
        <v>18490640</v>
      </c>
      <c r="E109" s="221" t="n">
        <f aca="false">D109+E93</f>
        <v>17257930.6666667</v>
      </c>
      <c r="F109" s="221" t="n">
        <f aca="false">E109+F93</f>
        <v>16025221.3333333</v>
      </c>
      <c r="G109" s="221" t="n">
        <f aca="false">F109+G93</f>
        <v>14792512</v>
      </c>
      <c r="H109" s="221" t="n">
        <f aca="false">G109+H93</f>
        <v>13559802.6666667</v>
      </c>
      <c r="I109" s="221" t="n">
        <f aca="false">H109+I93</f>
        <v>12327093.3333333</v>
      </c>
      <c r="J109" s="221" t="n">
        <f aca="false">I109+J93</f>
        <v>11094384</v>
      </c>
      <c r="K109" s="221" t="n">
        <f aca="false">J109+K93</f>
        <v>9861674.66666668</v>
      </c>
      <c r="L109" s="221" t="n">
        <f aca="false">K109+L93</f>
        <v>8628965.33333334</v>
      </c>
      <c r="M109" s="221" t="n">
        <f aca="false">L109+M93</f>
        <v>7396256.00000001</v>
      </c>
      <c r="N109" s="221" t="n">
        <f aca="false">M109+N93</f>
        <v>6163546.66666668</v>
      </c>
      <c r="O109" s="221" t="n">
        <f aca="false">N109+O93</f>
        <v>4930837.33333334</v>
      </c>
      <c r="P109" s="221" t="n">
        <f aca="false">O109+P93</f>
        <v>3698128.00000001</v>
      </c>
      <c r="Q109" s="221" t="n">
        <f aca="false">P109+Q93</f>
        <v>2465418.66666668</v>
      </c>
      <c r="R109" s="221" t="n">
        <f aca="false">Q109+R93</f>
        <v>1232709.33333335</v>
      </c>
      <c r="S109" s="221" t="n">
        <f aca="false">R109+S93</f>
        <v>1.21071934700012E-008</v>
      </c>
      <c r="T109" s="221" t="n">
        <f aca="false">S109+T93</f>
        <v>1.21071934700012E-008</v>
      </c>
      <c r="U109" s="221" t="n">
        <f aca="false">T109+U93</f>
        <v>1.21071934700012E-008</v>
      </c>
      <c r="V109" s="221" t="n">
        <f aca="false">U109+V93</f>
        <v>1.21071934700012E-008</v>
      </c>
      <c r="W109" s="221" t="n">
        <f aca="false">V109+W93</f>
        <v>1.21071934700012E-008</v>
      </c>
      <c r="X109" s="2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2" t="s">
        <v>0</v>
      </c>
      <c r="C1" s="124"/>
      <c r="D1" s="124"/>
      <c r="E1" s="125"/>
      <c r="F1" s="126" t="s">
        <v>108</v>
      </c>
      <c r="P1" s="127" t="n">
        <f aca="false">1-D11</f>
        <v>0.99</v>
      </c>
      <c r="Q1" s="127" t="n">
        <f aca="false">P1-$D12</f>
        <v>0.986</v>
      </c>
      <c r="R1" s="127" t="n">
        <f aca="false">Q1-$D12</f>
        <v>0.982</v>
      </c>
      <c r="S1" s="127" t="n">
        <f aca="false">R1-$D12</f>
        <v>0.978</v>
      </c>
      <c r="T1" s="127" t="n">
        <f aca="false">S1-$D12</f>
        <v>0.974</v>
      </c>
      <c r="U1" s="127" t="n">
        <f aca="false">T1-$D12</f>
        <v>0.97</v>
      </c>
      <c r="V1" s="127" t="n">
        <f aca="false">U1-$D12</f>
        <v>0.966</v>
      </c>
      <c r="W1" s="127" t="n">
        <f aca="false">V1-$D12</f>
        <v>0.962</v>
      </c>
      <c r="X1" s="127" t="n">
        <f aca="false">W1-$D12</f>
        <v>0.958</v>
      </c>
      <c r="Y1" s="127" t="n">
        <f aca="false">X1-$D12</f>
        <v>0.954</v>
      </c>
      <c r="Z1" s="127" t="n">
        <f aca="false">Y1-$D12</f>
        <v>0.95</v>
      </c>
      <c r="AA1" s="127" t="n">
        <f aca="false">Z1-$D12</f>
        <v>0.946</v>
      </c>
      <c r="AB1" s="127" t="n">
        <f aca="false">AA1-$D12</f>
        <v>0.942</v>
      </c>
      <c r="AC1" s="127" t="n">
        <f aca="false">AB1-$D12</f>
        <v>0.938</v>
      </c>
      <c r="AD1" s="127" t="n">
        <f aca="false">AC1-$D12</f>
        <v>0.934</v>
      </c>
      <c r="AE1" s="127" t="n">
        <f aca="false">AD1-$D12</f>
        <v>0.93</v>
      </c>
      <c r="AF1" s="127" t="n">
        <f aca="false">AE1-$D12</f>
        <v>0.926</v>
      </c>
      <c r="AG1" s="127" t="n">
        <f aca="false">AF1-$D12</f>
        <v>0.922</v>
      </c>
      <c r="AH1" s="127" t="n">
        <f aca="false">AG1-$D12</f>
        <v>0.918</v>
      </c>
      <c r="AI1" s="127" t="n">
        <f aca="false">AH1-$D12</f>
        <v>0.914</v>
      </c>
    </row>
    <row r="2" customFormat="false" ht="21.75" hidden="false" customHeight="true" outlineLevel="0" collapsed="false">
      <c r="B2" s="5" t="s">
        <v>1</v>
      </c>
      <c r="C2" s="128" t="s">
        <v>109</v>
      </c>
      <c r="D2" s="6" t="s">
        <v>3</v>
      </c>
      <c r="E2" s="129" t="s">
        <v>3</v>
      </c>
      <c r="F2" s="130" t="s">
        <v>110</v>
      </c>
    </row>
    <row r="3" customFormat="false" ht="21.75" hidden="false" customHeight="true" outlineLevel="0" collapsed="false">
      <c r="B3" s="32" t="s">
        <v>4</v>
      </c>
      <c r="C3" s="131" t="n">
        <v>20</v>
      </c>
      <c r="D3" s="9" t="s">
        <v>3</v>
      </c>
      <c r="E3" s="132" t="s">
        <v>3</v>
      </c>
      <c r="F3" s="133" t="s">
        <v>111</v>
      </c>
    </row>
    <row r="4" customFormat="false" ht="21.75" hidden="false" customHeight="true" outlineLevel="0" collapsed="false">
      <c r="B4" s="32" t="s">
        <v>112</v>
      </c>
      <c r="C4" s="131" t="n">
        <v>436.1</v>
      </c>
      <c r="D4" s="9" t="s">
        <v>3</v>
      </c>
      <c r="E4" s="132" t="s">
        <v>3</v>
      </c>
      <c r="F4" s="133" t="s">
        <v>113</v>
      </c>
      <c r="M4" s="0" t="s">
        <v>153</v>
      </c>
    </row>
    <row r="5" customFormat="false" ht="22.5" hidden="false" customHeight="true" outlineLevel="0" collapsed="false">
      <c r="B5" s="10" t="s">
        <v>6</v>
      </c>
      <c r="C5" s="131" t="n">
        <v>2023</v>
      </c>
      <c r="D5" s="10" t="s">
        <v>7</v>
      </c>
      <c r="E5" s="134" t="n">
        <v>2042</v>
      </c>
      <c r="F5" s="133" t="s">
        <v>115</v>
      </c>
      <c r="M5" s="0" t="s">
        <v>154</v>
      </c>
    </row>
    <row r="6" customFormat="false" ht="20.25" hidden="false" customHeight="true" outlineLevel="0" collapsed="false">
      <c r="B6" s="11"/>
      <c r="C6" s="11"/>
      <c r="D6" s="11"/>
      <c r="E6" s="11"/>
      <c r="M6" s="0" t="s">
        <v>155</v>
      </c>
    </row>
    <row r="7" customFormat="false" ht="22.5" hidden="false" customHeight="true" outlineLevel="0" collapsed="false">
      <c r="B7" s="12" t="s">
        <v>8</v>
      </c>
      <c r="C7" s="124"/>
      <c r="D7" s="124"/>
      <c r="E7" s="125"/>
      <c r="M7" s="0" t="s">
        <v>156</v>
      </c>
    </row>
    <row r="8" customFormat="false" ht="22.5" hidden="false" customHeight="true" outlineLevel="0" collapsed="false">
      <c r="B8" s="13" t="s">
        <v>9</v>
      </c>
      <c r="E8" s="135"/>
      <c r="M8" s="0" t="s">
        <v>157</v>
      </c>
    </row>
    <row r="9" customFormat="false" ht="22.5" hidden="false" customHeight="true" outlineLevel="0" collapsed="false">
      <c r="B9" s="14" t="s">
        <v>10</v>
      </c>
      <c r="C9" s="15" t="s">
        <v>11</v>
      </c>
      <c r="D9" s="15" t="s">
        <v>12</v>
      </c>
      <c r="E9" s="136" t="s">
        <v>13</v>
      </c>
      <c r="F9" s="126" t="s">
        <v>108</v>
      </c>
      <c r="M9" s="0" t="s">
        <v>120</v>
      </c>
    </row>
    <row r="10" customFormat="false" ht="30" hidden="false" customHeight="true" outlineLevel="0" collapsed="false">
      <c r="B10" s="17" t="s">
        <v>14</v>
      </c>
      <c r="C10" s="18" t="s">
        <v>121</v>
      </c>
      <c r="D10" s="137" t="n">
        <v>547002</v>
      </c>
      <c r="E10" s="138" t="n">
        <v>20</v>
      </c>
      <c r="F10" s="133" t="s">
        <v>122</v>
      </c>
      <c r="M10" s="0" t="s">
        <v>98</v>
      </c>
    </row>
    <row r="11" customFormat="false" ht="30" hidden="false" customHeight="true" outlineLevel="0" collapsed="false">
      <c r="B11" s="139"/>
      <c r="C11" s="10" t="s">
        <v>16</v>
      </c>
      <c r="D11" s="140" t="n">
        <v>0.01</v>
      </c>
      <c r="E11" s="141"/>
      <c r="F11" s="133" t="s">
        <v>124</v>
      </c>
    </row>
    <row r="12" customFormat="false" ht="30" hidden="false" customHeight="true" outlineLevel="0" collapsed="false">
      <c r="B12" s="139"/>
      <c r="C12" s="10" t="s">
        <v>17</v>
      </c>
      <c r="D12" s="142" t="n">
        <v>0.004</v>
      </c>
      <c r="E12" s="141"/>
      <c r="F12" s="133" t="s">
        <v>125</v>
      </c>
    </row>
    <row r="13" customFormat="false" ht="22.5" hidden="false" customHeight="true" outlineLevel="0" collapsed="false">
      <c r="B13" s="139"/>
      <c r="C13" s="21" t="s">
        <v>126</v>
      </c>
      <c r="D13" s="143" t="n">
        <v>3.7152</v>
      </c>
      <c r="E13" s="141"/>
      <c r="F13" s="133" t="s">
        <v>127</v>
      </c>
    </row>
    <row r="14" customFormat="false" ht="22.5" hidden="false" customHeight="true" outlineLevel="0" collapsed="false">
      <c r="B14" s="22" t="s">
        <v>19</v>
      </c>
      <c r="C14" s="124"/>
      <c r="D14" s="124"/>
      <c r="E14" s="125"/>
    </row>
    <row r="15" customFormat="false" ht="22.5" hidden="false" customHeight="true" outlineLevel="0" collapsed="false">
      <c r="B15" s="14" t="s">
        <v>10</v>
      </c>
      <c r="C15" s="15" t="s">
        <v>11</v>
      </c>
      <c r="D15" s="15" t="s">
        <v>12</v>
      </c>
      <c r="E15" s="136" t="s">
        <v>20</v>
      </c>
      <c r="F15" s="126" t="s">
        <v>108</v>
      </c>
    </row>
    <row r="16" customFormat="false" ht="21.75" hidden="false" customHeight="true" outlineLevel="0" collapsed="false">
      <c r="B16" s="18" t="s">
        <v>128</v>
      </c>
      <c r="C16" s="18" t="s">
        <v>129</v>
      </c>
      <c r="D16" s="144" t="n">
        <v>38000</v>
      </c>
      <c r="E16" s="129" t="n">
        <v>20</v>
      </c>
      <c r="F16" s="133" t="s">
        <v>130</v>
      </c>
    </row>
    <row r="17" customFormat="false" ht="21.75" hidden="false" customHeight="true" outlineLevel="0" collapsed="false">
      <c r="B17" s="139"/>
      <c r="C17" s="10" t="s">
        <v>131</v>
      </c>
      <c r="D17" s="145" t="n">
        <v>0.2</v>
      </c>
      <c r="E17" s="141"/>
      <c r="F17" s="133" t="s">
        <v>132</v>
      </c>
    </row>
    <row r="18" customFormat="false" ht="21.75" hidden="false" customHeight="true" outlineLevel="0" collapsed="false">
      <c r="B18" s="146"/>
      <c r="C18" s="10" t="s">
        <v>24</v>
      </c>
      <c r="D18" s="147" t="n">
        <v>3000</v>
      </c>
      <c r="E18" s="148"/>
      <c r="F18" s="133" t="s">
        <v>133</v>
      </c>
    </row>
    <row r="19" customFormat="false" ht="54" hidden="false" customHeight="true" outlineLevel="0" collapsed="false">
      <c r="B19" s="10" t="s">
        <v>25</v>
      </c>
      <c r="C19" s="149" t="s">
        <v>134</v>
      </c>
      <c r="D19" s="145" t="n">
        <v>2</v>
      </c>
      <c r="E19" s="129" t="n">
        <v>20</v>
      </c>
      <c r="F19" s="133" t="s">
        <v>135</v>
      </c>
    </row>
    <row r="20" customFormat="false" ht="20.25" hidden="false" customHeight="true" outlineLevel="0" collapsed="false">
      <c r="B20" s="139"/>
      <c r="C20" s="26" t="s">
        <v>136</v>
      </c>
      <c r="D20" s="147" t="n">
        <v>0</v>
      </c>
      <c r="E20" s="129" t="n">
        <v>20</v>
      </c>
      <c r="F20" s="133" t="s">
        <v>137</v>
      </c>
    </row>
    <row r="21" customFormat="false" ht="30" hidden="false" customHeight="true" outlineLevel="0" collapsed="false">
      <c r="B21" s="146"/>
      <c r="C21" s="10" t="s">
        <v>138</v>
      </c>
      <c r="D21" s="145" t="n">
        <v>0.3</v>
      </c>
      <c r="E21" s="132" t="n">
        <v>20</v>
      </c>
      <c r="F21" s="133" t="s">
        <v>139</v>
      </c>
    </row>
    <row r="22" customFormat="false" ht="30" hidden="false" customHeight="true" outlineLevel="0" collapsed="false">
      <c r="B22" s="10" t="s">
        <v>29</v>
      </c>
      <c r="C22" s="10" t="s">
        <v>140</v>
      </c>
      <c r="D22" s="150" t="n">
        <v>400</v>
      </c>
      <c r="E22" s="132" t="n">
        <v>20</v>
      </c>
      <c r="F22" s="133" t="s">
        <v>141</v>
      </c>
    </row>
    <row r="23" customFormat="false" ht="30" hidden="false" customHeight="true" outlineLevel="0" collapsed="false">
      <c r="B23" s="10" t="s">
        <v>31</v>
      </c>
      <c r="C23" s="10" t="s">
        <v>32</v>
      </c>
      <c r="D23" s="145" t="n">
        <v>0.003</v>
      </c>
      <c r="E23" s="132" t="n">
        <v>20</v>
      </c>
      <c r="F23" s="133" t="s">
        <v>142</v>
      </c>
    </row>
    <row r="24" customFormat="false" ht="30" hidden="false" customHeight="true" outlineLevel="0" collapsed="false">
      <c r="B24" s="10" t="s">
        <v>33</v>
      </c>
      <c r="C24" s="10" t="s">
        <v>143</v>
      </c>
      <c r="D24" s="150" t="n">
        <v>1000</v>
      </c>
      <c r="E24" s="151" t="n">
        <v>10</v>
      </c>
      <c r="F24" s="133" t="s">
        <v>144</v>
      </c>
    </row>
    <row r="25" customFormat="false" ht="30" hidden="false" customHeight="true" outlineLevel="0" collapsed="false">
      <c r="B25" s="10" t="s">
        <v>35</v>
      </c>
      <c r="C25" s="10" t="s">
        <v>36</v>
      </c>
      <c r="D25" s="152" t="n">
        <v>0.025595</v>
      </c>
      <c r="E25" s="132" t="n">
        <v>20</v>
      </c>
      <c r="F25" s="133" t="s">
        <v>145</v>
      </c>
    </row>
    <row r="26" customFormat="false" ht="30" hidden="false" customHeight="true" outlineLevel="0" collapsed="false">
      <c r="B26" s="10" t="s">
        <v>37</v>
      </c>
      <c r="C26" s="10" t="s">
        <v>38</v>
      </c>
      <c r="D26" s="145" t="n">
        <v>0.2</v>
      </c>
      <c r="E26" s="132" t="n">
        <v>20</v>
      </c>
      <c r="F26" s="133" t="s">
        <v>146</v>
      </c>
    </row>
    <row r="27" customFormat="false" ht="20.25" hidden="false" customHeight="true" outlineLevel="0" collapsed="false">
      <c r="B27" s="11"/>
      <c r="C27" s="11"/>
      <c r="D27" s="11"/>
      <c r="E27" s="11"/>
    </row>
    <row r="28" customFormat="false" ht="20.25" hidden="false" customHeight="true" outlineLevel="0" collapsed="false">
      <c r="B28" s="11"/>
      <c r="C28" s="11"/>
      <c r="D28" s="11"/>
      <c r="E28" s="11"/>
    </row>
    <row r="29" customFormat="false" ht="22.5" hidden="false" customHeight="true" outlineLevel="0" collapsed="false">
      <c r="B29" s="12" t="s">
        <v>39</v>
      </c>
      <c r="C29" s="124"/>
      <c r="D29" s="125"/>
      <c r="E29" s="11"/>
    </row>
    <row r="30" customFormat="false" ht="22.5" hidden="false" customHeight="true" outlineLevel="0" collapsed="false">
      <c r="B30" s="14" t="s">
        <v>40</v>
      </c>
      <c r="C30" s="29" t="s">
        <v>11</v>
      </c>
      <c r="D30" s="30" t="s">
        <v>12</v>
      </c>
      <c r="E30" s="11"/>
      <c r="F30" s="126" t="s">
        <v>108</v>
      </c>
    </row>
    <row r="31" customFormat="false" ht="30" hidden="false" customHeight="true" outlineLevel="0" collapsed="false">
      <c r="B31" s="18" t="s">
        <v>41</v>
      </c>
      <c r="C31" s="5" t="s">
        <v>42</v>
      </c>
      <c r="D31" s="153" t="n">
        <v>0.8</v>
      </c>
      <c r="E31" s="11"/>
      <c r="F31" s="133" t="s">
        <v>147</v>
      </c>
    </row>
    <row r="32" customFormat="false" ht="18.75" hidden="false" customHeight="true" outlineLevel="0" collapsed="false">
      <c r="B32" s="18" t="s">
        <v>43</v>
      </c>
      <c r="C32" s="5" t="s">
        <v>44</v>
      </c>
      <c r="D32" s="153" t="n">
        <v>15</v>
      </c>
      <c r="E32" s="11"/>
      <c r="F32" s="133" t="s">
        <v>148</v>
      </c>
    </row>
    <row r="33" customFormat="false" ht="18.75" hidden="false" customHeight="true" outlineLevel="0" collapsed="false">
      <c r="B33" s="10" t="s">
        <v>45</v>
      </c>
      <c r="C33" s="32" t="s">
        <v>46</v>
      </c>
      <c r="D33" s="145" t="n">
        <v>0.9</v>
      </c>
      <c r="E33" s="11"/>
      <c r="F33" s="133" t="s">
        <v>149</v>
      </c>
    </row>
    <row r="34" customFormat="false" ht="30" hidden="false" customHeight="true" outlineLevel="0" collapsed="false">
      <c r="B34" s="10" t="s">
        <v>47</v>
      </c>
      <c r="C34" s="32" t="s">
        <v>44</v>
      </c>
      <c r="D34" s="145" t="n">
        <v>4</v>
      </c>
      <c r="E34" s="11"/>
      <c r="F34" s="133" t="s">
        <v>150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97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54" t="n">
        <v>0</v>
      </c>
      <c r="C38" s="155"/>
      <c r="D38" s="156"/>
      <c r="E38" s="156"/>
      <c r="F38" s="157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9"/>
      <c r="U38" s="158"/>
      <c r="V38" s="158"/>
      <c r="W38" s="158"/>
      <c r="X38" s="160"/>
    </row>
    <row r="39" customFormat="false" ht="18.75" hidden="false" customHeight="true" outlineLevel="0" collapsed="false">
      <c r="B39" s="161" t="s">
        <v>51</v>
      </c>
      <c r="C39" s="162" t="n">
        <v>0</v>
      </c>
      <c r="D39" s="163" t="n">
        <v>1</v>
      </c>
      <c r="E39" s="163" t="n">
        <v>2</v>
      </c>
      <c r="F39" s="163" t="n">
        <v>3</v>
      </c>
      <c r="G39" s="163" t="n">
        <v>4</v>
      </c>
      <c r="H39" s="163" t="n">
        <v>5</v>
      </c>
      <c r="I39" s="163" t="n">
        <v>6</v>
      </c>
      <c r="J39" s="163" t="n">
        <v>7</v>
      </c>
      <c r="K39" s="163" t="n">
        <v>8</v>
      </c>
      <c r="L39" s="163" t="n">
        <v>9</v>
      </c>
      <c r="M39" s="163" t="n">
        <v>10</v>
      </c>
      <c r="N39" s="163" t="n">
        <v>11</v>
      </c>
      <c r="O39" s="163" t="n">
        <v>12</v>
      </c>
      <c r="P39" s="163" t="n">
        <v>13</v>
      </c>
      <c r="Q39" s="163" t="n">
        <v>14</v>
      </c>
      <c r="R39" s="163" t="n">
        <v>15</v>
      </c>
      <c r="S39" s="163" t="n">
        <v>16</v>
      </c>
      <c r="T39" s="164" t="n">
        <v>17</v>
      </c>
      <c r="U39" s="163" t="n">
        <v>18</v>
      </c>
      <c r="V39" s="163" t="n">
        <v>19</v>
      </c>
      <c r="W39" s="163" t="n">
        <v>20</v>
      </c>
      <c r="X39" s="47"/>
    </row>
    <row r="40" customFormat="false" ht="18.75" hidden="false" customHeight="true" outlineLevel="0" collapsed="false">
      <c r="B40" s="165" t="s">
        <v>52</v>
      </c>
      <c r="C40" s="166" t="n">
        <v>0</v>
      </c>
      <c r="D40" s="167" t="n">
        <f aca="false">$D$10*P1</f>
        <v>541531.98</v>
      </c>
      <c r="E40" s="167" t="n">
        <f aca="false">$D$10*Q1</f>
        <v>539343.972</v>
      </c>
      <c r="F40" s="167" t="n">
        <f aca="false">$D$10*R1</f>
        <v>537155.964</v>
      </c>
      <c r="G40" s="167" t="n">
        <f aca="false">$D$10*S1</f>
        <v>534967.956</v>
      </c>
      <c r="H40" s="167" t="n">
        <f aca="false">$D$10*T1</f>
        <v>532779.948</v>
      </c>
      <c r="I40" s="167" t="n">
        <f aca="false">$D$10*U1</f>
        <v>530591.94</v>
      </c>
      <c r="J40" s="167" t="n">
        <f aca="false">$D$10*V1</f>
        <v>528403.932</v>
      </c>
      <c r="K40" s="167" t="n">
        <f aca="false">$D$10*W1</f>
        <v>526215.924</v>
      </c>
      <c r="L40" s="167" t="n">
        <f aca="false">$D$10*X1</f>
        <v>524027.916</v>
      </c>
      <c r="M40" s="167" t="n">
        <f aca="false">$D$10*Y1</f>
        <v>521839.908</v>
      </c>
      <c r="N40" s="167" t="n">
        <f aca="false">$D$10*Z1</f>
        <v>519651.9</v>
      </c>
      <c r="O40" s="167" t="n">
        <f aca="false">$D$10*AA1</f>
        <v>517463.892</v>
      </c>
      <c r="P40" s="167" t="n">
        <f aca="false">$D$10*AB1</f>
        <v>515275.884</v>
      </c>
      <c r="Q40" s="167" t="n">
        <f aca="false">$D$10*AC1</f>
        <v>513087.876</v>
      </c>
      <c r="R40" s="167" t="n">
        <f aca="false">$D$10*AD1</f>
        <v>510899.868</v>
      </c>
      <c r="S40" s="167" t="n">
        <f aca="false">$D$10*AE1</f>
        <v>508711.86</v>
      </c>
      <c r="T40" s="167" t="n">
        <f aca="false">$D$10*AF1</f>
        <v>506523.852</v>
      </c>
      <c r="U40" s="167" t="n">
        <f aca="false">$D$10*AG1</f>
        <v>504335.844</v>
      </c>
      <c r="V40" s="167" t="n">
        <f aca="false">$D$10*AH1</f>
        <v>502147.836</v>
      </c>
      <c r="W40" s="167" t="n">
        <f aca="false">$D$10*AI1</f>
        <v>499959.828</v>
      </c>
      <c r="X40" s="168"/>
    </row>
    <row r="41" customFormat="false" ht="18.75" hidden="false" customHeight="true" outlineLevel="0" collapsed="false">
      <c r="B41" s="169" t="s">
        <v>53</v>
      </c>
      <c r="C41" s="170" t="s">
        <v>3</v>
      </c>
      <c r="D41" s="171" t="n">
        <f aca="false">D40*$D$13</f>
        <v>2011899.612096</v>
      </c>
      <c r="E41" s="171" t="n">
        <f aca="false">E40*$D$13</f>
        <v>2003770.7247744</v>
      </c>
      <c r="F41" s="171" t="n">
        <f aca="false">F40*$D$13</f>
        <v>1995641.8374528</v>
      </c>
      <c r="G41" s="171" t="n">
        <f aca="false">G40*$D$13</f>
        <v>1987512.9501312</v>
      </c>
      <c r="H41" s="171" t="n">
        <f aca="false">H40*$D$13</f>
        <v>1979384.0628096</v>
      </c>
      <c r="I41" s="171" t="n">
        <f aca="false">I40*$D$13</f>
        <v>1971255.175488</v>
      </c>
      <c r="J41" s="171" t="n">
        <f aca="false">J40*$D$13</f>
        <v>1963126.2881664</v>
      </c>
      <c r="K41" s="171" t="n">
        <f aca="false">K40*$D$13</f>
        <v>1954997.4008448</v>
      </c>
      <c r="L41" s="171" t="n">
        <f aca="false">L40*$D$13</f>
        <v>1946868.5135232</v>
      </c>
      <c r="M41" s="171" t="n">
        <f aca="false">M40*$D$13</f>
        <v>1938739.6262016</v>
      </c>
      <c r="N41" s="171" t="n">
        <f aca="false">N40*$D$13</f>
        <v>1930610.73888</v>
      </c>
      <c r="O41" s="171" t="n">
        <f aca="false">O40*$D$13</f>
        <v>1922481.8515584</v>
      </c>
      <c r="P41" s="171" t="n">
        <f aca="false">P40*$D$13</f>
        <v>1914352.9642368</v>
      </c>
      <c r="Q41" s="171" t="n">
        <f aca="false">Q40*$D$13</f>
        <v>1906224.0769152</v>
      </c>
      <c r="R41" s="171" t="n">
        <f aca="false">R40*$D$13</f>
        <v>1898095.1895936</v>
      </c>
      <c r="S41" s="171" t="n">
        <f aca="false">S40*$D$13</f>
        <v>1889966.302272</v>
      </c>
      <c r="T41" s="171" t="n">
        <f aca="false">T40*$D$13</f>
        <v>1881837.4149504</v>
      </c>
      <c r="U41" s="171" t="n">
        <f aca="false">U40*$D$13</f>
        <v>1873708.5276288</v>
      </c>
      <c r="V41" s="171" t="n">
        <f aca="false">V40*$D$13</f>
        <v>1865579.6403072</v>
      </c>
      <c r="W41" s="171" t="n">
        <f aca="false">W40*$D$13</f>
        <v>1857450.7529856</v>
      </c>
      <c r="X41" s="172"/>
    </row>
    <row r="42" customFormat="false" ht="18.75" hidden="false" customHeight="true" outlineLevel="0" collapsed="false">
      <c r="B42" s="173" t="s">
        <v>54</v>
      </c>
      <c r="C42" s="174" t="s">
        <v>3</v>
      </c>
      <c r="D42" s="175"/>
      <c r="E42" s="175"/>
      <c r="F42" s="175"/>
      <c r="G42" s="176" t="s">
        <v>3</v>
      </c>
      <c r="H42" s="176" t="s">
        <v>3</v>
      </c>
      <c r="I42" s="176" t="s">
        <v>3</v>
      </c>
      <c r="J42" s="176" t="s">
        <v>3</v>
      </c>
      <c r="K42" s="176" t="s">
        <v>3</v>
      </c>
      <c r="L42" s="176" t="s">
        <v>3</v>
      </c>
      <c r="M42" s="176" t="s">
        <v>3</v>
      </c>
      <c r="N42" s="176" t="s">
        <v>3</v>
      </c>
      <c r="O42" s="176" t="s">
        <v>3</v>
      </c>
      <c r="P42" s="176" t="s">
        <v>3</v>
      </c>
      <c r="Q42" s="176" t="s">
        <v>3</v>
      </c>
      <c r="R42" s="176" t="s">
        <v>3</v>
      </c>
      <c r="S42" s="176" t="s">
        <v>3</v>
      </c>
      <c r="T42" s="176" t="s">
        <v>3</v>
      </c>
      <c r="U42" s="176" t="s">
        <v>3</v>
      </c>
      <c r="V42" s="176" t="s">
        <v>3</v>
      </c>
      <c r="W42" s="176" t="s">
        <v>3</v>
      </c>
      <c r="X42" s="177"/>
    </row>
    <row r="43" customFormat="false" ht="18.75" hidden="false" customHeight="true" outlineLevel="0" collapsed="false">
      <c r="B43" s="178" t="s">
        <v>55</v>
      </c>
      <c r="C43" s="179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customFormat="false" ht="18.75" hidden="false" customHeight="true" outlineLevel="0" collapsed="false">
      <c r="B44" s="182" t="s">
        <v>56</v>
      </c>
      <c r="C44" s="183" t="n">
        <f aca="false">-(D16/(1-D17)+D18)*C4</f>
        <v>-22023050</v>
      </c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</row>
    <row r="45" customFormat="false" ht="18.75" hidden="false" customHeight="true" outlineLevel="0" collapsed="false">
      <c r="B45" s="182" t="s">
        <v>57</v>
      </c>
      <c r="C45" s="174" t="s">
        <v>3</v>
      </c>
      <c r="D45" s="0" t="n">
        <v>-603569.8836288</v>
      </c>
      <c r="E45" s="184" t="n">
        <v>-601131.21743232</v>
      </c>
      <c r="F45" s="184" t="n">
        <v>-598692.55123584</v>
      </c>
      <c r="G45" s="184" t="n">
        <v>-596253.88503936</v>
      </c>
      <c r="H45" s="184" t="n">
        <v>-593815.21884288</v>
      </c>
      <c r="I45" s="184" t="n">
        <v>-591376.5526464</v>
      </c>
      <c r="J45" s="184" t="n">
        <v>-588937.88644992</v>
      </c>
      <c r="K45" s="184" t="n">
        <v>-586499.22025344</v>
      </c>
      <c r="L45" s="184" t="n">
        <v>-584060.55405696</v>
      </c>
      <c r="M45" s="184" t="n">
        <v>-581621.88786048</v>
      </c>
      <c r="N45" s="184" t="n">
        <v>-579183.221664</v>
      </c>
      <c r="O45" s="184" t="n">
        <v>-576744.55546752</v>
      </c>
      <c r="P45" s="184" t="n">
        <v>-574305.88927104</v>
      </c>
      <c r="Q45" s="184" t="n">
        <v>-571867.22307456</v>
      </c>
      <c r="R45" s="184" t="n">
        <v>-569428.55687808</v>
      </c>
      <c r="S45" s="184" t="n">
        <v>-566989.8906816</v>
      </c>
      <c r="T45" s="184" t="n">
        <v>-564551.22448512</v>
      </c>
      <c r="U45" s="184" t="n">
        <v>-562112.55828864</v>
      </c>
      <c r="V45" s="184" t="n">
        <v>-559673.89209216</v>
      </c>
      <c r="W45" s="184" t="n">
        <v>-557235.22589568</v>
      </c>
      <c r="X45" s="184"/>
    </row>
    <row r="46" customFormat="false" ht="18.75" hidden="false" customHeight="true" outlineLevel="0" collapsed="false">
      <c r="B46" s="182" t="s">
        <v>58</v>
      </c>
      <c r="C46" s="17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</row>
    <row r="47" customFormat="false" ht="18.75" hidden="false" customHeight="true" outlineLevel="0" collapsed="false">
      <c r="B47" s="182" t="s">
        <v>59</v>
      </c>
      <c r="C47" s="174" t="s">
        <v>3</v>
      </c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</row>
    <row r="48" customFormat="false" ht="18.75" hidden="false" customHeight="true" outlineLevel="0" collapsed="false">
      <c r="B48" s="182" t="s">
        <v>60</v>
      </c>
      <c r="C48" s="174" t="s">
        <v>3</v>
      </c>
      <c r="D48" s="184" t="n">
        <v>-174440</v>
      </c>
      <c r="E48" s="184" t="n">
        <v>-174440</v>
      </c>
      <c r="F48" s="184" t="n">
        <v>-174440</v>
      </c>
      <c r="G48" s="184" t="n">
        <v>-174440</v>
      </c>
      <c r="H48" s="184" t="n">
        <v>-174440</v>
      </c>
      <c r="I48" s="184" t="n">
        <v>-174440</v>
      </c>
      <c r="J48" s="184" t="n">
        <v>-174440</v>
      </c>
      <c r="K48" s="184" t="n">
        <v>-174440</v>
      </c>
      <c r="L48" s="184" t="n">
        <v>-174440</v>
      </c>
      <c r="M48" s="184" t="n">
        <v>-174440</v>
      </c>
      <c r="N48" s="184" t="n">
        <v>-174440</v>
      </c>
      <c r="O48" s="184" t="n">
        <v>-174440</v>
      </c>
      <c r="P48" s="184" t="n">
        <v>-174440</v>
      </c>
      <c r="Q48" s="184" t="n">
        <v>-174440</v>
      </c>
      <c r="R48" s="184" t="n">
        <v>-174440</v>
      </c>
      <c r="S48" s="184" t="n">
        <v>-174440</v>
      </c>
      <c r="T48" s="184" t="n">
        <v>-174440</v>
      </c>
      <c r="U48" s="184" t="n">
        <v>-174440</v>
      </c>
      <c r="V48" s="184" t="n">
        <v>-174440</v>
      </c>
      <c r="W48" s="184" t="n">
        <v>-174440</v>
      </c>
      <c r="X48" s="184"/>
    </row>
    <row r="49" customFormat="false" ht="18.75" hidden="false" customHeight="true" outlineLevel="0" collapsed="false">
      <c r="B49" s="182" t="s">
        <v>61</v>
      </c>
      <c r="C49" s="174" t="s">
        <v>3</v>
      </c>
      <c r="D49" s="184" t="n">
        <v>-49715.4</v>
      </c>
      <c r="E49" s="184" t="n">
        <v>-49715.4</v>
      </c>
      <c r="F49" s="184" t="n">
        <v>-49715.4</v>
      </c>
      <c r="G49" s="184" t="n">
        <v>-49715.4</v>
      </c>
      <c r="H49" s="184" t="n">
        <v>-49715.4</v>
      </c>
      <c r="I49" s="184" t="n">
        <v>-49715.4</v>
      </c>
      <c r="J49" s="184" t="n">
        <v>-49715.4</v>
      </c>
      <c r="K49" s="184" t="n">
        <v>-49715.4</v>
      </c>
      <c r="L49" s="184" t="n">
        <v>-49715.4</v>
      </c>
      <c r="M49" s="184" t="n">
        <v>-49715.4</v>
      </c>
      <c r="N49" s="184" t="n">
        <v>-49715.4</v>
      </c>
      <c r="O49" s="184" t="n">
        <v>-49715.4</v>
      </c>
      <c r="P49" s="184" t="n">
        <v>-49715.4</v>
      </c>
      <c r="Q49" s="184" t="n">
        <v>-49715.4</v>
      </c>
      <c r="R49" s="184" t="n">
        <v>-49715.4</v>
      </c>
      <c r="S49" s="184" t="n">
        <v>-49715.4</v>
      </c>
      <c r="T49" s="184" t="n">
        <v>-49715.4</v>
      </c>
      <c r="U49" s="184" t="n">
        <v>-49715.4</v>
      </c>
      <c r="V49" s="184" t="n">
        <v>-49715.4</v>
      </c>
      <c r="W49" s="184" t="n">
        <v>-49715.4</v>
      </c>
      <c r="X49" s="184"/>
    </row>
    <row r="50" customFormat="false" ht="18.75" hidden="false" customHeight="true" outlineLevel="0" collapsed="false">
      <c r="B50" s="182" t="s">
        <v>62</v>
      </c>
      <c r="C50" s="174"/>
      <c r="D50" s="184" t="n">
        <v>-43610</v>
      </c>
      <c r="E50" s="184" t="n">
        <v>-43610</v>
      </c>
      <c r="F50" s="184" t="n">
        <v>-43610</v>
      </c>
      <c r="G50" s="184" t="n">
        <v>-43610</v>
      </c>
      <c r="H50" s="184" t="n">
        <v>-43610</v>
      </c>
      <c r="I50" s="184" t="n">
        <v>-43610</v>
      </c>
      <c r="J50" s="184" t="n">
        <v>-43610</v>
      </c>
      <c r="K50" s="184" t="n">
        <v>-43610</v>
      </c>
      <c r="L50" s="184" t="n">
        <v>-43610</v>
      </c>
      <c r="M50" s="184" t="n">
        <v>-43610</v>
      </c>
      <c r="N50" s="184" t="n">
        <v>0</v>
      </c>
      <c r="O50" s="184" t="n">
        <v>0</v>
      </c>
      <c r="P50" s="184" t="n">
        <v>0</v>
      </c>
      <c r="Q50" s="184" t="n">
        <v>0</v>
      </c>
      <c r="R50" s="184" t="n">
        <v>0</v>
      </c>
      <c r="S50" s="184" t="n">
        <v>0</v>
      </c>
      <c r="T50" s="184" t="n">
        <v>0</v>
      </c>
      <c r="U50" s="184" t="n">
        <v>0</v>
      </c>
      <c r="V50" s="184" t="n">
        <v>0</v>
      </c>
      <c r="W50" s="184" t="n">
        <v>0</v>
      </c>
      <c r="X50" s="184"/>
    </row>
    <row r="51" customFormat="false" ht="18.75" hidden="false" customHeight="true" outlineLevel="0" collapsed="false">
      <c r="B51" s="182" t="s">
        <v>63</v>
      </c>
      <c r="C51" s="185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</row>
    <row r="52" customFormat="false" ht="18.75" hidden="false" customHeight="true" outlineLevel="0" collapsed="false">
      <c r="B52" s="182" t="s">
        <v>64</v>
      </c>
      <c r="C52" s="185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</row>
    <row r="53" customFormat="false" ht="18.75" hidden="false" customHeight="true" outlineLevel="0" collapsed="false">
      <c r="B53" s="186" t="s">
        <v>65</v>
      </c>
      <c r="C53" s="185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</row>
    <row r="54" customFormat="false" ht="18.75" hidden="false" customHeight="true" outlineLevel="0" collapsed="false">
      <c r="B54" s="186" t="s">
        <v>66</v>
      </c>
      <c r="C54" s="185"/>
      <c r="D54" s="184" t="n">
        <f aca="false">-(D64+D67+D68+D71+D72+D73+D74)*0.2</f>
        <v>-128596.3424192</v>
      </c>
      <c r="E54" s="184" t="n">
        <f aca="false">-(E64+E67+E68+E71+E72+E73+E74)*0.2</f>
        <v>-6744.32146841596</v>
      </c>
      <c r="F54" s="184" t="n">
        <f aca="false">-(F64+F67+F68+F71+F72+F73+F74)*0.2</f>
        <v>-5606.27724339201</v>
      </c>
      <c r="G54" s="184" t="n">
        <f aca="false">-(G64+G67+G68+G71+G72+G73+G74)*0.2</f>
        <v>-4468.233018368</v>
      </c>
      <c r="H54" s="184" t="n">
        <f aca="false">-(H64+H67+H68+H71+H72+H73+H74)*0.2</f>
        <v>-3330.18879334396</v>
      </c>
      <c r="I54" s="184" t="n">
        <f aca="false">-(I64+I67+I68+I71+I72+I73+I74)*0.2</f>
        <v>-2192.14456831995</v>
      </c>
      <c r="J54" s="184" t="n">
        <f aca="false">-(J64+J67+J68+J71+J72+J73+J74)*0.2</f>
        <v>-1054.10034329601</v>
      </c>
      <c r="K54" s="184" t="n">
        <f aca="false">-(K64+K67+K68+K71+K72+K73+K74)*0.2</f>
        <v>83.9438817280301</v>
      </c>
      <c r="L54" s="184" t="n">
        <f aca="false">-(L64+L67+L68+L71+L72+L73+L74)*0.2</f>
        <v>1221.98810675204</v>
      </c>
      <c r="M54" s="184" t="n">
        <f aca="false">-(M64+M67+M68+M71+M72+M73+M74)*0.2</f>
        <v>2360.03233177603</v>
      </c>
      <c r="N54" s="184" t="n">
        <f aca="false">-(N64+N67+N68+N71+N72+N73+N74)*0.2</f>
        <v>-5223.92344319998</v>
      </c>
      <c r="O54" s="184" t="n">
        <f aca="false">-(O64+O67+O68+O71+O72+O73+O74)*0.2</f>
        <v>-4085.87921817597</v>
      </c>
      <c r="P54" s="184" t="n">
        <f aca="false">-(P64+P67+P68+P71+P72+P73+P74)*0.2</f>
        <v>-2947.83499315198</v>
      </c>
      <c r="Q54" s="184" t="n">
        <f aca="false">-(Q64+Q67+Q68+Q71+Q72+Q73+Q74)*0.2</f>
        <v>-1809.79076812796</v>
      </c>
      <c r="R54" s="184" t="n">
        <f aca="false">-(R64+R67+R68+R71+R72+R73+R74)*0.2</f>
        <v>-671.746543103973</v>
      </c>
      <c r="S54" s="184" t="n">
        <f aca="false">-(S64+S67+S68+S71+S72+S73+S74)*0.2</f>
        <v>466.297681920017</v>
      </c>
      <c r="T54" s="184" t="n">
        <f aca="false">-(T64+T67+T68+T71+T72+T73+T74)*0.2</f>
        <v>1604.34190694408</v>
      </c>
      <c r="U54" s="184" t="n">
        <f aca="false">-(U64+U67+U68+U71+U72+U73+U74)*0.2</f>
        <v>2742.38613196802</v>
      </c>
      <c r="V54" s="184" t="n">
        <f aca="false">-(V64+V67+V68+V71+V72+V73+V74)*0.2</f>
        <v>3880.43035699206</v>
      </c>
      <c r="W54" s="184" t="n">
        <f aca="false">-(W64+W67+W68+W71+W72+W73+W74)*0.2</f>
        <v>5018.47458201602</v>
      </c>
      <c r="X54" s="175"/>
    </row>
    <row r="55" customFormat="false" ht="18.75" hidden="false" customHeight="true" outlineLevel="0" collapsed="false">
      <c r="B55" s="187" t="s">
        <v>67</v>
      </c>
      <c r="C55" s="188" t="n">
        <f aca="false">C44</f>
        <v>-22023050</v>
      </c>
      <c r="D55" s="189" t="n">
        <f aca="false">SUM(D41:D54)</f>
        <v>1011967.986048</v>
      </c>
      <c r="E55" s="189" t="n">
        <f aca="false">SUM(E41:E54)</f>
        <v>1128129.78587366</v>
      </c>
      <c r="F55" s="189" t="n">
        <f aca="false">SUM(F41:F54)</f>
        <v>1123577.60897357</v>
      </c>
      <c r="G55" s="189" t="n">
        <f aca="false">SUM(G41:G54)</f>
        <v>1119025.43207347</v>
      </c>
      <c r="H55" s="189" t="n">
        <f aca="false">SUM(H41:H54)</f>
        <v>1114473.25517338</v>
      </c>
      <c r="I55" s="189" t="n">
        <f aca="false">SUM(I41:I54)</f>
        <v>1109921.07827328</v>
      </c>
      <c r="J55" s="189" t="n">
        <f aca="false">SUM(J41:J54)</f>
        <v>1105368.90137318</v>
      </c>
      <c r="K55" s="189" t="n">
        <f aca="false">SUM(K41:K54)</f>
        <v>1100816.72447309</v>
      </c>
      <c r="L55" s="189" t="n">
        <f aca="false">SUM(L41:L54)</f>
        <v>1096264.54757299</v>
      </c>
      <c r="M55" s="189" t="n">
        <f aca="false">SUM(M41:M54)</f>
        <v>1091712.3706729</v>
      </c>
      <c r="N55" s="189" t="n">
        <f aca="false">SUM(N41:N54)</f>
        <v>1122048.1937728</v>
      </c>
      <c r="O55" s="189" t="n">
        <f aca="false">SUM(O41:O54)</f>
        <v>1117496.0168727</v>
      </c>
      <c r="P55" s="189" t="n">
        <f aca="false">SUM(P41:P54)</f>
        <v>1112943.83997261</v>
      </c>
      <c r="Q55" s="189" t="n">
        <f aca="false">SUM(Q41:Q54)</f>
        <v>1108391.66307251</v>
      </c>
      <c r="R55" s="189" t="n">
        <f aca="false">SUM(R41:R54)</f>
        <v>1103839.48617242</v>
      </c>
      <c r="S55" s="189" t="n">
        <f aca="false">SUM(S41:S54)</f>
        <v>1099287.30927232</v>
      </c>
      <c r="T55" s="189" t="n">
        <f aca="false">SUM(T41:T54)</f>
        <v>1094735.13237222</v>
      </c>
      <c r="U55" s="189" t="n">
        <f aca="false">SUM(U41:U54)</f>
        <v>1090182.95547213</v>
      </c>
      <c r="V55" s="189" t="n">
        <f aca="false">SUM(V41:V54)</f>
        <v>1085630.77857203</v>
      </c>
      <c r="W55" s="189" t="n">
        <f aca="false">SUM(W41:W54)</f>
        <v>1081078.60167194</v>
      </c>
      <c r="X55" s="190"/>
      <c r="Y55" s="191"/>
      <c r="Z55" s="192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</row>
    <row r="56" customFormat="false" ht="18.75" hidden="false" customHeight="true" outlineLevel="0" collapsed="false">
      <c r="B56" s="193" t="s">
        <v>68</v>
      </c>
      <c r="D56" s="194" t="n">
        <f aca="false">C55+D55</f>
        <v>-21011082.013952</v>
      </c>
      <c r="E56" s="194" t="n">
        <f aca="false">D56+E55</f>
        <v>-19882952.2280783</v>
      </c>
      <c r="F56" s="194" t="n">
        <f aca="false">E56+F55</f>
        <v>-18759374.6191048</v>
      </c>
      <c r="G56" s="194" t="n">
        <f aca="false">F56+G55</f>
        <v>-17640349.1870313</v>
      </c>
      <c r="H56" s="194" t="n">
        <f aca="false">G56+H55</f>
        <v>-16525875.9318579</v>
      </c>
      <c r="I56" s="194" t="n">
        <f aca="false">H56+I55</f>
        <v>-15415954.8535846</v>
      </c>
      <c r="J56" s="194" t="n">
        <f aca="false">I56+J55</f>
        <v>-14310585.9522115</v>
      </c>
      <c r="K56" s="194" t="n">
        <f aca="false">J56+K55</f>
        <v>-13209769.2277384</v>
      </c>
      <c r="L56" s="194" t="n">
        <f aca="false">K56+L55</f>
        <v>-12113504.6801654</v>
      </c>
      <c r="M56" s="194" t="n">
        <f aca="false">L56+M55</f>
        <v>-11021792.3094925</v>
      </c>
      <c r="N56" s="194" t="n">
        <f aca="false">M56+N55</f>
        <v>-9899744.11571968</v>
      </c>
      <c r="O56" s="194" t="n">
        <f aca="false">N56+O55</f>
        <v>-8782248.09884698</v>
      </c>
      <c r="P56" s="194" t="n">
        <f aca="false">O56+P55</f>
        <v>-7669304.25887437</v>
      </c>
      <c r="Q56" s="194" t="n">
        <f aca="false">P56+Q55</f>
        <v>-6560912.59580186</v>
      </c>
      <c r="R56" s="194" t="n">
        <f aca="false">Q56+R55</f>
        <v>-5457073.10962945</v>
      </c>
      <c r="S56" s="194" t="n">
        <f aca="false">R56+S55</f>
        <v>-4357785.80035713</v>
      </c>
      <c r="T56" s="194" t="n">
        <f aca="false">S56+T55</f>
        <v>-3263050.6679849</v>
      </c>
      <c r="U56" s="194" t="n">
        <f aca="false">T56+U55</f>
        <v>-2172867.71251277</v>
      </c>
      <c r="V56" s="194" t="n">
        <f aca="false">U56+V55</f>
        <v>-1087236.93394074</v>
      </c>
      <c r="W56" s="194" t="n">
        <f aca="false">V56+W55</f>
        <v>-6158.33226880524</v>
      </c>
      <c r="X56" s="194" t="n">
        <f aca="false">W56+X55</f>
        <v>-6158.33226880524</v>
      </c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</row>
    <row r="57" customFormat="false" ht="18.75" hidden="false" customHeight="true" outlineLevel="0" collapsed="false">
      <c r="B57" s="195" t="s">
        <v>74</v>
      </c>
      <c r="C57" s="196"/>
      <c r="D57" s="197" t="str">
        <f aca="false">IF((D56)&gt;0,"回收","未回收")</f>
        <v>未回收</v>
      </c>
      <c r="E57" s="198" t="str">
        <f aca="false">IF((E56)&gt;0,"回收","未回收")</f>
        <v>未回收</v>
      </c>
      <c r="F57" s="198" t="str">
        <f aca="false">IF((F56)&gt;0,"回收","未回收")</f>
        <v>未回收</v>
      </c>
      <c r="G57" s="198" t="str">
        <f aca="false">IF((G56)&gt;0,"回收","未回收")</f>
        <v>未回收</v>
      </c>
      <c r="H57" s="198" t="str">
        <f aca="false">IF((H56)&gt;0,"回收","未回收")</f>
        <v>未回收</v>
      </c>
      <c r="I57" s="198" t="str">
        <f aca="false">IF((I56)&gt;0,"回收","未回收")</f>
        <v>未回收</v>
      </c>
      <c r="J57" s="198" t="str">
        <f aca="false">IF((J56)&gt;0,"回收","未回收")</f>
        <v>未回收</v>
      </c>
      <c r="K57" s="198" t="str">
        <f aca="false">IF((K56)&gt;0,"回收","未回收")</f>
        <v>未回收</v>
      </c>
      <c r="L57" s="198" t="str">
        <f aca="false">IF((L56)&gt;0,"回收","未回收")</f>
        <v>未回收</v>
      </c>
      <c r="M57" s="198" t="str">
        <f aca="false">IF((M56)&gt;0,"回收","未回收")</f>
        <v>未回收</v>
      </c>
      <c r="N57" s="198" t="str">
        <f aca="false">IF((N56)&gt;0,"回收","未回收")</f>
        <v>未回收</v>
      </c>
      <c r="O57" s="198" t="str">
        <f aca="false">IF((O56)&gt;0,"回收","未回收")</f>
        <v>未回收</v>
      </c>
      <c r="P57" s="198" t="str">
        <f aca="false">IF((P56)&gt;0,"回收","未回收")</f>
        <v>未回收</v>
      </c>
      <c r="Q57" s="198" t="str">
        <f aca="false">IF((Q56)&gt;0,"回收","未回收")</f>
        <v>未回收</v>
      </c>
      <c r="R57" s="198" t="str">
        <f aca="false">IF((R56)&gt;0,"回收","未回收")</f>
        <v>未回收</v>
      </c>
      <c r="S57" s="198" t="str">
        <f aca="false">IF((S56)&gt;0,"回收","未回收")</f>
        <v>未回收</v>
      </c>
      <c r="T57" s="198" t="str">
        <f aca="false">IF((T56)&gt;0,"回收","未回收")</f>
        <v>未回收</v>
      </c>
      <c r="U57" s="198" t="str">
        <f aca="false">IF((U56)&gt;0,"回收","未回收")</f>
        <v>未回收</v>
      </c>
      <c r="V57" s="198" t="str">
        <f aca="false">IF((V56)&gt;0,"回收","未回收")</f>
        <v>未回收</v>
      </c>
      <c r="W57" s="198" t="str">
        <f aca="false">IF((W56)&gt;0,"回收","未回收")</f>
        <v>未回收</v>
      </c>
      <c r="X57" s="198" t="str">
        <f aca="false">IF((X56)&gt;0,"回收","未回收")</f>
        <v>未回收</v>
      </c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</row>
    <row r="58" customFormat="false" ht="18.75" hidden="false" customHeight="true" outlineLevel="0" collapsed="false">
      <c r="B58" s="199" t="s">
        <v>93</v>
      </c>
      <c r="C58" s="200" t="n">
        <f aca="false">IRR(C55:W55)</f>
        <v>-2.66494792384728E-005</v>
      </c>
      <c r="D58" s="201"/>
      <c r="E58" s="201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customFormat="false" ht="18.75" hidden="false" customHeight="true" outlineLevel="0" collapsed="false">
      <c r="B59" s="202"/>
      <c r="C59" s="201"/>
      <c r="D59" s="201"/>
      <c r="E59" s="201"/>
      <c r="F59" s="202"/>
      <c r="G59" s="202"/>
      <c r="H59" s="202"/>
      <c r="I59" s="202"/>
      <c r="J59" s="202"/>
      <c r="K59" s="202"/>
      <c r="L59" s="202"/>
      <c r="M59" s="201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customFormat="false" ht="18.75" hidden="false" customHeight="true" outlineLevel="0" collapsed="false">
      <c r="B60" s="97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54" t="n">
        <v>0</v>
      </c>
      <c r="C61" s="155"/>
      <c r="D61" s="156"/>
      <c r="E61" s="156"/>
      <c r="F61" s="157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204" t="s">
        <v>50</v>
      </c>
      <c r="U61" s="158"/>
      <c r="V61" s="158"/>
      <c r="W61" s="158"/>
      <c r="X61" s="160"/>
    </row>
    <row r="62" customFormat="false" ht="18.75" hidden="false" customHeight="true" outlineLevel="0" collapsed="false">
      <c r="B62" s="161" t="s">
        <v>51</v>
      </c>
      <c r="C62" s="162" t="n">
        <v>0</v>
      </c>
      <c r="D62" s="163" t="n">
        <v>1</v>
      </c>
      <c r="E62" s="163" t="n">
        <v>2</v>
      </c>
      <c r="F62" s="163" t="n">
        <v>3</v>
      </c>
      <c r="G62" s="163" t="n">
        <v>4</v>
      </c>
      <c r="H62" s="163" t="n">
        <v>5</v>
      </c>
      <c r="I62" s="163" t="n">
        <v>6</v>
      </c>
      <c r="J62" s="163" t="n">
        <v>7</v>
      </c>
      <c r="K62" s="163" t="n">
        <v>8</v>
      </c>
      <c r="L62" s="163" t="n">
        <v>9</v>
      </c>
      <c r="M62" s="163" t="n">
        <v>10</v>
      </c>
      <c r="N62" s="163" t="n">
        <v>11</v>
      </c>
      <c r="O62" s="163" t="n">
        <v>12</v>
      </c>
      <c r="P62" s="163" t="n">
        <v>13</v>
      </c>
      <c r="Q62" s="163" t="n">
        <v>14</v>
      </c>
      <c r="R62" s="163" t="n">
        <v>15</v>
      </c>
      <c r="S62" s="163" t="n">
        <v>16</v>
      </c>
      <c r="T62" s="205" t="n">
        <v>17</v>
      </c>
      <c r="U62" s="163" t="n">
        <v>18</v>
      </c>
      <c r="V62" s="163" t="n">
        <v>19</v>
      </c>
      <c r="W62" s="163" t="n">
        <v>20</v>
      </c>
      <c r="X62" s="47"/>
    </row>
    <row r="63" customFormat="false" ht="18.75" hidden="false" customHeight="true" outlineLevel="0" collapsed="false">
      <c r="B63" s="165" t="s">
        <v>52</v>
      </c>
      <c r="C63" s="166" t="n">
        <v>0</v>
      </c>
      <c r="D63" s="167" t="n">
        <f aca="false">D40</f>
        <v>541531.98</v>
      </c>
      <c r="E63" s="167" t="n">
        <f aca="false">E40</f>
        <v>539343.972</v>
      </c>
      <c r="F63" s="167" t="n">
        <f aca="false">F40</f>
        <v>537155.964</v>
      </c>
      <c r="G63" s="167" t="n">
        <f aca="false">G40</f>
        <v>534967.956</v>
      </c>
      <c r="H63" s="167" t="n">
        <f aca="false">H40</f>
        <v>532779.948</v>
      </c>
      <c r="I63" s="167" t="n">
        <f aca="false">I40</f>
        <v>530591.94</v>
      </c>
      <c r="J63" s="167" t="n">
        <f aca="false">J40</f>
        <v>528403.932</v>
      </c>
      <c r="K63" s="167" t="n">
        <f aca="false">K40</f>
        <v>526215.924</v>
      </c>
      <c r="L63" s="167" t="n">
        <f aca="false">L40</f>
        <v>524027.916</v>
      </c>
      <c r="M63" s="167" t="n">
        <f aca="false">M40</f>
        <v>521839.908</v>
      </c>
      <c r="N63" s="167" t="n">
        <f aca="false">N40</f>
        <v>519651.9</v>
      </c>
      <c r="O63" s="167" t="n">
        <f aca="false">O40</f>
        <v>517463.892</v>
      </c>
      <c r="P63" s="167" t="n">
        <f aca="false">P40</f>
        <v>515275.884</v>
      </c>
      <c r="Q63" s="167" t="n">
        <f aca="false">Q40</f>
        <v>513087.876</v>
      </c>
      <c r="R63" s="167" t="n">
        <f aca="false">R40</f>
        <v>510899.868</v>
      </c>
      <c r="S63" s="167" t="n">
        <f aca="false">S40</f>
        <v>508711.86</v>
      </c>
      <c r="T63" s="167" t="n">
        <f aca="false">T40</f>
        <v>506523.852</v>
      </c>
      <c r="U63" s="167" t="n">
        <f aca="false">U40</f>
        <v>504335.844</v>
      </c>
      <c r="V63" s="167" t="n">
        <f aca="false">V40</f>
        <v>502147.836</v>
      </c>
      <c r="W63" s="167" t="n">
        <f aca="false">W40</f>
        <v>499959.828</v>
      </c>
      <c r="X63" s="168"/>
    </row>
    <row r="64" customFormat="false" ht="18.75" hidden="false" customHeight="true" outlineLevel="0" collapsed="false">
      <c r="B64" s="169" t="s">
        <v>53</v>
      </c>
      <c r="C64" s="170" t="s">
        <v>3</v>
      </c>
      <c r="D64" s="171" t="n">
        <f aca="false">D41</f>
        <v>2011899.612096</v>
      </c>
      <c r="E64" s="171" t="n">
        <f aca="false">E41</f>
        <v>2003770.7247744</v>
      </c>
      <c r="F64" s="171" t="n">
        <f aca="false">F41</f>
        <v>1995641.8374528</v>
      </c>
      <c r="G64" s="171" t="n">
        <f aca="false">G41</f>
        <v>1987512.9501312</v>
      </c>
      <c r="H64" s="171" t="n">
        <f aca="false">H41</f>
        <v>1979384.0628096</v>
      </c>
      <c r="I64" s="171" t="n">
        <f aca="false">I41</f>
        <v>1971255.175488</v>
      </c>
      <c r="J64" s="171" t="n">
        <f aca="false">J41</f>
        <v>1963126.2881664</v>
      </c>
      <c r="K64" s="171" t="n">
        <f aca="false">K41</f>
        <v>1954997.4008448</v>
      </c>
      <c r="L64" s="171" t="n">
        <f aca="false">L41</f>
        <v>1946868.5135232</v>
      </c>
      <c r="M64" s="171" t="n">
        <f aca="false">M41</f>
        <v>1938739.6262016</v>
      </c>
      <c r="N64" s="171" t="n">
        <f aca="false">N41</f>
        <v>1930610.73888</v>
      </c>
      <c r="O64" s="171" t="n">
        <f aca="false">O41</f>
        <v>1922481.8515584</v>
      </c>
      <c r="P64" s="171" t="n">
        <f aca="false">P41</f>
        <v>1914352.9642368</v>
      </c>
      <c r="Q64" s="171" t="n">
        <f aca="false">Q41</f>
        <v>1906224.0769152</v>
      </c>
      <c r="R64" s="171" t="n">
        <f aca="false">R41</f>
        <v>1898095.1895936</v>
      </c>
      <c r="S64" s="171" t="n">
        <f aca="false">S41</f>
        <v>1889966.302272</v>
      </c>
      <c r="T64" s="171" t="n">
        <f aca="false">T41</f>
        <v>1881837.4149504</v>
      </c>
      <c r="U64" s="171" t="n">
        <f aca="false">U41</f>
        <v>1873708.5276288</v>
      </c>
      <c r="V64" s="171" t="n">
        <f aca="false">V41</f>
        <v>1865579.6403072</v>
      </c>
      <c r="W64" s="171" t="n">
        <f aca="false">W41</f>
        <v>1857450.7529856</v>
      </c>
      <c r="X64" s="172"/>
    </row>
    <row r="65" customFormat="false" ht="18.75" hidden="false" customHeight="true" outlineLevel="0" collapsed="false">
      <c r="B65" s="173" t="s">
        <v>54</v>
      </c>
      <c r="C65" s="174" t="s">
        <v>3</v>
      </c>
      <c r="D65" s="175"/>
      <c r="E65" s="175"/>
      <c r="F65" s="175"/>
      <c r="G65" s="176" t="s">
        <v>3</v>
      </c>
      <c r="H65" s="176" t="s">
        <v>3</v>
      </c>
      <c r="I65" s="176" t="s">
        <v>3</v>
      </c>
      <c r="J65" s="176" t="s">
        <v>3</v>
      </c>
      <c r="K65" s="176" t="s">
        <v>3</v>
      </c>
      <c r="L65" s="176" t="s">
        <v>3</v>
      </c>
      <c r="M65" s="176" t="s">
        <v>3</v>
      </c>
      <c r="N65" s="176" t="s">
        <v>3</v>
      </c>
      <c r="O65" s="176" t="s">
        <v>3</v>
      </c>
      <c r="P65" s="176" t="s">
        <v>3</v>
      </c>
      <c r="Q65" s="176" t="s">
        <v>3</v>
      </c>
      <c r="R65" s="176" t="s">
        <v>3</v>
      </c>
      <c r="S65" s="176" t="s">
        <v>3</v>
      </c>
      <c r="T65" s="176" t="s">
        <v>3</v>
      </c>
      <c r="U65" s="176" t="s">
        <v>3</v>
      </c>
      <c r="V65" s="176" t="s">
        <v>3</v>
      </c>
      <c r="W65" s="176" t="s">
        <v>3</v>
      </c>
      <c r="X65" s="177"/>
    </row>
    <row r="66" customFormat="false" ht="18.75" hidden="false" customHeight="true" outlineLevel="0" collapsed="false">
      <c r="B66" s="178" t="s">
        <v>55</v>
      </c>
      <c r="C66" s="179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1"/>
    </row>
    <row r="67" customFormat="false" ht="18.75" hidden="false" customHeight="true" outlineLevel="0" collapsed="false">
      <c r="B67" s="182" t="s">
        <v>151</v>
      </c>
      <c r="C67" s="174"/>
      <c r="D67" s="206" t="n">
        <f aca="false">$C$44/$E$16</f>
        <v>-1101152.5</v>
      </c>
      <c r="E67" s="206" t="n">
        <f aca="false">$C$44/$E$16</f>
        <v>-1101152.5</v>
      </c>
      <c r="F67" s="206" t="n">
        <f aca="false">$C$44/$E$16</f>
        <v>-1101152.5</v>
      </c>
      <c r="G67" s="206" t="n">
        <f aca="false">$C$44/$E$16</f>
        <v>-1101152.5</v>
      </c>
      <c r="H67" s="206" t="n">
        <f aca="false">$C$44/$E$16</f>
        <v>-1101152.5</v>
      </c>
      <c r="I67" s="206" t="n">
        <f aca="false">$C$44/$E$16</f>
        <v>-1101152.5</v>
      </c>
      <c r="J67" s="206" t="n">
        <f aca="false">$C$44/$E$16</f>
        <v>-1101152.5</v>
      </c>
      <c r="K67" s="206" t="n">
        <f aca="false">$C$44/$E$16</f>
        <v>-1101152.5</v>
      </c>
      <c r="L67" s="206" t="n">
        <f aca="false">$C$44/$E$16</f>
        <v>-1101152.5</v>
      </c>
      <c r="M67" s="206" t="n">
        <f aca="false">$C$44/$E$16</f>
        <v>-1101152.5</v>
      </c>
      <c r="N67" s="206" t="n">
        <f aca="false">$C$44/$E$16</f>
        <v>-1101152.5</v>
      </c>
      <c r="O67" s="206" t="n">
        <f aca="false">$C$44/$E$16</f>
        <v>-1101152.5</v>
      </c>
      <c r="P67" s="206" t="n">
        <f aca="false">$C$44/$E$16</f>
        <v>-1101152.5</v>
      </c>
      <c r="Q67" s="206" t="n">
        <f aca="false">$C$44/$E$16</f>
        <v>-1101152.5</v>
      </c>
      <c r="R67" s="206" t="n">
        <f aca="false">$C$44/$E$16</f>
        <v>-1101152.5</v>
      </c>
      <c r="S67" s="206" t="n">
        <f aca="false">$C$44/$E$16</f>
        <v>-1101152.5</v>
      </c>
      <c r="T67" s="206" t="n">
        <f aca="false">$C$44/$E$16</f>
        <v>-1101152.5</v>
      </c>
      <c r="U67" s="206" t="n">
        <f aca="false">$C$44/$E$16</f>
        <v>-1101152.5</v>
      </c>
      <c r="V67" s="206" t="n">
        <f aca="false">$C$44/$E$16</f>
        <v>-1101152.5</v>
      </c>
      <c r="W67" s="206" t="n">
        <f aca="false">$C$44/$E$16</f>
        <v>-1101152.5</v>
      </c>
      <c r="X67" s="177"/>
    </row>
    <row r="68" customFormat="false" ht="18.75" hidden="false" customHeight="true" outlineLevel="0" collapsed="false">
      <c r="B68" s="182" t="s">
        <v>57</v>
      </c>
      <c r="C68" s="174" t="s">
        <v>3</v>
      </c>
      <c r="D68" s="184" t="n">
        <f aca="false">D44</f>
        <v>0</v>
      </c>
      <c r="E68" s="184" t="n">
        <f aca="false">E45</f>
        <v>-601131.21743232</v>
      </c>
      <c r="F68" s="184" t="n">
        <f aca="false">F45</f>
        <v>-598692.55123584</v>
      </c>
      <c r="G68" s="184" t="n">
        <f aca="false">G45</f>
        <v>-596253.88503936</v>
      </c>
      <c r="H68" s="184" t="n">
        <f aca="false">H45</f>
        <v>-593815.21884288</v>
      </c>
      <c r="I68" s="184" t="n">
        <f aca="false">I45</f>
        <v>-591376.5526464</v>
      </c>
      <c r="J68" s="184" t="n">
        <f aca="false">J45</f>
        <v>-588937.88644992</v>
      </c>
      <c r="K68" s="184" t="n">
        <f aca="false">K45</f>
        <v>-586499.22025344</v>
      </c>
      <c r="L68" s="184" t="n">
        <f aca="false">L45</f>
        <v>-584060.55405696</v>
      </c>
      <c r="M68" s="184" t="n">
        <f aca="false">M45</f>
        <v>-581621.88786048</v>
      </c>
      <c r="N68" s="184" t="n">
        <f aca="false">N45</f>
        <v>-579183.221664</v>
      </c>
      <c r="O68" s="184" t="n">
        <f aca="false">O45</f>
        <v>-576744.55546752</v>
      </c>
      <c r="P68" s="184" t="n">
        <f aca="false">P45</f>
        <v>-574305.88927104</v>
      </c>
      <c r="Q68" s="184" t="n">
        <f aca="false">Q45</f>
        <v>-571867.22307456</v>
      </c>
      <c r="R68" s="184" t="n">
        <f aca="false">R45</f>
        <v>-569428.55687808</v>
      </c>
      <c r="S68" s="184" t="n">
        <f aca="false">S45</f>
        <v>-566989.8906816</v>
      </c>
      <c r="T68" s="184" t="n">
        <f aca="false">T45</f>
        <v>-564551.22448512</v>
      </c>
      <c r="U68" s="184" t="n">
        <f aca="false">U45</f>
        <v>-562112.55828864</v>
      </c>
      <c r="V68" s="184" t="n">
        <f aca="false">V45</f>
        <v>-559673.89209216</v>
      </c>
      <c r="W68" s="184" t="n">
        <f aca="false">W45</f>
        <v>-557235.22589568</v>
      </c>
      <c r="X68" s="177"/>
    </row>
    <row r="69" customFormat="false" ht="18.75" hidden="false" customHeight="true" outlineLevel="0" collapsed="false">
      <c r="B69" s="182" t="s">
        <v>58</v>
      </c>
      <c r="C69" s="174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7"/>
    </row>
    <row r="70" customFormat="false" ht="18.75" hidden="false" customHeight="true" outlineLevel="0" collapsed="false">
      <c r="B70" s="182" t="s">
        <v>59</v>
      </c>
      <c r="C70" s="174" t="s">
        <v>3</v>
      </c>
      <c r="D70" s="184" t="n">
        <f aca="false">-D109*$D25</f>
        <v>-450943.9718</v>
      </c>
      <c r="E70" s="184" t="n">
        <f aca="false">-E109*$D25</f>
        <v>-420881.040346667</v>
      </c>
      <c r="F70" s="184" t="n">
        <f aca="false">-F109*$D25</f>
        <v>-390818.108893333</v>
      </c>
      <c r="G70" s="184" t="n">
        <f aca="false">-G109*$D25</f>
        <v>-360755.17744</v>
      </c>
      <c r="H70" s="184" t="n">
        <f aca="false">-H109*$D25</f>
        <v>-330692.245986667</v>
      </c>
      <c r="I70" s="184" t="n">
        <f aca="false">-I109*$D25</f>
        <v>-300629.314533333</v>
      </c>
      <c r="J70" s="184" t="n">
        <f aca="false">-J109*$D25</f>
        <v>-270566.38308</v>
      </c>
      <c r="K70" s="184" t="n">
        <f aca="false">-K109*$D25</f>
        <v>-240503.451626666</v>
      </c>
      <c r="L70" s="184" t="n">
        <f aca="false">-L109*$D25</f>
        <v>-210440.520173333</v>
      </c>
      <c r="M70" s="184" t="n">
        <f aca="false">-M109*$D25</f>
        <v>-180377.58872</v>
      </c>
      <c r="N70" s="184" t="n">
        <f aca="false">-N109*$D25</f>
        <v>-150314.657266666</v>
      </c>
      <c r="O70" s="184" t="n">
        <f aca="false">-O109*$D25</f>
        <v>-120251.725813333</v>
      </c>
      <c r="P70" s="184" t="n">
        <f aca="false">-P109*$D25</f>
        <v>-90188.7943599997</v>
      </c>
      <c r="Q70" s="184" t="n">
        <f aca="false">-Q109*$D25</f>
        <v>-60125.8629066664</v>
      </c>
      <c r="R70" s="184" t="n">
        <f aca="false">-R109*$D25</f>
        <v>-30062.9314533331</v>
      </c>
      <c r="S70" s="184" t="n">
        <f aca="false">-S109*$D25</f>
        <v>2.86046415567398E-010</v>
      </c>
      <c r="T70" s="184" t="n">
        <f aca="false">-T109*$D25</f>
        <v>2.86046415567398E-010</v>
      </c>
      <c r="U70" s="184" t="n">
        <f aca="false">-U109*$D25</f>
        <v>2.86046415567398E-010</v>
      </c>
      <c r="V70" s="184" t="n">
        <f aca="false">-V109*$D25</f>
        <v>2.86046415567398E-010</v>
      </c>
      <c r="W70" s="184" t="n">
        <f aca="false">-W109*$D25</f>
        <v>2.86046415567398E-010</v>
      </c>
      <c r="X70" s="177"/>
    </row>
    <row r="71" customFormat="false" ht="18.75" hidden="false" customHeight="true" outlineLevel="0" collapsed="false">
      <c r="B71" s="182" t="s">
        <v>60</v>
      </c>
      <c r="C71" s="174" t="s">
        <v>3</v>
      </c>
      <c r="D71" s="184" t="n">
        <f aca="false">D48</f>
        <v>-174440</v>
      </c>
      <c r="E71" s="184" t="n">
        <f aca="false">E48</f>
        <v>-174440</v>
      </c>
      <c r="F71" s="184" t="n">
        <f aca="false">F48</f>
        <v>-174440</v>
      </c>
      <c r="G71" s="184" t="n">
        <f aca="false">G48</f>
        <v>-174440</v>
      </c>
      <c r="H71" s="184" t="n">
        <f aca="false">H48</f>
        <v>-174440</v>
      </c>
      <c r="I71" s="184" t="n">
        <f aca="false">I48</f>
        <v>-174440</v>
      </c>
      <c r="J71" s="184" t="n">
        <f aca="false">J48</f>
        <v>-174440</v>
      </c>
      <c r="K71" s="184" t="n">
        <f aca="false">K48</f>
        <v>-174440</v>
      </c>
      <c r="L71" s="184" t="n">
        <f aca="false">L48</f>
        <v>-174440</v>
      </c>
      <c r="M71" s="184" t="n">
        <f aca="false">M48</f>
        <v>-174440</v>
      </c>
      <c r="N71" s="184" t="n">
        <f aca="false">N48</f>
        <v>-174440</v>
      </c>
      <c r="O71" s="184" t="n">
        <f aca="false">O48</f>
        <v>-174440</v>
      </c>
      <c r="P71" s="184" t="n">
        <f aca="false">P48</f>
        <v>-174440</v>
      </c>
      <c r="Q71" s="184" t="n">
        <f aca="false">Q48</f>
        <v>-174440</v>
      </c>
      <c r="R71" s="184" t="n">
        <f aca="false">R48</f>
        <v>-174440</v>
      </c>
      <c r="S71" s="184" t="n">
        <f aca="false">S48</f>
        <v>-174440</v>
      </c>
      <c r="T71" s="184" t="n">
        <f aca="false">T48</f>
        <v>-174440</v>
      </c>
      <c r="U71" s="184" t="n">
        <f aca="false">U48</f>
        <v>-174440</v>
      </c>
      <c r="V71" s="184" t="n">
        <f aca="false">V48</f>
        <v>-174440</v>
      </c>
      <c r="W71" s="184" t="n">
        <f aca="false">W48</f>
        <v>-174440</v>
      </c>
      <c r="X71" s="177"/>
    </row>
    <row r="72" customFormat="false" ht="18.75" hidden="false" customHeight="true" outlineLevel="0" collapsed="false">
      <c r="B72" s="182" t="s">
        <v>61</v>
      </c>
      <c r="C72" s="174" t="s">
        <v>3</v>
      </c>
      <c r="D72" s="184" t="n">
        <f aca="false">D49</f>
        <v>-49715.4</v>
      </c>
      <c r="E72" s="184" t="n">
        <f aca="false">E49</f>
        <v>-49715.4</v>
      </c>
      <c r="F72" s="184" t="n">
        <f aca="false">F49</f>
        <v>-49715.4</v>
      </c>
      <c r="G72" s="184" t="n">
        <f aca="false">G49</f>
        <v>-49715.4</v>
      </c>
      <c r="H72" s="184" t="n">
        <f aca="false">H49</f>
        <v>-49715.4</v>
      </c>
      <c r="I72" s="184" t="n">
        <f aca="false">I49</f>
        <v>-49715.4</v>
      </c>
      <c r="J72" s="184" t="n">
        <f aca="false">J49</f>
        <v>-49715.4</v>
      </c>
      <c r="K72" s="184" t="n">
        <f aca="false">K49</f>
        <v>-49715.4</v>
      </c>
      <c r="L72" s="184" t="n">
        <f aca="false">L49</f>
        <v>-49715.4</v>
      </c>
      <c r="M72" s="184" t="n">
        <f aca="false">M49</f>
        <v>-49715.4</v>
      </c>
      <c r="N72" s="184" t="n">
        <f aca="false">N49</f>
        <v>-49715.4</v>
      </c>
      <c r="O72" s="184" t="n">
        <f aca="false">O49</f>
        <v>-49715.4</v>
      </c>
      <c r="P72" s="184" t="n">
        <f aca="false">P49</f>
        <v>-49715.4</v>
      </c>
      <c r="Q72" s="184" t="n">
        <f aca="false">Q49</f>
        <v>-49715.4</v>
      </c>
      <c r="R72" s="184" t="n">
        <f aca="false">R49</f>
        <v>-49715.4</v>
      </c>
      <c r="S72" s="184" t="n">
        <f aca="false">S49</f>
        <v>-49715.4</v>
      </c>
      <c r="T72" s="184" t="n">
        <f aca="false">T49</f>
        <v>-49715.4</v>
      </c>
      <c r="U72" s="184" t="n">
        <f aca="false">U49</f>
        <v>-49715.4</v>
      </c>
      <c r="V72" s="184" t="n">
        <f aca="false">V49</f>
        <v>-49715.4</v>
      </c>
      <c r="W72" s="184" t="n">
        <f aca="false">W49</f>
        <v>-49715.4</v>
      </c>
      <c r="X72" s="177"/>
    </row>
    <row r="73" customFormat="false" ht="18.75" hidden="false" customHeight="true" outlineLevel="0" collapsed="false">
      <c r="B73" s="182" t="s">
        <v>62</v>
      </c>
      <c r="C73" s="174"/>
      <c r="D73" s="184" t="n">
        <f aca="false">D50</f>
        <v>-43610</v>
      </c>
      <c r="E73" s="184" t="n">
        <f aca="false">E50</f>
        <v>-43610</v>
      </c>
      <c r="F73" s="184" t="n">
        <f aca="false">F50</f>
        <v>-43610</v>
      </c>
      <c r="G73" s="184" t="n">
        <f aca="false">G50</f>
        <v>-43610</v>
      </c>
      <c r="H73" s="184" t="n">
        <f aca="false">H50</f>
        <v>-43610</v>
      </c>
      <c r="I73" s="184" t="n">
        <f aca="false">I50</f>
        <v>-43610</v>
      </c>
      <c r="J73" s="184" t="n">
        <f aca="false">J50</f>
        <v>-43610</v>
      </c>
      <c r="K73" s="184" t="n">
        <f aca="false">K50</f>
        <v>-43610</v>
      </c>
      <c r="L73" s="184" t="n">
        <f aca="false">L50</f>
        <v>-43610</v>
      </c>
      <c r="M73" s="184" t="n">
        <f aca="false">M50</f>
        <v>-43610</v>
      </c>
      <c r="N73" s="184" t="n">
        <f aca="false">N50</f>
        <v>0</v>
      </c>
      <c r="O73" s="184" t="n">
        <f aca="false">O50</f>
        <v>0</v>
      </c>
      <c r="P73" s="184" t="n">
        <f aca="false">P50</f>
        <v>0</v>
      </c>
      <c r="Q73" s="184" t="n">
        <f aca="false">Q50</f>
        <v>0</v>
      </c>
      <c r="R73" s="184" t="n">
        <f aca="false">R50</f>
        <v>0</v>
      </c>
      <c r="S73" s="184" t="n">
        <f aca="false">S50</f>
        <v>0</v>
      </c>
      <c r="T73" s="184" t="n">
        <f aca="false">T50</f>
        <v>0</v>
      </c>
      <c r="U73" s="184" t="n">
        <f aca="false">U50</f>
        <v>0</v>
      </c>
      <c r="V73" s="184" t="n">
        <f aca="false">V50</f>
        <v>0</v>
      </c>
      <c r="W73" s="184" t="n">
        <f aca="false">W50</f>
        <v>0</v>
      </c>
      <c r="X73" s="177"/>
    </row>
    <row r="74" customFormat="false" ht="18.75" hidden="false" customHeight="true" outlineLevel="0" collapsed="false">
      <c r="B74" s="182" t="s">
        <v>63</v>
      </c>
      <c r="C74" s="185"/>
      <c r="D74" s="207"/>
      <c r="E74" s="208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7"/>
    </row>
    <row r="75" customFormat="false" ht="18.75" hidden="false" customHeight="true" outlineLevel="0" collapsed="false">
      <c r="B75" s="182" t="s">
        <v>64</v>
      </c>
      <c r="C75" s="18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7"/>
    </row>
    <row r="76" customFormat="false" ht="18.75" hidden="false" customHeight="true" outlineLevel="0" collapsed="false">
      <c r="B76" s="187" t="s">
        <v>152</v>
      </c>
      <c r="C76" s="209"/>
      <c r="D76" s="189" t="n">
        <f aca="false">SUM(D64:D75)</f>
        <v>192037.740296</v>
      </c>
      <c r="E76" s="189" t="n">
        <f aca="false">SUM(E64:E75)</f>
        <v>-387159.433004587</v>
      </c>
      <c r="F76" s="189" t="n">
        <f aca="false">SUM(F64:F75)</f>
        <v>-362786.722676373</v>
      </c>
      <c r="G76" s="189" t="n">
        <f aca="false">SUM(G64:G75)</f>
        <v>-338414.01234816</v>
      </c>
      <c r="H76" s="189" t="n">
        <f aca="false">SUM(H64:H75)</f>
        <v>-314041.302019947</v>
      </c>
      <c r="I76" s="189" t="n">
        <f aca="false">SUM(I64:I75)</f>
        <v>-289668.591691733</v>
      </c>
      <c r="J76" s="189" t="n">
        <f aca="false">SUM(J64:J75)</f>
        <v>-265295.88136352</v>
      </c>
      <c r="K76" s="189" t="n">
        <f aca="false">SUM(K64:K75)</f>
        <v>-240923.171035307</v>
      </c>
      <c r="L76" s="189" t="n">
        <f aca="false">SUM(L64:L75)</f>
        <v>-216550.460707093</v>
      </c>
      <c r="M76" s="189" t="n">
        <f aca="false">SUM(M64:M75)</f>
        <v>-192177.75037888</v>
      </c>
      <c r="N76" s="189" t="n">
        <f aca="false">SUM(N64:N75)</f>
        <v>-124195.040050667</v>
      </c>
      <c r="O76" s="189" t="n">
        <f aca="false">SUM(O64:O75)</f>
        <v>-99822.3297224533</v>
      </c>
      <c r="P76" s="189" t="n">
        <f aca="false">SUM(P64:P75)</f>
        <v>-75449.6193942399</v>
      </c>
      <c r="Q76" s="189" t="n">
        <f aca="false">SUM(Q64:Q75)</f>
        <v>-51076.9090660266</v>
      </c>
      <c r="R76" s="189" t="n">
        <f aca="false">SUM(R64:R75)</f>
        <v>-26704.1987378132</v>
      </c>
      <c r="S76" s="189" t="n">
        <f aca="false">SUM(S64:S75)</f>
        <v>-2331.4884095998</v>
      </c>
      <c r="T76" s="189" t="n">
        <f aca="false">SUM(T64:T75)</f>
        <v>-8021.7095347201</v>
      </c>
      <c r="U76" s="189" t="n">
        <f aca="false">SUM(U64:U75)</f>
        <v>-13711.9306598398</v>
      </c>
      <c r="V76" s="189" t="n">
        <f aca="false">SUM(V64:V75)</f>
        <v>-19402.15178496</v>
      </c>
      <c r="W76" s="189" t="n">
        <f aca="false">SUM(W64:W75)</f>
        <v>-25092.3729100798</v>
      </c>
      <c r="X76" s="189" t="n">
        <f aca="false">SUM(X64:X75)</f>
        <v>0</v>
      </c>
    </row>
    <row r="77" customFormat="false" ht="18.75" hidden="false" customHeight="true" outlineLevel="0" collapsed="false">
      <c r="B77" s="186" t="s">
        <v>66</v>
      </c>
      <c r="C77" s="185"/>
      <c r="D77" s="184" t="n">
        <f aca="false">-D76*0.2</f>
        <v>-38407.5480592</v>
      </c>
      <c r="E77" s="184" t="n">
        <f aca="false">-E76*0.2</f>
        <v>77431.8866009174</v>
      </c>
      <c r="F77" s="184" t="n">
        <f aca="false">-F76*0.2</f>
        <v>72557.3445352747</v>
      </c>
      <c r="G77" s="184" t="n">
        <f aca="false">-G76*0.2</f>
        <v>67682.802469632</v>
      </c>
      <c r="H77" s="184" t="n">
        <f aca="false">-H76*0.2</f>
        <v>62808.2604039894</v>
      </c>
      <c r="I77" s="184" t="n">
        <f aca="false">-I76*0.2</f>
        <v>57933.7183383467</v>
      </c>
      <c r="J77" s="184" t="n">
        <f aca="false">-J76*0.2</f>
        <v>53059.176272704</v>
      </c>
      <c r="K77" s="184" t="n">
        <f aca="false">-K76*0.2</f>
        <v>48184.6342070613</v>
      </c>
      <c r="L77" s="184" t="n">
        <f aca="false">-L76*0.2</f>
        <v>43310.0921414187</v>
      </c>
      <c r="M77" s="184" t="n">
        <f aca="false">-M76*0.2</f>
        <v>38435.550075776</v>
      </c>
      <c r="N77" s="184" t="n">
        <f aca="false">-N76*0.2</f>
        <v>24839.0080101333</v>
      </c>
      <c r="O77" s="184" t="n">
        <f aca="false">-O76*0.2</f>
        <v>19964.4659444907</v>
      </c>
      <c r="P77" s="184" t="n">
        <f aca="false">-P76*0.2</f>
        <v>15089.923878848</v>
      </c>
      <c r="Q77" s="184" t="n">
        <f aca="false">-Q76*0.2</f>
        <v>10215.3818132053</v>
      </c>
      <c r="R77" s="184" t="n">
        <f aca="false">-R76*0.2</f>
        <v>5340.83974756264</v>
      </c>
      <c r="S77" s="184" t="n">
        <f aca="false">-S76*0.2</f>
        <v>466.29768191996</v>
      </c>
      <c r="T77" s="184" t="n">
        <f aca="false">-T76*0.2</f>
        <v>1604.34190694402</v>
      </c>
      <c r="U77" s="184" t="n">
        <f aca="false">-U76*0.2</f>
        <v>2742.38613196796</v>
      </c>
      <c r="V77" s="184" t="n">
        <f aca="false">-V76*0.2</f>
        <v>3880.430356992</v>
      </c>
      <c r="W77" s="184" t="n">
        <f aca="false">-W76*0.2</f>
        <v>5018.47458201596</v>
      </c>
      <c r="X77" s="184" t="n">
        <f aca="false">-X76*0.2</f>
        <v>-0</v>
      </c>
    </row>
    <row r="78" customFormat="false" ht="15.75" hidden="false" customHeight="true" outlineLevel="0" collapsed="false">
      <c r="B78" s="210" t="s">
        <v>76</v>
      </c>
      <c r="D78" s="184" t="n">
        <f aca="false">SUM(D76:D77)</f>
        <v>153630.1922368</v>
      </c>
      <c r="E78" s="184" t="n">
        <f aca="false">SUM(E76:E77)</f>
        <v>-309727.54640367</v>
      </c>
      <c r="F78" s="184" t="n">
        <f aca="false">SUM(F76:F77)</f>
        <v>-290229.378141099</v>
      </c>
      <c r="G78" s="184" t="n">
        <f aca="false">SUM(G76:G77)</f>
        <v>-270731.209878528</v>
      </c>
      <c r="H78" s="184" t="n">
        <f aca="false">SUM(H76:H77)</f>
        <v>-251233.041615957</v>
      </c>
      <c r="I78" s="184" t="n">
        <f aca="false">SUM(I76:I77)</f>
        <v>-231734.873353387</v>
      </c>
      <c r="J78" s="184" t="n">
        <f aca="false">SUM(J76:J77)</f>
        <v>-212236.705090816</v>
      </c>
      <c r="K78" s="184" t="n">
        <f aca="false">SUM(K76:K77)</f>
        <v>-192738.536828245</v>
      </c>
      <c r="L78" s="184" t="n">
        <f aca="false">SUM(L76:L77)</f>
        <v>-173240.368565675</v>
      </c>
      <c r="M78" s="184" t="n">
        <f aca="false">SUM(M76:M77)</f>
        <v>-153742.200303104</v>
      </c>
      <c r="N78" s="184" t="n">
        <f aca="false">SUM(N76:N77)</f>
        <v>-99356.0320405332</v>
      </c>
      <c r="O78" s="184" t="n">
        <f aca="false">SUM(O76:O77)</f>
        <v>-79857.8637779626</v>
      </c>
      <c r="P78" s="184" t="n">
        <f aca="false">SUM(P76:P77)</f>
        <v>-60359.6955153919</v>
      </c>
      <c r="Q78" s="184" t="n">
        <f aca="false">SUM(Q76:Q77)</f>
        <v>-40861.5272528213</v>
      </c>
      <c r="R78" s="184" t="n">
        <f aca="false">SUM(R76:R77)</f>
        <v>-21363.3589902506</v>
      </c>
      <c r="S78" s="184" t="n">
        <f aca="false">SUM(S76:S77)</f>
        <v>-1865.19072767984</v>
      </c>
      <c r="T78" s="184" t="n">
        <f aca="false">SUM(T76:T77)</f>
        <v>-6417.36762777608</v>
      </c>
      <c r="U78" s="184" t="n">
        <f aca="false">SUM(U76:U77)</f>
        <v>-10969.5445278718</v>
      </c>
      <c r="V78" s="184" t="n">
        <f aca="false">SUM(V76:V77)</f>
        <v>-15521.721427968</v>
      </c>
      <c r="W78" s="184" t="n">
        <f aca="false">SUM(W76:W77)</f>
        <v>-20073.8983280639</v>
      </c>
      <c r="X78" s="184" t="n">
        <f aca="false">SUM(X76:X77)</f>
        <v>0</v>
      </c>
    </row>
    <row r="79" customFormat="false" ht="18.75" hidden="false" customHeight="true" outlineLevel="0" collapsed="false">
      <c r="B79" s="193" t="s">
        <v>68</v>
      </c>
      <c r="C79" s="196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2"/>
    </row>
    <row r="80" customFormat="false" ht="18.75" hidden="false" customHeight="true" outlineLevel="0" collapsed="false">
      <c r="B80" s="213" t="s">
        <v>74</v>
      </c>
      <c r="C80" s="214"/>
      <c r="D80" s="215"/>
      <c r="E80" s="215"/>
      <c r="F80" s="215"/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6"/>
    </row>
    <row r="81" customFormat="false" ht="18.75" hidden="false" customHeight="true" outlineLevel="0" collapsed="false">
      <c r="B81" s="202"/>
      <c r="C81" s="201"/>
      <c r="D81" s="201"/>
      <c r="E81" s="201"/>
      <c r="F81" s="202"/>
      <c r="G81" s="202"/>
      <c r="H81" s="202"/>
      <c r="I81" s="202"/>
      <c r="J81" s="202"/>
      <c r="K81" s="202"/>
      <c r="L81" s="202"/>
      <c r="M81" s="201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</row>
    <row r="82" customFormat="false" ht="18.75" hidden="false" customHeight="true" outlineLevel="0" collapsed="false">
      <c r="C82" s="217" t="s">
        <v>48</v>
      </c>
      <c r="D82" s="218" t="n">
        <f aca="false">D37</f>
        <v>2023</v>
      </c>
      <c r="E82" s="218" t="n">
        <f aca="false">E37</f>
        <v>2024</v>
      </c>
      <c r="F82" s="218" t="n">
        <f aca="false">F37</f>
        <v>2025</v>
      </c>
      <c r="G82" s="218" t="n">
        <f aca="false">G37</f>
        <v>2026</v>
      </c>
      <c r="H82" s="218" t="n">
        <f aca="false">H37</f>
        <v>2027</v>
      </c>
      <c r="I82" s="218" t="n">
        <f aca="false">I37</f>
        <v>2028</v>
      </c>
      <c r="J82" s="218" t="n">
        <f aca="false">J37</f>
        <v>2029</v>
      </c>
      <c r="K82" s="218" t="n">
        <f aca="false">K37</f>
        <v>2030</v>
      </c>
      <c r="L82" s="218" t="n">
        <f aca="false">L37</f>
        <v>2031</v>
      </c>
      <c r="M82" s="218" t="n">
        <f aca="false">M37</f>
        <v>2032</v>
      </c>
      <c r="N82" s="218" t="n">
        <f aca="false">N37</f>
        <v>2033</v>
      </c>
      <c r="O82" s="218" t="n">
        <f aca="false">O37</f>
        <v>2034</v>
      </c>
      <c r="P82" s="218" t="n">
        <f aca="false">P37</f>
        <v>2035</v>
      </c>
      <c r="Q82" s="218" t="n">
        <f aca="false">Q37</f>
        <v>2036</v>
      </c>
      <c r="R82" s="218" t="n">
        <f aca="false">R37</f>
        <v>2037</v>
      </c>
      <c r="S82" s="218" t="n">
        <f aca="false">S37</f>
        <v>2038</v>
      </c>
      <c r="T82" s="218" t="n">
        <f aca="false">T37</f>
        <v>2039</v>
      </c>
      <c r="U82" s="218" t="n">
        <f aca="false">U37</f>
        <v>2040</v>
      </c>
      <c r="V82" s="218" t="n">
        <f aca="false">V37</f>
        <v>2041</v>
      </c>
      <c r="W82" s="218" t="n">
        <f aca="false">W37</f>
        <v>2042</v>
      </c>
      <c r="X82" s="72"/>
    </row>
    <row r="83" customFormat="false" ht="18.75" hidden="false" customHeight="true" outlineLevel="0" collapsed="false">
      <c r="X83" s="203"/>
    </row>
    <row r="84" customFormat="false" ht="18.75" hidden="false" customHeight="true" outlineLevel="0" collapsed="false">
      <c r="B84" s="219" t="s">
        <v>51</v>
      </c>
      <c r="C84" s="219" t="n">
        <v>0</v>
      </c>
      <c r="D84" s="219" t="n">
        <v>1</v>
      </c>
      <c r="E84" s="219" t="n">
        <v>2</v>
      </c>
      <c r="F84" s="219" t="n">
        <v>3</v>
      </c>
      <c r="G84" s="219" t="n">
        <v>4</v>
      </c>
      <c r="H84" s="219" t="n">
        <v>5</v>
      </c>
      <c r="I84" s="219" t="n">
        <v>6</v>
      </c>
      <c r="J84" s="219" t="n">
        <v>7</v>
      </c>
      <c r="K84" s="219" t="n">
        <v>8</v>
      </c>
      <c r="L84" s="219" t="n">
        <v>9</v>
      </c>
      <c r="M84" s="219" t="n">
        <v>10</v>
      </c>
      <c r="N84" s="219" t="n">
        <v>11</v>
      </c>
      <c r="O84" s="219" t="n">
        <v>12</v>
      </c>
      <c r="P84" s="219" t="n">
        <v>13</v>
      </c>
      <c r="Q84" s="219" t="n">
        <v>14</v>
      </c>
      <c r="R84" s="219" t="n">
        <v>15</v>
      </c>
      <c r="S84" s="219" t="n">
        <v>16</v>
      </c>
      <c r="T84" s="219" t="n">
        <v>17</v>
      </c>
      <c r="U84" s="219" t="n">
        <v>18</v>
      </c>
      <c r="V84" s="219" t="n">
        <v>19</v>
      </c>
      <c r="W84" s="219" t="n">
        <v>20</v>
      </c>
      <c r="X84" s="103"/>
    </row>
    <row r="85" customFormat="false" ht="18.75" hidden="false" customHeight="true" outlineLevel="0" collapsed="false">
      <c r="B85" s="220" t="s">
        <v>76</v>
      </c>
      <c r="C85" s="220"/>
      <c r="D85" s="221" t="n">
        <f aca="false">D78</f>
        <v>153630.1922368</v>
      </c>
      <c r="E85" s="221" t="n">
        <f aca="false">E78</f>
        <v>-309727.54640367</v>
      </c>
      <c r="F85" s="221" t="n">
        <f aca="false">F78</f>
        <v>-290229.378141099</v>
      </c>
      <c r="G85" s="221" t="n">
        <f aca="false">G78</f>
        <v>-270731.209878528</v>
      </c>
      <c r="H85" s="221" t="n">
        <f aca="false">H78</f>
        <v>-251233.041615957</v>
      </c>
      <c r="I85" s="221" t="n">
        <f aca="false">I78</f>
        <v>-231734.873353387</v>
      </c>
      <c r="J85" s="221" t="n">
        <f aca="false">J78</f>
        <v>-212236.705090816</v>
      </c>
      <c r="K85" s="221" t="n">
        <f aca="false">K78</f>
        <v>-192738.536828245</v>
      </c>
      <c r="L85" s="221" t="n">
        <f aca="false">L78</f>
        <v>-173240.368565675</v>
      </c>
      <c r="M85" s="221" t="n">
        <f aca="false">M78</f>
        <v>-153742.200303104</v>
      </c>
      <c r="N85" s="221" t="n">
        <f aca="false">N78</f>
        <v>-99356.0320405332</v>
      </c>
      <c r="O85" s="221" t="n">
        <f aca="false">O78</f>
        <v>-79857.8637779626</v>
      </c>
      <c r="P85" s="221" t="n">
        <f aca="false">P78</f>
        <v>-60359.6955153919</v>
      </c>
      <c r="Q85" s="221" t="n">
        <f aca="false">Q78</f>
        <v>-40861.5272528213</v>
      </c>
      <c r="R85" s="221" t="n">
        <f aca="false">R78</f>
        <v>-21363.3589902506</v>
      </c>
      <c r="S85" s="221" t="n">
        <f aca="false">S78</f>
        <v>-1865.19072767984</v>
      </c>
      <c r="T85" s="221" t="n">
        <f aca="false">T78</f>
        <v>-6417.36762777608</v>
      </c>
      <c r="U85" s="221" t="n">
        <f aca="false">U78</f>
        <v>-10969.5445278718</v>
      </c>
      <c r="V85" s="221" t="n">
        <f aca="false">V78</f>
        <v>-15521.721427968</v>
      </c>
      <c r="W85" s="221" t="n">
        <f aca="false">W78</f>
        <v>-20073.8983280639</v>
      </c>
      <c r="X85" s="220"/>
      <c r="Y85" s="220"/>
    </row>
    <row r="86" customFormat="false" ht="15.75" hidden="false" customHeight="true" outlineLevel="0" collapsed="false">
      <c r="B86" s="220" t="s">
        <v>77</v>
      </c>
      <c r="C86" s="220"/>
      <c r="D86" s="222" t="n">
        <f aca="false">-D67</f>
        <v>1101152.5</v>
      </c>
      <c r="E86" s="222" t="n">
        <f aca="false">-E67</f>
        <v>1101152.5</v>
      </c>
      <c r="F86" s="222" t="n">
        <f aca="false">-F67</f>
        <v>1101152.5</v>
      </c>
      <c r="G86" s="222" t="n">
        <f aca="false">-G67</f>
        <v>1101152.5</v>
      </c>
      <c r="H86" s="222" t="n">
        <f aca="false">-H67</f>
        <v>1101152.5</v>
      </c>
      <c r="I86" s="222" t="n">
        <f aca="false">-I67</f>
        <v>1101152.5</v>
      </c>
      <c r="J86" s="222" t="n">
        <f aca="false">-J67</f>
        <v>1101152.5</v>
      </c>
      <c r="K86" s="222" t="n">
        <f aca="false">-K67</f>
        <v>1101152.5</v>
      </c>
      <c r="L86" s="222" t="n">
        <f aca="false">-L67</f>
        <v>1101152.5</v>
      </c>
      <c r="M86" s="222" t="n">
        <f aca="false">-M67</f>
        <v>1101152.5</v>
      </c>
      <c r="N86" s="222" t="n">
        <f aca="false">-N67</f>
        <v>1101152.5</v>
      </c>
      <c r="O86" s="222" t="n">
        <f aca="false">-O67</f>
        <v>1101152.5</v>
      </c>
      <c r="P86" s="222" t="n">
        <f aca="false">-P67</f>
        <v>1101152.5</v>
      </c>
      <c r="Q86" s="222" t="n">
        <f aca="false">-Q67</f>
        <v>1101152.5</v>
      </c>
      <c r="R86" s="222" t="n">
        <f aca="false">-R67</f>
        <v>1101152.5</v>
      </c>
      <c r="S86" s="222" t="n">
        <f aca="false">-S67</f>
        <v>1101152.5</v>
      </c>
      <c r="T86" s="222" t="n">
        <f aca="false">-T67</f>
        <v>1101152.5</v>
      </c>
      <c r="U86" s="222" t="n">
        <f aca="false">-U67</f>
        <v>1101152.5</v>
      </c>
      <c r="V86" s="222" t="n">
        <f aca="false">-V67</f>
        <v>1101152.5</v>
      </c>
      <c r="W86" s="222" t="n">
        <f aca="false">-W67</f>
        <v>1101152.5</v>
      </c>
      <c r="X86" s="223"/>
      <c r="Y86" s="223"/>
    </row>
    <row r="87" customFormat="false" ht="15.75" hidden="false" customHeight="true" outlineLevel="0" collapsed="false">
      <c r="B87" s="220" t="s">
        <v>78</v>
      </c>
      <c r="C87" s="220"/>
      <c r="D87" s="224" t="n">
        <f aca="false">SUM(D85:D86)</f>
        <v>1254782.6922368</v>
      </c>
      <c r="E87" s="224" t="n">
        <f aca="false">SUM(E85:E86)</f>
        <v>791424.953596331</v>
      </c>
      <c r="F87" s="224" t="n">
        <f aca="false">SUM(F85:F86)</f>
        <v>810923.121858901</v>
      </c>
      <c r="G87" s="224" t="n">
        <f aca="false">SUM(G85:G86)</f>
        <v>830421.290121472</v>
      </c>
      <c r="H87" s="224" t="n">
        <f aca="false">SUM(H85:H86)</f>
        <v>849919.458384043</v>
      </c>
      <c r="I87" s="224" t="n">
        <f aca="false">SUM(I85:I86)</f>
        <v>869417.626646613</v>
      </c>
      <c r="J87" s="224" t="n">
        <f aca="false">SUM(J85:J86)</f>
        <v>888915.794909184</v>
      </c>
      <c r="K87" s="224" t="n">
        <f aca="false">SUM(K85:K86)</f>
        <v>908413.963171755</v>
      </c>
      <c r="L87" s="224" t="n">
        <f aca="false">SUM(L85:L86)</f>
        <v>927912.131434325</v>
      </c>
      <c r="M87" s="224" t="n">
        <f aca="false">SUM(M85:M86)</f>
        <v>947410.299696896</v>
      </c>
      <c r="N87" s="224" t="n">
        <f aca="false">SUM(N85:N86)</f>
        <v>1001796.46795947</v>
      </c>
      <c r="O87" s="224" t="n">
        <f aca="false">SUM(O85:O86)</f>
        <v>1021294.63622204</v>
      </c>
      <c r="P87" s="224" t="n">
        <f aca="false">SUM(P85:P86)</f>
        <v>1040792.80448461</v>
      </c>
      <c r="Q87" s="224" t="n">
        <f aca="false">SUM(Q85:Q86)</f>
        <v>1060290.97274718</v>
      </c>
      <c r="R87" s="224" t="n">
        <f aca="false">SUM(R85:R86)</f>
        <v>1079789.14100975</v>
      </c>
      <c r="S87" s="224" t="n">
        <f aca="false">SUM(S85:S86)</f>
        <v>1099287.30927232</v>
      </c>
      <c r="T87" s="224" t="n">
        <f aca="false">SUM(T85:T86)</f>
        <v>1094735.13237222</v>
      </c>
      <c r="U87" s="224" t="n">
        <f aca="false">SUM(U85:U86)</f>
        <v>1090182.95547213</v>
      </c>
      <c r="V87" s="224" t="n">
        <f aca="false">SUM(V85:V86)</f>
        <v>1085630.77857203</v>
      </c>
      <c r="W87" s="224" t="n">
        <f aca="false">SUM(W85:W86)</f>
        <v>1081078.60167194</v>
      </c>
      <c r="X87" s="192"/>
    </row>
    <row r="88" customFormat="false" ht="15.75" hidden="false" customHeight="true" outlineLevel="0" collapsed="false">
      <c r="B88" s="220"/>
      <c r="C88" s="220"/>
      <c r="D88" s="220"/>
      <c r="E88" s="220"/>
      <c r="F88" s="225"/>
      <c r="G88" s="225"/>
      <c r="H88" s="225"/>
      <c r="I88" s="225"/>
      <c r="J88" s="225"/>
      <c r="K88" s="225"/>
      <c r="L88" s="225"/>
      <c r="M88" s="225"/>
      <c r="N88" s="225"/>
      <c r="O88" s="225"/>
      <c r="P88" s="225"/>
      <c r="Q88" s="225"/>
      <c r="R88" s="225"/>
      <c r="S88" s="225"/>
      <c r="T88" s="225"/>
      <c r="U88" s="225"/>
      <c r="V88" s="225"/>
      <c r="W88" s="225"/>
      <c r="X88" s="191"/>
    </row>
    <row r="89" customFormat="false" ht="15.75" hidden="false" customHeight="true" outlineLevel="0" collapsed="false">
      <c r="B89" s="226" t="s">
        <v>79</v>
      </c>
      <c r="C89" s="227"/>
      <c r="D89" s="228" t="n">
        <f aca="false">C44</f>
        <v>-22023050</v>
      </c>
      <c r="E89" s="227"/>
      <c r="F89" s="227"/>
      <c r="G89" s="227"/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9"/>
    </row>
    <row r="90" customFormat="false" ht="15.75" hidden="false" customHeight="true" outlineLevel="0" collapsed="false">
      <c r="B90" s="220"/>
      <c r="C90" s="220"/>
      <c r="D90" s="220"/>
      <c r="E90" s="220"/>
      <c r="F90" s="225"/>
      <c r="G90" s="225"/>
      <c r="H90" s="225"/>
      <c r="I90" s="225"/>
      <c r="J90" s="225"/>
      <c r="K90" s="225"/>
      <c r="L90" s="225"/>
      <c r="M90" s="225"/>
      <c r="N90" s="225"/>
      <c r="O90" s="225"/>
      <c r="P90" s="225"/>
      <c r="Q90" s="225"/>
      <c r="R90" s="225"/>
      <c r="S90" s="225"/>
      <c r="T90" s="225"/>
      <c r="U90" s="225"/>
      <c r="V90" s="225"/>
      <c r="W90" s="225"/>
      <c r="X90" s="191"/>
    </row>
    <row r="91" customFormat="false" ht="15.75" hidden="false" customHeight="true" outlineLevel="0" collapsed="false">
      <c r="B91" s="220"/>
      <c r="C91" s="220"/>
      <c r="D91" s="220"/>
      <c r="E91" s="220"/>
      <c r="F91" s="225"/>
      <c r="G91" s="225"/>
      <c r="H91" s="225"/>
      <c r="I91" s="225"/>
      <c r="J91" s="225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191"/>
    </row>
    <row r="92" customFormat="false" ht="15.75" hidden="false" customHeight="true" outlineLevel="0" collapsed="false">
      <c r="B92" s="226" t="s">
        <v>80</v>
      </c>
      <c r="C92" s="227"/>
      <c r="D92" s="228" t="n">
        <f aca="false">-D89*D31</f>
        <v>17618440</v>
      </c>
      <c r="E92" s="227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191"/>
    </row>
    <row r="93" customFormat="false" ht="15.75" hidden="false" customHeight="true" outlineLevel="0" collapsed="false">
      <c r="B93" s="220" t="s">
        <v>81</v>
      </c>
      <c r="C93" s="220"/>
      <c r="D93" s="230"/>
      <c r="E93" s="230" t="n">
        <v>-1174562.66666667</v>
      </c>
      <c r="F93" s="230" t="n">
        <v>-1174562.66666667</v>
      </c>
      <c r="G93" s="230" t="n">
        <v>-1174562.66666667</v>
      </c>
      <c r="H93" s="230" t="n">
        <v>-1174562.66666667</v>
      </c>
      <c r="I93" s="230" t="n">
        <v>-1174562.66666667</v>
      </c>
      <c r="J93" s="230" t="n">
        <v>-1174562.66666667</v>
      </c>
      <c r="K93" s="230" t="n">
        <v>-1174562.66666667</v>
      </c>
      <c r="L93" s="230" t="n">
        <v>-1174562.66666667</v>
      </c>
      <c r="M93" s="230" t="n">
        <v>-1174562.66666667</v>
      </c>
      <c r="N93" s="230" t="n">
        <v>-1174562.66666667</v>
      </c>
      <c r="O93" s="230" t="n">
        <v>-1174562.66666667</v>
      </c>
      <c r="P93" s="230" t="n">
        <v>-1174562.66666667</v>
      </c>
      <c r="Q93" s="230" t="n">
        <v>-1174562.66666667</v>
      </c>
      <c r="R93" s="230" t="n">
        <v>-1174562.66666667</v>
      </c>
      <c r="S93" s="230" t="n">
        <v>-1174562.66666667</v>
      </c>
      <c r="T93" s="230" t="n">
        <v>0</v>
      </c>
      <c r="U93" s="230" t="n">
        <v>0</v>
      </c>
      <c r="V93" s="230" t="n">
        <v>0</v>
      </c>
      <c r="W93" s="230" t="n">
        <v>0</v>
      </c>
      <c r="X93" s="229"/>
    </row>
    <row r="94" customFormat="false" ht="15.75" hidden="false" customHeight="true" outlineLevel="0" collapsed="false">
      <c r="B94" s="220" t="s">
        <v>82</v>
      </c>
      <c r="C94" s="225"/>
      <c r="D94" s="221" t="n">
        <f aca="false">-D89*(1-D31)</f>
        <v>4404610</v>
      </c>
      <c r="E94" s="225"/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192"/>
    </row>
    <row r="95" customFormat="false" ht="15.75" hidden="false" customHeight="true" outlineLevel="0" collapsed="false">
      <c r="B95" s="220" t="s">
        <v>45</v>
      </c>
      <c r="C95" s="225"/>
      <c r="D95" s="225"/>
      <c r="E95" s="231" t="n">
        <f aca="false">-D85*$D$33</f>
        <v>-138267.17301312</v>
      </c>
      <c r="F95" s="231" t="n">
        <f aca="false">-E85*$D$33</f>
        <v>278754.791763303</v>
      </c>
      <c r="G95" s="231" t="n">
        <f aca="false">-F85*$D$33</f>
        <v>261206.440326989</v>
      </c>
      <c r="H95" s="231" t="n">
        <f aca="false">-G85*$D$33</f>
        <v>243658.088890675</v>
      </c>
      <c r="I95" s="231" t="n">
        <f aca="false">-H85*$D$33</f>
        <v>226109.737454362</v>
      </c>
      <c r="J95" s="231" t="n">
        <f aca="false">-I85*$D$33</f>
        <v>208561.386018048</v>
      </c>
      <c r="K95" s="231" t="n">
        <f aca="false">-J85*$D$33</f>
        <v>191013.034581734</v>
      </c>
      <c r="L95" s="231" t="n">
        <f aca="false">-K85*$D$33</f>
        <v>173464.683145421</v>
      </c>
      <c r="M95" s="231" t="n">
        <f aca="false">-L85*$D$33</f>
        <v>155916.331709107</v>
      </c>
      <c r="N95" s="231" t="n">
        <f aca="false">-M85*$D$33</f>
        <v>138367.980272794</v>
      </c>
      <c r="O95" s="231" t="n">
        <f aca="false">-N85*$D$33</f>
        <v>89420.4288364799</v>
      </c>
      <c r="P95" s="231" t="n">
        <f aca="false">-O85*$D$33</f>
        <v>71872.0774001663</v>
      </c>
      <c r="Q95" s="231" t="n">
        <f aca="false">-P85*$D$33</f>
        <v>54323.7259638527</v>
      </c>
      <c r="R95" s="231" t="n">
        <f aca="false">-Q85*$D$33</f>
        <v>36775.3745275391</v>
      </c>
      <c r="S95" s="231" t="n">
        <f aca="false">-R85*$D$33</f>
        <v>19227.0230912255</v>
      </c>
      <c r="T95" s="231" t="n">
        <f aca="false">-S85*$D$33</f>
        <v>1678.67165491186</v>
      </c>
      <c r="U95" s="231" t="n">
        <f aca="false">-T85*$D$33</f>
        <v>5775.63086499847</v>
      </c>
      <c r="V95" s="231" t="n">
        <f aca="false">-U85*$D$33</f>
        <v>9872.59007508467</v>
      </c>
      <c r="W95" s="231" t="n">
        <f aca="false">-V85*$D$33</f>
        <v>13969.5492851712</v>
      </c>
      <c r="X95" s="231" t="n">
        <f aca="false">-W85*$D$33</f>
        <v>18066.5084952575</v>
      </c>
    </row>
    <row r="96" customFormat="false" ht="15.75" hidden="false" customHeight="true" outlineLevel="0" collapsed="false">
      <c r="B96" s="232" t="s">
        <v>47</v>
      </c>
      <c r="C96" s="233"/>
      <c r="D96" s="233" t="n">
        <v>0</v>
      </c>
      <c r="E96" s="234" t="n">
        <v>0</v>
      </c>
      <c r="F96" s="234" t="n">
        <v>0</v>
      </c>
      <c r="G96" s="234" t="n">
        <v>0</v>
      </c>
      <c r="H96" s="234" t="n">
        <v>0</v>
      </c>
      <c r="I96" s="234" t="n">
        <v>0</v>
      </c>
      <c r="J96" s="234" t="n">
        <v>0</v>
      </c>
      <c r="K96" s="234" t="n">
        <v>0</v>
      </c>
      <c r="L96" s="234" t="n">
        <v>0</v>
      </c>
      <c r="M96" s="234" t="n">
        <v>0</v>
      </c>
      <c r="N96" s="234" t="n">
        <v>0</v>
      </c>
      <c r="O96" s="234" t="n">
        <v>0</v>
      </c>
      <c r="P96" s="234" t="n">
        <v>0</v>
      </c>
      <c r="Q96" s="234" t="n">
        <v>0</v>
      </c>
      <c r="R96" s="234" t="n">
        <v>0</v>
      </c>
      <c r="S96" s="234" t="n">
        <v>0</v>
      </c>
      <c r="T96" s="234" t="n">
        <v>-1101152.5</v>
      </c>
      <c r="U96" s="234" t="n">
        <v>-1101152.5</v>
      </c>
      <c r="V96" s="234" t="n">
        <v>-1101152.5</v>
      </c>
      <c r="W96" s="234" t="n">
        <v>-1101152.5</v>
      </c>
      <c r="X96" s="235" t="n">
        <f aca="false">-W101-X95</f>
        <v>228862.986816005</v>
      </c>
    </row>
    <row r="97" customFormat="false" ht="15.75" hidden="false" customHeight="true" outlineLevel="0" collapsed="false">
      <c r="B97" s="225"/>
      <c r="C97" s="225"/>
      <c r="D97" s="225"/>
      <c r="E97" s="225"/>
      <c r="F97" s="22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192"/>
    </row>
    <row r="98" customFormat="false" ht="15.75" hidden="false" customHeight="true" outlineLevel="0" collapsed="false">
      <c r="B98" s="225"/>
      <c r="C98" s="225"/>
      <c r="D98" s="225"/>
      <c r="E98" s="225"/>
      <c r="F98" s="22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192"/>
    </row>
    <row r="99" customFormat="false" ht="15.75" hidden="false" customHeight="true" outlineLevel="0" collapsed="false">
      <c r="B99" s="220" t="s">
        <v>83</v>
      </c>
      <c r="C99" s="221" t="n">
        <v>0</v>
      </c>
      <c r="D99" s="221" t="n">
        <f aca="false">SUM(D87:D96)</f>
        <v>1254782.6922368</v>
      </c>
      <c r="E99" s="221" t="n">
        <f aca="false">SUM(E87:E96)</f>
        <v>-521404.886083456</v>
      </c>
      <c r="F99" s="221" t="n">
        <f aca="false">SUM(F87:F96)</f>
        <v>-84884.7530444631</v>
      </c>
      <c r="G99" s="221" t="n">
        <f aca="false">SUM(G87:G96)</f>
        <v>-82934.9362182061</v>
      </c>
      <c r="H99" s="221" t="n">
        <f aca="false">SUM(H87:H96)</f>
        <v>-80985.1193919492</v>
      </c>
      <c r="I99" s="221" t="n">
        <f aca="false">SUM(I87:I96)</f>
        <v>-79035.3025656921</v>
      </c>
      <c r="J99" s="221" t="n">
        <f aca="false">SUM(J87:J96)</f>
        <v>-77085.4857394348</v>
      </c>
      <c r="K99" s="221" t="n">
        <f aca="false">SUM(K87:K96)</f>
        <v>-75135.668913178</v>
      </c>
      <c r="L99" s="221" t="n">
        <f aca="false">SUM(L87:L96)</f>
        <v>-73185.8520869209</v>
      </c>
      <c r="M99" s="221" t="n">
        <f aca="false">SUM(M87:M96)</f>
        <v>-71236.0352606638</v>
      </c>
      <c r="N99" s="221" t="n">
        <f aca="false">SUM(N87:N96)</f>
        <v>-34398.2184344067</v>
      </c>
      <c r="O99" s="221" t="n">
        <f aca="false">SUM(O87:O96)</f>
        <v>-63847.6016081497</v>
      </c>
      <c r="P99" s="221" t="n">
        <f aca="false">SUM(P87:P96)</f>
        <v>-61897.7847818925</v>
      </c>
      <c r="Q99" s="221" t="n">
        <f aca="false">SUM(Q87:Q96)</f>
        <v>-59947.9679556355</v>
      </c>
      <c r="R99" s="221" t="n">
        <f aca="false">SUM(R87:R96)</f>
        <v>-57998.1511293785</v>
      </c>
      <c r="S99" s="221" t="n">
        <f aca="false">SUM(S87:S96)</f>
        <v>-56048.3343031212</v>
      </c>
      <c r="T99" s="221" t="n">
        <f aca="false">SUM(T87:T96)</f>
        <v>-4738.69597286405</v>
      </c>
      <c r="U99" s="221" t="n">
        <f aca="false">SUM(U87:U96)</f>
        <v>-5193.91366287321</v>
      </c>
      <c r="V99" s="221" t="n">
        <f aca="false">SUM(V87:V96)</f>
        <v>-5649.1313528833</v>
      </c>
      <c r="W99" s="221" t="n">
        <f aca="false">SUM(W87:W96)</f>
        <v>-6104.34904289269</v>
      </c>
      <c r="X99" s="192"/>
    </row>
    <row r="100" customFormat="false" ht="15.75" hidden="false" customHeight="true" outlineLevel="0" collapsed="false">
      <c r="B100" s="220" t="s">
        <v>84</v>
      </c>
      <c r="C100" s="221" t="n">
        <v>0</v>
      </c>
      <c r="D100" s="221" t="n">
        <f aca="false">C101</f>
        <v>0</v>
      </c>
      <c r="E100" s="221" t="n">
        <f aca="false">D101</f>
        <v>1254782.6922368</v>
      </c>
      <c r="F100" s="221" t="n">
        <f aca="false">E101</f>
        <v>733377.806153343</v>
      </c>
      <c r="G100" s="221" t="n">
        <f aca="false">F101</f>
        <v>648493.053108879</v>
      </c>
      <c r="H100" s="221" t="n">
        <f aca="false">G101</f>
        <v>565558.116890673</v>
      </c>
      <c r="I100" s="221" t="n">
        <f aca="false">H101</f>
        <v>484572.997498724</v>
      </c>
      <c r="J100" s="221" t="n">
        <f aca="false">I101</f>
        <v>405537.694933032</v>
      </c>
      <c r="K100" s="221" t="n">
        <f aca="false">J101</f>
        <v>328452.209193597</v>
      </c>
      <c r="L100" s="221" t="n">
        <f aca="false">K101</f>
        <v>253316.540280419</v>
      </c>
      <c r="M100" s="221" t="n">
        <f aca="false">L101</f>
        <v>180130.688193498</v>
      </c>
      <c r="N100" s="221" t="n">
        <f aca="false">M101</f>
        <v>108894.652932834</v>
      </c>
      <c r="O100" s="221" t="n">
        <f aca="false">N101</f>
        <v>74496.4344984278</v>
      </c>
      <c r="P100" s="221" t="n">
        <f aca="false">O101</f>
        <v>10648.8328902781</v>
      </c>
      <c r="Q100" s="221" t="n">
        <f aca="false">P101</f>
        <v>-51248.9518916144</v>
      </c>
      <c r="R100" s="221" t="n">
        <f aca="false">Q101</f>
        <v>-111196.91984725</v>
      </c>
      <c r="S100" s="221" t="n">
        <f aca="false">R101</f>
        <v>-169195.070976628</v>
      </c>
      <c r="T100" s="221" t="n">
        <f aca="false">S101</f>
        <v>-225243.40527975</v>
      </c>
      <c r="U100" s="221" t="n">
        <f aca="false">T101</f>
        <v>-229982.101252614</v>
      </c>
      <c r="V100" s="221" t="n">
        <f aca="false">U101</f>
        <v>-235176.014915487</v>
      </c>
      <c r="W100" s="221" t="n">
        <f aca="false">V101</f>
        <v>-240825.14626837</v>
      </c>
      <c r="X100" s="191"/>
    </row>
    <row r="101" customFormat="false" ht="15.75" hidden="false" customHeight="true" outlineLevel="0" collapsed="false">
      <c r="B101" s="220" t="s">
        <v>85</v>
      </c>
      <c r="C101" s="221" t="n">
        <v>0</v>
      </c>
      <c r="D101" s="221" t="n">
        <f aca="false">D99+D100</f>
        <v>1254782.6922368</v>
      </c>
      <c r="E101" s="221" t="n">
        <f aca="false">E99+E100</f>
        <v>733377.806153343</v>
      </c>
      <c r="F101" s="221" t="n">
        <f aca="false">F99+F100</f>
        <v>648493.053108879</v>
      </c>
      <c r="G101" s="221" t="n">
        <f aca="false">G99+G100</f>
        <v>565558.116890673</v>
      </c>
      <c r="H101" s="221" t="n">
        <f aca="false">H99+H100</f>
        <v>484572.997498724</v>
      </c>
      <c r="I101" s="221" t="n">
        <f aca="false">I99+I100</f>
        <v>405537.694933032</v>
      </c>
      <c r="J101" s="221" t="n">
        <f aca="false">J99+J100</f>
        <v>328452.209193597</v>
      </c>
      <c r="K101" s="221" t="n">
        <f aca="false">K99+K100</f>
        <v>253316.540280419</v>
      </c>
      <c r="L101" s="221" t="n">
        <f aca="false">L99+L100</f>
        <v>180130.688193498</v>
      </c>
      <c r="M101" s="221" t="n">
        <f aca="false">M99+M100</f>
        <v>108894.652932834</v>
      </c>
      <c r="N101" s="221" t="n">
        <f aca="false">N99+N100</f>
        <v>74496.4344984278</v>
      </c>
      <c r="O101" s="221" t="n">
        <f aca="false">O99+O100</f>
        <v>10648.8328902781</v>
      </c>
      <c r="P101" s="221" t="n">
        <f aca="false">P99+P100</f>
        <v>-51248.9518916144</v>
      </c>
      <c r="Q101" s="221" t="n">
        <f aca="false">Q99+Q100</f>
        <v>-111196.91984725</v>
      </c>
      <c r="R101" s="221" t="n">
        <f aca="false">R99+R100</f>
        <v>-169195.070976628</v>
      </c>
      <c r="S101" s="221" t="n">
        <f aca="false">S99+S100</f>
        <v>-225243.40527975</v>
      </c>
      <c r="T101" s="221" t="n">
        <f aca="false">T99+T100</f>
        <v>-229982.101252614</v>
      </c>
      <c r="U101" s="221" t="n">
        <f aca="false">U99+U100</f>
        <v>-235176.014915487</v>
      </c>
      <c r="V101" s="221" t="n">
        <f aca="false">V99+V100</f>
        <v>-240825.14626837</v>
      </c>
      <c r="W101" s="221" t="n">
        <f aca="false">W99+W100</f>
        <v>-246929.495311263</v>
      </c>
      <c r="X101" s="191"/>
    </row>
    <row r="102" customFormat="false" ht="15.75" hidden="false" customHeight="true" outlineLevel="0" collapsed="false"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</row>
    <row r="103" customFormat="false" ht="15.75" hidden="false" customHeight="true" outlineLevel="0" collapsed="false">
      <c r="B103" s="220"/>
      <c r="C103" s="220"/>
      <c r="D103" s="220"/>
      <c r="E103" s="220"/>
      <c r="F103" s="225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</row>
    <row r="104" customFormat="false" ht="15.75" hidden="false" customHeight="true" outlineLevel="0" collapsed="false">
      <c r="B104" s="236" t="s">
        <v>86</v>
      </c>
      <c r="C104" s="237"/>
      <c r="D104" s="238" t="n">
        <f aca="false">-D94</f>
        <v>-4404610</v>
      </c>
      <c r="E104" s="224" t="n">
        <f aca="false">-E95-E96</f>
        <v>138267.17301312</v>
      </c>
      <c r="F104" s="224" t="n">
        <f aca="false">-F95-F96</f>
        <v>-278754.791763303</v>
      </c>
      <c r="G104" s="224" t="n">
        <f aca="false">-G95-G96</f>
        <v>-261206.440326989</v>
      </c>
      <c r="H104" s="224" t="n">
        <f aca="false">-H95-H96</f>
        <v>-243658.088890675</v>
      </c>
      <c r="I104" s="224" t="n">
        <f aca="false">-I95-I96</f>
        <v>-226109.737454362</v>
      </c>
      <c r="J104" s="224" t="n">
        <f aca="false">-J95-J96</f>
        <v>-208561.386018048</v>
      </c>
      <c r="K104" s="224" t="n">
        <f aca="false">-K95-K96</f>
        <v>-191013.034581734</v>
      </c>
      <c r="L104" s="224" t="n">
        <f aca="false">-L95-L96</f>
        <v>-173464.683145421</v>
      </c>
      <c r="M104" s="224" t="n">
        <f aca="false">-M95-M96</f>
        <v>-155916.331709107</v>
      </c>
      <c r="N104" s="224" t="n">
        <f aca="false">-N95-N96</f>
        <v>-138367.980272794</v>
      </c>
      <c r="O104" s="224" t="n">
        <f aca="false">-O95-O96</f>
        <v>-89420.4288364799</v>
      </c>
      <c r="P104" s="224" t="n">
        <f aca="false">-P95-P96</f>
        <v>-71872.0774001663</v>
      </c>
      <c r="Q104" s="224" t="n">
        <f aca="false">-Q95-Q96</f>
        <v>-54323.7259638527</v>
      </c>
      <c r="R104" s="224" t="n">
        <f aca="false">-R95-R96</f>
        <v>-36775.3745275391</v>
      </c>
      <c r="S104" s="224" t="n">
        <f aca="false">-S95-S96</f>
        <v>-19227.0230912255</v>
      </c>
      <c r="T104" s="224" t="n">
        <f aca="false">-T95-T96</f>
        <v>1099473.82834509</v>
      </c>
      <c r="U104" s="224" t="n">
        <f aca="false">-U95-U96</f>
        <v>1095376.869135</v>
      </c>
      <c r="V104" s="224" t="n">
        <f aca="false">-V95-V96</f>
        <v>1091279.90992492</v>
      </c>
      <c r="W104" s="224" t="n">
        <f aca="false">-W95-W96</f>
        <v>1087182.95071483</v>
      </c>
      <c r="X104" s="224" t="n">
        <f aca="false">-X95-X96</f>
        <v>-246929.495311263</v>
      </c>
    </row>
    <row r="105" customFormat="false" ht="15.75" hidden="false" customHeight="true" outlineLevel="0" collapsed="false">
      <c r="B105" s="220" t="s">
        <v>87</v>
      </c>
      <c r="C105" s="239" t="e">
        <f aca="false">IRR(D104:X104)</f>
        <v>#N/A</v>
      </c>
      <c r="D105" s="225"/>
      <c r="E105" s="225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</row>
    <row r="106" customFormat="false" ht="15.75" hidden="false" customHeight="true" outlineLevel="0" collapsed="false">
      <c r="B106" s="236" t="s">
        <v>88</v>
      </c>
      <c r="C106" s="237"/>
      <c r="D106" s="238" t="n">
        <f aca="false">D85-D94</f>
        <v>-4250979.8077632</v>
      </c>
      <c r="E106" s="224" t="n">
        <f aca="false">E85</f>
        <v>-309727.54640367</v>
      </c>
      <c r="F106" s="224" t="n">
        <f aca="false">F85-F96</f>
        <v>-290229.378141099</v>
      </c>
      <c r="G106" s="224" t="n">
        <f aca="false">G85-G96</f>
        <v>-270731.209878528</v>
      </c>
      <c r="H106" s="224" t="n">
        <f aca="false">H85-H96</f>
        <v>-251233.041615957</v>
      </c>
      <c r="I106" s="224" t="n">
        <f aca="false">I85-I96</f>
        <v>-231734.873353387</v>
      </c>
      <c r="J106" s="224" t="n">
        <f aca="false">J85-J96</f>
        <v>-212236.705090816</v>
      </c>
      <c r="K106" s="224" t="n">
        <f aca="false">K85-K96</f>
        <v>-192738.536828245</v>
      </c>
      <c r="L106" s="224" t="n">
        <f aca="false">L85-L96</f>
        <v>-173240.368565675</v>
      </c>
      <c r="M106" s="224" t="n">
        <f aca="false">M85-M96</f>
        <v>-153742.200303104</v>
      </c>
      <c r="N106" s="224" t="n">
        <f aca="false">N85-N96</f>
        <v>-99356.0320405332</v>
      </c>
      <c r="O106" s="224" t="n">
        <f aca="false">O85-O96</f>
        <v>-79857.8637779626</v>
      </c>
      <c r="P106" s="224" t="n">
        <f aca="false">P85-P96</f>
        <v>-60359.6955153919</v>
      </c>
      <c r="Q106" s="224" t="n">
        <f aca="false">Q85-Q96</f>
        <v>-40861.5272528213</v>
      </c>
      <c r="R106" s="224" t="n">
        <f aca="false">R85-R96</f>
        <v>-21363.3589902506</v>
      </c>
      <c r="S106" s="224" t="n">
        <f aca="false">S85-S96</f>
        <v>-1865.19072767984</v>
      </c>
      <c r="T106" s="224" t="n">
        <f aca="false">T85-T96</f>
        <v>1094735.13237222</v>
      </c>
      <c r="U106" s="224" t="n">
        <f aca="false">U85-U96</f>
        <v>1090182.95547213</v>
      </c>
      <c r="V106" s="224" t="n">
        <f aca="false">V85-V96</f>
        <v>1085630.77857203</v>
      </c>
      <c r="W106" s="224" t="n">
        <f aca="false">W85-W96</f>
        <v>1081078.60167194</v>
      </c>
      <c r="X106" s="229"/>
    </row>
    <row r="107" customFormat="false" ht="15.75" hidden="false" customHeight="true" outlineLevel="0" collapsed="false">
      <c r="B107" s="236" t="s">
        <v>89</v>
      </c>
      <c r="C107" s="239" t="e">
        <f aca="false">IRR(D106:W106)</f>
        <v>#N/A</v>
      </c>
      <c r="D107" s="225"/>
      <c r="E107" s="225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</row>
    <row r="108" customFormat="false" ht="15.75" hidden="false" customHeight="true" outlineLevel="0" collapsed="false"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</row>
    <row r="109" customFormat="false" ht="15.75" hidden="false" customHeight="true" outlineLevel="0" collapsed="false">
      <c r="B109" s="220" t="s">
        <v>90</v>
      </c>
      <c r="C109" s="221" t="n">
        <v>0</v>
      </c>
      <c r="D109" s="221" t="n">
        <f aca="false">D92</f>
        <v>17618440</v>
      </c>
      <c r="E109" s="221" t="n">
        <f aca="false">D109+E93</f>
        <v>16443877.3333333</v>
      </c>
      <c r="F109" s="221" t="n">
        <f aca="false">E109+F93</f>
        <v>15269314.6666667</v>
      </c>
      <c r="G109" s="221" t="n">
        <f aca="false">F109+G93</f>
        <v>14094752</v>
      </c>
      <c r="H109" s="221" t="n">
        <f aca="false">G109+H93</f>
        <v>12920189.3333333</v>
      </c>
      <c r="I109" s="221" t="n">
        <f aca="false">H109+I93</f>
        <v>11745626.6666667</v>
      </c>
      <c r="J109" s="221" t="n">
        <f aca="false">I109+J93</f>
        <v>10571064</v>
      </c>
      <c r="K109" s="221" t="n">
        <f aca="false">J109+K93</f>
        <v>9396501.33333333</v>
      </c>
      <c r="L109" s="221" t="n">
        <f aca="false">K109+L93</f>
        <v>8221938.66666666</v>
      </c>
      <c r="M109" s="221" t="n">
        <f aca="false">L109+M93</f>
        <v>7047375.99999999</v>
      </c>
      <c r="N109" s="221" t="n">
        <f aca="false">M109+N93</f>
        <v>5872813.33333332</v>
      </c>
      <c r="O109" s="221" t="n">
        <f aca="false">N109+O93</f>
        <v>4698250.66666666</v>
      </c>
      <c r="P109" s="221" t="n">
        <f aca="false">O109+P93</f>
        <v>3523687.99999999</v>
      </c>
      <c r="Q109" s="221" t="n">
        <f aca="false">P109+Q93</f>
        <v>2349125.33333332</v>
      </c>
      <c r="R109" s="221" t="n">
        <f aca="false">Q109+R93</f>
        <v>1174562.66666666</v>
      </c>
      <c r="S109" s="221" t="n">
        <f aca="false">R109+S93</f>
        <v>-1.11758708953857E-008</v>
      </c>
      <c r="T109" s="221" t="n">
        <f aca="false">S109+T93</f>
        <v>-1.11758708953857E-008</v>
      </c>
      <c r="U109" s="221" t="n">
        <f aca="false">T109+U93</f>
        <v>-1.11758708953857E-008</v>
      </c>
      <c r="V109" s="221" t="n">
        <f aca="false">U109+V93</f>
        <v>-1.11758708953857E-008</v>
      </c>
      <c r="W109" s="221" t="n">
        <f aca="false">V109+W93</f>
        <v>-1.11758708953857E-008</v>
      </c>
      <c r="X109" s="2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2" t="s">
        <v>0</v>
      </c>
      <c r="C1" s="124"/>
      <c r="D1" s="124"/>
      <c r="E1" s="125"/>
      <c r="F1" s="126" t="s">
        <v>108</v>
      </c>
      <c r="P1" s="127" t="n">
        <f aca="false">1-D11</f>
        <v>0.99</v>
      </c>
      <c r="Q1" s="127" t="n">
        <f aca="false">P1-$D12</f>
        <v>0.986</v>
      </c>
      <c r="R1" s="127" t="n">
        <f aca="false">Q1-$D12</f>
        <v>0.982</v>
      </c>
      <c r="S1" s="127" t="n">
        <f aca="false">R1-$D12</f>
        <v>0.978</v>
      </c>
      <c r="T1" s="127" t="n">
        <f aca="false">S1-$D12</f>
        <v>0.974</v>
      </c>
      <c r="U1" s="127" t="n">
        <f aca="false">T1-$D12</f>
        <v>0.97</v>
      </c>
      <c r="V1" s="127" t="n">
        <f aca="false">U1-$D12</f>
        <v>0.966</v>
      </c>
      <c r="W1" s="127" t="n">
        <f aca="false">V1-$D12</f>
        <v>0.962</v>
      </c>
      <c r="X1" s="127" t="n">
        <f aca="false">W1-$D12</f>
        <v>0.958</v>
      </c>
      <c r="Y1" s="127" t="n">
        <f aca="false">X1-$D12</f>
        <v>0.954</v>
      </c>
      <c r="Z1" s="127" t="n">
        <f aca="false">Y1-$D12</f>
        <v>0.95</v>
      </c>
      <c r="AA1" s="127" t="n">
        <f aca="false">Z1-$D12</f>
        <v>0.946</v>
      </c>
      <c r="AB1" s="127" t="n">
        <f aca="false">AA1-$D12</f>
        <v>0.942</v>
      </c>
      <c r="AC1" s="127" t="n">
        <f aca="false">AB1-$D12</f>
        <v>0.938</v>
      </c>
      <c r="AD1" s="127" t="n">
        <f aca="false">AC1-$D12</f>
        <v>0.934</v>
      </c>
      <c r="AE1" s="127" t="n">
        <f aca="false">AD1-$D12</f>
        <v>0.93</v>
      </c>
      <c r="AF1" s="127" t="n">
        <f aca="false">AE1-$D12</f>
        <v>0.926</v>
      </c>
      <c r="AG1" s="127" t="n">
        <f aca="false">AF1-$D12</f>
        <v>0.922</v>
      </c>
      <c r="AH1" s="127" t="n">
        <f aca="false">AG1-$D12</f>
        <v>0.918</v>
      </c>
      <c r="AI1" s="127" t="n">
        <f aca="false">AH1-$D12</f>
        <v>0.914</v>
      </c>
    </row>
    <row r="2" customFormat="false" ht="21.75" hidden="false" customHeight="true" outlineLevel="0" collapsed="false">
      <c r="B2" s="5" t="s">
        <v>1</v>
      </c>
      <c r="C2" s="128" t="s">
        <v>109</v>
      </c>
      <c r="D2" s="6" t="s">
        <v>3</v>
      </c>
      <c r="E2" s="129" t="s">
        <v>3</v>
      </c>
      <c r="F2" s="130" t="s">
        <v>110</v>
      </c>
    </row>
    <row r="3" customFormat="false" ht="21.75" hidden="false" customHeight="true" outlineLevel="0" collapsed="false">
      <c r="B3" s="32" t="s">
        <v>4</v>
      </c>
      <c r="C3" s="131" t="n">
        <v>20</v>
      </c>
      <c r="D3" s="9" t="s">
        <v>3</v>
      </c>
      <c r="E3" s="132" t="s">
        <v>3</v>
      </c>
      <c r="F3" s="133" t="s">
        <v>111</v>
      </c>
    </row>
    <row r="4" customFormat="false" ht="21.75" hidden="false" customHeight="true" outlineLevel="0" collapsed="false">
      <c r="B4" s="32" t="s">
        <v>112</v>
      </c>
      <c r="C4" s="131" t="n">
        <v>436.1</v>
      </c>
      <c r="D4" s="9" t="s">
        <v>3</v>
      </c>
      <c r="E4" s="132" t="s">
        <v>3</v>
      </c>
      <c r="F4" s="133" t="s">
        <v>113</v>
      </c>
      <c r="M4" s="0" t="s">
        <v>158</v>
      </c>
    </row>
    <row r="5" customFormat="false" ht="22.5" hidden="false" customHeight="true" outlineLevel="0" collapsed="false">
      <c r="B5" s="10" t="s">
        <v>6</v>
      </c>
      <c r="C5" s="131" t="n">
        <v>2023</v>
      </c>
      <c r="D5" s="10" t="s">
        <v>7</v>
      </c>
      <c r="E5" s="134" t="n">
        <v>2042</v>
      </c>
      <c r="F5" s="133" t="s">
        <v>115</v>
      </c>
      <c r="M5" s="0" t="s">
        <v>159</v>
      </c>
    </row>
    <row r="6" customFormat="false" ht="20.25" hidden="false" customHeight="true" outlineLevel="0" collapsed="false">
      <c r="B6" s="11"/>
      <c r="C6" s="11"/>
      <c r="D6" s="11"/>
      <c r="E6" s="11"/>
      <c r="M6" s="0" t="s">
        <v>160</v>
      </c>
    </row>
    <row r="7" customFormat="false" ht="22.5" hidden="false" customHeight="true" outlineLevel="0" collapsed="false">
      <c r="B7" s="12" t="s">
        <v>8</v>
      </c>
      <c r="C7" s="124"/>
      <c r="D7" s="124"/>
      <c r="E7" s="125"/>
      <c r="M7" s="0" t="s">
        <v>161</v>
      </c>
    </row>
    <row r="8" customFormat="false" ht="22.5" hidden="false" customHeight="true" outlineLevel="0" collapsed="false">
      <c r="B8" s="13" t="s">
        <v>9</v>
      </c>
      <c r="E8" s="135"/>
      <c r="M8" s="0" t="s">
        <v>162</v>
      </c>
    </row>
    <row r="9" customFormat="false" ht="22.5" hidden="false" customHeight="true" outlineLevel="0" collapsed="false">
      <c r="B9" s="14" t="s">
        <v>10</v>
      </c>
      <c r="C9" s="15" t="s">
        <v>11</v>
      </c>
      <c r="D9" s="15" t="s">
        <v>12</v>
      </c>
      <c r="E9" s="136" t="s">
        <v>13</v>
      </c>
      <c r="F9" s="126" t="s">
        <v>108</v>
      </c>
      <c r="M9" s="0" t="s">
        <v>120</v>
      </c>
    </row>
    <row r="10" customFormat="false" ht="30" hidden="false" customHeight="true" outlineLevel="0" collapsed="false">
      <c r="B10" s="17" t="s">
        <v>14</v>
      </c>
      <c r="C10" s="18" t="s">
        <v>121</v>
      </c>
      <c r="D10" s="137" t="n">
        <v>547002</v>
      </c>
      <c r="E10" s="138" t="n">
        <v>20</v>
      </c>
      <c r="F10" s="133" t="s">
        <v>122</v>
      </c>
      <c r="M10" s="0" t="s">
        <v>99</v>
      </c>
    </row>
    <row r="11" customFormat="false" ht="30" hidden="false" customHeight="true" outlineLevel="0" collapsed="false">
      <c r="B11" s="139"/>
      <c r="C11" s="10" t="s">
        <v>16</v>
      </c>
      <c r="D11" s="140" t="n">
        <v>0.01</v>
      </c>
      <c r="E11" s="141"/>
      <c r="F11" s="133" t="s">
        <v>124</v>
      </c>
    </row>
    <row r="12" customFormat="false" ht="30" hidden="false" customHeight="true" outlineLevel="0" collapsed="false">
      <c r="B12" s="139"/>
      <c r="C12" s="10" t="s">
        <v>17</v>
      </c>
      <c r="D12" s="142" t="n">
        <v>0.004</v>
      </c>
      <c r="E12" s="141"/>
      <c r="F12" s="133" t="s">
        <v>125</v>
      </c>
    </row>
    <row r="13" customFormat="false" ht="22.5" hidden="false" customHeight="true" outlineLevel="0" collapsed="false">
      <c r="B13" s="139"/>
      <c r="C13" s="21" t="s">
        <v>126</v>
      </c>
      <c r="D13" s="143" t="n">
        <v>3.7152</v>
      </c>
      <c r="E13" s="141"/>
      <c r="F13" s="133" t="s">
        <v>127</v>
      </c>
    </row>
    <row r="14" customFormat="false" ht="22.5" hidden="false" customHeight="true" outlineLevel="0" collapsed="false">
      <c r="B14" s="22" t="s">
        <v>19</v>
      </c>
      <c r="C14" s="124"/>
      <c r="D14" s="124"/>
      <c r="E14" s="125"/>
    </row>
    <row r="15" customFormat="false" ht="22.5" hidden="false" customHeight="true" outlineLevel="0" collapsed="false">
      <c r="B15" s="14" t="s">
        <v>10</v>
      </c>
      <c r="C15" s="15" t="s">
        <v>11</v>
      </c>
      <c r="D15" s="15" t="s">
        <v>12</v>
      </c>
      <c r="E15" s="136" t="s">
        <v>20</v>
      </c>
      <c r="F15" s="126" t="s">
        <v>108</v>
      </c>
    </row>
    <row r="16" customFormat="false" ht="21.75" hidden="false" customHeight="true" outlineLevel="0" collapsed="false">
      <c r="B16" s="18" t="s">
        <v>128</v>
      </c>
      <c r="C16" s="18" t="s">
        <v>129</v>
      </c>
      <c r="D16" s="144" t="n">
        <v>36000</v>
      </c>
      <c r="E16" s="129" t="n">
        <v>20</v>
      </c>
      <c r="F16" s="133" t="s">
        <v>130</v>
      </c>
    </row>
    <row r="17" customFormat="false" ht="21.75" hidden="false" customHeight="true" outlineLevel="0" collapsed="false">
      <c r="B17" s="139"/>
      <c r="C17" s="10" t="s">
        <v>131</v>
      </c>
      <c r="D17" s="145" t="n">
        <v>0.2</v>
      </c>
      <c r="E17" s="141"/>
      <c r="F17" s="133" t="s">
        <v>132</v>
      </c>
    </row>
    <row r="18" customFormat="false" ht="21.75" hidden="false" customHeight="true" outlineLevel="0" collapsed="false">
      <c r="B18" s="146"/>
      <c r="C18" s="10" t="s">
        <v>24</v>
      </c>
      <c r="D18" s="147" t="n">
        <v>3000</v>
      </c>
      <c r="E18" s="148"/>
      <c r="F18" s="133" t="s">
        <v>133</v>
      </c>
    </row>
    <row r="19" customFormat="false" ht="54" hidden="false" customHeight="true" outlineLevel="0" collapsed="false">
      <c r="B19" s="10" t="s">
        <v>25</v>
      </c>
      <c r="C19" s="149" t="s">
        <v>134</v>
      </c>
      <c r="D19" s="145" t="n">
        <v>2</v>
      </c>
      <c r="E19" s="129" t="n">
        <v>20</v>
      </c>
      <c r="F19" s="133" t="s">
        <v>135</v>
      </c>
    </row>
    <row r="20" customFormat="false" ht="20.25" hidden="false" customHeight="true" outlineLevel="0" collapsed="false">
      <c r="B20" s="139"/>
      <c r="C20" s="26" t="s">
        <v>136</v>
      </c>
      <c r="D20" s="147" t="n">
        <v>0</v>
      </c>
      <c r="E20" s="129" t="n">
        <v>20</v>
      </c>
      <c r="F20" s="133" t="s">
        <v>137</v>
      </c>
    </row>
    <row r="21" customFormat="false" ht="30" hidden="false" customHeight="true" outlineLevel="0" collapsed="false">
      <c r="B21" s="146"/>
      <c r="C21" s="10" t="s">
        <v>138</v>
      </c>
      <c r="D21" s="145" t="n">
        <v>0.3</v>
      </c>
      <c r="E21" s="132" t="n">
        <v>20</v>
      </c>
      <c r="F21" s="133" t="s">
        <v>139</v>
      </c>
    </row>
    <row r="22" customFormat="false" ht="30" hidden="false" customHeight="true" outlineLevel="0" collapsed="false">
      <c r="B22" s="10" t="s">
        <v>29</v>
      </c>
      <c r="C22" s="10" t="s">
        <v>140</v>
      </c>
      <c r="D22" s="150" t="n">
        <v>400</v>
      </c>
      <c r="E22" s="132" t="n">
        <v>20</v>
      </c>
      <c r="F22" s="133" t="s">
        <v>141</v>
      </c>
    </row>
    <row r="23" customFormat="false" ht="30" hidden="false" customHeight="true" outlineLevel="0" collapsed="false">
      <c r="B23" s="10" t="s">
        <v>31</v>
      </c>
      <c r="C23" s="10" t="s">
        <v>32</v>
      </c>
      <c r="D23" s="145" t="n">
        <v>0.003</v>
      </c>
      <c r="E23" s="132" t="n">
        <v>20</v>
      </c>
      <c r="F23" s="133" t="s">
        <v>142</v>
      </c>
    </row>
    <row r="24" customFormat="false" ht="30" hidden="false" customHeight="true" outlineLevel="0" collapsed="false">
      <c r="B24" s="10" t="s">
        <v>33</v>
      </c>
      <c r="C24" s="10" t="s">
        <v>143</v>
      </c>
      <c r="D24" s="150" t="n">
        <v>1000</v>
      </c>
      <c r="E24" s="151" t="n">
        <v>10</v>
      </c>
      <c r="F24" s="133" t="s">
        <v>144</v>
      </c>
    </row>
    <row r="25" customFormat="false" ht="30" hidden="false" customHeight="true" outlineLevel="0" collapsed="false">
      <c r="B25" s="10" t="s">
        <v>35</v>
      </c>
      <c r="C25" s="10" t="s">
        <v>36</v>
      </c>
      <c r="D25" s="152" t="n">
        <v>0.025595</v>
      </c>
      <c r="E25" s="132" t="n">
        <v>20</v>
      </c>
      <c r="F25" s="133" t="s">
        <v>145</v>
      </c>
    </row>
    <row r="26" customFormat="false" ht="30" hidden="false" customHeight="true" outlineLevel="0" collapsed="false">
      <c r="B26" s="10" t="s">
        <v>37</v>
      </c>
      <c r="C26" s="10" t="s">
        <v>38</v>
      </c>
      <c r="D26" s="145" t="n">
        <v>0.2</v>
      </c>
      <c r="E26" s="132" t="n">
        <v>20</v>
      </c>
      <c r="F26" s="133" t="s">
        <v>146</v>
      </c>
    </row>
    <row r="27" customFormat="false" ht="20.25" hidden="false" customHeight="true" outlineLevel="0" collapsed="false">
      <c r="B27" s="11"/>
      <c r="C27" s="11"/>
      <c r="D27" s="11"/>
      <c r="E27" s="11"/>
    </row>
    <row r="28" customFormat="false" ht="20.25" hidden="false" customHeight="true" outlineLevel="0" collapsed="false">
      <c r="B28" s="11"/>
      <c r="C28" s="11"/>
      <c r="D28" s="11"/>
      <c r="E28" s="11"/>
    </row>
    <row r="29" customFormat="false" ht="22.5" hidden="false" customHeight="true" outlineLevel="0" collapsed="false">
      <c r="B29" s="12" t="s">
        <v>39</v>
      </c>
      <c r="C29" s="124"/>
      <c r="D29" s="125"/>
      <c r="E29" s="11"/>
    </row>
    <row r="30" customFormat="false" ht="22.5" hidden="false" customHeight="true" outlineLevel="0" collapsed="false">
      <c r="B30" s="14" t="s">
        <v>40</v>
      </c>
      <c r="C30" s="29" t="s">
        <v>11</v>
      </c>
      <c r="D30" s="30" t="s">
        <v>12</v>
      </c>
      <c r="E30" s="11"/>
      <c r="F30" s="126" t="s">
        <v>108</v>
      </c>
    </row>
    <row r="31" customFormat="false" ht="30" hidden="false" customHeight="true" outlineLevel="0" collapsed="false">
      <c r="B31" s="18" t="s">
        <v>41</v>
      </c>
      <c r="C31" s="5" t="s">
        <v>42</v>
      </c>
      <c r="D31" s="153" t="n">
        <v>0.8</v>
      </c>
      <c r="E31" s="11"/>
      <c r="F31" s="133" t="s">
        <v>147</v>
      </c>
    </row>
    <row r="32" customFormat="false" ht="18.75" hidden="false" customHeight="true" outlineLevel="0" collapsed="false">
      <c r="B32" s="18" t="s">
        <v>43</v>
      </c>
      <c r="C32" s="5" t="s">
        <v>44</v>
      </c>
      <c r="D32" s="153" t="n">
        <v>15</v>
      </c>
      <c r="E32" s="11"/>
      <c r="F32" s="133" t="s">
        <v>148</v>
      </c>
    </row>
    <row r="33" customFormat="false" ht="18.75" hidden="false" customHeight="true" outlineLevel="0" collapsed="false">
      <c r="B33" s="10" t="s">
        <v>45</v>
      </c>
      <c r="C33" s="32" t="s">
        <v>46</v>
      </c>
      <c r="D33" s="145" t="n">
        <v>0.9</v>
      </c>
      <c r="E33" s="11"/>
      <c r="F33" s="133" t="s">
        <v>149</v>
      </c>
    </row>
    <row r="34" customFormat="false" ht="30" hidden="false" customHeight="true" outlineLevel="0" collapsed="false">
      <c r="B34" s="10" t="s">
        <v>47</v>
      </c>
      <c r="C34" s="32" t="s">
        <v>44</v>
      </c>
      <c r="D34" s="145" t="n">
        <v>4</v>
      </c>
      <c r="E34" s="11"/>
      <c r="F34" s="133" t="s">
        <v>150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97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54" t="n">
        <v>0</v>
      </c>
      <c r="C38" s="155"/>
      <c r="D38" s="156"/>
      <c r="E38" s="156"/>
      <c r="F38" s="157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9"/>
      <c r="U38" s="158"/>
      <c r="V38" s="158"/>
      <c r="W38" s="158"/>
      <c r="X38" s="160"/>
    </row>
    <row r="39" customFormat="false" ht="18.75" hidden="false" customHeight="true" outlineLevel="0" collapsed="false">
      <c r="B39" s="161" t="s">
        <v>51</v>
      </c>
      <c r="C39" s="162" t="n">
        <v>0</v>
      </c>
      <c r="D39" s="163" t="n">
        <v>1</v>
      </c>
      <c r="E39" s="163" t="n">
        <v>2</v>
      </c>
      <c r="F39" s="163" t="n">
        <v>3</v>
      </c>
      <c r="G39" s="163" t="n">
        <v>4</v>
      </c>
      <c r="H39" s="163" t="n">
        <v>5</v>
      </c>
      <c r="I39" s="163" t="n">
        <v>6</v>
      </c>
      <c r="J39" s="163" t="n">
        <v>7</v>
      </c>
      <c r="K39" s="163" t="n">
        <v>8</v>
      </c>
      <c r="L39" s="163" t="n">
        <v>9</v>
      </c>
      <c r="M39" s="163" t="n">
        <v>10</v>
      </c>
      <c r="N39" s="163" t="n">
        <v>11</v>
      </c>
      <c r="O39" s="163" t="n">
        <v>12</v>
      </c>
      <c r="P39" s="163" t="n">
        <v>13</v>
      </c>
      <c r="Q39" s="163" t="n">
        <v>14</v>
      </c>
      <c r="R39" s="163" t="n">
        <v>15</v>
      </c>
      <c r="S39" s="163" t="n">
        <v>16</v>
      </c>
      <c r="T39" s="164" t="n">
        <v>17</v>
      </c>
      <c r="U39" s="163" t="n">
        <v>18</v>
      </c>
      <c r="V39" s="163" t="n">
        <v>19</v>
      </c>
      <c r="W39" s="163" t="n">
        <v>20</v>
      </c>
      <c r="X39" s="47"/>
    </row>
    <row r="40" customFormat="false" ht="18.75" hidden="false" customHeight="true" outlineLevel="0" collapsed="false">
      <c r="B40" s="165" t="s">
        <v>52</v>
      </c>
      <c r="C40" s="166" t="n">
        <v>0</v>
      </c>
      <c r="D40" s="167" t="n">
        <f aca="false">$D$10*P1</f>
        <v>541531.98</v>
      </c>
      <c r="E40" s="167" t="n">
        <f aca="false">$D$10*Q1</f>
        <v>539343.972</v>
      </c>
      <c r="F40" s="167" t="n">
        <f aca="false">$D$10*R1</f>
        <v>537155.964</v>
      </c>
      <c r="G40" s="167" t="n">
        <f aca="false">$D$10*S1</f>
        <v>534967.956</v>
      </c>
      <c r="H40" s="167" t="n">
        <f aca="false">$D$10*T1</f>
        <v>532779.948</v>
      </c>
      <c r="I40" s="167" t="n">
        <f aca="false">$D$10*U1</f>
        <v>530591.94</v>
      </c>
      <c r="J40" s="167" t="n">
        <f aca="false">$D$10*V1</f>
        <v>528403.932</v>
      </c>
      <c r="K40" s="167" t="n">
        <f aca="false">$D$10*W1</f>
        <v>526215.924</v>
      </c>
      <c r="L40" s="167" t="n">
        <f aca="false">$D$10*X1</f>
        <v>524027.916</v>
      </c>
      <c r="M40" s="167" t="n">
        <f aca="false">$D$10*Y1</f>
        <v>521839.908</v>
      </c>
      <c r="N40" s="167" t="n">
        <f aca="false">$D$10*Z1</f>
        <v>519651.9</v>
      </c>
      <c r="O40" s="167" t="n">
        <f aca="false">$D$10*AA1</f>
        <v>517463.892</v>
      </c>
      <c r="P40" s="167" t="n">
        <f aca="false">$D$10*AB1</f>
        <v>515275.884</v>
      </c>
      <c r="Q40" s="167" t="n">
        <f aca="false">$D$10*AC1</f>
        <v>513087.876</v>
      </c>
      <c r="R40" s="167" t="n">
        <f aca="false">$D$10*AD1</f>
        <v>510899.868</v>
      </c>
      <c r="S40" s="167" t="n">
        <f aca="false">$D$10*AE1</f>
        <v>508711.86</v>
      </c>
      <c r="T40" s="167" t="n">
        <f aca="false">$D$10*AF1</f>
        <v>506523.852</v>
      </c>
      <c r="U40" s="167" t="n">
        <f aca="false">$D$10*AG1</f>
        <v>504335.844</v>
      </c>
      <c r="V40" s="167" t="n">
        <f aca="false">$D$10*AH1</f>
        <v>502147.836</v>
      </c>
      <c r="W40" s="167" t="n">
        <f aca="false">$D$10*AI1</f>
        <v>499959.828</v>
      </c>
      <c r="X40" s="168"/>
    </row>
    <row r="41" customFormat="false" ht="18.75" hidden="false" customHeight="true" outlineLevel="0" collapsed="false">
      <c r="B41" s="169" t="s">
        <v>53</v>
      </c>
      <c r="C41" s="170" t="s">
        <v>3</v>
      </c>
      <c r="D41" s="171" t="n">
        <f aca="false">D40*$D$13</f>
        <v>2011899.612096</v>
      </c>
      <c r="E41" s="171" t="n">
        <f aca="false">E40*$D$13</f>
        <v>2003770.7247744</v>
      </c>
      <c r="F41" s="171" t="n">
        <f aca="false">F40*$D$13</f>
        <v>1995641.8374528</v>
      </c>
      <c r="G41" s="171" t="n">
        <f aca="false">G40*$D$13</f>
        <v>1987512.9501312</v>
      </c>
      <c r="H41" s="171" t="n">
        <f aca="false">H40*$D$13</f>
        <v>1979384.0628096</v>
      </c>
      <c r="I41" s="171" t="n">
        <f aca="false">I40*$D$13</f>
        <v>1971255.175488</v>
      </c>
      <c r="J41" s="171" t="n">
        <f aca="false">J40*$D$13</f>
        <v>1963126.2881664</v>
      </c>
      <c r="K41" s="171" t="n">
        <f aca="false">K40*$D$13</f>
        <v>1954997.4008448</v>
      </c>
      <c r="L41" s="171" t="n">
        <f aca="false">L40*$D$13</f>
        <v>1946868.5135232</v>
      </c>
      <c r="M41" s="171" t="n">
        <f aca="false">M40*$D$13</f>
        <v>1938739.6262016</v>
      </c>
      <c r="N41" s="171" t="n">
        <f aca="false">N40*$D$13</f>
        <v>1930610.73888</v>
      </c>
      <c r="O41" s="171" t="n">
        <f aca="false">O40*$D$13</f>
        <v>1922481.8515584</v>
      </c>
      <c r="P41" s="171" t="n">
        <f aca="false">P40*$D$13</f>
        <v>1914352.9642368</v>
      </c>
      <c r="Q41" s="171" t="n">
        <f aca="false">Q40*$D$13</f>
        <v>1906224.0769152</v>
      </c>
      <c r="R41" s="171" t="n">
        <f aca="false">R40*$D$13</f>
        <v>1898095.1895936</v>
      </c>
      <c r="S41" s="171" t="n">
        <f aca="false">S40*$D$13</f>
        <v>1889966.302272</v>
      </c>
      <c r="T41" s="171" t="n">
        <f aca="false">T40*$D$13</f>
        <v>1881837.4149504</v>
      </c>
      <c r="U41" s="171" t="n">
        <f aca="false">U40*$D$13</f>
        <v>1873708.5276288</v>
      </c>
      <c r="V41" s="171" t="n">
        <f aca="false">V40*$D$13</f>
        <v>1865579.6403072</v>
      </c>
      <c r="W41" s="171" t="n">
        <f aca="false">W40*$D$13</f>
        <v>1857450.7529856</v>
      </c>
      <c r="X41" s="172"/>
    </row>
    <row r="42" customFormat="false" ht="18.75" hidden="false" customHeight="true" outlineLevel="0" collapsed="false">
      <c r="B42" s="173" t="s">
        <v>54</v>
      </c>
      <c r="C42" s="174" t="s">
        <v>3</v>
      </c>
      <c r="D42" s="175"/>
      <c r="E42" s="175"/>
      <c r="F42" s="175"/>
      <c r="G42" s="176" t="s">
        <v>3</v>
      </c>
      <c r="H42" s="176" t="s">
        <v>3</v>
      </c>
      <c r="I42" s="176" t="s">
        <v>3</v>
      </c>
      <c r="J42" s="176" t="s">
        <v>3</v>
      </c>
      <c r="K42" s="176" t="s">
        <v>3</v>
      </c>
      <c r="L42" s="176" t="s">
        <v>3</v>
      </c>
      <c r="M42" s="176" t="s">
        <v>3</v>
      </c>
      <c r="N42" s="176" t="s">
        <v>3</v>
      </c>
      <c r="O42" s="176" t="s">
        <v>3</v>
      </c>
      <c r="P42" s="176" t="s">
        <v>3</v>
      </c>
      <c r="Q42" s="176" t="s">
        <v>3</v>
      </c>
      <c r="R42" s="176" t="s">
        <v>3</v>
      </c>
      <c r="S42" s="176" t="s">
        <v>3</v>
      </c>
      <c r="T42" s="176" t="s">
        <v>3</v>
      </c>
      <c r="U42" s="176" t="s">
        <v>3</v>
      </c>
      <c r="V42" s="176" t="s">
        <v>3</v>
      </c>
      <c r="W42" s="176" t="s">
        <v>3</v>
      </c>
      <c r="X42" s="177"/>
    </row>
    <row r="43" customFormat="false" ht="18.75" hidden="false" customHeight="true" outlineLevel="0" collapsed="false">
      <c r="B43" s="178" t="s">
        <v>55</v>
      </c>
      <c r="C43" s="179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customFormat="false" ht="18.75" hidden="false" customHeight="true" outlineLevel="0" collapsed="false">
      <c r="B44" s="182" t="s">
        <v>56</v>
      </c>
      <c r="C44" s="183" t="n">
        <f aca="false">-(D16/(1-D17)+D18)*C4</f>
        <v>-20932800</v>
      </c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</row>
    <row r="45" customFormat="false" ht="18.75" hidden="false" customHeight="true" outlineLevel="0" collapsed="false">
      <c r="B45" s="182" t="s">
        <v>57</v>
      </c>
      <c r="C45" s="174" t="s">
        <v>3</v>
      </c>
      <c r="D45" s="0" t="n">
        <v>-603569.8836288</v>
      </c>
      <c r="E45" s="184" t="n">
        <v>-601131.21743232</v>
      </c>
      <c r="F45" s="184" t="n">
        <v>-598692.55123584</v>
      </c>
      <c r="G45" s="184" t="n">
        <v>-596253.88503936</v>
      </c>
      <c r="H45" s="184" t="n">
        <v>-593815.21884288</v>
      </c>
      <c r="I45" s="184" t="n">
        <v>-591376.5526464</v>
      </c>
      <c r="J45" s="184" t="n">
        <v>-588937.88644992</v>
      </c>
      <c r="K45" s="184" t="n">
        <v>-586499.22025344</v>
      </c>
      <c r="L45" s="184" t="n">
        <v>-584060.55405696</v>
      </c>
      <c r="M45" s="184" t="n">
        <v>-581621.88786048</v>
      </c>
      <c r="N45" s="184" t="n">
        <v>-579183.221664</v>
      </c>
      <c r="O45" s="184" t="n">
        <v>-576744.55546752</v>
      </c>
      <c r="P45" s="184" t="n">
        <v>-574305.88927104</v>
      </c>
      <c r="Q45" s="184" t="n">
        <v>-571867.22307456</v>
      </c>
      <c r="R45" s="184" t="n">
        <v>-569428.55687808</v>
      </c>
      <c r="S45" s="184" t="n">
        <v>-566989.8906816</v>
      </c>
      <c r="T45" s="184" t="n">
        <v>-564551.22448512</v>
      </c>
      <c r="U45" s="184" t="n">
        <v>-562112.55828864</v>
      </c>
      <c r="V45" s="184" t="n">
        <v>-559673.89209216</v>
      </c>
      <c r="W45" s="184" t="n">
        <v>-557235.22589568</v>
      </c>
      <c r="X45" s="184"/>
    </row>
    <row r="46" customFormat="false" ht="18.75" hidden="false" customHeight="true" outlineLevel="0" collapsed="false">
      <c r="B46" s="182" t="s">
        <v>58</v>
      </c>
      <c r="C46" s="17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</row>
    <row r="47" customFormat="false" ht="18.75" hidden="false" customHeight="true" outlineLevel="0" collapsed="false">
      <c r="B47" s="182" t="s">
        <v>59</v>
      </c>
      <c r="C47" s="174" t="s">
        <v>3</v>
      </c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</row>
    <row r="48" customFormat="false" ht="18.75" hidden="false" customHeight="true" outlineLevel="0" collapsed="false">
      <c r="B48" s="182" t="s">
        <v>60</v>
      </c>
      <c r="C48" s="174" t="s">
        <v>3</v>
      </c>
      <c r="D48" s="184" t="n">
        <v>-174440</v>
      </c>
      <c r="E48" s="184" t="n">
        <v>-174440</v>
      </c>
      <c r="F48" s="184" t="n">
        <v>-174440</v>
      </c>
      <c r="G48" s="184" t="n">
        <v>-174440</v>
      </c>
      <c r="H48" s="184" t="n">
        <v>-174440</v>
      </c>
      <c r="I48" s="184" t="n">
        <v>-174440</v>
      </c>
      <c r="J48" s="184" t="n">
        <v>-174440</v>
      </c>
      <c r="K48" s="184" t="n">
        <v>-174440</v>
      </c>
      <c r="L48" s="184" t="n">
        <v>-174440</v>
      </c>
      <c r="M48" s="184" t="n">
        <v>-174440</v>
      </c>
      <c r="N48" s="184" t="n">
        <v>-174440</v>
      </c>
      <c r="O48" s="184" t="n">
        <v>-174440</v>
      </c>
      <c r="P48" s="184" t="n">
        <v>-174440</v>
      </c>
      <c r="Q48" s="184" t="n">
        <v>-174440</v>
      </c>
      <c r="R48" s="184" t="n">
        <v>-174440</v>
      </c>
      <c r="S48" s="184" t="n">
        <v>-174440</v>
      </c>
      <c r="T48" s="184" t="n">
        <v>-174440</v>
      </c>
      <c r="U48" s="184" t="n">
        <v>-174440</v>
      </c>
      <c r="V48" s="184" t="n">
        <v>-174440</v>
      </c>
      <c r="W48" s="184" t="n">
        <v>-174440</v>
      </c>
      <c r="X48" s="184"/>
    </row>
    <row r="49" customFormat="false" ht="18.75" hidden="false" customHeight="true" outlineLevel="0" collapsed="false">
      <c r="B49" s="182" t="s">
        <v>61</v>
      </c>
      <c r="C49" s="174" t="s">
        <v>3</v>
      </c>
      <c r="D49" s="184" t="n">
        <v>-47098.8</v>
      </c>
      <c r="E49" s="184" t="n">
        <v>-47098.8</v>
      </c>
      <c r="F49" s="184" t="n">
        <v>-47098.8</v>
      </c>
      <c r="G49" s="184" t="n">
        <v>-47098.8</v>
      </c>
      <c r="H49" s="184" t="n">
        <v>-47098.8</v>
      </c>
      <c r="I49" s="184" t="n">
        <v>-47098.8</v>
      </c>
      <c r="J49" s="184" t="n">
        <v>-47098.8</v>
      </c>
      <c r="K49" s="184" t="n">
        <v>-47098.8</v>
      </c>
      <c r="L49" s="184" t="n">
        <v>-47098.8</v>
      </c>
      <c r="M49" s="184" t="n">
        <v>-47098.8</v>
      </c>
      <c r="N49" s="184" t="n">
        <v>-47098.8</v>
      </c>
      <c r="O49" s="184" t="n">
        <v>-47098.8</v>
      </c>
      <c r="P49" s="184" t="n">
        <v>-47098.8</v>
      </c>
      <c r="Q49" s="184" t="n">
        <v>-47098.8</v>
      </c>
      <c r="R49" s="184" t="n">
        <v>-47098.8</v>
      </c>
      <c r="S49" s="184" t="n">
        <v>-47098.8</v>
      </c>
      <c r="T49" s="184" t="n">
        <v>-47098.8</v>
      </c>
      <c r="U49" s="184" t="n">
        <v>-47098.8</v>
      </c>
      <c r="V49" s="184" t="n">
        <v>-47098.8</v>
      </c>
      <c r="W49" s="184" t="n">
        <v>-47098.8</v>
      </c>
      <c r="X49" s="184"/>
    </row>
    <row r="50" customFormat="false" ht="18.75" hidden="false" customHeight="true" outlineLevel="0" collapsed="false">
      <c r="B50" s="182" t="s">
        <v>62</v>
      </c>
      <c r="C50" s="174"/>
      <c r="D50" s="184" t="n">
        <v>-43610</v>
      </c>
      <c r="E50" s="184" t="n">
        <v>-43610</v>
      </c>
      <c r="F50" s="184" t="n">
        <v>-43610</v>
      </c>
      <c r="G50" s="184" t="n">
        <v>-43610</v>
      </c>
      <c r="H50" s="184" t="n">
        <v>-43610</v>
      </c>
      <c r="I50" s="184" t="n">
        <v>-43610</v>
      </c>
      <c r="J50" s="184" t="n">
        <v>-43610</v>
      </c>
      <c r="K50" s="184" t="n">
        <v>-43610</v>
      </c>
      <c r="L50" s="184" t="n">
        <v>-43610</v>
      </c>
      <c r="M50" s="184" t="n">
        <v>-43610</v>
      </c>
      <c r="N50" s="184" t="n">
        <v>0</v>
      </c>
      <c r="O50" s="184" t="n">
        <v>0</v>
      </c>
      <c r="P50" s="184" t="n">
        <v>0</v>
      </c>
      <c r="Q50" s="184" t="n">
        <v>0</v>
      </c>
      <c r="R50" s="184" t="n">
        <v>0</v>
      </c>
      <c r="S50" s="184" t="n">
        <v>0</v>
      </c>
      <c r="T50" s="184" t="n">
        <v>0</v>
      </c>
      <c r="U50" s="184" t="n">
        <v>0</v>
      </c>
      <c r="V50" s="184" t="n">
        <v>0</v>
      </c>
      <c r="W50" s="184" t="n">
        <v>0</v>
      </c>
      <c r="X50" s="184"/>
    </row>
    <row r="51" customFormat="false" ht="18.75" hidden="false" customHeight="true" outlineLevel="0" collapsed="false">
      <c r="B51" s="182" t="s">
        <v>63</v>
      </c>
      <c r="C51" s="185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</row>
    <row r="52" customFormat="false" ht="18.75" hidden="false" customHeight="true" outlineLevel="0" collapsed="false">
      <c r="B52" s="182" t="s">
        <v>64</v>
      </c>
      <c r="C52" s="185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</row>
    <row r="53" customFormat="false" ht="18.75" hidden="false" customHeight="true" outlineLevel="0" collapsed="false">
      <c r="B53" s="186" t="s">
        <v>65</v>
      </c>
      <c r="C53" s="185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</row>
    <row r="54" customFormat="false" ht="18.75" hidden="false" customHeight="true" outlineLevel="0" collapsed="false">
      <c r="B54" s="186" t="s">
        <v>66</v>
      </c>
      <c r="C54" s="185"/>
      <c r="D54" s="184" t="n">
        <f aca="false">-(D64+D67+D68+D71+D72+D73+D74)*0.2</f>
        <v>-140022.1624192</v>
      </c>
      <c r="E54" s="184" t="n">
        <f aca="false">-(E64+E67+E68+E71+E72+E73+E74)*0.2</f>
        <v>-18170.141468416</v>
      </c>
      <c r="F54" s="184" t="n">
        <f aca="false">-(F64+F67+F68+F71+F72+F73+F74)*0.2</f>
        <v>-17032.097243392</v>
      </c>
      <c r="G54" s="184" t="n">
        <f aca="false">-(G64+G67+G68+G71+G72+G73+G74)*0.2</f>
        <v>-15894.053018368</v>
      </c>
      <c r="H54" s="184" t="n">
        <f aca="false">-(H64+H67+H68+H71+H72+H73+H74)*0.2</f>
        <v>-14756.008793344</v>
      </c>
      <c r="I54" s="184" t="n">
        <f aca="false">-(I64+I67+I68+I71+I72+I73+I74)*0.2</f>
        <v>-13617.9645683199</v>
      </c>
      <c r="J54" s="184" t="n">
        <f aca="false">-(J64+J67+J68+J71+J72+J73+J74)*0.2</f>
        <v>-12479.920343296</v>
      </c>
      <c r="K54" s="184" t="n">
        <f aca="false">-(K64+K67+K68+K71+K72+K73+K74)*0.2</f>
        <v>-11341.876118272</v>
      </c>
      <c r="L54" s="184" t="n">
        <f aca="false">-(L64+L67+L68+L71+L72+L73+L74)*0.2</f>
        <v>-10203.831893248</v>
      </c>
      <c r="M54" s="184" t="n">
        <f aca="false">-(M64+M67+M68+M71+M72+M73+M74)*0.2</f>
        <v>-9065.78766822397</v>
      </c>
      <c r="N54" s="184" t="n">
        <f aca="false">-(N64+N67+N68+N71+N72+N73+N74)*0.2</f>
        <v>-16649.7434432</v>
      </c>
      <c r="O54" s="184" t="n">
        <f aca="false">-(O64+O67+O68+O71+O72+O73+O74)*0.2</f>
        <v>-15511.699218176</v>
      </c>
      <c r="P54" s="184" t="n">
        <f aca="false">-(P64+P67+P68+P71+P72+P73+P74)*0.2</f>
        <v>-14373.654993152</v>
      </c>
      <c r="Q54" s="184" t="n">
        <f aca="false">-(Q64+Q67+Q68+Q71+Q72+Q73+Q74)*0.2</f>
        <v>-13235.610768128</v>
      </c>
      <c r="R54" s="184" t="n">
        <f aca="false">-(R64+R67+R68+R71+R72+R73+R74)*0.2</f>
        <v>-12097.566543104</v>
      </c>
      <c r="S54" s="184" t="n">
        <f aca="false">-(S64+S67+S68+S71+S72+S73+S74)*0.2</f>
        <v>-10959.52231808</v>
      </c>
      <c r="T54" s="184" t="n">
        <f aca="false">-(T64+T67+T68+T71+T72+T73+T74)*0.2</f>
        <v>-9821.47809305593</v>
      </c>
      <c r="U54" s="184" t="n">
        <f aca="false">-(U64+U67+U68+U71+U72+U73+U74)*0.2</f>
        <v>-8683.43386803198</v>
      </c>
      <c r="V54" s="184" t="n">
        <f aca="false">-(V64+V67+V68+V71+V72+V73+V74)*0.2</f>
        <v>-7545.38964300795</v>
      </c>
      <c r="W54" s="184" t="n">
        <f aca="false">-(W64+W67+W68+W71+W72+W73+W74)*0.2</f>
        <v>-6407.34541798398</v>
      </c>
      <c r="X54" s="175"/>
    </row>
    <row r="55" customFormat="false" ht="18.75" hidden="false" customHeight="true" outlineLevel="0" collapsed="false">
      <c r="B55" s="187" t="s">
        <v>67</v>
      </c>
      <c r="C55" s="188" t="n">
        <f aca="false">C44</f>
        <v>-20932800</v>
      </c>
      <c r="D55" s="189" t="n">
        <f aca="false">SUM(D41:D54)</f>
        <v>1003158.766048</v>
      </c>
      <c r="E55" s="189" t="n">
        <f aca="false">SUM(E41:E54)</f>
        <v>1119320.56587366</v>
      </c>
      <c r="F55" s="189" t="n">
        <f aca="false">SUM(F41:F54)</f>
        <v>1114768.38897357</v>
      </c>
      <c r="G55" s="189" t="n">
        <f aca="false">SUM(G41:G54)</f>
        <v>1110216.21207347</v>
      </c>
      <c r="H55" s="189" t="n">
        <f aca="false">SUM(H41:H54)</f>
        <v>1105664.03517338</v>
      </c>
      <c r="I55" s="189" t="n">
        <f aca="false">SUM(I41:I54)</f>
        <v>1101111.85827328</v>
      </c>
      <c r="J55" s="189" t="n">
        <f aca="false">SUM(J41:J54)</f>
        <v>1096559.68137318</v>
      </c>
      <c r="K55" s="189" t="n">
        <f aca="false">SUM(K41:K54)</f>
        <v>1092007.50447309</v>
      </c>
      <c r="L55" s="189" t="n">
        <f aca="false">SUM(L41:L54)</f>
        <v>1087455.32757299</v>
      </c>
      <c r="M55" s="189" t="n">
        <f aca="false">SUM(M41:M54)</f>
        <v>1082903.1506729</v>
      </c>
      <c r="N55" s="189" t="n">
        <f aca="false">SUM(N41:N54)</f>
        <v>1113238.9737728</v>
      </c>
      <c r="O55" s="189" t="n">
        <f aca="false">SUM(O41:O54)</f>
        <v>1108686.7968727</v>
      </c>
      <c r="P55" s="189" t="n">
        <f aca="false">SUM(P41:P54)</f>
        <v>1104134.61997261</v>
      </c>
      <c r="Q55" s="189" t="n">
        <f aca="false">SUM(Q41:Q54)</f>
        <v>1099582.44307251</v>
      </c>
      <c r="R55" s="189" t="n">
        <f aca="false">SUM(R41:R54)</f>
        <v>1095030.26617242</v>
      </c>
      <c r="S55" s="189" t="n">
        <f aca="false">SUM(S41:S54)</f>
        <v>1090478.08927232</v>
      </c>
      <c r="T55" s="189" t="n">
        <f aca="false">SUM(T41:T54)</f>
        <v>1085925.91237222</v>
      </c>
      <c r="U55" s="189" t="n">
        <f aca="false">SUM(U41:U54)</f>
        <v>1081373.73547213</v>
      </c>
      <c r="V55" s="189" t="n">
        <f aca="false">SUM(V41:V54)</f>
        <v>1076821.55857203</v>
      </c>
      <c r="W55" s="189" t="n">
        <f aca="false">SUM(W41:W54)</f>
        <v>1072269.38167194</v>
      </c>
      <c r="X55" s="190"/>
      <c r="Y55" s="191"/>
      <c r="Z55" s="192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</row>
    <row r="56" customFormat="false" ht="18.75" hidden="false" customHeight="true" outlineLevel="0" collapsed="false">
      <c r="B56" s="193" t="s">
        <v>68</v>
      </c>
      <c r="D56" s="194" t="n">
        <f aca="false">C55+D55</f>
        <v>-19929641.233952</v>
      </c>
      <c r="E56" s="194" t="n">
        <f aca="false">D56+E55</f>
        <v>-18810320.6680783</v>
      </c>
      <c r="F56" s="194" t="n">
        <f aca="false">E56+F55</f>
        <v>-17695552.2791048</v>
      </c>
      <c r="G56" s="194" t="n">
        <f aca="false">F56+G55</f>
        <v>-16585336.0670313</v>
      </c>
      <c r="H56" s="194" t="n">
        <f aca="false">G56+H55</f>
        <v>-15479672.0318579</v>
      </c>
      <c r="I56" s="194" t="n">
        <f aca="false">H56+I55</f>
        <v>-14378560.1735846</v>
      </c>
      <c r="J56" s="194" t="n">
        <f aca="false">I56+J55</f>
        <v>-13282000.4922115</v>
      </c>
      <c r="K56" s="194" t="n">
        <f aca="false">J56+K55</f>
        <v>-12189992.9877384</v>
      </c>
      <c r="L56" s="194" t="n">
        <f aca="false">K56+L55</f>
        <v>-11102537.6601654</v>
      </c>
      <c r="M56" s="194" t="n">
        <f aca="false">L56+M55</f>
        <v>-10019634.5094925</v>
      </c>
      <c r="N56" s="194" t="n">
        <f aca="false">M56+N55</f>
        <v>-8906395.53571968</v>
      </c>
      <c r="O56" s="194" t="n">
        <f aca="false">N56+O55</f>
        <v>-7797708.73884698</v>
      </c>
      <c r="P56" s="194" t="n">
        <f aca="false">O56+P55</f>
        <v>-6693574.11887437</v>
      </c>
      <c r="Q56" s="194" t="n">
        <f aca="false">P56+Q55</f>
        <v>-5593991.67580186</v>
      </c>
      <c r="R56" s="194" t="n">
        <f aca="false">Q56+R55</f>
        <v>-4498961.40962944</v>
      </c>
      <c r="S56" s="194" t="n">
        <f aca="false">R56+S55</f>
        <v>-3408483.32035712</v>
      </c>
      <c r="T56" s="194" t="n">
        <f aca="false">S56+T55</f>
        <v>-2322557.4079849</v>
      </c>
      <c r="U56" s="194" t="n">
        <f aca="false">T56+U55</f>
        <v>-1241183.67251277</v>
      </c>
      <c r="V56" s="194" t="n">
        <f aca="false">U56+V55</f>
        <v>-164362.11394074</v>
      </c>
      <c r="W56" s="194" t="n">
        <f aca="false">V56+W55</f>
        <v>907907.267731195</v>
      </c>
      <c r="X56" s="194" t="n">
        <f aca="false">W56+X55</f>
        <v>907907.267731195</v>
      </c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</row>
    <row r="57" customFormat="false" ht="18.75" hidden="false" customHeight="true" outlineLevel="0" collapsed="false">
      <c r="B57" s="195" t="s">
        <v>74</v>
      </c>
      <c r="C57" s="196"/>
      <c r="D57" s="197" t="str">
        <f aca="false">IF((D56)&gt;0,"回收","未回收")</f>
        <v>未回收</v>
      </c>
      <c r="E57" s="198" t="str">
        <f aca="false">IF((E56)&gt;0,"回收","未回收")</f>
        <v>未回收</v>
      </c>
      <c r="F57" s="198" t="str">
        <f aca="false">IF((F56)&gt;0,"回收","未回收")</f>
        <v>未回收</v>
      </c>
      <c r="G57" s="198" t="str">
        <f aca="false">IF((G56)&gt;0,"回收","未回收")</f>
        <v>未回收</v>
      </c>
      <c r="H57" s="198" t="str">
        <f aca="false">IF((H56)&gt;0,"回收","未回收")</f>
        <v>未回收</v>
      </c>
      <c r="I57" s="198" t="str">
        <f aca="false">IF((I56)&gt;0,"回收","未回收")</f>
        <v>未回收</v>
      </c>
      <c r="J57" s="198" t="str">
        <f aca="false">IF((J56)&gt;0,"回收","未回收")</f>
        <v>未回收</v>
      </c>
      <c r="K57" s="198" t="str">
        <f aca="false">IF((K56)&gt;0,"回收","未回收")</f>
        <v>未回收</v>
      </c>
      <c r="L57" s="198" t="str">
        <f aca="false">IF((L56)&gt;0,"回收","未回收")</f>
        <v>未回收</v>
      </c>
      <c r="M57" s="198" t="str">
        <f aca="false">IF((M56)&gt;0,"回收","未回收")</f>
        <v>未回收</v>
      </c>
      <c r="N57" s="198" t="str">
        <f aca="false">IF((N56)&gt;0,"回收","未回收")</f>
        <v>未回收</v>
      </c>
      <c r="O57" s="198" t="str">
        <f aca="false">IF((O56)&gt;0,"回收","未回收")</f>
        <v>未回收</v>
      </c>
      <c r="P57" s="198" t="str">
        <f aca="false">IF((P56)&gt;0,"回收","未回收")</f>
        <v>未回收</v>
      </c>
      <c r="Q57" s="198" t="str">
        <f aca="false">IF((Q56)&gt;0,"回收","未回收")</f>
        <v>未回收</v>
      </c>
      <c r="R57" s="198" t="str">
        <f aca="false">IF((R56)&gt;0,"回收","未回收")</f>
        <v>未回收</v>
      </c>
      <c r="S57" s="198" t="str">
        <f aca="false">IF((S56)&gt;0,"回收","未回收")</f>
        <v>未回收</v>
      </c>
      <c r="T57" s="198" t="str">
        <f aca="false">IF((T56)&gt;0,"回收","未回收")</f>
        <v>未回收</v>
      </c>
      <c r="U57" s="198" t="str">
        <f aca="false">IF((U56)&gt;0,"回收","未回收")</f>
        <v>未回收</v>
      </c>
      <c r="V57" s="198" t="str">
        <f aca="false">IF((V56)&gt;0,"回收","未回收")</f>
        <v>未回收</v>
      </c>
      <c r="W57" s="198" t="str">
        <f aca="false">IF((W56)&gt;0,"回收","未回收")</f>
        <v>回收</v>
      </c>
      <c r="X57" s="198" t="str">
        <f aca="false">IF((X56)&gt;0,"回收","未回收")</f>
        <v>回收</v>
      </c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</row>
    <row r="58" customFormat="false" ht="18.75" hidden="false" customHeight="true" outlineLevel="0" collapsed="false">
      <c r="B58" s="199" t="s">
        <v>93</v>
      </c>
      <c r="C58" s="200" t="n">
        <f aca="false">IRR(C55:W55)</f>
        <v>0.00408036092863172</v>
      </c>
      <c r="D58" s="201"/>
      <c r="E58" s="201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customFormat="false" ht="18.75" hidden="false" customHeight="true" outlineLevel="0" collapsed="false">
      <c r="B59" s="202"/>
      <c r="C59" s="201"/>
      <c r="D59" s="201"/>
      <c r="E59" s="201"/>
      <c r="F59" s="202"/>
      <c r="G59" s="202"/>
      <c r="H59" s="202"/>
      <c r="I59" s="202"/>
      <c r="J59" s="202"/>
      <c r="K59" s="202"/>
      <c r="L59" s="202"/>
      <c r="M59" s="201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customFormat="false" ht="18.75" hidden="false" customHeight="true" outlineLevel="0" collapsed="false">
      <c r="B60" s="97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54" t="n">
        <v>0</v>
      </c>
      <c r="C61" s="155"/>
      <c r="D61" s="156"/>
      <c r="E61" s="156"/>
      <c r="F61" s="157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204" t="s">
        <v>50</v>
      </c>
      <c r="U61" s="158"/>
      <c r="V61" s="158"/>
      <c r="W61" s="158"/>
      <c r="X61" s="160"/>
    </row>
    <row r="62" customFormat="false" ht="18.75" hidden="false" customHeight="true" outlineLevel="0" collapsed="false">
      <c r="B62" s="161" t="s">
        <v>51</v>
      </c>
      <c r="C62" s="162" t="n">
        <v>0</v>
      </c>
      <c r="D62" s="163" t="n">
        <v>1</v>
      </c>
      <c r="E62" s="163" t="n">
        <v>2</v>
      </c>
      <c r="F62" s="163" t="n">
        <v>3</v>
      </c>
      <c r="G62" s="163" t="n">
        <v>4</v>
      </c>
      <c r="H62" s="163" t="n">
        <v>5</v>
      </c>
      <c r="I62" s="163" t="n">
        <v>6</v>
      </c>
      <c r="J62" s="163" t="n">
        <v>7</v>
      </c>
      <c r="K62" s="163" t="n">
        <v>8</v>
      </c>
      <c r="L62" s="163" t="n">
        <v>9</v>
      </c>
      <c r="M62" s="163" t="n">
        <v>10</v>
      </c>
      <c r="N62" s="163" t="n">
        <v>11</v>
      </c>
      <c r="O62" s="163" t="n">
        <v>12</v>
      </c>
      <c r="P62" s="163" t="n">
        <v>13</v>
      </c>
      <c r="Q62" s="163" t="n">
        <v>14</v>
      </c>
      <c r="R62" s="163" t="n">
        <v>15</v>
      </c>
      <c r="S62" s="163" t="n">
        <v>16</v>
      </c>
      <c r="T62" s="205" t="n">
        <v>17</v>
      </c>
      <c r="U62" s="163" t="n">
        <v>18</v>
      </c>
      <c r="V62" s="163" t="n">
        <v>19</v>
      </c>
      <c r="W62" s="163" t="n">
        <v>20</v>
      </c>
      <c r="X62" s="47"/>
    </row>
    <row r="63" customFormat="false" ht="18.75" hidden="false" customHeight="true" outlineLevel="0" collapsed="false">
      <c r="B63" s="165" t="s">
        <v>52</v>
      </c>
      <c r="C63" s="166" t="n">
        <v>0</v>
      </c>
      <c r="D63" s="167" t="n">
        <f aca="false">D40</f>
        <v>541531.98</v>
      </c>
      <c r="E63" s="167" t="n">
        <f aca="false">E40</f>
        <v>539343.972</v>
      </c>
      <c r="F63" s="167" t="n">
        <f aca="false">F40</f>
        <v>537155.964</v>
      </c>
      <c r="G63" s="167" t="n">
        <f aca="false">G40</f>
        <v>534967.956</v>
      </c>
      <c r="H63" s="167" t="n">
        <f aca="false">H40</f>
        <v>532779.948</v>
      </c>
      <c r="I63" s="167" t="n">
        <f aca="false">I40</f>
        <v>530591.94</v>
      </c>
      <c r="J63" s="167" t="n">
        <f aca="false">J40</f>
        <v>528403.932</v>
      </c>
      <c r="K63" s="167" t="n">
        <f aca="false">K40</f>
        <v>526215.924</v>
      </c>
      <c r="L63" s="167" t="n">
        <f aca="false">L40</f>
        <v>524027.916</v>
      </c>
      <c r="M63" s="167" t="n">
        <f aca="false">M40</f>
        <v>521839.908</v>
      </c>
      <c r="N63" s="167" t="n">
        <f aca="false">N40</f>
        <v>519651.9</v>
      </c>
      <c r="O63" s="167" t="n">
        <f aca="false">O40</f>
        <v>517463.892</v>
      </c>
      <c r="P63" s="167" t="n">
        <f aca="false">P40</f>
        <v>515275.884</v>
      </c>
      <c r="Q63" s="167" t="n">
        <f aca="false">Q40</f>
        <v>513087.876</v>
      </c>
      <c r="R63" s="167" t="n">
        <f aca="false">R40</f>
        <v>510899.868</v>
      </c>
      <c r="S63" s="167" t="n">
        <f aca="false">S40</f>
        <v>508711.86</v>
      </c>
      <c r="T63" s="167" t="n">
        <f aca="false">T40</f>
        <v>506523.852</v>
      </c>
      <c r="U63" s="167" t="n">
        <f aca="false">U40</f>
        <v>504335.844</v>
      </c>
      <c r="V63" s="167" t="n">
        <f aca="false">V40</f>
        <v>502147.836</v>
      </c>
      <c r="W63" s="167" t="n">
        <f aca="false">W40</f>
        <v>499959.828</v>
      </c>
      <c r="X63" s="168"/>
    </row>
    <row r="64" customFormat="false" ht="18.75" hidden="false" customHeight="true" outlineLevel="0" collapsed="false">
      <c r="B64" s="169" t="s">
        <v>53</v>
      </c>
      <c r="C64" s="170" t="s">
        <v>3</v>
      </c>
      <c r="D64" s="171" t="n">
        <f aca="false">D41</f>
        <v>2011899.612096</v>
      </c>
      <c r="E64" s="171" t="n">
        <f aca="false">E41</f>
        <v>2003770.7247744</v>
      </c>
      <c r="F64" s="171" t="n">
        <f aca="false">F41</f>
        <v>1995641.8374528</v>
      </c>
      <c r="G64" s="171" t="n">
        <f aca="false">G41</f>
        <v>1987512.9501312</v>
      </c>
      <c r="H64" s="171" t="n">
        <f aca="false">H41</f>
        <v>1979384.0628096</v>
      </c>
      <c r="I64" s="171" t="n">
        <f aca="false">I41</f>
        <v>1971255.175488</v>
      </c>
      <c r="J64" s="171" t="n">
        <f aca="false">J41</f>
        <v>1963126.2881664</v>
      </c>
      <c r="K64" s="171" t="n">
        <f aca="false">K41</f>
        <v>1954997.4008448</v>
      </c>
      <c r="L64" s="171" t="n">
        <f aca="false">L41</f>
        <v>1946868.5135232</v>
      </c>
      <c r="M64" s="171" t="n">
        <f aca="false">M41</f>
        <v>1938739.6262016</v>
      </c>
      <c r="N64" s="171" t="n">
        <f aca="false">N41</f>
        <v>1930610.73888</v>
      </c>
      <c r="O64" s="171" t="n">
        <f aca="false">O41</f>
        <v>1922481.8515584</v>
      </c>
      <c r="P64" s="171" t="n">
        <f aca="false">P41</f>
        <v>1914352.9642368</v>
      </c>
      <c r="Q64" s="171" t="n">
        <f aca="false">Q41</f>
        <v>1906224.0769152</v>
      </c>
      <c r="R64" s="171" t="n">
        <f aca="false">R41</f>
        <v>1898095.1895936</v>
      </c>
      <c r="S64" s="171" t="n">
        <f aca="false">S41</f>
        <v>1889966.302272</v>
      </c>
      <c r="T64" s="171" t="n">
        <f aca="false">T41</f>
        <v>1881837.4149504</v>
      </c>
      <c r="U64" s="171" t="n">
        <f aca="false">U41</f>
        <v>1873708.5276288</v>
      </c>
      <c r="V64" s="171" t="n">
        <f aca="false">V41</f>
        <v>1865579.6403072</v>
      </c>
      <c r="W64" s="171" t="n">
        <f aca="false">W41</f>
        <v>1857450.7529856</v>
      </c>
      <c r="X64" s="172"/>
    </row>
    <row r="65" customFormat="false" ht="18.75" hidden="false" customHeight="true" outlineLevel="0" collapsed="false">
      <c r="B65" s="173" t="s">
        <v>54</v>
      </c>
      <c r="C65" s="174" t="s">
        <v>3</v>
      </c>
      <c r="D65" s="175"/>
      <c r="E65" s="175"/>
      <c r="F65" s="175"/>
      <c r="G65" s="176" t="s">
        <v>3</v>
      </c>
      <c r="H65" s="176" t="s">
        <v>3</v>
      </c>
      <c r="I65" s="176" t="s">
        <v>3</v>
      </c>
      <c r="J65" s="176" t="s">
        <v>3</v>
      </c>
      <c r="K65" s="176" t="s">
        <v>3</v>
      </c>
      <c r="L65" s="176" t="s">
        <v>3</v>
      </c>
      <c r="M65" s="176" t="s">
        <v>3</v>
      </c>
      <c r="N65" s="176" t="s">
        <v>3</v>
      </c>
      <c r="O65" s="176" t="s">
        <v>3</v>
      </c>
      <c r="P65" s="176" t="s">
        <v>3</v>
      </c>
      <c r="Q65" s="176" t="s">
        <v>3</v>
      </c>
      <c r="R65" s="176" t="s">
        <v>3</v>
      </c>
      <c r="S65" s="176" t="s">
        <v>3</v>
      </c>
      <c r="T65" s="176" t="s">
        <v>3</v>
      </c>
      <c r="U65" s="176" t="s">
        <v>3</v>
      </c>
      <c r="V65" s="176" t="s">
        <v>3</v>
      </c>
      <c r="W65" s="176" t="s">
        <v>3</v>
      </c>
      <c r="X65" s="177"/>
    </row>
    <row r="66" customFormat="false" ht="18.75" hidden="false" customHeight="true" outlineLevel="0" collapsed="false">
      <c r="B66" s="178" t="s">
        <v>55</v>
      </c>
      <c r="C66" s="179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1"/>
    </row>
    <row r="67" customFormat="false" ht="18.75" hidden="false" customHeight="true" outlineLevel="0" collapsed="false">
      <c r="B67" s="182" t="s">
        <v>151</v>
      </c>
      <c r="C67" s="174"/>
      <c r="D67" s="206" t="n">
        <f aca="false">$C$44/$E$16</f>
        <v>-1046640</v>
      </c>
      <c r="E67" s="206" t="n">
        <f aca="false">$C$44/$E$16</f>
        <v>-1046640</v>
      </c>
      <c r="F67" s="206" t="n">
        <f aca="false">$C$44/$E$16</f>
        <v>-1046640</v>
      </c>
      <c r="G67" s="206" t="n">
        <f aca="false">$C$44/$E$16</f>
        <v>-1046640</v>
      </c>
      <c r="H67" s="206" t="n">
        <f aca="false">$C$44/$E$16</f>
        <v>-1046640</v>
      </c>
      <c r="I67" s="206" t="n">
        <f aca="false">$C$44/$E$16</f>
        <v>-1046640</v>
      </c>
      <c r="J67" s="206" t="n">
        <f aca="false">$C$44/$E$16</f>
        <v>-1046640</v>
      </c>
      <c r="K67" s="206" t="n">
        <f aca="false">$C$44/$E$16</f>
        <v>-1046640</v>
      </c>
      <c r="L67" s="206" t="n">
        <f aca="false">$C$44/$E$16</f>
        <v>-1046640</v>
      </c>
      <c r="M67" s="206" t="n">
        <f aca="false">$C$44/$E$16</f>
        <v>-1046640</v>
      </c>
      <c r="N67" s="206" t="n">
        <f aca="false">$C$44/$E$16</f>
        <v>-1046640</v>
      </c>
      <c r="O67" s="206" t="n">
        <f aca="false">$C$44/$E$16</f>
        <v>-1046640</v>
      </c>
      <c r="P67" s="206" t="n">
        <f aca="false">$C$44/$E$16</f>
        <v>-1046640</v>
      </c>
      <c r="Q67" s="206" t="n">
        <f aca="false">$C$44/$E$16</f>
        <v>-1046640</v>
      </c>
      <c r="R67" s="206" t="n">
        <f aca="false">$C$44/$E$16</f>
        <v>-1046640</v>
      </c>
      <c r="S67" s="206" t="n">
        <f aca="false">$C$44/$E$16</f>
        <v>-1046640</v>
      </c>
      <c r="T67" s="206" t="n">
        <f aca="false">$C$44/$E$16</f>
        <v>-1046640</v>
      </c>
      <c r="U67" s="206" t="n">
        <f aca="false">$C$44/$E$16</f>
        <v>-1046640</v>
      </c>
      <c r="V67" s="206" t="n">
        <f aca="false">$C$44/$E$16</f>
        <v>-1046640</v>
      </c>
      <c r="W67" s="206" t="n">
        <f aca="false">$C$44/$E$16</f>
        <v>-1046640</v>
      </c>
      <c r="X67" s="177"/>
    </row>
    <row r="68" customFormat="false" ht="18.75" hidden="false" customHeight="true" outlineLevel="0" collapsed="false">
      <c r="B68" s="182" t="s">
        <v>57</v>
      </c>
      <c r="C68" s="174" t="s">
        <v>3</v>
      </c>
      <c r="D68" s="184" t="n">
        <f aca="false">D44</f>
        <v>0</v>
      </c>
      <c r="E68" s="184" t="n">
        <f aca="false">E45</f>
        <v>-601131.21743232</v>
      </c>
      <c r="F68" s="184" t="n">
        <f aca="false">F45</f>
        <v>-598692.55123584</v>
      </c>
      <c r="G68" s="184" t="n">
        <f aca="false">G45</f>
        <v>-596253.88503936</v>
      </c>
      <c r="H68" s="184" t="n">
        <f aca="false">H45</f>
        <v>-593815.21884288</v>
      </c>
      <c r="I68" s="184" t="n">
        <f aca="false">I45</f>
        <v>-591376.5526464</v>
      </c>
      <c r="J68" s="184" t="n">
        <f aca="false">J45</f>
        <v>-588937.88644992</v>
      </c>
      <c r="K68" s="184" t="n">
        <f aca="false">K45</f>
        <v>-586499.22025344</v>
      </c>
      <c r="L68" s="184" t="n">
        <f aca="false">L45</f>
        <v>-584060.55405696</v>
      </c>
      <c r="M68" s="184" t="n">
        <f aca="false">M45</f>
        <v>-581621.88786048</v>
      </c>
      <c r="N68" s="184" t="n">
        <f aca="false">N45</f>
        <v>-579183.221664</v>
      </c>
      <c r="O68" s="184" t="n">
        <f aca="false">O45</f>
        <v>-576744.55546752</v>
      </c>
      <c r="P68" s="184" t="n">
        <f aca="false">P45</f>
        <v>-574305.88927104</v>
      </c>
      <c r="Q68" s="184" t="n">
        <f aca="false">Q45</f>
        <v>-571867.22307456</v>
      </c>
      <c r="R68" s="184" t="n">
        <f aca="false">R45</f>
        <v>-569428.55687808</v>
      </c>
      <c r="S68" s="184" t="n">
        <f aca="false">S45</f>
        <v>-566989.8906816</v>
      </c>
      <c r="T68" s="184" t="n">
        <f aca="false">T45</f>
        <v>-564551.22448512</v>
      </c>
      <c r="U68" s="184" t="n">
        <f aca="false">U45</f>
        <v>-562112.55828864</v>
      </c>
      <c r="V68" s="184" t="n">
        <f aca="false">V45</f>
        <v>-559673.89209216</v>
      </c>
      <c r="W68" s="184" t="n">
        <f aca="false">W45</f>
        <v>-557235.22589568</v>
      </c>
      <c r="X68" s="177"/>
    </row>
    <row r="69" customFormat="false" ht="18.75" hidden="false" customHeight="true" outlineLevel="0" collapsed="false">
      <c r="B69" s="182" t="s">
        <v>58</v>
      </c>
      <c r="C69" s="174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7"/>
    </row>
    <row r="70" customFormat="false" ht="18.75" hidden="false" customHeight="true" outlineLevel="0" collapsed="false">
      <c r="B70" s="182" t="s">
        <v>59</v>
      </c>
      <c r="C70" s="174" t="s">
        <v>3</v>
      </c>
      <c r="D70" s="184" t="n">
        <f aca="false">-D109*$D25</f>
        <v>-428620.0128</v>
      </c>
      <c r="E70" s="184" t="n">
        <f aca="false">-E109*$D25</f>
        <v>-400045.34528</v>
      </c>
      <c r="F70" s="184" t="n">
        <f aca="false">-F109*$D25</f>
        <v>-371470.67776</v>
      </c>
      <c r="G70" s="184" t="n">
        <f aca="false">-G109*$D25</f>
        <v>-342896.01024</v>
      </c>
      <c r="H70" s="184" t="n">
        <f aca="false">-H109*$D25</f>
        <v>-314321.34272</v>
      </c>
      <c r="I70" s="184" t="n">
        <f aca="false">-I109*$D25</f>
        <v>-285746.6752</v>
      </c>
      <c r="J70" s="184" t="n">
        <f aca="false">-J109*$D25</f>
        <v>-257172.00768</v>
      </c>
      <c r="K70" s="184" t="n">
        <f aca="false">-K109*$D25</f>
        <v>-228597.34016</v>
      </c>
      <c r="L70" s="184" t="n">
        <f aca="false">-L109*$D25</f>
        <v>-200022.67264</v>
      </c>
      <c r="M70" s="184" t="n">
        <f aca="false">-M109*$D25</f>
        <v>-171448.00512</v>
      </c>
      <c r="N70" s="184" t="n">
        <f aca="false">-N109*$D25</f>
        <v>-142873.3376</v>
      </c>
      <c r="O70" s="184" t="n">
        <f aca="false">-O109*$D25</f>
        <v>-114298.67008</v>
      </c>
      <c r="P70" s="184" t="n">
        <f aca="false">-P109*$D25</f>
        <v>-85724.00256</v>
      </c>
      <c r="Q70" s="184" t="n">
        <f aca="false">-Q109*$D25</f>
        <v>-57149.33504</v>
      </c>
      <c r="R70" s="184" t="n">
        <f aca="false">-R109*$D25</f>
        <v>-28574.66752</v>
      </c>
      <c r="S70" s="184" t="n">
        <f aca="false">-S109*$D25</f>
        <v>-0</v>
      </c>
      <c r="T70" s="184" t="n">
        <f aca="false">-T109*$D25</f>
        <v>-0</v>
      </c>
      <c r="U70" s="184" t="n">
        <f aca="false">-U109*$D25</f>
        <v>-0</v>
      </c>
      <c r="V70" s="184" t="n">
        <f aca="false">-V109*$D25</f>
        <v>-0</v>
      </c>
      <c r="W70" s="184" t="n">
        <f aca="false">-W109*$D25</f>
        <v>-0</v>
      </c>
      <c r="X70" s="177"/>
    </row>
    <row r="71" customFormat="false" ht="18.75" hidden="false" customHeight="true" outlineLevel="0" collapsed="false">
      <c r="B71" s="182" t="s">
        <v>60</v>
      </c>
      <c r="C71" s="174" t="s">
        <v>3</v>
      </c>
      <c r="D71" s="184" t="n">
        <f aca="false">D48</f>
        <v>-174440</v>
      </c>
      <c r="E71" s="184" t="n">
        <f aca="false">E48</f>
        <v>-174440</v>
      </c>
      <c r="F71" s="184" t="n">
        <f aca="false">F48</f>
        <v>-174440</v>
      </c>
      <c r="G71" s="184" t="n">
        <f aca="false">G48</f>
        <v>-174440</v>
      </c>
      <c r="H71" s="184" t="n">
        <f aca="false">H48</f>
        <v>-174440</v>
      </c>
      <c r="I71" s="184" t="n">
        <f aca="false">I48</f>
        <v>-174440</v>
      </c>
      <c r="J71" s="184" t="n">
        <f aca="false">J48</f>
        <v>-174440</v>
      </c>
      <c r="K71" s="184" t="n">
        <f aca="false">K48</f>
        <v>-174440</v>
      </c>
      <c r="L71" s="184" t="n">
        <f aca="false">L48</f>
        <v>-174440</v>
      </c>
      <c r="M71" s="184" t="n">
        <f aca="false">M48</f>
        <v>-174440</v>
      </c>
      <c r="N71" s="184" t="n">
        <f aca="false">N48</f>
        <v>-174440</v>
      </c>
      <c r="O71" s="184" t="n">
        <f aca="false">O48</f>
        <v>-174440</v>
      </c>
      <c r="P71" s="184" t="n">
        <f aca="false">P48</f>
        <v>-174440</v>
      </c>
      <c r="Q71" s="184" t="n">
        <f aca="false">Q48</f>
        <v>-174440</v>
      </c>
      <c r="R71" s="184" t="n">
        <f aca="false">R48</f>
        <v>-174440</v>
      </c>
      <c r="S71" s="184" t="n">
        <f aca="false">S48</f>
        <v>-174440</v>
      </c>
      <c r="T71" s="184" t="n">
        <f aca="false">T48</f>
        <v>-174440</v>
      </c>
      <c r="U71" s="184" t="n">
        <f aca="false">U48</f>
        <v>-174440</v>
      </c>
      <c r="V71" s="184" t="n">
        <f aca="false">V48</f>
        <v>-174440</v>
      </c>
      <c r="W71" s="184" t="n">
        <f aca="false">W48</f>
        <v>-174440</v>
      </c>
      <c r="X71" s="177"/>
    </row>
    <row r="72" customFormat="false" ht="18.75" hidden="false" customHeight="true" outlineLevel="0" collapsed="false">
      <c r="B72" s="182" t="s">
        <v>61</v>
      </c>
      <c r="C72" s="174" t="s">
        <v>3</v>
      </c>
      <c r="D72" s="184" t="n">
        <f aca="false">D49</f>
        <v>-47098.8</v>
      </c>
      <c r="E72" s="184" t="n">
        <f aca="false">E49</f>
        <v>-47098.8</v>
      </c>
      <c r="F72" s="184" t="n">
        <f aca="false">F49</f>
        <v>-47098.8</v>
      </c>
      <c r="G72" s="184" t="n">
        <f aca="false">G49</f>
        <v>-47098.8</v>
      </c>
      <c r="H72" s="184" t="n">
        <f aca="false">H49</f>
        <v>-47098.8</v>
      </c>
      <c r="I72" s="184" t="n">
        <f aca="false">I49</f>
        <v>-47098.8</v>
      </c>
      <c r="J72" s="184" t="n">
        <f aca="false">J49</f>
        <v>-47098.8</v>
      </c>
      <c r="K72" s="184" t="n">
        <f aca="false">K49</f>
        <v>-47098.8</v>
      </c>
      <c r="L72" s="184" t="n">
        <f aca="false">L49</f>
        <v>-47098.8</v>
      </c>
      <c r="M72" s="184" t="n">
        <f aca="false">M49</f>
        <v>-47098.8</v>
      </c>
      <c r="N72" s="184" t="n">
        <f aca="false">N49</f>
        <v>-47098.8</v>
      </c>
      <c r="O72" s="184" t="n">
        <f aca="false">O49</f>
        <v>-47098.8</v>
      </c>
      <c r="P72" s="184" t="n">
        <f aca="false">P49</f>
        <v>-47098.8</v>
      </c>
      <c r="Q72" s="184" t="n">
        <f aca="false">Q49</f>
        <v>-47098.8</v>
      </c>
      <c r="R72" s="184" t="n">
        <f aca="false">R49</f>
        <v>-47098.8</v>
      </c>
      <c r="S72" s="184" t="n">
        <f aca="false">S49</f>
        <v>-47098.8</v>
      </c>
      <c r="T72" s="184" t="n">
        <f aca="false">T49</f>
        <v>-47098.8</v>
      </c>
      <c r="U72" s="184" t="n">
        <f aca="false">U49</f>
        <v>-47098.8</v>
      </c>
      <c r="V72" s="184" t="n">
        <f aca="false">V49</f>
        <v>-47098.8</v>
      </c>
      <c r="W72" s="184" t="n">
        <f aca="false">W49</f>
        <v>-47098.8</v>
      </c>
      <c r="X72" s="177"/>
    </row>
    <row r="73" customFormat="false" ht="18.75" hidden="false" customHeight="true" outlineLevel="0" collapsed="false">
      <c r="B73" s="182" t="s">
        <v>62</v>
      </c>
      <c r="C73" s="174"/>
      <c r="D73" s="184" t="n">
        <f aca="false">D50</f>
        <v>-43610</v>
      </c>
      <c r="E73" s="184" t="n">
        <f aca="false">E50</f>
        <v>-43610</v>
      </c>
      <c r="F73" s="184" t="n">
        <f aca="false">F50</f>
        <v>-43610</v>
      </c>
      <c r="G73" s="184" t="n">
        <f aca="false">G50</f>
        <v>-43610</v>
      </c>
      <c r="H73" s="184" t="n">
        <f aca="false">H50</f>
        <v>-43610</v>
      </c>
      <c r="I73" s="184" t="n">
        <f aca="false">I50</f>
        <v>-43610</v>
      </c>
      <c r="J73" s="184" t="n">
        <f aca="false">J50</f>
        <v>-43610</v>
      </c>
      <c r="K73" s="184" t="n">
        <f aca="false">K50</f>
        <v>-43610</v>
      </c>
      <c r="L73" s="184" t="n">
        <f aca="false">L50</f>
        <v>-43610</v>
      </c>
      <c r="M73" s="184" t="n">
        <f aca="false">M50</f>
        <v>-43610</v>
      </c>
      <c r="N73" s="184" t="n">
        <f aca="false">N50</f>
        <v>0</v>
      </c>
      <c r="O73" s="184" t="n">
        <f aca="false">O50</f>
        <v>0</v>
      </c>
      <c r="P73" s="184" t="n">
        <f aca="false">P50</f>
        <v>0</v>
      </c>
      <c r="Q73" s="184" t="n">
        <f aca="false">Q50</f>
        <v>0</v>
      </c>
      <c r="R73" s="184" t="n">
        <f aca="false">R50</f>
        <v>0</v>
      </c>
      <c r="S73" s="184" t="n">
        <f aca="false">S50</f>
        <v>0</v>
      </c>
      <c r="T73" s="184" t="n">
        <f aca="false">T50</f>
        <v>0</v>
      </c>
      <c r="U73" s="184" t="n">
        <f aca="false">U50</f>
        <v>0</v>
      </c>
      <c r="V73" s="184" t="n">
        <f aca="false">V50</f>
        <v>0</v>
      </c>
      <c r="W73" s="184" t="n">
        <f aca="false">W50</f>
        <v>0</v>
      </c>
      <c r="X73" s="177"/>
    </row>
    <row r="74" customFormat="false" ht="18.75" hidden="false" customHeight="true" outlineLevel="0" collapsed="false">
      <c r="B74" s="182" t="s">
        <v>63</v>
      </c>
      <c r="C74" s="185"/>
      <c r="D74" s="207"/>
      <c r="E74" s="208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7"/>
    </row>
    <row r="75" customFormat="false" ht="18.75" hidden="false" customHeight="true" outlineLevel="0" collapsed="false">
      <c r="B75" s="182" t="s">
        <v>64</v>
      </c>
      <c r="C75" s="18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7"/>
    </row>
    <row r="76" customFormat="false" ht="18.75" hidden="false" customHeight="true" outlineLevel="0" collapsed="false">
      <c r="B76" s="187" t="s">
        <v>152</v>
      </c>
      <c r="C76" s="209"/>
      <c r="D76" s="189" t="n">
        <f aca="false">SUM(D64:D75)</f>
        <v>271490.799296</v>
      </c>
      <c r="E76" s="189" t="n">
        <f aca="false">SUM(E64:E75)</f>
        <v>-309194.63793792</v>
      </c>
      <c r="F76" s="189" t="n">
        <f aca="false">SUM(F64:F75)</f>
        <v>-286310.19154304</v>
      </c>
      <c r="G76" s="189" t="n">
        <f aca="false">SUM(G64:G75)</f>
        <v>-263425.74514816</v>
      </c>
      <c r="H76" s="189" t="n">
        <f aca="false">SUM(H64:H75)</f>
        <v>-240541.29875328</v>
      </c>
      <c r="I76" s="189" t="n">
        <f aca="false">SUM(I64:I75)</f>
        <v>-217656.8523584</v>
      </c>
      <c r="J76" s="189" t="n">
        <f aca="false">SUM(J64:J75)</f>
        <v>-194772.40596352</v>
      </c>
      <c r="K76" s="189" t="n">
        <f aca="false">SUM(K64:K75)</f>
        <v>-171887.95956864</v>
      </c>
      <c r="L76" s="189" t="n">
        <f aca="false">SUM(L64:L75)</f>
        <v>-149003.51317376</v>
      </c>
      <c r="M76" s="189" t="n">
        <f aca="false">SUM(M64:M75)</f>
        <v>-126119.06677888</v>
      </c>
      <c r="N76" s="189" t="n">
        <f aca="false">SUM(N64:N75)</f>
        <v>-59624.6203840001</v>
      </c>
      <c r="O76" s="189" t="n">
        <f aca="false">SUM(O64:O75)</f>
        <v>-36740.1739891202</v>
      </c>
      <c r="P76" s="189" t="n">
        <f aca="false">SUM(P64:P75)</f>
        <v>-13855.7275942401</v>
      </c>
      <c r="Q76" s="189" t="n">
        <f aca="false">SUM(Q64:Q75)</f>
        <v>9028.71880063981</v>
      </c>
      <c r="R76" s="189" t="n">
        <f aca="false">SUM(R64:R75)</f>
        <v>31913.1651955199</v>
      </c>
      <c r="S76" s="189" t="n">
        <f aca="false">SUM(S64:S75)</f>
        <v>54797.6115903999</v>
      </c>
      <c r="T76" s="189" t="n">
        <f aca="false">SUM(T64:T75)</f>
        <v>49107.3904652796</v>
      </c>
      <c r="U76" s="189" t="n">
        <f aca="false">SUM(U64:U75)</f>
        <v>43417.1693401599</v>
      </c>
      <c r="V76" s="189" t="n">
        <f aca="false">SUM(V64:V75)</f>
        <v>37726.9482150397</v>
      </c>
      <c r="W76" s="189" t="n">
        <f aca="false">SUM(W64:W75)</f>
        <v>32036.7270899199</v>
      </c>
      <c r="X76" s="189" t="n">
        <f aca="false">SUM(X64:X75)</f>
        <v>0</v>
      </c>
    </row>
    <row r="77" customFormat="false" ht="18.75" hidden="false" customHeight="true" outlineLevel="0" collapsed="false">
      <c r="B77" s="186" t="s">
        <v>66</v>
      </c>
      <c r="C77" s="185"/>
      <c r="D77" s="184" t="n">
        <f aca="false">-D76*0.2</f>
        <v>-54298.1598592</v>
      </c>
      <c r="E77" s="184" t="n">
        <f aca="false">-E76*0.2</f>
        <v>61838.9275875841</v>
      </c>
      <c r="F77" s="184" t="n">
        <f aca="false">-F76*0.2</f>
        <v>57262.038308608</v>
      </c>
      <c r="G77" s="184" t="n">
        <f aca="false">-G76*0.2</f>
        <v>52685.149029632</v>
      </c>
      <c r="H77" s="184" t="n">
        <f aca="false">-H76*0.2</f>
        <v>48108.259750656</v>
      </c>
      <c r="I77" s="184" t="n">
        <f aca="false">-I76*0.2</f>
        <v>43531.3704716801</v>
      </c>
      <c r="J77" s="184" t="n">
        <f aca="false">-J76*0.2</f>
        <v>38954.481192704</v>
      </c>
      <c r="K77" s="184" t="n">
        <f aca="false">-K76*0.2</f>
        <v>34377.591913728</v>
      </c>
      <c r="L77" s="184" t="n">
        <f aca="false">-L76*0.2</f>
        <v>29800.702634752</v>
      </c>
      <c r="M77" s="184" t="n">
        <f aca="false">-M76*0.2</f>
        <v>25223.813355776</v>
      </c>
      <c r="N77" s="184" t="n">
        <f aca="false">-N76*0.2</f>
        <v>11924.9240768</v>
      </c>
      <c r="O77" s="184" t="n">
        <f aca="false">-O76*0.2</f>
        <v>7348.03479782404</v>
      </c>
      <c r="P77" s="184" t="n">
        <f aca="false">-P76*0.2</f>
        <v>2771.14551884802</v>
      </c>
      <c r="Q77" s="184" t="n">
        <f aca="false">-Q76*0.2</f>
        <v>-1805.74376012796</v>
      </c>
      <c r="R77" s="184" t="n">
        <f aca="false">-R76*0.2</f>
        <v>-6382.63303910397</v>
      </c>
      <c r="S77" s="184" t="n">
        <f aca="false">-S76*0.2</f>
        <v>-10959.52231808</v>
      </c>
      <c r="T77" s="184" t="n">
        <f aca="false">-T76*0.2</f>
        <v>-9821.47809305593</v>
      </c>
      <c r="U77" s="184" t="n">
        <f aca="false">-U76*0.2</f>
        <v>-8683.43386803198</v>
      </c>
      <c r="V77" s="184" t="n">
        <f aca="false">-V76*0.2</f>
        <v>-7545.38964300795</v>
      </c>
      <c r="W77" s="184" t="n">
        <f aca="false">-W76*0.2</f>
        <v>-6407.34541798398</v>
      </c>
      <c r="X77" s="184" t="n">
        <f aca="false">-X76*0.2</f>
        <v>-0</v>
      </c>
    </row>
    <row r="78" customFormat="false" ht="15.75" hidden="false" customHeight="true" outlineLevel="0" collapsed="false">
      <c r="B78" s="210" t="s">
        <v>76</v>
      </c>
      <c r="D78" s="184" t="n">
        <f aca="false">SUM(D76:D77)</f>
        <v>217192.6394368</v>
      </c>
      <c r="E78" s="184" t="n">
        <f aca="false">SUM(E76:E77)</f>
        <v>-247355.710350336</v>
      </c>
      <c r="F78" s="184" t="n">
        <f aca="false">SUM(F76:F77)</f>
        <v>-229048.153234432</v>
      </c>
      <c r="G78" s="184" t="n">
        <f aca="false">SUM(G76:G77)</f>
        <v>-210740.596118528</v>
      </c>
      <c r="H78" s="184" t="n">
        <f aca="false">SUM(H76:H77)</f>
        <v>-192433.039002624</v>
      </c>
      <c r="I78" s="184" t="n">
        <f aca="false">SUM(I76:I77)</f>
        <v>-174125.48188672</v>
      </c>
      <c r="J78" s="184" t="n">
        <f aca="false">SUM(J76:J77)</f>
        <v>-155817.924770816</v>
      </c>
      <c r="K78" s="184" t="n">
        <f aca="false">SUM(K76:K77)</f>
        <v>-137510.367654912</v>
      </c>
      <c r="L78" s="184" t="n">
        <f aca="false">SUM(L76:L77)</f>
        <v>-119202.810539008</v>
      </c>
      <c r="M78" s="184" t="n">
        <f aca="false">SUM(M76:M77)</f>
        <v>-100895.253423104</v>
      </c>
      <c r="N78" s="184" t="n">
        <f aca="false">SUM(N76:N77)</f>
        <v>-47699.6963072001</v>
      </c>
      <c r="O78" s="184" t="n">
        <f aca="false">SUM(O76:O77)</f>
        <v>-29392.1391912961</v>
      </c>
      <c r="P78" s="184" t="n">
        <f aca="false">SUM(P76:P77)</f>
        <v>-11084.5820753921</v>
      </c>
      <c r="Q78" s="184" t="n">
        <f aca="false">SUM(Q76:Q77)</f>
        <v>7222.97504051185</v>
      </c>
      <c r="R78" s="184" t="n">
        <f aca="false">SUM(R76:R77)</f>
        <v>25530.5321564159</v>
      </c>
      <c r="S78" s="184" t="n">
        <f aca="false">SUM(S76:S77)</f>
        <v>43838.0892723199</v>
      </c>
      <c r="T78" s="184" t="n">
        <f aca="false">SUM(T76:T77)</f>
        <v>39285.9123722237</v>
      </c>
      <c r="U78" s="184" t="n">
        <f aca="false">SUM(U76:U77)</f>
        <v>34733.7354721279</v>
      </c>
      <c r="V78" s="184" t="n">
        <f aca="false">SUM(V76:V77)</f>
        <v>30181.5585720318</v>
      </c>
      <c r="W78" s="184" t="n">
        <f aca="false">SUM(W76:W77)</f>
        <v>25629.3816719359</v>
      </c>
      <c r="X78" s="184" t="n">
        <f aca="false">SUM(X76:X77)</f>
        <v>0</v>
      </c>
    </row>
    <row r="79" customFormat="false" ht="18.75" hidden="false" customHeight="true" outlineLevel="0" collapsed="false">
      <c r="B79" s="193" t="s">
        <v>68</v>
      </c>
      <c r="C79" s="196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2"/>
    </row>
    <row r="80" customFormat="false" ht="18.75" hidden="false" customHeight="true" outlineLevel="0" collapsed="false">
      <c r="B80" s="213" t="s">
        <v>74</v>
      </c>
      <c r="C80" s="214"/>
      <c r="D80" s="215"/>
      <c r="E80" s="215"/>
      <c r="F80" s="215"/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6"/>
    </row>
    <row r="81" customFormat="false" ht="18.75" hidden="false" customHeight="true" outlineLevel="0" collapsed="false">
      <c r="B81" s="202"/>
      <c r="C81" s="201"/>
      <c r="D81" s="201"/>
      <c r="E81" s="201"/>
      <c r="F81" s="202"/>
      <c r="G81" s="202"/>
      <c r="H81" s="202"/>
      <c r="I81" s="202"/>
      <c r="J81" s="202"/>
      <c r="K81" s="202"/>
      <c r="L81" s="202"/>
      <c r="M81" s="201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</row>
    <row r="82" customFormat="false" ht="18.75" hidden="false" customHeight="true" outlineLevel="0" collapsed="false">
      <c r="C82" s="217" t="s">
        <v>48</v>
      </c>
      <c r="D82" s="218" t="n">
        <f aca="false">D37</f>
        <v>2023</v>
      </c>
      <c r="E82" s="218" t="n">
        <f aca="false">E37</f>
        <v>2024</v>
      </c>
      <c r="F82" s="218" t="n">
        <f aca="false">F37</f>
        <v>2025</v>
      </c>
      <c r="G82" s="218" t="n">
        <f aca="false">G37</f>
        <v>2026</v>
      </c>
      <c r="H82" s="218" t="n">
        <f aca="false">H37</f>
        <v>2027</v>
      </c>
      <c r="I82" s="218" t="n">
        <f aca="false">I37</f>
        <v>2028</v>
      </c>
      <c r="J82" s="218" t="n">
        <f aca="false">J37</f>
        <v>2029</v>
      </c>
      <c r="K82" s="218" t="n">
        <f aca="false">K37</f>
        <v>2030</v>
      </c>
      <c r="L82" s="218" t="n">
        <f aca="false">L37</f>
        <v>2031</v>
      </c>
      <c r="M82" s="218" t="n">
        <f aca="false">M37</f>
        <v>2032</v>
      </c>
      <c r="N82" s="218" t="n">
        <f aca="false">N37</f>
        <v>2033</v>
      </c>
      <c r="O82" s="218" t="n">
        <f aca="false">O37</f>
        <v>2034</v>
      </c>
      <c r="P82" s="218" t="n">
        <f aca="false">P37</f>
        <v>2035</v>
      </c>
      <c r="Q82" s="218" t="n">
        <f aca="false">Q37</f>
        <v>2036</v>
      </c>
      <c r="R82" s="218" t="n">
        <f aca="false">R37</f>
        <v>2037</v>
      </c>
      <c r="S82" s="218" t="n">
        <f aca="false">S37</f>
        <v>2038</v>
      </c>
      <c r="T82" s="218" t="n">
        <f aca="false">T37</f>
        <v>2039</v>
      </c>
      <c r="U82" s="218" t="n">
        <f aca="false">U37</f>
        <v>2040</v>
      </c>
      <c r="V82" s="218" t="n">
        <f aca="false">V37</f>
        <v>2041</v>
      </c>
      <c r="W82" s="218" t="n">
        <f aca="false">W37</f>
        <v>2042</v>
      </c>
      <c r="X82" s="72"/>
    </row>
    <row r="83" customFormat="false" ht="18.75" hidden="false" customHeight="true" outlineLevel="0" collapsed="false">
      <c r="X83" s="203"/>
    </row>
    <row r="84" customFormat="false" ht="18.75" hidden="false" customHeight="true" outlineLevel="0" collapsed="false">
      <c r="B84" s="219" t="s">
        <v>51</v>
      </c>
      <c r="C84" s="219" t="n">
        <v>0</v>
      </c>
      <c r="D84" s="219" t="n">
        <v>1</v>
      </c>
      <c r="E84" s="219" t="n">
        <v>2</v>
      </c>
      <c r="F84" s="219" t="n">
        <v>3</v>
      </c>
      <c r="G84" s="219" t="n">
        <v>4</v>
      </c>
      <c r="H84" s="219" t="n">
        <v>5</v>
      </c>
      <c r="I84" s="219" t="n">
        <v>6</v>
      </c>
      <c r="J84" s="219" t="n">
        <v>7</v>
      </c>
      <c r="K84" s="219" t="n">
        <v>8</v>
      </c>
      <c r="L84" s="219" t="n">
        <v>9</v>
      </c>
      <c r="M84" s="219" t="n">
        <v>10</v>
      </c>
      <c r="N84" s="219" t="n">
        <v>11</v>
      </c>
      <c r="O84" s="219" t="n">
        <v>12</v>
      </c>
      <c r="P84" s="219" t="n">
        <v>13</v>
      </c>
      <c r="Q84" s="219" t="n">
        <v>14</v>
      </c>
      <c r="R84" s="219" t="n">
        <v>15</v>
      </c>
      <c r="S84" s="219" t="n">
        <v>16</v>
      </c>
      <c r="T84" s="219" t="n">
        <v>17</v>
      </c>
      <c r="U84" s="219" t="n">
        <v>18</v>
      </c>
      <c r="V84" s="219" t="n">
        <v>19</v>
      </c>
      <c r="W84" s="219" t="n">
        <v>20</v>
      </c>
      <c r="X84" s="103"/>
    </row>
    <row r="85" customFormat="false" ht="18.75" hidden="false" customHeight="true" outlineLevel="0" collapsed="false">
      <c r="B85" s="220" t="s">
        <v>76</v>
      </c>
      <c r="C85" s="220"/>
      <c r="D85" s="221" t="n">
        <f aca="false">D78</f>
        <v>217192.6394368</v>
      </c>
      <c r="E85" s="221" t="n">
        <f aca="false">E78</f>
        <v>-247355.710350336</v>
      </c>
      <c r="F85" s="221" t="n">
        <f aca="false">F78</f>
        <v>-229048.153234432</v>
      </c>
      <c r="G85" s="221" t="n">
        <f aca="false">G78</f>
        <v>-210740.596118528</v>
      </c>
      <c r="H85" s="221" t="n">
        <f aca="false">H78</f>
        <v>-192433.039002624</v>
      </c>
      <c r="I85" s="221" t="n">
        <f aca="false">I78</f>
        <v>-174125.48188672</v>
      </c>
      <c r="J85" s="221" t="n">
        <f aca="false">J78</f>
        <v>-155817.924770816</v>
      </c>
      <c r="K85" s="221" t="n">
        <f aca="false">K78</f>
        <v>-137510.367654912</v>
      </c>
      <c r="L85" s="221" t="n">
        <f aca="false">L78</f>
        <v>-119202.810539008</v>
      </c>
      <c r="M85" s="221" t="n">
        <f aca="false">M78</f>
        <v>-100895.253423104</v>
      </c>
      <c r="N85" s="221" t="n">
        <f aca="false">N78</f>
        <v>-47699.6963072001</v>
      </c>
      <c r="O85" s="221" t="n">
        <f aca="false">O78</f>
        <v>-29392.1391912961</v>
      </c>
      <c r="P85" s="221" t="n">
        <f aca="false">P78</f>
        <v>-11084.5820753921</v>
      </c>
      <c r="Q85" s="221" t="n">
        <f aca="false">Q78</f>
        <v>7222.97504051185</v>
      </c>
      <c r="R85" s="221" t="n">
        <f aca="false">R78</f>
        <v>25530.5321564159</v>
      </c>
      <c r="S85" s="221" t="n">
        <f aca="false">S78</f>
        <v>43838.0892723199</v>
      </c>
      <c r="T85" s="221" t="n">
        <f aca="false">T78</f>
        <v>39285.9123722237</v>
      </c>
      <c r="U85" s="221" t="n">
        <f aca="false">U78</f>
        <v>34733.7354721279</v>
      </c>
      <c r="V85" s="221" t="n">
        <f aca="false">V78</f>
        <v>30181.5585720318</v>
      </c>
      <c r="W85" s="221" t="n">
        <f aca="false">W78</f>
        <v>25629.3816719359</v>
      </c>
      <c r="X85" s="220"/>
      <c r="Y85" s="220"/>
    </row>
    <row r="86" customFormat="false" ht="15.75" hidden="false" customHeight="true" outlineLevel="0" collapsed="false">
      <c r="B86" s="220" t="s">
        <v>77</v>
      </c>
      <c r="C86" s="220"/>
      <c r="D86" s="222" t="n">
        <f aca="false">-D67</f>
        <v>1046640</v>
      </c>
      <c r="E86" s="222" t="n">
        <f aca="false">-E67</f>
        <v>1046640</v>
      </c>
      <c r="F86" s="222" t="n">
        <f aca="false">-F67</f>
        <v>1046640</v>
      </c>
      <c r="G86" s="222" t="n">
        <f aca="false">-G67</f>
        <v>1046640</v>
      </c>
      <c r="H86" s="222" t="n">
        <f aca="false">-H67</f>
        <v>1046640</v>
      </c>
      <c r="I86" s="222" t="n">
        <f aca="false">-I67</f>
        <v>1046640</v>
      </c>
      <c r="J86" s="222" t="n">
        <f aca="false">-J67</f>
        <v>1046640</v>
      </c>
      <c r="K86" s="222" t="n">
        <f aca="false">-K67</f>
        <v>1046640</v>
      </c>
      <c r="L86" s="222" t="n">
        <f aca="false">-L67</f>
        <v>1046640</v>
      </c>
      <c r="M86" s="222" t="n">
        <f aca="false">-M67</f>
        <v>1046640</v>
      </c>
      <c r="N86" s="222" t="n">
        <f aca="false">-N67</f>
        <v>1046640</v>
      </c>
      <c r="O86" s="222" t="n">
        <f aca="false">-O67</f>
        <v>1046640</v>
      </c>
      <c r="P86" s="222" t="n">
        <f aca="false">-P67</f>
        <v>1046640</v>
      </c>
      <c r="Q86" s="222" t="n">
        <f aca="false">-Q67</f>
        <v>1046640</v>
      </c>
      <c r="R86" s="222" t="n">
        <f aca="false">-R67</f>
        <v>1046640</v>
      </c>
      <c r="S86" s="222" t="n">
        <f aca="false">-S67</f>
        <v>1046640</v>
      </c>
      <c r="T86" s="222" t="n">
        <f aca="false">-T67</f>
        <v>1046640</v>
      </c>
      <c r="U86" s="222" t="n">
        <f aca="false">-U67</f>
        <v>1046640</v>
      </c>
      <c r="V86" s="222" t="n">
        <f aca="false">-V67</f>
        <v>1046640</v>
      </c>
      <c r="W86" s="222" t="n">
        <f aca="false">-W67</f>
        <v>1046640</v>
      </c>
      <c r="X86" s="223"/>
      <c r="Y86" s="223"/>
    </row>
    <row r="87" customFormat="false" ht="15.75" hidden="false" customHeight="true" outlineLevel="0" collapsed="false">
      <c r="B87" s="220" t="s">
        <v>78</v>
      </c>
      <c r="C87" s="220"/>
      <c r="D87" s="224" t="n">
        <f aca="false">SUM(D85:D86)</f>
        <v>1263832.6394368</v>
      </c>
      <c r="E87" s="224" t="n">
        <f aca="false">SUM(E85:E86)</f>
        <v>799284.289649664</v>
      </c>
      <c r="F87" s="224" t="n">
        <f aca="false">SUM(F85:F86)</f>
        <v>817591.846765568</v>
      </c>
      <c r="G87" s="224" t="n">
        <f aca="false">SUM(G85:G86)</f>
        <v>835899.403881472</v>
      </c>
      <c r="H87" s="224" t="n">
        <f aca="false">SUM(H85:H86)</f>
        <v>854206.960997376</v>
      </c>
      <c r="I87" s="224" t="n">
        <f aca="false">SUM(I85:I86)</f>
        <v>872514.51811328</v>
      </c>
      <c r="J87" s="224" t="n">
        <f aca="false">SUM(J85:J86)</f>
        <v>890822.075229184</v>
      </c>
      <c r="K87" s="224" t="n">
        <f aca="false">SUM(K85:K86)</f>
        <v>909129.632345088</v>
      </c>
      <c r="L87" s="224" t="n">
        <f aca="false">SUM(L85:L86)</f>
        <v>927437.189460992</v>
      </c>
      <c r="M87" s="224" t="n">
        <f aca="false">SUM(M85:M86)</f>
        <v>945744.746576896</v>
      </c>
      <c r="N87" s="224" t="n">
        <f aca="false">SUM(N85:N86)</f>
        <v>998940.3036928</v>
      </c>
      <c r="O87" s="224" t="n">
        <f aca="false">SUM(O85:O86)</f>
        <v>1017247.8608087</v>
      </c>
      <c r="P87" s="224" t="n">
        <f aca="false">SUM(P85:P86)</f>
        <v>1035555.41792461</v>
      </c>
      <c r="Q87" s="224" t="n">
        <f aca="false">SUM(Q85:Q86)</f>
        <v>1053862.97504051</v>
      </c>
      <c r="R87" s="224" t="n">
        <f aca="false">SUM(R85:R86)</f>
        <v>1072170.53215642</v>
      </c>
      <c r="S87" s="224" t="n">
        <f aca="false">SUM(S85:S86)</f>
        <v>1090478.08927232</v>
      </c>
      <c r="T87" s="224" t="n">
        <f aca="false">SUM(T85:T86)</f>
        <v>1085925.91237222</v>
      </c>
      <c r="U87" s="224" t="n">
        <f aca="false">SUM(U85:U86)</f>
        <v>1081373.73547213</v>
      </c>
      <c r="V87" s="224" t="n">
        <f aca="false">SUM(V85:V86)</f>
        <v>1076821.55857203</v>
      </c>
      <c r="W87" s="224" t="n">
        <f aca="false">SUM(W85:W86)</f>
        <v>1072269.38167194</v>
      </c>
      <c r="X87" s="192"/>
    </row>
    <row r="88" customFormat="false" ht="15.75" hidden="false" customHeight="true" outlineLevel="0" collapsed="false">
      <c r="B88" s="220"/>
      <c r="C88" s="220"/>
      <c r="D88" s="220"/>
      <c r="E88" s="220"/>
      <c r="F88" s="225"/>
      <c r="G88" s="225"/>
      <c r="H88" s="225"/>
      <c r="I88" s="225"/>
      <c r="J88" s="225"/>
      <c r="K88" s="225"/>
      <c r="L88" s="225"/>
      <c r="M88" s="225"/>
      <c r="N88" s="225"/>
      <c r="O88" s="225"/>
      <c r="P88" s="225"/>
      <c r="Q88" s="225"/>
      <c r="R88" s="225"/>
      <c r="S88" s="225"/>
      <c r="T88" s="225"/>
      <c r="U88" s="225"/>
      <c r="V88" s="225"/>
      <c r="W88" s="225"/>
      <c r="X88" s="191"/>
    </row>
    <row r="89" customFormat="false" ht="15.75" hidden="false" customHeight="true" outlineLevel="0" collapsed="false">
      <c r="B89" s="226" t="s">
        <v>79</v>
      </c>
      <c r="C89" s="227"/>
      <c r="D89" s="228" t="n">
        <f aca="false">C44</f>
        <v>-20932800</v>
      </c>
      <c r="E89" s="227"/>
      <c r="F89" s="227"/>
      <c r="G89" s="227"/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9"/>
    </row>
    <row r="90" customFormat="false" ht="15.75" hidden="false" customHeight="true" outlineLevel="0" collapsed="false">
      <c r="B90" s="220"/>
      <c r="C90" s="220"/>
      <c r="D90" s="220"/>
      <c r="E90" s="220"/>
      <c r="F90" s="225"/>
      <c r="G90" s="225"/>
      <c r="H90" s="225"/>
      <c r="I90" s="225"/>
      <c r="J90" s="225"/>
      <c r="K90" s="225"/>
      <c r="L90" s="225"/>
      <c r="M90" s="225"/>
      <c r="N90" s="225"/>
      <c r="O90" s="225"/>
      <c r="P90" s="225"/>
      <c r="Q90" s="225"/>
      <c r="R90" s="225"/>
      <c r="S90" s="225"/>
      <c r="T90" s="225"/>
      <c r="U90" s="225"/>
      <c r="V90" s="225"/>
      <c r="W90" s="225"/>
      <c r="X90" s="191"/>
    </row>
    <row r="91" customFormat="false" ht="15.75" hidden="false" customHeight="true" outlineLevel="0" collapsed="false">
      <c r="B91" s="220"/>
      <c r="C91" s="220"/>
      <c r="D91" s="220"/>
      <c r="E91" s="220"/>
      <c r="F91" s="225"/>
      <c r="G91" s="225"/>
      <c r="H91" s="225"/>
      <c r="I91" s="225"/>
      <c r="J91" s="225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191"/>
    </row>
    <row r="92" customFormat="false" ht="15.75" hidden="false" customHeight="true" outlineLevel="0" collapsed="false">
      <c r="B92" s="226" t="s">
        <v>80</v>
      </c>
      <c r="C92" s="227"/>
      <c r="D92" s="228" t="n">
        <f aca="false">-D89*D31</f>
        <v>16746240</v>
      </c>
      <c r="E92" s="227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191"/>
    </row>
    <row r="93" customFormat="false" ht="15.75" hidden="false" customHeight="true" outlineLevel="0" collapsed="false">
      <c r="B93" s="220" t="s">
        <v>81</v>
      </c>
      <c r="C93" s="220"/>
      <c r="D93" s="230"/>
      <c r="E93" s="230" t="n">
        <v>-1116416</v>
      </c>
      <c r="F93" s="230" t="n">
        <v>-1116416</v>
      </c>
      <c r="G93" s="230" t="n">
        <v>-1116416</v>
      </c>
      <c r="H93" s="230" t="n">
        <v>-1116416</v>
      </c>
      <c r="I93" s="230" t="n">
        <v>-1116416</v>
      </c>
      <c r="J93" s="230" t="n">
        <v>-1116416</v>
      </c>
      <c r="K93" s="230" t="n">
        <v>-1116416</v>
      </c>
      <c r="L93" s="230" t="n">
        <v>-1116416</v>
      </c>
      <c r="M93" s="230" t="n">
        <v>-1116416</v>
      </c>
      <c r="N93" s="230" t="n">
        <v>-1116416</v>
      </c>
      <c r="O93" s="230" t="n">
        <v>-1116416</v>
      </c>
      <c r="P93" s="230" t="n">
        <v>-1116416</v>
      </c>
      <c r="Q93" s="230" t="n">
        <v>-1116416</v>
      </c>
      <c r="R93" s="230" t="n">
        <v>-1116416</v>
      </c>
      <c r="S93" s="230" t="n">
        <v>-1116416</v>
      </c>
      <c r="T93" s="230" t="n">
        <v>0</v>
      </c>
      <c r="U93" s="230" t="n">
        <v>0</v>
      </c>
      <c r="V93" s="230" t="n">
        <v>0</v>
      </c>
      <c r="W93" s="230" t="n">
        <v>0</v>
      </c>
      <c r="X93" s="229"/>
    </row>
    <row r="94" customFormat="false" ht="15.75" hidden="false" customHeight="true" outlineLevel="0" collapsed="false">
      <c r="B94" s="220" t="s">
        <v>82</v>
      </c>
      <c r="C94" s="225"/>
      <c r="D94" s="221" t="n">
        <f aca="false">-D89*(1-D31)</f>
        <v>4186560</v>
      </c>
      <c r="E94" s="225"/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192"/>
    </row>
    <row r="95" customFormat="false" ht="15.75" hidden="false" customHeight="true" outlineLevel="0" collapsed="false">
      <c r="B95" s="220" t="s">
        <v>45</v>
      </c>
      <c r="C95" s="225"/>
      <c r="D95" s="225"/>
      <c r="E95" s="231" t="n">
        <f aca="false">-D85*$D$33</f>
        <v>-195473.37549312</v>
      </c>
      <c r="F95" s="231" t="n">
        <f aca="false">-E85*$D$33</f>
        <v>222620.139315303</v>
      </c>
      <c r="G95" s="231" t="n">
        <f aca="false">-F85*$D$33</f>
        <v>206143.337910989</v>
      </c>
      <c r="H95" s="231" t="n">
        <f aca="false">-G85*$D$33</f>
        <v>189666.536506675</v>
      </c>
      <c r="I95" s="231" t="n">
        <f aca="false">-H85*$D$33</f>
        <v>173189.735102362</v>
      </c>
      <c r="J95" s="231" t="n">
        <f aca="false">-I85*$D$33</f>
        <v>156712.933698048</v>
      </c>
      <c r="K95" s="231" t="n">
        <f aca="false">-J85*$D$33</f>
        <v>140236.132293734</v>
      </c>
      <c r="L95" s="231" t="n">
        <f aca="false">-K85*$D$33</f>
        <v>123759.330889421</v>
      </c>
      <c r="M95" s="231" t="n">
        <f aca="false">-L85*$D$33</f>
        <v>107282.529485107</v>
      </c>
      <c r="N95" s="231" t="n">
        <f aca="false">-M85*$D$33</f>
        <v>90805.7280807937</v>
      </c>
      <c r="O95" s="231" t="n">
        <f aca="false">-N85*$D$33</f>
        <v>42929.7266764801</v>
      </c>
      <c r="P95" s="231" t="n">
        <f aca="false">-O85*$D$33</f>
        <v>26452.9252721665</v>
      </c>
      <c r="Q95" s="231" t="n">
        <f aca="false">-P85*$D$33</f>
        <v>9976.12386785288</v>
      </c>
      <c r="R95" s="231" t="n">
        <f aca="false">-Q85*$D$33</f>
        <v>-6500.67753646067</v>
      </c>
      <c r="S95" s="231" t="n">
        <f aca="false">-R85*$D$33</f>
        <v>-22977.4789407743</v>
      </c>
      <c r="T95" s="231" t="n">
        <f aca="false">-S85*$D$33</f>
        <v>-39454.2803450879</v>
      </c>
      <c r="U95" s="231" t="n">
        <f aca="false">-T85*$D$33</f>
        <v>-35357.3211350013</v>
      </c>
      <c r="V95" s="231" t="n">
        <f aca="false">-U85*$D$33</f>
        <v>-31260.3619249151</v>
      </c>
      <c r="W95" s="231" t="n">
        <f aca="false">-V85*$D$33</f>
        <v>-27163.4027148286</v>
      </c>
      <c r="X95" s="231" t="n">
        <f aca="false">-W85*$D$33</f>
        <v>-23066.4435047423</v>
      </c>
    </row>
    <row r="96" customFormat="false" ht="15.75" hidden="false" customHeight="true" outlineLevel="0" collapsed="false">
      <c r="B96" s="232" t="s">
        <v>47</v>
      </c>
      <c r="C96" s="233"/>
      <c r="D96" s="233" t="n">
        <v>0</v>
      </c>
      <c r="E96" s="234" t="n">
        <v>0</v>
      </c>
      <c r="F96" s="234" t="n">
        <v>0</v>
      </c>
      <c r="G96" s="234" t="n">
        <v>0</v>
      </c>
      <c r="H96" s="234" t="n">
        <v>0</v>
      </c>
      <c r="I96" s="234" t="n">
        <v>0</v>
      </c>
      <c r="J96" s="234" t="n">
        <v>0</v>
      </c>
      <c r="K96" s="234" t="n">
        <v>0</v>
      </c>
      <c r="L96" s="234" t="n">
        <v>0</v>
      </c>
      <c r="M96" s="234" t="n">
        <v>0</v>
      </c>
      <c r="N96" s="234" t="n">
        <v>0</v>
      </c>
      <c r="O96" s="234" t="n">
        <v>0</v>
      </c>
      <c r="P96" s="234" t="n">
        <v>0</v>
      </c>
      <c r="Q96" s="234" t="n">
        <v>0</v>
      </c>
      <c r="R96" s="234" t="n">
        <v>0</v>
      </c>
      <c r="S96" s="234" t="n">
        <v>0</v>
      </c>
      <c r="T96" s="234" t="n">
        <v>-1046640</v>
      </c>
      <c r="U96" s="234" t="n">
        <v>-1046640</v>
      </c>
      <c r="V96" s="234" t="n">
        <v>-1046640</v>
      </c>
      <c r="W96" s="234" t="n">
        <v>-1046640</v>
      </c>
      <c r="X96" s="235" t="n">
        <f aca="false">-W101-X95</f>
        <v>123169.093056</v>
      </c>
    </row>
    <row r="97" customFormat="false" ht="15.75" hidden="false" customHeight="true" outlineLevel="0" collapsed="false">
      <c r="B97" s="225"/>
      <c r="C97" s="225"/>
      <c r="D97" s="225"/>
      <c r="E97" s="225"/>
      <c r="F97" s="22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192"/>
    </row>
    <row r="98" customFormat="false" ht="15.75" hidden="false" customHeight="true" outlineLevel="0" collapsed="false">
      <c r="B98" s="225"/>
      <c r="C98" s="225"/>
      <c r="D98" s="225"/>
      <c r="E98" s="225"/>
      <c r="F98" s="22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192"/>
    </row>
    <row r="99" customFormat="false" ht="15.75" hidden="false" customHeight="true" outlineLevel="0" collapsed="false">
      <c r="B99" s="220" t="s">
        <v>83</v>
      </c>
      <c r="C99" s="221" t="n">
        <v>0</v>
      </c>
      <c r="D99" s="221" t="n">
        <f aca="false">SUM(D87:D96)</f>
        <v>1263832.6394368</v>
      </c>
      <c r="E99" s="221" t="n">
        <f aca="false">SUM(E87:E96)</f>
        <v>-512605.085843456</v>
      </c>
      <c r="F99" s="221" t="n">
        <f aca="false">SUM(F87:F96)</f>
        <v>-76204.0139191294</v>
      </c>
      <c r="G99" s="221" t="n">
        <f aca="false">SUM(G87:G96)</f>
        <v>-74373.2582075392</v>
      </c>
      <c r="H99" s="221" t="n">
        <f aca="false">SUM(H87:H96)</f>
        <v>-72542.5024959489</v>
      </c>
      <c r="I99" s="221" t="n">
        <f aca="false">SUM(I87:I96)</f>
        <v>-70711.7467843584</v>
      </c>
      <c r="J99" s="221" t="n">
        <f aca="false">SUM(J87:J96)</f>
        <v>-68880.9910727678</v>
      </c>
      <c r="K99" s="221" t="n">
        <f aca="false">SUM(K87:K96)</f>
        <v>-67050.2353611778</v>
      </c>
      <c r="L99" s="221" t="n">
        <f aca="false">SUM(L87:L96)</f>
        <v>-65219.4796495872</v>
      </c>
      <c r="M99" s="221" t="n">
        <f aca="false">SUM(M87:M96)</f>
        <v>-63388.7239379967</v>
      </c>
      <c r="N99" s="221" t="n">
        <f aca="false">SUM(N87:N96)</f>
        <v>-26669.9682264064</v>
      </c>
      <c r="O99" s="221" t="n">
        <f aca="false">SUM(O87:O96)</f>
        <v>-56238.4125148161</v>
      </c>
      <c r="P99" s="221" t="n">
        <f aca="false">SUM(P87:P96)</f>
        <v>-54407.6568032256</v>
      </c>
      <c r="Q99" s="221" t="n">
        <f aca="false">SUM(Q87:Q96)</f>
        <v>-52576.9010916352</v>
      </c>
      <c r="R99" s="221" t="n">
        <f aca="false">SUM(R87:R96)</f>
        <v>-50746.1453800447</v>
      </c>
      <c r="S99" s="221" t="n">
        <f aca="false">SUM(S87:S96)</f>
        <v>-48915.3896684543</v>
      </c>
      <c r="T99" s="221" t="n">
        <f aca="false">SUM(T87:T96)</f>
        <v>-168.367972864187</v>
      </c>
      <c r="U99" s="221" t="n">
        <f aca="false">SUM(U87:U96)</f>
        <v>-623.585662873345</v>
      </c>
      <c r="V99" s="221" t="n">
        <f aca="false">SUM(V87:V96)</f>
        <v>-1078.80335288332</v>
      </c>
      <c r="W99" s="221" t="n">
        <f aca="false">SUM(W87:W96)</f>
        <v>-1534.02104289259</v>
      </c>
      <c r="X99" s="192"/>
    </row>
    <row r="100" customFormat="false" ht="15.75" hidden="false" customHeight="true" outlineLevel="0" collapsed="false">
      <c r="B100" s="220" t="s">
        <v>84</v>
      </c>
      <c r="C100" s="221" t="n">
        <v>0</v>
      </c>
      <c r="D100" s="221" t="n">
        <f aca="false">C101</f>
        <v>0</v>
      </c>
      <c r="E100" s="221" t="n">
        <f aca="false">D101</f>
        <v>1263832.6394368</v>
      </c>
      <c r="F100" s="221" t="n">
        <f aca="false">E101</f>
        <v>751227.553593343</v>
      </c>
      <c r="G100" s="221" t="n">
        <f aca="false">F101</f>
        <v>675023.539674214</v>
      </c>
      <c r="H100" s="221" t="n">
        <f aca="false">G101</f>
        <v>600650.281466675</v>
      </c>
      <c r="I100" s="221" t="n">
        <f aca="false">H101</f>
        <v>528107.778970726</v>
      </c>
      <c r="J100" s="221" t="n">
        <f aca="false">I101</f>
        <v>457396.032186367</v>
      </c>
      <c r="K100" s="221" t="n">
        <f aca="false">J101</f>
        <v>388515.041113599</v>
      </c>
      <c r="L100" s="221" t="n">
        <f aca="false">K101</f>
        <v>321464.805752422</v>
      </c>
      <c r="M100" s="221" t="n">
        <f aca="false">L101</f>
        <v>256245.326102834</v>
      </c>
      <c r="N100" s="221" t="n">
        <f aca="false">M101</f>
        <v>192856.602164838</v>
      </c>
      <c r="O100" s="221" t="n">
        <f aca="false">N101</f>
        <v>166186.633938431</v>
      </c>
      <c r="P100" s="221" t="n">
        <f aca="false">O101</f>
        <v>109948.221423615</v>
      </c>
      <c r="Q100" s="221" t="n">
        <f aca="false">P101</f>
        <v>55540.5646203896</v>
      </c>
      <c r="R100" s="221" t="n">
        <f aca="false">Q101</f>
        <v>2963.66352875438</v>
      </c>
      <c r="S100" s="221" t="n">
        <f aca="false">R101</f>
        <v>-47782.4818512903</v>
      </c>
      <c r="T100" s="221" t="n">
        <f aca="false">S101</f>
        <v>-96697.8715197446</v>
      </c>
      <c r="U100" s="221" t="n">
        <f aca="false">T101</f>
        <v>-96866.2394926088</v>
      </c>
      <c r="V100" s="221" t="n">
        <f aca="false">U101</f>
        <v>-97489.8251554821</v>
      </c>
      <c r="W100" s="221" t="n">
        <f aca="false">V101</f>
        <v>-98568.6285083654</v>
      </c>
      <c r="X100" s="191"/>
    </row>
    <row r="101" customFormat="false" ht="15.75" hidden="false" customHeight="true" outlineLevel="0" collapsed="false">
      <c r="B101" s="220" t="s">
        <v>85</v>
      </c>
      <c r="C101" s="221" t="n">
        <v>0</v>
      </c>
      <c r="D101" s="221" t="n">
        <f aca="false">D99+D100</f>
        <v>1263832.6394368</v>
      </c>
      <c r="E101" s="221" t="n">
        <f aca="false">E99+E100</f>
        <v>751227.553593343</v>
      </c>
      <c r="F101" s="221" t="n">
        <f aca="false">F99+F100</f>
        <v>675023.539674214</v>
      </c>
      <c r="G101" s="221" t="n">
        <f aca="false">G99+G100</f>
        <v>600650.281466675</v>
      </c>
      <c r="H101" s="221" t="n">
        <f aca="false">H99+H100</f>
        <v>528107.778970726</v>
      </c>
      <c r="I101" s="221" t="n">
        <f aca="false">I99+I100</f>
        <v>457396.032186367</v>
      </c>
      <c r="J101" s="221" t="n">
        <f aca="false">J99+J100</f>
        <v>388515.041113599</v>
      </c>
      <c r="K101" s="221" t="n">
        <f aca="false">K99+K100</f>
        <v>321464.805752422</v>
      </c>
      <c r="L101" s="221" t="n">
        <f aca="false">L99+L100</f>
        <v>256245.326102834</v>
      </c>
      <c r="M101" s="221" t="n">
        <f aca="false">M99+M100</f>
        <v>192856.602164838</v>
      </c>
      <c r="N101" s="221" t="n">
        <f aca="false">N99+N100</f>
        <v>166186.633938431</v>
      </c>
      <c r="O101" s="221" t="n">
        <f aca="false">O99+O100</f>
        <v>109948.221423615</v>
      </c>
      <c r="P101" s="221" t="n">
        <f aca="false">P99+P100</f>
        <v>55540.5646203896</v>
      </c>
      <c r="Q101" s="221" t="n">
        <f aca="false">Q99+Q100</f>
        <v>2963.66352875438</v>
      </c>
      <c r="R101" s="221" t="n">
        <f aca="false">R99+R100</f>
        <v>-47782.4818512903</v>
      </c>
      <c r="S101" s="221" t="n">
        <f aca="false">S99+S100</f>
        <v>-96697.8715197446</v>
      </c>
      <c r="T101" s="221" t="n">
        <f aca="false">T99+T100</f>
        <v>-96866.2394926088</v>
      </c>
      <c r="U101" s="221" t="n">
        <f aca="false">U99+U100</f>
        <v>-97489.8251554821</v>
      </c>
      <c r="V101" s="221" t="n">
        <f aca="false">V99+V100</f>
        <v>-98568.6285083654</v>
      </c>
      <c r="W101" s="221" t="n">
        <f aca="false">W99+W100</f>
        <v>-100102.649551258</v>
      </c>
      <c r="X101" s="191"/>
    </row>
    <row r="102" customFormat="false" ht="15.75" hidden="false" customHeight="true" outlineLevel="0" collapsed="false"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</row>
    <row r="103" customFormat="false" ht="15.75" hidden="false" customHeight="true" outlineLevel="0" collapsed="false">
      <c r="B103" s="220"/>
      <c r="C103" s="220"/>
      <c r="D103" s="220"/>
      <c r="E103" s="220"/>
      <c r="F103" s="225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</row>
    <row r="104" customFormat="false" ht="15.75" hidden="false" customHeight="true" outlineLevel="0" collapsed="false">
      <c r="B104" s="236" t="s">
        <v>86</v>
      </c>
      <c r="C104" s="237"/>
      <c r="D104" s="238" t="n">
        <f aca="false">-D94</f>
        <v>-4186560</v>
      </c>
      <c r="E104" s="224" t="n">
        <f aca="false">-E95-E96</f>
        <v>195473.37549312</v>
      </c>
      <c r="F104" s="224" t="n">
        <f aca="false">-F95-F96</f>
        <v>-222620.139315303</v>
      </c>
      <c r="G104" s="224" t="n">
        <f aca="false">-G95-G96</f>
        <v>-206143.337910989</v>
      </c>
      <c r="H104" s="224" t="n">
        <f aca="false">-H95-H96</f>
        <v>-189666.536506675</v>
      </c>
      <c r="I104" s="224" t="n">
        <f aca="false">-I95-I96</f>
        <v>-173189.735102362</v>
      </c>
      <c r="J104" s="224" t="n">
        <f aca="false">-J95-J96</f>
        <v>-156712.933698048</v>
      </c>
      <c r="K104" s="224" t="n">
        <f aca="false">-K95-K96</f>
        <v>-140236.132293734</v>
      </c>
      <c r="L104" s="224" t="n">
        <f aca="false">-L95-L96</f>
        <v>-123759.330889421</v>
      </c>
      <c r="M104" s="224" t="n">
        <f aca="false">-M95-M96</f>
        <v>-107282.529485107</v>
      </c>
      <c r="N104" s="224" t="n">
        <f aca="false">-N95-N96</f>
        <v>-90805.7280807937</v>
      </c>
      <c r="O104" s="224" t="n">
        <f aca="false">-O95-O96</f>
        <v>-42929.7266764801</v>
      </c>
      <c r="P104" s="224" t="n">
        <f aca="false">-P95-P96</f>
        <v>-26452.9252721665</v>
      </c>
      <c r="Q104" s="224" t="n">
        <f aca="false">-Q95-Q96</f>
        <v>-9976.12386785288</v>
      </c>
      <c r="R104" s="224" t="n">
        <f aca="false">-R95-R96</f>
        <v>6500.67753646067</v>
      </c>
      <c r="S104" s="224" t="n">
        <f aca="false">-S95-S96</f>
        <v>22977.4789407743</v>
      </c>
      <c r="T104" s="224" t="n">
        <f aca="false">-T95-T96</f>
        <v>1086094.28034509</v>
      </c>
      <c r="U104" s="224" t="n">
        <f aca="false">-U95-U96</f>
        <v>1081997.321135</v>
      </c>
      <c r="V104" s="224" t="n">
        <f aca="false">-V95-V96</f>
        <v>1077900.36192492</v>
      </c>
      <c r="W104" s="224" t="n">
        <f aca="false">-W95-W96</f>
        <v>1073803.40271483</v>
      </c>
      <c r="X104" s="224" t="n">
        <f aca="false">-X95-X96</f>
        <v>-100102.649551258</v>
      </c>
    </row>
    <row r="105" customFormat="false" ht="15.75" hidden="false" customHeight="true" outlineLevel="0" collapsed="false">
      <c r="B105" s="220" t="s">
        <v>87</v>
      </c>
      <c r="C105" s="239" t="n">
        <f aca="false">IRR(D104:X104)</f>
        <v>-0.0159200692052805</v>
      </c>
      <c r="D105" s="225"/>
      <c r="E105" s="225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</row>
    <row r="106" customFormat="false" ht="15.75" hidden="false" customHeight="true" outlineLevel="0" collapsed="false">
      <c r="B106" s="236" t="s">
        <v>88</v>
      </c>
      <c r="C106" s="237"/>
      <c r="D106" s="238" t="n">
        <f aca="false">D85-D94</f>
        <v>-3969367.3605632</v>
      </c>
      <c r="E106" s="224" t="n">
        <f aca="false">E85</f>
        <v>-247355.710350336</v>
      </c>
      <c r="F106" s="224" t="n">
        <f aca="false">F85-F96</f>
        <v>-229048.153234432</v>
      </c>
      <c r="G106" s="224" t="n">
        <f aca="false">G85-G96</f>
        <v>-210740.596118528</v>
      </c>
      <c r="H106" s="224" t="n">
        <f aca="false">H85-H96</f>
        <v>-192433.039002624</v>
      </c>
      <c r="I106" s="224" t="n">
        <f aca="false">I85-I96</f>
        <v>-174125.48188672</v>
      </c>
      <c r="J106" s="224" t="n">
        <f aca="false">J85-J96</f>
        <v>-155817.924770816</v>
      </c>
      <c r="K106" s="224" t="n">
        <f aca="false">K85-K96</f>
        <v>-137510.367654912</v>
      </c>
      <c r="L106" s="224" t="n">
        <f aca="false">L85-L96</f>
        <v>-119202.810539008</v>
      </c>
      <c r="M106" s="224" t="n">
        <f aca="false">M85-M96</f>
        <v>-100895.253423104</v>
      </c>
      <c r="N106" s="224" t="n">
        <f aca="false">N85-N96</f>
        <v>-47699.6963072001</v>
      </c>
      <c r="O106" s="224" t="n">
        <f aca="false">O85-O96</f>
        <v>-29392.1391912961</v>
      </c>
      <c r="P106" s="224" t="n">
        <f aca="false">P85-P96</f>
        <v>-11084.5820753921</v>
      </c>
      <c r="Q106" s="224" t="n">
        <f aca="false">Q85-Q96</f>
        <v>7222.97504051185</v>
      </c>
      <c r="R106" s="224" t="n">
        <f aca="false">R85-R96</f>
        <v>25530.5321564159</v>
      </c>
      <c r="S106" s="224" t="n">
        <f aca="false">S85-S96</f>
        <v>43838.0892723199</v>
      </c>
      <c r="T106" s="224" t="n">
        <f aca="false">T85-T96</f>
        <v>1085925.91237222</v>
      </c>
      <c r="U106" s="224" t="n">
        <f aca="false">U85-U96</f>
        <v>1081373.73547213</v>
      </c>
      <c r="V106" s="224" t="n">
        <f aca="false">V85-V96</f>
        <v>1076821.55857203</v>
      </c>
      <c r="W106" s="224" t="n">
        <f aca="false">W85-W96</f>
        <v>1072269.38167194</v>
      </c>
      <c r="X106" s="229"/>
    </row>
    <row r="107" customFormat="false" ht="15.75" hidden="false" customHeight="true" outlineLevel="0" collapsed="false">
      <c r="B107" s="236" t="s">
        <v>89</v>
      </c>
      <c r="C107" s="239" t="n">
        <f aca="false">IRR(D106:W106)</f>
        <v>-0.0152947585218027</v>
      </c>
      <c r="D107" s="225"/>
      <c r="E107" s="225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</row>
    <row r="108" customFormat="false" ht="15.75" hidden="false" customHeight="true" outlineLevel="0" collapsed="false"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</row>
    <row r="109" customFormat="false" ht="15.75" hidden="false" customHeight="true" outlineLevel="0" collapsed="false">
      <c r="B109" s="220" t="s">
        <v>90</v>
      </c>
      <c r="C109" s="221" t="n">
        <v>0</v>
      </c>
      <c r="D109" s="221" t="n">
        <f aca="false">D92</f>
        <v>16746240</v>
      </c>
      <c r="E109" s="221" t="n">
        <f aca="false">D109+E93</f>
        <v>15629824</v>
      </c>
      <c r="F109" s="221" t="n">
        <f aca="false">E109+F93</f>
        <v>14513408</v>
      </c>
      <c r="G109" s="221" t="n">
        <f aca="false">F109+G93</f>
        <v>13396992</v>
      </c>
      <c r="H109" s="221" t="n">
        <f aca="false">G109+H93</f>
        <v>12280576</v>
      </c>
      <c r="I109" s="221" t="n">
        <f aca="false">H109+I93</f>
        <v>11164160</v>
      </c>
      <c r="J109" s="221" t="n">
        <f aca="false">I109+J93</f>
        <v>10047744</v>
      </c>
      <c r="K109" s="221" t="n">
        <f aca="false">J109+K93</f>
        <v>8931328</v>
      </c>
      <c r="L109" s="221" t="n">
        <f aca="false">K109+L93</f>
        <v>7814912</v>
      </c>
      <c r="M109" s="221" t="n">
        <f aca="false">L109+M93</f>
        <v>6698496</v>
      </c>
      <c r="N109" s="221" t="n">
        <f aca="false">M109+N93</f>
        <v>5582080</v>
      </c>
      <c r="O109" s="221" t="n">
        <f aca="false">N109+O93</f>
        <v>4465664</v>
      </c>
      <c r="P109" s="221" t="n">
        <f aca="false">O109+P93</f>
        <v>3349248</v>
      </c>
      <c r="Q109" s="221" t="n">
        <f aca="false">P109+Q93</f>
        <v>2232832</v>
      </c>
      <c r="R109" s="221" t="n">
        <f aca="false">Q109+R93</f>
        <v>1116416</v>
      </c>
      <c r="S109" s="221" t="n">
        <f aca="false">R109+S93</f>
        <v>0</v>
      </c>
      <c r="T109" s="221" t="n">
        <f aca="false">S109+T93</f>
        <v>0</v>
      </c>
      <c r="U109" s="221" t="n">
        <f aca="false">T109+U93</f>
        <v>0</v>
      </c>
      <c r="V109" s="221" t="n">
        <f aca="false">U109+V93</f>
        <v>0</v>
      </c>
      <c r="W109" s="221" t="n">
        <f aca="false">V109+W93</f>
        <v>0</v>
      </c>
      <c r="X109" s="2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2" t="s">
        <v>0</v>
      </c>
      <c r="C1" s="124"/>
      <c r="D1" s="124"/>
      <c r="E1" s="125"/>
      <c r="F1" s="126" t="s">
        <v>108</v>
      </c>
      <c r="P1" s="127" t="n">
        <f aca="false">1-D11</f>
        <v>0.99</v>
      </c>
      <c r="Q1" s="127" t="n">
        <f aca="false">P1-$D12</f>
        <v>0.986</v>
      </c>
      <c r="R1" s="127" t="n">
        <f aca="false">Q1-$D12</f>
        <v>0.982</v>
      </c>
      <c r="S1" s="127" t="n">
        <f aca="false">R1-$D12</f>
        <v>0.978</v>
      </c>
      <c r="T1" s="127" t="n">
        <f aca="false">S1-$D12</f>
        <v>0.974</v>
      </c>
      <c r="U1" s="127" t="n">
        <f aca="false">T1-$D12</f>
        <v>0.97</v>
      </c>
      <c r="V1" s="127" t="n">
        <f aca="false">U1-$D12</f>
        <v>0.966</v>
      </c>
      <c r="W1" s="127" t="n">
        <f aca="false">V1-$D12</f>
        <v>0.962</v>
      </c>
      <c r="X1" s="127" t="n">
        <f aca="false">W1-$D12</f>
        <v>0.958</v>
      </c>
      <c r="Y1" s="127" t="n">
        <f aca="false">X1-$D12</f>
        <v>0.954</v>
      </c>
      <c r="Z1" s="127" t="n">
        <f aca="false">Y1-$D12</f>
        <v>0.95</v>
      </c>
      <c r="AA1" s="127" t="n">
        <f aca="false">Z1-$D12</f>
        <v>0.946</v>
      </c>
      <c r="AB1" s="127" t="n">
        <f aca="false">AA1-$D12</f>
        <v>0.942</v>
      </c>
      <c r="AC1" s="127" t="n">
        <f aca="false">AB1-$D12</f>
        <v>0.938</v>
      </c>
      <c r="AD1" s="127" t="n">
        <f aca="false">AC1-$D12</f>
        <v>0.934</v>
      </c>
      <c r="AE1" s="127" t="n">
        <f aca="false">AD1-$D12</f>
        <v>0.93</v>
      </c>
      <c r="AF1" s="127" t="n">
        <f aca="false">AE1-$D12</f>
        <v>0.926</v>
      </c>
      <c r="AG1" s="127" t="n">
        <f aca="false">AF1-$D12</f>
        <v>0.922</v>
      </c>
      <c r="AH1" s="127" t="n">
        <f aca="false">AG1-$D12</f>
        <v>0.918</v>
      </c>
      <c r="AI1" s="127" t="n">
        <f aca="false">AH1-$D12</f>
        <v>0.914</v>
      </c>
    </row>
    <row r="2" customFormat="false" ht="21.75" hidden="false" customHeight="true" outlineLevel="0" collapsed="false">
      <c r="B2" s="5" t="s">
        <v>1</v>
      </c>
      <c r="C2" s="128" t="s">
        <v>109</v>
      </c>
      <c r="D2" s="6" t="s">
        <v>3</v>
      </c>
      <c r="E2" s="129" t="s">
        <v>3</v>
      </c>
      <c r="F2" s="130" t="s">
        <v>110</v>
      </c>
    </row>
    <row r="3" customFormat="false" ht="21.75" hidden="false" customHeight="true" outlineLevel="0" collapsed="false">
      <c r="B3" s="32" t="s">
        <v>4</v>
      </c>
      <c r="C3" s="131" t="n">
        <v>20</v>
      </c>
      <c r="D3" s="9" t="s">
        <v>3</v>
      </c>
      <c r="E3" s="132" t="s">
        <v>3</v>
      </c>
      <c r="F3" s="133" t="s">
        <v>111</v>
      </c>
    </row>
    <row r="4" customFormat="false" ht="21.75" hidden="false" customHeight="true" outlineLevel="0" collapsed="false">
      <c r="B4" s="32" t="s">
        <v>112</v>
      </c>
      <c r="C4" s="131" t="n">
        <v>436.1</v>
      </c>
      <c r="D4" s="9" t="s">
        <v>3</v>
      </c>
      <c r="E4" s="132" t="s">
        <v>3</v>
      </c>
      <c r="F4" s="133" t="s">
        <v>113</v>
      </c>
      <c r="M4" s="0" t="s">
        <v>163</v>
      </c>
    </row>
    <row r="5" customFormat="false" ht="22.5" hidden="false" customHeight="true" outlineLevel="0" collapsed="false">
      <c r="B5" s="10" t="s">
        <v>6</v>
      </c>
      <c r="C5" s="131" t="n">
        <v>2023</v>
      </c>
      <c r="D5" s="10" t="s">
        <v>7</v>
      </c>
      <c r="E5" s="134" t="n">
        <v>2042</v>
      </c>
      <c r="F5" s="133" t="s">
        <v>115</v>
      </c>
      <c r="M5" s="0" t="s">
        <v>164</v>
      </c>
    </row>
    <row r="6" customFormat="false" ht="20.25" hidden="false" customHeight="true" outlineLevel="0" collapsed="false">
      <c r="B6" s="11"/>
      <c r="C6" s="11"/>
      <c r="D6" s="11"/>
      <c r="E6" s="11"/>
      <c r="M6" s="0" t="s">
        <v>165</v>
      </c>
    </row>
    <row r="7" customFormat="false" ht="22.5" hidden="false" customHeight="true" outlineLevel="0" collapsed="false">
      <c r="B7" s="12" t="s">
        <v>8</v>
      </c>
      <c r="C7" s="124"/>
      <c r="D7" s="124"/>
      <c r="E7" s="125"/>
      <c r="M7" s="0" t="s">
        <v>166</v>
      </c>
    </row>
    <row r="8" customFormat="false" ht="22.5" hidden="false" customHeight="true" outlineLevel="0" collapsed="false">
      <c r="B8" s="13" t="s">
        <v>9</v>
      </c>
      <c r="E8" s="135"/>
      <c r="M8" s="0" t="s">
        <v>167</v>
      </c>
    </row>
    <row r="9" customFormat="false" ht="22.5" hidden="false" customHeight="true" outlineLevel="0" collapsed="false">
      <c r="B9" s="14" t="s">
        <v>10</v>
      </c>
      <c r="C9" s="15" t="s">
        <v>11</v>
      </c>
      <c r="D9" s="15" t="s">
        <v>12</v>
      </c>
      <c r="E9" s="136" t="s">
        <v>13</v>
      </c>
      <c r="F9" s="126" t="s">
        <v>108</v>
      </c>
      <c r="M9" s="0" t="s">
        <v>120</v>
      </c>
    </row>
    <row r="10" customFormat="false" ht="30" hidden="false" customHeight="true" outlineLevel="0" collapsed="false">
      <c r="B10" s="17" t="s">
        <v>14</v>
      </c>
      <c r="C10" s="18" t="s">
        <v>121</v>
      </c>
      <c r="D10" s="137" t="n">
        <v>547002</v>
      </c>
      <c r="E10" s="138" t="n">
        <v>20</v>
      </c>
      <c r="F10" s="133" t="s">
        <v>122</v>
      </c>
      <c r="M10" s="0" t="s">
        <v>100</v>
      </c>
    </row>
    <row r="11" customFormat="false" ht="30" hidden="false" customHeight="true" outlineLevel="0" collapsed="false">
      <c r="B11" s="139"/>
      <c r="C11" s="10" t="s">
        <v>16</v>
      </c>
      <c r="D11" s="140" t="n">
        <v>0.01</v>
      </c>
      <c r="E11" s="141"/>
      <c r="F11" s="133" t="s">
        <v>124</v>
      </c>
    </row>
    <row r="12" customFormat="false" ht="30" hidden="false" customHeight="true" outlineLevel="0" collapsed="false">
      <c r="B12" s="139"/>
      <c r="C12" s="10" t="s">
        <v>17</v>
      </c>
      <c r="D12" s="142" t="n">
        <v>0.004</v>
      </c>
      <c r="E12" s="141"/>
      <c r="F12" s="133" t="s">
        <v>125</v>
      </c>
    </row>
    <row r="13" customFormat="false" ht="22.5" hidden="false" customHeight="true" outlineLevel="0" collapsed="false">
      <c r="B13" s="139"/>
      <c r="C13" s="21" t="s">
        <v>126</v>
      </c>
      <c r="D13" s="143" t="n">
        <v>3.7152</v>
      </c>
      <c r="E13" s="141"/>
      <c r="F13" s="133" t="s">
        <v>127</v>
      </c>
    </row>
    <row r="14" customFormat="false" ht="22.5" hidden="false" customHeight="true" outlineLevel="0" collapsed="false">
      <c r="B14" s="22" t="s">
        <v>19</v>
      </c>
      <c r="C14" s="124"/>
      <c r="D14" s="124"/>
      <c r="E14" s="125"/>
    </row>
    <row r="15" customFormat="false" ht="22.5" hidden="false" customHeight="true" outlineLevel="0" collapsed="false">
      <c r="B15" s="14" t="s">
        <v>10</v>
      </c>
      <c r="C15" s="15" t="s">
        <v>11</v>
      </c>
      <c r="D15" s="15" t="s">
        <v>12</v>
      </c>
      <c r="E15" s="136" t="s">
        <v>20</v>
      </c>
      <c r="F15" s="126" t="s">
        <v>108</v>
      </c>
    </row>
    <row r="16" customFormat="false" ht="21.75" hidden="false" customHeight="true" outlineLevel="0" collapsed="false">
      <c r="B16" s="18" t="s">
        <v>128</v>
      </c>
      <c r="C16" s="18" t="s">
        <v>129</v>
      </c>
      <c r="D16" s="144" t="n">
        <v>34000</v>
      </c>
      <c r="E16" s="129" t="n">
        <v>20</v>
      </c>
      <c r="F16" s="133" t="s">
        <v>130</v>
      </c>
    </row>
    <row r="17" customFormat="false" ht="21.75" hidden="false" customHeight="true" outlineLevel="0" collapsed="false">
      <c r="B17" s="139"/>
      <c r="C17" s="10" t="s">
        <v>131</v>
      </c>
      <c r="D17" s="145" t="n">
        <v>0.2</v>
      </c>
      <c r="E17" s="141"/>
      <c r="F17" s="133" t="s">
        <v>132</v>
      </c>
    </row>
    <row r="18" customFormat="false" ht="21.75" hidden="false" customHeight="true" outlineLevel="0" collapsed="false">
      <c r="B18" s="146"/>
      <c r="C18" s="10" t="s">
        <v>24</v>
      </c>
      <c r="D18" s="147" t="n">
        <v>3000</v>
      </c>
      <c r="E18" s="148"/>
      <c r="F18" s="133" t="s">
        <v>133</v>
      </c>
    </row>
    <row r="19" customFormat="false" ht="54" hidden="false" customHeight="true" outlineLevel="0" collapsed="false">
      <c r="B19" s="10" t="s">
        <v>25</v>
      </c>
      <c r="C19" s="149" t="s">
        <v>134</v>
      </c>
      <c r="D19" s="145" t="n">
        <v>2</v>
      </c>
      <c r="E19" s="129" t="n">
        <v>20</v>
      </c>
      <c r="F19" s="133" t="s">
        <v>135</v>
      </c>
    </row>
    <row r="20" customFormat="false" ht="20.25" hidden="false" customHeight="true" outlineLevel="0" collapsed="false">
      <c r="B20" s="139"/>
      <c r="C20" s="26" t="s">
        <v>136</v>
      </c>
      <c r="D20" s="147" t="n">
        <v>0</v>
      </c>
      <c r="E20" s="129" t="n">
        <v>20</v>
      </c>
      <c r="F20" s="133" t="s">
        <v>137</v>
      </c>
    </row>
    <row r="21" customFormat="false" ht="30" hidden="false" customHeight="true" outlineLevel="0" collapsed="false">
      <c r="B21" s="146"/>
      <c r="C21" s="10" t="s">
        <v>138</v>
      </c>
      <c r="D21" s="145" t="n">
        <v>0.3</v>
      </c>
      <c r="E21" s="132" t="n">
        <v>20</v>
      </c>
      <c r="F21" s="133" t="s">
        <v>139</v>
      </c>
    </row>
    <row r="22" customFormat="false" ht="30" hidden="false" customHeight="true" outlineLevel="0" collapsed="false">
      <c r="B22" s="10" t="s">
        <v>29</v>
      </c>
      <c r="C22" s="10" t="s">
        <v>140</v>
      </c>
      <c r="D22" s="150" t="n">
        <v>400</v>
      </c>
      <c r="E22" s="132" t="n">
        <v>20</v>
      </c>
      <c r="F22" s="133" t="s">
        <v>141</v>
      </c>
    </row>
    <row r="23" customFormat="false" ht="30" hidden="false" customHeight="true" outlineLevel="0" collapsed="false">
      <c r="B23" s="10" t="s">
        <v>31</v>
      </c>
      <c r="C23" s="10" t="s">
        <v>32</v>
      </c>
      <c r="D23" s="145" t="n">
        <v>0.003</v>
      </c>
      <c r="E23" s="132" t="n">
        <v>20</v>
      </c>
      <c r="F23" s="133" t="s">
        <v>142</v>
      </c>
    </row>
    <row r="24" customFormat="false" ht="30" hidden="false" customHeight="true" outlineLevel="0" collapsed="false">
      <c r="B24" s="10" t="s">
        <v>33</v>
      </c>
      <c r="C24" s="10" t="s">
        <v>143</v>
      </c>
      <c r="D24" s="150" t="n">
        <v>1000</v>
      </c>
      <c r="E24" s="151" t="n">
        <v>10</v>
      </c>
      <c r="F24" s="133" t="s">
        <v>144</v>
      </c>
    </row>
    <row r="25" customFormat="false" ht="30" hidden="false" customHeight="true" outlineLevel="0" collapsed="false">
      <c r="B25" s="10" t="s">
        <v>35</v>
      </c>
      <c r="C25" s="10" t="s">
        <v>36</v>
      </c>
      <c r="D25" s="152" t="n">
        <v>0.025595</v>
      </c>
      <c r="E25" s="132" t="n">
        <v>20</v>
      </c>
      <c r="F25" s="133" t="s">
        <v>145</v>
      </c>
    </row>
    <row r="26" customFormat="false" ht="30" hidden="false" customHeight="true" outlineLevel="0" collapsed="false">
      <c r="B26" s="10" t="s">
        <v>37</v>
      </c>
      <c r="C26" s="10" t="s">
        <v>38</v>
      </c>
      <c r="D26" s="145" t="n">
        <v>0.2</v>
      </c>
      <c r="E26" s="132" t="n">
        <v>20</v>
      </c>
      <c r="F26" s="133" t="s">
        <v>146</v>
      </c>
    </row>
    <row r="27" customFormat="false" ht="20.25" hidden="false" customHeight="true" outlineLevel="0" collapsed="false">
      <c r="B27" s="11"/>
      <c r="C27" s="11"/>
      <c r="D27" s="11"/>
      <c r="E27" s="11"/>
    </row>
    <row r="28" customFormat="false" ht="20.25" hidden="false" customHeight="true" outlineLevel="0" collapsed="false">
      <c r="B28" s="11"/>
      <c r="C28" s="11"/>
      <c r="D28" s="11"/>
      <c r="E28" s="11"/>
    </row>
    <row r="29" customFormat="false" ht="22.5" hidden="false" customHeight="true" outlineLevel="0" collapsed="false">
      <c r="B29" s="12" t="s">
        <v>39</v>
      </c>
      <c r="C29" s="124"/>
      <c r="D29" s="125"/>
      <c r="E29" s="11"/>
    </row>
    <row r="30" customFormat="false" ht="22.5" hidden="false" customHeight="true" outlineLevel="0" collapsed="false">
      <c r="B30" s="14" t="s">
        <v>40</v>
      </c>
      <c r="C30" s="29" t="s">
        <v>11</v>
      </c>
      <c r="D30" s="30" t="s">
        <v>12</v>
      </c>
      <c r="E30" s="11"/>
      <c r="F30" s="126" t="s">
        <v>108</v>
      </c>
    </row>
    <row r="31" customFormat="false" ht="30" hidden="false" customHeight="true" outlineLevel="0" collapsed="false">
      <c r="B31" s="18" t="s">
        <v>41</v>
      </c>
      <c r="C31" s="5" t="s">
        <v>42</v>
      </c>
      <c r="D31" s="153" t="n">
        <v>0.8</v>
      </c>
      <c r="E31" s="11"/>
      <c r="F31" s="133" t="s">
        <v>147</v>
      </c>
    </row>
    <row r="32" customFormat="false" ht="18.75" hidden="false" customHeight="true" outlineLevel="0" collapsed="false">
      <c r="B32" s="18" t="s">
        <v>43</v>
      </c>
      <c r="C32" s="5" t="s">
        <v>44</v>
      </c>
      <c r="D32" s="153" t="n">
        <v>15</v>
      </c>
      <c r="E32" s="11"/>
      <c r="F32" s="133" t="s">
        <v>148</v>
      </c>
    </row>
    <row r="33" customFormat="false" ht="18.75" hidden="false" customHeight="true" outlineLevel="0" collapsed="false">
      <c r="B33" s="10" t="s">
        <v>45</v>
      </c>
      <c r="C33" s="32" t="s">
        <v>46</v>
      </c>
      <c r="D33" s="145" t="n">
        <v>0.9</v>
      </c>
      <c r="E33" s="11"/>
      <c r="F33" s="133" t="s">
        <v>149</v>
      </c>
    </row>
    <row r="34" customFormat="false" ht="30" hidden="false" customHeight="true" outlineLevel="0" collapsed="false">
      <c r="B34" s="10" t="s">
        <v>47</v>
      </c>
      <c r="C34" s="32" t="s">
        <v>44</v>
      </c>
      <c r="D34" s="145" t="n">
        <v>4</v>
      </c>
      <c r="E34" s="11"/>
      <c r="F34" s="133" t="s">
        <v>150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97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54" t="n">
        <v>0</v>
      </c>
      <c r="C38" s="155"/>
      <c r="D38" s="156"/>
      <c r="E38" s="156"/>
      <c r="F38" s="157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9"/>
      <c r="U38" s="158"/>
      <c r="V38" s="158"/>
      <c r="W38" s="158"/>
      <c r="X38" s="160"/>
    </row>
    <row r="39" customFormat="false" ht="18.75" hidden="false" customHeight="true" outlineLevel="0" collapsed="false">
      <c r="B39" s="161" t="s">
        <v>51</v>
      </c>
      <c r="C39" s="162" t="n">
        <v>0</v>
      </c>
      <c r="D39" s="163" t="n">
        <v>1</v>
      </c>
      <c r="E39" s="163" t="n">
        <v>2</v>
      </c>
      <c r="F39" s="163" t="n">
        <v>3</v>
      </c>
      <c r="G39" s="163" t="n">
        <v>4</v>
      </c>
      <c r="H39" s="163" t="n">
        <v>5</v>
      </c>
      <c r="I39" s="163" t="n">
        <v>6</v>
      </c>
      <c r="J39" s="163" t="n">
        <v>7</v>
      </c>
      <c r="K39" s="163" t="n">
        <v>8</v>
      </c>
      <c r="L39" s="163" t="n">
        <v>9</v>
      </c>
      <c r="M39" s="163" t="n">
        <v>10</v>
      </c>
      <c r="N39" s="163" t="n">
        <v>11</v>
      </c>
      <c r="O39" s="163" t="n">
        <v>12</v>
      </c>
      <c r="P39" s="163" t="n">
        <v>13</v>
      </c>
      <c r="Q39" s="163" t="n">
        <v>14</v>
      </c>
      <c r="R39" s="163" t="n">
        <v>15</v>
      </c>
      <c r="S39" s="163" t="n">
        <v>16</v>
      </c>
      <c r="T39" s="164" t="n">
        <v>17</v>
      </c>
      <c r="U39" s="163" t="n">
        <v>18</v>
      </c>
      <c r="V39" s="163" t="n">
        <v>19</v>
      </c>
      <c r="W39" s="163" t="n">
        <v>20</v>
      </c>
      <c r="X39" s="47"/>
    </row>
    <row r="40" customFormat="false" ht="18.75" hidden="false" customHeight="true" outlineLevel="0" collapsed="false">
      <c r="B40" s="165" t="s">
        <v>52</v>
      </c>
      <c r="C40" s="166" t="n">
        <v>0</v>
      </c>
      <c r="D40" s="167" t="n">
        <f aca="false">$D$10*P1</f>
        <v>541531.98</v>
      </c>
      <c r="E40" s="167" t="n">
        <f aca="false">$D$10*Q1</f>
        <v>539343.972</v>
      </c>
      <c r="F40" s="167" t="n">
        <f aca="false">$D$10*R1</f>
        <v>537155.964</v>
      </c>
      <c r="G40" s="167" t="n">
        <f aca="false">$D$10*S1</f>
        <v>534967.956</v>
      </c>
      <c r="H40" s="167" t="n">
        <f aca="false">$D$10*T1</f>
        <v>532779.948</v>
      </c>
      <c r="I40" s="167" t="n">
        <f aca="false">$D$10*U1</f>
        <v>530591.94</v>
      </c>
      <c r="J40" s="167" t="n">
        <f aca="false">$D$10*V1</f>
        <v>528403.932</v>
      </c>
      <c r="K40" s="167" t="n">
        <f aca="false">$D$10*W1</f>
        <v>526215.924</v>
      </c>
      <c r="L40" s="167" t="n">
        <f aca="false">$D$10*X1</f>
        <v>524027.916</v>
      </c>
      <c r="M40" s="167" t="n">
        <f aca="false">$D$10*Y1</f>
        <v>521839.908</v>
      </c>
      <c r="N40" s="167" t="n">
        <f aca="false">$D$10*Z1</f>
        <v>519651.9</v>
      </c>
      <c r="O40" s="167" t="n">
        <f aca="false">$D$10*AA1</f>
        <v>517463.892</v>
      </c>
      <c r="P40" s="167" t="n">
        <f aca="false">$D$10*AB1</f>
        <v>515275.884</v>
      </c>
      <c r="Q40" s="167" t="n">
        <f aca="false">$D$10*AC1</f>
        <v>513087.876</v>
      </c>
      <c r="R40" s="167" t="n">
        <f aca="false">$D$10*AD1</f>
        <v>510899.868</v>
      </c>
      <c r="S40" s="167" t="n">
        <f aca="false">$D$10*AE1</f>
        <v>508711.86</v>
      </c>
      <c r="T40" s="167" t="n">
        <f aca="false">$D$10*AF1</f>
        <v>506523.852</v>
      </c>
      <c r="U40" s="167" t="n">
        <f aca="false">$D$10*AG1</f>
        <v>504335.844</v>
      </c>
      <c r="V40" s="167" t="n">
        <f aca="false">$D$10*AH1</f>
        <v>502147.836</v>
      </c>
      <c r="W40" s="167" t="n">
        <f aca="false">$D$10*AI1</f>
        <v>499959.828</v>
      </c>
      <c r="X40" s="168"/>
    </row>
    <row r="41" customFormat="false" ht="18.75" hidden="false" customHeight="true" outlineLevel="0" collapsed="false">
      <c r="B41" s="169" t="s">
        <v>53</v>
      </c>
      <c r="C41" s="170" t="s">
        <v>3</v>
      </c>
      <c r="D41" s="171" t="n">
        <f aca="false">D40*$D$13</f>
        <v>2011899.612096</v>
      </c>
      <c r="E41" s="171" t="n">
        <f aca="false">E40*$D$13</f>
        <v>2003770.7247744</v>
      </c>
      <c r="F41" s="171" t="n">
        <f aca="false">F40*$D$13</f>
        <v>1995641.8374528</v>
      </c>
      <c r="G41" s="171" t="n">
        <f aca="false">G40*$D$13</f>
        <v>1987512.9501312</v>
      </c>
      <c r="H41" s="171" t="n">
        <f aca="false">H40*$D$13</f>
        <v>1979384.0628096</v>
      </c>
      <c r="I41" s="171" t="n">
        <f aca="false">I40*$D$13</f>
        <v>1971255.175488</v>
      </c>
      <c r="J41" s="171" t="n">
        <f aca="false">J40*$D$13</f>
        <v>1963126.2881664</v>
      </c>
      <c r="K41" s="171" t="n">
        <f aca="false">K40*$D$13</f>
        <v>1954997.4008448</v>
      </c>
      <c r="L41" s="171" t="n">
        <f aca="false">L40*$D$13</f>
        <v>1946868.5135232</v>
      </c>
      <c r="M41" s="171" t="n">
        <f aca="false">M40*$D$13</f>
        <v>1938739.6262016</v>
      </c>
      <c r="N41" s="171" t="n">
        <f aca="false">N40*$D$13</f>
        <v>1930610.73888</v>
      </c>
      <c r="O41" s="171" t="n">
        <f aca="false">O40*$D$13</f>
        <v>1922481.8515584</v>
      </c>
      <c r="P41" s="171" t="n">
        <f aca="false">P40*$D$13</f>
        <v>1914352.9642368</v>
      </c>
      <c r="Q41" s="171" t="n">
        <f aca="false">Q40*$D$13</f>
        <v>1906224.0769152</v>
      </c>
      <c r="R41" s="171" t="n">
        <f aca="false">R40*$D$13</f>
        <v>1898095.1895936</v>
      </c>
      <c r="S41" s="171" t="n">
        <f aca="false">S40*$D$13</f>
        <v>1889966.302272</v>
      </c>
      <c r="T41" s="171" t="n">
        <f aca="false">T40*$D$13</f>
        <v>1881837.4149504</v>
      </c>
      <c r="U41" s="171" t="n">
        <f aca="false">U40*$D$13</f>
        <v>1873708.5276288</v>
      </c>
      <c r="V41" s="171" t="n">
        <f aca="false">V40*$D$13</f>
        <v>1865579.6403072</v>
      </c>
      <c r="W41" s="171" t="n">
        <f aca="false">W40*$D$13</f>
        <v>1857450.7529856</v>
      </c>
      <c r="X41" s="172"/>
    </row>
    <row r="42" customFormat="false" ht="18.75" hidden="false" customHeight="true" outlineLevel="0" collapsed="false">
      <c r="B42" s="173" t="s">
        <v>54</v>
      </c>
      <c r="C42" s="174" t="s">
        <v>3</v>
      </c>
      <c r="D42" s="175"/>
      <c r="E42" s="175"/>
      <c r="F42" s="175"/>
      <c r="G42" s="176" t="s">
        <v>3</v>
      </c>
      <c r="H42" s="176" t="s">
        <v>3</v>
      </c>
      <c r="I42" s="176" t="s">
        <v>3</v>
      </c>
      <c r="J42" s="176" t="s">
        <v>3</v>
      </c>
      <c r="K42" s="176" t="s">
        <v>3</v>
      </c>
      <c r="L42" s="176" t="s">
        <v>3</v>
      </c>
      <c r="M42" s="176" t="s">
        <v>3</v>
      </c>
      <c r="N42" s="176" t="s">
        <v>3</v>
      </c>
      <c r="O42" s="176" t="s">
        <v>3</v>
      </c>
      <c r="P42" s="176" t="s">
        <v>3</v>
      </c>
      <c r="Q42" s="176" t="s">
        <v>3</v>
      </c>
      <c r="R42" s="176" t="s">
        <v>3</v>
      </c>
      <c r="S42" s="176" t="s">
        <v>3</v>
      </c>
      <c r="T42" s="176" t="s">
        <v>3</v>
      </c>
      <c r="U42" s="176" t="s">
        <v>3</v>
      </c>
      <c r="V42" s="176" t="s">
        <v>3</v>
      </c>
      <c r="W42" s="176" t="s">
        <v>3</v>
      </c>
      <c r="X42" s="177"/>
    </row>
    <row r="43" customFormat="false" ht="18.75" hidden="false" customHeight="true" outlineLevel="0" collapsed="false">
      <c r="B43" s="178" t="s">
        <v>55</v>
      </c>
      <c r="C43" s="179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customFormat="false" ht="18.75" hidden="false" customHeight="true" outlineLevel="0" collapsed="false">
      <c r="B44" s="182" t="s">
        <v>56</v>
      </c>
      <c r="C44" s="183" t="n">
        <f aca="false">-(D16/(1-D17)+D18)*C4</f>
        <v>-19842550</v>
      </c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</row>
    <row r="45" customFormat="false" ht="18.75" hidden="false" customHeight="true" outlineLevel="0" collapsed="false">
      <c r="B45" s="182" t="s">
        <v>57</v>
      </c>
      <c r="C45" s="174" t="s">
        <v>3</v>
      </c>
      <c r="D45" s="0" t="n">
        <v>-603569.8836288</v>
      </c>
      <c r="E45" s="184" t="n">
        <v>-601131.21743232</v>
      </c>
      <c r="F45" s="184" t="n">
        <v>-598692.55123584</v>
      </c>
      <c r="G45" s="184" t="n">
        <v>-596253.88503936</v>
      </c>
      <c r="H45" s="184" t="n">
        <v>-593815.21884288</v>
      </c>
      <c r="I45" s="184" t="n">
        <v>-591376.5526464</v>
      </c>
      <c r="J45" s="184" t="n">
        <v>-588937.88644992</v>
      </c>
      <c r="K45" s="184" t="n">
        <v>-586499.22025344</v>
      </c>
      <c r="L45" s="184" t="n">
        <v>-584060.55405696</v>
      </c>
      <c r="M45" s="184" t="n">
        <v>-581621.88786048</v>
      </c>
      <c r="N45" s="184" t="n">
        <v>-579183.221664</v>
      </c>
      <c r="O45" s="184" t="n">
        <v>-576744.55546752</v>
      </c>
      <c r="P45" s="184" t="n">
        <v>-574305.88927104</v>
      </c>
      <c r="Q45" s="184" t="n">
        <v>-571867.22307456</v>
      </c>
      <c r="R45" s="184" t="n">
        <v>-569428.55687808</v>
      </c>
      <c r="S45" s="184" t="n">
        <v>-566989.8906816</v>
      </c>
      <c r="T45" s="184" t="n">
        <v>-564551.22448512</v>
      </c>
      <c r="U45" s="184" t="n">
        <v>-562112.55828864</v>
      </c>
      <c r="V45" s="184" t="n">
        <v>-559673.89209216</v>
      </c>
      <c r="W45" s="184" t="n">
        <v>-557235.22589568</v>
      </c>
      <c r="X45" s="184"/>
    </row>
    <row r="46" customFormat="false" ht="18.75" hidden="false" customHeight="true" outlineLevel="0" collapsed="false">
      <c r="B46" s="182" t="s">
        <v>58</v>
      </c>
      <c r="C46" s="17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</row>
    <row r="47" customFormat="false" ht="18.75" hidden="false" customHeight="true" outlineLevel="0" collapsed="false">
      <c r="B47" s="182" t="s">
        <v>59</v>
      </c>
      <c r="C47" s="174" t="s">
        <v>3</v>
      </c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</row>
    <row r="48" customFormat="false" ht="18.75" hidden="false" customHeight="true" outlineLevel="0" collapsed="false">
      <c r="B48" s="182" t="s">
        <v>60</v>
      </c>
      <c r="C48" s="174" t="s">
        <v>3</v>
      </c>
      <c r="D48" s="184" t="n">
        <v>-174440</v>
      </c>
      <c r="E48" s="184" t="n">
        <v>-174440</v>
      </c>
      <c r="F48" s="184" t="n">
        <v>-174440</v>
      </c>
      <c r="G48" s="184" t="n">
        <v>-174440</v>
      </c>
      <c r="H48" s="184" t="n">
        <v>-174440</v>
      </c>
      <c r="I48" s="184" t="n">
        <v>-174440</v>
      </c>
      <c r="J48" s="184" t="n">
        <v>-174440</v>
      </c>
      <c r="K48" s="184" t="n">
        <v>-174440</v>
      </c>
      <c r="L48" s="184" t="n">
        <v>-174440</v>
      </c>
      <c r="M48" s="184" t="n">
        <v>-174440</v>
      </c>
      <c r="N48" s="184" t="n">
        <v>-174440</v>
      </c>
      <c r="O48" s="184" t="n">
        <v>-174440</v>
      </c>
      <c r="P48" s="184" t="n">
        <v>-174440</v>
      </c>
      <c r="Q48" s="184" t="n">
        <v>-174440</v>
      </c>
      <c r="R48" s="184" t="n">
        <v>-174440</v>
      </c>
      <c r="S48" s="184" t="n">
        <v>-174440</v>
      </c>
      <c r="T48" s="184" t="n">
        <v>-174440</v>
      </c>
      <c r="U48" s="184" t="n">
        <v>-174440</v>
      </c>
      <c r="V48" s="184" t="n">
        <v>-174440</v>
      </c>
      <c r="W48" s="184" t="n">
        <v>-174440</v>
      </c>
      <c r="X48" s="184"/>
    </row>
    <row r="49" customFormat="false" ht="18.75" hidden="false" customHeight="true" outlineLevel="0" collapsed="false">
      <c r="B49" s="182" t="s">
        <v>61</v>
      </c>
      <c r="C49" s="174" t="s">
        <v>3</v>
      </c>
      <c r="D49" s="184" t="n">
        <v>-44482.2</v>
      </c>
      <c r="E49" s="184" t="n">
        <v>-44482.2</v>
      </c>
      <c r="F49" s="184" t="n">
        <v>-44482.2</v>
      </c>
      <c r="G49" s="184" t="n">
        <v>-44482.2</v>
      </c>
      <c r="H49" s="184" t="n">
        <v>-44482.2</v>
      </c>
      <c r="I49" s="184" t="n">
        <v>-44482.2</v>
      </c>
      <c r="J49" s="184" t="n">
        <v>-44482.2</v>
      </c>
      <c r="K49" s="184" t="n">
        <v>-44482.2</v>
      </c>
      <c r="L49" s="184" t="n">
        <v>-44482.2</v>
      </c>
      <c r="M49" s="184" t="n">
        <v>-44482.2</v>
      </c>
      <c r="N49" s="184" t="n">
        <v>-44482.2</v>
      </c>
      <c r="O49" s="184" t="n">
        <v>-44482.2</v>
      </c>
      <c r="P49" s="184" t="n">
        <v>-44482.2</v>
      </c>
      <c r="Q49" s="184" t="n">
        <v>-44482.2</v>
      </c>
      <c r="R49" s="184" t="n">
        <v>-44482.2</v>
      </c>
      <c r="S49" s="184" t="n">
        <v>-44482.2</v>
      </c>
      <c r="T49" s="184" t="n">
        <v>-44482.2</v>
      </c>
      <c r="U49" s="184" t="n">
        <v>-44482.2</v>
      </c>
      <c r="V49" s="184" t="n">
        <v>-44482.2</v>
      </c>
      <c r="W49" s="184" t="n">
        <v>-44482.2</v>
      </c>
      <c r="X49" s="184"/>
    </row>
    <row r="50" customFormat="false" ht="18.75" hidden="false" customHeight="true" outlineLevel="0" collapsed="false">
      <c r="B50" s="182" t="s">
        <v>62</v>
      </c>
      <c r="C50" s="174"/>
      <c r="D50" s="184" t="n">
        <v>-43610</v>
      </c>
      <c r="E50" s="184" t="n">
        <v>-43610</v>
      </c>
      <c r="F50" s="184" t="n">
        <v>-43610</v>
      </c>
      <c r="G50" s="184" t="n">
        <v>-43610</v>
      </c>
      <c r="H50" s="184" t="n">
        <v>-43610</v>
      </c>
      <c r="I50" s="184" t="n">
        <v>-43610</v>
      </c>
      <c r="J50" s="184" t="n">
        <v>-43610</v>
      </c>
      <c r="K50" s="184" t="n">
        <v>-43610</v>
      </c>
      <c r="L50" s="184" t="n">
        <v>-43610</v>
      </c>
      <c r="M50" s="184" t="n">
        <v>-43610</v>
      </c>
      <c r="N50" s="184" t="n">
        <v>0</v>
      </c>
      <c r="O50" s="184" t="n">
        <v>0</v>
      </c>
      <c r="P50" s="184" t="n">
        <v>0</v>
      </c>
      <c r="Q50" s="184" t="n">
        <v>0</v>
      </c>
      <c r="R50" s="184" t="n">
        <v>0</v>
      </c>
      <c r="S50" s="184" t="n">
        <v>0</v>
      </c>
      <c r="T50" s="184" t="n">
        <v>0</v>
      </c>
      <c r="U50" s="184" t="n">
        <v>0</v>
      </c>
      <c r="V50" s="184" t="n">
        <v>0</v>
      </c>
      <c r="W50" s="184" t="n">
        <v>0</v>
      </c>
      <c r="X50" s="184"/>
    </row>
    <row r="51" customFormat="false" ht="18.75" hidden="false" customHeight="true" outlineLevel="0" collapsed="false">
      <c r="B51" s="182" t="s">
        <v>63</v>
      </c>
      <c r="C51" s="185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</row>
    <row r="52" customFormat="false" ht="18.75" hidden="false" customHeight="true" outlineLevel="0" collapsed="false">
      <c r="B52" s="182" t="s">
        <v>64</v>
      </c>
      <c r="C52" s="185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</row>
    <row r="53" customFormat="false" ht="18.75" hidden="false" customHeight="true" outlineLevel="0" collapsed="false">
      <c r="B53" s="186" t="s">
        <v>65</v>
      </c>
      <c r="C53" s="185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</row>
    <row r="54" customFormat="false" ht="18.75" hidden="false" customHeight="true" outlineLevel="0" collapsed="false">
      <c r="B54" s="186" t="s">
        <v>66</v>
      </c>
      <c r="C54" s="185"/>
      <c r="D54" s="184" t="n">
        <f aca="false">-(D64+D67+D68+D71+D72+D73+D74)*0.2</f>
        <v>-151447.9824192</v>
      </c>
      <c r="E54" s="184" t="n">
        <f aca="false">-(E64+E67+E68+E71+E72+E73+E74)*0.2</f>
        <v>-29595.961468416</v>
      </c>
      <c r="F54" s="184" t="n">
        <f aca="false">-(F64+F67+F68+F71+F72+F73+F74)*0.2</f>
        <v>-28457.917243392</v>
      </c>
      <c r="G54" s="184" t="n">
        <f aca="false">-(G64+G67+G68+G71+G72+G73+G74)*0.2</f>
        <v>-27319.873018368</v>
      </c>
      <c r="H54" s="184" t="n">
        <f aca="false">-(H64+H67+H68+H71+H72+H73+H74)*0.2</f>
        <v>-26181.828793344</v>
      </c>
      <c r="I54" s="184" t="n">
        <f aca="false">-(I64+I67+I68+I71+I72+I73+I74)*0.2</f>
        <v>-25043.78456832</v>
      </c>
      <c r="J54" s="184" t="n">
        <f aca="false">-(J64+J67+J68+J71+J72+J73+J74)*0.2</f>
        <v>-23905.740343296</v>
      </c>
      <c r="K54" s="184" t="n">
        <f aca="false">-(K64+K67+K68+K71+K72+K73+K74)*0.2</f>
        <v>-22767.696118272</v>
      </c>
      <c r="L54" s="184" t="n">
        <f aca="false">-(L64+L67+L68+L71+L72+L73+L74)*0.2</f>
        <v>-21629.651893248</v>
      </c>
      <c r="M54" s="184" t="n">
        <f aca="false">-(M64+M67+M68+M71+M72+M73+M74)*0.2</f>
        <v>-20491.607668224</v>
      </c>
      <c r="N54" s="184" t="n">
        <f aca="false">-(N64+N67+N68+N71+N72+N73+N74)*0.2</f>
        <v>-28075.5634432</v>
      </c>
      <c r="O54" s="184" t="n">
        <f aca="false">-(O64+O67+O68+O71+O72+O73+O74)*0.2</f>
        <v>-26937.519218176</v>
      </c>
      <c r="P54" s="184" t="n">
        <f aca="false">-(P64+P67+P68+P71+P72+P73+P74)*0.2</f>
        <v>-25799.474993152</v>
      </c>
      <c r="Q54" s="184" t="n">
        <f aca="false">-(Q64+Q67+Q68+Q71+Q72+Q73+Q74)*0.2</f>
        <v>-24661.430768128</v>
      </c>
      <c r="R54" s="184" t="n">
        <f aca="false">-(R64+R67+R68+R71+R72+R73+R74)*0.2</f>
        <v>-23523.386543104</v>
      </c>
      <c r="S54" s="184" t="n">
        <f aca="false">-(S64+S67+S68+S71+S72+S73+S74)*0.2</f>
        <v>-22385.34231808</v>
      </c>
      <c r="T54" s="184" t="n">
        <f aca="false">-(T64+T67+T68+T71+T72+T73+T74)*0.2</f>
        <v>-21247.2980930559</v>
      </c>
      <c r="U54" s="184" t="n">
        <f aca="false">-(U64+U67+U68+U71+U72+U73+U74)*0.2</f>
        <v>-20109.253868032</v>
      </c>
      <c r="V54" s="184" t="n">
        <f aca="false">-(V64+V67+V68+V71+V72+V73+V74)*0.2</f>
        <v>-18971.2096430079</v>
      </c>
      <c r="W54" s="184" t="n">
        <f aca="false">-(W64+W67+W68+W71+W72+W73+W74)*0.2</f>
        <v>-17833.165417984</v>
      </c>
      <c r="X54" s="175"/>
    </row>
    <row r="55" customFormat="false" ht="18.75" hidden="false" customHeight="true" outlineLevel="0" collapsed="false">
      <c r="B55" s="187" t="s">
        <v>67</v>
      </c>
      <c r="C55" s="188" t="n">
        <f aca="false">C44</f>
        <v>-19842550</v>
      </c>
      <c r="D55" s="189" t="n">
        <f aca="false">SUM(D41:D54)</f>
        <v>994349.546048</v>
      </c>
      <c r="E55" s="189" t="n">
        <f aca="false">SUM(E41:E54)</f>
        <v>1110511.34587366</v>
      </c>
      <c r="F55" s="189" t="n">
        <f aca="false">SUM(F41:F54)</f>
        <v>1105959.16897357</v>
      </c>
      <c r="G55" s="189" t="n">
        <f aca="false">SUM(G41:G54)</f>
        <v>1101406.99207347</v>
      </c>
      <c r="H55" s="189" t="n">
        <f aca="false">SUM(H41:H54)</f>
        <v>1096854.81517338</v>
      </c>
      <c r="I55" s="189" t="n">
        <f aca="false">SUM(I41:I54)</f>
        <v>1092302.63827328</v>
      </c>
      <c r="J55" s="189" t="n">
        <f aca="false">SUM(J41:J54)</f>
        <v>1087750.46137318</v>
      </c>
      <c r="K55" s="189" t="n">
        <f aca="false">SUM(K41:K54)</f>
        <v>1083198.28447309</v>
      </c>
      <c r="L55" s="189" t="n">
        <f aca="false">SUM(L41:L54)</f>
        <v>1078646.10757299</v>
      </c>
      <c r="M55" s="189" t="n">
        <f aca="false">SUM(M41:M54)</f>
        <v>1074093.9306729</v>
      </c>
      <c r="N55" s="189" t="n">
        <f aca="false">SUM(N41:N54)</f>
        <v>1104429.7537728</v>
      </c>
      <c r="O55" s="189" t="n">
        <f aca="false">SUM(O41:O54)</f>
        <v>1099877.5768727</v>
      </c>
      <c r="P55" s="189" t="n">
        <f aca="false">SUM(P41:P54)</f>
        <v>1095325.39997261</v>
      </c>
      <c r="Q55" s="189" t="n">
        <f aca="false">SUM(Q41:Q54)</f>
        <v>1090773.22307251</v>
      </c>
      <c r="R55" s="189" t="n">
        <f aca="false">SUM(R41:R54)</f>
        <v>1086221.04617242</v>
      </c>
      <c r="S55" s="189" t="n">
        <f aca="false">SUM(S41:S54)</f>
        <v>1081668.86927232</v>
      </c>
      <c r="T55" s="189" t="n">
        <f aca="false">SUM(T41:T54)</f>
        <v>1077116.69237222</v>
      </c>
      <c r="U55" s="189" t="n">
        <f aca="false">SUM(U41:U54)</f>
        <v>1072564.51547213</v>
      </c>
      <c r="V55" s="189" t="n">
        <f aca="false">SUM(V41:V54)</f>
        <v>1068012.33857203</v>
      </c>
      <c r="W55" s="189" t="n">
        <f aca="false">SUM(W41:W54)</f>
        <v>1063460.16167194</v>
      </c>
      <c r="X55" s="190"/>
      <c r="Y55" s="191"/>
      <c r="Z55" s="192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</row>
    <row r="56" customFormat="false" ht="18.75" hidden="false" customHeight="true" outlineLevel="0" collapsed="false">
      <c r="B56" s="193" t="s">
        <v>68</v>
      </c>
      <c r="D56" s="194" t="n">
        <f aca="false">C55+D55</f>
        <v>-18848200.453952</v>
      </c>
      <c r="E56" s="194" t="n">
        <f aca="false">D56+E55</f>
        <v>-17737689.1080783</v>
      </c>
      <c r="F56" s="194" t="n">
        <f aca="false">E56+F55</f>
        <v>-16631729.9391048</v>
      </c>
      <c r="G56" s="194" t="n">
        <f aca="false">F56+G55</f>
        <v>-15530322.9470313</v>
      </c>
      <c r="H56" s="194" t="n">
        <f aca="false">G56+H55</f>
        <v>-14433468.1318579</v>
      </c>
      <c r="I56" s="194" t="n">
        <f aca="false">H56+I55</f>
        <v>-13341165.4935846</v>
      </c>
      <c r="J56" s="194" t="n">
        <f aca="false">I56+J55</f>
        <v>-12253415.0322115</v>
      </c>
      <c r="K56" s="194" t="n">
        <f aca="false">J56+K55</f>
        <v>-11170216.7477384</v>
      </c>
      <c r="L56" s="194" t="n">
        <f aca="false">K56+L55</f>
        <v>-10091570.6401654</v>
      </c>
      <c r="M56" s="194" t="n">
        <f aca="false">L56+M55</f>
        <v>-9017476.70949248</v>
      </c>
      <c r="N56" s="194" t="n">
        <f aca="false">M56+N55</f>
        <v>-7913046.95571968</v>
      </c>
      <c r="O56" s="194" t="n">
        <f aca="false">N56+O55</f>
        <v>-6813169.37884698</v>
      </c>
      <c r="P56" s="194" t="n">
        <f aca="false">O56+P55</f>
        <v>-5717843.97887437</v>
      </c>
      <c r="Q56" s="194" t="n">
        <f aca="false">P56+Q55</f>
        <v>-4627070.75580186</v>
      </c>
      <c r="R56" s="194" t="n">
        <f aca="false">Q56+R55</f>
        <v>-3540849.70962944</v>
      </c>
      <c r="S56" s="194" t="n">
        <f aca="false">R56+S55</f>
        <v>-2459180.84035712</v>
      </c>
      <c r="T56" s="194" t="n">
        <f aca="false">S56+T55</f>
        <v>-1382064.1479849</v>
      </c>
      <c r="U56" s="194" t="n">
        <f aca="false">T56+U55</f>
        <v>-309499.632512767</v>
      </c>
      <c r="V56" s="194" t="n">
        <f aca="false">U56+V55</f>
        <v>758512.706059265</v>
      </c>
      <c r="W56" s="194" t="n">
        <f aca="false">V56+W55</f>
        <v>1821972.8677312</v>
      </c>
      <c r="X56" s="194" t="n">
        <f aca="false">W56+X55</f>
        <v>1821972.8677312</v>
      </c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</row>
    <row r="57" customFormat="false" ht="18.75" hidden="false" customHeight="true" outlineLevel="0" collapsed="false">
      <c r="B57" s="195" t="s">
        <v>74</v>
      </c>
      <c r="C57" s="196"/>
      <c r="D57" s="197" t="str">
        <f aca="false">IF((D56)&gt;0,"回收","未回收")</f>
        <v>未回收</v>
      </c>
      <c r="E57" s="198" t="str">
        <f aca="false">IF((E56)&gt;0,"回收","未回收")</f>
        <v>未回收</v>
      </c>
      <c r="F57" s="198" t="str">
        <f aca="false">IF((F56)&gt;0,"回收","未回收")</f>
        <v>未回收</v>
      </c>
      <c r="G57" s="198" t="str">
        <f aca="false">IF((G56)&gt;0,"回收","未回收")</f>
        <v>未回收</v>
      </c>
      <c r="H57" s="198" t="str">
        <f aca="false">IF((H56)&gt;0,"回收","未回收")</f>
        <v>未回收</v>
      </c>
      <c r="I57" s="198" t="str">
        <f aca="false">IF((I56)&gt;0,"回收","未回收")</f>
        <v>未回收</v>
      </c>
      <c r="J57" s="198" t="str">
        <f aca="false">IF((J56)&gt;0,"回收","未回收")</f>
        <v>未回收</v>
      </c>
      <c r="K57" s="198" t="str">
        <f aca="false">IF((K56)&gt;0,"回收","未回收")</f>
        <v>未回收</v>
      </c>
      <c r="L57" s="198" t="str">
        <f aca="false">IF((L56)&gt;0,"回收","未回收")</f>
        <v>未回收</v>
      </c>
      <c r="M57" s="198" t="str">
        <f aca="false">IF((M56)&gt;0,"回收","未回收")</f>
        <v>未回收</v>
      </c>
      <c r="N57" s="198" t="str">
        <f aca="false">IF((N56)&gt;0,"回收","未回收")</f>
        <v>未回收</v>
      </c>
      <c r="O57" s="198" t="str">
        <f aca="false">IF((O56)&gt;0,"回收","未回收")</f>
        <v>未回收</v>
      </c>
      <c r="P57" s="198" t="str">
        <f aca="false">IF((P56)&gt;0,"回收","未回收")</f>
        <v>未回收</v>
      </c>
      <c r="Q57" s="198" t="str">
        <f aca="false">IF((Q56)&gt;0,"回收","未回收")</f>
        <v>未回收</v>
      </c>
      <c r="R57" s="198" t="str">
        <f aca="false">IF((R56)&gt;0,"回收","未回收")</f>
        <v>未回收</v>
      </c>
      <c r="S57" s="198" t="str">
        <f aca="false">IF((S56)&gt;0,"回收","未回收")</f>
        <v>未回收</v>
      </c>
      <c r="T57" s="198" t="str">
        <f aca="false">IF((T56)&gt;0,"回收","未回收")</f>
        <v>未回收</v>
      </c>
      <c r="U57" s="198" t="str">
        <f aca="false">IF((U56)&gt;0,"回收","未回收")</f>
        <v>未回收</v>
      </c>
      <c r="V57" s="198" t="str">
        <f aca="false">IF((V56)&gt;0,"回收","未回收")</f>
        <v>回收</v>
      </c>
      <c r="W57" s="198" t="str">
        <f aca="false">IF((W56)&gt;0,"回收","未回收")</f>
        <v>回收</v>
      </c>
      <c r="X57" s="198" t="str">
        <f aca="false">IF((X56)&gt;0,"回收","未回收")</f>
        <v>回收</v>
      </c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</row>
    <row r="58" customFormat="false" ht="18.75" hidden="false" customHeight="true" outlineLevel="0" collapsed="false">
      <c r="B58" s="199" t="s">
        <v>93</v>
      </c>
      <c r="C58" s="200" t="n">
        <f aca="false">IRR(C55:W55)</f>
        <v>0.00852043581779745</v>
      </c>
      <c r="D58" s="201"/>
      <c r="E58" s="201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customFormat="false" ht="18.75" hidden="false" customHeight="true" outlineLevel="0" collapsed="false">
      <c r="B59" s="202"/>
      <c r="C59" s="201"/>
      <c r="D59" s="201"/>
      <c r="E59" s="201"/>
      <c r="F59" s="202"/>
      <c r="G59" s="202"/>
      <c r="H59" s="202"/>
      <c r="I59" s="202"/>
      <c r="J59" s="202"/>
      <c r="K59" s="202"/>
      <c r="L59" s="202"/>
      <c r="M59" s="201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customFormat="false" ht="18.75" hidden="false" customHeight="true" outlineLevel="0" collapsed="false">
      <c r="B60" s="97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54" t="n">
        <v>0</v>
      </c>
      <c r="C61" s="155"/>
      <c r="D61" s="156"/>
      <c r="E61" s="156"/>
      <c r="F61" s="157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204" t="s">
        <v>50</v>
      </c>
      <c r="U61" s="158"/>
      <c r="V61" s="158"/>
      <c r="W61" s="158"/>
      <c r="X61" s="160"/>
    </row>
    <row r="62" customFormat="false" ht="18.75" hidden="false" customHeight="true" outlineLevel="0" collapsed="false">
      <c r="B62" s="161" t="s">
        <v>51</v>
      </c>
      <c r="C62" s="162" t="n">
        <v>0</v>
      </c>
      <c r="D62" s="163" t="n">
        <v>1</v>
      </c>
      <c r="E62" s="163" t="n">
        <v>2</v>
      </c>
      <c r="F62" s="163" t="n">
        <v>3</v>
      </c>
      <c r="G62" s="163" t="n">
        <v>4</v>
      </c>
      <c r="H62" s="163" t="n">
        <v>5</v>
      </c>
      <c r="I62" s="163" t="n">
        <v>6</v>
      </c>
      <c r="J62" s="163" t="n">
        <v>7</v>
      </c>
      <c r="K62" s="163" t="n">
        <v>8</v>
      </c>
      <c r="L62" s="163" t="n">
        <v>9</v>
      </c>
      <c r="M62" s="163" t="n">
        <v>10</v>
      </c>
      <c r="N62" s="163" t="n">
        <v>11</v>
      </c>
      <c r="O62" s="163" t="n">
        <v>12</v>
      </c>
      <c r="P62" s="163" t="n">
        <v>13</v>
      </c>
      <c r="Q62" s="163" t="n">
        <v>14</v>
      </c>
      <c r="R62" s="163" t="n">
        <v>15</v>
      </c>
      <c r="S62" s="163" t="n">
        <v>16</v>
      </c>
      <c r="T62" s="205" t="n">
        <v>17</v>
      </c>
      <c r="U62" s="163" t="n">
        <v>18</v>
      </c>
      <c r="V62" s="163" t="n">
        <v>19</v>
      </c>
      <c r="W62" s="163" t="n">
        <v>20</v>
      </c>
      <c r="X62" s="47"/>
    </row>
    <row r="63" customFormat="false" ht="18.75" hidden="false" customHeight="true" outlineLevel="0" collapsed="false">
      <c r="B63" s="165" t="s">
        <v>52</v>
      </c>
      <c r="C63" s="166" t="n">
        <v>0</v>
      </c>
      <c r="D63" s="167" t="n">
        <f aca="false">D40</f>
        <v>541531.98</v>
      </c>
      <c r="E63" s="167" t="n">
        <f aca="false">E40</f>
        <v>539343.972</v>
      </c>
      <c r="F63" s="167" t="n">
        <f aca="false">F40</f>
        <v>537155.964</v>
      </c>
      <c r="G63" s="167" t="n">
        <f aca="false">G40</f>
        <v>534967.956</v>
      </c>
      <c r="H63" s="167" t="n">
        <f aca="false">H40</f>
        <v>532779.948</v>
      </c>
      <c r="I63" s="167" t="n">
        <f aca="false">I40</f>
        <v>530591.94</v>
      </c>
      <c r="J63" s="167" t="n">
        <f aca="false">J40</f>
        <v>528403.932</v>
      </c>
      <c r="K63" s="167" t="n">
        <f aca="false">K40</f>
        <v>526215.924</v>
      </c>
      <c r="L63" s="167" t="n">
        <f aca="false">L40</f>
        <v>524027.916</v>
      </c>
      <c r="M63" s="167" t="n">
        <f aca="false">M40</f>
        <v>521839.908</v>
      </c>
      <c r="N63" s="167" t="n">
        <f aca="false">N40</f>
        <v>519651.9</v>
      </c>
      <c r="O63" s="167" t="n">
        <f aca="false">O40</f>
        <v>517463.892</v>
      </c>
      <c r="P63" s="167" t="n">
        <f aca="false">P40</f>
        <v>515275.884</v>
      </c>
      <c r="Q63" s="167" t="n">
        <f aca="false">Q40</f>
        <v>513087.876</v>
      </c>
      <c r="R63" s="167" t="n">
        <f aca="false">R40</f>
        <v>510899.868</v>
      </c>
      <c r="S63" s="167" t="n">
        <f aca="false">S40</f>
        <v>508711.86</v>
      </c>
      <c r="T63" s="167" t="n">
        <f aca="false">T40</f>
        <v>506523.852</v>
      </c>
      <c r="U63" s="167" t="n">
        <f aca="false">U40</f>
        <v>504335.844</v>
      </c>
      <c r="V63" s="167" t="n">
        <f aca="false">V40</f>
        <v>502147.836</v>
      </c>
      <c r="W63" s="167" t="n">
        <f aca="false">W40</f>
        <v>499959.828</v>
      </c>
      <c r="X63" s="168"/>
    </row>
    <row r="64" customFormat="false" ht="18.75" hidden="false" customHeight="true" outlineLevel="0" collapsed="false">
      <c r="B64" s="169" t="s">
        <v>53</v>
      </c>
      <c r="C64" s="170" t="s">
        <v>3</v>
      </c>
      <c r="D64" s="171" t="n">
        <f aca="false">D41</f>
        <v>2011899.612096</v>
      </c>
      <c r="E64" s="171" t="n">
        <f aca="false">E41</f>
        <v>2003770.7247744</v>
      </c>
      <c r="F64" s="171" t="n">
        <f aca="false">F41</f>
        <v>1995641.8374528</v>
      </c>
      <c r="G64" s="171" t="n">
        <f aca="false">G41</f>
        <v>1987512.9501312</v>
      </c>
      <c r="H64" s="171" t="n">
        <f aca="false">H41</f>
        <v>1979384.0628096</v>
      </c>
      <c r="I64" s="171" t="n">
        <f aca="false">I41</f>
        <v>1971255.175488</v>
      </c>
      <c r="J64" s="171" t="n">
        <f aca="false">J41</f>
        <v>1963126.2881664</v>
      </c>
      <c r="K64" s="171" t="n">
        <f aca="false">K41</f>
        <v>1954997.4008448</v>
      </c>
      <c r="L64" s="171" t="n">
        <f aca="false">L41</f>
        <v>1946868.5135232</v>
      </c>
      <c r="M64" s="171" t="n">
        <f aca="false">M41</f>
        <v>1938739.6262016</v>
      </c>
      <c r="N64" s="171" t="n">
        <f aca="false">N41</f>
        <v>1930610.73888</v>
      </c>
      <c r="O64" s="171" t="n">
        <f aca="false">O41</f>
        <v>1922481.8515584</v>
      </c>
      <c r="P64" s="171" t="n">
        <f aca="false">P41</f>
        <v>1914352.9642368</v>
      </c>
      <c r="Q64" s="171" t="n">
        <f aca="false">Q41</f>
        <v>1906224.0769152</v>
      </c>
      <c r="R64" s="171" t="n">
        <f aca="false">R41</f>
        <v>1898095.1895936</v>
      </c>
      <c r="S64" s="171" t="n">
        <f aca="false">S41</f>
        <v>1889966.302272</v>
      </c>
      <c r="T64" s="171" t="n">
        <f aca="false">T41</f>
        <v>1881837.4149504</v>
      </c>
      <c r="U64" s="171" t="n">
        <f aca="false">U41</f>
        <v>1873708.5276288</v>
      </c>
      <c r="V64" s="171" t="n">
        <f aca="false">V41</f>
        <v>1865579.6403072</v>
      </c>
      <c r="W64" s="171" t="n">
        <f aca="false">W41</f>
        <v>1857450.7529856</v>
      </c>
      <c r="X64" s="172"/>
    </row>
    <row r="65" customFormat="false" ht="18.75" hidden="false" customHeight="true" outlineLevel="0" collapsed="false">
      <c r="B65" s="173" t="s">
        <v>54</v>
      </c>
      <c r="C65" s="174" t="s">
        <v>3</v>
      </c>
      <c r="D65" s="175"/>
      <c r="E65" s="175"/>
      <c r="F65" s="175"/>
      <c r="G65" s="176" t="s">
        <v>3</v>
      </c>
      <c r="H65" s="176" t="s">
        <v>3</v>
      </c>
      <c r="I65" s="176" t="s">
        <v>3</v>
      </c>
      <c r="J65" s="176" t="s">
        <v>3</v>
      </c>
      <c r="K65" s="176" t="s">
        <v>3</v>
      </c>
      <c r="L65" s="176" t="s">
        <v>3</v>
      </c>
      <c r="M65" s="176" t="s">
        <v>3</v>
      </c>
      <c r="N65" s="176" t="s">
        <v>3</v>
      </c>
      <c r="O65" s="176" t="s">
        <v>3</v>
      </c>
      <c r="P65" s="176" t="s">
        <v>3</v>
      </c>
      <c r="Q65" s="176" t="s">
        <v>3</v>
      </c>
      <c r="R65" s="176" t="s">
        <v>3</v>
      </c>
      <c r="S65" s="176" t="s">
        <v>3</v>
      </c>
      <c r="T65" s="176" t="s">
        <v>3</v>
      </c>
      <c r="U65" s="176" t="s">
        <v>3</v>
      </c>
      <c r="V65" s="176" t="s">
        <v>3</v>
      </c>
      <c r="W65" s="176" t="s">
        <v>3</v>
      </c>
      <c r="X65" s="177"/>
    </row>
    <row r="66" customFormat="false" ht="18.75" hidden="false" customHeight="true" outlineLevel="0" collapsed="false">
      <c r="B66" s="178" t="s">
        <v>55</v>
      </c>
      <c r="C66" s="179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1"/>
    </row>
    <row r="67" customFormat="false" ht="18.75" hidden="false" customHeight="true" outlineLevel="0" collapsed="false">
      <c r="B67" s="182" t="s">
        <v>151</v>
      </c>
      <c r="C67" s="174"/>
      <c r="D67" s="206" t="n">
        <f aca="false">$C$44/$E$16</f>
        <v>-992127.5</v>
      </c>
      <c r="E67" s="206" t="n">
        <f aca="false">$C$44/$E$16</f>
        <v>-992127.5</v>
      </c>
      <c r="F67" s="206" t="n">
        <f aca="false">$C$44/$E$16</f>
        <v>-992127.5</v>
      </c>
      <c r="G67" s="206" t="n">
        <f aca="false">$C$44/$E$16</f>
        <v>-992127.5</v>
      </c>
      <c r="H67" s="206" t="n">
        <f aca="false">$C$44/$E$16</f>
        <v>-992127.5</v>
      </c>
      <c r="I67" s="206" t="n">
        <f aca="false">$C$44/$E$16</f>
        <v>-992127.5</v>
      </c>
      <c r="J67" s="206" t="n">
        <f aca="false">$C$44/$E$16</f>
        <v>-992127.5</v>
      </c>
      <c r="K67" s="206" t="n">
        <f aca="false">$C$44/$E$16</f>
        <v>-992127.5</v>
      </c>
      <c r="L67" s="206" t="n">
        <f aca="false">$C$44/$E$16</f>
        <v>-992127.5</v>
      </c>
      <c r="M67" s="206" t="n">
        <f aca="false">$C$44/$E$16</f>
        <v>-992127.5</v>
      </c>
      <c r="N67" s="206" t="n">
        <f aca="false">$C$44/$E$16</f>
        <v>-992127.5</v>
      </c>
      <c r="O67" s="206" t="n">
        <f aca="false">$C$44/$E$16</f>
        <v>-992127.5</v>
      </c>
      <c r="P67" s="206" t="n">
        <f aca="false">$C$44/$E$16</f>
        <v>-992127.5</v>
      </c>
      <c r="Q67" s="206" t="n">
        <f aca="false">$C$44/$E$16</f>
        <v>-992127.5</v>
      </c>
      <c r="R67" s="206" t="n">
        <f aca="false">$C$44/$E$16</f>
        <v>-992127.5</v>
      </c>
      <c r="S67" s="206" t="n">
        <f aca="false">$C$44/$E$16</f>
        <v>-992127.5</v>
      </c>
      <c r="T67" s="206" t="n">
        <f aca="false">$C$44/$E$16</f>
        <v>-992127.5</v>
      </c>
      <c r="U67" s="206" t="n">
        <f aca="false">$C$44/$E$16</f>
        <v>-992127.5</v>
      </c>
      <c r="V67" s="206" t="n">
        <f aca="false">$C$44/$E$16</f>
        <v>-992127.5</v>
      </c>
      <c r="W67" s="206" t="n">
        <f aca="false">$C$44/$E$16</f>
        <v>-992127.5</v>
      </c>
      <c r="X67" s="177"/>
    </row>
    <row r="68" customFormat="false" ht="18.75" hidden="false" customHeight="true" outlineLevel="0" collapsed="false">
      <c r="B68" s="182" t="s">
        <v>57</v>
      </c>
      <c r="C68" s="174" t="s">
        <v>3</v>
      </c>
      <c r="D68" s="184" t="n">
        <f aca="false">D44</f>
        <v>0</v>
      </c>
      <c r="E68" s="184" t="n">
        <f aca="false">E45</f>
        <v>-601131.21743232</v>
      </c>
      <c r="F68" s="184" t="n">
        <f aca="false">F45</f>
        <v>-598692.55123584</v>
      </c>
      <c r="G68" s="184" t="n">
        <f aca="false">G45</f>
        <v>-596253.88503936</v>
      </c>
      <c r="H68" s="184" t="n">
        <f aca="false">H45</f>
        <v>-593815.21884288</v>
      </c>
      <c r="I68" s="184" t="n">
        <f aca="false">I45</f>
        <v>-591376.5526464</v>
      </c>
      <c r="J68" s="184" t="n">
        <f aca="false">J45</f>
        <v>-588937.88644992</v>
      </c>
      <c r="K68" s="184" t="n">
        <f aca="false">K45</f>
        <v>-586499.22025344</v>
      </c>
      <c r="L68" s="184" t="n">
        <f aca="false">L45</f>
        <v>-584060.55405696</v>
      </c>
      <c r="M68" s="184" t="n">
        <f aca="false">M45</f>
        <v>-581621.88786048</v>
      </c>
      <c r="N68" s="184" t="n">
        <f aca="false">N45</f>
        <v>-579183.221664</v>
      </c>
      <c r="O68" s="184" t="n">
        <f aca="false">O45</f>
        <v>-576744.55546752</v>
      </c>
      <c r="P68" s="184" t="n">
        <f aca="false">P45</f>
        <v>-574305.88927104</v>
      </c>
      <c r="Q68" s="184" t="n">
        <f aca="false">Q45</f>
        <v>-571867.22307456</v>
      </c>
      <c r="R68" s="184" t="n">
        <f aca="false">R45</f>
        <v>-569428.55687808</v>
      </c>
      <c r="S68" s="184" t="n">
        <f aca="false">S45</f>
        <v>-566989.8906816</v>
      </c>
      <c r="T68" s="184" t="n">
        <f aca="false">T45</f>
        <v>-564551.22448512</v>
      </c>
      <c r="U68" s="184" t="n">
        <f aca="false">U45</f>
        <v>-562112.55828864</v>
      </c>
      <c r="V68" s="184" t="n">
        <f aca="false">V45</f>
        <v>-559673.89209216</v>
      </c>
      <c r="W68" s="184" t="n">
        <f aca="false">W45</f>
        <v>-557235.22589568</v>
      </c>
      <c r="X68" s="177"/>
    </row>
    <row r="69" customFormat="false" ht="18.75" hidden="false" customHeight="true" outlineLevel="0" collapsed="false">
      <c r="B69" s="182" t="s">
        <v>58</v>
      </c>
      <c r="C69" s="174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7"/>
    </row>
    <row r="70" customFormat="false" ht="18.75" hidden="false" customHeight="true" outlineLevel="0" collapsed="false">
      <c r="B70" s="182" t="s">
        <v>59</v>
      </c>
      <c r="C70" s="174" t="s">
        <v>3</v>
      </c>
      <c r="D70" s="184" t="n">
        <f aca="false">-D109*$D25</f>
        <v>-406296.0538</v>
      </c>
      <c r="E70" s="184" t="n">
        <f aca="false">-E109*$D25</f>
        <v>-379209.650213333</v>
      </c>
      <c r="F70" s="184" t="n">
        <f aca="false">-F109*$D25</f>
        <v>-352123.246626667</v>
      </c>
      <c r="G70" s="184" t="n">
        <f aca="false">-G109*$D25</f>
        <v>-325036.84304</v>
      </c>
      <c r="H70" s="184" t="n">
        <f aca="false">-H109*$D25</f>
        <v>-297950.439453333</v>
      </c>
      <c r="I70" s="184" t="n">
        <f aca="false">-I109*$D25</f>
        <v>-270864.035866667</v>
      </c>
      <c r="J70" s="184" t="n">
        <f aca="false">-J109*$D25</f>
        <v>-243777.63228</v>
      </c>
      <c r="K70" s="184" t="n">
        <f aca="false">-K109*$D25</f>
        <v>-216691.228693334</v>
      </c>
      <c r="L70" s="184" t="n">
        <f aca="false">-L109*$D25</f>
        <v>-189604.825106667</v>
      </c>
      <c r="M70" s="184" t="n">
        <f aca="false">-M109*$D25</f>
        <v>-162518.42152</v>
      </c>
      <c r="N70" s="184" t="n">
        <f aca="false">-N109*$D25</f>
        <v>-135432.017933334</v>
      </c>
      <c r="O70" s="184" t="n">
        <f aca="false">-O109*$D25</f>
        <v>-108345.614346667</v>
      </c>
      <c r="P70" s="184" t="n">
        <f aca="false">-P109*$D25</f>
        <v>-81259.2107600003</v>
      </c>
      <c r="Q70" s="184" t="n">
        <f aca="false">-Q109*$D25</f>
        <v>-54172.8071733336</v>
      </c>
      <c r="R70" s="184" t="n">
        <f aca="false">-R109*$D25</f>
        <v>-27086.4035866669</v>
      </c>
      <c r="S70" s="184" t="n">
        <f aca="false">-S109*$D25</f>
        <v>-2.86046415567398E-010</v>
      </c>
      <c r="T70" s="184" t="n">
        <f aca="false">-T109*$D25</f>
        <v>-2.86046415567398E-010</v>
      </c>
      <c r="U70" s="184" t="n">
        <f aca="false">-U109*$D25</f>
        <v>-2.86046415567398E-010</v>
      </c>
      <c r="V70" s="184" t="n">
        <f aca="false">-V109*$D25</f>
        <v>-2.86046415567398E-010</v>
      </c>
      <c r="W70" s="184" t="n">
        <f aca="false">-W109*$D25</f>
        <v>-2.86046415567398E-010</v>
      </c>
      <c r="X70" s="177"/>
    </row>
    <row r="71" customFormat="false" ht="18.75" hidden="false" customHeight="true" outlineLevel="0" collapsed="false">
      <c r="B71" s="182" t="s">
        <v>60</v>
      </c>
      <c r="C71" s="174" t="s">
        <v>3</v>
      </c>
      <c r="D71" s="184" t="n">
        <f aca="false">D48</f>
        <v>-174440</v>
      </c>
      <c r="E71" s="184" t="n">
        <f aca="false">E48</f>
        <v>-174440</v>
      </c>
      <c r="F71" s="184" t="n">
        <f aca="false">F48</f>
        <v>-174440</v>
      </c>
      <c r="G71" s="184" t="n">
        <f aca="false">G48</f>
        <v>-174440</v>
      </c>
      <c r="H71" s="184" t="n">
        <f aca="false">H48</f>
        <v>-174440</v>
      </c>
      <c r="I71" s="184" t="n">
        <f aca="false">I48</f>
        <v>-174440</v>
      </c>
      <c r="J71" s="184" t="n">
        <f aca="false">J48</f>
        <v>-174440</v>
      </c>
      <c r="K71" s="184" t="n">
        <f aca="false">K48</f>
        <v>-174440</v>
      </c>
      <c r="L71" s="184" t="n">
        <f aca="false">L48</f>
        <v>-174440</v>
      </c>
      <c r="M71" s="184" t="n">
        <f aca="false">M48</f>
        <v>-174440</v>
      </c>
      <c r="N71" s="184" t="n">
        <f aca="false">N48</f>
        <v>-174440</v>
      </c>
      <c r="O71" s="184" t="n">
        <f aca="false">O48</f>
        <v>-174440</v>
      </c>
      <c r="P71" s="184" t="n">
        <f aca="false">P48</f>
        <v>-174440</v>
      </c>
      <c r="Q71" s="184" t="n">
        <f aca="false">Q48</f>
        <v>-174440</v>
      </c>
      <c r="R71" s="184" t="n">
        <f aca="false">R48</f>
        <v>-174440</v>
      </c>
      <c r="S71" s="184" t="n">
        <f aca="false">S48</f>
        <v>-174440</v>
      </c>
      <c r="T71" s="184" t="n">
        <f aca="false">T48</f>
        <v>-174440</v>
      </c>
      <c r="U71" s="184" t="n">
        <f aca="false">U48</f>
        <v>-174440</v>
      </c>
      <c r="V71" s="184" t="n">
        <f aca="false">V48</f>
        <v>-174440</v>
      </c>
      <c r="W71" s="184" t="n">
        <f aca="false">W48</f>
        <v>-174440</v>
      </c>
      <c r="X71" s="177"/>
    </row>
    <row r="72" customFormat="false" ht="18.75" hidden="false" customHeight="true" outlineLevel="0" collapsed="false">
      <c r="B72" s="182" t="s">
        <v>61</v>
      </c>
      <c r="C72" s="174" t="s">
        <v>3</v>
      </c>
      <c r="D72" s="184" t="n">
        <f aca="false">D49</f>
        <v>-44482.2</v>
      </c>
      <c r="E72" s="184" t="n">
        <f aca="false">E49</f>
        <v>-44482.2</v>
      </c>
      <c r="F72" s="184" t="n">
        <f aca="false">F49</f>
        <v>-44482.2</v>
      </c>
      <c r="G72" s="184" t="n">
        <f aca="false">G49</f>
        <v>-44482.2</v>
      </c>
      <c r="H72" s="184" t="n">
        <f aca="false">H49</f>
        <v>-44482.2</v>
      </c>
      <c r="I72" s="184" t="n">
        <f aca="false">I49</f>
        <v>-44482.2</v>
      </c>
      <c r="J72" s="184" t="n">
        <f aca="false">J49</f>
        <v>-44482.2</v>
      </c>
      <c r="K72" s="184" t="n">
        <f aca="false">K49</f>
        <v>-44482.2</v>
      </c>
      <c r="L72" s="184" t="n">
        <f aca="false">L49</f>
        <v>-44482.2</v>
      </c>
      <c r="M72" s="184" t="n">
        <f aca="false">M49</f>
        <v>-44482.2</v>
      </c>
      <c r="N72" s="184" t="n">
        <f aca="false">N49</f>
        <v>-44482.2</v>
      </c>
      <c r="O72" s="184" t="n">
        <f aca="false">O49</f>
        <v>-44482.2</v>
      </c>
      <c r="P72" s="184" t="n">
        <f aca="false">P49</f>
        <v>-44482.2</v>
      </c>
      <c r="Q72" s="184" t="n">
        <f aca="false">Q49</f>
        <v>-44482.2</v>
      </c>
      <c r="R72" s="184" t="n">
        <f aca="false">R49</f>
        <v>-44482.2</v>
      </c>
      <c r="S72" s="184" t="n">
        <f aca="false">S49</f>
        <v>-44482.2</v>
      </c>
      <c r="T72" s="184" t="n">
        <f aca="false">T49</f>
        <v>-44482.2</v>
      </c>
      <c r="U72" s="184" t="n">
        <f aca="false">U49</f>
        <v>-44482.2</v>
      </c>
      <c r="V72" s="184" t="n">
        <f aca="false">V49</f>
        <v>-44482.2</v>
      </c>
      <c r="W72" s="184" t="n">
        <f aca="false">W49</f>
        <v>-44482.2</v>
      </c>
      <c r="X72" s="177"/>
    </row>
    <row r="73" customFormat="false" ht="18.75" hidden="false" customHeight="true" outlineLevel="0" collapsed="false">
      <c r="B73" s="182" t="s">
        <v>62</v>
      </c>
      <c r="C73" s="174"/>
      <c r="D73" s="184" t="n">
        <f aca="false">D50</f>
        <v>-43610</v>
      </c>
      <c r="E73" s="184" t="n">
        <f aca="false">E50</f>
        <v>-43610</v>
      </c>
      <c r="F73" s="184" t="n">
        <f aca="false">F50</f>
        <v>-43610</v>
      </c>
      <c r="G73" s="184" t="n">
        <f aca="false">G50</f>
        <v>-43610</v>
      </c>
      <c r="H73" s="184" t="n">
        <f aca="false">H50</f>
        <v>-43610</v>
      </c>
      <c r="I73" s="184" t="n">
        <f aca="false">I50</f>
        <v>-43610</v>
      </c>
      <c r="J73" s="184" t="n">
        <f aca="false">J50</f>
        <v>-43610</v>
      </c>
      <c r="K73" s="184" t="n">
        <f aca="false">K50</f>
        <v>-43610</v>
      </c>
      <c r="L73" s="184" t="n">
        <f aca="false">L50</f>
        <v>-43610</v>
      </c>
      <c r="M73" s="184" t="n">
        <f aca="false">M50</f>
        <v>-43610</v>
      </c>
      <c r="N73" s="184" t="n">
        <f aca="false">N50</f>
        <v>0</v>
      </c>
      <c r="O73" s="184" t="n">
        <f aca="false">O50</f>
        <v>0</v>
      </c>
      <c r="P73" s="184" t="n">
        <f aca="false">P50</f>
        <v>0</v>
      </c>
      <c r="Q73" s="184" t="n">
        <f aca="false">Q50</f>
        <v>0</v>
      </c>
      <c r="R73" s="184" t="n">
        <f aca="false">R50</f>
        <v>0</v>
      </c>
      <c r="S73" s="184" t="n">
        <f aca="false">S50</f>
        <v>0</v>
      </c>
      <c r="T73" s="184" t="n">
        <f aca="false">T50</f>
        <v>0</v>
      </c>
      <c r="U73" s="184" t="n">
        <f aca="false">U50</f>
        <v>0</v>
      </c>
      <c r="V73" s="184" t="n">
        <f aca="false">V50</f>
        <v>0</v>
      </c>
      <c r="W73" s="184" t="n">
        <f aca="false">W50</f>
        <v>0</v>
      </c>
      <c r="X73" s="177"/>
    </row>
    <row r="74" customFormat="false" ht="18.75" hidden="false" customHeight="true" outlineLevel="0" collapsed="false">
      <c r="B74" s="182" t="s">
        <v>63</v>
      </c>
      <c r="C74" s="185"/>
      <c r="D74" s="207"/>
      <c r="E74" s="208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7"/>
    </row>
    <row r="75" customFormat="false" ht="18.75" hidden="false" customHeight="true" outlineLevel="0" collapsed="false">
      <c r="B75" s="182" t="s">
        <v>64</v>
      </c>
      <c r="C75" s="18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7"/>
    </row>
    <row r="76" customFormat="false" ht="18.75" hidden="false" customHeight="true" outlineLevel="0" collapsed="false">
      <c r="B76" s="187" t="s">
        <v>152</v>
      </c>
      <c r="C76" s="209"/>
      <c r="D76" s="189" t="n">
        <f aca="false">SUM(D64:D75)</f>
        <v>350943.858296</v>
      </c>
      <c r="E76" s="189" t="n">
        <f aca="false">SUM(E64:E75)</f>
        <v>-231229.842871254</v>
      </c>
      <c r="F76" s="189" t="n">
        <f aca="false">SUM(F64:F75)</f>
        <v>-209833.660409707</v>
      </c>
      <c r="G76" s="189" t="n">
        <f aca="false">SUM(G64:G75)</f>
        <v>-188437.47794816</v>
      </c>
      <c r="H76" s="189" t="n">
        <f aca="false">SUM(H64:H75)</f>
        <v>-167041.295486614</v>
      </c>
      <c r="I76" s="189" t="n">
        <f aca="false">SUM(I64:I75)</f>
        <v>-145645.113025067</v>
      </c>
      <c r="J76" s="189" t="n">
        <f aca="false">SUM(J64:J75)</f>
        <v>-124248.93056352</v>
      </c>
      <c r="K76" s="189" t="n">
        <f aca="false">SUM(K64:K75)</f>
        <v>-102852.748101974</v>
      </c>
      <c r="L76" s="189" t="n">
        <f aca="false">SUM(L64:L75)</f>
        <v>-81456.5656404271</v>
      </c>
      <c r="M76" s="189" t="n">
        <f aca="false">SUM(M64:M75)</f>
        <v>-60060.3831788804</v>
      </c>
      <c r="N76" s="189" t="n">
        <f aca="false">SUM(N64:N75)</f>
        <v>4945.79928266631</v>
      </c>
      <c r="O76" s="189" t="n">
        <f aca="false">SUM(O64:O75)</f>
        <v>26341.9817442129</v>
      </c>
      <c r="P76" s="189" t="n">
        <f aca="false">SUM(P64:P75)</f>
        <v>47738.1642057596</v>
      </c>
      <c r="Q76" s="189" t="n">
        <f aca="false">SUM(Q64:Q75)</f>
        <v>69134.3466673062</v>
      </c>
      <c r="R76" s="189" t="n">
        <f aca="false">SUM(R64:R75)</f>
        <v>90530.5291288529</v>
      </c>
      <c r="S76" s="189" t="n">
        <f aca="false">SUM(S64:S75)</f>
        <v>111926.7115904</v>
      </c>
      <c r="T76" s="189" t="n">
        <f aca="false">SUM(T64:T75)</f>
        <v>106236.490465279</v>
      </c>
      <c r="U76" s="189" t="n">
        <f aca="false">SUM(U64:U75)</f>
        <v>100546.26934016</v>
      </c>
      <c r="V76" s="189" t="n">
        <f aca="false">SUM(V64:V75)</f>
        <v>94856.0482150394</v>
      </c>
      <c r="W76" s="189" t="n">
        <f aca="false">SUM(W64:W75)</f>
        <v>89165.8270899196</v>
      </c>
      <c r="X76" s="189" t="n">
        <f aca="false">SUM(X64:X75)</f>
        <v>0</v>
      </c>
    </row>
    <row r="77" customFormat="false" ht="18.75" hidden="false" customHeight="true" outlineLevel="0" collapsed="false">
      <c r="B77" s="186" t="s">
        <v>66</v>
      </c>
      <c r="C77" s="185"/>
      <c r="D77" s="184" t="n">
        <f aca="false">-D76*0.2</f>
        <v>-70188.7716592</v>
      </c>
      <c r="E77" s="184" t="n">
        <f aca="false">-E76*0.2</f>
        <v>46245.9685742507</v>
      </c>
      <c r="F77" s="184" t="n">
        <f aca="false">-F76*0.2</f>
        <v>41966.7320819413</v>
      </c>
      <c r="G77" s="184" t="n">
        <f aca="false">-G76*0.2</f>
        <v>37687.495589632</v>
      </c>
      <c r="H77" s="184" t="n">
        <f aca="false">-H76*0.2</f>
        <v>33408.2590973227</v>
      </c>
      <c r="I77" s="184" t="n">
        <f aca="false">-I76*0.2</f>
        <v>29129.0226050134</v>
      </c>
      <c r="J77" s="184" t="n">
        <f aca="false">-J76*0.2</f>
        <v>24849.786112704</v>
      </c>
      <c r="K77" s="184" t="n">
        <f aca="false">-K76*0.2</f>
        <v>20570.5496203947</v>
      </c>
      <c r="L77" s="184" t="n">
        <f aca="false">-L76*0.2</f>
        <v>16291.3131280854</v>
      </c>
      <c r="M77" s="184" t="n">
        <f aca="false">-M76*0.2</f>
        <v>12012.0766357761</v>
      </c>
      <c r="N77" s="184" t="n">
        <f aca="false">-N76*0.2</f>
        <v>-989.159856533262</v>
      </c>
      <c r="O77" s="184" t="n">
        <f aca="false">-O76*0.2</f>
        <v>-5268.39634884258</v>
      </c>
      <c r="P77" s="184" t="n">
        <f aca="false">-P76*0.2</f>
        <v>-9547.63284115192</v>
      </c>
      <c r="Q77" s="184" t="n">
        <f aca="false">-Q76*0.2</f>
        <v>-13826.8693334612</v>
      </c>
      <c r="R77" s="184" t="n">
        <f aca="false">-R76*0.2</f>
        <v>-18106.1058257706</v>
      </c>
      <c r="S77" s="184" t="n">
        <f aca="false">-S76*0.2</f>
        <v>-22385.3423180799</v>
      </c>
      <c r="T77" s="184" t="n">
        <f aca="false">-T76*0.2</f>
        <v>-21247.2980930559</v>
      </c>
      <c r="U77" s="184" t="n">
        <f aca="false">-U76*0.2</f>
        <v>-20109.2538680319</v>
      </c>
      <c r="V77" s="184" t="n">
        <f aca="false">-V76*0.2</f>
        <v>-18971.2096430079</v>
      </c>
      <c r="W77" s="184" t="n">
        <f aca="false">-W76*0.2</f>
        <v>-17833.1654179839</v>
      </c>
      <c r="X77" s="184" t="n">
        <f aca="false">-X76*0.2</f>
        <v>-0</v>
      </c>
    </row>
    <row r="78" customFormat="false" ht="15.75" hidden="false" customHeight="true" outlineLevel="0" collapsed="false">
      <c r="B78" s="210" t="s">
        <v>76</v>
      </c>
      <c r="D78" s="184" t="n">
        <f aca="false">SUM(D76:D77)</f>
        <v>280755.0866368</v>
      </c>
      <c r="E78" s="184" t="n">
        <f aca="false">SUM(E76:E77)</f>
        <v>-184983.874297003</v>
      </c>
      <c r="F78" s="184" t="n">
        <f aca="false">SUM(F76:F77)</f>
        <v>-167866.928327765</v>
      </c>
      <c r="G78" s="184" t="n">
        <f aca="false">SUM(G76:G77)</f>
        <v>-150749.982358528</v>
      </c>
      <c r="H78" s="184" t="n">
        <f aca="false">SUM(H76:H77)</f>
        <v>-133633.036389291</v>
      </c>
      <c r="I78" s="184" t="n">
        <f aca="false">SUM(I76:I77)</f>
        <v>-116516.090420054</v>
      </c>
      <c r="J78" s="184" t="n">
        <f aca="false">SUM(J76:J77)</f>
        <v>-99399.1444508161</v>
      </c>
      <c r="K78" s="184" t="n">
        <f aca="false">SUM(K76:K77)</f>
        <v>-82282.198481579</v>
      </c>
      <c r="L78" s="184" t="n">
        <f aca="false">SUM(L76:L77)</f>
        <v>-65165.2525123417</v>
      </c>
      <c r="M78" s="184" t="n">
        <f aca="false">SUM(M76:M77)</f>
        <v>-48048.3065431043</v>
      </c>
      <c r="N78" s="184" t="n">
        <f aca="false">SUM(N76:N77)</f>
        <v>3956.63942613305</v>
      </c>
      <c r="O78" s="184" t="n">
        <f aca="false">SUM(O76:O77)</f>
        <v>21073.5853953703</v>
      </c>
      <c r="P78" s="184" t="n">
        <f aca="false">SUM(P76:P77)</f>
        <v>38190.5313646077</v>
      </c>
      <c r="Q78" s="184" t="n">
        <f aca="false">SUM(Q76:Q77)</f>
        <v>55307.477333845</v>
      </c>
      <c r="R78" s="184" t="n">
        <f aca="false">SUM(R76:R77)</f>
        <v>72424.4233030823</v>
      </c>
      <c r="S78" s="184" t="n">
        <f aca="false">SUM(S76:S77)</f>
        <v>89541.3692723197</v>
      </c>
      <c r="T78" s="184" t="n">
        <f aca="false">SUM(T76:T77)</f>
        <v>84989.1923722235</v>
      </c>
      <c r="U78" s="184" t="n">
        <f aca="false">SUM(U76:U77)</f>
        <v>80437.0154721277</v>
      </c>
      <c r="V78" s="184" t="n">
        <f aca="false">SUM(V76:V77)</f>
        <v>75884.8385720316</v>
      </c>
      <c r="W78" s="184" t="n">
        <f aca="false">SUM(W76:W77)</f>
        <v>71332.6616719357</v>
      </c>
      <c r="X78" s="184" t="n">
        <f aca="false">SUM(X76:X77)</f>
        <v>0</v>
      </c>
    </row>
    <row r="79" customFormat="false" ht="18.75" hidden="false" customHeight="true" outlineLevel="0" collapsed="false">
      <c r="B79" s="193" t="s">
        <v>68</v>
      </c>
      <c r="C79" s="196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2"/>
    </row>
    <row r="80" customFormat="false" ht="18.75" hidden="false" customHeight="true" outlineLevel="0" collapsed="false">
      <c r="B80" s="213" t="s">
        <v>74</v>
      </c>
      <c r="C80" s="214"/>
      <c r="D80" s="215"/>
      <c r="E80" s="215"/>
      <c r="F80" s="215"/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6"/>
    </row>
    <row r="81" customFormat="false" ht="18.75" hidden="false" customHeight="true" outlineLevel="0" collapsed="false">
      <c r="B81" s="202"/>
      <c r="C81" s="201"/>
      <c r="D81" s="201"/>
      <c r="E81" s="201"/>
      <c r="F81" s="202"/>
      <c r="G81" s="202"/>
      <c r="H81" s="202"/>
      <c r="I81" s="202"/>
      <c r="J81" s="202"/>
      <c r="K81" s="202"/>
      <c r="L81" s="202"/>
      <c r="M81" s="201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</row>
    <row r="82" customFormat="false" ht="18.75" hidden="false" customHeight="true" outlineLevel="0" collapsed="false">
      <c r="C82" s="217" t="s">
        <v>48</v>
      </c>
      <c r="D82" s="218" t="n">
        <f aca="false">D37</f>
        <v>2023</v>
      </c>
      <c r="E82" s="218" t="n">
        <f aca="false">E37</f>
        <v>2024</v>
      </c>
      <c r="F82" s="218" t="n">
        <f aca="false">F37</f>
        <v>2025</v>
      </c>
      <c r="G82" s="218" t="n">
        <f aca="false">G37</f>
        <v>2026</v>
      </c>
      <c r="H82" s="218" t="n">
        <f aca="false">H37</f>
        <v>2027</v>
      </c>
      <c r="I82" s="218" t="n">
        <f aca="false">I37</f>
        <v>2028</v>
      </c>
      <c r="J82" s="218" t="n">
        <f aca="false">J37</f>
        <v>2029</v>
      </c>
      <c r="K82" s="218" t="n">
        <f aca="false">K37</f>
        <v>2030</v>
      </c>
      <c r="L82" s="218" t="n">
        <f aca="false">L37</f>
        <v>2031</v>
      </c>
      <c r="M82" s="218" t="n">
        <f aca="false">M37</f>
        <v>2032</v>
      </c>
      <c r="N82" s="218" t="n">
        <f aca="false">N37</f>
        <v>2033</v>
      </c>
      <c r="O82" s="218" t="n">
        <f aca="false">O37</f>
        <v>2034</v>
      </c>
      <c r="P82" s="218" t="n">
        <f aca="false">P37</f>
        <v>2035</v>
      </c>
      <c r="Q82" s="218" t="n">
        <f aca="false">Q37</f>
        <v>2036</v>
      </c>
      <c r="R82" s="218" t="n">
        <f aca="false">R37</f>
        <v>2037</v>
      </c>
      <c r="S82" s="218" t="n">
        <f aca="false">S37</f>
        <v>2038</v>
      </c>
      <c r="T82" s="218" t="n">
        <f aca="false">T37</f>
        <v>2039</v>
      </c>
      <c r="U82" s="218" t="n">
        <f aca="false">U37</f>
        <v>2040</v>
      </c>
      <c r="V82" s="218" t="n">
        <f aca="false">V37</f>
        <v>2041</v>
      </c>
      <c r="W82" s="218" t="n">
        <f aca="false">W37</f>
        <v>2042</v>
      </c>
      <c r="X82" s="72"/>
    </row>
    <row r="83" customFormat="false" ht="18.75" hidden="false" customHeight="true" outlineLevel="0" collapsed="false">
      <c r="X83" s="203"/>
    </row>
    <row r="84" customFormat="false" ht="18.75" hidden="false" customHeight="true" outlineLevel="0" collapsed="false">
      <c r="B84" s="219" t="s">
        <v>51</v>
      </c>
      <c r="C84" s="219" t="n">
        <v>0</v>
      </c>
      <c r="D84" s="219" t="n">
        <v>1</v>
      </c>
      <c r="E84" s="219" t="n">
        <v>2</v>
      </c>
      <c r="F84" s="219" t="n">
        <v>3</v>
      </c>
      <c r="G84" s="219" t="n">
        <v>4</v>
      </c>
      <c r="H84" s="219" t="n">
        <v>5</v>
      </c>
      <c r="I84" s="219" t="n">
        <v>6</v>
      </c>
      <c r="J84" s="219" t="n">
        <v>7</v>
      </c>
      <c r="K84" s="219" t="n">
        <v>8</v>
      </c>
      <c r="L84" s="219" t="n">
        <v>9</v>
      </c>
      <c r="M84" s="219" t="n">
        <v>10</v>
      </c>
      <c r="N84" s="219" t="n">
        <v>11</v>
      </c>
      <c r="O84" s="219" t="n">
        <v>12</v>
      </c>
      <c r="P84" s="219" t="n">
        <v>13</v>
      </c>
      <c r="Q84" s="219" t="n">
        <v>14</v>
      </c>
      <c r="R84" s="219" t="n">
        <v>15</v>
      </c>
      <c r="S84" s="219" t="n">
        <v>16</v>
      </c>
      <c r="T84" s="219" t="n">
        <v>17</v>
      </c>
      <c r="U84" s="219" t="n">
        <v>18</v>
      </c>
      <c r="V84" s="219" t="n">
        <v>19</v>
      </c>
      <c r="W84" s="219" t="n">
        <v>20</v>
      </c>
      <c r="X84" s="103"/>
    </row>
    <row r="85" customFormat="false" ht="18.75" hidden="false" customHeight="true" outlineLevel="0" collapsed="false">
      <c r="B85" s="220" t="s">
        <v>76</v>
      </c>
      <c r="C85" s="220"/>
      <c r="D85" s="221" t="n">
        <f aca="false">D78</f>
        <v>280755.0866368</v>
      </c>
      <c r="E85" s="221" t="n">
        <f aca="false">E78</f>
        <v>-184983.874297003</v>
      </c>
      <c r="F85" s="221" t="n">
        <f aca="false">F78</f>
        <v>-167866.928327765</v>
      </c>
      <c r="G85" s="221" t="n">
        <f aca="false">G78</f>
        <v>-150749.982358528</v>
      </c>
      <c r="H85" s="221" t="n">
        <f aca="false">H78</f>
        <v>-133633.036389291</v>
      </c>
      <c r="I85" s="221" t="n">
        <f aca="false">I78</f>
        <v>-116516.090420054</v>
      </c>
      <c r="J85" s="221" t="n">
        <f aca="false">J78</f>
        <v>-99399.1444508161</v>
      </c>
      <c r="K85" s="221" t="n">
        <f aca="false">K78</f>
        <v>-82282.198481579</v>
      </c>
      <c r="L85" s="221" t="n">
        <f aca="false">L78</f>
        <v>-65165.2525123417</v>
      </c>
      <c r="M85" s="221" t="n">
        <f aca="false">M78</f>
        <v>-48048.3065431043</v>
      </c>
      <c r="N85" s="221" t="n">
        <f aca="false">N78</f>
        <v>3956.63942613305</v>
      </c>
      <c r="O85" s="221" t="n">
        <f aca="false">O78</f>
        <v>21073.5853953703</v>
      </c>
      <c r="P85" s="221" t="n">
        <f aca="false">P78</f>
        <v>38190.5313646077</v>
      </c>
      <c r="Q85" s="221" t="n">
        <f aca="false">Q78</f>
        <v>55307.477333845</v>
      </c>
      <c r="R85" s="221" t="n">
        <f aca="false">R78</f>
        <v>72424.4233030823</v>
      </c>
      <c r="S85" s="221" t="n">
        <f aca="false">S78</f>
        <v>89541.3692723197</v>
      </c>
      <c r="T85" s="221" t="n">
        <f aca="false">T78</f>
        <v>84989.1923722235</v>
      </c>
      <c r="U85" s="221" t="n">
        <f aca="false">U78</f>
        <v>80437.0154721277</v>
      </c>
      <c r="V85" s="221" t="n">
        <f aca="false">V78</f>
        <v>75884.8385720316</v>
      </c>
      <c r="W85" s="221" t="n">
        <f aca="false">W78</f>
        <v>71332.6616719357</v>
      </c>
      <c r="X85" s="220"/>
      <c r="Y85" s="220"/>
    </row>
    <row r="86" customFormat="false" ht="15.75" hidden="false" customHeight="true" outlineLevel="0" collapsed="false">
      <c r="B86" s="220" t="s">
        <v>77</v>
      </c>
      <c r="C86" s="220"/>
      <c r="D86" s="222" t="n">
        <f aca="false">-D67</f>
        <v>992127.5</v>
      </c>
      <c r="E86" s="222" t="n">
        <f aca="false">-E67</f>
        <v>992127.5</v>
      </c>
      <c r="F86" s="222" t="n">
        <f aca="false">-F67</f>
        <v>992127.5</v>
      </c>
      <c r="G86" s="222" t="n">
        <f aca="false">-G67</f>
        <v>992127.5</v>
      </c>
      <c r="H86" s="222" t="n">
        <f aca="false">-H67</f>
        <v>992127.5</v>
      </c>
      <c r="I86" s="222" t="n">
        <f aca="false">-I67</f>
        <v>992127.5</v>
      </c>
      <c r="J86" s="222" t="n">
        <f aca="false">-J67</f>
        <v>992127.5</v>
      </c>
      <c r="K86" s="222" t="n">
        <f aca="false">-K67</f>
        <v>992127.5</v>
      </c>
      <c r="L86" s="222" t="n">
        <f aca="false">-L67</f>
        <v>992127.5</v>
      </c>
      <c r="M86" s="222" t="n">
        <f aca="false">-M67</f>
        <v>992127.5</v>
      </c>
      <c r="N86" s="222" t="n">
        <f aca="false">-N67</f>
        <v>992127.5</v>
      </c>
      <c r="O86" s="222" t="n">
        <f aca="false">-O67</f>
        <v>992127.5</v>
      </c>
      <c r="P86" s="222" t="n">
        <f aca="false">-P67</f>
        <v>992127.5</v>
      </c>
      <c r="Q86" s="222" t="n">
        <f aca="false">-Q67</f>
        <v>992127.5</v>
      </c>
      <c r="R86" s="222" t="n">
        <f aca="false">-R67</f>
        <v>992127.5</v>
      </c>
      <c r="S86" s="222" t="n">
        <f aca="false">-S67</f>
        <v>992127.5</v>
      </c>
      <c r="T86" s="222" t="n">
        <f aca="false">-T67</f>
        <v>992127.5</v>
      </c>
      <c r="U86" s="222" t="n">
        <f aca="false">-U67</f>
        <v>992127.5</v>
      </c>
      <c r="V86" s="222" t="n">
        <f aca="false">-V67</f>
        <v>992127.5</v>
      </c>
      <c r="W86" s="222" t="n">
        <f aca="false">-W67</f>
        <v>992127.5</v>
      </c>
      <c r="X86" s="223"/>
      <c r="Y86" s="223"/>
    </row>
    <row r="87" customFormat="false" ht="15.75" hidden="false" customHeight="true" outlineLevel="0" collapsed="false">
      <c r="B87" s="220" t="s">
        <v>78</v>
      </c>
      <c r="C87" s="220"/>
      <c r="D87" s="224" t="n">
        <f aca="false">SUM(D85:D86)</f>
        <v>1272882.5866368</v>
      </c>
      <c r="E87" s="224" t="n">
        <f aca="false">SUM(E85:E86)</f>
        <v>807143.625702997</v>
      </c>
      <c r="F87" s="224" t="n">
        <f aca="false">SUM(F85:F86)</f>
        <v>824260.571672235</v>
      </c>
      <c r="G87" s="224" t="n">
        <f aca="false">SUM(G85:G86)</f>
        <v>841377.517641472</v>
      </c>
      <c r="H87" s="224" t="n">
        <f aca="false">SUM(H85:H86)</f>
        <v>858494.463610709</v>
      </c>
      <c r="I87" s="224" t="n">
        <f aca="false">SUM(I85:I86)</f>
        <v>875611.409579946</v>
      </c>
      <c r="J87" s="224" t="n">
        <f aca="false">SUM(J85:J86)</f>
        <v>892728.355549184</v>
      </c>
      <c r="K87" s="224" t="n">
        <f aca="false">SUM(K85:K86)</f>
        <v>909845.301518421</v>
      </c>
      <c r="L87" s="224" t="n">
        <f aca="false">SUM(L85:L86)</f>
        <v>926962.247487658</v>
      </c>
      <c r="M87" s="224" t="n">
        <f aca="false">SUM(M85:M86)</f>
        <v>944079.193456896</v>
      </c>
      <c r="N87" s="224" t="n">
        <f aca="false">SUM(N85:N86)</f>
        <v>996084.139426133</v>
      </c>
      <c r="O87" s="224" t="n">
        <f aca="false">SUM(O85:O86)</f>
        <v>1013201.08539537</v>
      </c>
      <c r="P87" s="224" t="n">
        <f aca="false">SUM(P85:P86)</f>
        <v>1030318.03136461</v>
      </c>
      <c r="Q87" s="224" t="n">
        <f aca="false">SUM(Q85:Q86)</f>
        <v>1047434.97733385</v>
      </c>
      <c r="R87" s="224" t="n">
        <f aca="false">SUM(R85:R86)</f>
        <v>1064551.92330308</v>
      </c>
      <c r="S87" s="224" t="n">
        <f aca="false">SUM(S85:S86)</f>
        <v>1081668.86927232</v>
      </c>
      <c r="T87" s="224" t="n">
        <f aca="false">SUM(T85:T86)</f>
        <v>1077116.69237222</v>
      </c>
      <c r="U87" s="224" t="n">
        <f aca="false">SUM(U85:U86)</f>
        <v>1072564.51547213</v>
      </c>
      <c r="V87" s="224" t="n">
        <f aca="false">SUM(V85:V86)</f>
        <v>1068012.33857203</v>
      </c>
      <c r="W87" s="224" t="n">
        <f aca="false">SUM(W85:W86)</f>
        <v>1063460.16167194</v>
      </c>
      <c r="X87" s="192"/>
    </row>
    <row r="88" customFormat="false" ht="15.75" hidden="false" customHeight="true" outlineLevel="0" collapsed="false">
      <c r="B88" s="220"/>
      <c r="C88" s="220"/>
      <c r="D88" s="220"/>
      <c r="E88" s="220"/>
      <c r="F88" s="225"/>
      <c r="G88" s="225"/>
      <c r="H88" s="225"/>
      <c r="I88" s="225"/>
      <c r="J88" s="225"/>
      <c r="K88" s="225"/>
      <c r="L88" s="225"/>
      <c r="M88" s="225"/>
      <c r="N88" s="225"/>
      <c r="O88" s="225"/>
      <c r="P88" s="225"/>
      <c r="Q88" s="225"/>
      <c r="R88" s="225"/>
      <c r="S88" s="225"/>
      <c r="T88" s="225"/>
      <c r="U88" s="225"/>
      <c r="V88" s="225"/>
      <c r="W88" s="225"/>
      <c r="X88" s="191"/>
    </row>
    <row r="89" customFormat="false" ht="15.75" hidden="false" customHeight="true" outlineLevel="0" collapsed="false">
      <c r="B89" s="226" t="s">
        <v>79</v>
      </c>
      <c r="C89" s="227"/>
      <c r="D89" s="228" t="n">
        <f aca="false">C44</f>
        <v>-19842550</v>
      </c>
      <c r="E89" s="227"/>
      <c r="F89" s="227"/>
      <c r="G89" s="227"/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9"/>
    </row>
    <row r="90" customFormat="false" ht="15.75" hidden="false" customHeight="true" outlineLevel="0" collapsed="false">
      <c r="B90" s="220"/>
      <c r="C90" s="220"/>
      <c r="D90" s="220"/>
      <c r="E90" s="220"/>
      <c r="F90" s="225"/>
      <c r="G90" s="225"/>
      <c r="H90" s="225"/>
      <c r="I90" s="225"/>
      <c r="J90" s="225"/>
      <c r="K90" s="225"/>
      <c r="L90" s="225"/>
      <c r="M90" s="225"/>
      <c r="N90" s="225"/>
      <c r="O90" s="225"/>
      <c r="P90" s="225"/>
      <c r="Q90" s="225"/>
      <c r="R90" s="225"/>
      <c r="S90" s="225"/>
      <c r="T90" s="225"/>
      <c r="U90" s="225"/>
      <c r="V90" s="225"/>
      <c r="W90" s="225"/>
      <c r="X90" s="191"/>
    </row>
    <row r="91" customFormat="false" ht="15.75" hidden="false" customHeight="true" outlineLevel="0" collapsed="false">
      <c r="B91" s="220"/>
      <c r="C91" s="220"/>
      <c r="D91" s="220"/>
      <c r="E91" s="220"/>
      <c r="F91" s="225"/>
      <c r="G91" s="225"/>
      <c r="H91" s="225"/>
      <c r="I91" s="225"/>
      <c r="J91" s="225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191"/>
    </row>
    <row r="92" customFormat="false" ht="15.75" hidden="false" customHeight="true" outlineLevel="0" collapsed="false">
      <c r="B92" s="226" t="s">
        <v>80</v>
      </c>
      <c r="C92" s="227"/>
      <c r="D92" s="228" t="n">
        <f aca="false">-D89*D31</f>
        <v>15874040</v>
      </c>
      <c r="E92" s="227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191"/>
    </row>
    <row r="93" customFormat="false" ht="15.75" hidden="false" customHeight="true" outlineLevel="0" collapsed="false">
      <c r="B93" s="220" t="s">
        <v>81</v>
      </c>
      <c r="C93" s="220"/>
      <c r="D93" s="230"/>
      <c r="E93" s="230" t="n">
        <v>-1058269.33333333</v>
      </c>
      <c r="F93" s="230" t="n">
        <v>-1058269.33333333</v>
      </c>
      <c r="G93" s="230" t="n">
        <v>-1058269.33333333</v>
      </c>
      <c r="H93" s="230" t="n">
        <v>-1058269.33333333</v>
      </c>
      <c r="I93" s="230" t="n">
        <v>-1058269.33333333</v>
      </c>
      <c r="J93" s="230" t="n">
        <v>-1058269.33333333</v>
      </c>
      <c r="K93" s="230" t="n">
        <v>-1058269.33333333</v>
      </c>
      <c r="L93" s="230" t="n">
        <v>-1058269.33333333</v>
      </c>
      <c r="M93" s="230" t="n">
        <v>-1058269.33333333</v>
      </c>
      <c r="N93" s="230" t="n">
        <v>-1058269.33333333</v>
      </c>
      <c r="O93" s="230" t="n">
        <v>-1058269.33333333</v>
      </c>
      <c r="P93" s="230" t="n">
        <v>-1058269.33333333</v>
      </c>
      <c r="Q93" s="230" t="n">
        <v>-1058269.33333333</v>
      </c>
      <c r="R93" s="230" t="n">
        <v>-1058269.33333333</v>
      </c>
      <c r="S93" s="230" t="n">
        <v>-1058269.33333333</v>
      </c>
      <c r="T93" s="230" t="n">
        <v>0</v>
      </c>
      <c r="U93" s="230" t="n">
        <v>0</v>
      </c>
      <c r="V93" s="230" t="n">
        <v>0</v>
      </c>
      <c r="W93" s="230" t="n">
        <v>0</v>
      </c>
      <c r="X93" s="229"/>
    </row>
    <row r="94" customFormat="false" ht="15.75" hidden="false" customHeight="true" outlineLevel="0" collapsed="false">
      <c r="B94" s="220" t="s">
        <v>82</v>
      </c>
      <c r="C94" s="225"/>
      <c r="D94" s="221" t="n">
        <f aca="false">-D89*(1-D31)</f>
        <v>3968510</v>
      </c>
      <c r="E94" s="225"/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192"/>
    </row>
    <row r="95" customFormat="false" ht="15.75" hidden="false" customHeight="true" outlineLevel="0" collapsed="false">
      <c r="B95" s="220" t="s">
        <v>45</v>
      </c>
      <c r="C95" s="225"/>
      <c r="D95" s="225"/>
      <c r="E95" s="231" t="n">
        <f aca="false">-D85*$D$33</f>
        <v>-252679.57797312</v>
      </c>
      <c r="F95" s="231" t="n">
        <f aca="false">-E85*$D$33</f>
        <v>166485.486867303</v>
      </c>
      <c r="G95" s="231" t="n">
        <f aca="false">-F85*$D$33</f>
        <v>151080.235494989</v>
      </c>
      <c r="H95" s="231" t="n">
        <f aca="false">-G85*$D$33</f>
        <v>135674.984122675</v>
      </c>
      <c r="I95" s="231" t="n">
        <f aca="false">-H85*$D$33</f>
        <v>120269.732750362</v>
      </c>
      <c r="J95" s="231" t="n">
        <f aca="false">-I85*$D$33</f>
        <v>104864.481378048</v>
      </c>
      <c r="K95" s="231" t="n">
        <f aca="false">-J85*$D$33</f>
        <v>89459.2300057345</v>
      </c>
      <c r="L95" s="231" t="n">
        <f aca="false">-K85*$D$33</f>
        <v>74053.9786334211</v>
      </c>
      <c r="M95" s="231" t="n">
        <f aca="false">-L85*$D$33</f>
        <v>58648.7272611075</v>
      </c>
      <c r="N95" s="231" t="n">
        <f aca="false">-M85*$D$33</f>
        <v>43243.4758887939</v>
      </c>
      <c r="O95" s="231" t="n">
        <f aca="false">-N85*$D$33</f>
        <v>-3560.97548351974</v>
      </c>
      <c r="P95" s="231" t="n">
        <f aca="false">-O85*$D$33</f>
        <v>-18966.2268558333</v>
      </c>
      <c r="Q95" s="231" t="n">
        <f aca="false">-P85*$D$33</f>
        <v>-34371.4782281469</v>
      </c>
      <c r="R95" s="231" t="n">
        <f aca="false">-Q85*$D$33</f>
        <v>-49776.7296004605</v>
      </c>
      <c r="S95" s="231" t="n">
        <f aca="false">-R85*$D$33</f>
        <v>-65181.9809727741</v>
      </c>
      <c r="T95" s="231" t="n">
        <f aca="false">-S85*$D$33</f>
        <v>-80587.2323450877</v>
      </c>
      <c r="U95" s="231" t="n">
        <f aca="false">-T85*$D$33</f>
        <v>-76490.2731350011</v>
      </c>
      <c r="V95" s="231" t="n">
        <f aca="false">-U85*$D$33</f>
        <v>-72393.3139249149</v>
      </c>
      <c r="W95" s="231" t="n">
        <f aca="false">-V85*$D$33</f>
        <v>-68296.3547148284</v>
      </c>
      <c r="X95" s="231" t="n">
        <f aca="false">-W85*$D$33</f>
        <v>-64199.3955047421</v>
      </c>
    </row>
    <row r="96" customFormat="false" ht="15.75" hidden="false" customHeight="true" outlineLevel="0" collapsed="false">
      <c r="B96" s="232" t="s">
        <v>47</v>
      </c>
      <c r="C96" s="233"/>
      <c r="D96" s="233" t="n">
        <v>0</v>
      </c>
      <c r="E96" s="234" t="n">
        <v>0</v>
      </c>
      <c r="F96" s="234" t="n">
        <v>0</v>
      </c>
      <c r="G96" s="234" t="n">
        <v>0</v>
      </c>
      <c r="H96" s="234" t="n">
        <v>0</v>
      </c>
      <c r="I96" s="234" t="n">
        <v>0</v>
      </c>
      <c r="J96" s="234" t="n">
        <v>0</v>
      </c>
      <c r="K96" s="234" t="n">
        <v>0</v>
      </c>
      <c r="L96" s="234" t="n">
        <v>0</v>
      </c>
      <c r="M96" s="234" t="n">
        <v>0</v>
      </c>
      <c r="N96" s="234" t="n">
        <v>0</v>
      </c>
      <c r="O96" s="234" t="n">
        <v>0</v>
      </c>
      <c r="P96" s="234" t="n">
        <v>0</v>
      </c>
      <c r="Q96" s="234" t="n">
        <v>0</v>
      </c>
      <c r="R96" s="234" t="n">
        <v>0</v>
      </c>
      <c r="S96" s="234" t="n">
        <v>0</v>
      </c>
      <c r="T96" s="234" t="n">
        <v>-992127.5</v>
      </c>
      <c r="U96" s="234" t="n">
        <v>-992127.5</v>
      </c>
      <c r="V96" s="234" t="n">
        <v>-992127.5</v>
      </c>
      <c r="W96" s="234" t="n">
        <v>-992127.5</v>
      </c>
      <c r="X96" s="235" t="n">
        <f aca="false">-W101-X95</f>
        <v>17475.1992959971</v>
      </c>
    </row>
    <row r="97" customFormat="false" ht="15.75" hidden="false" customHeight="true" outlineLevel="0" collapsed="false">
      <c r="B97" s="225"/>
      <c r="C97" s="225"/>
      <c r="D97" s="225"/>
      <c r="E97" s="225"/>
      <c r="F97" s="22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192"/>
    </row>
    <row r="98" customFormat="false" ht="15.75" hidden="false" customHeight="true" outlineLevel="0" collapsed="false">
      <c r="B98" s="225"/>
      <c r="C98" s="225"/>
      <c r="D98" s="225"/>
      <c r="E98" s="225"/>
      <c r="F98" s="22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192"/>
    </row>
    <row r="99" customFormat="false" ht="15.75" hidden="false" customHeight="true" outlineLevel="0" collapsed="false">
      <c r="B99" s="220" t="s">
        <v>83</v>
      </c>
      <c r="C99" s="221" t="n">
        <v>0</v>
      </c>
      <c r="D99" s="221" t="n">
        <f aca="false">SUM(D87:D96)</f>
        <v>1272882.5866368</v>
      </c>
      <c r="E99" s="221" t="n">
        <f aca="false">SUM(E87:E96)</f>
        <v>-503805.285603456</v>
      </c>
      <c r="F99" s="221" t="n">
        <f aca="false">SUM(F87:F96)</f>
        <v>-67523.2747937958</v>
      </c>
      <c r="G99" s="221" t="n">
        <f aca="false">SUM(G87:G96)</f>
        <v>-65811.5801968722</v>
      </c>
      <c r="H99" s="221" t="n">
        <f aca="false">SUM(H87:H96)</f>
        <v>-64099.8855999487</v>
      </c>
      <c r="I99" s="221" t="n">
        <f aca="false">SUM(I87:I96)</f>
        <v>-62388.1910030249</v>
      </c>
      <c r="J99" s="221" t="n">
        <f aca="false">SUM(J87:J96)</f>
        <v>-60676.4964061008</v>
      </c>
      <c r="K99" s="221" t="n">
        <f aca="false">SUM(K87:K96)</f>
        <v>-58964.8018091775</v>
      </c>
      <c r="L99" s="221" t="n">
        <f aca="false">SUM(L87:L96)</f>
        <v>-57253.1072122537</v>
      </c>
      <c r="M99" s="221" t="n">
        <f aca="false">SUM(M87:M96)</f>
        <v>-55541.4126153299</v>
      </c>
      <c r="N99" s="221" t="n">
        <f aca="false">SUM(N87:N96)</f>
        <v>-18941.7180184061</v>
      </c>
      <c r="O99" s="221" t="n">
        <f aca="false">SUM(O87:O96)</f>
        <v>-48629.2234214824</v>
      </c>
      <c r="P99" s="221" t="n">
        <f aca="false">SUM(P87:P96)</f>
        <v>-46917.5288245586</v>
      </c>
      <c r="Q99" s="221" t="n">
        <f aca="false">SUM(Q87:Q96)</f>
        <v>-45205.834227635</v>
      </c>
      <c r="R99" s="221" t="n">
        <f aca="false">SUM(R87:R96)</f>
        <v>-43494.1396307112</v>
      </c>
      <c r="S99" s="221" t="n">
        <f aca="false">SUM(S87:S96)</f>
        <v>-41782.4450337875</v>
      </c>
      <c r="T99" s="221" t="n">
        <f aca="false">SUM(T87:T96)</f>
        <v>4401.96002713568</v>
      </c>
      <c r="U99" s="221" t="n">
        <f aca="false">SUM(U87:U96)</f>
        <v>3946.74233712652</v>
      </c>
      <c r="V99" s="221" t="n">
        <f aca="false">SUM(V87:V96)</f>
        <v>3491.52464711666</v>
      </c>
      <c r="W99" s="221" t="n">
        <f aca="false">SUM(W87:W96)</f>
        <v>3036.30695710715</v>
      </c>
      <c r="X99" s="192"/>
    </row>
    <row r="100" customFormat="false" ht="15.75" hidden="false" customHeight="true" outlineLevel="0" collapsed="false">
      <c r="B100" s="220" t="s">
        <v>84</v>
      </c>
      <c r="C100" s="221" t="n">
        <v>0</v>
      </c>
      <c r="D100" s="221" t="n">
        <f aca="false">C101</f>
        <v>0</v>
      </c>
      <c r="E100" s="221" t="n">
        <f aca="false">D101</f>
        <v>1272882.5866368</v>
      </c>
      <c r="F100" s="221" t="n">
        <f aca="false">E101</f>
        <v>769077.301033343</v>
      </c>
      <c r="G100" s="221" t="n">
        <f aca="false">F101</f>
        <v>701554.026239547</v>
      </c>
      <c r="H100" s="221" t="n">
        <f aca="false">G101</f>
        <v>635742.446042675</v>
      </c>
      <c r="I100" s="221" t="n">
        <f aca="false">H101</f>
        <v>571642.560442727</v>
      </c>
      <c r="J100" s="221" t="n">
        <f aca="false">I101</f>
        <v>509254.369439702</v>
      </c>
      <c r="K100" s="221" t="n">
        <f aca="false">J101</f>
        <v>448577.873033601</v>
      </c>
      <c r="L100" s="221" t="n">
        <f aca="false">K101</f>
        <v>389613.071224423</v>
      </c>
      <c r="M100" s="221" t="n">
        <f aca="false">L101</f>
        <v>332359.96401217</v>
      </c>
      <c r="N100" s="221" t="n">
        <f aca="false">M101</f>
        <v>276818.55139684</v>
      </c>
      <c r="O100" s="221" t="n">
        <f aca="false">N101</f>
        <v>257876.833378434</v>
      </c>
      <c r="P100" s="221" t="n">
        <f aca="false">O101</f>
        <v>209247.609956951</v>
      </c>
      <c r="Q100" s="221" t="n">
        <f aca="false">P101</f>
        <v>162330.081132393</v>
      </c>
      <c r="R100" s="221" t="n">
        <f aca="false">Q101</f>
        <v>117124.246904758</v>
      </c>
      <c r="S100" s="221" t="n">
        <f aca="false">R101</f>
        <v>73630.1072740465</v>
      </c>
      <c r="T100" s="221" t="n">
        <f aca="false">S101</f>
        <v>31847.662240259</v>
      </c>
      <c r="U100" s="221" t="n">
        <f aca="false">T101</f>
        <v>36249.6222673947</v>
      </c>
      <c r="V100" s="221" t="n">
        <f aca="false">U101</f>
        <v>40196.3646045212</v>
      </c>
      <c r="W100" s="221" t="n">
        <f aca="false">V101</f>
        <v>43687.8892516378</v>
      </c>
      <c r="X100" s="191"/>
    </row>
    <row r="101" customFormat="false" ht="15.75" hidden="false" customHeight="true" outlineLevel="0" collapsed="false">
      <c r="B101" s="220" t="s">
        <v>85</v>
      </c>
      <c r="C101" s="221" t="n">
        <v>0</v>
      </c>
      <c r="D101" s="221" t="n">
        <f aca="false">D99+D100</f>
        <v>1272882.5866368</v>
      </c>
      <c r="E101" s="221" t="n">
        <f aca="false">E99+E100</f>
        <v>769077.301033343</v>
      </c>
      <c r="F101" s="221" t="n">
        <f aca="false">F99+F100</f>
        <v>701554.026239547</v>
      </c>
      <c r="G101" s="221" t="n">
        <f aca="false">G99+G100</f>
        <v>635742.446042675</v>
      </c>
      <c r="H101" s="221" t="n">
        <f aca="false">H99+H100</f>
        <v>571642.560442727</v>
      </c>
      <c r="I101" s="221" t="n">
        <f aca="false">I99+I100</f>
        <v>509254.369439702</v>
      </c>
      <c r="J101" s="221" t="n">
        <f aca="false">J99+J100</f>
        <v>448577.873033601</v>
      </c>
      <c r="K101" s="221" t="n">
        <f aca="false">K99+K100</f>
        <v>389613.071224423</v>
      </c>
      <c r="L101" s="221" t="n">
        <f aca="false">L99+L100</f>
        <v>332359.96401217</v>
      </c>
      <c r="M101" s="221" t="n">
        <f aca="false">M99+M100</f>
        <v>276818.55139684</v>
      </c>
      <c r="N101" s="221" t="n">
        <f aca="false">N99+N100</f>
        <v>257876.833378434</v>
      </c>
      <c r="O101" s="221" t="n">
        <f aca="false">O99+O100</f>
        <v>209247.609956951</v>
      </c>
      <c r="P101" s="221" t="n">
        <f aca="false">P99+P100</f>
        <v>162330.081132393</v>
      </c>
      <c r="Q101" s="221" t="n">
        <f aca="false">Q99+Q100</f>
        <v>117124.246904758</v>
      </c>
      <c r="R101" s="221" t="n">
        <f aca="false">R99+R100</f>
        <v>73630.1072740465</v>
      </c>
      <c r="S101" s="221" t="n">
        <f aca="false">S99+S100</f>
        <v>31847.662240259</v>
      </c>
      <c r="T101" s="221" t="n">
        <f aca="false">T99+T100</f>
        <v>36249.6222673947</v>
      </c>
      <c r="U101" s="221" t="n">
        <f aca="false">U99+U100</f>
        <v>40196.3646045212</v>
      </c>
      <c r="V101" s="221" t="n">
        <f aca="false">V99+V100</f>
        <v>43687.8892516378</v>
      </c>
      <c r="W101" s="221" t="n">
        <f aca="false">W99+W100</f>
        <v>46724.196208745</v>
      </c>
      <c r="X101" s="191"/>
    </row>
    <row r="102" customFormat="false" ht="15.75" hidden="false" customHeight="true" outlineLevel="0" collapsed="false"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</row>
    <row r="103" customFormat="false" ht="15.75" hidden="false" customHeight="true" outlineLevel="0" collapsed="false">
      <c r="B103" s="220"/>
      <c r="C103" s="220"/>
      <c r="D103" s="220"/>
      <c r="E103" s="220"/>
      <c r="F103" s="225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</row>
    <row r="104" customFormat="false" ht="15.75" hidden="false" customHeight="true" outlineLevel="0" collapsed="false">
      <c r="B104" s="236" t="s">
        <v>86</v>
      </c>
      <c r="C104" s="237"/>
      <c r="D104" s="238" t="n">
        <f aca="false">-D94</f>
        <v>-3968510</v>
      </c>
      <c r="E104" s="224" t="n">
        <f aca="false">-E95-E96</f>
        <v>252679.57797312</v>
      </c>
      <c r="F104" s="224" t="n">
        <f aca="false">-F95-F96</f>
        <v>-166485.486867303</v>
      </c>
      <c r="G104" s="224" t="n">
        <f aca="false">-G95-G96</f>
        <v>-151080.235494989</v>
      </c>
      <c r="H104" s="224" t="n">
        <f aca="false">-H95-H96</f>
        <v>-135674.984122675</v>
      </c>
      <c r="I104" s="224" t="n">
        <f aca="false">-I95-I96</f>
        <v>-120269.732750362</v>
      </c>
      <c r="J104" s="224" t="n">
        <f aca="false">-J95-J96</f>
        <v>-104864.481378048</v>
      </c>
      <c r="K104" s="224" t="n">
        <f aca="false">-K95-K96</f>
        <v>-89459.2300057345</v>
      </c>
      <c r="L104" s="224" t="n">
        <f aca="false">-L95-L96</f>
        <v>-74053.9786334211</v>
      </c>
      <c r="M104" s="224" t="n">
        <f aca="false">-M95-M96</f>
        <v>-58648.7272611075</v>
      </c>
      <c r="N104" s="224" t="n">
        <f aca="false">-N95-N96</f>
        <v>-43243.4758887939</v>
      </c>
      <c r="O104" s="224" t="n">
        <f aca="false">-O95-O96</f>
        <v>3560.97548351974</v>
      </c>
      <c r="P104" s="224" t="n">
        <f aca="false">-P95-P96</f>
        <v>18966.2268558333</v>
      </c>
      <c r="Q104" s="224" t="n">
        <f aca="false">-Q95-Q96</f>
        <v>34371.4782281469</v>
      </c>
      <c r="R104" s="224" t="n">
        <f aca="false">-R95-R96</f>
        <v>49776.7296004605</v>
      </c>
      <c r="S104" s="224" t="n">
        <f aca="false">-S95-S96</f>
        <v>65181.9809727741</v>
      </c>
      <c r="T104" s="224" t="n">
        <f aca="false">-T95-T96</f>
        <v>1072714.73234509</v>
      </c>
      <c r="U104" s="224" t="n">
        <f aca="false">-U95-U96</f>
        <v>1068617.773135</v>
      </c>
      <c r="V104" s="224" t="n">
        <f aca="false">-V95-V96</f>
        <v>1064520.81392492</v>
      </c>
      <c r="W104" s="224" t="n">
        <f aca="false">-W95-W96</f>
        <v>1060423.85471483</v>
      </c>
      <c r="X104" s="224" t="n">
        <f aca="false">-X95-X96</f>
        <v>46724.196208745</v>
      </c>
    </row>
    <row r="105" customFormat="false" ht="15.75" hidden="false" customHeight="true" outlineLevel="0" collapsed="false">
      <c r="B105" s="220" t="s">
        <v>87</v>
      </c>
      <c r="C105" s="239" t="n">
        <f aca="false">IRR(D104:X104)</f>
        <v>-0.00232571922973829</v>
      </c>
      <c r="D105" s="225"/>
      <c r="E105" s="225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</row>
    <row r="106" customFormat="false" ht="15.75" hidden="false" customHeight="true" outlineLevel="0" collapsed="false">
      <c r="B106" s="236" t="s">
        <v>88</v>
      </c>
      <c r="C106" s="237"/>
      <c r="D106" s="238" t="n">
        <f aca="false">D85-D94</f>
        <v>-3687754.9133632</v>
      </c>
      <c r="E106" s="224" t="n">
        <f aca="false">E85</f>
        <v>-184983.874297003</v>
      </c>
      <c r="F106" s="224" t="n">
        <f aca="false">F85-F96</f>
        <v>-167866.928327765</v>
      </c>
      <c r="G106" s="224" t="n">
        <f aca="false">G85-G96</f>
        <v>-150749.982358528</v>
      </c>
      <c r="H106" s="224" t="n">
        <f aca="false">H85-H96</f>
        <v>-133633.036389291</v>
      </c>
      <c r="I106" s="224" t="n">
        <f aca="false">I85-I96</f>
        <v>-116516.090420054</v>
      </c>
      <c r="J106" s="224" t="n">
        <f aca="false">J85-J96</f>
        <v>-99399.1444508161</v>
      </c>
      <c r="K106" s="224" t="n">
        <f aca="false">K85-K96</f>
        <v>-82282.198481579</v>
      </c>
      <c r="L106" s="224" t="n">
        <f aca="false">L85-L96</f>
        <v>-65165.2525123417</v>
      </c>
      <c r="M106" s="224" t="n">
        <f aca="false">M85-M96</f>
        <v>-48048.3065431043</v>
      </c>
      <c r="N106" s="224" t="n">
        <f aca="false">N85-N96</f>
        <v>3956.63942613305</v>
      </c>
      <c r="O106" s="224" t="n">
        <f aca="false">O85-O96</f>
        <v>21073.5853953703</v>
      </c>
      <c r="P106" s="224" t="n">
        <f aca="false">P85-P96</f>
        <v>38190.5313646077</v>
      </c>
      <c r="Q106" s="224" t="n">
        <f aca="false">Q85-Q96</f>
        <v>55307.477333845</v>
      </c>
      <c r="R106" s="224" t="n">
        <f aca="false">R85-R96</f>
        <v>72424.4233030823</v>
      </c>
      <c r="S106" s="224" t="n">
        <f aca="false">S85-S96</f>
        <v>89541.3692723197</v>
      </c>
      <c r="T106" s="224" t="n">
        <f aca="false">T85-T96</f>
        <v>1077116.69237222</v>
      </c>
      <c r="U106" s="224" t="n">
        <f aca="false">U85-U96</f>
        <v>1072564.51547213</v>
      </c>
      <c r="V106" s="224" t="n">
        <f aca="false">V85-V96</f>
        <v>1068012.33857203</v>
      </c>
      <c r="W106" s="224" t="n">
        <f aca="false">W85-W96</f>
        <v>1063460.16167194</v>
      </c>
      <c r="X106" s="229"/>
    </row>
    <row r="107" customFormat="false" ht="15.75" hidden="false" customHeight="true" outlineLevel="0" collapsed="false">
      <c r="B107" s="236" t="s">
        <v>89</v>
      </c>
      <c r="C107" s="239" t="n">
        <f aca="false">IRR(D106:W106)</f>
        <v>-0.00229512330382164</v>
      </c>
      <c r="D107" s="225"/>
      <c r="E107" s="225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</row>
    <row r="108" customFormat="false" ht="15.75" hidden="false" customHeight="true" outlineLevel="0" collapsed="false"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</row>
    <row r="109" customFormat="false" ht="15.75" hidden="false" customHeight="true" outlineLevel="0" collapsed="false">
      <c r="B109" s="220" t="s">
        <v>90</v>
      </c>
      <c r="C109" s="221" t="n">
        <v>0</v>
      </c>
      <c r="D109" s="221" t="n">
        <f aca="false">D92</f>
        <v>15874040</v>
      </c>
      <c r="E109" s="221" t="n">
        <f aca="false">D109+E93</f>
        <v>14815770.6666667</v>
      </c>
      <c r="F109" s="221" t="n">
        <f aca="false">E109+F93</f>
        <v>13757501.3333333</v>
      </c>
      <c r="G109" s="221" t="n">
        <f aca="false">F109+G93</f>
        <v>12699232</v>
      </c>
      <c r="H109" s="221" t="n">
        <f aca="false">G109+H93</f>
        <v>11640962.6666667</v>
      </c>
      <c r="I109" s="221" t="n">
        <f aca="false">H109+I93</f>
        <v>10582693.3333333</v>
      </c>
      <c r="J109" s="221" t="n">
        <f aca="false">I109+J93</f>
        <v>9524424.00000001</v>
      </c>
      <c r="K109" s="221" t="n">
        <f aca="false">J109+K93</f>
        <v>8466154.66666668</v>
      </c>
      <c r="L109" s="221" t="n">
        <f aca="false">K109+L93</f>
        <v>7407885.33333334</v>
      </c>
      <c r="M109" s="221" t="n">
        <f aca="false">L109+M93</f>
        <v>6349616.00000001</v>
      </c>
      <c r="N109" s="221" t="n">
        <f aca="false">M109+N93</f>
        <v>5291346.66666668</v>
      </c>
      <c r="O109" s="221" t="n">
        <f aca="false">N109+O93</f>
        <v>4233077.33333334</v>
      </c>
      <c r="P109" s="221" t="n">
        <f aca="false">O109+P93</f>
        <v>3174808.00000001</v>
      </c>
      <c r="Q109" s="221" t="n">
        <f aca="false">P109+Q93</f>
        <v>2116538.66666668</v>
      </c>
      <c r="R109" s="221" t="n">
        <f aca="false">Q109+R93</f>
        <v>1058269.33333334</v>
      </c>
      <c r="S109" s="221" t="n">
        <f aca="false">R109+S93</f>
        <v>1.11758708953857E-008</v>
      </c>
      <c r="T109" s="221" t="n">
        <f aca="false">S109+T93</f>
        <v>1.11758708953857E-008</v>
      </c>
      <c r="U109" s="221" t="n">
        <f aca="false">T109+U93</f>
        <v>1.11758708953857E-008</v>
      </c>
      <c r="V109" s="221" t="n">
        <f aca="false">U109+V93</f>
        <v>1.11758708953857E-008</v>
      </c>
      <c r="W109" s="221" t="n">
        <f aca="false">V109+W93</f>
        <v>1.11758708953857E-008</v>
      </c>
      <c r="X109" s="2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2" t="s">
        <v>0</v>
      </c>
      <c r="C1" s="124"/>
      <c r="D1" s="124"/>
      <c r="E1" s="125"/>
      <c r="F1" s="126" t="s">
        <v>108</v>
      </c>
      <c r="P1" s="127" t="n">
        <f aca="false">1-D11</f>
        <v>0.99</v>
      </c>
      <c r="Q1" s="127" t="n">
        <f aca="false">P1-$D12</f>
        <v>0.986</v>
      </c>
      <c r="R1" s="127" t="n">
        <f aca="false">Q1-$D12</f>
        <v>0.982</v>
      </c>
      <c r="S1" s="127" t="n">
        <f aca="false">R1-$D12</f>
        <v>0.978</v>
      </c>
      <c r="T1" s="127" t="n">
        <f aca="false">S1-$D12</f>
        <v>0.974</v>
      </c>
      <c r="U1" s="127" t="n">
        <f aca="false">T1-$D12</f>
        <v>0.97</v>
      </c>
      <c r="V1" s="127" t="n">
        <f aca="false">U1-$D12</f>
        <v>0.966</v>
      </c>
      <c r="W1" s="127" t="n">
        <f aca="false">V1-$D12</f>
        <v>0.962</v>
      </c>
      <c r="X1" s="127" t="n">
        <f aca="false">W1-$D12</f>
        <v>0.958</v>
      </c>
      <c r="Y1" s="127" t="n">
        <f aca="false">X1-$D12</f>
        <v>0.954</v>
      </c>
      <c r="Z1" s="127" t="n">
        <f aca="false">Y1-$D12</f>
        <v>0.95</v>
      </c>
      <c r="AA1" s="127" t="n">
        <f aca="false">Z1-$D12</f>
        <v>0.946</v>
      </c>
      <c r="AB1" s="127" t="n">
        <f aca="false">AA1-$D12</f>
        <v>0.942</v>
      </c>
      <c r="AC1" s="127" t="n">
        <f aca="false">AB1-$D12</f>
        <v>0.938</v>
      </c>
      <c r="AD1" s="127" t="n">
        <f aca="false">AC1-$D12</f>
        <v>0.934</v>
      </c>
      <c r="AE1" s="127" t="n">
        <f aca="false">AD1-$D12</f>
        <v>0.93</v>
      </c>
      <c r="AF1" s="127" t="n">
        <f aca="false">AE1-$D12</f>
        <v>0.926</v>
      </c>
      <c r="AG1" s="127" t="n">
        <f aca="false">AF1-$D12</f>
        <v>0.922</v>
      </c>
      <c r="AH1" s="127" t="n">
        <f aca="false">AG1-$D12</f>
        <v>0.918</v>
      </c>
      <c r="AI1" s="127" t="n">
        <f aca="false">AH1-$D12</f>
        <v>0.914</v>
      </c>
    </row>
    <row r="2" customFormat="false" ht="21.75" hidden="false" customHeight="true" outlineLevel="0" collapsed="false">
      <c r="B2" s="5" t="s">
        <v>1</v>
      </c>
      <c r="C2" s="128" t="s">
        <v>109</v>
      </c>
      <c r="D2" s="6" t="s">
        <v>3</v>
      </c>
      <c r="E2" s="129" t="s">
        <v>3</v>
      </c>
      <c r="F2" s="130" t="s">
        <v>110</v>
      </c>
    </row>
    <row r="3" customFormat="false" ht="21.75" hidden="false" customHeight="true" outlineLevel="0" collapsed="false">
      <c r="B3" s="32" t="s">
        <v>4</v>
      </c>
      <c r="C3" s="131" t="n">
        <v>20</v>
      </c>
      <c r="D3" s="9" t="s">
        <v>3</v>
      </c>
      <c r="E3" s="132" t="s">
        <v>3</v>
      </c>
      <c r="F3" s="133" t="s">
        <v>111</v>
      </c>
    </row>
    <row r="4" customFormat="false" ht="21.75" hidden="false" customHeight="true" outlineLevel="0" collapsed="false">
      <c r="B4" s="32" t="s">
        <v>112</v>
      </c>
      <c r="C4" s="131" t="n">
        <v>436.1</v>
      </c>
      <c r="D4" s="9" t="s">
        <v>3</v>
      </c>
      <c r="E4" s="132" t="s">
        <v>3</v>
      </c>
      <c r="F4" s="133" t="s">
        <v>113</v>
      </c>
      <c r="M4" s="0" t="s">
        <v>168</v>
      </c>
    </row>
    <row r="5" customFormat="false" ht="22.5" hidden="false" customHeight="true" outlineLevel="0" collapsed="false">
      <c r="B5" s="10" t="s">
        <v>6</v>
      </c>
      <c r="C5" s="131" t="n">
        <v>2023</v>
      </c>
      <c r="D5" s="10" t="s">
        <v>7</v>
      </c>
      <c r="E5" s="134" t="n">
        <v>2042</v>
      </c>
      <c r="F5" s="133" t="s">
        <v>115</v>
      </c>
      <c r="M5" s="0" t="s">
        <v>169</v>
      </c>
    </row>
    <row r="6" customFormat="false" ht="20.25" hidden="false" customHeight="true" outlineLevel="0" collapsed="false">
      <c r="B6" s="11"/>
      <c r="C6" s="11"/>
      <c r="D6" s="11"/>
      <c r="E6" s="11"/>
      <c r="M6" s="0" t="s">
        <v>170</v>
      </c>
    </row>
    <row r="7" customFormat="false" ht="22.5" hidden="false" customHeight="true" outlineLevel="0" collapsed="false">
      <c r="B7" s="12" t="s">
        <v>8</v>
      </c>
      <c r="C7" s="124"/>
      <c r="D7" s="124"/>
      <c r="E7" s="125"/>
      <c r="M7" s="0" t="s">
        <v>171</v>
      </c>
    </row>
    <row r="8" customFormat="false" ht="22.5" hidden="false" customHeight="true" outlineLevel="0" collapsed="false">
      <c r="B8" s="13" t="s">
        <v>9</v>
      </c>
      <c r="E8" s="135"/>
      <c r="M8" s="0" t="s">
        <v>172</v>
      </c>
    </row>
    <row r="9" customFormat="false" ht="22.5" hidden="false" customHeight="true" outlineLevel="0" collapsed="false">
      <c r="B9" s="14" t="s">
        <v>10</v>
      </c>
      <c r="C9" s="15" t="s">
        <v>11</v>
      </c>
      <c r="D9" s="15" t="s">
        <v>12</v>
      </c>
      <c r="E9" s="136" t="s">
        <v>13</v>
      </c>
      <c r="F9" s="126" t="s">
        <v>108</v>
      </c>
      <c r="M9" s="0" t="s">
        <v>120</v>
      </c>
    </row>
    <row r="10" customFormat="false" ht="30" hidden="false" customHeight="true" outlineLevel="0" collapsed="false">
      <c r="B10" s="17" t="s">
        <v>14</v>
      </c>
      <c r="C10" s="18" t="s">
        <v>121</v>
      </c>
      <c r="D10" s="137" t="n">
        <v>547002</v>
      </c>
      <c r="E10" s="138" t="n">
        <v>20</v>
      </c>
      <c r="F10" s="133" t="s">
        <v>122</v>
      </c>
      <c r="M10" s="0" t="s">
        <v>101</v>
      </c>
    </row>
    <row r="11" customFormat="false" ht="30" hidden="false" customHeight="true" outlineLevel="0" collapsed="false">
      <c r="B11" s="139"/>
      <c r="C11" s="10" t="s">
        <v>16</v>
      </c>
      <c r="D11" s="140" t="n">
        <v>0.01</v>
      </c>
      <c r="E11" s="141"/>
      <c r="F11" s="133" t="s">
        <v>124</v>
      </c>
    </row>
    <row r="12" customFormat="false" ht="30" hidden="false" customHeight="true" outlineLevel="0" collapsed="false">
      <c r="B12" s="139"/>
      <c r="C12" s="10" t="s">
        <v>17</v>
      </c>
      <c r="D12" s="142" t="n">
        <v>0.004</v>
      </c>
      <c r="E12" s="141"/>
      <c r="F12" s="133" t="s">
        <v>125</v>
      </c>
    </row>
    <row r="13" customFormat="false" ht="22.5" hidden="false" customHeight="true" outlineLevel="0" collapsed="false">
      <c r="B13" s="139"/>
      <c r="C13" s="21" t="s">
        <v>126</v>
      </c>
      <c r="D13" s="143" t="n">
        <v>3.7152</v>
      </c>
      <c r="E13" s="141"/>
      <c r="F13" s="133" t="s">
        <v>127</v>
      </c>
    </row>
    <row r="14" customFormat="false" ht="22.5" hidden="false" customHeight="true" outlineLevel="0" collapsed="false">
      <c r="B14" s="22" t="s">
        <v>19</v>
      </c>
      <c r="C14" s="124"/>
      <c r="D14" s="124"/>
      <c r="E14" s="125"/>
    </row>
    <row r="15" customFormat="false" ht="22.5" hidden="false" customHeight="true" outlineLevel="0" collapsed="false">
      <c r="B15" s="14" t="s">
        <v>10</v>
      </c>
      <c r="C15" s="15" t="s">
        <v>11</v>
      </c>
      <c r="D15" s="15" t="s">
        <v>12</v>
      </c>
      <c r="E15" s="136" t="s">
        <v>20</v>
      </c>
      <c r="F15" s="126" t="s">
        <v>108</v>
      </c>
    </row>
    <row r="16" customFormat="false" ht="21.75" hidden="false" customHeight="true" outlineLevel="0" collapsed="false">
      <c r="B16" s="18" t="s">
        <v>128</v>
      </c>
      <c r="C16" s="18" t="s">
        <v>129</v>
      </c>
      <c r="D16" s="144" t="n">
        <v>32000</v>
      </c>
      <c r="E16" s="129" t="n">
        <v>20</v>
      </c>
      <c r="F16" s="133" t="s">
        <v>130</v>
      </c>
    </row>
    <row r="17" customFormat="false" ht="21.75" hidden="false" customHeight="true" outlineLevel="0" collapsed="false">
      <c r="B17" s="139"/>
      <c r="C17" s="10" t="s">
        <v>131</v>
      </c>
      <c r="D17" s="145" t="n">
        <v>0.2</v>
      </c>
      <c r="E17" s="141"/>
      <c r="F17" s="133" t="s">
        <v>132</v>
      </c>
    </row>
    <row r="18" customFormat="false" ht="21.75" hidden="false" customHeight="true" outlineLevel="0" collapsed="false">
      <c r="B18" s="146"/>
      <c r="C18" s="10" t="s">
        <v>24</v>
      </c>
      <c r="D18" s="147" t="n">
        <v>3000</v>
      </c>
      <c r="E18" s="148"/>
      <c r="F18" s="133" t="s">
        <v>133</v>
      </c>
    </row>
    <row r="19" customFormat="false" ht="54" hidden="false" customHeight="true" outlineLevel="0" collapsed="false">
      <c r="B19" s="10" t="s">
        <v>25</v>
      </c>
      <c r="C19" s="149" t="s">
        <v>134</v>
      </c>
      <c r="D19" s="145" t="n">
        <v>2</v>
      </c>
      <c r="E19" s="129" t="n">
        <v>20</v>
      </c>
      <c r="F19" s="133" t="s">
        <v>135</v>
      </c>
    </row>
    <row r="20" customFormat="false" ht="20.25" hidden="false" customHeight="true" outlineLevel="0" collapsed="false">
      <c r="B20" s="139"/>
      <c r="C20" s="26" t="s">
        <v>136</v>
      </c>
      <c r="D20" s="147" t="n">
        <v>0</v>
      </c>
      <c r="E20" s="129" t="n">
        <v>20</v>
      </c>
      <c r="F20" s="133" t="s">
        <v>137</v>
      </c>
    </row>
    <row r="21" customFormat="false" ht="30" hidden="false" customHeight="true" outlineLevel="0" collapsed="false">
      <c r="B21" s="146"/>
      <c r="C21" s="10" t="s">
        <v>138</v>
      </c>
      <c r="D21" s="145" t="n">
        <v>0.3</v>
      </c>
      <c r="E21" s="132" t="n">
        <v>20</v>
      </c>
      <c r="F21" s="133" t="s">
        <v>139</v>
      </c>
    </row>
    <row r="22" customFormat="false" ht="30" hidden="false" customHeight="true" outlineLevel="0" collapsed="false">
      <c r="B22" s="10" t="s">
        <v>29</v>
      </c>
      <c r="C22" s="10" t="s">
        <v>140</v>
      </c>
      <c r="D22" s="150" t="n">
        <v>400</v>
      </c>
      <c r="E22" s="132" t="n">
        <v>20</v>
      </c>
      <c r="F22" s="133" t="s">
        <v>141</v>
      </c>
    </row>
    <row r="23" customFormat="false" ht="30" hidden="false" customHeight="true" outlineLevel="0" collapsed="false">
      <c r="B23" s="10" t="s">
        <v>31</v>
      </c>
      <c r="C23" s="10" t="s">
        <v>32</v>
      </c>
      <c r="D23" s="145" t="n">
        <v>0.003</v>
      </c>
      <c r="E23" s="132" t="n">
        <v>20</v>
      </c>
      <c r="F23" s="133" t="s">
        <v>142</v>
      </c>
    </row>
    <row r="24" customFormat="false" ht="30" hidden="false" customHeight="true" outlineLevel="0" collapsed="false">
      <c r="B24" s="10" t="s">
        <v>33</v>
      </c>
      <c r="C24" s="10" t="s">
        <v>143</v>
      </c>
      <c r="D24" s="150" t="n">
        <v>1000</v>
      </c>
      <c r="E24" s="151" t="n">
        <v>10</v>
      </c>
      <c r="F24" s="133" t="s">
        <v>144</v>
      </c>
    </row>
    <row r="25" customFormat="false" ht="30" hidden="false" customHeight="true" outlineLevel="0" collapsed="false">
      <c r="B25" s="10" t="s">
        <v>35</v>
      </c>
      <c r="C25" s="10" t="s">
        <v>36</v>
      </c>
      <c r="D25" s="152" t="n">
        <v>0.025595</v>
      </c>
      <c r="E25" s="132" t="n">
        <v>20</v>
      </c>
      <c r="F25" s="133" t="s">
        <v>145</v>
      </c>
    </row>
    <row r="26" customFormat="false" ht="30" hidden="false" customHeight="true" outlineLevel="0" collapsed="false">
      <c r="B26" s="10" t="s">
        <v>37</v>
      </c>
      <c r="C26" s="10" t="s">
        <v>38</v>
      </c>
      <c r="D26" s="145" t="n">
        <v>0.2</v>
      </c>
      <c r="E26" s="132" t="n">
        <v>20</v>
      </c>
      <c r="F26" s="133" t="s">
        <v>146</v>
      </c>
    </row>
    <row r="27" customFormat="false" ht="20.25" hidden="false" customHeight="true" outlineLevel="0" collapsed="false">
      <c r="B27" s="11"/>
      <c r="C27" s="11"/>
      <c r="D27" s="11"/>
      <c r="E27" s="11"/>
    </row>
    <row r="28" customFormat="false" ht="20.25" hidden="false" customHeight="true" outlineLevel="0" collapsed="false">
      <c r="B28" s="11"/>
      <c r="C28" s="11"/>
      <c r="D28" s="11"/>
      <c r="E28" s="11"/>
    </row>
    <row r="29" customFormat="false" ht="22.5" hidden="false" customHeight="true" outlineLevel="0" collapsed="false">
      <c r="B29" s="12" t="s">
        <v>39</v>
      </c>
      <c r="C29" s="124"/>
      <c r="D29" s="125"/>
      <c r="E29" s="11"/>
    </row>
    <row r="30" customFormat="false" ht="22.5" hidden="false" customHeight="true" outlineLevel="0" collapsed="false">
      <c r="B30" s="14" t="s">
        <v>40</v>
      </c>
      <c r="C30" s="29" t="s">
        <v>11</v>
      </c>
      <c r="D30" s="30" t="s">
        <v>12</v>
      </c>
      <c r="E30" s="11"/>
      <c r="F30" s="126" t="s">
        <v>108</v>
      </c>
    </row>
    <row r="31" customFormat="false" ht="30" hidden="false" customHeight="true" outlineLevel="0" collapsed="false">
      <c r="B31" s="18" t="s">
        <v>41</v>
      </c>
      <c r="C31" s="5" t="s">
        <v>42</v>
      </c>
      <c r="D31" s="153" t="n">
        <v>0.8</v>
      </c>
      <c r="E31" s="11"/>
      <c r="F31" s="133" t="s">
        <v>147</v>
      </c>
    </row>
    <row r="32" customFormat="false" ht="18.75" hidden="false" customHeight="true" outlineLevel="0" collapsed="false">
      <c r="B32" s="18" t="s">
        <v>43</v>
      </c>
      <c r="C32" s="5" t="s">
        <v>44</v>
      </c>
      <c r="D32" s="153" t="n">
        <v>15</v>
      </c>
      <c r="E32" s="11"/>
      <c r="F32" s="133" t="s">
        <v>148</v>
      </c>
    </row>
    <row r="33" customFormat="false" ht="18.75" hidden="false" customHeight="true" outlineLevel="0" collapsed="false">
      <c r="B33" s="10" t="s">
        <v>45</v>
      </c>
      <c r="C33" s="32" t="s">
        <v>46</v>
      </c>
      <c r="D33" s="145" t="n">
        <v>0.9</v>
      </c>
      <c r="E33" s="11"/>
      <c r="F33" s="133" t="s">
        <v>149</v>
      </c>
    </row>
    <row r="34" customFormat="false" ht="30" hidden="false" customHeight="true" outlineLevel="0" collapsed="false">
      <c r="B34" s="10" t="s">
        <v>47</v>
      </c>
      <c r="C34" s="32" t="s">
        <v>44</v>
      </c>
      <c r="D34" s="145" t="n">
        <v>4</v>
      </c>
      <c r="E34" s="11"/>
      <c r="F34" s="133" t="s">
        <v>150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97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54" t="n">
        <v>0</v>
      </c>
      <c r="C38" s="155"/>
      <c r="D38" s="156"/>
      <c r="E38" s="156"/>
      <c r="F38" s="157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9"/>
      <c r="U38" s="158"/>
      <c r="V38" s="158"/>
      <c r="W38" s="158"/>
      <c r="X38" s="160"/>
    </row>
    <row r="39" customFormat="false" ht="18.75" hidden="false" customHeight="true" outlineLevel="0" collapsed="false">
      <c r="B39" s="161" t="s">
        <v>51</v>
      </c>
      <c r="C39" s="162" t="n">
        <v>0</v>
      </c>
      <c r="D39" s="163" t="n">
        <v>1</v>
      </c>
      <c r="E39" s="163" t="n">
        <v>2</v>
      </c>
      <c r="F39" s="163" t="n">
        <v>3</v>
      </c>
      <c r="G39" s="163" t="n">
        <v>4</v>
      </c>
      <c r="H39" s="163" t="n">
        <v>5</v>
      </c>
      <c r="I39" s="163" t="n">
        <v>6</v>
      </c>
      <c r="J39" s="163" t="n">
        <v>7</v>
      </c>
      <c r="K39" s="163" t="n">
        <v>8</v>
      </c>
      <c r="L39" s="163" t="n">
        <v>9</v>
      </c>
      <c r="M39" s="163" t="n">
        <v>10</v>
      </c>
      <c r="N39" s="163" t="n">
        <v>11</v>
      </c>
      <c r="O39" s="163" t="n">
        <v>12</v>
      </c>
      <c r="P39" s="163" t="n">
        <v>13</v>
      </c>
      <c r="Q39" s="163" t="n">
        <v>14</v>
      </c>
      <c r="R39" s="163" t="n">
        <v>15</v>
      </c>
      <c r="S39" s="163" t="n">
        <v>16</v>
      </c>
      <c r="T39" s="164" t="n">
        <v>17</v>
      </c>
      <c r="U39" s="163" t="n">
        <v>18</v>
      </c>
      <c r="V39" s="163" t="n">
        <v>19</v>
      </c>
      <c r="W39" s="163" t="n">
        <v>20</v>
      </c>
      <c r="X39" s="47"/>
    </row>
    <row r="40" customFormat="false" ht="18.75" hidden="false" customHeight="true" outlineLevel="0" collapsed="false">
      <c r="B40" s="165" t="s">
        <v>52</v>
      </c>
      <c r="C40" s="166" t="n">
        <v>0</v>
      </c>
      <c r="D40" s="167" t="n">
        <f aca="false">$D$10*P1</f>
        <v>541531.98</v>
      </c>
      <c r="E40" s="167" t="n">
        <f aca="false">$D$10*Q1</f>
        <v>539343.972</v>
      </c>
      <c r="F40" s="167" t="n">
        <f aca="false">$D$10*R1</f>
        <v>537155.964</v>
      </c>
      <c r="G40" s="167" t="n">
        <f aca="false">$D$10*S1</f>
        <v>534967.956</v>
      </c>
      <c r="H40" s="167" t="n">
        <f aca="false">$D$10*T1</f>
        <v>532779.948</v>
      </c>
      <c r="I40" s="167" t="n">
        <f aca="false">$D$10*U1</f>
        <v>530591.94</v>
      </c>
      <c r="J40" s="167" t="n">
        <f aca="false">$D$10*V1</f>
        <v>528403.932</v>
      </c>
      <c r="K40" s="167" t="n">
        <f aca="false">$D$10*W1</f>
        <v>526215.924</v>
      </c>
      <c r="L40" s="167" t="n">
        <f aca="false">$D$10*X1</f>
        <v>524027.916</v>
      </c>
      <c r="M40" s="167" t="n">
        <f aca="false">$D$10*Y1</f>
        <v>521839.908</v>
      </c>
      <c r="N40" s="167" t="n">
        <f aca="false">$D$10*Z1</f>
        <v>519651.9</v>
      </c>
      <c r="O40" s="167" t="n">
        <f aca="false">$D$10*AA1</f>
        <v>517463.892</v>
      </c>
      <c r="P40" s="167" t="n">
        <f aca="false">$D$10*AB1</f>
        <v>515275.884</v>
      </c>
      <c r="Q40" s="167" t="n">
        <f aca="false">$D$10*AC1</f>
        <v>513087.876</v>
      </c>
      <c r="R40" s="167" t="n">
        <f aca="false">$D$10*AD1</f>
        <v>510899.868</v>
      </c>
      <c r="S40" s="167" t="n">
        <f aca="false">$D$10*AE1</f>
        <v>508711.86</v>
      </c>
      <c r="T40" s="167" t="n">
        <f aca="false">$D$10*AF1</f>
        <v>506523.852</v>
      </c>
      <c r="U40" s="167" t="n">
        <f aca="false">$D$10*AG1</f>
        <v>504335.844</v>
      </c>
      <c r="V40" s="167" t="n">
        <f aca="false">$D$10*AH1</f>
        <v>502147.836</v>
      </c>
      <c r="W40" s="167" t="n">
        <f aca="false">$D$10*AI1</f>
        <v>499959.828</v>
      </c>
      <c r="X40" s="168"/>
    </row>
    <row r="41" customFormat="false" ht="18.75" hidden="false" customHeight="true" outlineLevel="0" collapsed="false">
      <c r="B41" s="169" t="s">
        <v>53</v>
      </c>
      <c r="C41" s="170" t="s">
        <v>3</v>
      </c>
      <c r="D41" s="171" t="n">
        <f aca="false">D40*$D$13</f>
        <v>2011899.612096</v>
      </c>
      <c r="E41" s="171" t="n">
        <f aca="false">E40*$D$13</f>
        <v>2003770.7247744</v>
      </c>
      <c r="F41" s="171" t="n">
        <f aca="false">F40*$D$13</f>
        <v>1995641.8374528</v>
      </c>
      <c r="G41" s="171" t="n">
        <f aca="false">G40*$D$13</f>
        <v>1987512.9501312</v>
      </c>
      <c r="H41" s="171" t="n">
        <f aca="false">H40*$D$13</f>
        <v>1979384.0628096</v>
      </c>
      <c r="I41" s="171" t="n">
        <f aca="false">I40*$D$13</f>
        <v>1971255.175488</v>
      </c>
      <c r="J41" s="171" t="n">
        <f aca="false">J40*$D$13</f>
        <v>1963126.2881664</v>
      </c>
      <c r="K41" s="171" t="n">
        <f aca="false">K40*$D$13</f>
        <v>1954997.4008448</v>
      </c>
      <c r="L41" s="171" t="n">
        <f aca="false">L40*$D$13</f>
        <v>1946868.5135232</v>
      </c>
      <c r="M41" s="171" t="n">
        <f aca="false">M40*$D$13</f>
        <v>1938739.6262016</v>
      </c>
      <c r="N41" s="171" t="n">
        <f aca="false">N40*$D$13</f>
        <v>1930610.73888</v>
      </c>
      <c r="O41" s="171" t="n">
        <f aca="false">O40*$D$13</f>
        <v>1922481.8515584</v>
      </c>
      <c r="P41" s="171" t="n">
        <f aca="false">P40*$D$13</f>
        <v>1914352.9642368</v>
      </c>
      <c r="Q41" s="171" t="n">
        <f aca="false">Q40*$D$13</f>
        <v>1906224.0769152</v>
      </c>
      <c r="R41" s="171" t="n">
        <f aca="false">R40*$D$13</f>
        <v>1898095.1895936</v>
      </c>
      <c r="S41" s="171" t="n">
        <f aca="false">S40*$D$13</f>
        <v>1889966.302272</v>
      </c>
      <c r="T41" s="171" t="n">
        <f aca="false">T40*$D$13</f>
        <v>1881837.4149504</v>
      </c>
      <c r="U41" s="171" t="n">
        <f aca="false">U40*$D$13</f>
        <v>1873708.5276288</v>
      </c>
      <c r="V41" s="171" t="n">
        <f aca="false">V40*$D$13</f>
        <v>1865579.6403072</v>
      </c>
      <c r="W41" s="171" t="n">
        <f aca="false">W40*$D$13</f>
        <v>1857450.7529856</v>
      </c>
      <c r="X41" s="172"/>
    </row>
    <row r="42" customFormat="false" ht="18.75" hidden="false" customHeight="true" outlineLevel="0" collapsed="false">
      <c r="B42" s="173" t="s">
        <v>54</v>
      </c>
      <c r="C42" s="174" t="s">
        <v>3</v>
      </c>
      <c r="D42" s="175"/>
      <c r="E42" s="175"/>
      <c r="F42" s="175"/>
      <c r="G42" s="176" t="s">
        <v>3</v>
      </c>
      <c r="H42" s="176" t="s">
        <v>3</v>
      </c>
      <c r="I42" s="176" t="s">
        <v>3</v>
      </c>
      <c r="J42" s="176" t="s">
        <v>3</v>
      </c>
      <c r="K42" s="176" t="s">
        <v>3</v>
      </c>
      <c r="L42" s="176" t="s">
        <v>3</v>
      </c>
      <c r="M42" s="176" t="s">
        <v>3</v>
      </c>
      <c r="N42" s="176" t="s">
        <v>3</v>
      </c>
      <c r="O42" s="176" t="s">
        <v>3</v>
      </c>
      <c r="P42" s="176" t="s">
        <v>3</v>
      </c>
      <c r="Q42" s="176" t="s">
        <v>3</v>
      </c>
      <c r="R42" s="176" t="s">
        <v>3</v>
      </c>
      <c r="S42" s="176" t="s">
        <v>3</v>
      </c>
      <c r="T42" s="176" t="s">
        <v>3</v>
      </c>
      <c r="U42" s="176" t="s">
        <v>3</v>
      </c>
      <c r="V42" s="176" t="s">
        <v>3</v>
      </c>
      <c r="W42" s="176" t="s">
        <v>3</v>
      </c>
      <c r="X42" s="177"/>
    </row>
    <row r="43" customFormat="false" ht="18.75" hidden="false" customHeight="true" outlineLevel="0" collapsed="false">
      <c r="B43" s="178" t="s">
        <v>55</v>
      </c>
      <c r="C43" s="179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customFormat="false" ht="18.75" hidden="false" customHeight="true" outlineLevel="0" collapsed="false">
      <c r="B44" s="182" t="s">
        <v>56</v>
      </c>
      <c r="C44" s="183" t="n">
        <f aca="false">-(D16/(1-D17)+D18)*C4</f>
        <v>-18752300</v>
      </c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</row>
    <row r="45" customFormat="false" ht="18.75" hidden="false" customHeight="true" outlineLevel="0" collapsed="false">
      <c r="B45" s="182" t="s">
        <v>57</v>
      </c>
      <c r="C45" s="174" t="s">
        <v>3</v>
      </c>
      <c r="D45" s="0" t="n">
        <v>-603569.8836288</v>
      </c>
      <c r="E45" s="184" t="n">
        <v>-601131.21743232</v>
      </c>
      <c r="F45" s="184" t="n">
        <v>-598692.55123584</v>
      </c>
      <c r="G45" s="184" t="n">
        <v>-596253.88503936</v>
      </c>
      <c r="H45" s="184" t="n">
        <v>-593815.21884288</v>
      </c>
      <c r="I45" s="184" t="n">
        <v>-591376.5526464</v>
      </c>
      <c r="J45" s="184" t="n">
        <v>-588937.88644992</v>
      </c>
      <c r="K45" s="184" t="n">
        <v>-586499.22025344</v>
      </c>
      <c r="L45" s="184" t="n">
        <v>-584060.55405696</v>
      </c>
      <c r="M45" s="184" t="n">
        <v>-581621.88786048</v>
      </c>
      <c r="N45" s="184" t="n">
        <v>-579183.221664</v>
      </c>
      <c r="O45" s="184" t="n">
        <v>-576744.55546752</v>
      </c>
      <c r="P45" s="184" t="n">
        <v>-574305.88927104</v>
      </c>
      <c r="Q45" s="184" t="n">
        <v>-571867.22307456</v>
      </c>
      <c r="R45" s="184" t="n">
        <v>-569428.55687808</v>
      </c>
      <c r="S45" s="184" t="n">
        <v>-566989.8906816</v>
      </c>
      <c r="T45" s="184" t="n">
        <v>-564551.22448512</v>
      </c>
      <c r="U45" s="184" t="n">
        <v>-562112.55828864</v>
      </c>
      <c r="V45" s="184" t="n">
        <v>-559673.89209216</v>
      </c>
      <c r="W45" s="184" t="n">
        <v>-557235.22589568</v>
      </c>
      <c r="X45" s="184"/>
    </row>
    <row r="46" customFormat="false" ht="18.75" hidden="false" customHeight="true" outlineLevel="0" collapsed="false">
      <c r="B46" s="182" t="s">
        <v>58</v>
      </c>
      <c r="C46" s="17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</row>
    <row r="47" customFormat="false" ht="18.75" hidden="false" customHeight="true" outlineLevel="0" collapsed="false">
      <c r="B47" s="182" t="s">
        <v>59</v>
      </c>
      <c r="C47" s="174" t="s">
        <v>3</v>
      </c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</row>
    <row r="48" customFormat="false" ht="18.75" hidden="false" customHeight="true" outlineLevel="0" collapsed="false">
      <c r="B48" s="182" t="s">
        <v>60</v>
      </c>
      <c r="C48" s="174" t="s">
        <v>3</v>
      </c>
      <c r="D48" s="184" t="n">
        <v>-174440</v>
      </c>
      <c r="E48" s="184" t="n">
        <v>-174440</v>
      </c>
      <c r="F48" s="184" t="n">
        <v>-174440</v>
      </c>
      <c r="G48" s="184" t="n">
        <v>-174440</v>
      </c>
      <c r="H48" s="184" t="n">
        <v>-174440</v>
      </c>
      <c r="I48" s="184" t="n">
        <v>-174440</v>
      </c>
      <c r="J48" s="184" t="n">
        <v>-174440</v>
      </c>
      <c r="K48" s="184" t="n">
        <v>-174440</v>
      </c>
      <c r="L48" s="184" t="n">
        <v>-174440</v>
      </c>
      <c r="M48" s="184" t="n">
        <v>-174440</v>
      </c>
      <c r="N48" s="184" t="n">
        <v>-174440</v>
      </c>
      <c r="O48" s="184" t="n">
        <v>-174440</v>
      </c>
      <c r="P48" s="184" t="n">
        <v>-174440</v>
      </c>
      <c r="Q48" s="184" t="n">
        <v>-174440</v>
      </c>
      <c r="R48" s="184" t="n">
        <v>-174440</v>
      </c>
      <c r="S48" s="184" t="n">
        <v>-174440</v>
      </c>
      <c r="T48" s="184" t="n">
        <v>-174440</v>
      </c>
      <c r="U48" s="184" t="n">
        <v>-174440</v>
      </c>
      <c r="V48" s="184" t="n">
        <v>-174440</v>
      </c>
      <c r="W48" s="184" t="n">
        <v>-174440</v>
      </c>
      <c r="X48" s="184"/>
    </row>
    <row r="49" customFormat="false" ht="18.75" hidden="false" customHeight="true" outlineLevel="0" collapsed="false">
      <c r="B49" s="182" t="s">
        <v>61</v>
      </c>
      <c r="C49" s="174" t="s">
        <v>3</v>
      </c>
      <c r="D49" s="184" t="n">
        <v>-41865.6</v>
      </c>
      <c r="E49" s="184" t="n">
        <v>-41865.6</v>
      </c>
      <c r="F49" s="184" t="n">
        <v>-41865.6</v>
      </c>
      <c r="G49" s="184" t="n">
        <v>-41865.6</v>
      </c>
      <c r="H49" s="184" t="n">
        <v>-41865.6</v>
      </c>
      <c r="I49" s="184" t="n">
        <v>-41865.6</v>
      </c>
      <c r="J49" s="184" t="n">
        <v>-41865.6</v>
      </c>
      <c r="K49" s="184" t="n">
        <v>-41865.6</v>
      </c>
      <c r="L49" s="184" t="n">
        <v>-41865.6</v>
      </c>
      <c r="M49" s="184" t="n">
        <v>-41865.6</v>
      </c>
      <c r="N49" s="184" t="n">
        <v>-41865.6</v>
      </c>
      <c r="O49" s="184" t="n">
        <v>-41865.6</v>
      </c>
      <c r="P49" s="184" t="n">
        <v>-41865.6</v>
      </c>
      <c r="Q49" s="184" t="n">
        <v>-41865.6</v>
      </c>
      <c r="R49" s="184" t="n">
        <v>-41865.6</v>
      </c>
      <c r="S49" s="184" t="n">
        <v>-41865.6</v>
      </c>
      <c r="T49" s="184" t="n">
        <v>-41865.6</v>
      </c>
      <c r="U49" s="184" t="n">
        <v>-41865.6</v>
      </c>
      <c r="V49" s="184" t="n">
        <v>-41865.6</v>
      </c>
      <c r="W49" s="184" t="n">
        <v>-41865.6</v>
      </c>
      <c r="X49" s="184"/>
    </row>
    <row r="50" customFormat="false" ht="18.75" hidden="false" customHeight="true" outlineLevel="0" collapsed="false">
      <c r="B50" s="182" t="s">
        <v>62</v>
      </c>
      <c r="C50" s="174"/>
      <c r="D50" s="184" t="n">
        <v>-43610</v>
      </c>
      <c r="E50" s="184" t="n">
        <v>-43610</v>
      </c>
      <c r="F50" s="184" t="n">
        <v>-43610</v>
      </c>
      <c r="G50" s="184" t="n">
        <v>-43610</v>
      </c>
      <c r="H50" s="184" t="n">
        <v>-43610</v>
      </c>
      <c r="I50" s="184" t="n">
        <v>-43610</v>
      </c>
      <c r="J50" s="184" t="n">
        <v>-43610</v>
      </c>
      <c r="K50" s="184" t="n">
        <v>-43610</v>
      </c>
      <c r="L50" s="184" t="n">
        <v>-43610</v>
      </c>
      <c r="M50" s="184" t="n">
        <v>-43610</v>
      </c>
      <c r="N50" s="184" t="n">
        <v>0</v>
      </c>
      <c r="O50" s="184" t="n">
        <v>0</v>
      </c>
      <c r="P50" s="184" t="n">
        <v>0</v>
      </c>
      <c r="Q50" s="184" t="n">
        <v>0</v>
      </c>
      <c r="R50" s="184" t="n">
        <v>0</v>
      </c>
      <c r="S50" s="184" t="n">
        <v>0</v>
      </c>
      <c r="T50" s="184" t="n">
        <v>0</v>
      </c>
      <c r="U50" s="184" t="n">
        <v>0</v>
      </c>
      <c r="V50" s="184" t="n">
        <v>0</v>
      </c>
      <c r="W50" s="184" t="n">
        <v>0</v>
      </c>
      <c r="X50" s="184"/>
    </row>
    <row r="51" customFormat="false" ht="18.75" hidden="false" customHeight="true" outlineLevel="0" collapsed="false">
      <c r="B51" s="182" t="s">
        <v>63</v>
      </c>
      <c r="C51" s="185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</row>
    <row r="52" customFormat="false" ht="18.75" hidden="false" customHeight="true" outlineLevel="0" collapsed="false">
      <c r="B52" s="182" t="s">
        <v>64</v>
      </c>
      <c r="C52" s="185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</row>
    <row r="53" customFormat="false" ht="18.75" hidden="false" customHeight="true" outlineLevel="0" collapsed="false">
      <c r="B53" s="186" t="s">
        <v>65</v>
      </c>
      <c r="C53" s="185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</row>
    <row r="54" customFormat="false" ht="18.75" hidden="false" customHeight="true" outlineLevel="0" collapsed="false">
      <c r="B54" s="186" t="s">
        <v>66</v>
      </c>
      <c r="C54" s="185"/>
      <c r="D54" s="184" t="n">
        <f aca="false">-(D64+D67+D68+D71+D72+D73+D74)*0.2</f>
        <v>-162873.8024192</v>
      </c>
      <c r="E54" s="184" t="n">
        <f aca="false">-(E64+E67+E68+E71+E72+E73+E74)*0.2</f>
        <v>-41021.781468416</v>
      </c>
      <c r="F54" s="184" t="n">
        <f aca="false">-(F64+F67+F68+F71+F72+F73+F74)*0.2</f>
        <v>-39883.737243392</v>
      </c>
      <c r="G54" s="184" t="n">
        <f aca="false">-(G64+G67+G68+G71+G72+G73+G74)*0.2</f>
        <v>-38745.693018368</v>
      </c>
      <c r="H54" s="184" t="n">
        <f aca="false">-(H64+H67+H68+H71+H72+H73+H74)*0.2</f>
        <v>-37607.648793344</v>
      </c>
      <c r="I54" s="184" t="n">
        <f aca="false">-(I64+I67+I68+I71+I72+I73+I74)*0.2</f>
        <v>-36469.60456832</v>
      </c>
      <c r="J54" s="184" t="n">
        <f aca="false">-(J64+J67+J68+J71+J72+J73+J74)*0.2</f>
        <v>-35331.560343296</v>
      </c>
      <c r="K54" s="184" t="n">
        <f aca="false">-(K64+K67+K68+K71+K72+K73+K74)*0.2</f>
        <v>-34193.516118272</v>
      </c>
      <c r="L54" s="184" t="n">
        <f aca="false">-(L64+L67+L68+L71+L72+L73+L74)*0.2</f>
        <v>-33055.471893248</v>
      </c>
      <c r="M54" s="184" t="n">
        <f aca="false">-(M64+M67+M68+M71+M72+M73+M74)*0.2</f>
        <v>-31917.427668224</v>
      </c>
      <c r="N54" s="184" t="n">
        <f aca="false">-(N64+N67+N68+N71+N72+N73+N74)*0.2</f>
        <v>-39501.3834432</v>
      </c>
      <c r="O54" s="184" t="n">
        <f aca="false">-(O64+O67+O68+O71+O72+O73+O74)*0.2</f>
        <v>-38363.339218176</v>
      </c>
      <c r="P54" s="184" t="n">
        <f aca="false">-(P64+P67+P68+P71+P72+P73+P74)*0.2</f>
        <v>-37225.294993152</v>
      </c>
      <c r="Q54" s="184" t="n">
        <f aca="false">-(Q64+Q67+Q68+Q71+Q72+Q73+Q74)*0.2</f>
        <v>-36087.250768128</v>
      </c>
      <c r="R54" s="184" t="n">
        <f aca="false">-(R64+R67+R68+R71+R72+R73+R74)*0.2</f>
        <v>-34949.206543104</v>
      </c>
      <c r="S54" s="184" t="n">
        <f aca="false">-(S64+S67+S68+S71+S72+S73+S74)*0.2</f>
        <v>-33811.16231808</v>
      </c>
      <c r="T54" s="184" t="n">
        <f aca="false">-(T64+T67+T68+T71+T72+T73+T74)*0.2</f>
        <v>-32673.1180930559</v>
      </c>
      <c r="U54" s="184" t="n">
        <f aca="false">-(U64+U67+U68+U71+U72+U73+U74)*0.2</f>
        <v>-31535.073868032</v>
      </c>
      <c r="V54" s="184" t="n">
        <f aca="false">-(V64+V67+V68+V71+V72+V73+V74)*0.2</f>
        <v>-30397.0296430079</v>
      </c>
      <c r="W54" s="184" t="n">
        <f aca="false">-(W64+W67+W68+W71+W72+W73+W74)*0.2</f>
        <v>-29258.985417984</v>
      </c>
      <c r="X54" s="175"/>
    </row>
    <row r="55" customFormat="false" ht="18.75" hidden="false" customHeight="true" outlineLevel="0" collapsed="false">
      <c r="B55" s="187" t="s">
        <v>67</v>
      </c>
      <c r="C55" s="188" t="n">
        <f aca="false">C44</f>
        <v>-18752300</v>
      </c>
      <c r="D55" s="189" t="n">
        <f aca="false">SUM(D41:D54)</f>
        <v>985540.326048</v>
      </c>
      <c r="E55" s="189" t="n">
        <f aca="false">SUM(E41:E54)</f>
        <v>1101702.12587366</v>
      </c>
      <c r="F55" s="189" t="n">
        <f aca="false">SUM(F41:F54)</f>
        <v>1097149.94897357</v>
      </c>
      <c r="G55" s="189" t="n">
        <f aca="false">SUM(G41:G54)</f>
        <v>1092597.77207347</v>
      </c>
      <c r="H55" s="189" t="n">
        <f aca="false">SUM(H41:H54)</f>
        <v>1088045.59517338</v>
      </c>
      <c r="I55" s="189" t="n">
        <f aca="false">SUM(I41:I54)</f>
        <v>1083493.41827328</v>
      </c>
      <c r="J55" s="189" t="n">
        <f aca="false">SUM(J41:J54)</f>
        <v>1078941.24137318</v>
      </c>
      <c r="K55" s="189" t="n">
        <f aca="false">SUM(K41:K54)</f>
        <v>1074389.06447309</v>
      </c>
      <c r="L55" s="189" t="n">
        <f aca="false">SUM(L41:L54)</f>
        <v>1069836.88757299</v>
      </c>
      <c r="M55" s="189" t="n">
        <f aca="false">SUM(M41:M54)</f>
        <v>1065284.7106729</v>
      </c>
      <c r="N55" s="189" t="n">
        <f aca="false">SUM(N41:N54)</f>
        <v>1095620.5337728</v>
      </c>
      <c r="O55" s="189" t="n">
        <f aca="false">SUM(O41:O54)</f>
        <v>1091068.3568727</v>
      </c>
      <c r="P55" s="189" t="n">
        <f aca="false">SUM(P41:P54)</f>
        <v>1086516.17997261</v>
      </c>
      <c r="Q55" s="189" t="n">
        <f aca="false">SUM(Q41:Q54)</f>
        <v>1081964.00307251</v>
      </c>
      <c r="R55" s="189" t="n">
        <f aca="false">SUM(R41:R54)</f>
        <v>1077411.82617242</v>
      </c>
      <c r="S55" s="189" t="n">
        <f aca="false">SUM(S41:S54)</f>
        <v>1072859.64927232</v>
      </c>
      <c r="T55" s="189" t="n">
        <f aca="false">SUM(T41:T54)</f>
        <v>1068307.47237222</v>
      </c>
      <c r="U55" s="189" t="n">
        <f aca="false">SUM(U41:U54)</f>
        <v>1063755.29547213</v>
      </c>
      <c r="V55" s="189" t="n">
        <f aca="false">SUM(V41:V54)</f>
        <v>1059203.11857203</v>
      </c>
      <c r="W55" s="189" t="n">
        <f aca="false">SUM(W41:W54)</f>
        <v>1054650.94167194</v>
      </c>
      <c r="X55" s="190"/>
      <c r="Y55" s="191"/>
      <c r="Z55" s="192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</row>
    <row r="56" customFormat="false" ht="18.75" hidden="false" customHeight="true" outlineLevel="0" collapsed="false">
      <c r="B56" s="193" t="s">
        <v>68</v>
      </c>
      <c r="D56" s="194" t="n">
        <f aca="false">C55+D55</f>
        <v>-17766759.673952</v>
      </c>
      <c r="E56" s="194" t="n">
        <f aca="false">D56+E55</f>
        <v>-16665057.5480783</v>
      </c>
      <c r="F56" s="194" t="n">
        <f aca="false">E56+F55</f>
        <v>-15567907.5991048</v>
      </c>
      <c r="G56" s="194" t="n">
        <f aca="false">F56+G55</f>
        <v>-14475309.8270313</v>
      </c>
      <c r="H56" s="194" t="n">
        <f aca="false">G56+H55</f>
        <v>-13387264.2318579</v>
      </c>
      <c r="I56" s="194" t="n">
        <f aca="false">H56+I55</f>
        <v>-12303770.8135846</v>
      </c>
      <c r="J56" s="194" t="n">
        <f aca="false">I56+J55</f>
        <v>-11224829.5722115</v>
      </c>
      <c r="K56" s="194" t="n">
        <f aca="false">J56+K55</f>
        <v>-10150440.5077384</v>
      </c>
      <c r="L56" s="194" t="n">
        <f aca="false">K56+L55</f>
        <v>-9080603.62016538</v>
      </c>
      <c r="M56" s="194" t="n">
        <f aca="false">L56+M55</f>
        <v>-8015318.90949248</v>
      </c>
      <c r="N56" s="194" t="n">
        <f aca="false">M56+N55</f>
        <v>-6919698.37571968</v>
      </c>
      <c r="O56" s="194" t="n">
        <f aca="false">N56+O55</f>
        <v>-5828630.01884698</v>
      </c>
      <c r="P56" s="194" t="n">
        <f aca="false">O56+P55</f>
        <v>-4742113.83887437</v>
      </c>
      <c r="Q56" s="194" t="n">
        <f aca="false">P56+Q55</f>
        <v>-3660149.83580186</v>
      </c>
      <c r="R56" s="194" t="n">
        <f aca="false">Q56+R55</f>
        <v>-2582738.00962944</v>
      </c>
      <c r="S56" s="194" t="n">
        <f aca="false">R56+S55</f>
        <v>-1509878.36035712</v>
      </c>
      <c r="T56" s="194" t="n">
        <f aca="false">S56+T55</f>
        <v>-441570.887984899</v>
      </c>
      <c r="U56" s="194" t="n">
        <f aca="false">T56+U55</f>
        <v>622184.407487229</v>
      </c>
      <c r="V56" s="194" t="n">
        <f aca="false">U56+V55</f>
        <v>1681387.52605926</v>
      </c>
      <c r="W56" s="194" t="n">
        <f aca="false">V56+W55</f>
        <v>2736038.4677312</v>
      </c>
      <c r="X56" s="194" t="n">
        <f aca="false">W56+X55</f>
        <v>2736038.4677312</v>
      </c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</row>
    <row r="57" customFormat="false" ht="18.75" hidden="false" customHeight="true" outlineLevel="0" collapsed="false">
      <c r="B57" s="195" t="s">
        <v>74</v>
      </c>
      <c r="C57" s="196"/>
      <c r="D57" s="197" t="str">
        <f aca="false">IF((D56)&gt;0,"回收","未回收")</f>
        <v>未回收</v>
      </c>
      <c r="E57" s="198" t="str">
        <f aca="false">IF((E56)&gt;0,"回收","未回收")</f>
        <v>未回收</v>
      </c>
      <c r="F57" s="198" t="str">
        <f aca="false">IF((F56)&gt;0,"回收","未回收")</f>
        <v>未回收</v>
      </c>
      <c r="G57" s="198" t="str">
        <f aca="false">IF((G56)&gt;0,"回收","未回收")</f>
        <v>未回收</v>
      </c>
      <c r="H57" s="198" t="str">
        <f aca="false">IF((H56)&gt;0,"回收","未回收")</f>
        <v>未回收</v>
      </c>
      <c r="I57" s="198" t="str">
        <f aca="false">IF((I56)&gt;0,"回收","未回收")</f>
        <v>未回收</v>
      </c>
      <c r="J57" s="198" t="str">
        <f aca="false">IF((J56)&gt;0,"回收","未回收")</f>
        <v>未回收</v>
      </c>
      <c r="K57" s="198" t="str">
        <f aca="false">IF((K56)&gt;0,"回收","未回收")</f>
        <v>未回收</v>
      </c>
      <c r="L57" s="198" t="str">
        <f aca="false">IF((L56)&gt;0,"回收","未回收")</f>
        <v>未回收</v>
      </c>
      <c r="M57" s="198" t="str">
        <f aca="false">IF((M56)&gt;0,"回收","未回收")</f>
        <v>未回收</v>
      </c>
      <c r="N57" s="198" t="str">
        <f aca="false">IF((N56)&gt;0,"回收","未回收")</f>
        <v>未回收</v>
      </c>
      <c r="O57" s="198" t="str">
        <f aca="false">IF((O56)&gt;0,"回收","未回收")</f>
        <v>未回收</v>
      </c>
      <c r="P57" s="198" t="str">
        <f aca="false">IF((P56)&gt;0,"回收","未回收")</f>
        <v>未回收</v>
      </c>
      <c r="Q57" s="198" t="str">
        <f aca="false">IF((Q56)&gt;0,"回收","未回收")</f>
        <v>未回收</v>
      </c>
      <c r="R57" s="198" t="str">
        <f aca="false">IF((R56)&gt;0,"回收","未回收")</f>
        <v>未回收</v>
      </c>
      <c r="S57" s="198" t="str">
        <f aca="false">IF((S56)&gt;0,"回收","未回收")</f>
        <v>未回收</v>
      </c>
      <c r="T57" s="198" t="str">
        <f aca="false">IF((T56)&gt;0,"回收","未回收")</f>
        <v>未回收</v>
      </c>
      <c r="U57" s="198" t="str">
        <f aca="false">IF((U56)&gt;0,"回收","未回收")</f>
        <v>回收</v>
      </c>
      <c r="V57" s="198" t="str">
        <f aca="false">IF((V56)&gt;0,"回收","未回收")</f>
        <v>回收</v>
      </c>
      <c r="W57" s="198" t="str">
        <f aca="false">IF((W56)&gt;0,"回收","未回收")</f>
        <v>回收</v>
      </c>
      <c r="X57" s="198" t="str">
        <f aca="false">IF((X56)&gt;0,"回收","未回收")</f>
        <v>回收</v>
      </c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</row>
    <row r="58" customFormat="false" ht="18.75" hidden="false" customHeight="true" outlineLevel="0" collapsed="false">
      <c r="B58" s="199" t="s">
        <v>93</v>
      </c>
      <c r="C58" s="200" t="n">
        <f aca="false">IRR(C55:W55)</f>
        <v>0.0133423385929351</v>
      </c>
      <c r="D58" s="201"/>
      <c r="E58" s="201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customFormat="false" ht="18.75" hidden="false" customHeight="true" outlineLevel="0" collapsed="false">
      <c r="B59" s="202"/>
      <c r="C59" s="201"/>
      <c r="D59" s="201"/>
      <c r="E59" s="201"/>
      <c r="F59" s="202"/>
      <c r="G59" s="202"/>
      <c r="H59" s="202"/>
      <c r="I59" s="202"/>
      <c r="J59" s="202"/>
      <c r="K59" s="202"/>
      <c r="L59" s="202"/>
      <c r="M59" s="201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customFormat="false" ht="18.75" hidden="false" customHeight="true" outlineLevel="0" collapsed="false">
      <c r="B60" s="97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54" t="n">
        <v>0</v>
      </c>
      <c r="C61" s="155"/>
      <c r="D61" s="156"/>
      <c r="E61" s="156"/>
      <c r="F61" s="157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204" t="s">
        <v>50</v>
      </c>
      <c r="U61" s="158"/>
      <c r="V61" s="158"/>
      <c r="W61" s="158"/>
      <c r="X61" s="160"/>
    </row>
    <row r="62" customFormat="false" ht="18.75" hidden="false" customHeight="true" outlineLevel="0" collapsed="false">
      <c r="B62" s="161" t="s">
        <v>51</v>
      </c>
      <c r="C62" s="162" t="n">
        <v>0</v>
      </c>
      <c r="D62" s="163" t="n">
        <v>1</v>
      </c>
      <c r="E62" s="163" t="n">
        <v>2</v>
      </c>
      <c r="F62" s="163" t="n">
        <v>3</v>
      </c>
      <c r="G62" s="163" t="n">
        <v>4</v>
      </c>
      <c r="H62" s="163" t="n">
        <v>5</v>
      </c>
      <c r="I62" s="163" t="n">
        <v>6</v>
      </c>
      <c r="J62" s="163" t="n">
        <v>7</v>
      </c>
      <c r="K62" s="163" t="n">
        <v>8</v>
      </c>
      <c r="L62" s="163" t="n">
        <v>9</v>
      </c>
      <c r="M62" s="163" t="n">
        <v>10</v>
      </c>
      <c r="N62" s="163" t="n">
        <v>11</v>
      </c>
      <c r="O62" s="163" t="n">
        <v>12</v>
      </c>
      <c r="P62" s="163" t="n">
        <v>13</v>
      </c>
      <c r="Q62" s="163" t="n">
        <v>14</v>
      </c>
      <c r="R62" s="163" t="n">
        <v>15</v>
      </c>
      <c r="S62" s="163" t="n">
        <v>16</v>
      </c>
      <c r="T62" s="205" t="n">
        <v>17</v>
      </c>
      <c r="U62" s="163" t="n">
        <v>18</v>
      </c>
      <c r="V62" s="163" t="n">
        <v>19</v>
      </c>
      <c r="W62" s="163" t="n">
        <v>20</v>
      </c>
      <c r="X62" s="47"/>
    </row>
    <row r="63" customFormat="false" ht="18.75" hidden="false" customHeight="true" outlineLevel="0" collapsed="false">
      <c r="B63" s="165" t="s">
        <v>52</v>
      </c>
      <c r="C63" s="166" t="n">
        <v>0</v>
      </c>
      <c r="D63" s="167" t="n">
        <f aca="false">D40</f>
        <v>541531.98</v>
      </c>
      <c r="E63" s="167" t="n">
        <f aca="false">E40</f>
        <v>539343.972</v>
      </c>
      <c r="F63" s="167" t="n">
        <f aca="false">F40</f>
        <v>537155.964</v>
      </c>
      <c r="G63" s="167" t="n">
        <f aca="false">G40</f>
        <v>534967.956</v>
      </c>
      <c r="H63" s="167" t="n">
        <f aca="false">H40</f>
        <v>532779.948</v>
      </c>
      <c r="I63" s="167" t="n">
        <f aca="false">I40</f>
        <v>530591.94</v>
      </c>
      <c r="J63" s="167" t="n">
        <f aca="false">J40</f>
        <v>528403.932</v>
      </c>
      <c r="K63" s="167" t="n">
        <f aca="false">K40</f>
        <v>526215.924</v>
      </c>
      <c r="L63" s="167" t="n">
        <f aca="false">L40</f>
        <v>524027.916</v>
      </c>
      <c r="M63" s="167" t="n">
        <f aca="false">M40</f>
        <v>521839.908</v>
      </c>
      <c r="N63" s="167" t="n">
        <f aca="false">N40</f>
        <v>519651.9</v>
      </c>
      <c r="O63" s="167" t="n">
        <f aca="false">O40</f>
        <v>517463.892</v>
      </c>
      <c r="P63" s="167" t="n">
        <f aca="false">P40</f>
        <v>515275.884</v>
      </c>
      <c r="Q63" s="167" t="n">
        <f aca="false">Q40</f>
        <v>513087.876</v>
      </c>
      <c r="R63" s="167" t="n">
        <f aca="false">R40</f>
        <v>510899.868</v>
      </c>
      <c r="S63" s="167" t="n">
        <f aca="false">S40</f>
        <v>508711.86</v>
      </c>
      <c r="T63" s="167" t="n">
        <f aca="false">T40</f>
        <v>506523.852</v>
      </c>
      <c r="U63" s="167" t="n">
        <f aca="false">U40</f>
        <v>504335.844</v>
      </c>
      <c r="V63" s="167" t="n">
        <f aca="false">V40</f>
        <v>502147.836</v>
      </c>
      <c r="W63" s="167" t="n">
        <f aca="false">W40</f>
        <v>499959.828</v>
      </c>
      <c r="X63" s="168"/>
    </row>
    <row r="64" customFormat="false" ht="18.75" hidden="false" customHeight="true" outlineLevel="0" collapsed="false">
      <c r="B64" s="169" t="s">
        <v>53</v>
      </c>
      <c r="C64" s="170" t="s">
        <v>3</v>
      </c>
      <c r="D64" s="171" t="n">
        <f aca="false">D41</f>
        <v>2011899.612096</v>
      </c>
      <c r="E64" s="171" t="n">
        <f aca="false">E41</f>
        <v>2003770.7247744</v>
      </c>
      <c r="F64" s="171" t="n">
        <f aca="false">F41</f>
        <v>1995641.8374528</v>
      </c>
      <c r="G64" s="171" t="n">
        <f aca="false">G41</f>
        <v>1987512.9501312</v>
      </c>
      <c r="H64" s="171" t="n">
        <f aca="false">H41</f>
        <v>1979384.0628096</v>
      </c>
      <c r="I64" s="171" t="n">
        <f aca="false">I41</f>
        <v>1971255.175488</v>
      </c>
      <c r="J64" s="171" t="n">
        <f aca="false">J41</f>
        <v>1963126.2881664</v>
      </c>
      <c r="K64" s="171" t="n">
        <f aca="false">K41</f>
        <v>1954997.4008448</v>
      </c>
      <c r="L64" s="171" t="n">
        <f aca="false">L41</f>
        <v>1946868.5135232</v>
      </c>
      <c r="M64" s="171" t="n">
        <f aca="false">M41</f>
        <v>1938739.6262016</v>
      </c>
      <c r="N64" s="171" t="n">
        <f aca="false">N41</f>
        <v>1930610.73888</v>
      </c>
      <c r="O64" s="171" t="n">
        <f aca="false">O41</f>
        <v>1922481.8515584</v>
      </c>
      <c r="P64" s="171" t="n">
        <f aca="false">P41</f>
        <v>1914352.9642368</v>
      </c>
      <c r="Q64" s="171" t="n">
        <f aca="false">Q41</f>
        <v>1906224.0769152</v>
      </c>
      <c r="R64" s="171" t="n">
        <f aca="false">R41</f>
        <v>1898095.1895936</v>
      </c>
      <c r="S64" s="171" t="n">
        <f aca="false">S41</f>
        <v>1889966.302272</v>
      </c>
      <c r="T64" s="171" t="n">
        <f aca="false">T41</f>
        <v>1881837.4149504</v>
      </c>
      <c r="U64" s="171" t="n">
        <f aca="false">U41</f>
        <v>1873708.5276288</v>
      </c>
      <c r="V64" s="171" t="n">
        <f aca="false">V41</f>
        <v>1865579.6403072</v>
      </c>
      <c r="W64" s="171" t="n">
        <f aca="false">W41</f>
        <v>1857450.7529856</v>
      </c>
      <c r="X64" s="172"/>
    </row>
    <row r="65" customFormat="false" ht="18.75" hidden="false" customHeight="true" outlineLevel="0" collapsed="false">
      <c r="B65" s="173" t="s">
        <v>54</v>
      </c>
      <c r="C65" s="174" t="s">
        <v>3</v>
      </c>
      <c r="D65" s="175"/>
      <c r="E65" s="175"/>
      <c r="F65" s="175"/>
      <c r="G65" s="176" t="s">
        <v>3</v>
      </c>
      <c r="H65" s="176" t="s">
        <v>3</v>
      </c>
      <c r="I65" s="176" t="s">
        <v>3</v>
      </c>
      <c r="J65" s="176" t="s">
        <v>3</v>
      </c>
      <c r="K65" s="176" t="s">
        <v>3</v>
      </c>
      <c r="L65" s="176" t="s">
        <v>3</v>
      </c>
      <c r="M65" s="176" t="s">
        <v>3</v>
      </c>
      <c r="N65" s="176" t="s">
        <v>3</v>
      </c>
      <c r="O65" s="176" t="s">
        <v>3</v>
      </c>
      <c r="P65" s="176" t="s">
        <v>3</v>
      </c>
      <c r="Q65" s="176" t="s">
        <v>3</v>
      </c>
      <c r="R65" s="176" t="s">
        <v>3</v>
      </c>
      <c r="S65" s="176" t="s">
        <v>3</v>
      </c>
      <c r="T65" s="176" t="s">
        <v>3</v>
      </c>
      <c r="U65" s="176" t="s">
        <v>3</v>
      </c>
      <c r="V65" s="176" t="s">
        <v>3</v>
      </c>
      <c r="W65" s="176" t="s">
        <v>3</v>
      </c>
      <c r="X65" s="177"/>
    </row>
    <row r="66" customFormat="false" ht="18.75" hidden="false" customHeight="true" outlineLevel="0" collapsed="false">
      <c r="B66" s="178" t="s">
        <v>55</v>
      </c>
      <c r="C66" s="179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1"/>
    </row>
    <row r="67" customFormat="false" ht="18.75" hidden="false" customHeight="true" outlineLevel="0" collapsed="false">
      <c r="B67" s="182" t="s">
        <v>151</v>
      </c>
      <c r="C67" s="174"/>
      <c r="D67" s="206" t="n">
        <f aca="false">$C$44/$E$16</f>
        <v>-937615</v>
      </c>
      <c r="E67" s="206" t="n">
        <f aca="false">$C$44/$E$16</f>
        <v>-937615</v>
      </c>
      <c r="F67" s="206" t="n">
        <f aca="false">$C$44/$E$16</f>
        <v>-937615</v>
      </c>
      <c r="G67" s="206" t="n">
        <f aca="false">$C$44/$E$16</f>
        <v>-937615</v>
      </c>
      <c r="H67" s="206" t="n">
        <f aca="false">$C$44/$E$16</f>
        <v>-937615</v>
      </c>
      <c r="I67" s="206" t="n">
        <f aca="false">$C$44/$E$16</f>
        <v>-937615</v>
      </c>
      <c r="J67" s="206" t="n">
        <f aca="false">$C$44/$E$16</f>
        <v>-937615</v>
      </c>
      <c r="K67" s="206" t="n">
        <f aca="false">$C$44/$E$16</f>
        <v>-937615</v>
      </c>
      <c r="L67" s="206" t="n">
        <f aca="false">$C$44/$E$16</f>
        <v>-937615</v>
      </c>
      <c r="M67" s="206" t="n">
        <f aca="false">$C$44/$E$16</f>
        <v>-937615</v>
      </c>
      <c r="N67" s="206" t="n">
        <f aca="false">$C$44/$E$16</f>
        <v>-937615</v>
      </c>
      <c r="O67" s="206" t="n">
        <f aca="false">$C$44/$E$16</f>
        <v>-937615</v>
      </c>
      <c r="P67" s="206" t="n">
        <f aca="false">$C$44/$E$16</f>
        <v>-937615</v>
      </c>
      <c r="Q67" s="206" t="n">
        <f aca="false">$C$44/$E$16</f>
        <v>-937615</v>
      </c>
      <c r="R67" s="206" t="n">
        <f aca="false">$C$44/$E$16</f>
        <v>-937615</v>
      </c>
      <c r="S67" s="206" t="n">
        <f aca="false">$C$44/$E$16</f>
        <v>-937615</v>
      </c>
      <c r="T67" s="206" t="n">
        <f aca="false">$C$44/$E$16</f>
        <v>-937615</v>
      </c>
      <c r="U67" s="206" t="n">
        <f aca="false">$C$44/$E$16</f>
        <v>-937615</v>
      </c>
      <c r="V67" s="206" t="n">
        <f aca="false">$C$44/$E$16</f>
        <v>-937615</v>
      </c>
      <c r="W67" s="206" t="n">
        <f aca="false">$C$44/$E$16</f>
        <v>-937615</v>
      </c>
      <c r="X67" s="177"/>
    </row>
    <row r="68" customFormat="false" ht="18.75" hidden="false" customHeight="true" outlineLevel="0" collapsed="false">
      <c r="B68" s="182" t="s">
        <v>57</v>
      </c>
      <c r="C68" s="174" t="s">
        <v>3</v>
      </c>
      <c r="D68" s="184" t="n">
        <f aca="false">D44</f>
        <v>0</v>
      </c>
      <c r="E68" s="184" t="n">
        <f aca="false">E45</f>
        <v>-601131.21743232</v>
      </c>
      <c r="F68" s="184" t="n">
        <f aca="false">F45</f>
        <v>-598692.55123584</v>
      </c>
      <c r="G68" s="184" t="n">
        <f aca="false">G45</f>
        <v>-596253.88503936</v>
      </c>
      <c r="H68" s="184" t="n">
        <f aca="false">H45</f>
        <v>-593815.21884288</v>
      </c>
      <c r="I68" s="184" t="n">
        <f aca="false">I45</f>
        <v>-591376.5526464</v>
      </c>
      <c r="J68" s="184" t="n">
        <f aca="false">J45</f>
        <v>-588937.88644992</v>
      </c>
      <c r="K68" s="184" t="n">
        <f aca="false">K45</f>
        <v>-586499.22025344</v>
      </c>
      <c r="L68" s="184" t="n">
        <f aca="false">L45</f>
        <v>-584060.55405696</v>
      </c>
      <c r="M68" s="184" t="n">
        <f aca="false">M45</f>
        <v>-581621.88786048</v>
      </c>
      <c r="N68" s="184" t="n">
        <f aca="false">N45</f>
        <v>-579183.221664</v>
      </c>
      <c r="O68" s="184" t="n">
        <f aca="false">O45</f>
        <v>-576744.55546752</v>
      </c>
      <c r="P68" s="184" t="n">
        <f aca="false">P45</f>
        <v>-574305.88927104</v>
      </c>
      <c r="Q68" s="184" t="n">
        <f aca="false">Q45</f>
        <v>-571867.22307456</v>
      </c>
      <c r="R68" s="184" t="n">
        <f aca="false">R45</f>
        <v>-569428.55687808</v>
      </c>
      <c r="S68" s="184" t="n">
        <f aca="false">S45</f>
        <v>-566989.8906816</v>
      </c>
      <c r="T68" s="184" t="n">
        <f aca="false">T45</f>
        <v>-564551.22448512</v>
      </c>
      <c r="U68" s="184" t="n">
        <f aca="false">U45</f>
        <v>-562112.55828864</v>
      </c>
      <c r="V68" s="184" t="n">
        <f aca="false">V45</f>
        <v>-559673.89209216</v>
      </c>
      <c r="W68" s="184" t="n">
        <f aca="false">W45</f>
        <v>-557235.22589568</v>
      </c>
      <c r="X68" s="177"/>
    </row>
    <row r="69" customFormat="false" ht="18.75" hidden="false" customHeight="true" outlineLevel="0" collapsed="false">
      <c r="B69" s="182" t="s">
        <v>58</v>
      </c>
      <c r="C69" s="174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7"/>
    </row>
    <row r="70" customFormat="false" ht="18.75" hidden="false" customHeight="true" outlineLevel="0" collapsed="false">
      <c r="B70" s="182" t="s">
        <v>59</v>
      </c>
      <c r="C70" s="174" t="s">
        <v>3</v>
      </c>
      <c r="D70" s="184" t="n">
        <f aca="false">-D109*$D25</f>
        <v>-383972.0948</v>
      </c>
      <c r="E70" s="184" t="n">
        <f aca="false">-E109*$D25</f>
        <v>-358373.955146667</v>
      </c>
      <c r="F70" s="184" t="n">
        <f aca="false">-F109*$D25</f>
        <v>-332775.815493333</v>
      </c>
      <c r="G70" s="184" t="n">
        <f aca="false">-G109*$D25</f>
        <v>-307177.67584</v>
      </c>
      <c r="H70" s="184" t="n">
        <f aca="false">-H109*$D25</f>
        <v>-281579.536186667</v>
      </c>
      <c r="I70" s="184" t="n">
        <f aca="false">-I109*$D25</f>
        <v>-255981.396533333</v>
      </c>
      <c r="J70" s="184" t="n">
        <f aca="false">-J109*$D25</f>
        <v>-230383.25688</v>
      </c>
      <c r="K70" s="184" t="n">
        <f aca="false">-K109*$D25</f>
        <v>-204785.117226666</v>
      </c>
      <c r="L70" s="184" t="n">
        <f aca="false">-L109*$D25</f>
        <v>-179186.977573333</v>
      </c>
      <c r="M70" s="184" t="n">
        <f aca="false">-M109*$D25</f>
        <v>-153588.83792</v>
      </c>
      <c r="N70" s="184" t="n">
        <f aca="false">-N109*$D25</f>
        <v>-127990.698266666</v>
      </c>
      <c r="O70" s="184" t="n">
        <f aca="false">-O109*$D25</f>
        <v>-102392.558613333</v>
      </c>
      <c r="P70" s="184" t="n">
        <f aca="false">-P109*$D25</f>
        <v>-76794.4189599998</v>
      </c>
      <c r="Q70" s="184" t="n">
        <f aca="false">-Q109*$D25</f>
        <v>-51196.2793066664</v>
      </c>
      <c r="R70" s="184" t="n">
        <f aca="false">-R109*$D25</f>
        <v>-25598.1396533331</v>
      </c>
      <c r="S70" s="184" t="n">
        <f aca="false">-S109*$D25</f>
        <v>2.62209214270115E-010</v>
      </c>
      <c r="T70" s="184" t="n">
        <f aca="false">-T109*$D25</f>
        <v>2.62209214270115E-010</v>
      </c>
      <c r="U70" s="184" t="n">
        <f aca="false">-U109*$D25</f>
        <v>2.62209214270115E-010</v>
      </c>
      <c r="V70" s="184" t="n">
        <f aca="false">-V109*$D25</f>
        <v>2.62209214270115E-010</v>
      </c>
      <c r="W70" s="184" t="n">
        <f aca="false">-W109*$D25</f>
        <v>2.62209214270115E-010</v>
      </c>
      <c r="X70" s="177"/>
    </row>
    <row r="71" customFormat="false" ht="18.75" hidden="false" customHeight="true" outlineLevel="0" collapsed="false">
      <c r="B71" s="182" t="s">
        <v>60</v>
      </c>
      <c r="C71" s="174" t="s">
        <v>3</v>
      </c>
      <c r="D71" s="184" t="n">
        <f aca="false">D48</f>
        <v>-174440</v>
      </c>
      <c r="E71" s="184" t="n">
        <f aca="false">E48</f>
        <v>-174440</v>
      </c>
      <c r="F71" s="184" t="n">
        <f aca="false">F48</f>
        <v>-174440</v>
      </c>
      <c r="G71" s="184" t="n">
        <f aca="false">G48</f>
        <v>-174440</v>
      </c>
      <c r="H71" s="184" t="n">
        <f aca="false">H48</f>
        <v>-174440</v>
      </c>
      <c r="I71" s="184" t="n">
        <f aca="false">I48</f>
        <v>-174440</v>
      </c>
      <c r="J71" s="184" t="n">
        <f aca="false">J48</f>
        <v>-174440</v>
      </c>
      <c r="K71" s="184" t="n">
        <f aca="false">K48</f>
        <v>-174440</v>
      </c>
      <c r="L71" s="184" t="n">
        <f aca="false">L48</f>
        <v>-174440</v>
      </c>
      <c r="M71" s="184" t="n">
        <f aca="false">M48</f>
        <v>-174440</v>
      </c>
      <c r="N71" s="184" t="n">
        <f aca="false">N48</f>
        <v>-174440</v>
      </c>
      <c r="O71" s="184" t="n">
        <f aca="false">O48</f>
        <v>-174440</v>
      </c>
      <c r="P71" s="184" t="n">
        <f aca="false">P48</f>
        <v>-174440</v>
      </c>
      <c r="Q71" s="184" t="n">
        <f aca="false">Q48</f>
        <v>-174440</v>
      </c>
      <c r="R71" s="184" t="n">
        <f aca="false">R48</f>
        <v>-174440</v>
      </c>
      <c r="S71" s="184" t="n">
        <f aca="false">S48</f>
        <v>-174440</v>
      </c>
      <c r="T71" s="184" t="n">
        <f aca="false">T48</f>
        <v>-174440</v>
      </c>
      <c r="U71" s="184" t="n">
        <f aca="false">U48</f>
        <v>-174440</v>
      </c>
      <c r="V71" s="184" t="n">
        <f aca="false">V48</f>
        <v>-174440</v>
      </c>
      <c r="W71" s="184" t="n">
        <f aca="false">W48</f>
        <v>-174440</v>
      </c>
      <c r="X71" s="177"/>
    </row>
    <row r="72" customFormat="false" ht="18.75" hidden="false" customHeight="true" outlineLevel="0" collapsed="false">
      <c r="B72" s="182" t="s">
        <v>61</v>
      </c>
      <c r="C72" s="174" t="s">
        <v>3</v>
      </c>
      <c r="D72" s="184" t="n">
        <f aca="false">D49</f>
        <v>-41865.6</v>
      </c>
      <c r="E72" s="184" t="n">
        <f aca="false">E49</f>
        <v>-41865.6</v>
      </c>
      <c r="F72" s="184" t="n">
        <f aca="false">F49</f>
        <v>-41865.6</v>
      </c>
      <c r="G72" s="184" t="n">
        <f aca="false">G49</f>
        <v>-41865.6</v>
      </c>
      <c r="H72" s="184" t="n">
        <f aca="false">H49</f>
        <v>-41865.6</v>
      </c>
      <c r="I72" s="184" t="n">
        <f aca="false">I49</f>
        <v>-41865.6</v>
      </c>
      <c r="J72" s="184" t="n">
        <f aca="false">J49</f>
        <v>-41865.6</v>
      </c>
      <c r="K72" s="184" t="n">
        <f aca="false">K49</f>
        <v>-41865.6</v>
      </c>
      <c r="L72" s="184" t="n">
        <f aca="false">L49</f>
        <v>-41865.6</v>
      </c>
      <c r="M72" s="184" t="n">
        <f aca="false">M49</f>
        <v>-41865.6</v>
      </c>
      <c r="N72" s="184" t="n">
        <f aca="false">N49</f>
        <v>-41865.6</v>
      </c>
      <c r="O72" s="184" t="n">
        <f aca="false">O49</f>
        <v>-41865.6</v>
      </c>
      <c r="P72" s="184" t="n">
        <f aca="false">P49</f>
        <v>-41865.6</v>
      </c>
      <c r="Q72" s="184" t="n">
        <f aca="false">Q49</f>
        <v>-41865.6</v>
      </c>
      <c r="R72" s="184" t="n">
        <f aca="false">R49</f>
        <v>-41865.6</v>
      </c>
      <c r="S72" s="184" t="n">
        <f aca="false">S49</f>
        <v>-41865.6</v>
      </c>
      <c r="T72" s="184" t="n">
        <f aca="false">T49</f>
        <v>-41865.6</v>
      </c>
      <c r="U72" s="184" t="n">
        <f aca="false">U49</f>
        <v>-41865.6</v>
      </c>
      <c r="V72" s="184" t="n">
        <f aca="false">V49</f>
        <v>-41865.6</v>
      </c>
      <c r="W72" s="184" t="n">
        <f aca="false">W49</f>
        <v>-41865.6</v>
      </c>
      <c r="X72" s="177"/>
    </row>
    <row r="73" customFormat="false" ht="18.75" hidden="false" customHeight="true" outlineLevel="0" collapsed="false">
      <c r="B73" s="182" t="s">
        <v>62</v>
      </c>
      <c r="C73" s="174"/>
      <c r="D73" s="184" t="n">
        <f aca="false">D50</f>
        <v>-43610</v>
      </c>
      <c r="E73" s="184" t="n">
        <f aca="false">E50</f>
        <v>-43610</v>
      </c>
      <c r="F73" s="184" t="n">
        <f aca="false">F50</f>
        <v>-43610</v>
      </c>
      <c r="G73" s="184" t="n">
        <f aca="false">G50</f>
        <v>-43610</v>
      </c>
      <c r="H73" s="184" t="n">
        <f aca="false">H50</f>
        <v>-43610</v>
      </c>
      <c r="I73" s="184" t="n">
        <f aca="false">I50</f>
        <v>-43610</v>
      </c>
      <c r="J73" s="184" t="n">
        <f aca="false">J50</f>
        <v>-43610</v>
      </c>
      <c r="K73" s="184" t="n">
        <f aca="false">K50</f>
        <v>-43610</v>
      </c>
      <c r="L73" s="184" t="n">
        <f aca="false">L50</f>
        <v>-43610</v>
      </c>
      <c r="M73" s="184" t="n">
        <f aca="false">M50</f>
        <v>-43610</v>
      </c>
      <c r="N73" s="184" t="n">
        <f aca="false">N50</f>
        <v>0</v>
      </c>
      <c r="O73" s="184" t="n">
        <f aca="false">O50</f>
        <v>0</v>
      </c>
      <c r="P73" s="184" t="n">
        <f aca="false">P50</f>
        <v>0</v>
      </c>
      <c r="Q73" s="184" t="n">
        <f aca="false">Q50</f>
        <v>0</v>
      </c>
      <c r="R73" s="184" t="n">
        <f aca="false">R50</f>
        <v>0</v>
      </c>
      <c r="S73" s="184" t="n">
        <f aca="false">S50</f>
        <v>0</v>
      </c>
      <c r="T73" s="184" t="n">
        <f aca="false">T50</f>
        <v>0</v>
      </c>
      <c r="U73" s="184" t="n">
        <f aca="false">U50</f>
        <v>0</v>
      </c>
      <c r="V73" s="184" t="n">
        <f aca="false">V50</f>
        <v>0</v>
      </c>
      <c r="W73" s="184" t="n">
        <f aca="false">W50</f>
        <v>0</v>
      </c>
      <c r="X73" s="177"/>
    </row>
    <row r="74" customFormat="false" ht="18.75" hidden="false" customHeight="true" outlineLevel="0" collapsed="false">
      <c r="B74" s="182" t="s">
        <v>63</v>
      </c>
      <c r="C74" s="185"/>
      <c r="D74" s="207"/>
      <c r="E74" s="208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7"/>
    </row>
    <row r="75" customFormat="false" ht="18.75" hidden="false" customHeight="true" outlineLevel="0" collapsed="false">
      <c r="B75" s="182" t="s">
        <v>64</v>
      </c>
      <c r="C75" s="18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7"/>
    </row>
    <row r="76" customFormat="false" ht="18.75" hidden="false" customHeight="true" outlineLevel="0" collapsed="false">
      <c r="B76" s="187" t="s">
        <v>152</v>
      </c>
      <c r="C76" s="209"/>
      <c r="D76" s="189" t="n">
        <f aca="false">SUM(D64:D75)</f>
        <v>430396.917296</v>
      </c>
      <c r="E76" s="189" t="n">
        <f aca="false">SUM(E64:E75)</f>
        <v>-153265.047804587</v>
      </c>
      <c r="F76" s="189" t="n">
        <f aca="false">SUM(F64:F75)</f>
        <v>-133357.129276373</v>
      </c>
      <c r="G76" s="189" t="n">
        <f aca="false">SUM(G64:G75)</f>
        <v>-113449.21074816</v>
      </c>
      <c r="H76" s="189" t="n">
        <f aca="false">SUM(H64:H75)</f>
        <v>-93541.2922199467</v>
      </c>
      <c r="I76" s="189" t="n">
        <f aca="false">SUM(I64:I75)</f>
        <v>-73633.3736917334</v>
      </c>
      <c r="J76" s="189" t="n">
        <f aca="false">SUM(J64:J75)</f>
        <v>-53725.4551635198</v>
      </c>
      <c r="K76" s="189" t="n">
        <f aca="false">SUM(K64:K75)</f>
        <v>-33817.5366353066</v>
      </c>
      <c r="L76" s="189" t="n">
        <f aca="false">SUM(L64:L75)</f>
        <v>-13909.6181070933</v>
      </c>
      <c r="M76" s="189" t="n">
        <f aca="false">SUM(M64:M75)</f>
        <v>5998.30042112005</v>
      </c>
      <c r="N76" s="189" t="n">
        <f aca="false">SUM(N64:N75)</f>
        <v>69516.2189493334</v>
      </c>
      <c r="O76" s="189" t="n">
        <f aca="false">SUM(O64:O75)</f>
        <v>89424.1374775467</v>
      </c>
      <c r="P76" s="189" t="n">
        <f aca="false">SUM(P64:P75)</f>
        <v>109332.05600576</v>
      </c>
      <c r="Q76" s="189" t="n">
        <f aca="false">SUM(Q64:Q75)</f>
        <v>129239.974533973</v>
      </c>
      <c r="R76" s="189" t="n">
        <f aca="false">SUM(R64:R75)</f>
        <v>149147.893062187</v>
      </c>
      <c r="S76" s="189" t="n">
        <f aca="false">SUM(S64:S75)</f>
        <v>169055.8115904</v>
      </c>
      <c r="T76" s="189" t="n">
        <f aca="false">SUM(T64:T75)</f>
        <v>163365.59046528</v>
      </c>
      <c r="U76" s="189" t="n">
        <f aca="false">SUM(U64:U75)</f>
        <v>157675.36934016</v>
      </c>
      <c r="V76" s="189" t="n">
        <f aca="false">SUM(V64:V75)</f>
        <v>151985.14821504</v>
      </c>
      <c r="W76" s="189" t="n">
        <f aca="false">SUM(W64:W75)</f>
        <v>146294.92708992</v>
      </c>
      <c r="X76" s="189" t="n">
        <f aca="false">SUM(X64:X75)</f>
        <v>0</v>
      </c>
    </row>
    <row r="77" customFormat="false" ht="18.75" hidden="false" customHeight="true" outlineLevel="0" collapsed="false">
      <c r="B77" s="186" t="s">
        <v>66</v>
      </c>
      <c r="C77" s="185"/>
      <c r="D77" s="184" t="n">
        <f aca="false">-D76*0.2</f>
        <v>-86079.3834592</v>
      </c>
      <c r="E77" s="184" t="n">
        <f aca="false">-E76*0.2</f>
        <v>30653.0095609174</v>
      </c>
      <c r="F77" s="184" t="n">
        <f aca="false">-F76*0.2</f>
        <v>26671.4258552746</v>
      </c>
      <c r="G77" s="184" t="n">
        <f aca="false">-G76*0.2</f>
        <v>22689.842149632</v>
      </c>
      <c r="H77" s="184" t="n">
        <f aca="false">-H76*0.2</f>
        <v>18708.2584439893</v>
      </c>
      <c r="I77" s="184" t="n">
        <f aca="false">-I76*0.2</f>
        <v>14726.6747383467</v>
      </c>
      <c r="J77" s="184" t="n">
        <f aca="false">-J76*0.2</f>
        <v>10745.091032704</v>
      </c>
      <c r="K77" s="184" t="n">
        <f aca="false">-K76*0.2</f>
        <v>6763.50732706133</v>
      </c>
      <c r="L77" s="184" t="n">
        <f aca="false">-L76*0.2</f>
        <v>2781.92362141867</v>
      </c>
      <c r="M77" s="184" t="n">
        <f aca="false">-M76*0.2</f>
        <v>-1199.66008422401</v>
      </c>
      <c r="N77" s="184" t="n">
        <f aca="false">-N76*0.2</f>
        <v>-13903.2437898667</v>
      </c>
      <c r="O77" s="184" t="n">
        <f aca="false">-O76*0.2</f>
        <v>-17884.8274955093</v>
      </c>
      <c r="P77" s="184" t="n">
        <f aca="false">-P76*0.2</f>
        <v>-21866.411201152</v>
      </c>
      <c r="Q77" s="184" t="n">
        <f aca="false">-Q76*0.2</f>
        <v>-25847.9949067947</v>
      </c>
      <c r="R77" s="184" t="n">
        <f aca="false">-R76*0.2</f>
        <v>-29829.5786124374</v>
      </c>
      <c r="S77" s="184" t="n">
        <f aca="false">-S76*0.2</f>
        <v>-33811.16231808</v>
      </c>
      <c r="T77" s="184" t="n">
        <f aca="false">-T76*0.2</f>
        <v>-32673.118093056</v>
      </c>
      <c r="U77" s="184" t="n">
        <f aca="false">-U76*0.2</f>
        <v>-31535.073868032</v>
      </c>
      <c r="V77" s="184" t="n">
        <f aca="false">-V76*0.2</f>
        <v>-30397.029643008</v>
      </c>
      <c r="W77" s="184" t="n">
        <f aca="false">-W76*0.2</f>
        <v>-29258.985417984</v>
      </c>
      <c r="X77" s="184" t="n">
        <f aca="false">-X76*0.2</f>
        <v>-0</v>
      </c>
    </row>
    <row r="78" customFormat="false" ht="15.75" hidden="false" customHeight="true" outlineLevel="0" collapsed="false">
      <c r="B78" s="210" t="s">
        <v>76</v>
      </c>
      <c r="D78" s="184" t="n">
        <f aca="false">SUM(D76:D77)</f>
        <v>344317.5338368</v>
      </c>
      <c r="E78" s="184" t="n">
        <f aca="false">SUM(E76:E77)</f>
        <v>-122612.038243669</v>
      </c>
      <c r="F78" s="184" t="n">
        <f aca="false">SUM(F76:F77)</f>
        <v>-106685.703421099</v>
      </c>
      <c r="G78" s="184" t="n">
        <f aca="false">SUM(G76:G77)</f>
        <v>-90759.3685985279</v>
      </c>
      <c r="H78" s="184" t="n">
        <f aca="false">SUM(H76:H77)</f>
        <v>-74833.0337759574</v>
      </c>
      <c r="I78" s="184" t="n">
        <f aca="false">SUM(I76:I77)</f>
        <v>-58906.6989533867</v>
      </c>
      <c r="J78" s="184" t="n">
        <f aca="false">SUM(J76:J77)</f>
        <v>-42980.3641308158</v>
      </c>
      <c r="K78" s="184" t="n">
        <f aca="false">SUM(K76:K77)</f>
        <v>-27054.0293082453</v>
      </c>
      <c r="L78" s="184" t="n">
        <f aca="false">SUM(L76:L77)</f>
        <v>-11127.6944856747</v>
      </c>
      <c r="M78" s="184" t="n">
        <f aca="false">SUM(M76:M77)</f>
        <v>4798.64033689604</v>
      </c>
      <c r="N78" s="184" t="n">
        <f aca="false">SUM(N76:N77)</f>
        <v>55612.9751594668</v>
      </c>
      <c r="O78" s="184" t="n">
        <f aca="false">SUM(O76:O77)</f>
        <v>71539.3099820374</v>
      </c>
      <c r="P78" s="184" t="n">
        <f aca="false">SUM(P76:P77)</f>
        <v>87465.6448046081</v>
      </c>
      <c r="Q78" s="184" t="n">
        <f aca="false">SUM(Q76:Q77)</f>
        <v>103391.979627179</v>
      </c>
      <c r="R78" s="184" t="n">
        <f aca="false">SUM(R76:R77)</f>
        <v>119318.314449749</v>
      </c>
      <c r="S78" s="184" t="n">
        <f aca="false">SUM(S76:S77)</f>
        <v>135244.64927232</v>
      </c>
      <c r="T78" s="184" t="n">
        <f aca="false">SUM(T76:T77)</f>
        <v>130692.472372224</v>
      </c>
      <c r="U78" s="184" t="n">
        <f aca="false">SUM(U76:U77)</f>
        <v>126140.295472128</v>
      </c>
      <c r="V78" s="184" t="n">
        <f aca="false">SUM(V76:V77)</f>
        <v>121588.118572032</v>
      </c>
      <c r="W78" s="184" t="n">
        <f aca="false">SUM(W76:W77)</f>
        <v>117035.941671936</v>
      </c>
      <c r="X78" s="184" t="n">
        <f aca="false">SUM(X76:X77)</f>
        <v>0</v>
      </c>
    </row>
    <row r="79" customFormat="false" ht="18.75" hidden="false" customHeight="true" outlineLevel="0" collapsed="false">
      <c r="B79" s="193" t="s">
        <v>68</v>
      </c>
      <c r="C79" s="196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2"/>
    </row>
    <row r="80" customFormat="false" ht="18.75" hidden="false" customHeight="true" outlineLevel="0" collapsed="false">
      <c r="B80" s="213" t="s">
        <v>74</v>
      </c>
      <c r="C80" s="214"/>
      <c r="D80" s="215"/>
      <c r="E80" s="215"/>
      <c r="F80" s="215"/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6"/>
    </row>
    <row r="81" customFormat="false" ht="18.75" hidden="false" customHeight="true" outlineLevel="0" collapsed="false">
      <c r="B81" s="202"/>
      <c r="C81" s="201"/>
      <c r="D81" s="201"/>
      <c r="E81" s="201"/>
      <c r="F81" s="202"/>
      <c r="G81" s="202"/>
      <c r="H81" s="202"/>
      <c r="I81" s="202"/>
      <c r="J81" s="202"/>
      <c r="K81" s="202"/>
      <c r="L81" s="202"/>
      <c r="M81" s="201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</row>
    <row r="82" customFormat="false" ht="18.75" hidden="false" customHeight="true" outlineLevel="0" collapsed="false">
      <c r="C82" s="217" t="s">
        <v>48</v>
      </c>
      <c r="D82" s="218" t="n">
        <f aca="false">D37</f>
        <v>2023</v>
      </c>
      <c r="E82" s="218" t="n">
        <f aca="false">E37</f>
        <v>2024</v>
      </c>
      <c r="F82" s="218" t="n">
        <f aca="false">F37</f>
        <v>2025</v>
      </c>
      <c r="G82" s="218" t="n">
        <f aca="false">G37</f>
        <v>2026</v>
      </c>
      <c r="H82" s="218" t="n">
        <f aca="false">H37</f>
        <v>2027</v>
      </c>
      <c r="I82" s="218" t="n">
        <f aca="false">I37</f>
        <v>2028</v>
      </c>
      <c r="J82" s="218" t="n">
        <f aca="false">J37</f>
        <v>2029</v>
      </c>
      <c r="K82" s="218" t="n">
        <f aca="false">K37</f>
        <v>2030</v>
      </c>
      <c r="L82" s="218" t="n">
        <f aca="false">L37</f>
        <v>2031</v>
      </c>
      <c r="M82" s="218" t="n">
        <f aca="false">M37</f>
        <v>2032</v>
      </c>
      <c r="N82" s="218" t="n">
        <f aca="false">N37</f>
        <v>2033</v>
      </c>
      <c r="O82" s="218" t="n">
        <f aca="false">O37</f>
        <v>2034</v>
      </c>
      <c r="P82" s="218" t="n">
        <f aca="false">P37</f>
        <v>2035</v>
      </c>
      <c r="Q82" s="218" t="n">
        <f aca="false">Q37</f>
        <v>2036</v>
      </c>
      <c r="R82" s="218" t="n">
        <f aca="false">R37</f>
        <v>2037</v>
      </c>
      <c r="S82" s="218" t="n">
        <f aca="false">S37</f>
        <v>2038</v>
      </c>
      <c r="T82" s="218" t="n">
        <f aca="false">T37</f>
        <v>2039</v>
      </c>
      <c r="U82" s="218" t="n">
        <f aca="false">U37</f>
        <v>2040</v>
      </c>
      <c r="V82" s="218" t="n">
        <f aca="false">V37</f>
        <v>2041</v>
      </c>
      <c r="W82" s="218" t="n">
        <f aca="false">W37</f>
        <v>2042</v>
      </c>
      <c r="X82" s="72"/>
    </row>
    <row r="83" customFormat="false" ht="18.75" hidden="false" customHeight="true" outlineLevel="0" collapsed="false">
      <c r="X83" s="203"/>
    </row>
    <row r="84" customFormat="false" ht="18.75" hidden="false" customHeight="true" outlineLevel="0" collapsed="false">
      <c r="B84" s="219" t="s">
        <v>51</v>
      </c>
      <c r="C84" s="219" t="n">
        <v>0</v>
      </c>
      <c r="D84" s="219" t="n">
        <v>1</v>
      </c>
      <c r="E84" s="219" t="n">
        <v>2</v>
      </c>
      <c r="F84" s="219" t="n">
        <v>3</v>
      </c>
      <c r="G84" s="219" t="n">
        <v>4</v>
      </c>
      <c r="H84" s="219" t="n">
        <v>5</v>
      </c>
      <c r="I84" s="219" t="n">
        <v>6</v>
      </c>
      <c r="J84" s="219" t="n">
        <v>7</v>
      </c>
      <c r="K84" s="219" t="n">
        <v>8</v>
      </c>
      <c r="L84" s="219" t="n">
        <v>9</v>
      </c>
      <c r="M84" s="219" t="n">
        <v>10</v>
      </c>
      <c r="N84" s="219" t="n">
        <v>11</v>
      </c>
      <c r="O84" s="219" t="n">
        <v>12</v>
      </c>
      <c r="P84" s="219" t="n">
        <v>13</v>
      </c>
      <c r="Q84" s="219" t="n">
        <v>14</v>
      </c>
      <c r="R84" s="219" t="n">
        <v>15</v>
      </c>
      <c r="S84" s="219" t="n">
        <v>16</v>
      </c>
      <c r="T84" s="219" t="n">
        <v>17</v>
      </c>
      <c r="U84" s="219" t="n">
        <v>18</v>
      </c>
      <c r="V84" s="219" t="n">
        <v>19</v>
      </c>
      <c r="W84" s="219" t="n">
        <v>20</v>
      </c>
      <c r="X84" s="103"/>
    </row>
    <row r="85" customFormat="false" ht="18.75" hidden="false" customHeight="true" outlineLevel="0" collapsed="false">
      <c r="B85" s="220" t="s">
        <v>76</v>
      </c>
      <c r="C85" s="220"/>
      <c r="D85" s="221" t="n">
        <f aca="false">D78</f>
        <v>344317.5338368</v>
      </c>
      <c r="E85" s="221" t="n">
        <f aca="false">E78</f>
        <v>-122612.038243669</v>
      </c>
      <c r="F85" s="221" t="n">
        <f aca="false">F78</f>
        <v>-106685.703421099</v>
      </c>
      <c r="G85" s="221" t="n">
        <f aca="false">G78</f>
        <v>-90759.3685985279</v>
      </c>
      <c r="H85" s="221" t="n">
        <f aca="false">H78</f>
        <v>-74833.0337759574</v>
      </c>
      <c r="I85" s="221" t="n">
        <f aca="false">I78</f>
        <v>-58906.6989533867</v>
      </c>
      <c r="J85" s="221" t="n">
        <f aca="false">J78</f>
        <v>-42980.3641308158</v>
      </c>
      <c r="K85" s="221" t="n">
        <f aca="false">K78</f>
        <v>-27054.0293082453</v>
      </c>
      <c r="L85" s="221" t="n">
        <f aca="false">L78</f>
        <v>-11127.6944856747</v>
      </c>
      <c r="M85" s="221" t="n">
        <f aca="false">M78</f>
        <v>4798.64033689604</v>
      </c>
      <c r="N85" s="221" t="n">
        <f aca="false">N78</f>
        <v>55612.9751594668</v>
      </c>
      <c r="O85" s="221" t="n">
        <f aca="false">O78</f>
        <v>71539.3099820374</v>
      </c>
      <c r="P85" s="221" t="n">
        <f aca="false">P78</f>
        <v>87465.6448046081</v>
      </c>
      <c r="Q85" s="221" t="n">
        <f aca="false">Q78</f>
        <v>103391.979627179</v>
      </c>
      <c r="R85" s="221" t="n">
        <f aca="false">R78</f>
        <v>119318.314449749</v>
      </c>
      <c r="S85" s="221" t="n">
        <f aca="false">S78</f>
        <v>135244.64927232</v>
      </c>
      <c r="T85" s="221" t="n">
        <f aca="false">T78</f>
        <v>130692.472372224</v>
      </c>
      <c r="U85" s="221" t="n">
        <f aca="false">U78</f>
        <v>126140.295472128</v>
      </c>
      <c r="V85" s="221" t="n">
        <f aca="false">V78</f>
        <v>121588.118572032</v>
      </c>
      <c r="W85" s="221" t="n">
        <f aca="false">W78</f>
        <v>117035.941671936</v>
      </c>
      <c r="X85" s="220"/>
      <c r="Y85" s="220"/>
    </row>
    <row r="86" customFormat="false" ht="15.75" hidden="false" customHeight="true" outlineLevel="0" collapsed="false">
      <c r="B86" s="220" t="s">
        <v>77</v>
      </c>
      <c r="C86" s="220"/>
      <c r="D86" s="222" t="n">
        <f aca="false">-D67</f>
        <v>937615</v>
      </c>
      <c r="E86" s="222" t="n">
        <f aca="false">-E67</f>
        <v>937615</v>
      </c>
      <c r="F86" s="222" t="n">
        <f aca="false">-F67</f>
        <v>937615</v>
      </c>
      <c r="G86" s="222" t="n">
        <f aca="false">-G67</f>
        <v>937615</v>
      </c>
      <c r="H86" s="222" t="n">
        <f aca="false">-H67</f>
        <v>937615</v>
      </c>
      <c r="I86" s="222" t="n">
        <f aca="false">-I67</f>
        <v>937615</v>
      </c>
      <c r="J86" s="222" t="n">
        <f aca="false">-J67</f>
        <v>937615</v>
      </c>
      <c r="K86" s="222" t="n">
        <f aca="false">-K67</f>
        <v>937615</v>
      </c>
      <c r="L86" s="222" t="n">
        <f aca="false">-L67</f>
        <v>937615</v>
      </c>
      <c r="M86" s="222" t="n">
        <f aca="false">-M67</f>
        <v>937615</v>
      </c>
      <c r="N86" s="222" t="n">
        <f aca="false">-N67</f>
        <v>937615</v>
      </c>
      <c r="O86" s="222" t="n">
        <f aca="false">-O67</f>
        <v>937615</v>
      </c>
      <c r="P86" s="222" t="n">
        <f aca="false">-P67</f>
        <v>937615</v>
      </c>
      <c r="Q86" s="222" t="n">
        <f aca="false">-Q67</f>
        <v>937615</v>
      </c>
      <c r="R86" s="222" t="n">
        <f aca="false">-R67</f>
        <v>937615</v>
      </c>
      <c r="S86" s="222" t="n">
        <f aca="false">-S67</f>
        <v>937615</v>
      </c>
      <c r="T86" s="222" t="n">
        <f aca="false">-T67</f>
        <v>937615</v>
      </c>
      <c r="U86" s="222" t="n">
        <f aca="false">-U67</f>
        <v>937615</v>
      </c>
      <c r="V86" s="222" t="n">
        <f aca="false">-V67</f>
        <v>937615</v>
      </c>
      <c r="W86" s="222" t="n">
        <f aca="false">-W67</f>
        <v>937615</v>
      </c>
      <c r="X86" s="223"/>
      <c r="Y86" s="223"/>
    </row>
    <row r="87" customFormat="false" ht="15.75" hidden="false" customHeight="true" outlineLevel="0" collapsed="false">
      <c r="B87" s="220" t="s">
        <v>78</v>
      </c>
      <c r="C87" s="220"/>
      <c r="D87" s="224" t="n">
        <f aca="false">SUM(D85:D86)</f>
        <v>1281932.5338368</v>
      </c>
      <c r="E87" s="224" t="n">
        <f aca="false">SUM(E85:E86)</f>
        <v>815002.961756331</v>
      </c>
      <c r="F87" s="224" t="n">
        <f aca="false">SUM(F85:F86)</f>
        <v>830929.296578902</v>
      </c>
      <c r="G87" s="224" t="n">
        <f aca="false">SUM(G85:G86)</f>
        <v>846855.631401472</v>
      </c>
      <c r="H87" s="224" t="n">
        <f aca="false">SUM(H85:H86)</f>
        <v>862781.966224043</v>
      </c>
      <c r="I87" s="224" t="n">
        <f aca="false">SUM(I85:I86)</f>
        <v>878708.301046613</v>
      </c>
      <c r="J87" s="224" t="n">
        <f aca="false">SUM(J85:J86)</f>
        <v>894634.635869184</v>
      </c>
      <c r="K87" s="224" t="n">
        <f aca="false">SUM(K85:K86)</f>
        <v>910560.970691755</v>
      </c>
      <c r="L87" s="224" t="n">
        <f aca="false">SUM(L85:L86)</f>
        <v>926487.305514325</v>
      </c>
      <c r="M87" s="224" t="n">
        <f aca="false">SUM(M85:M86)</f>
        <v>942413.640336896</v>
      </c>
      <c r="N87" s="224" t="n">
        <f aca="false">SUM(N85:N86)</f>
        <v>993227.975159467</v>
      </c>
      <c r="O87" s="224" t="n">
        <f aca="false">SUM(O85:O86)</f>
        <v>1009154.30998204</v>
      </c>
      <c r="P87" s="224" t="n">
        <f aca="false">SUM(P85:P86)</f>
        <v>1025080.64480461</v>
      </c>
      <c r="Q87" s="224" t="n">
        <f aca="false">SUM(Q85:Q86)</f>
        <v>1041006.97962718</v>
      </c>
      <c r="R87" s="224" t="n">
        <f aca="false">SUM(R85:R86)</f>
        <v>1056933.31444975</v>
      </c>
      <c r="S87" s="224" t="n">
        <f aca="false">SUM(S85:S86)</f>
        <v>1072859.64927232</v>
      </c>
      <c r="T87" s="224" t="n">
        <f aca="false">SUM(T85:T86)</f>
        <v>1068307.47237222</v>
      </c>
      <c r="U87" s="224" t="n">
        <f aca="false">SUM(U85:U86)</f>
        <v>1063755.29547213</v>
      </c>
      <c r="V87" s="224" t="n">
        <f aca="false">SUM(V85:V86)</f>
        <v>1059203.11857203</v>
      </c>
      <c r="W87" s="224" t="n">
        <f aca="false">SUM(W85:W86)</f>
        <v>1054650.94167194</v>
      </c>
      <c r="X87" s="192"/>
    </row>
    <row r="88" customFormat="false" ht="15.75" hidden="false" customHeight="true" outlineLevel="0" collapsed="false">
      <c r="B88" s="220"/>
      <c r="C88" s="220"/>
      <c r="D88" s="220"/>
      <c r="E88" s="220"/>
      <c r="F88" s="225"/>
      <c r="G88" s="225"/>
      <c r="H88" s="225"/>
      <c r="I88" s="225"/>
      <c r="J88" s="225"/>
      <c r="K88" s="225"/>
      <c r="L88" s="225"/>
      <c r="M88" s="225"/>
      <c r="N88" s="225"/>
      <c r="O88" s="225"/>
      <c r="P88" s="225"/>
      <c r="Q88" s="225"/>
      <c r="R88" s="225"/>
      <c r="S88" s="225"/>
      <c r="T88" s="225"/>
      <c r="U88" s="225"/>
      <c r="V88" s="225"/>
      <c r="W88" s="225"/>
      <c r="X88" s="191"/>
    </row>
    <row r="89" customFormat="false" ht="15.75" hidden="false" customHeight="true" outlineLevel="0" collapsed="false">
      <c r="B89" s="226" t="s">
        <v>79</v>
      </c>
      <c r="C89" s="227"/>
      <c r="D89" s="228" t="n">
        <f aca="false">C44</f>
        <v>-18752300</v>
      </c>
      <c r="E89" s="227"/>
      <c r="F89" s="227"/>
      <c r="G89" s="227"/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9"/>
    </row>
    <row r="90" customFormat="false" ht="15.75" hidden="false" customHeight="true" outlineLevel="0" collapsed="false">
      <c r="B90" s="220"/>
      <c r="C90" s="220"/>
      <c r="D90" s="220"/>
      <c r="E90" s="220"/>
      <c r="F90" s="225"/>
      <c r="G90" s="225"/>
      <c r="H90" s="225"/>
      <c r="I90" s="225"/>
      <c r="J90" s="225"/>
      <c r="K90" s="225"/>
      <c r="L90" s="225"/>
      <c r="M90" s="225"/>
      <c r="N90" s="225"/>
      <c r="O90" s="225"/>
      <c r="P90" s="225"/>
      <c r="Q90" s="225"/>
      <c r="R90" s="225"/>
      <c r="S90" s="225"/>
      <c r="T90" s="225"/>
      <c r="U90" s="225"/>
      <c r="V90" s="225"/>
      <c r="W90" s="225"/>
      <c r="X90" s="191"/>
    </row>
    <row r="91" customFormat="false" ht="15.75" hidden="false" customHeight="true" outlineLevel="0" collapsed="false">
      <c r="B91" s="220"/>
      <c r="C91" s="220"/>
      <c r="D91" s="220"/>
      <c r="E91" s="220"/>
      <c r="F91" s="225"/>
      <c r="G91" s="225"/>
      <c r="H91" s="225"/>
      <c r="I91" s="225"/>
      <c r="J91" s="225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191"/>
    </row>
    <row r="92" customFormat="false" ht="15.75" hidden="false" customHeight="true" outlineLevel="0" collapsed="false">
      <c r="B92" s="226" t="s">
        <v>80</v>
      </c>
      <c r="C92" s="227"/>
      <c r="D92" s="228" t="n">
        <f aca="false">-D89*D31</f>
        <v>15001840</v>
      </c>
      <c r="E92" s="227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191"/>
    </row>
    <row r="93" customFormat="false" ht="15.75" hidden="false" customHeight="true" outlineLevel="0" collapsed="false">
      <c r="B93" s="220" t="s">
        <v>81</v>
      </c>
      <c r="C93" s="220"/>
      <c r="D93" s="230"/>
      <c r="E93" s="230" t="n">
        <v>-1000122.66666667</v>
      </c>
      <c r="F93" s="230" t="n">
        <v>-1000122.66666667</v>
      </c>
      <c r="G93" s="230" t="n">
        <v>-1000122.66666667</v>
      </c>
      <c r="H93" s="230" t="n">
        <v>-1000122.66666667</v>
      </c>
      <c r="I93" s="230" t="n">
        <v>-1000122.66666667</v>
      </c>
      <c r="J93" s="230" t="n">
        <v>-1000122.66666667</v>
      </c>
      <c r="K93" s="230" t="n">
        <v>-1000122.66666667</v>
      </c>
      <c r="L93" s="230" t="n">
        <v>-1000122.66666667</v>
      </c>
      <c r="M93" s="230" t="n">
        <v>-1000122.66666667</v>
      </c>
      <c r="N93" s="230" t="n">
        <v>-1000122.66666667</v>
      </c>
      <c r="O93" s="230" t="n">
        <v>-1000122.66666667</v>
      </c>
      <c r="P93" s="230" t="n">
        <v>-1000122.66666667</v>
      </c>
      <c r="Q93" s="230" t="n">
        <v>-1000122.66666667</v>
      </c>
      <c r="R93" s="230" t="n">
        <v>-1000122.66666667</v>
      </c>
      <c r="S93" s="230" t="n">
        <v>-1000122.66666667</v>
      </c>
      <c r="T93" s="230" t="n">
        <v>0</v>
      </c>
      <c r="U93" s="230" t="n">
        <v>0</v>
      </c>
      <c r="V93" s="230" t="n">
        <v>0</v>
      </c>
      <c r="W93" s="230" t="n">
        <v>0</v>
      </c>
      <c r="X93" s="229"/>
    </row>
    <row r="94" customFormat="false" ht="15.75" hidden="false" customHeight="true" outlineLevel="0" collapsed="false">
      <c r="B94" s="220" t="s">
        <v>82</v>
      </c>
      <c r="C94" s="225"/>
      <c r="D94" s="221" t="n">
        <f aca="false">-D89*(1-D31)</f>
        <v>3750460</v>
      </c>
      <c r="E94" s="225"/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192"/>
    </row>
    <row r="95" customFormat="false" ht="15.75" hidden="false" customHeight="true" outlineLevel="0" collapsed="false">
      <c r="B95" s="220" t="s">
        <v>45</v>
      </c>
      <c r="C95" s="225"/>
      <c r="D95" s="225"/>
      <c r="E95" s="231" t="n">
        <f aca="false">-D85*$D$33</f>
        <v>-309885.78045312</v>
      </c>
      <c r="F95" s="231" t="n">
        <f aca="false">-E85*$D$33</f>
        <v>110350.834419303</v>
      </c>
      <c r="G95" s="231" t="n">
        <f aca="false">-F85*$D$33</f>
        <v>96017.1330789887</v>
      </c>
      <c r="H95" s="231" t="n">
        <f aca="false">-G85*$D$33</f>
        <v>81683.4317386752</v>
      </c>
      <c r="I95" s="231" t="n">
        <f aca="false">-H85*$D$33</f>
        <v>67349.7303983616</v>
      </c>
      <c r="J95" s="231" t="n">
        <f aca="false">-I85*$D$33</f>
        <v>53016.0290580481</v>
      </c>
      <c r="K95" s="231" t="n">
        <f aca="false">-J85*$D$33</f>
        <v>38682.3277177342</v>
      </c>
      <c r="L95" s="231" t="n">
        <f aca="false">-K85*$D$33</f>
        <v>24348.6263774208</v>
      </c>
      <c r="M95" s="231" t="n">
        <f aca="false">-L85*$D$33</f>
        <v>10014.9250371072</v>
      </c>
      <c r="N95" s="231" t="n">
        <f aca="false">-M85*$D$33</f>
        <v>-4318.77630320644</v>
      </c>
      <c r="O95" s="231" t="n">
        <f aca="false">-N85*$D$33</f>
        <v>-50051.6776435201</v>
      </c>
      <c r="P95" s="231" t="n">
        <f aca="false">-O85*$D$33</f>
        <v>-64385.3789838336</v>
      </c>
      <c r="Q95" s="231" t="n">
        <f aca="false">-P85*$D$33</f>
        <v>-78719.0803241473</v>
      </c>
      <c r="R95" s="231" t="n">
        <f aca="false">-Q85*$D$33</f>
        <v>-93052.7816644609</v>
      </c>
      <c r="S95" s="231" t="n">
        <f aca="false">-R85*$D$33</f>
        <v>-107386.483004774</v>
      </c>
      <c r="T95" s="231" t="n">
        <f aca="false">-S85*$D$33</f>
        <v>-121720.184345088</v>
      </c>
      <c r="U95" s="231" t="n">
        <f aca="false">-T85*$D$33</f>
        <v>-117623.225135002</v>
      </c>
      <c r="V95" s="231" t="n">
        <f aca="false">-U85*$D$33</f>
        <v>-113526.265924915</v>
      </c>
      <c r="W95" s="231" t="n">
        <f aca="false">-V85*$D$33</f>
        <v>-109429.306714829</v>
      </c>
      <c r="X95" s="231" t="n">
        <f aca="false">-W85*$D$33</f>
        <v>-105332.347504743</v>
      </c>
    </row>
    <row r="96" customFormat="false" ht="15.75" hidden="false" customHeight="true" outlineLevel="0" collapsed="false">
      <c r="B96" s="232" t="s">
        <v>47</v>
      </c>
      <c r="C96" s="233"/>
      <c r="D96" s="233" t="n">
        <v>0</v>
      </c>
      <c r="E96" s="234" t="n">
        <v>0</v>
      </c>
      <c r="F96" s="234" t="n">
        <v>0</v>
      </c>
      <c r="G96" s="234" t="n">
        <v>0</v>
      </c>
      <c r="H96" s="234" t="n">
        <v>0</v>
      </c>
      <c r="I96" s="234" t="n">
        <v>0</v>
      </c>
      <c r="J96" s="234" t="n">
        <v>0</v>
      </c>
      <c r="K96" s="234" t="n">
        <v>0</v>
      </c>
      <c r="L96" s="234" t="n">
        <v>0</v>
      </c>
      <c r="M96" s="234" t="n">
        <v>0</v>
      </c>
      <c r="N96" s="234" t="n">
        <v>0</v>
      </c>
      <c r="O96" s="234" t="n">
        <v>0</v>
      </c>
      <c r="P96" s="234" t="n">
        <v>0</v>
      </c>
      <c r="Q96" s="234" t="n">
        <v>0</v>
      </c>
      <c r="R96" s="234" t="n">
        <v>0</v>
      </c>
      <c r="S96" s="234" t="n">
        <v>0</v>
      </c>
      <c r="T96" s="234" t="n">
        <v>-937615</v>
      </c>
      <c r="U96" s="234" t="n">
        <v>-937615</v>
      </c>
      <c r="V96" s="234" t="n">
        <v>-937615</v>
      </c>
      <c r="W96" s="234" t="n">
        <v>-937615</v>
      </c>
      <c r="X96" s="235" t="n">
        <f aca="false">-W101-X95</f>
        <v>-88218.6944639942</v>
      </c>
    </row>
    <row r="97" customFormat="false" ht="15.75" hidden="false" customHeight="true" outlineLevel="0" collapsed="false">
      <c r="B97" s="225"/>
      <c r="C97" s="225"/>
      <c r="D97" s="225"/>
      <c r="E97" s="225"/>
      <c r="F97" s="22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192"/>
    </row>
    <row r="98" customFormat="false" ht="15.75" hidden="false" customHeight="true" outlineLevel="0" collapsed="false">
      <c r="B98" s="225"/>
      <c r="C98" s="225"/>
      <c r="D98" s="225"/>
      <c r="E98" s="225"/>
      <c r="F98" s="22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192"/>
    </row>
    <row r="99" customFormat="false" ht="15.75" hidden="false" customHeight="true" outlineLevel="0" collapsed="false">
      <c r="B99" s="220" t="s">
        <v>83</v>
      </c>
      <c r="C99" s="221" t="n">
        <v>0</v>
      </c>
      <c r="D99" s="221" t="n">
        <f aca="false">SUM(D87:D96)</f>
        <v>1281932.5338368</v>
      </c>
      <c r="E99" s="221" t="n">
        <f aca="false">SUM(E87:E96)</f>
        <v>-495005.485363456</v>
      </c>
      <c r="F99" s="221" t="n">
        <f aca="false">SUM(F87:F96)</f>
        <v>-58842.535668463</v>
      </c>
      <c r="G99" s="221" t="n">
        <f aca="false">SUM(G87:G96)</f>
        <v>-57249.9021862062</v>
      </c>
      <c r="H99" s="221" t="n">
        <f aca="false">SUM(H87:H96)</f>
        <v>-55657.2687039492</v>
      </c>
      <c r="I99" s="221" t="n">
        <f aca="false">SUM(I87:I96)</f>
        <v>-54064.6352216921</v>
      </c>
      <c r="J99" s="221" t="n">
        <f aca="false">SUM(J87:J96)</f>
        <v>-52472.0017394347</v>
      </c>
      <c r="K99" s="221" t="n">
        <f aca="false">SUM(K87:K96)</f>
        <v>-50879.368257178</v>
      </c>
      <c r="L99" s="221" t="n">
        <f aca="false">SUM(L87:L96)</f>
        <v>-49286.7347749209</v>
      </c>
      <c r="M99" s="221" t="n">
        <f aca="false">SUM(M87:M96)</f>
        <v>-47694.1012926637</v>
      </c>
      <c r="N99" s="221" t="n">
        <f aca="false">SUM(N87:N96)</f>
        <v>-11213.4678104067</v>
      </c>
      <c r="O99" s="221" t="n">
        <f aca="false">SUM(O87:O96)</f>
        <v>-41020.0343281497</v>
      </c>
      <c r="P99" s="221" t="n">
        <f aca="false">SUM(P87:P96)</f>
        <v>-39427.4008458925</v>
      </c>
      <c r="Q99" s="221" t="n">
        <f aca="false">SUM(Q87:Q96)</f>
        <v>-37834.7673636355</v>
      </c>
      <c r="R99" s="221" t="n">
        <f aca="false">SUM(R87:R96)</f>
        <v>-36242.1338813784</v>
      </c>
      <c r="S99" s="221" t="n">
        <f aca="false">SUM(S87:S96)</f>
        <v>-34649.5003991214</v>
      </c>
      <c r="T99" s="221" t="n">
        <f aca="false">SUM(T87:T96)</f>
        <v>8972.28802713566</v>
      </c>
      <c r="U99" s="221" t="n">
        <f aca="false">SUM(U87:U96)</f>
        <v>8517.07033712661</v>
      </c>
      <c r="V99" s="221" t="n">
        <f aca="false">SUM(V87:V96)</f>
        <v>8061.85264711676</v>
      </c>
      <c r="W99" s="221" t="n">
        <f aca="false">SUM(W87:W96)</f>
        <v>7606.63495710725</v>
      </c>
      <c r="X99" s="192"/>
    </row>
    <row r="100" customFormat="false" ht="15.75" hidden="false" customHeight="true" outlineLevel="0" collapsed="false">
      <c r="B100" s="220" t="s">
        <v>84</v>
      </c>
      <c r="C100" s="221" t="n">
        <v>0</v>
      </c>
      <c r="D100" s="221" t="n">
        <f aca="false">C101</f>
        <v>0</v>
      </c>
      <c r="E100" s="221" t="n">
        <f aca="false">D101</f>
        <v>1281932.5338368</v>
      </c>
      <c r="F100" s="221" t="n">
        <f aca="false">E101</f>
        <v>786927.048473343</v>
      </c>
      <c r="G100" s="221" t="n">
        <f aca="false">F101</f>
        <v>728084.51280488</v>
      </c>
      <c r="H100" s="221" t="n">
        <f aca="false">G101</f>
        <v>670834.610618673</v>
      </c>
      <c r="I100" s="221" t="n">
        <f aca="false">H101</f>
        <v>615177.341914724</v>
      </c>
      <c r="J100" s="221" t="n">
        <f aca="false">I101</f>
        <v>561112.706693032</v>
      </c>
      <c r="K100" s="221" t="n">
        <f aca="false">J101</f>
        <v>508640.704953597</v>
      </c>
      <c r="L100" s="221" t="n">
        <f aca="false">K101</f>
        <v>457761.336696419</v>
      </c>
      <c r="M100" s="221" t="n">
        <f aca="false">L101</f>
        <v>408474.601921498</v>
      </c>
      <c r="N100" s="221" t="n">
        <f aca="false">M101</f>
        <v>360780.500628835</v>
      </c>
      <c r="O100" s="221" t="n">
        <f aca="false">N101</f>
        <v>349567.032818428</v>
      </c>
      <c r="P100" s="221" t="n">
        <f aca="false">O101</f>
        <v>308546.998490278</v>
      </c>
      <c r="Q100" s="221" t="n">
        <f aca="false">P101</f>
        <v>269119.597644386</v>
      </c>
      <c r="R100" s="221" t="n">
        <f aca="false">Q101</f>
        <v>231284.83028075</v>
      </c>
      <c r="S100" s="221" t="n">
        <f aca="false">R101</f>
        <v>195042.696399372</v>
      </c>
      <c r="T100" s="221" t="n">
        <f aca="false">S101</f>
        <v>160393.19600025</v>
      </c>
      <c r="U100" s="221" t="n">
        <f aca="false">T101</f>
        <v>169365.484027386</v>
      </c>
      <c r="V100" s="221" t="n">
        <f aca="false">U101</f>
        <v>177882.554364513</v>
      </c>
      <c r="W100" s="221" t="n">
        <f aca="false">V101</f>
        <v>185944.40701163</v>
      </c>
      <c r="X100" s="191"/>
    </row>
    <row r="101" customFormat="false" ht="15.75" hidden="false" customHeight="true" outlineLevel="0" collapsed="false">
      <c r="B101" s="220" t="s">
        <v>85</v>
      </c>
      <c r="C101" s="221" t="n">
        <v>0</v>
      </c>
      <c r="D101" s="221" t="n">
        <f aca="false">D99+D100</f>
        <v>1281932.5338368</v>
      </c>
      <c r="E101" s="221" t="n">
        <f aca="false">E99+E100</f>
        <v>786927.048473343</v>
      </c>
      <c r="F101" s="221" t="n">
        <f aca="false">F99+F100</f>
        <v>728084.51280488</v>
      </c>
      <c r="G101" s="221" t="n">
        <f aca="false">G99+G100</f>
        <v>670834.610618673</v>
      </c>
      <c r="H101" s="221" t="n">
        <f aca="false">H99+H100</f>
        <v>615177.341914724</v>
      </c>
      <c r="I101" s="221" t="n">
        <f aca="false">I99+I100</f>
        <v>561112.706693032</v>
      </c>
      <c r="J101" s="221" t="n">
        <f aca="false">J99+J100</f>
        <v>508640.704953597</v>
      </c>
      <c r="K101" s="221" t="n">
        <f aca="false">K99+K100</f>
        <v>457761.336696419</v>
      </c>
      <c r="L101" s="221" t="n">
        <f aca="false">L99+L100</f>
        <v>408474.601921498</v>
      </c>
      <c r="M101" s="221" t="n">
        <f aca="false">M99+M100</f>
        <v>360780.500628835</v>
      </c>
      <c r="N101" s="221" t="n">
        <f aca="false">N99+N100</f>
        <v>349567.032818428</v>
      </c>
      <c r="O101" s="221" t="n">
        <f aca="false">O99+O100</f>
        <v>308546.998490278</v>
      </c>
      <c r="P101" s="221" t="n">
        <f aca="false">P99+P100</f>
        <v>269119.597644386</v>
      </c>
      <c r="Q101" s="221" t="n">
        <f aca="false">Q99+Q100</f>
        <v>231284.83028075</v>
      </c>
      <c r="R101" s="221" t="n">
        <f aca="false">R99+R100</f>
        <v>195042.696399372</v>
      </c>
      <c r="S101" s="221" t="n">
        <f aca="false">S99+S100</f>
        <v>160393.19600025</v>
      </c>
      <c r="T101" s="221" t="n">
        <f aca="false">T99+T100</f>
        <v>169365.484027386</v>
      </c>
      <c r="U101" s="221" t="n">
        <f aca="false">U99+U100</f>
        <v>177882.554364513</v>
      </c>
      <c r="V101" s="221" t="n">
        <f aca="false">V99+V100</f>
        <v>185944.40701163</v>
      </c>
      <c r="W101" s="221" t="n">
        <f aca="false">W99+W100</f>
        <v>193551.041968737</v>
      </c>
      <c r="X101" s="191"/>
    </row>
    <row r="102" customFormat="false" ht="15.75" hidden="false" customHeight="true" outlineLevel="0" collapsed="false"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</row>
    <row r="103" customFormat="false" ht="15.75" hidden="false" customHeight="true" outlineLevel="0" collapsed="false">
      <c r="B103" s="220"/>
      <c r="C103" s="220"/>
      <c r="D103" s="220"/>
      <c r="E103" s="220"/>
      <c r="F103" s="225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</row>
    <row r="104" customFormat="false" ht="15.75" hidden="false" customHeight="true" outlineLevel="0" collapsed="false">
      <c r="B104" s="236" t="s">
        <v>86</v>
      </c>
      <c r="C104" s="237"/>
      <c r="D104" s="238" t="n">
        <f aca="false">-D94</f>
        <v>-3750460</v>
      </c>
      <c r="E104" s="224" t="n">
        <f aca="false">-E95-E96</f>
        <v>309885.78045312</v>
      </c>
      <c r="F104" s="224" t="n">
        <f aca="false">-F95-F96</f>
        <v>-110350.834419303</v>
      </c>
      <c r="G104" s="224" t="n">
        <f aca="false">-G95-G96</f>
        <v>-96017.1330789887</v>
      </c>
      <c r="H104" s="224" t="n">
        <f aca="false">-H95-H96</f>
        <v>-81683.4317386752</v>
      </c>
      <c r="I104" s="224" t="n">
        <f aca="false">-I95-I96</f>
        <v>-67349.7303983616</v>
      </c>
      <c r="J104" s="224" t="n">
        <f aca="false">-J95-J96</f>
        <v>-53016.0290580481</v>
      </c>
      <c r="K104" s="224" t="n">
        <f aca="false">-K95-K96</f>
        <v>-38682.3277177342</v>
      </c>
      <c r="L104" s="224" t="n">
        <f aca="false">-L95-L96</f>
        <v>-24348.6263774208</v>
      </c>
      <c r="M104" s="224" t="n">
        <f aca="false">-M95-M96</f>
        <v>-10014.9250371072</v>
      </c>
      <c r="N104" s="224" t="n">
        <f aca="false">-N95-N96</f>
        <v>4318.77630320644</v>
      </c>
      <c r="O104" s="224" t="n">
        <f aca="false">-O95-O96</f>
        <v>50051.6776435201</v>
      </c>
      <c r="P104" s="224" t="n">
        <f aca="false">-P95-P96</f>
        <v>64385.3789838336</v>
      </c>
      <c r="Q104" s="224" t="n">
        <f aca="false">-Q95-Q96</f>
        <v>78719.0803241473</v>
      </c>
      <c r="R104" s="224" t="n">
        <f aca="false">-R95-R96</f>
        <v>93052.7816644609</v>
      </c>
      <c r="S104" s="224" t="n">
        <f aca="false">-S95-S96</f>
        <v>107386.483004774</v>
      </c>
      <c r="T104" s="224" t="n">
        <f aca="false">-T95-T96</f>
        <v>1059335.18434509</v>
      </c>
      <c r="U104" s="224" t="n">
        <f aca="false">-U95-U96</f>
        <v>1055238.225135</v>
      </c>
      <c r="V104" s="224" t="n">
        <f aca="false">-V95-V96</f>
        <v>1051141.26592492</v>
      </c>
      <c r="W104" s="224" t="n">
        <f aca="false">-W95-W96</f>
        <v>1047044.30671483</v>
      </c>
      <c r="X104" s="224" t="n">
        <f aca="false">-X95-X96</f>
        <v>193551.041968737</v>
      </c>
    </row>
    <row r="105" customFormat="false" ht="15.75" hidden="false" customHeight="true" outlineLevel="0" collapsed="false">
      <c r="B105" s="220" t="s">
        <v>87</v>
      </c>
      <c r="C105" s="239" t="n">
        <f aca="false">IRR(D104:X104)</f>
        <v>0.0121461793948152</v>
      </c>
      <c r="D105" s="225"/>
      <c r="E105" s="225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</row>
    <row r="106" customFormat="false" ht="15.75" hidden="false" customHeight="true" outlineLevel="0" collapsed="false">
      <c r="B106" s="236" t="s">
        <v>88</v>
      </c>
      <c r="C106" s="237"/>
      <c r="D106" s="238" t="n">
        <f aca="false">D85-D94</f>
        <v>-3406142.4661632</v>
      </c>
      <c r="E106" s="224" t="n">
        <f aca="false">E85</f>
        <v>-122612.038243669</v>
      </c>
      <c r="F106" s="224" t="n">
        <f aca="false">F85-F96</f>
        <v>-106685.703421099</v>
      </c>
      <c r="G106" s="224" t="n">
        <f aca="false">G85-G96</f>
        <v>-90759.3685985279</v>
      </c>
      <c r="H106" s="224" t="n">
        <f aca="false">H85-H96</f>
        <v>-74833.0337759574</v>
      </c>
      <c r="I106" s="224" t="n">
        <f aca="false">I85-I96</f>
        <v>-58906.6989533867</v>
      </c>
      <c r="J106" s="224" t="n">
        <f aca="false">J85-J96</f>
        <v>-42980.3641308158</v>
      </c>
      <c r="K106" s="224" t="n">
        <f aca="false">K85-K96</f>
        <v>-27054.0293082453</v>
      </c>
      <c r="L106" s="224" t="n">
        <f aca="false">L85-L96</f>
        <v>-11127.6944856747</v>
      </c>
      <c r="M106" s="224" t="n">
        <f aca="false">M85-M96</f>
        <v>4798.64033689604</v>
      </c>
      <c r="N106" s="224" t="n">
        <f aca="false">N85-N96</f>
        <v>55612.9751594668</v>
      </c>
      <c r="O106" s="224" t="n">
        <f aca="false">O85-O96</f>
        <v>71539.3099820374</v>
      </c>
      <c r="P106" s="224" t="n">
        <f aca="false">P85-P96</f>
        <v>87465.6448046081</v>
      </c>
      <c r="Q106" s="224" t="n">
        <f aca="false">Q85-Q96</f>
        <v>103391.979627179</v>
      </c>
      <c r="R106" s="224" t="n">
        <f aca="false">R85-R96</f>
        <v>119318.314449749</v>
      </c>
      <c r="S106" s="224" t="n">
        <f aca="false">S85-S96</f>
        <v>135244.64927232</v>
      </c>
      <c r="T106" s="224" t="n">
        <f aca="false">T85-T96</f>
        <v>1068307.47237222</v>
      </c>
      <c r="U106" s="224" t="n">
        <f aca="false">U85-U96</f>
        <v>1063755.29547213</v>
      </c>
      <c r="V106" s="224" t="n">
        <f aca="false">V85-V96</f>
        <v>1059203.11857203</v>
      </c>
      <c r="W106" s="224" t="n">
        <f aca="false">W85-W96</f>
        <v>1054650.94167194</v>
      </c>
      <c r="X106" s="229"/>
    </row>
    <row r="107" customFormat="false" ht="15.75" hidden="false" customHeight="true" outlineLevel="0" collapsed="false">
      <c r="B107" s="236" t="s">
        <v>89</v>
      </c>
      <c r="C107" s="239" t="n">
        <f aca="false">IRR(D106:W106)</f>
        <v>0.0123188431917304</v>
      </c>
      <c r="D107" s="225"/>
      <c r="E107" s="225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</row>
    <row r="108" customFormat="false" ht="15.75" hidden="false" customHeight="true" outlineLevel="0" collapsed="false"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</row>
    <row r="109" customFormat="false" ht="15.75" hidden="false" customHeight="true" outlineLevel="0" collapsed="false">
      <c r="B109" s="220" t="s">
        <v>90</v>
      </c>
      <c r="C109" s="221" t="n">
        <v>0</v>
      </c>
      <c r="D109" s="221" t="n">
        <f aca="false">D92</f>
        <v>15001840</v>
      </c>
      <c r="E109" s="221" t="n">
        <f aca="false">D109+E93</f>
        <v>14001717.3333333</v>
      </c>
      <c r="F109" s="221" t="n">
        <f aca="false">E109+F93</f>
        <v>13001594.6666667</v>
      </c>
      <c r="G109" s="221" t="n">
        <f aca="false">F109+G93</f>
        <v>12001472</v>
      </c>
      <c r="H109" s="221" t="n">
        <f aca="false">G109+H93</f>
        <v>11001349.3333333</v>
      </c>
      <c r="I109" s="221" t="n">
        <f aca="false">H109+I93</f>
        <v>10001226.6666667</v>
      </c>
      <c r="J109" s="221" t="n">
        <f aca="false">I109+J93</f>
        <v>9001103.99999999</v>
      </c>
      <c r="K109" s="221" t="n">
        <f aca="false">J109+K93</f>
        <v>8000981.33333333</v>
      </c>
      <c r="L109" s="221" t="n">
        <f aca="false">K109+L93</f>
        <v>7000858.66666666</v>
      </c>
      <c r="M109" s="221" t="n">
        <f aca="false">L109+M93</f>
        <v>6000735.99999999</v>
      </c>
      <c r="N109" s="221" t="n">
        <f aca="false">M109+N93</f>
        <v>5000613.33333333</v>
      </c>
      <c r="O109" s="221" t="n">
        <f aca="false">N109+O93</f>
        <v>4000490.66666666</v>
      </c>
      <c r="P109" s="221" t="n">
        <f aca="false">O109+P93</f>
        <v>3000367.99999999</v>
      </c>
      <c r="Q109" s="221" t="n">
        <f aca="false">P109+Q93</f>
        <v>2000245.33333332</v>
      </c>
      <c r="R109" s="221" t="n">
        <f aca="false">Q109+R93</f>
        <v>1000122.66666666</v>
      </c>
      <c r="S109" s="221" t="n">
        <f aca="false">R109+S93</f>
        <v>-1.02445483207703E-008</v>
      </c>
      <c r="T109" s="221" t="n">
        <f aca="false">S109+T93</f>
        <v>-1.02445483207703E-008</v>
      </c>
      <c r="U109" s="221" t="n">
        <f aca="false">T109+U93</f>
        <v>-1.02445483207703E-008</v>
      </c>
      <c r="V109" s="221" t="n">
        <f aca="false">U109+V93</f>
        <v>-1.02445483207703E-008</v>
      </c>
      <c r="W109" s="221" t="n">
        <f aca="false">V109+W93</f>
        <v>-1.02445483207703E-008</v>
      </c>
      <c r="X109" s="2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2" t="s">
        <v>0</v>
      </c>
      <c r="C1" s="124"/>
      <c r="D1" s="124"/>
      <c r="E1" s="125"/>
      <c r="F1" s="126" t="s">
        <v>108</v>
      </c>
      <c r="P1" s="127" t="n">
        <f aca="false">1-D11</f>
        <v>0.99</v>
      </c>
      <c r="Q1" s="127" t="n">
        <f aca="false">P1-$D12</f>
        <v>0.986</v>
      </c>
      <c r="R1" s="127" t="n">
        <f aca="false">Q1-$D12</f>
        <v>0.982</v>
      </c>
      <c r="S1" s="127" t="n">
        <f aca="false">R1-$D12</f>
        <v>0.978</v>
      </c>
      <c r="T1" s="127" t="n">
        <f aca="false">S1-$D12</f>
        <v>0.974</v>
      </c>
      <c r="U1" s="127" t="n">
        <f aca="false">T1-$D12</f>
        <v>0.97</v>
      </c>
      <c r="V1" s="127" t="n">
        <f aca="false">U1-$D12</f>
        <v>0.966</v>
      </c>
      <c r="W1" s="127" t="n">
        <f aca="false">V1-$D12</f>
        <v>0.962</v>
      </c>
      <c r="X1" s="127" t="n">
        <f aca="false">W1-$D12</f>
        <v>0.958</v>
      </c>
      <c r="Y1" s="127" t="n">
        <f aca="false">X1-$D12</f>
        <v>0.954</v>
      </c>
      <c r="Z1" s="127" t="n">
        <f aca="false">Y1-$D12</f>
        <v>0.95</v>
      </c>
      <c r="AA1" s="127" t="n">
        <f aca="false">Z1-$D12</f>
        <v>0.946</v>
      </c>
      <c r="AB1" s="127" t="n">
        <f aca="false">AA1-$D12</f>
        <v>0.942</v>
      </c>
      <c r="AC1" s="127" t="n">
        <f aca="false">AB1-$D12</f>
        <v>0.938</v>
      </c>
      <c r="AD1" s="127" t="n">
        <f aca="false">AC1-$D12</f>
        <v>0.934</v>
      </c>
      <c r="AE1" s="127" t="n">
        <f aca="false">AD1-$D12</f>
        <v>0.93</v>
      </c>
      <c r="AF1" s="127" t="n">
        <f aca="false">AE1-$D12</f>
        <v>0.926</v>
      </c>
      <c r="AG1" s="127" t="n">
        <f aca="false">AF1-$D12</f>
        <v>0.922</v>
      </c>
      <c r="AH1" s="127" t="n">
        <f aca="false">AG1-$D12</f>
        <v>0.918</v>
      </c>
      <c r="AI1" s="127" t="n">
        <f aca="false">AH1-$D12</f>
        <v>0.914</v>
      </c>
    </row>
    <row r="2" customFormat="false" ht="21.75" hidden="false" customHeight="true" outlineLevel="0" collapsed="false">
      <c r="B2" s="5" t="s">
        <v>1</v>
      </c>
      <c r="C2" s="128" t="s">
        <v>109</v>
      </c>
      <c r="D2" s="6" t="s">
        <v>3</v>
      </c>
      <c r="E2" s="129" t="s">
        <v>3</v>
      </c>
      <c r="F2" s="130" t="s">
        <v>110</v>
      </c>
    </row>
    <row r="3" customFormat="false" ht="21.75" hidden="false" customHeight="true" outlineLevel="0" collapsed="false">
      <c r="B3" s="32" t="s">
        <v>4</v>
      </c>
      <c r="C3" s="131" t="n">
        <v>20</v>
      </c>
      <c r="D3" s="9" t="s">
        <v>3</v>
      </c>
      <c r="E3" s="132" t="s">
        <v>3</v>
      </c>
      <c r="F3" s="133" t="s">
        <v>111</v>
      </c>
    </row>
    <row r="4" customFormat="false" ht="21.75" hidden="false" customHeight="true" outlineLevel="0" collapsed="false">
      <c r="B4" s="32" t="s">
        <v>112</v>
      </c>
      <c r="C4" s="131" t="n">
        <v>436.1</v>
      </c>
      <c r="D4" s="9" t="s">
        <v>3</v>
      </c>
      <c r="E4" s="132" t="s">
        <v>3</v>
      </c>
      <c r="F4" s="133" t="s">
        <v>113</v>
      </c>
      <c r="M4" s="0" t="s">
        <v>173</v>
      </c>
    </row>
    <row r="5" customFormat="false" ht="22.5" hidden="false" customHeight="true" outlineLevel="0" collapsed="false">
      <c r="B5" s="10" t="s">
        <v>6</v>
      </c>
      <c r="C5" s="131" t="n">
        <v>2023</v>
      </c>
      <c r="D5" s="10" t="s">
        <v>7</v>
      </c>
      <c r="E5" s="134" t="n">
        <v>2042</v>
      </c>
      <c r="F5" s="133" t="s">
        <v>115</v>
      </c>
      <c r="M5" s="0" t="s">
        <v>174</v>
      </c>
    </row>
    <row r="6" customFormat="false" ht="20.25" hidden="false" customHeight="true" outlineLevel="0" collapsed="false">
      <c r="B6" s="11"/>
      <c r="C6" s="11"/>
      <c r="D6" s="11"/>
      <c r="E6" s="11"/>
      <c r="M6" s="0" t="s">
        <v>175</v>
      </c>
    </row>
    <row r="7" customFormat="false" ht="22.5" hidden="false" customHeight="true" outlineLevel="0" collapsed="false">
      <c r="B7" s="12" t="s">
        <v>8</v>
      </c>
      <c r="C7" s="124"/>
      <c r="D7" s="124"/>
      <c r="E7" s="125"/>
      <c r="M7" s="0" t="s">
        <v>176</v>
      </c>
    </row>
    <row r="8" customFormat="false" ht="22.5" hidden="false" customHeight="true" outlineLevel="0" collapsed="false">
      <c r="B8" s="13" t="s">
        <v>9</v>
      </c>
      <c r="E8" s="135"/>
      <c r="M8" s="0" t="s">
        <v>177</v>
      </c>
    </row>
    <row r="9" customFormat="false" ht="22.5" hidden="false" customHeight="true" outlineLevel="0" collapsed="false">
      <c r="B9" s="14" t="s">
        <v>10</v>
      </c>
      <c r="C9" s="15" t="s">
        <v>11</v>
      </c>
      <c r="D9" s="15" t="s">
        <v>12</v>
      </c>
      <c r="E9" s="136" t="s">
        <v>13</v>
      </c>
      <c r="F9" s="126" t="s">
        <v>108</v>
      </c>
      <c r="M9" s="0" t="s">
        <v>120</v>
      </c>
    </row>
    <row r="10" customFormat="false" ht="30" hidden="false" customHeight="true" outlineLevel="0" collapsed="false">
      <c r="B10" s="17" t="s">
        <v>14</v>
      </c>
      <c r="C10" s="18" t="s">
        <v>121</v>
      </c>
      <c r="D10" s="137" t="n">
        <v>547002</v>
      </c>
      <c r="E10" s="138" t="n">
        <v>20</v>
      </c>
      <c r="F10" s="133" t="s">
        <v>122</v>
      </c>
      <c r="M10" s="0" t="s">
        <v>102</v>
      </c>
    </row>
    <row r="11" customFormat="false" ht="30" hidden="false" customHeight="true" outlineLevel="0" collapsed="false">
      <c r="B11" s="139"/>
      <c r="C11" s="10" t="s">
        <v>16</v>
      </c>
      <c r="D11" s="140" t="n">
        <v>0.01</v>
      </c>
      <c r="E11" s="141"/>
      <c r="F11" s="133" t="s">
        <v>124</v>
      </c>
    </row>
    <row r="12" customFormat="false" ht="30" hidden="false" customHeight="true" outlineLevel="0" collapsed="false">
      <c r="B12" s="139"/>
      <c r="C12" s="10" t="s">
        <v>17</v>
      </c>
      <c r="D12" s="142" t="n">
        <v>0.004</v>
      </c>
      <c r="E12" s="141"/>
      <c r="F12" s="133" t="s">
        <v>125</v>
      </c>
    </row>
    <row r="13" customFormat="false" ht="22.5" hidden="false" customHeight="true" outlineLevel="0" collapsed="false">
      <c r="B13" s="139"/>
      <c r="C13" s="21" t="s">
        <v>126</v>
      </c>
      <c r="D13" s="143" t="n">
        <v>3.7152</v>
      </c>
      <c r="E13" s="141"/>
      <c r="F13" s="133" t="s">
        <v>127</v>
      </c>
    </row>
    <row r="14" customFormat="false" ht="22.5" hidden="false" customHeight="true" outlineLevel="0" collapsed="false">
      <c r="B14" s="22" t="s">
        <v>19</v>
      </c>
      <c r="C14" s="124"/>
      <c r="D14" s="124"/>
      <c r="E14" s="125"/>
    </row>
    <row r="15" customFormat="false" ht="22.5" hidden="false" customHeight="true" outlineLevel="0" collapsed="false">
      <c r="B15" s="14" t="s">
        <v>10</v>
      </c>
      <c r="C15" s="15" t="s">
        <v>11</v>
      </c>
      <c r="D15" s="15" t="s">
        <v>12</v>
      </c>
      <c r="E15" s="136" t="s">
        <v>20</v>
      </c>
      <c r="F15" s="126" t="s">
        <v>108</v>
      </c>
    </row>
    <row r="16" customFormat="false" ht="21.75" hidden="false" customHeight="true" outlineLevel="0" collapsed="false">
      <c r="B16" s="18" t="s">
        <v>128</v>
      </c>
      <c r="C16" s="18" t="s">
        <v>129</v>
      </c>
      <c r="D16" s="144" t="n">
        <v>30000</v>
      </c>
      <c r="E16" s="129" t="n">
        <v>20</v>
      </c>
      <c r="F16" s="133" t="s">
        <v>130</v>
      </c>
    </row>
    <row r="17" customFormat="false" ht="21.75" hidden="false" customHeight="true" outlineLevel="0" collapsed="false">
      <c r="B17" s="139"/>
      <c r="C17" s="10" t="s">
        <v>131</v>
      </c>
      <c r="D17" s="145" t="n">
        <v>0.2</v>
      </c>
      <c r="E17" s="141"/>
      <c r="F17" s="133" t="s">
        <v>132</v>
      </c>
    </row>
    <row r="18" customFormat="false" ht="21.75" hidden="false" customHeight="true" outlineLevel="0" collapsed="false">
      <c r="B18" s="146"/>
      <c r="C18" s="10" t="s">
        <v>24</v>
      </c>
      <c r="D18" s="147" t="n">
        <v>3000</v>
      </c>
      <c r="E18" s="148"/>
      <c r="F18" s="133" t="s">
        <v>133</v>
      </c>
    </row>
    <row r="19" customFormat="false" ht="54" hidden="false" customHeight="true" outlineLevel="0" collapsed="false">
      <c r="B19" s="10" t="s">
        <v>25</v>
      </c>
      <c r="C19" s="149" t="s">
        <v>134</v>
      </c>
      <c r="D19" s="145" t="n">
        <v>2</v>
      </c>
      <c r="E19" s="129" t="n">
        <v>20</v>
      </c>
      <c r="F19" s="133" t="s">
        <v>135</v>
      </c>
    </row>
    <row r="20" customFormat="false" ht="20.25" hidden="false" customHeight="true" outlineLevel="0" collapsed="false">
      <c r="B20" s="139"/>
      <c r="C20" s="26" t="s">
        <v>136</v>
      </c>
      <c r="D20" s="147" t="n">
        <v>0</v>
      </c>
      <c r="E20" s="129" t="n">
        <v>20</v>
      </c>
      <c r="F20" s="133" t="s">
        <v>137</v>
      </c>
    </row>
    <row r="21" customFormat="false" ht="30" hidden="false" customHeight="true" outlineLevel="0" collapsed="false">
      <c r="B21" s="146"/>
      <c r="C21" s="10" t="s">
        <v>138</v>
      </c>
      <c r="D21" s="145" t="n">
        <v>0.3</v>
      </c>
      <c r="E21" s="132" t="n">
        <v>20</v>
      </c>
      <c r="F21" s="133" t="s">
        <v>139</v>
      </c>
    </row>
    <row r="22" customFormat="false" ht="30" hidden="false" customHeight="true" outlineLevel="0" collapsed="false">
      <c r="B22" s="10" t="s">
        <v>29</v>
      </c>
      <c r="C22" s="10" t="s">
        <v>140</v>
      </c>
      <c r="D22" s="150" t="n">
        <v>400</v>
      </c>
      <c r="E22" s="132" t="n">
        <v>20</v>
      </c>
      <c r="F22" s="133" t="s">
        <v>141</v>
      </c>
    </row>
    <row r="23" customFormat="false" ht="30" hidden="false" customHeight="true" outlineLevel="0" collapsed="false">
      <c r="B23" s="10" t="s">
        <v>31</v>
      </c>
      <c r="C23" s="10" t="s">
        <v>32</v>
      </c>
      <c r="D23" s="145" t="n">
        <v>0.003</v>
      </c>
      <c r="E23" s="132" t="n">
        <v>20</v>
      </c>
      <c r="F23" s="133" t="s">
        <v>142</v>
      </c>
    </row>
    <row r="24" customFormat="false" ht="30" hidden="false" customHeight="true" outlineLevel="0" collapsed="false">
      <c r="B24" s="10" t="s">
        <v>33</v>
      </c>
      <c r="C24" s="10" t="s">
        <v>143</v>
      </c>
      <c r="D24" s="150" t="n">
        <v>1000</v>
      </c>
      <c r="E24" s="151" t="n">
        <v>10</v>
      </c>
      <c r="F24" s="133" t="s">
        <v>144</v>
      </c>
    </row>
    <row r="25" customFormat="false" ht="30" hidden="false" customHeight="true" outlineLevel="0" collapsed="false">
      <c r="B25" s="10" t="s">
        <v>35</v>
      </c>
      <c r="C25" s="10" t="s">
        <v>36</v>
      </c>
      <c r="D25" s="152" t="n">
        <v>0.025595</v>
      </c>
      <c r="E25" s="132" t="n">
        <v>20</v>
      </c>
      <c r="F25" s="133" t="s">
        <v>145</v>
      </c>
    </row>
    <row r="26" customFormat="false" ht="30" hidden="false" customHeight="true" outlineLevel="0" collapsed="false">
      <c r="B26" s="10" t="s">
        <v>37</v>
      </c>
      <c r="C26" s="10" t="s">
        <v>38</v>
      </c>
      <c r="D26" s="145" t="n">
        <v>0.2</v>
      </c>
      <c r="E26" s="132" t="n">
        <v>20</v>
      </c>
      <c r="F26" s="133" t="s">
        <v>146</v>
      </c>
    </row>
    <row r="27" customFormat="false" ht="20.25" hidden="false" customHeight="true" outlineLevel="0" collapsed="false">
      <c r="B27" s="11"/>
      <c r="C27" s="11"/>
      <c r="D27" s="11"/>
      <c r="E27" s="11"/>
    </row>
    <row r="28" customFormat="false" ht="20.25" hidden="false" customHeight="true" outlineLevel="0" collapsed="false">
      <c r="B28" s="11"/>
      <c r="C28" s="11"/>
      <c r="D28" s="11"/>
      <c r="E28" s="11"/>
    </row>
    <row r="29" customFormat="false" ht="22.5" hidden="false" customHeight="true" outlineLevel="0" collapsed="false">
      <c r="B29" s="12" t="s">
        <v>39</v>
      </c>
      <c r="C29" s="124"/>
      <c r="D29" s="125"/>
      <c r="E29" s="11"/>
    </row>
    <row r="30" customFormat="false" ht="22.5" hidden="false" customHeight="true" outlineLevel="0" collapsed="false">
      <c r="B30" s="14" t="s">
        <v>40</v>
      </c>
      <c r="C30" s="29" t="s">
        <v>11</v>
      </c>
      <c r="D30" s="30" t="s">
        <v>12</v>
      </c>
      <c r="E30" s="11"/>
      <c r="F30" s="126" t="s">
        <v>108</v>
      </c>
    </row>
    <row r="31" customFormat="false" ht="30" hidden="false" customHeight="true" outlineLevel="0" collapsed="false">
      <c r="B31" s="18" t="s">
        <v>41</v>
      </c>
      <c r="C31" s="5" t="s">
        <v>42</v>
      </c>
      <c r="D31" s="153" t="n">
        <v>0.8</v>
      </c>
      <c r="E31" s="11"/>
      <c r="F31" s="133" t="s">
        <v>147</v>
      </c>
    </row>
    <row r="32" customFormat="false" ht="18.75" hidden="false" customHeight="true" outlineLevel="0" collapsed="false">
      <c r="B32" s="18" t="s">
        <v>43</v>
      </c>
      <c r="C32" s="5" t="s">
        <v>44</v>
      </c>
      <c r="D32" s="153" t="n">
        <v>15</v>
      </c>
      <c r="E32" s="11"/>
      <c r="F32" s="133" t="s">
        <v>148</v>
      </c>
    </row>
    <row r="33" customFormat="false" ht="18.75" hidden="false" customHeight="true" outlineLevel="0" collapsed="false">
      <c r="B33" s="10" t="s">
        <v>45</v>
      </c>
      <c r="C33" s="32" t="s">
        <v>46</v>
      </c>
      <c r="D33" s="145" t="n">
        <v>0.9</v>
      </c>
      <c r="E33" s="11"/>
      <c r="F33" s="133" t="s">
        <v>149</v>
      </c>
    </row>
    <row r="34" customFormat="false" ht="30" hidden="false" customHeight="true" outlineLevel="0" collapsed="false">
      <c r="B34" s="10" t="s">
        <v>47</v>
      </c>
      <c r="C34" s="32" t="s">
        <v>44</v>
      </c>
      <c r="D34" s="145" t="n">
        <v>4</v>
      </c>
      <c r="E34" s="11"/>
      <c r="F34" s="133" t="s">
        <v>150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97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54" t="n">
        <v>0</v>
      </c>
      <c r="C38" s="155"/>
      <c r="D38" s="156"/>
      <c r="E38" s="156"/>
      <c r="F38" s="157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9"/>
      <c r="U38" s="158"/>
      <c r="V38" s="158"/>
      <c r="W38" s="158"/>
      <c r="X38" s="160"/>
    </row>
    <row r="39" customFormat="false" ht="18.75" hidden="false" customHeight="true" outlineLevel="0" collapsed="false">
      <c r="B39" s="161" t="s">
        <v>51</v>
      </c>
      <c r="C39" s="162" t="n">
        <v>0</v>
      </c>
      <c r="D39" s="163" t="n">
        <v>1</v>
      </c>
      <c r="E39" s="163" t="n">
        <v>2</v>
      </c>
      <c r="F39" s="163" t="n">
        <v>3</v>
      </c>
      <c r="G39" s="163" t="n">
        <v>4</v>
      </c>
      <c r="H39" s="163" t="n">
        <v>5</v>
      </c>
      <c r="I39" s="163" t="n">
        <v>6</v>
      </c>
      <c r="J39" s="163" t="n">
        <v>7</v>
      </c>
      <c r="K39" s="163" t="n">
        <v>8</v>
      </c>
      <c r="L39" s="163" t="n">
        <v>9</v>
      </c>
      <c r="M39" s="163" t="n">
        <v>10</v>
      </c>
      <c r="N39" s="163" t="n">
        <v>11</v>
      </c>
      <c r="O39" s="163" t="n">
        <v>12</v>
      </c>
      <c r="P39" s="163" t="n">
        <v>13</v>
      </c>
      <c r="Q39" s="163" t="n">
        <v>14</v>
      </c>
      <c r="R39" s="163" t="n">
        <v>15</v>
      </c>
      <c r="S39" s="163" t="n">
        <v>16</v>
      </c>
      <c r="T39" s="164" t="n">
        <v>17</v>
      </c>
      <c r="U39" s="163" t="n">
        <v>18</v>
      </c>
      <c r="V39" s="163" t="n">
        <v>19</v>
      </c>
      <c r="W39" s="163" t="n">
        <v>20</v>
      </c>
      <c r="X39" s="47"/>
    </row>
    <row r="40" customFormat="false" ht="18.75" hidden="false" customHeight="true" outlineLevel="0" collapsed="false">
      <c r="B40" s="165" t="s">
        <v>52</v>
      </c>
      <c r="C40" s="166" t="n">
        <v>0</v>
      </c>
      <c r="D40" s="167" t="n">
        <f aca="false">$D$10*P1</f>
        <v>541531.98</v>
      </c>
      <c r="E40" s="167" t="n">
        <f aca="false">$D$10*Q1</f>
        <v>539343.972</v>
      </c>
      <c r="F40" s="167" t="n">
        <f aca="false">$D$10*R1</f>
        <v>537155.964</v>
      </c>
      <c r="G40" s="167" t="n">
        <f aca="false">$D$10*S1</f>
        <v>534967.956</v>
      </c>
      <c r="H40" s="167" t="n">
        <f aca="false">$D$10*T1</f>
        <v>532779.948</v>
      </c>
      <c r="I40" s="167" t="n">
        <f aca="false">$D$10*U1</f>
        <v>530591.94</v>
      </c>
      <c r="J40" s="167" t="n">
        <f aca="false">$D$10*V1</f>
        <v>528403.932</v>
      </c>
      <c r="K40" s="167" t="n">
        <f aca="false">$D$10*W1</f>
        <v>526215.924</v>
      </c>
      <c r="L40" s="167" t="n">
        <f aca="false">$D$10*X1</f>
        <v>524027.916</v>
      </c>
      <c r="M40" s="167" t="n">
        <f aca="false">$D$10*Y1</f>
        <v>521839.908</v>
      </c>
      <c r="N40" s="167" t="n">
        <f aca="false">$D$10*Z1</f>
        <v>519651.9</v>
      </c>
      <c r="O40" s="167" t="n">
        <f aca="false">$D$10*AA1</f>
        <v>517463.892</v>
      </c>
      <c r="P40" s="167" t="n">
        <f aca="false">$D$10*AB1</f>
        <v>515275.884</v>
      </c>
      <c r="Q40" s="167" t="n">
        <f aca="false">$D$10*AC1</f>
        <v>513087.876</v>
      </c>
      <c r="R40" s="167" t="n">
        <f aca="false">$D$10*AD1</f>
        <v>510899.868</v>
      </c>
      <c r="S40" s="167" t="n">
        <f aca="false">$D$10*AE1</f>
        <v>508711.86</v>
      </c>
      <c r="T40" s="167" t="n">
        <f aca="false">$D$10*AF1</f>
        <v>506523.852</v>
      </c>
      <c r="U40" s="167" t="n">
        <f aca="false">$D$10*AG1</f>
        <v>504335.844</v>
      </c>
      <c r="V40" s="167" t="n">
        <f aca="false">$D$10*AH1</f>
        <v>502147.836</v>
      </c>
      <c r="W40" s="167" t="n">
        <f aca="false">$D$10*AI1</f>
        <v>499959.828</v>
      </c>
      <c r="X40" s="168"/>
    </row>
    <row r="41" customFormat="false" ht="18.75" hidden="false" customHeight="true" outlineLevel="0" collapsed="false">
      <c r="B41" s="169" t="s">
        <v>53</v>
      </c>
      <c r="C41" s="170" t="s">
        <v>3</v>
      </c>
      <c r="D41" s="171" t="n">
        <f aca="false">D40*$D$13</f>
        <v>2011899.612096</v>
      </c>
      <c r="E41" s="171" t="n">
        <f aca="false">E40*$D$13</f>
        <v>2003770.7247744</v>
      </c>
      <c r="F41" s="171" t="n">
        <f aca="false">F40*$D$13</f>
        <v>1995641.8374528</v>
      </c>
      <c r="G41" s="171" t="n">
        <f aca="false">G40*$D$13</f>
        <v>1987512.9501312</v>
      </c>
      <c r="H41" s="171" t="n">
        <f aca="false">H40*$D$13</f>
        <v>1979384.0628096</v>
      </c>
      <c r="I41" s="171" t="n">
        <f aca="false">I40*$D$13</f>
        <v>1971255.175488</v>
      </c>
      <c r="J41" s="171" t="n">
        <f aca="false">J40*$D$13</f>
        <v>1963126.2881664</v>
      </c>
      <c r="K41" s="171" t="n">
        <f aca="false">K40*$D$13</f>
        <v>1954997.4008448</v>
      </c>
      <c r="L41" s="171" t="n">
        <f aca="false">L40*$D$13</f>
        <v>1946868.5135232</v>
      </c>
      <c r="M41" s="171" t="n">
        <f aca="false">M40*$D$13</f>
        <v>1938739.6262016</v>
      </c>
      <c r="N41" s="171" t="n">
        <f aca="false">N40*$D$13</f>
        <v>1930610.73888</v>
      </c>
      <c r="O41" s="171" t="n">
        <f aca="false">O40*$D$13</f>
        <v>1922481.8515584</v>
      </c>
      <c r="P41" s="171" t="n">
        <f aca="false">P40*$D$13</f>
        <v>1914352.9642368</v>
      </c>
      <c r="Q41" s="171" t="n">
        <f aca="false">Q40*$D$13</f>
        <v>1906224.0769152</v>
      </c>
      <c r="R41" s="171" t="n">
        <f aca="false">R40*$D$13</f>
        <v>1898095.1895936</v>
      </c>
      <c r="S41" s="171" t="n">
        <f aca="false">S40*$D$13</f>
        <v>1889966.302272</v>
      </c>
      <c r="T41" s="171" t="n">
        <f aca="false">T40*$D$13</f>
        <v>1881837.4149504</v>
      </c>
      <c r="U41" s="171" t="n">
        <f aca="false">U40*$D$13</f>
        <v>1873708.5276288</v>
      </c>
      <c r="V41" s="171" t="n">
        <f aca="false">V40*$D$13</f>
        <v>1865579.6403072</v>
      </c>
      <c r="W41" s="171" t="n">
        <f aca="false">W40*$D$13</f>
        <v>1857450.7529856</v>
      </c>
      <c r="X41" s="172"/>
    </row>
    <row r="42" customFormat="false" ht="18.75" hidden="false" customHeight="true" outlineLevel="0" collapsed="false">
      <c r="B42" s="173" t="s">
        <v>54</v>
      </c>
      <c r="C42" s="174" t="s">
        <v>3</v>
      </c>
      <c r="D42" s="175"/>
      <c r="E42" s="175"/>
      <c r="F42" s="175"/>
      <c r="G42" s="176" t="s">
        <v>3</v>
      </c>
      <c r="H42" s="176" t="s">
        <v>3</v>
      </c>
      <c r="I42" s="176" t="s">
        <v>3</v>
      </c>
      <c r="J42" s="176" t="s">
        <v>3</v>
      </c>
      <c r="K42" s="176" t="s">
        <v>3</v>
      </c>
      <c r="L42" s="176" t="s">
        <v>3</v>
      </c>
      <c r="M42" s="176" t="s">
        <v>3</v>
      </c>
      <c r="N42" s="176" t="s">
        <v>3</v>
      </c>
      <c r="O42" s="176" t="s">
        <v>3</v>
      </c>
      <c r="P42" s="176" t="s">
        <v>3</v>
      </c>
      <c r="Q42" s="176" t="s">
        <v>3</v>
      </c>
      <c r="R42" s="176" t="s">
        <v>3</v>
      </c>
      <c r="S42" s="176" t="s">
        <v>3</v>
      </c>
      <c r="T42" s="176" t="s">
        <v>3</v>
      </c>
      <c r="U42" s="176" t="s">
        <v>3</v>
      </c>
      <c r="V42" s="176" t="s">
        <v>3</v>
      </c>
      <c r="W42" s="176" t="s">
        <v>3</v>
      </c>
      <c r="X42" s="177"/>
    </row>
    <row r="43" customFormat="false" ht="18.75" hidden="false" customHeight="true" outlineLevel="0" collapsed="false">
      <c r="B43" s="178" t="s">
        <v>55</v>
      </c>
      <c r="C43" s="179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customFormat="false" ht="18.75" hidden="false" customHeight="true" outlineLevel="0" collapsed="false">
      <c r="B44" s="182" t="s">
        <v>56</v>
      </c>
      <c r="C44" s="183" t="n">
        <f aca="false">-(D16/(1-D17)+D18)*C4</f>
        <v>-17662050</v>
      </c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</row>
    <row r="45" customFormat="false" ht="18.75" hidden="false" customHeight="true" outlineLevel="0" collapsed="false">
      <c r="B45" s="182" t="s">
        <v>57</v>
      </c>
      <c r="C45" s="174" t="s">
        <v>3</v>
      </c>
      <c r="D45" s="0" t="n">
        <v>-603569.8836288</v>
      </c>
      <c r="E45" s="184" t="n">
        <v>-601131.21743232</v>
      </c>
      <c r="F45" s="184" t="n">
        <v>-598692.55123584</v>
      </c>
      <c r="G45" s="184" t="n">
        <v>-596253.88503936</v>
      </c>
      <c r="H45" s="184" t="n">
        <v>-593815.21884288</v>
      </c>
      <c r="I45" s="184" t="n">
        <v>-591376.5526464</v>
      </c>
      <c r="J45" s="184" t="n">
        <v>-588937.88644992</v>
      </c>
      <c r="K45" s="184" t="n">
        <v>-586499.22025344</v>
      </c>
      <c r="L45" s="184" t="n">
        <v>-584060.55405696</v>
      </c>
      <c r="M45" s="184" t="n">
        <v>-581621.88786048</v>
      </c>
      <c r="N45" s="184" t="n">
        <v>-579183.221664</v>
      </c>
      <c r="O45" s="184" t="n">
        <v>-576744.55546752</v>
      </c>
      <c r="P45" s="184" t="n">
        <v>-574305.88927104</v>
      </c>
      <c r="Q45" s="184" t="n">
        <v>-571867.22307456</v>
      </c>
      <c r="R45" s="184" t="n">
        <v>-569428.55687808</v>
      </c>
      <c r="S45" s="184" t="n">
        <v>-566989.8906816</v>
      </c>
      <c r="T45" s="184" t="n">
        <v>-564551.22448512</v>
      </c>
      <c r="U45" s="184" t="n">
        <v>-562112.55828864</v>
      </c>
      <c r="V45" s="184" t="n">
        <v>-559673.89209216</v>
      </c>
      <c r="W45" s="184" t="n">
        <v>-557235.22589568</v>
      </c>
      <c r="X45" s="184"/>
    </row>
    <row r="46" customFormat="false" ht="18.75" hidden="false" customHeight="true" outlineLevel="0" collapsed="false">
      <c r="B46" s="182" t="s">
        <v>58</v>
      </c>
      <c r="C46" s="17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</row>
    <row r="47" customFormat="false" ht="18.75" hidden="false" customHeight="true" outlineLevel="0" collapsed="false">
      <c r="B47" s="182" t="s">
        <v>59</v>
      </c>
      <c r="C47" s="174" t="s">
        <v>3</v>
      </c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</row>
    <row r="48" customFormat="false" ht="18.75" hidden="false" customHeight="true" outlineLevel="0" collapsed="false">
      <c r="B48" s="182" t="s">
        <v>60</v>
      </c>
      <c r="C48" s="174" t="s">
        <v>3</v>
      </c>
      <c r="D48" s="184" t="n">
        <v>-174440</v>
      </c>
      <c r="E48" s="184" t="n">
        <v>-174440</v>
      </c>
      <c r="F48" s="184" t="n">
        <v>-174440</v>
      </c>
      <c r="G48" s="184" t="n">
        <v>-174440</v>
      </c>
      <c r="H48" s="184" t="n">
        <v>-174440</v>
      </c>
      <c r="I48" s="184" t="n">
        <v>-174440</v>
      </c>
      <c r="J48" s="184" t="n">
        <v>-174440</v>
      </c>
      <c r="K48" s="184" t="n">
        <v>-174440</v>
      </c>
      <c r="L48" s="184" t="n">
        <v>-174440</v>
      </c>
      <c r="M48" s="184" t="n">
        <v>-174440</v>
      </c>
      <c r="N48" s="184" t="n">
        <v>-174440</v>
      </c>
      <c r="O48" s="184" t="n">
        <v>-174440</v>
      </c>
      <c r="P48" s="184" t="n">
        <v>-174440</v>
      </c>
      <c r="Q48" s="184" t="n">
        <v>-174440</v>
      </c>
      <c r="R48" s="184" t="n">
        <v>-174440</v>
      </c>
      <c r="S48" s="184" t="n">
        <v>-174440</v>
      </c>
      <c r="T48" s="184" t="n">
        <v>-174440</v>
      </c>
      <c r="U48" s="184" t="n">
        <v>-174440</v>
      </c>
      <c r="V48" s="184" t="n">
        <v>-174440</v>
      </c>
      <c r="W48" s="184" t="n">
        <v>-174440</v>
      </c>
      <c r="X48" s="184"/>
    </row>
    <row r="49" customFormat="false" ht="18.75" hidden="false" customHeight="true" outlineLevel="0" collapsed="false">
      <c r="B49" s="182" t="s">
        <v>61</v>
      </c>
      <c r="C49" s="174" t="s">
        <v>3</v>
      </c>
      <c r="D49" s="184" t="n">
        <v>-39249</v>
      </c>
      <c r="E49" s="184" t="n">
        <v>-39249</v>
      </c>
      <c r="F49" s="184" t="n">
        <v>-39249</v>
      </c>
      <c r="G49" s="184" t="n">
        <v>-39249</v>
      </c>
      <c r="H49" s="184" t="n">
        <v>-39249</v>
      </c>
      <c r="I49" s="184" t="n">
        <v>-39249</v>
      </c>
      <c r="J49" s="184" t="n">
        <v>-39249</v>
      </c>
      <c r="K49" s="184" t="n">
        <v>-39249</v>
      </c>
      <c r="L49" s="184" t="n">
        <v>-39249</v>
      </c>
      <c r="M49" s="184" t="n">
        <v>-39249</v>
      </c>
      <c r="N49" s="184" t="n">
        <v>-39249</v>
      </c>
      <c r="O49" s="184" t="n">
        <v>-39249</v>
      </c>
      <c r="P49" s="184" t="n">
        <v>-39249</v>
      </c>
      <c r="Q49" s="184" t="n">
        <v>-39249</v>
      </c>
      <c r="R49" s="184" t="n">
        <v>-39249</v>
      </c>
      <c r="S49" s="184" t="n">
        <v>-39249</v>
      </c>
      <c r="T49" s="184" t="n">
        <v>-39249</v>
      </c>
      <c r="U49" s="184" t="n">
        <v>-39249</v>
      </c>
      <c r="V49" s="184" t="n">
        <v>-39249</v>
      </c>
      <c r="W49" s="184" t="n">
        <v>-39249</v>
      </c>
      <c r="X49" s="184"/>
    </row>
    <row r="50" customFormat="false" ht="18.75" hidden="false" customHeight="true" outlineLevel="0" collapsed="false">
      <c r="B50" s="182" t="s">
        <v>62</v>
      </c>
      <c r="C50" s="174"/>
      <c r="D50" s="184" t="n">
        <v>-43610</v>
      </c>
      <c r="E50" s="184" t="n">
        <v>-43610</v>
      </c>
      <c r="F50" s="184" t="n">
        <v>-43610</v>
      </c>
      <c r="G50" s="184" t="n">
        <v>-43610</v>
      </c>
      <c r="H50" s="184" t="n">
        <v>-43610</v>
      </c>
      <c r="I50" s="184" t="n">
        <v>-43610</v>
      </c>
      <c r="J50" s="184" t="n">
        <v>-43610</v>
      </c>
      <c r="K50" s="184" t="n">
        <v>-43610</v>
      </c>
      <c r="L50" s="184" t="n">
        <v>-43610</v>
      </c>
      <c r="M50" s="184" t="n">
        <v>-43610</v>
      </c>
      <c r="N50" s="184" t="n">
        <v>0</v>
      </c>
      <c r="O50" s="184" t="n">
        <v>0</v>
      </c>
      <c r="P50" s="184" t="n">
        <v>0</v>
      </c>
      <c r="Q50" s="184" t="n">
        <v>0</v>
      </c>
      <c r="R50" s="184" t="n">
        <v>0</v>
      </c>
      <c r="S50" s="184" t="n">
        <v>0</v>
      </c>
      <c r="T50" s="184" t="n">
        <v>0</v>
      </c>
      <c r="U50" s="184" t="n">
        <v>0</v>
      </c>
      <c r="V50" s="184" t="n">
        <v>0</v>
      </c>
      <c r="W50" s="184" t="n">
        <v>0</v>
      </c>
      <c r="X50" s="184"/>
    </row>
    <row r="51" customFormat="false" ht="18.75" hidden="false" customHeight="true" outlineLevel="0" collapsed="false">
      <c r="B51" s="182" t="s">
        <v>63</v>
      </c>
      <c r="C51" s="185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</row>
    <row r="52" customFormat="false" ht="18.75" hidden="false" customHeight="true" outlineLevel="0" collapsed="false">
      <c r="B52" s="182" t="s">
        <v>64</v>
      </c>
      <c r="C52" s="185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</row>
    <row r="53" customFormat="false" ht="18.75" hidden="false" customHeight="true" outlineLevel="0" collapsed="false">
      <c r="B53" s="186" t="s">
        <v>65</v>
      </c>
      <c r="C53" s="185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</row>
    <row r="54" customFormat="false" ht="18.75" hidden="false" customHeight="true" outlineLevel="0" collapsed="false">
      <c r="B54" s="186" t="s">
        <v>66</v>
      </c>
      <c r="C54" s="185"/>
      <c r="D54" s="184" t="n">
        <f aca="false">-(D64+D67+D68+D71+D72+D73+D74)*0.2</f>
        <v>-174299.6224192</v>
      </c>
      <c r="E54" s="184" t="n">
        <f aca="false">-(E64+E67+E68+E71+E72+E73+E74)*0.2</f>
        <v>-52447.601468416</v>
      </c>
      <c r="F54" s="184" t="n">
        <f aca="false">-(F64+F67+F68+F71+F72+F73+F74)*0.2</f>
        <v>-51309.557243392</v>
      </c>
      <c r="G54" s="184" t="n">
        <f aca="false">-(G64+G67+G68+G71+G72+G73+G74)*0.2</f>
        <v>-50171.513018368</v>
      </c>
      <c r="H54" s="184" t="n">
        <f aca="false">-(H64+H67+H68+H71+H72+H73+H74)*0.2</f>
        <v>-49033.468793344</v>
      </c>
      <c r="I54" s="184" t="n">
        <f aca="false">-(I64+I67+I68+I71+I72+I73+I74)*0.2</f>
        <v>-47895.42456832</v>
      </c>
      <c r="J54" s="184" t="n">
        <f aca="false">-(J64+J67+J68+J71+J72+J73+J74)*0.2</f>
        <v>-46757.380343296</v>
      </c>
      <c r="K54" s="184" t="n">
        <f aca="false">-(K64+K67+K68+K71+K72+K73+K74)*0.2</f>
        <v>-45619.336118272</v>
      </c>
      <c r="L54" s="184" t="n">
        <f aca="false">-(L64+L67+L68+L71+L72+L73+L74)*0.2</f>
        <v>-44481.291893248</v>
      </c>
      <c r="M54" s="184" t="n">
        <f aca="false">-(M64+M67+M68+M71+M72+M73+M74)*0.2</f>
        <v>-43343.247668224</v>
      </c>
      <c r="N54" s="184" t="n">
        <f aca="false">-(N64+N67+N68+N71+N72+N73+N74)*0.2</f>
        <v>-50927.2034432</v>
      </c>
      <c r="O54" s="184" t="n">
        <f aca="false">-(O64+O67+O68+O71+O72+O73+O74)*0.2</f>
        <v>-49789.159218176</v>
      </c>
      <c r="P54" s="184" t="n">
        <f aca="false">-(P64+P67+P68+P71+P72+P73+P74)*0.2</f>
        <v>-48651.114993152</v>
      </c>
      <c r="Q54" s="184" t="n">
        <f aca="false">-(Q64+Q67+Q68+Q71+Q72+Q73+Q74)*0.2</f>
        <v>-47513.070768128</v>
      </c>
      <c r="R54" s="184" t="n">
        <f aca="false">-(R64+R67+R68+R71+R72+R73+R74)*0.2</f>
        <v>-46375.026543104</v>
      </c>
      <c r="S54" s="184" t="n">
        <f aca="false">-(S64+S67+S68+S71+S72+S73+S74)*0.2</f>
        <v>-45236.98231808</v>
      </c>
      <c r="T54" s="184" t="n">
        <f aca="false">-(T64+T67+T68+T71+T72+T73+T74)*0.2</f>
        <v>-44098.9380930559</v>
      </c>
      <c r="U54" s="184" t="n">
        <f aca="false">-(U64+U67+U68+U71+U72+U73+U74)*0.2</f>
        <v>-42960.893868032</v>
      </c>
      <c r="V54" s="184" t="n">
        <f aca="false">-(V64+V67+V68+V71+V72+V73+V74)*0.2</f>
        <v>-41822.849643008</v>
      </c>
      <c r="W54" s="184" t="n">
        <f aca="false">-(W64+W67+W68+W71+W72+W73+W74)*0.2</f>
        <v>-40684.805417984</v>
      </c>
      <c r="X54" s="175"/>
    </row>
    <row r="55" customFormat="false" ht="18.75" hidden="false" customHeight="true" outlineLevel="0" collapsed="false">
      <c r="B55" s="187" t="s">
        <v>67</v>
      </c>
      <c r="C55" s="188" t="n">
        <f aca="false">C44</f>
        <v>-17662050</v>
      </c>
      <c r="D55" s="189" t="n">
        <f aca="false">SUM(D41:D54)</f>
        <v>976731.106048</v>
      </c>
      <c r="E55" s="189" t="n">
        <f aca="false">SUM(E41:E54)</f>
        <v>1092892.90587366</v>
      </c>
      <c r="F55" s="189" t="n">
        <f aca="false">SUM(F41:F54)</f>
        <v>1088340.72897357</v>
      </c>
      <c r="G55" s="189" t="n">
        <f aca="false">SUM(G41:G54)</f>
        <v>1083788.55207347</v>
      </c>
      <c r="H55" s="189" t="n">
        <f aca="false">SUM(H41:H54)</f>
        <v>1079236.37517338</v>
      </c>
      <c r="I55" s="189" t="n">
        <f aca="false">SUM(I41:I54)</f>
        <v>1074684.19827328</v>
      </c>
      <c r="J55" s="189" t="n">
        <f aca="false">SUM(J41:J54)</f>
        <v>1070132.02137318</v>
      </c>
      <c r="K55" s="189" t="n">
        <f aca="false">SUM(K41:K54)</f>
        <v>1065579.84447309</v>
      </c>
      <c r="L55" s="189" t="n">
        <f aca="false">SUM(L41:L54)</f>
        <v>1061027.66757299</v>
      </c>
      <c r="M55" s="189" t="n">
        <f aca="false">SUM(M41:M54)</f>
        <v>1056475.4906729</v>
      </c>
      <c r="N55" s="189" t="n">
        <f aca="false">SUM(N41:N54)</f>
        <v>1086811.3137728</v>
      </c>
      <c r="O55" s="189" t="n">
        <f aca="false">SUM(O41:O54)</f>
        <v>1082259.1368727</v>
      </c>
      <c r="P55" s="189" t="n">
        <f aca="false">SUM(P41:P54)</f>
        <v>1077706.95997261</v>
      </c>
      <c r="Q55" s="189" t="n">
        <f aca="false">SUM(Q41:Q54)</f>
        <v>1073154.78307251</v>
      </c>
      <c r="R55" s="189" t="n">
        <f aca="false">SUM(R41:R54)</f>
        <v>1068602.60617242</v>
      </c>
      <c r="S55" s="189" t="n">
        <f aca="false">SUM(S41:S54)</f>
        <v>1064050.42927232</v>
      </c>
      <c r="T55" s="189" t="n">
        <f aca="false">SUM(T41:T54)</f>
        <v>1059498.25237222</v>
      </c>
      <c r="U55" s="189" t="n">
        <f aca="false">SUM(U41:U54)</f>
        <v>1054946.07547213</v>
      </c>
      <c r="V55" s="189" t="n">
        <f aca="false">SUM(V41:V54)</f>
        <v>1050393.89857203</v>
      </c>
      <c r="W55" s="189" t="n">
        <f aca="false">SUM(W41:W54)</f>
        <v>1045841.72167194</v>
      </c>
      <c r="X55" s="190"/>
      <c r="Y55" s="191"/>
      <c r="Z55" s="192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</row>
    <row r="56" customFormat="false" ht="18.75" hidden="false" customHeight="true" outlineLevel="0" collapsed="false">
      <c r="B56" s="193" t="s">
        <v>68</v>
      </c>
      <c r="D56" s="194" t="n">
        <f aca="false">C55+D55</f>
        <v>-16685318.893952</v>
      </c>
      <c r="E56" s="194" t="n">
        <f aca="false">D56+E55</f>
        <v>-15592425.9880783</v>
      </c>
      <c r="F56" s="194" t="n">
        <f aca="false">E56+F55</f>
        <v>-14504085.2591048</v>
      </c>
      <c r="G56" s="194" t="n">
        <f aca="false">F56+G55</f>
        <v>-13420296.7070313</v>
      </c>
      <c r="H56" s="194" t="n">
        <f aca="false">G56+H55</f>
        <v>-12341060.3318579</v>
      </c>
      <c r="I56" s="194" t="n">
        <f aca="false">H56+I55</f>
        <v>-11266376.1335846</v>
      </c>
      <c r="J56" s="194" t="n">
        <f aca="false">I56+J55</f>
        <v>-10196244.1122115</v>
      </c>
      <c r="K56" s="194" t="n">
        <f aca="false">J56+K55</f>
        <v>-9130664.26773837</v>
      </c>
      <c r="L56" s="194" t="n">
        <f aca="false">K56+L55</f>
        <v>-8069636.60016538</v>
      </c>
      <c r="M56" s="194" t="n">
        <f aca="false">L56+M55</f>
        <v>-7013161.10949248</v>
      </c>
      <c r="N56" s="194" t="n">
        <f aca="false">M56+N55</f>
        <v>-5926349.79571968</v>
      </c>
      <c r="O56" s="194" t="n">
        <f aca="false">N56+O55</f>
        <v>-4844090.65884698</v>
      </c>
      <c r="P56" s="194" t="n">
        <f aca="false">O56+P55</f>
        <v>-3766383.69887437</v>
      </c>
      <c r="Q56" s="194" t="n">
        <f aca="false">P56+Q55</f>
        <v>-2693228.91580186</v>
      </c>
      <c r="R56" s="194" t="n">
        <f aca="false">Q56+R55</f>
        <v>-1624626.30962944</v>
      </c>
      <c r="S56" s="194" t="n">
        <f aca="false">R56+S55</f>
        <v>-560575.880357124</v>
      </c>
      <c r="T56" s="194" t="n">
        <f aca="false">S56+T55</f>
        <v>498922.3720151</v>
      </c>
      <c r="U56" s="194" t="n">
        <f aca="false">T56+U55</f>
        <v>1553868.44748723</v>
      </c>
      <c r="V56" s="194" t="n">
        <f aca="false">U56+V55</f>
        <v>2604262.34605926</v>
      </c>
      <c r="W56" s="194" t="n">
        <f aca="false">V56+W55</f>
        <v>3650104.0677312</v>
      </c>
      <c r="X56" s="194" t="n">
        <f aca="false">W56+X55</f>
        <v>3650104.0677312</v>
      </c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</row>
    <row r="57" customFormat="false" ht="18.75" hidden="false" customHeight="true" outlineLevel="0" collapsed="false">
      <c r="B57" s="195" t="s">
        <v>74</v>
      </c>
      <c r="C57" s="196"/>
      <c r="D57" s="197" t="str">
        <f aca="false">IF((D56)&gt;0,"回收","未回收")</f>
        <v>未回收</v>
      </c>
      <c r="E57" s="198" t="str">
        <f aca="false">IF((E56)&gt;0,"回收","未回收")</f>
        <v>未回收</v>
      </c>
      <c r="F57" s="198" t="str">
        <f aca="false">IF((F56)&gt;0,"回收","未回收")</f>
        <v>未回收</v>
      </c>
      <c r="G57" s="198" t="str">
        <f aca="false">IF((G56)&gt;0,"回收","未回收")</f>
        <v>未回收</v>
      </c>
      <c r="H57" s="198" t="str">
        <f aca="false">IF((H56)&gt;0,"回收","未回收")</f>
        <v>未回收</v>
      </c>
      <c r="I57" s="198" t="str">
        <f aca="false">IF((I56)&gt;0,"回收","未回收")</f>
        <v>未回收</v>
      </c>
      <c r="J57" s="198" t="str">
        <f aca="false">IF((J56)&gt;0,"回收","未回收")</f>
        <v>未回收</v>
      </c>
      <c r="K57" s="198" t="str">
        <f aca="false">IF((K56)&gt;0,"回收","未回收")</f>
        <v>未回收</v>
      </c>
      <c r="L57" s="198" t="str">
        <f aca="false">IF((L56)&gt;0,"回收","未回收")</f>
        <v>未回收</v>
      </c>
      <c r="M57" s="198" t="str">
        <f aca="false">IF((M56)&gt;0,"回收","未回收")</f>
        <v>未回收</v>
      </c>
      <c r="N57" s="198" t="str">
        <f aca="false">IF((N56)&gt;0,"回收","未回收")</f>
        <v>未回收</v>
      </c>
      <c r="O57" s="198" t="str">
        <f aca="false">IF((O56)&gt;0,"回收","未回收")</f>
        <v>未回收</v>
      </c>
      <c r="P57" s="198" t="str">
        <f aca="false">IF((P56)&gt;0,"回收","未回收")</f>
        <v>未回收</v>
      </c>
      <c r="Q57" s="198" t="str">
        <f aca="false">IF((Q56)&gt;0,"回收","未回收")</f>
        <v>未回收</v>
      </c>
      <c r="R57" s="198" t="str">
        <f aca="false">IF((R56)&gt;0,"回收","未回收")</f>
        <v>未回收</v>
      </c>
      <c r="S57" s="198" t="str">
        <f aca="false">IF((S56)&gt;0,"回收","未回收")</f>
        <v>未回收</v>
      </c>
      <c r="T57" s="198" t="str">
        <f aca="false">IF((T56)&gt;0,"回收","未回收")</f>
        <v>回收</v>
      </c>
      <c r="U57" s="198" t="str">
        <f aca="false">IF((U56)&gt;0,"回收","未回收")</f>
        <v>回收</v>
      </c>
      <c r="V57" s="198" t="str">
        <f aca="false">IF((V56)&gt;0,"回收","未回收")</f>
        <v>回收</v>
      </c>
      <c r="W57" s="198" t="str">
        <f aca="false">IF((W56)&gt;0,"回收","未回收")</f>
        <v>回收</v>
      </c>
      <c r="X57" s="198" t="str">
        <f aca="false">IF((X56)&gt;0,"回收","未回收")</f>
        <v>回收</v>
      </c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</row>
    <row r="58" customFormat="false" ht="18.75" hidden="false" customHeight="true" outlineLevel="0" collapsed="false">
      <c r="B58" s="199" t="s">
        <v>93</v>
      </c>
      <c r="C58" s="200" t="n">
        <f aca="false">IRR(C55:W55)</f>
        <v>0.0186056788974105</v>
      </c>
      <c r="D58" s="201"/>
      <c r="E58" s="201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customFormat="false" ht="18.75" hidden="false" customHeight="true" outlineLevel="0" collapsed="false">
      <c r="B59" s="202"/>
      <c r="C59" s="201"/>
      <c r="D59" s="201"/>
      <c r="E59" s="201"/>
      <c r="F59" s="202"/>
      <c r="G59" s="202"/>
      <c r="H59" s="202"/>
      <c r="I59" s="202"/>
      <c r="J59" s="202"/>
      <c r="K59" s="202"/>
      <c r="L59" s="202"/>
      <c r="M59" s="201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customFormat="false" ht="18.75" hidden="false" customHeight="true" outlineLevel="0" collapsed="false">
      <c r="B60" s="97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54" t="n">
        <v>0</v>
      </c>
      <c r="C61" s="155"/>
      <c r="D61" s="156"/>
      <c r="E61" s="156"/>
      <c r="F61" s="157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204" t="s">
        <v>50</v>
      </c>
      <c r="U61" s="158"/>
      <c r="V61" s="158"/>
      <c r="W61" s="158"/>
      <c r="X61" s="160"/>
    </row>
    <row r="62" customFormat="false" ht="18.75" hidden="false" customHeight="true" outlineLevel="0" collapsed="false">
      <c r="B62" s="161" t="s">
        <v>51</v>
      </c>
      <c r="C62" s="162" t="n">
        <v>0</v>
      </c>
      <c r="D62" s="163" t="n">
        <v>1</v>
      </c>
      <c r="E62" s="163" t="n">
        <v>2</v>
      </c>
      <c r="F62" s="163" t="n">
        <v>3</v>
      </c>
      <c r="G62" s="163" t="n">
        <v>4</v>
      </c>
      <c r="H62" s="163" t="n">
        <v>5</v>
      </c>
      <c r="I62" s="163" t="n">
        <v>6</v>
      </c>
      <c r="J62" s="163" t="n">
        <v>7</v>
      </c>
      <c r="K62" s="163" t="n">
        <v>8</v>
      </c>
      <c r="L62" s="163" t="n">
        <v>9</v>
      </c>
      <c r="M62" s="163" t="n">
        <v>10</v>
      </c>
      <c r="N62" s="163" t="n">
        <v>11</v>
      </c>
      <c r="O62" s="163" t="n">
        <v>12</v>
      </c>
      <c r="P62" s="163" t="n">
        <v>13</v>
      </c>
      <c r="Q62" s="163" t="n">
        <v>14</v>
      </c>
      <c r="R62" s="163" t="n">
        <v>15</v>
      </c>
      <c r="S62" s="163" t="n">
        <v>16</v>
      </c>
      <c r="T62" s="205" t="n">
        <v>17</v>
      </c>
      <c r="U62" s="163" t="n">
        <v>18</v>
      </c>
      <c r="V62" s="163" t="n">
        <v>19</v>
      </c>
      <c r="W62" s="163" t="n">
        <v>20</v>
      </c>
      <c r="X62" s="47"/>
    </row>
    <row r="63" customFormat="false" ht="18.75" hidden="false" customHeight="true" outlineLevel="0" collapsed="false">
      <c r="B63" s="165" t="s">
        <v>52</v>
      </c>
      <c r="C63" s="166" t="n">
        <v>0</v>
      </c>
      <c r="D63" s="167" t="n">
        <f aca="false">D40</f>
        <v>541531.98</v>
      </c>
      <c r="E63" s="167" t="n">
        <f aca="false">E40</f>
        <v>539343.972</v>
      </c>
      <c r="F63" s="167" t="n">
        <f aca="false">F40</f>
        <v>537155.964</v>
      </c>
      <c r="G63" s="167" t="n">
        <f aca="false">G40</f>
        <v>534967.956</v>
      </c>
      <c r="H63" s="167" t="n">
        <f aca="false">H40</f>
        <v>532779.948</v>
      </c>
      <c r="I63" s="167" t="n">
        <f aca="false">I40</f>
        <v>530591.94</v>
      </c>
      <c r="J63" s="167" t="n">
        <f aca="false">J40</f>
        <v>528403.932</v>
      </c>
      <c r="K63" s="167" t="n">
        <f aca="false">K40</f>
        <v>526215.924</v>
      </c>
      <c r="L63" s="167" t="n">
        <f aca="false">L40</f>
        <v>524027.916</v>
      </c>
      <c r="M63" s="167" t="n">
        <f aca="false">M40</f>
        <v>521839.908</v>
      </c>
      <c r="N63" s="167" t="n">
        <f aca="false">N40</f>
        <v>519651.9</v>
      </c>
      <c r="O63" s="167" t="n">
        <f aca="false">O40</f>
        <v>517463.892</v>
      </c>
      <c r="P63" s="167" t="n">
        <f aca="false">P40</f>
        <v>515275.884</v>
      </c>
      <c r="Q63" s="167" t="n">
        <f aca="false">Q40</f>
        <v>513087.876</v>
      </c>
      <c r="R63" s="167" t="n">
        <f aca="false">R40</f>
        <v>510899.868</v>
      </c>
      <c r="S63" s="167" t="n">
        <f aca="false">S40</f>
        <v>508711.86</v>
      </c>
      <c r="T63" s="167" t="n">
        <f aca="false">T40</f>
        <v>506523.852</v>
      </c>
      <c r="U63" s="167" t="n">
        <f aca="false">U40</f>
        <v>504335.844</v>
      </c>
      <c r="V63" s="167" t="n">
        <f aca="false">V40</f>
        <v>502147.836</v>
      </c>
      <c r="W63" s="167" t="n">
        <f aca="false">W40</f>
        <v>499959.828</v>
      </c>
      <c r="X63" s="168"/>
    </row>
    <row r="64" customFormat="false" ht="18.75" hidden="false" customHeight="true" outlineLevel="0" collapsed="false">
      <c r="B64" s="169" t="s">
        <v>53</v>
      </c>
      <c r="C64" s="170" t="s">
        <v>3</v>
      </c>
      <c r="D64" s="171" t="n">
        <f aca="false">D41</f>
        <v>2011899.612096</v>
      </c>
      <c r="E64" s="171" t="n">
        <f aca="false">E41</f>
        <v>2003770.7247744</v>
      </c>
      <c r="F64" s="171" t="n">
        <f aca="false">F41</f>
        <v>1995641.8374528</v>
      </c>
      <c r="G64" s="171" t="n">
        <f aca="false">G41</f>
        <v>1987512.9501312</v>
      </c>
      <c r="H64" s="171" t="n">
        <f aca="false">H41</f>
        <v>1979384.0628096</v>
      </c>
      <c r="I64" s="171" t="n">
        <f aca="false">I41</f>
        <v>1971255.175488</v>
      </c>
      <c r="J64" s="171" t="n">
        <f aca="false">J41</f>
        <v>1963126.2881664</v>
      </c>
      <c r="K64" s="171" t="n">
        <f aca="false">K41</f>
        <v>1954997.4008448</v>
      </c>
      <c r="L64" s="171" t="n">
        <f aca="false">L41</f>
        <v>1946868.5135232</v>
      </c>
      <c r="M64" s="171" t="n">
        <f aca="false">M41</f>
        <v>1938739.6262016</v>
      </c>
      <c r="N64" s="171" t="n">
        <f aca="false">N41</f>
        <v>1930610.73888</v>
      </c>
      <c r="O64" s="171" t="n">
        <f aca="false">O41</f>
        <v>1922481.8515584</v>
      </c>
      <c r="P64" s="171" t="n">
        <f aca="false">P41</f>
        <v>1914352.9642368</v>
      </c>
      <c r="Q64" s="171" t="n">
        <f aca="false">Q41</f>
        <v>1906224.0769152</v>
      </c>
      <c r="R64" s="171" t="n">
        <f aca="false">R41</f>
        <v>1898095.1895936</v>
      </c>
      <c r="S64" s="171" t="n">
        <f aca="false">S41</f>
        <v>1889966.302272</v>
      </c>
      <c r="T64" s="171" t="n">
        <f aca="false">T41</f>
        <v>1881837.4149504</v>
      </c>
      <c r="U64" s="171" t="n">
        <f aca="false">U41</f>
        <v>1873708.5276288</v>
      </c>
      <c r="V64" s="171" t="n">
        <f aca="false">V41</f>
        <v>1865579.6403072</v>
      </c>
      <c r="W64" s="171" t="n">
        <f aca="false">W41</f>
        <v>1857450.7529856</v>
      </c>
      <c r="X64" s="172"/>
    </row>
    <row r="65" customFormat="false" ht="18.75" hidden="false" customHeight="true" outlineLevel="0" collapsed="false">
      <c r="B65" s="173" t="s">
        <v>54</v>
      </c>
      <c r="C65" s="174" t="s">
        <v>3</v>
      </c>
      <c r="D65" s="175"/>
      <c r="E65" s="175"/>
      <c r="F65" s="175"/>
      <c r="G65" s="176" t="s">
        <v>3</v>
      </c>
      <c r="H65" s="176" t="s">
        <v>3</v>
      </c>
      <c r="I65" s="176" t="s">
        <v>3</v>
      </c>
      <c r="J65" s="176" t="s">
        <v>3</v>
      </c>
      <c r="K65" s="176" t="s">
        <v>3</v>
      </c>
      <c r="L65" s="176" t="s">
        <v>3</v>
      </c>
      <c r="M65" s="176" t="s">
        <v>3</v>
      </c>
      <c r="N65" s="176" t="s">
        <v>3</v>
      </c>
      <c r="O65" s="176" t="s">
        <v>3</v>
      </c>
      <c r="P65" s="176" t="s">
        <v>3</v>
      </c>
      <c r="Q65" s="176" t="s">
        <v>3</v>
      </c>
      <c r="R65" s="176" t="s">
        <v>3</v>
      </c>
      <c r="S65" s="176" t="s">
        <v>3</v>
      </c>
      <c r="T65" s="176" t="s">
        <v>3</v>
      </c>
      <c r="U65" s="176" t="s">
        <v>3</v>
      </c>
      <c r="V65" s="176" t="s">
        <v>3</v>
      </c>
      <c r="W65" s="176" t="s">
        <v>3</v>
      </c>
      <c r="X65" s="177"/>
    </row>
    <row r="66" customFormat="false" ht="18.75" hidden="false" customHeight="true" outlineLevel="0" collapsed="false">
      <c r="B66" s="178" t="s">
        <v>55</v>
      </c>
      <c r="C66" s="179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1"/>
    </row>
    <row r="67" customFormat="false" ht="18.75" hidden="false" customHeight="true" outlineLevel="0" collapsed="false">
      <c r="B67" s="182" t="s">
        <v>151</v>
      </c>
      <c r="C67" s="174"/>
      <c r="D67" s="206" t="n">
        <f aca="false">$C$44/$E$16</f>
        <v>-883102.5</v>
      </c>
      <c r="E67" s="206" t="n">
        <f aca="false">$C$44/$E$16</f>
        <v>-883102.5</v>
      </c>
      <c r="F67" s="206" t="n">
        <f aca="false">$C$44/$E$16</f>
        <v>-883102.5</v>
      </c>
      <c r="G67" s="206" t="n">
        <f aca="false">$C$44/$E$16</f>
        <v>-883102.5</v>
      </c>
      <c r="H67" s="206" t="n">
        <f aca="false">$C$44/$E$16</f>
        <v>-883102.5</v>
      </c>
      <c r="I67" s="206" t="n">
        <f aca="false">$C$44/$E$16</f>
        <v>-883102.5</v>
      </c>
      <c r="J67" s="206" t="n">
        <f aca="false">$C$44/$E$16</f>
        <v>-883102.5</v>
      </c>
      <c r="K67" s="206" t="n">
        <f aca="false">$C$44/$E$16</f>
        <v>-883102.5</v>
      </c>
      <c r="L67" s="206" t="n">
        <f aca="false">$C$44/$E$16</f>
        <v>-883102.5</v>
      </c>
      <c r="M67" s="206" t="n">
        <f aca="false">$C$44/$E$16</f>
        <v>-883102.5</v>
      </c>
      <c r="N67" s="206" t="n">
        <f aca="false">$C$44/$E$16</f>
        <v>-883102.5</v>
      </c>
      <c r="O67" s="206" t="n">
        <f aca="false">$C$44/$E$16</f>
        <v>-883102.5</v>
      </c>
      <c r="P67" s="206" t="n">
        <f aca="false">$C$44/$E$16</f>
        <v>-883102.5</v>
      </c>
      <c r="Q67" s="206" t="n">
        <f aca="false">$C$44/$E$16</f>
        <v>-883102.5</v>
      </c>
      <c r="R67" s="206" t="n">
        <f aca="false">$C$44/$E$16</f>
        <v>-883102.5</v>
      </c>
      <c r="S67" s="206" t="n">
        <f aca="false">$C$44/$E$16</f>
        <v>-883102.5</v>
      </c>
      <c r="T67" s="206" t="n">
        <f aca="false">$C$44/$E$16</f>
        <v>-883102.5</v>
      </c>
      <c r="U67" s="206" t="n">
        <f aca="false">$C$44/$E$16</f>
        <v>-883102.5</v>
      </c>
      <c r="V67" s="206" t="n">
        <f aca="false">$C$44/$E$16</f>
        <v>-883102.5</v>
      </c>
      <c r="W67" s="206" t="n">
        <f aca="false">$C$44/$E$16</f>
        <v>-883102.5</v>
      </c>
      <c r="X67" s="177"/>
    </row>
    <row r="68" customFormat="false" ht="18.75" hidden="false" customHeight="true" outlineLevel="0" collapsed="false">
      <c r="B68" s="182" t="s">
        <v>57</v>
      </c>
      <c r="C68" s="174" t="s">
        <v>3</v>
      </c>
      <c r="D68" s="184" t="n">
        <f aca="false">D44</f>
        <v>0</v>
      </c>
      <c r="E68" s="184" t="n">
        <f aca="false">E45</f>
        <v>-601131.21743232</v>
      </c>
      <c r="F68" s="184" t="n">
        <f aca="false">F45</f>
        <v>-598692.55123584</v>
      </c>
      <c r="G68" s="184" t="n">
        <f aca="false">G45</f>
        <v>-596253.88503936</v>
      </c>
      <c r="H68" s="184" t="n">
        <f aca="false">H45</f>
        <v>-593815.21884288</v>
      </c>
      <c r="I68" s="184" t="n">
        <f aca="false">I45</f>
        <v>-591376.5526464</v>
      </c>
      <c r="J68" s="184" t="n">
        <f aca="false">J45</f>
        <v>-588937.88644992</v>
      </c>
      <c r="K68" s="184" t="n">
        <f aca="false">K45</f>
        <v>-586499.22025344</v>
      </c>
      <c r="L68" s="184" t="n">
        <f aca="false">L45</f>
        <v>-584060.55405696</v>
      </c>
      <c r="M68" s="184" t="n">
        <f aca="false">M45</f>
        <v>-581621.88786048</v>
      </c>
      <c r="N68" s="184" t="n">
        <f aca="false">N45</f>
        <v>-579183.221664</v>
      </c>
      <c r="O68" s="184" t="n">
        <f aca="false">O45</f>
        <v>-576744.55546752</v>
      </c>
      <c r="P68" s="184" t="n">
        <f aca="false">P45</f>
        <v>-574305.88927104</v>
      </c>
      <c r="Q68" s="184" t="n">
        <f aca="false">Q45</f>
        <v>-571867.22307456</v>
      </c>
      <c r="R68" s="184" t="n">
        <f aca="false">R45</f>
        <v>-569428.55687808</v>
      </c>
      <c r="S68" s="184" t="n">
        <f aca="false">S45</f>
        <v>-566989.8906816</v>
      </c>
      <c r="T68" s="184" t="n">
        <f aca="false">T45</f>
        <v>-564551.22448512</v>
      </c>
      <c r="U68" s="184" t="n">
        <f aca="false">U45</f>
        <v>-562112.55828864</v>
      </c>
      <c r="V68" s="184" t="n">
        <f aca="false">V45</f>
        <v>-559673.89209216</v>
      </c>
      <c r="W68" s="184" t="n">
        <f aca="false">W45</f>
        <v>-557235.22589568</v>
      </c>
      <c r="X68" s="177"/>
    </row>
    <row r="69" customFormat="false" ht="18.75" hidden="false" customHeight="true" outlineLevel="0" collapsed="false">
      <c r="B69" s="182" t="s">
        <v>58</v>
      </c>
      <c r="C69" s="174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7"/>
    </row>
    <row r="70" customFormat="false" ht="18.75" hidden="false" customHeight="true" outlineLevel="0" collapsed="false">
      <c r="B70" s="182" t="s">
        <v>59</v>
      </c>
      <c r="C70" s="174" t="s">
        <v>3</v>
      </c>
      <c r="D70" s="184" t="n">
        <f aca="false">-D109*$D25</f>
        <v>-361648.1358</v>
      </c>
      <c r="E70" s="184" t="n">
        <f aca="false">-E109*$D25</f>
        <v>-337538.26008</v>
      </c>
      <c r="F70" s="184" t="n">
        <f aca="false">-F109*$D25</f>
        <v>-313428.38436</v>
      </c>
      <c r="G70" s="184" t="n">
        <f aca="false">-G109*$D25</f>
        <v>-289318.50864</v>
      </c>
      <c r="H70" s="184" t="n">
        <f aca="false">-H109*$D25</f>
        <v>-265208.63292</v>
      </c>
      <c r="I70" s="184" t="n">
        <f aca="false">-I109*$D25</f>
        <v>-241098.7572</v>
      </c>
      <c r="J70" s="184" t="n">
        <f aca="false">-J109*$D25</f>
        <v>-216988.88148</v>
      </c>
      <c r="K70" s="184" t="n">
        <f aca="false">-K109*$D25</f>
        <v>-192879.00576</v>
      </c>
      <c r="L70" s="184" t="n">
        <f aca="false">-L109*$D25</f>
        <v>-168769.13004</v>
      </c>
      <c r="M70" s="184" t="n">
        <f aca="false">-M109*$D25</f>
        <v>-144659.25432</v>
      </c>
      <c r="N70" s="184" t="n">
        <f aca="false">-N109*$D25</f>
        <v>-120549.3786</v>
      </c>
      <c r="O70" s="184" t="n">
        <f aca="false">-O109*$D25</f>
        <v>-96439.50288</v>
      </c>
      <c r="P70" s="184" t="n">
        <f aca="false">-P109*$D25</f>
        <v>-72329.62716</v>
      </c>
      <c r="Q70" s="184" t="n">
        <f aca="false">-Q109*$D25</f>
        <v>-48219.75144</v>
      </c>
      <c r="R70" s="184" t="n">
        <f aca="false">-R109*$D25</f>
        <v>-24109.87572</v>
      </c>
      <c r="S70" s="184" t="n">
        <f aca="false">-S109*$D25</f>
        <v>-0</v>
      </c>
      <c r="T70" s="184" t="n">
        <f aca="false">-T109*$D25</f>
        <v>-0</v>
      </c>
      <c r="U70" s="184" t="n">
        <f aca="false">-U109*$D25</f>
        <v>-0</v>
      </c>
      <c r="V70" s="184" t="n">
        <f aca="false">-V109*$D25</f>
        <v>-0</v>
      </c>
      <c r="W70" s="184" t="n">
        <f aca="false">-W109*$D25</f>
        <v>-0</v>
      </c>
      <c r="X70" s="177"/>
    </row>
    <row r="71" customFormat="false" ht="18.75" hidden="false" customHeight="true" outlineLevel="0" collapsed="false">
      <c r="B71" s="182" t="s">
        <v>60</v>
      </c>
      <c r="C71" s="174" t="s">
        <v>3</v>
      </c>
      <c r="D71" s="184" t="n">
        <f aca="false">D48</f>
        <v>-174440</v>
      </c>
      <c r="E71" s="184" t="n">
        <f aca="false">E48</f>
        <v>-174440</v>
      </c>
      <c r="F71" s="184" t="n">
        <f aca="false">F48</f>
        <v>-174440</v>
      </c>
      <c r="G71" s="184" t="n">
        <f aca="false">G48</f>
        <v>-174440</v>
      </c>
      <c r="H71" s="184" t="n">
        <f aca="false">H48</f>
        <v>-174440</v>
      </c>
      <c r="I71" s="184" t="n">
        <f aca="false">I48</f>
        <v>-174440</v>
      </c>
      <c r="J71" s="184" t="n">
        <f aca="false">J48</f>
        <v>-174440</v>
      </c>
      <c r="K71" s="184" t="n">
        <f aca="false">K48</f>
        <v>-174440</v>
      </c>
      <c r="L71" s="184" t="n">
        <f aca="false">L48</f>
        <v>-174440</v>
      </c>
      <c r="M71" s="184" t="n">
        <f aca="false">M48</f>
        <v>-174440</v>
      </c>
      <c r="N71" s="184" t="n">
        <f aca="false">N48</f>
        <v>-174440</v>
      </c>
      <c r="O71" s="184" t="n">
        <f aca="false">O48</f>
        <v>-174440</v>
      </c>
      <c r="P71" s="184" t="n">
        <f aca="false">P48</f>
        <v>-174440</v>
      </c>
      <c r="Q71" s="184" t="n">
        <f aca="false">Q48</f>
        <v>-174440</v>
      </c>
      <c r="R71" s="184" t="n">
        <f aca="false">R48</f>
        <v>-174440</v>
      </c>
      <c r="S71" s="184" t="n">
        <f aca="false">S48</f>
        <v>-174440</v>
      </c>
      <c r="T71" s="184" t="n">
        <f aca="false">T48</f>
        <v>-174440</v>
      </c>
      <c r="U71" s="184" t="n">
        <f aca="false">U48</f>
        <v>-174440</v>
      </c>
      <c r="V71" s="184" t="n">
        <f aca="false">V48</f>
        <v>-174440</v>
      </c>
      <c r="W71" s="184" t="n">
        <f aca="false">W48</f>
        <v>-174440</v>
      </c>
      <c r="X71" s="177"/>
    </row>
    <row r="72" customFormat="false" ht="18.75" hidden="false" customHeight="true" outlineLevel="0" collapsed="false">
      <c r="B72" s="182" t="s">
        <v>61</v>
      </c>
      <c r="C72" s="174" t="s">
        <v>3</v>
      </c>
      <c r="D72" s="184" t="n">
        <f aca="false">D49</f>
        <v>-39249</v>
      </c>
      <c r="E72" s="184" t="n">
        <f aca="false">E49</f>
        <v>-39249</v>
      </c>
      <c r="F72" s="184" t="n">
        <f aca="false">F49</f>
        <v>-39249</v>
      </c>
      <c r="G72" s="184" t="n">
        <f aca="false">G49</f>
        <v>-39249</v>
      </c>
      <c r="H72" s="184" t="n">
        <f aca="false">H49</f>
        <v>-39249</v>
      </c>
      <c r="I72" s="184" t="n">
        <f aca="false">I49</f>
        <v>-39249</v>
      </c>
      <c r="J72" s="184" t="n">
        <f aca="false">J49</f>
        <v>-39249</v>
      </c>
      <c r="K72" s="184" t="n">
        <f aca="false">K49</f>
        <v>-39249</v>
      </c>
      <c r="L72" s="184" t="n">
        <f aca="false">L49</f>
        <v>-39249</v>
      </c>
      <c r="M72" s="184" t="n">
        <f aca="false">M49</f>
        <v>-39249</v>
      </c>
      <c r="N72" s="184" t="n">
        <f aca="false">N49</f>
        <v>-39249</v>
      </c>
      <c r="O72" s="184" t="n">
        <f aca="false">O49</f>
        <v>-39249</v>
      </c>
      <c r="P72" s="184" t="n">
        <f aca="false">P49</f>
        <v>-39249</v>
      </c>
      <c r="Q72" s="184" t="n">
        <f aca="false">Q49</f>
        <v>-39249</v>
      </c>
      <c r="R72" s="184" t="n">
        <f aca="false">R49</f>
        <v>-39249</v>
      </c>
      <c r="S72" s="184" t="n">
        <f aca="false">S49</f>
        <v>-39249</v>
      </c>
      <c r="T72" s="184" t="n">
        <f aca="false">T49</f>
        <v>-39249</v>
      </c>
      <c r="U72" s="184" t="n">
        <f aca="false">U49</f>
        <v>-39249</v>
      </c>
      <c r="V72" s="184" t="n">
        <f aca="false">V49</f>
        <v>-39249</v>
      </c>
      <c r="W72" s="184" t="n">
        <f aca="false">W49</f>
        <v>-39249</v>
      </c>
      <c r="X72" s="177"/>
    </row>
    <row r="73" customFormat="false" ht="18.75" hidden="false" customHeight="true" outlineLevel="0" collapsed="false">
      <c r="B73" s="182" t="s">
        <v>62</v>
      </c>
      <c r="C73" s="174"/>
      <c r="D73" s="184" t="n">
        <f aca="false">D50</f>
        <v>-43610</v>
      </c>
      <c r="E73" s="184" t="n">
        <f aca="false">E50</f>
        <v>-43610</v>
      </c>
      <c r="F73" s="184" t="n">
        <f aca="false">F50</f>
        <v>-43610</v>
      </c>
      <c r="G73" s="184" t="n">
        <f aca="false">G50</f>
        <v>-43610</v>
      </c>
      <c r="H73" s="184" t="n">
        <f aca="false">H50</f>
        <v>-43610</v>
      </c>
      <c r="I73" s="184" t="n">
        <f aca="false">I50</f>
        <v>-43610</v>
      </c>
      <c r="J73" s="184" t="n">
        <f aca="false">J50</f>
        <v>-43610</v>
      </c>
      <c r="K73" s="184" t="n">
        <f aca="false">K50</f>
        <v>-43610</v>
      </c>
      <c r="L73" s="184" t="n">
        <f aca="false">L50</f>
        <v>-43610</v>
      </c>
      <c r="M73" s="184" t="n">
        <f aca="false">M50</f>
        <v>-43610</v>
      </c>
      <c r="N73" s="184" t="n">
        <f aca="false">N50</f>
        <v>0</v>
      </c>
      <c r="O73" s="184" t="n">
        <f aca="false">O50</f>
        <v>0</v>
      </c>
      <c r="P73" s="184" t="n">
        <f aca="false">P50</f>
        <v>0</v>
      </c>
      <c r="Q73" s="184" t="n">
        <f aca="false">Q50</f>
        <v>0</v>
      </c>
      <c r="R73" s="184" t="n">
        <f aca="false">R50</f>
        <v>0</v>
      </c>
      <c r="S73" s="184" t="n">
        <f aca="false">S50</f>
        <v>0</v>
      </c>
      <c r="T73" s="184" t="n">
        <f aca="false">T50</f>
        <v>0</v>
      </c>
      <c r="U73" s="184" t="n">
        <f aca="false">U50</f>
        <v>0</v>
      </c>
      <c r="V73" s="184" t="n">
        <f aca="false">V50</f>
        <v>0</v>
      </c>
      <c r="W73" s="184" t="n">
        <f aca="false">W50</f>
        <v>0</v>
      </c>
      <c r="X73" s="177"/>
    </row>
    <row r="74" customFormat="false" ht="18.75" hidden="false" customHeight="true" outlineLevel="0" collapsed="false">
      <c r="B74" s="182" t="s">
        <v>63</v>
      </c>
      <c r="C74" s="185"/>
      <c r="D74" s="207"/>
      <c r="E74" s="208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7"/>
    </row>
    <row r="75" customFormat="false" ht="18.75" hidden="false" customHeight="true" outlineLevel="0" collapsed="false">
      <c r="B75" s="182" t="s">
        <v>64</v>
      </c>
      <c r="C75" s="18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7"/>
    </row>
    <row r="76" customFormat="false" ht="18.75" hidden="false" customHeight="true" outlineLevel="0" collapsed="false">
      <c r="B76" s="187" t="s">
        <v>152</v>
      </c>
      <c r="C76" s="209"/>
      <c r="D76" s="189" t="n">
        <f aca="false">SUM(D64:D75)</f>
        <v>509849.976296</v>
      </c>
      <c r="E76" s="189" t="n">
        <f aca="false">SUM(E64:E75)</f>
        <v>-75300.2527379202</v>
      </c>
      <c r="F76" s="189" t="n">
        <f aca="false">SUM(F64:F75)</f>
        <v>-56880.5981430399</v>
      </c>
      <c r="G76" s="189" t="n">
        <f aca="false">SUM(G64:G75)</f>
        <v>-38460.94354816</v>
      </c>
      <c r="H76" s="189" t="n">
        <f aca="false">SUM(H64:H75)</f>
        <v>-20041.2889532802</v>
      </c>
      <c r="I76" s="189" t="n">
        <f aca="false">SUM(I64:I75)</f>
        <v>-1621.63435840025</v>
      </c>
      <c r="J76" s="189" t="n">
        <f aca="false">SUM(J64:J75)</f>
        <v>16798.02023648</v>
      </c>
      <c r="K76" s="189" t="n">
        <f aca="false">SUM(K64:K75)</f>
        <v>35217.6748313599</v>
      </c>
      <c r="L76" s="189" t="n">
        <f aca="false">SUM(L64:L75)</f>
        <v>53637.3294262398</v>
      </c>
      <c r="M76" s="189" t="n">
        <f aca="false">SUM(M64:M75)</f>
        <v>72056.9840211198</v>
      </c>
      <c r="N76" s="189" t="n">
        <f aca="false">SUM(N64:N75)</f>
        <v>134086.638616</v>
      </c>
      <c r="O76" s="189" t="n">
        <f aca="false">SUM(O64:O75)</f>
        <v>152506.29321088</v>
      </c>
      <c r="P76" s="189" t="n">
        <f aca="false">SUM(P64:P75)</f>
        <v>170925.94780576</v>
      </c>
      <c r="Q76" s="189" t="n">
        <f aca="false">SUM(Q64:Q75)</f>
        <v>189345.60240064</v>
      </c>
      <c r="R76" s="189" t="n">
        <f aca="false">SUM(R64:R75)</f>
        <v>207765.25699552</v>
      </c>
      <c r="S76" s="189" t="n">
        <f aca="false">SUM(S64:S75)</f>
        <v>226184.9115904</v>
      </c>
      <c r="T76" s="189" t="n">
        <f aca="false">SUM(T64:T75)</f>
        <v>220494.69046528</v>
      </c>
      <c r="U76" s="189" t="n">
        <f aca="false">SUM(U64:U75)</f>
        <v>214804.46934016</v>
      </c>
      <c r="V76" s="189" t="n">
        <f aca="false">SUM(V64:V75)</f>
        <v>209114.24821504</v>
      </c>
      <c r="W76" s="189" t="n">
        <f aca="false">SUM(W64:W75)</f>
        <v>203424.02708992</v>
      </c>
      <c r="X76" s="189" t="n">
        <f aca="false">SUM(X64:X75)</f>
        <v>0</v>
      </c>
    </row>
    <row r="77" customFormat="false" ht="18.75" hidden="false" customHeight="true" outlineLevel="0" collapsed="false">
      <c r="B77" s="186" t="s">
        <v>66</v>
      </c>
      <c r="C77" s="185"/>
      <c r="D77" s="184" t="n">
        <f aca="false">-D76*0.2</f>
        <v>-101969.9952592</v>
      </c>
      <c r="E77" s="184" t="n">
        <f aca="false">-E76*0.2</f>
        <v>15060.050547584</v>
      </c>
      <c r="F77" s="184" t="n">
        <f aca="false">-F76*0.2</f>
        <v>11376.119628608</v>
      </c>
      <c r="G77" s="184" t="n">
        <f aca="false">-G76*0.2</f>
        <v>7692.18870963201</v>
      </c>
      <c r="H77" s="184" t="n">
        <f aca="false">-H76*0.2</f>
        <v>4008.25779065604</v>
      </c>
      <c r="I77" s="184" t="n">
        <f aca="false">-I76*0.2</f>
        <v>324.326871680049</v>
      </c>
      <c r="J77" s="184" t="n">
        <f aca="false">-J76*0.2</f>
        <v>-3359.604047296</v>
      </c>
      <c r="K77" s="184" t="n">
        <f aca="false">-K76*0.2</f>
        <v>-7043.53496627197</v>
      </c>
      <c r="L77" s="184" t="n">
        <f aca="false">-L76*0.2</f>
        <v>-10727.465885248</v>
      </c>
      <c r="M77" s="184" t="n">
        <f aca="false">-M76*0.2</f>
        <v>-14411.396804224</v>
      </c>
      <c r="N77" s="184" t="n">
        <f aca="false">-N76*0.2</f>
        <v>-26817.3277232</v>
      </c>
      <c r="O77" s="184" t="n">
        <f aca="false">-O76*0.2</f>
        <v>-30501.258642176</v>
      </c>
      <c r="P77" s="184" t="n">
        <f aca="false">-P76*0.2</f>
        <v>-34185.189561152</v>
      </c>
      <c r="Q77" s="184" t="n">
        <f aca="false">-Q76*0.2</f>
        <v>-37869.120480128</v>
      </c>
      <c r="R77" s="184" t="n">
        <f aca="false">-R76*0.2</f>
        <v>-41553.051399104</v>
      </c>
      <c r="S77" s="184" t="n">
        <f aca="false">-S76*0.2</f>
        <v>-45236.98231808</v>
      </c>
      <c r="T77" s="184" t="n">
        <f aca="false">-T76*0.2</f>
        <v>-44098.9380930559</v>
      </c>
      <c r="U77" s="184" t="n">
        <f aca="false">-U76*0.2</f>
        <v>-42960.893868032</v>
      </c>
      <c r="V77" s="184" t="n">
        <f aca="false">-V76*0.2</f>
        <v>-41822.849643008</v>
      </c>
      <c r="W77" s="184" t="n">
        <f aca="false">-W76*0.2</f>
        <v>-40684.805417984</v>
      </c>
      <c r="X77" s="184" t="n">
        <f aca="false">-X76*0.2</f>
        <v>-0</v>
      </c>
    </row>
    <row r="78" customFormat="false" ht="15.75" hidden="false" customHeight="true" outlineLevel="0" collapsed="false">
      <c r="B78" s="210" t="s">
        <v>76</v>
      </c>
      <c r="D78" s="184" t="n">
        <f aca="false">SUM(D76:D77)</f>
        <v>407879.9810368</v>
      </c>
      <c r="E78" s="184" t="n">
        <f aca="false">SUM(E76:E77)</f>
        <v>-60240.2021903362</v>
      </c>
      <c r="F78" s="184" t="n">
        <f aca="false">SUM(F76:F77)</f>
        <v>-45504.4785144319</v>
      </c>
      <c r="G78" s="184" t="n">
        <f aca="false">SUM(G76:G77)</f>
        <v>-30768.754838528</v>
      </c>
      <c r="H78" s="184" t="n">
        <f aca="false">SUM(H76:H77)</f>
        <v>-16033.0311626242</v>
      </c>
      <c r="I78" s="184" t="n">
        <f aca="false">SUM(I76:I77)</f>
        <v>-1297.3074867202</v>
      </c>
      <c r="J78" s="184" t="n">
        <f aca="false">SUM(J76:J77)</f>
        <v>13438.416189184</v>
      </c>
      <c r="K78" s="184" t="n">
        <f aca="false">SUM(K76:K77)</f>
        <v>28174.1398650879</v>
      </c>
      <c r="L78" s="184" t="n">
        <f aca="false">SUM(L76:L77)</f>
        <v>42909.8635409918</v>
      </c>
      <c r="M78" s="184" t="n">
        <f aca="false">SUM(M76:M77)</f>
        <v>57645.5872168959</v>
      </c>
      <c r="N78" s="184" t="n">
        <f aca="false">SUM(N76:N77)</f>
        <v>107269.3108928</v>
      </c>
      <c r="O78" s="184" t="n">
        <f aca="false">SUM(O76:O77)</f>
        <v>122005.034568704</v>
      </c>
      <c r="P78" s="184" t="n">
        <f aca="false">SUM(P76:P77)</f>
        <v>136740.758244608</v>
      </c>
      <c r="Q78" s="184" t="n">
        <f aca="false">SUM(Q76:Q77)</f>
        <v>151476.481920512</v>
      </c>
      <c r="R78" s="184" t="n">
        <f aca="false">SUM(R76:R77)</f>
        <v>166212.205596416</v>
      </c>
      <c r="S78" s="184" t="n">
        <f aca="false">SUM(S76:S77)</f>
        <v>180947.92927232</v>
      </c>
      <c r="T78" s="184" t="n">
        <f aca="false">SUM(T76:T77)</f>
        <v>176395.752372224</v>
      </c>
      <c r="U78" s="184" t="n">
        <f aca="false">SUM(U76:U77)</f>
        <v>171843.575472128</v>
      </c>
      <c r="V78" s="184" t="n">
        <f aca="false">SUM(V76:V77)</f>
        <v>167291.398572032</v>
      </c>
      <c r="W78" s="184" t="n">
        <f aca="false">SUM(W76:W77)</f>
        <v>162739.221671936</v>
      </c>
      <c r="X78" s="184" t="n">
        <f aca="false">SUM(X76:X77)</f>
        <v>0</v>
      </c>
    </row>
    <row r="79" customFormat="false" ht="18.75" hidden="false" customHeight="true" outlineLevel="0" collapsed="false">
      <c r="B79" s="193" t="s">
        <v>68</v>
      </c>
      <c r="C79" s="196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2"/>
    </row>
    <row r="80" customFormat="false" ht="18.75" hidden="false" customHeight="true" outlineLevel="0" collapsed="false">
      <c r="B80" s="213" t="s">
        <v>74</v>
      </c>
      <c r="C80" s="214"/>
      <c r="D80" s="215"/>
      <c r="E80" s="215"/>
      <c r="F80" s="215"/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6"/>
    </row>
    <row r="81" customFormat="false" ht="18.75" hidden="false" customHeight="true" outlineLevel="0" collapsed="false">
      <c r="B81" s="202"/>
      <c r="C81" s="201"/>
      <c r="D81" s="201"/>
      <c r="E81" s="201"/>
      <c r="F81" s="202"/>
      <c r="G81" s="202"/>
      <c r="H81" s="202"/>
      <c r="I81" s="202"/>
      <c r="J81" s="202"/>
      <c r="K81" s="202"/>
      <c r="L81" s="202"/>
      <c r="M81" s="201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</row>
    <row r="82" customFormat="false" ht="18.75" hidden="false" customHeight="true" outlineLevel="0" collapsed="false">
      <c r="C82" s="217" t="s">
        <v>48</v>
      </c>
      <c r="D82" s="218" t="n">
        <f aca="false">D37</f>
        <v>2023</v>
      </c>
      <c r="E82" s="218" t="n">
        <f aca="false">E37</f>
        <v>2024</v>
      </c>
      <c r="F82" s="218" t="n">
        <f aca="false">F37</f>
        <v>2025</v>
      </c>
      <c r="G82" s="218" t="n">
        <f aca="false">G37</f>
        <v>2026</v>
      </c>
      <c r="H82" s="218" t="n">
        <f aca="false">H37</f>
        <v>2027</v>
      </c>
      <c r="I82" s="218" t="n">
        <f aca="false">I37</f>
        <v>2028</v>
      </c>
      <c r="J82" s="218" t="n">
        <f aca="false">J37</f>
        <v>2029</v>
      </c>
      <c r="K82" s="218" t="n">
        <f aca="false">K37</f>
        <v>2030</v>
      </c>
      <c r="L82" s="218" t="n">
        <f aca="false">L37</f>
        <v>2031</v>
      </c>
      <c r="M82" s="218" t="n">
        <f aca="false">M37</f>
        <v>2032</v>
      </c>
      <c r="N82" s="218" t="n">
        <f aca="false">N37</f>
        <v>2033</v>
      </c>
      <c r="O82" s="218" t="n">
        <f aca="false">O37</f>
        <v>2034</v>
      </c>
      <c r="P82" s="218" t="n">
        <f aca="false">P37</f>
        <v>2035</v>
      </c>
      <c r="Q82" s="218" t="n">
        <f aca="false">Q37</f>
        <v>2036</v>
      </c>
      <c r="R82" s="218" t="n">
        <f aca="false">R37</f>
        <v>2037</v>
      </c>
      <c r="S82" s="218" t="n">
        <f aca="false">S37</f>
        <v>2038</v>
      </c>
      <c r="T82" s="218" t="n">
        <f aca="false">T37</f>
        <v>2039</v>
      </c>
      <c r="U82" s="218" t="n">
        <f aca="false">U37</f>
        <v>2040</v>
      </c>
      <c r="V82" s="218" t="n">
        <f aca="false">V37</f>
        <v>2041</v>
      </c>
      <c r="W82" s="218" t="n">
        <f aca="false">W37</f>
        <v>2042</v>
      </c>
      <c r="X82" s="72"/>
    </row>
    <row r="83" customFormat="false" ht="18.75" hidden="false" customHeight="true" outlineLevel="0" collapsed="false">
      <c r="X83" s="203"/>
    </row>
    <row r="84" customFormat="false" ht="18.75" hidden="false" customHeight="true" outlineLevel="0" collapsed="false">
      <c r="B84" s="219" t="s">
        <v>51</v>
      </c>
      <c r="C84" s="219" t="n">
        <v>0</v>
      </c>
      <c r="D84" s="219" t="n">
        <v>1</v>
      </c>
      <c r="E84" s="219" t="n">
        <v>2</v>
      </c>
      <c r="F84" s="219" t="n">
        <v>3</v>
      </c>
      <c r="G84" s="219" t="n">
        <v>4</v>
      </c>
      <c r="H84" s="219" t="n">
        <v>5</v>
      </c>
      <c r="I84" s="219" t="n">
        <v>6</v>
      </c>
      <c r="J84" s="219" t="n">
        <v>7</v>
      </c>
      <c r="K84" s="219" t="n">
        <v>8</v>
      </c>
      <c r="L84" s="219" t="n">
        <v>9</v>
      </c>
      <c r="M84" s="219" t="n">
        <v>10</v>
      </c>
      <c r="N84" s="219" t="n">
        <v>11</v>
      </c>
      <c r="O84" s="219" t="n">
        <v>12</v>
      </c>
      <c r="P84" s="219" t="n">
        <v>13</v>
      </c>
      <c r="Q84" s="219" t="n">
        <v>14</v>
      </c>
      <c r="R84" s="219" t="n">
        <v>15</v>
      </c>
      <c r="S84" s="219" t="n">
        <v>16</v>
      </c>
      <c r="T84" s="219" t="n">
        <v>17</v>
      </c>
      <c r="U84" s="219" t="n">
        <v>18</v>
      </c>
      <c r="V84" s="219" t="n">
        <v>19</v>
      </c>
      <c r="W84" s="219" t="n">
        <v>20</v>
      </c>
      <c r="X84" s="103"/>
    </row>
    <row r="85" customFormat="false" ht="18.75" hidden="false" customHeight="true" outlineLevel="0" collapsed="false">
      <c r="B85" s="220" t="s">
        <v>76</v>
      </c>
      <c r="C85" s="220"/>
      <c r="D85" s="221" t="n">
        <f aca="false">D78</f>
        <v>407879.9810368</v>
      </c>
      <c r="E85" s="221" t="n">
        <f aca="false">E78</f>
        <v>-60240.2021903362</v>
      </c>
      <c r="F85" s="221" t="n">
        <f aca="false">F78</f>
        <v>-45504.4785144319</v>
      </c>
      <c r="G85" s="221" t="n">
        <f aca="false">G78</f>
        <v>-30768.754838528</v>
      </c>
      <c r="H85" s="221" t="n">
        <f aca="false">H78</f>
        <v>-16033.0311626242</v>
      </c>
      <c r="I85" s="221" t="n">
        <f aca="false">I78</f>
        <v>-1297.3074867202</v>
      </c>
      <c r="J85" s="221" t="n">
        <f aca="false">J78</f>
        <v>13438.416189184</v>
      </c>
      <c r="K85" s="221" t="n">
        <f aca="false">K78</f>
        <v>28174.1398650879</v>
      </c>
      <c r="L85" s="221" t="n">
        <f aca="false">L78</f>
        <v>42909.8635409918</v>
      </c>
      <c r="M85" s="221" t="n">
        <f aca="false">M78</f>
        <v>57645.5872168959</v>
      </c>
      <c r="N85" s="221" t="n">
        <f aca="false">N78</f>
        <v>107269.3108928</v>
      </c>
      <c r="O85" s="221" t="n">
        <f aca="false">O78</f>
        <v>122005.034568704</v>
      </c>
      <c r="P85" s="221" t="n">
        <f aca="false">P78</f>
        <v>136740.758244608</v>
      </c>
      <c r="Q85" s="221" t="n">
        <f aca="false">Q78</f>
        <v>151476.481920512</v>
      </c>
      <c r="R85" s="221" t="n">
        <f aca="false">R78</f>
        <v>166212.205596416</v>
      </c>
      <c r="S85" s="221" t="n">
        <f aca="false">S78</f>
        <v>180947.92927232</v>
      </c>
      <c r="T85" s="221" t="n">
        <f aca="false">T78</f>
        <v>176395.752372224</v>
      </c>
      <c r="U85" s="221" t="n">
        <f aca="false">U78</f>
        <v>171843.575472128</v>
      </c>
      <c r="V85" s="221" t="n">
        <f aca="false">V78</f>
        <v>167291.398572032</v>
      </c>
      <c r="W85" s="221" t="n">
        <f aca="false">W78</f>
        <v>162739.221671936</v>
      </c>
      <c r="X85" s="220"/>
      <c r="Y85" s="220"/>
    </row>
    <row r="86" customFormat="false" ht="15.75" hidden="false" customHeight="true" outlineLevel="0" collapsed="false">
      <c r="B86" s="220" t="s">
        <v>77</v>
      </c>
      <c r="C86" s="220"/>
      <c r="D86" s="222" t="n">
        <f aca="false">-D67</f>
        <v>883102.5</v>
      </c>
      <c r="E86" s="222" t="n">
        <f aca="false">-E67</f>
        <v>883102.5</v>
      </c>
      <c r="F86" s="222" t="n">
        <f aca="false">-F67</f>
        <v>883102.5</v>
      </c>
      <c r="G86" s="222" t="n">
        <f aca="false">-G67</f>
        <v>883102.5</v>
      </c>
      <c r="H86" s="222" t="n">
        <f aca="false">-H67</f>
        <v>883102.5</v>
      </c>
      <c r="I86" s="222" t="n">
        <f aca="false">-I67</f>
        <v>883102.5</v>
      </c>
      <c r="J86" s="222" t="n">
        <f aca="false">-J67</f>
        <v>883102.5</v>
      </c>
      <c r="K86" s="222" t="n">
        <f aca="false">-K67</f>
        <v>883102.5</v>
      </c>
      <c r="L86" s="222" t="n">
        <f aca="false">-L67</f>
        <v>883102.5</v>
      </c>
      <c r="M86" s="222" t="n">
        <f aca="false">-M67</f>
        <v>883102.5</v>
      </c>
      <c r="N86" s="222" t="n">
        <f aca="false">-N67</f>
        <v>883102.5</v>
      </c>
      <c r="O86" s="222" t="n">
        <f aca="false">-O67</f>
        <v>883102.5</v>
      </c>
      <c r="P86" s="222" t="n">
        <f aca="false">-P67</f>
        <v>883102.5</v>
      </c>
      <c r="Q86" s="222" t="n">
        <f aca="false">-Q67</f>
        <v>883102.5</v>
      </c>
      <c r="R86" s="222" t="n">
        <f aca="false">-R67</f>
        <v>883102.5</v>
      </c>
      <c r="S86" s="222" t="n">
        <f aca="false">-S67</f>
        <v>883102.5</v>
      </c>
      <c r="T86" s="222" t="n">
        <f aca="false">-T67</f>
        <v>883102.5</v>
      </c>
      <c r="U86" s="222" t="n">
        <f aca="false">-U67</f>
        <v>883102.5</v>
      </c>
      <c r="V86" s="222" t="n">
        <f aca="false">-V67</f>
        <v>883102.5</v>
      </c>
      <c r="W86" s="222" t="n">
        <f aca="false">-W67</f>
        <v>883102.5</v>
      </c>
      <c r="X86" s="223"/>
      <c r="Y86" s="223"/>
    </row>
    <row r="87" customFormat="false" ht="15.75" hidden="false" customHeight="true" outlineLevel="0" collapsed="false">
      <c r="B87" s="220" t="s">
        <v>78</v>
      </c>
      <c r="C87" s="220"/>
      <c r="D87" s="224" t="n">
        <f aca="false">SUM(D85:D86)</f>
        <v>1290982.4810368</v>
      </c>
      <c r="E87" s="224" t="n">
        <f aca="false">SUM(E85:E86)</f>
        <v>822862.297809664</v>
      </c>
      <c r="F87" s="224" t="n">
        <f aca="false">SUM(F85:F86)</f>
        <v>837598.021485568</v>
      </c>
      <c r="G87" s="224" t="n">
        <f aca="false">SUM(G85:G86)</f>
        <v>852333.745161472</v>
      </c>
      <c r="H87" s="224" t="n">
        <f aca="false">SUM(H85:H86)</f>
        <v>867069.468837376</v>
      </c>
      <c r="I87" s="224" t="n">
        <f aca="false">SUM(I85:I86)</f>
        <v>881805.19251328</v>
      </c>
      <c r="J87" s="224" t="n">
        <f aca="false">SUM(J85:J86)</f>
        <v>896540.916189184</v>
      </c>
      <c r="K87" s="224" t="n">
        <f aca="false">SUM(K85:K86)</f>
        <v>911276.639865088</v>
      </c>
      <c r="L87" s="224" t="n">
        <f aca="false">SUM(L85:L86)</f>
        <v>926012.363540992</v>
      </c>
      <c r="M87" s="224" t="n">
        <f aca="false">SUM(M85:M86)</f>
        <v>940748.087216896</v>
      </c>
      <c r="N87" s="224" t="n">
        <f aca="false">SUM(N85:N86)</f>
        <v>990371.8108928</v>
      </c>
      <c r="O87" s="224" t="n">
        <f aca="false">SUM(O85:O86)</f>
        <v>1005107.5345687</v>
      </c>
      <c r="P87" s="224" t="n">
        <f aca="false">SUM(P85:P86)</f>
        <v>1019843.25824461</v>
      </c>
      <c r="Q87" s="224" t="n">
        <f aca="false">SUM(Q85:Q86)</f>
        <v>1034578.98192051</v>
      </c>
      <c r="R87" s="224" t="n">
        <f aca="false">SUM(R85:R86)</f>
        <v>1049314.70559642</v>
      </c>
      <c r="S87" s="224" t="n">
        <f aca="false">SUM(S85:S86)</f>
        <v>1064050.42927232</v>
      </c>
      <c r="T87" s="224" t="n">
        <f aca="false">SUM(T85:T86)</f>
        <v>1059498.25237222</v>
      </c>
      <c r="U87" s="224" t="n">
        <f aca="false">SUM(U85:U86)</f>
        <v>1054946.07547213</v>
      </c>
      <c r="V87" s="224" t="n">
        <f aca="false">SUM(V85:V86)</f>
        <v>1050393.89857203</v>
      </c>
      <c r="W87" s="224" t="n">
        <f aca="false">SUM(W85:W86)</f>
        <v>1045841.72167194</v>
      </c>
      <c r="X87" s="192"/>
    </row>
    <row r="88" customFormat="false" ht="15.75" hidden="false" customHeight="true" outlineLevel="0" collapsed="false">
      <c r="B88" s="220"/>
      <c r="C88" s="220"/>
      <c r="D88" s="220"/>
      <c r="E88" s="220"/>
      <c r="F88" s="225"/>
      <c r="G88" s="225"/>
      <c r="H88" s="225"/>
      <c r="I88" s="225"/>
      <c r="J88" s="225"/>
      <c r="K88" s="225"/>
      <c r="L88" s="225"/>
      <c r="M88" s="225"/>
      <c r="N88" s="225"/>
      <c r="O88" s="225"/>
      <c r="P88" s="225"/>
      <c r="Q88" s="225"/>
      <c r="R88" s="225"/>
      <c r="S88" s="225"/>
      <c r="T88" s="225"/>
      <c r="U88" s="225"/>
      <c r="V88" s="225"/>
      <c r="W88" s="225"/>
      <c r="X88" s="191"/>
    </row>
    <row r="89" customFormat="false" ht="15.75" hidden="false" customHeight="true" outlineLevel="0" collapsed="false">
      <c r="B89" s="226" t="s">
        <v>79</v>
      </c>
      <c r="C89" s="227"/>
      <c r="D89" s="228" t="n">
        <f aca="false">C44</f>
        <v>-17662050</v>
      </c>
      <c r="E89" s="227"/>
      <c r="F89" s="227"/>
      <c r="G89" s="227"/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9"/>
    </row>
    <row r="90" customFormat="false" ht="15.75" hidden="false" customHeight="true" outlineLevel="0" collapsed="false">
      <c r="B90" s="220"/>
      <c r="C90" s="220"/>
      <c r="D90" s="220"/>
      <c r="E90" s="220"/>
      <c r="F90" s="225"/>
      <c r="G90" s="225"/>
      <c r="H90" s="225"/>
      <c r="I90" s="225"/>
      <c r="J90" s="225"/>
      <c r="K90" s="225"/>
      <c r="L90" s="225"/>
      <c r="M90" s="225"/>
      <c r="N90" s="225"/>
      <c r="O90" s="225"/>
      <c r="P90" s="225"/>
      <c r="Q90" s="225"/>
      <c r="R90" s="225"/>
      <c r="S90" s="225"/>
      <c r="T90" s="225"/>
      <c r="U90" s="225"/>
      <c r="V90" s="225"/>
      <c r="W90" s="225"/>
      <c r="X90" s="191"/>
    </row>
    <row r="91" customFormat="false" ht="15.75" hidden="false" customHeight="true" outlineLevel="0" collapsed="false">
      <c r="B91" s="220"/>
      <c r="C91" s="220"/>
      <c r="D91" s="220"/>
      <c r="E91" s="220"/>
      <c r="F91" s="225"/>
      <c r="G91" s="225"/>
      <c r="H91" s="225"/>
      <c r="I91" s="225"/>
      <c r="J91" s="225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191"/>
    </row>
    <row r="92" customFormat="false" ht="15.75" hidden="false" customHeight="true" outlineLevel="0" collapsed="false">
      <c r="B92" s="226" t="s">
        <v>80</v>
      </c>
      <c r="C92" s="227"/>
      <c r="D92" s="228" t="n">
        <f aca="false">-D89*D31</f>
        <v>14129640</v>
      </c>
      <c r="E92" s="227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191"/>
    </row>
    <row r="93" customFormat="false" ht="15.75" hidden="false" customHeight="true" outlineLevel="0" collapsed="false">
      <c r="B93" s="220" t="s">
        <v>81</v>
      </c>
      <c r="C93" s="220"/>
      <c r="D93" s="230"/>
      <c r="E93" s="230" t="n">
        <v>-941976</v>
      </c>
      <c r="F93" s="230" t="n">
        <v>-941976</v>
      </c>
      <c r="G93" s="230" t="n">
        <v>-941976</v>
      </c>
      <c r="H93" s="230" t="n">
        <v>-941976</v>
      </c>
      <c r="I93" s="230" t="n">
        <v>-941976</v>
      </c>
      <c r="J93" s="230" t="n">
        <v>-941976</v>
      </c>
      <c r="K93" s="230" t="n">
        <v>-941976</v>
      </c>
      <c r="L93" s="230" t="n">
        <v>-941976</v>
      </c>
      <c r="M93" s="230" t="n">
        <v>-941976</v>
      </c>
      <c r="N93" s="230" t="n">
        <v>-941976</v>
      </c>
      <c r="O93" s="230" t="n">
        <v>-941976</v>
      </c>
      <c r="P93" s="230" t="n">
        <v>-941976</v>
      </c>
      <c r="Q93" s="230" t="n">
        <v>-941976</v>
      </c>
      <c r="R93" s="230" t="n">
        <v>-941976</v>
      </c>
      <c r="S93" s="230" t="n">
        <v>-941976</v>
      </c>
      <c r="T93" s="230" t="n">
        <v>0</v>
      </c>
      <c r="U93" s="230" t="n">
        <v>0</v>
      </c>
      <c r="V93" s="230" t="n">
        <v>0</v>
      </c>
      <c r="W93" s="230" t="n">
        <v>0</v>
      </c>
      <c r="X93" s="229"/>
    </row>
    <row r="94" customFormat="false" ht="15.75" hidden="false" customHeight="true" outlineLevel="0" collapsed="false">
      <c r="B94" s="220" t="s">
        <v>82</v>
      </c>
      <c r="C94" s="225"/>
      <c r="D94" s="221" t="n">
        <f aca="false">-D89*(1-D31)</f>
        <v>3532410</v>
      </c>
      <c r="E94" s="225"/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192"/>
    </row>
    <row r="95" customFormat="false" ht="15.75" hidden="false" customHeight="true" outlineLevel="0" collapsed="false">
      <c r="B95" s="220" t="s">
        <v>45</v>
      </c>
      <c r="C95" s="225"/>
      <c r="D95" s="225"/>
      <c r="E95" s="231" t="n">
        <f aca="false">-D85*$D$33</f>
        <v>-367091.98293312</v>
      </c>
      <c r="F95" s="231" t="n">
        <f aca="false">-E85*$D$33</f>
        <v>54216.1819713026</v>
      </c>
      <c r="G95" s="231" t="n">
        <f aca="false">-F85*$D$33</f>
        <v>40954.0306629887</v>
      </c>
      <c r="H95" s="231" t="n">
        <f aca="false">-G85*$D$33</f>
        <v>27691.8793546752</v>
      </c>
      <c r="I95" s="231" t="n">
        <f aca="false">-H85*$D$33</f>
        <v>14429.7280463617</v>
      </c>
      <c r="J95" s="231" t="n">
        <f aca="false">-I85*$D$33</f>
        <v>1167.57673804818</v>
      </c>
      <c r="K95" s="231" t="n">
        <f aca="false">-J85*$D$33</f>
        <v>-12094.5745702656</v>
      </c>
      <c r="L95" s="231" t="n">
        <f aca="false">-K85*$D$33</f>
        <v>-25356.7258785791</v>
      </c>
      <c r="M95" s="231" t="n">
        <f aca="false">-L85*$D$33</f>
        <v>-38618.8771868927</v>
      </c>
      <c r="N95" s="231" t="n">
        <f aca="false">-M85*$D$33</f>
        <v>-51881.0284952063</v>
      </c>
      <c r="O95" s="231" t="n">
        <f aca="false">-N85*$D$33</f>
        <v>-96542.3798035199</v>
      </c>
      <c r="P95" s="231" t="n">
        <f aca="false">-O85*$D$33</f>
        <v>-109804.531111834</v>
      </c>
      <c r="Q95" s="231" t="n">
        <f aca="false">-P85*$D$33</f>
        <v>-123066.682420147</v>
      </c>
      <c r="R95" s="231" t="n">
        <f aca="false">-Q85*$D$33</f>
        <v>-136328.833728461</v>
      </c>
      <c r="S95" s="231" t="n">
        <f aca="false">-R85*$D$33</f>
        <v>-149590.985036774</v>
      </c>
      <c r="T95" s="231" t="n">
        <f aca="false">-S85*$D$33</f>
        <v>-162853.136345088</v>
      </c>
      <c r="U95" s="231" t="n">
        <f aca="false">-T85*$D$33</f>
        <v>-158756.177135001</v>
      </c>
      <c r="V95" s="231" t="n">
        <f aca="false">-U85*$D$33</f>
        <v>-154659.217924915</v>
      </c>
      <c r="W95" s="231" t="n">
        <f aca="false">-V85*$D$33</f>
        <v>-150562.258714829</v>
      </c>
      <c r="X95" s="231" t="n">
        <f aca="false">-W85*$D$33</f>
        <v>-146465.299504742</v>
      </c>
    </row>
    <row r="96" customFormat="false" ht="15.75" hidden="false" customHeight="true" outlineLevel="0" collapsed="false">
      <c r="B96" s="232" t="s">
        <v>47</v>
      </c>
      <c r="C96" s="233"/>
      <c r="D96" s="233" t="n">
        <v>0</v>
      </c>
      <c r="E96" s="234" t="n">
        <v>0</v>
      </c>
      <c r="F96" s="234" t="n">
        <v>0</v>
      </c>
      <c r="G96" s="234" t="n">
        <v>0</v>
      </c>
      <c r="H96" s="234" t="n">
        <v>0</v>
      </c>
      <c r="I96" s="234" t="n">
        <v>0</v>
      </c>
      <c r="J96" s="234" t="n">
        <v>0</v>
      </c>
      <c r="K96" s="234" t="n">
        <v>0</v>
      </c>
      <c r="L96" s="234" t="n">
        <v>0</v>
      </c>
      <c r="M96" s="234" t="n">
        <v>0</v>
      </c>
      <c r="N96" s="234" t="n">
        <v>0</v>
      </c>
      <c r="O96" s="234" t="n">
        <v>0</v>
      </c>
      <c r="P96" s="234" t="n">
        <v>0</v>
      </c>
      <c r="Q96" s="234" t="n">
        <v>0</v>
      </c>
      <c r="R96" s="234" t="n">
        <v>0</v>
      </c>
      <c r="S96" s="234" t="n">
        <v>0</v>
      </c>
      <c r="T96" s="234" t="n">
        <v>-883102.5</v>
      </c>
      <c r="U96" s="234" t="n">
        <v>-883102.5</v>
      </c>
      <c r="V96" s="234" t="n">
        <v>-883102.5</v>
      </c>
      <c r="W96" s="234" t="n">
        <v>-883102.5</v>
      </c>
      <c r="X96" s="235" t="n">
        <f aca="false">-W101-X95</f>
        <v>-193912.588223999</v>
      </c>
    </row>
    <row r="97" customFormat="false" ht="15.75" hidden="false" customHeight="true" outlineLevel="0" collapsed="false">
      <c r="B97" s="225"/>
      <c r="C97" s="225"/>
      <c r="D97" s="225"/>
      <c r="E97" s="225"/>
      <c r="F97" s="22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192"/>
    </row>
    <row r="98" customFormat="false" ht="15.75" hidden="false" customHeight="true" outlineLevel="0" collapsed="false">
      <c r="B98" s="225"/>
      <c r="C98" s="225"/>
      <c r="D98" s="225"/>
      <c r="E98" s="225"/>
      <c r="F98" s="22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192"/>
    </row>
    <row r="99" customFormat="false" ht="15.75" hidden="false" customHeight="true" outlineLevel="0" collapsed="false">
      <c r="B99" s="220" t="s">
        <v>83</v>
      </c>
      <c r="C99" s="221" t="n">
        <v>0</v>
      </c>
      <c r="D99" s="221" t="n">
        <f aca="false">SUM(D87:D96)</f>
        <v>1290982.4810368</v>
      </c>
      <c r="E99" s="221" t="n">
        <f aca="false">SUM(E87:E96)</f>
        <v>-486205.685123456</v>
      </c>
      <c r="F99" s="221" t="n">
        <f aca="false">SUM(F87:F96)</f>
        <v>-50161.7965431294</v>
      </c>
      <c r="G99" s="221" t="n">
        <f aca="false">SUM(G87:G96)</f>
        <v>-48688.2241755393</v>
      </c>
      <c r="H99" s="221" t="n">
        <f aca="false">SUM(H87:H96)</f>
        <v>-47214.6518079489</v>
      </c>
      <c r="I99" s="221" t="n">
        <f aca="false">SUM(I87:I96)</f>
        <v>-45741.0794403584</v>
      </c>
      <c r="J99" s="221" t="n">
        <f aca="false">SUM(J87:J96)</f>
        <v>-44267.5070727678</v>
      </c>
      <c r="K99" s="221" t="n">
        <f aca="false">SUM(K87:K96)</f>
        <v>-42793.9347051777</v>
      </c>
      <c r="L99" s="221" t="n">
        <f aca="false">SUM(L87:L96)</f>
        <v>-41320.3623375873</v>
      </c>
      <c r="M99" s="221" t="n">
        <f aca="false">SUM(M87:M96)</f>
        <v>-39846.7899699968</v>
      </c>
      <c r="N99" s="221" t="n">
        <f aca="false">SUM(N87:N96)</f>
        <v>-3485.21760240641</v>
      </c>
      <c r="O99" s="221" t="n">
        <f aca="false">SUM(O87:O96)</f>
        <v>-33410.8452348161</v>
      </c>
      <c r="P99" s="221" t="n">
        <f aca="false">SUM(P87:P96)</f>
        <v>-31937.2728672257</v>
      </c>
      <c r="Q99" s="221" t="n">
        <f aca="false">SUM(Q87:Q96)</f>
        <v>-30463.7004996352</v>
      </c>
      <c r="R99" s="221" t="n">
        <f aca="false">SUM(R87:R96)</f>
        <v>-28990.1281320449</v>
      </c>
      <c r="S99" s="221" t="n">
        <f aca="false">SUM(S87:S96)</f>
        <v>-27516.5557644544</v>
      </c>
      <c r="T99" s="221" t="n">
        <f aca="false">SUM(T87:T96)</f>
        <v>13542.6160271356</v>
      </c>
      <c r="U99" s="221" t="n">
        <f aca="false">SUM(U87:U96)</f>
        <v>13087.3983371265</v>
      </c>
      <c r="V99" s="221" t="n">
        <f aca="false">SUM(V87:V96)</f>
        <v>12632.1806471167</v>
      </c>
      <c r="W99" s="221" t="n">
        <f aca="false">SUM(W87:W96)</f>
        <v>12176.9629571072</v>
      </c>
      <c r="X99" s="192"/>
    </row>
    <row r="100" customFormat="false" ht="15.75" hidden="false" customHeight="true" outlineLevel="0" collapsed="false">
      <c r="B100" s="220" t="s">
        <v>84</v>
      </c>
      <c r="C100" s="221" t="n">
        <v>0</v>
      </c>
      <c r="D100" s="221" t="n">
        <f aca="false">C101</f>
        <v>0</v>
      </c>
      <c r="E100" s="221" t="n">
        <f aca="false">D101</f>
        <v>1290982.4810368</v>
      </c>
      <c r="F100" s="221" t="n">
        <f aca="false">E101</f>
        <v>804776.795913343</v>
      </c>
      <c r="G100" s="221" t="n">
        <f aca="false">F101</f>
        <v>754614.999370214</v>
      </c>
      <c r="H100" s="221" t="n">
        <f aca="false">G101</f>
        <v>705926.775194675</v>
      </c>
      <c r="I100" s="221" t="n">
        <f aca="false">H101</f>
        <v>658712.123386726</v>
      </c>
      <c r="J100" s="221" t="n">
        <f aca="false">I101</f>
        <v>612971.043946367</v>
      </c>
      <c r="K100" s="221" t="n">
        <f aca="false">J101</f>
        <v>568703.536873599</v>
      </c>
      <c r="L100" s="221" t="n">
        <f aca="false">K101</f>
        <v>525909.602168422</v>
      </c>
      <c r="M100" s="221" t="n">
        <f aca="false">L101</f>
        <v>484589.239830834</v>
      </c>
      <c r="N100" s="221" t="n">
        <f aca="false">M101</f>
        <v>444742.449860838</v>
      </c>
      <c r="O100" s="221" t="n">
        <f aca="false">N101</f>
        <v>441257.232258431</v>
      </c>
      <c r="P100" s="221" t="n">
        <f aca="false">O101</f>
        <v>407846.387023615</v>
      </c>
      <c r="Q100" s="221" t="n">
        <f aca="false">P101</f>
        <v>375909.11415639</v>
      </c>
      <c r="R100" s="221" t="n">
        <f aca="false">Q101</f>
        <v>345445.413656754</v>
      </c>
      <c r="S100" s="221" t="n">
        <f aca="false">R101</f>
        <v>316455.285524709</v>
      </c>
      <c r="T100" s="221" t="n">
        <f aca="false">S101</f>
        <v>288938.729760255</v>
      </c>
      <c r="U100" s="221" t="n">
        <f aca="false">T101</f>
        <v>302481.345787391</v>
      </c>
      <c r="V100" s="221" t="n">
        <f aca="false">U101</f>
        <v>315568.744124517</v>
      </c>
      <c r="W100" s="221" t="n">
        <f aca="false">V101</f>
        <v>328200.924771634</v>
      </c>
      <c r="X100" s="191"/>
    </row>
    <row r="101" customFormat="false" ht="15.75" hidden="false" customHeight="true" outlineLevel="0" collapsed="false">
      <c r="B101" s="220" t="s">
        <v>85</v>
      </c>
      <c r="C101" s="221" t="n">
        <v>0</v>
      </c>
      <c r="D101" s="221" t="n">
        <f aca="false">D99+D100</f>
        <v>1290982.4810368</v>
      </c>
      <c r="E101" s="221" t="n">
        <f aca="false">E99+E100</f>
        <v>804776.795913343</v>
      </c>
      <c r="F101" s="221" t="n">
        <f aca="false">F99+F100</f>
        <v>754614.999370214</v>
      </c>
      <c r="G101" s="221" t="n">
        <f aca="false">G99+G100</f>
        <v>705926.775194675</v>
      </c>
      <c r="H101" s="221" t="n">
        <f aca="false">H99+H100</f>
        <v>658712.123386726</v>
      </c>
      <c r="I101" s="221" t="n">
        <f aca="false">I99+I100</f>
        <v>612971.043946367</v>
      </c>
      <c r="J101" s="221" t="n">
        <f aca="false">J99+J100</f>
        <v>568703.536873599</v>
      </c>
      <c r="K101" s="221" t="n">
        <f aca="false">K99+K100</f>
        <v>525909.602168422</v>
      </c>
      <c r="L101" s="221" t="n">
        <f aca="false">L99+L100</f>
        <v>484589.239830834</v>
      </c>
      <c r="M101" s="221" t="n">
        <f aca="false">M99+M100</f>
        <v>444742.449860838</v>
      </c>
      <c r="N101" s="221" t="n">
        <f aca="false">N99+N100</f>
        <v>441257.232258431</v>
      </c>
      <c r="O101" s="221" t="n">
        <f aca="false">O99+O100</f>
        <v>407846.387023615</v>
      </c>
      <c r="P101" s="221" t="n">
        <f aca="false">P99+P100</f>
        <v>375909.11415639</v>
      </c>
      <c r="Q101" s="221" t="n">
        <f aca="false">Q99+Q100</f>
        <v>345445.413656754</v>
      </c>
      <c r="R101" s="221" t="n">
        <f aca="false">R99+R100</f>
        <v>316455.285524709</v>
      </c>
      <c r="S101" s="221" t="n">
        <f aca="false">S99+S100</f>
        <v>288938.729760255</v>
      </c>
      <c r="T101" s="221" t="n">
        <f aca="false">T99+T100</f>
        <v>302481.345787391</v>
      </c>
      <c r="U101" s="221" t="n">
        <f aca="false">U99+U100</f>
        <v>315568.744124517</v>
      </c>
      <c r="V101" s="221" t="n">
        <f aca="false">V99+V100</f>
        <v>328200.924771634</v>
      </c>
      <c r="W101" s="221" t="n">
        <f aca="false">W99+W100</f>
        <v>340377.887728741</v>
      </c>
      <c r="X101" s="191"/>
    </row>
    <row r="102" customFormat="false" ht="15.75" hidden="false" customHeight="true" outlineLevel="0" collapsed="false"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</row>
    <row r="103" customFormat="false" ht="15.75" hidden="false" customHeight="true" outlineLevel="0" collapsed="false">
      <c r="B103" s="220"/>
      <c r="C103" s="220"/>
      <c r="D103" s="220"/>
      <c r="E103" s="220"/>
      <c r="F103" s="225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</row>
    <row r="104" customFormat="false" ht="15.75" hidden="false" customHeight="true" outlineLevel="0" collapsed="false">
      <c r="B104" s="236" t="s">
        <v>86</v>
      </c>
      <c r="C104" s="237"/>
      <c r="D104" s="238" t="n">
        <f aca="false">-D94</f>
        <v>-3532410</v>
      </c>
      <c r="E104" s="224" t="n">
        <f aca="false">-E95-E96</f>
        <v>367091.98293312</v>
      </c>
      <c r="F104" s="224" t="n">
        <f aca="false">-F95-F96</f>
        <v>-54216.1819713026</v>
      </c>
      <c r="G104" s="224" t="n">
        <f aca="false">-G95-G96</f>
        <v>-40954.0306629887</v>
      </c>
      <c r="H104" s="224" t="n">
        <f aca="false">-H95-H96</f>
        <v>-27691.8793546752</v>
      </c>
      <c r="I104" s="224" t="n">
        <f aca="false">-I95-I96</f>
        <v>-14429.7280463617</v>
      </c>
      <c r="J104" s="224" t="n">
        <f aca="false">-J95-J96</f>
        <v>-1167.57673804818</v>
      </c>
      <c r="K104" s="224" t="n">
        <f aca="false">-K95-K96</f>
        <v>12094.5745702656</v>
      </c>
      <c r="L104" s="224" t="n">
        <f aca="false">-L95-L96</f>
        <v>25356.7258785791</v>
      </c>
      <c r="M104" s="224" t="n">
        <f aca="false">-M95-M96</f>
        <v>38618.8771868927</v>
      </c>
      <c r="N104" s="224" t="n">
        <f aca="false">-N95-N96</f>
        <v>51881.0284952063</v>
      </c>
      <c r="O104" s="224" t="n">
        <f aca="false">-O95-O96</f>
        <v>96542.3798035199</v>
      </c>
      <c r="P104" s="224" t="n">
        <f aca="false">-P95-P96</f>
        <v>109804.531111834</v>
      </c>
      <c r="Q104" s="224" t="n">
        <f aca="false">-Q95-Q96</f>
        <v>123066.682420147</v>
      </c>
      <c r="R104" s="224" t="n">
        <f aca="false">-R95-R96</f>
        <v>136328.833728461</v>
      </c>
      <c r="S104" s="224" t="n">
        <f aca="false">-S95-S96</f>
        <v>149590.985036774</v>
      </c>
      <c r="T104" s="224" t="n">
        <f aca="false">-T95-T96</f>
        <v>1045955.63634509</v>
      </c>
      <c r="U104" s="224" t="n">
        <f aca="false">-U95-U96</f>
        <v>1041858.677135</v>
      </c>
      <c r="V104" s="224" t="n">
        <f aca="false">-V95-V96</f>
        <v>1037761.71792492</v>
      </c>
      <c r="W104" s="224" t="n">
        <f aca="false">-W95-W96</f>
        <v>1033664.75871483</v>
      </c>
      <c r="X104" s="224" t="n">
        <f aca="false">-X95-X96</f>
        <v>340377.887728741</v>
      </c>
    </row>
    <row r="105" customFormat="false" ht="15.75" hidden="false" customHeight="true" outlineLevel="0" collapsed="false">
      <c r="B105" s="220" t="s">
        <v>87</v>
      </c>
      <c r="C105" s="239" t="n">
        <f aca="false">IRR(D104:X104)</f>
        <v>0.0277658501837055</v>
      </c>
      <c r="D105" s="225"/>
      <c r="E105" s="225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</row>
    <row r="106" customFormat="false" ht="15.75" hidden="false" customHeight="true" outlineLevel="0" collapsed="false">
      <c r="B106" s="236" t="s">
        <v>88</v>
      </c>
      <c r="C106" s="237"/>
      <c r="D106" s="238" t="n">
        <f aca="false">D85-D94</f>
        <v>-3124530.0189632</v>
      </c>
      <c r="E106" s="224" t="n">
        <f aca="false">E85</f>
        <v>-60240.2021903362</v>
      </c>
      <c r="F106" s="224" t="n">
        <f aca="false">F85-F96</f>
        <v>-45504.4785144319</v>
      </c>
      <c r="G106" s="224" t="n">
        <f aca="false">G85-G96</f>
        <v>-30768.754838528</v>
      </c>
      <c r="H106" s="224" t="n">
        <f aca="false">H85-H96</f>
        <v>-16033.0311626242</v>
      </c>
      <c r="I106" s="224" t="n">
        <f aca="false">I85-I96</f>
        <v>-1297.3074867202</v>
      </c>
      <c r="J106" s="224" t="n">
        <f aca="false">J85-J96</f>
        <v>13438.416189184</v>
      </c>
      <c r="K106" s="224" t="n">
        <f aca="false">K85-K96</f>
        <v>28174.1398650879</v>
      </c>
      <c r="L106" s="224" t="n">
        <f aca="false">L85-L96</f>
        <v>42909.8635409918</v>
      </c>
      <c r="M106" s="224" t="n">
        <f aca="false">M85-M96</f>
        <v>57645.5872168959</v>
      </c>
      <c r="N106" s="224" t="n">
        <f aca="false">N85-N96</f>
        <v>107269.3108928</v>
      </c>
      <c r="O106" s="224" t="n">
        <f aca="false">O85-O96</f>
        <v>122005.034568704</v>
      </c>
      <c r="P106" s="224" t="n">
        <f aca="false">P85-P96</f>
        <v>136740.758244608</v>
      </c>
      <c r="Q106" s="224" t="n">
        <f aca="false">Q85-Q96</f>
        <v>151476.481920512</v>
      </c>
      <c r="R106" s="224" t="n">
        <f aca="false">R85-R96</f>
        <v>166212.205596416</v>
      </c>
      <c r="S106" s="224" t="n">
        <f aca="false">S85-S96</f>
        <v>180947.92927232</v>
      </c>
      <c r="T106" s="224" t="n">
        <f aca="false">T85-T96</f>
        <v>1059498.25237222</v>
      </c>
      <c r="U106" s="224" t="n">
        <f aca="false">U85-U96</f>
        <v>1054946.07547213</v>
      </c>
      <c r="V106" s="224" t="n">
        <f aca="false">V85-V96</f>
        <v>1050393.89857203</v>
      </c>
      <c r="W106" s="224" t="n">
        <f aca="false">W85-W96</f>
        <v>1045841.72167194</v>
      </c>
      <c r="X106" s="229"/>
    </row>
    <row r="107" customFormat="false" ht="15.75" hidden="false" customHeight="true" outlineLevel="0" collapsed="false">
      <c r="B107" s="236" t="s">
        <v>89</v>
      </c>
      <c r="C107" s="239" t="n">
        <f aca="false">IRR(D106:W106)</f>
        <v>0.0289742911848954</v>
      </c>
      <c r="D107" s="225"/>
      <c r="E107" s="225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</row>
    <row r="108" customFormat="false" ht="15.75" hidden="false" customHeight="true" outlineLevel="0" collapsed="false"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</row>
    <row r="109" customFormat="false" ht="15.75" hidden="false" customHeight="true" outlineLevel="0" collapsed="false">
      <c r="B109" s="220" t="s">
        <v>90</v>
      </c>
      <c r="C109" s="221" t="n">
        <v>0</v>
      </c>
      <c r="D109" s="221" t="n">
        <f aca="false">D92</f>
        <v>14129640</v>
      </c>
      <c r="E109" s="221" t="n">
        <f aca="false">D109+E93</f>
        <v>13187664</v>
      </c>
      <c r="F109" s="221" t="n">
        <f aca="false">E109+F93</f>
        <v>12245688</v>
      </c>
      <c r="G109" s="221" t="n">
        <f aca="false">F109+G93</f>
        <v>11303712</v>
      </c>
      <c r="H109" s="221" t="n">
        <f aca="false">G109+H93</f>
        <v>10361736</v>
      </c>
      <c r="I109" s="221" t="n">
        <f aca="false">H109+I93</f>
        <v>9419760</v>
      </c>
      <c r="J109" s="221" t="n">
        <f aca="false">I109+J93</f>
        <v>8477784</v>
      </c>
      <c r="K109" s="221" t="n">
        <f aca="false">J109+K93</f>
        <v>7535808</v>
      </c>
      <c r="L109" s="221" t="n">
        <f aca="false">K109+L93</f>
        <v>6593832</v>
      </c>
      <c r="M109" s="221" t="n">
        <f aca="false">L109+M93</f>
        <v>5651856</v>
      </c>
      <c r="N109" s="221" t="n">
        <f aca="false">M109+N93</f>
        <v>4709880</v>
      </c>
      <c r="O109" s="221" t="n">
        <f aca="false">N109+O93</f>
        <v>3767904</v>
      </c>
      <c r="P109" s="221" t="n">
        <f aca="false">O109+P93</f>
        <v>2825928</v>
      </c>
      <c r="Q109" s="221" t="n">
        <f aca="false">P109+Q93</f>
        <v>1883952</v>
      </c>
      <c r="R109" s="221" t="n">
        <f aca="false">Q109+R93</f>
        <v>941976</v>
      </c>
      <c r="S109" s="221" t="n">
        <f aca="false">R109+S93</f>
        <v>0</v>
      </c>
      <c r="T109" s="221" t="n">
        <f aca="false">S109+T93</f>
        <v>0</v>
      </c>
      <c r="U109" s="221" t="n">
        <f aca="false">T109+U93</f>
        <v>0</v>
      </c>
      <c r="V109" s="221" t="n">
        <f aca="false">U109+V93</f>
        <v>0</v>
      </c>
      <c r="W109" s="221" t="n">
        <f aca="false">V109+W93</f>
        <v>0</v>
      </c>
      <c r="X109" s="2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2" t="s">
        <v>0</v>
      </c>
      <c r="C1" s="124"/>
      <c r="D1" s="124"/>
      <c r="E1" s="125"/>
      <c r="F1" s="126" t="s">
        <v>108</v>
      </c>
      <c r="P1" s="127" t="n">
        <f aca="false">1-D11</f>
        <v>0.99</v>
      </c>
      <c r="Q1" s="127" t="n">
        <f aca="false">P1-$D12</f>
        <v>0.986</v>
      </c>
      <c r="R1" s="127" t="n">
        <f aca="false">Q1-$D12</f>
        <v>0.982</v>
      </c>
      <c r="S1" s="127" t="n">
        <f aca="false">R1-$D12</f>
        <v>0.978</v>
      </c>
      <c r="T1" s="127" t="n">
        <f aca="false">S1-$D12</f>
        <v>0.974</v>
      </c>
      <c r="U1" s="127" t="n">
        <f aca="false">T1-$D12</f>
        <v>0.97</v>
      </c>
      <c r="V1" s="127" t="n">
        <f aca="false">U1-$D12</f>
        <v>0.966</v>
      </c>
      <c r="W1" s="127" t="n">
        <f aca="false">V1-$D12</f>
        <v>0.962</v>
      </c>
      <c r="X1" s="127" t="n">
        <f aca="false">W1-$D12</f>
        <v>0.958</v>
      </c>
      <c r="Y1" s="127" t="n">
        <f aca="false">X1-$D12</f>
        <v>0.954</v>
      </c>
      <c r="Z1" s="127" t="n">
        <f aca="false">Y1-$D12</f>
        <v>0.95</v>
      </c>
      <c r="AA1" s="127" t="n">
        <f aca="false">Z1-$D12</f>
        <v>0.946</v>
      </c>
      <c r="AB1" s="127" t="n">
        <f aca="false">AA1-$D12</f>
        <v>0.942</v>
      </c>
      <c r="AC1" s="127" t="n">
        <f aca="false">AB1-$D12</f>
        <v>0.938</v>
      </c>
      <c r="AD1" s="127" t="n">
        <f aca="false">AC1-$D12</f>
        <v>0.934</v>
      </c>
      <c r="AE1" s="127" t="n">
        <f aca="false">AD1-$D12</f>
        <v>0.93</v>
      </c>
      <c r="AF1" s="127" t="n">
        <f aca="false">AE1-$D12</f>
        <v>0.926</v>
      </c>
      <c r="AG1" s="127" t="n">
        <f aca="false">AF1-$D12</f>
        <v>0.922</v>
      </c>
      <c r="AH1" s="127" t="n">
        <f aca="false">AG1-$D12</f>
        <v>0.918</v>
      </c>
      <c r="AI1" s="127" t="n">
        <f aca="false">AH1-$D12</f>
        <v>0.914</v>
      </c>
    </row>
    <row r="2" customFormat="false" ht="21.75" hidden="false" customHeight="true" outlineLevel="0" collapsed="false">
      <c r="B2" s="5" t="s">
        <v>1</v>
      </c>
      <c r="C2" s="128" t="s">
        <v>109</v>
      </c>
      <c r="D2" s="6" t="s">
        <v>3</v>
      </c>
      <c r="E2" s="129" t="s">
        <v>3</v>
      </c>
      <c r="F2" s="130" t="s">
        <v>110</v>
      </c>
    </row>
    <row r="3" customFormat="false" ht="21.75" hidden="false" customHeight="true" outlineLevel="0" collapsed="false">
      <c r="B3" s="32" t="s">
        <v>4</v>
      </c>
      <c r="C3" s="131" t="n">
        <v>20</v>
      </c>
      <c r="D3" s="9" t="s">
        <v>3</v>
      </c>
      <c r="E3" s="132" t="s">
        <v>3</v>
      </c>
      <c r="F3" s="133" t="s">
        <v>111</v>
      </c>
    </row>
    <row r="4" customFormat="false" ht="21.75" hidden="false" customHeight="true" outlineLevel="0" collapsed="false">
      <c r="B4" s="32" t="s">
        <v>112</v>
      </c>
      <c r="C4" s="131" t="n">
        <v>436.1</v>
      </c>
      <c r="D4" s="9" t="s">
        <v>3</v>
      </c>
      <c r="E4" s="132" t="s">
        <v>3</v>
      </c>
      <c r="F4" s="133" t="s">
        <v>113</v>
      </c>
      <c r="M4" s="0" t="s">
        <v>178</v>
      </c>
    </row>
    <row r="5" customFormat="false" ht="22.5" hidden="false" customHeight="true" outlineLevel="0" collapsed="false">
      <c r="B5" s="10" t="s">
        <v>6</v>
      </c>
      <c r="C5" s="131" t="n">
        <v>2023</v>
      </c>
      <c r="D5" s="10" t="s">
        <v>7</v>
      </c>
      <c r="E5" s="134" t="n">
        <v>2042</v>
      </c>
      <c r="F5" s="133" t="s">
        <v>115</v>
      </c>
      <c r="M5" s="0" t="s">
        <v>179</v>
      </c>
    </row>
    <row r="6" customFormat="false" ht="20.25" hidden="false" customHeight="true" outlineLevel="0" collapsed="false">
      <c r="B6" s="11"/>
      <c r="C6" s="11"/>
      <c r="D6" s="11"/>
      <c r="E6" s="11"/>
      <c r="M6" s="0" t="s">
        <v>180</v>
      </c>
    </row>
    <row r="7" customFormat="false" ht="22.5" hidden="false" customHeight="true" outlineLevel="0" collapsed="false">
      <c r="B7" s="12" t="s">
        <v>8</v>
      </c>
      <c r="C7" s="124"/>
      <c r="D7" s="124"/>
      <c r="E7" s="125"/>
      <c r="M7" s="0" t="s">
        <v>181</v>
      </c>
    </row>
    <row r="8" customFormat="false" ht="22.5" hidden="false" customHeight="true" outlineLevel="0" collapsed="false">
      <c r="B8" s="13" t="s">
        <v>9</v>
      </c>
      <c r="E8" s="135"/>
      <c r="M8" s="0" t="s">
        <v>182</v>
      </c>
    </row>
    <row r="9" customFormat="false" ht="22.5" hidden="false" customHeight="true" outlineLevel="0" collapsed="false">
      <c r="B9" s="14" t="s">
        <v>10</v>
      </c>
      <c r="C9" s="15" t="s">
        <v>11</v>
      </c>
      <c r="D9" s="15" t="s">
        <v>12</v>
      </c>
      <c r="E9" s="136" t="s">
        <v>13</v>
      </c>
      <c r="F9" s="126" t="s">
        <v>108</v>
      </c>
      <c r="M9" s="0" t="s">
        <v>120</v>
      </c>
    </row>
    <row r="10" customFormat="false" ht="30" hidden="false" customHeight="true" outlineLevel="0" collapsed="false">
      <c r="B10" s="17" t="s">
        <v>14</v>
      </c>
      <c r="C10" s="18" t="s">
        <v>121</v>
      </c>
      <c r="D10" s="137" t="n">
        <v>547002</v>
      </c>
      <c r="E10" s="138" t="n">
        <v>20</v>
      </c>
      <c r="F10" s="133" t="s">
        <v>122</v>
      </c>
      <c r="M10" s="0" t="s">
        <v>103</v>
      </c>
    </row>
    <row r="11" customFormat="false" ht="30" hidden="false" customHeight="true" outlineLevel="0" collapsed="false">
      <c r="B11" s="139"/>
      <c r="C11" s="10" t="s">
        <v>16</v>
      </c>
      <c r="D11" s="140" t="n">
        <v>0.01</v>
      </c>
      <c r="E11" s="141"/>
      <c r="F11" s="133" t="s">
        <v>124</v>
      </c>
    </row>
    <row r="12" customFormat="false" ht="30" hidden="false" customHeight="true" outlineLevel="0" collapsed="false">
      <c r="B12" s="139"/>
      <c r="C12" s="10" t="s">
        <v>17</v>
      </c>
      <c r="D12" s="142" t="n">
        <v>0.004</v>
      </c>
      <c r="E12" s="141"/>
      <c r="F12" s="133" t="s">
        <v>125</v>
      </c>
    </row>
    <row r="13" customFormat="false" ht="22.5" hidden="false" customHeight="true" outlineLevel="0" collapsed="false">
      <c r="B13" s="139"/>
      <c r="C13" s="21" t="s">
        <v>126</v>
      </c>
      <c r="D13" s="143" t="n">
        <v>3.7152</v>
      </c>
      <c r="E13" s="141"/>
      <c r="F13" s="133" t="s">
        <v>127</v>
      </c>
    </row>
    <row r="14" customFormat="false" ht="22.5" hidden="false" customHeight="true" outlineLevel="0" collapsed="false">
      <c r="B14" s="22" t="s">
        <v>19</v>
      </c>
      <c r="C14" s="124"/>
      <c r="D14" s="124"/>
      <c r="E14" s="125"/>
    </row>
    <row r="15" customFormat="false" ht="22.5" hidden="false" customHeight="true" outlineLevel="0" collapsed="false">
      <c r="B15" s="14" t="s">
        <v>10</v>
      </c>
      <c r="C15" s="15" t="s">
        <v>11</v>
      </c>
      <c r="D15" s="15" t="s">
        <v>12</v>
      </c>
      <c r="E15" s="136" t="s">
        <v>20</v>
      </c>
      <c r="F15" s="126" t="s">
        <v>108</v>
      </c>
    </row>
    <row r="16" customFormat="false" ht="21.75" hidden="false" customHeight="true" outlineLevel="0" collapsed="false">
      <c r="B16" s="18" t="s">
        <v>128</v>
      </c>
      <c r="C16" s="18" t="s">
        <v>129</v>
      </c>
      <c r="D16" s="144" t="n">
        <v>28000</v>
      </c>
      <c r="E16" s="129" t="n">
        <v>20</v>
      </c>
      <c r="F16" s="133" t="s">
        <v>130</v>
      </c>
    </row>
    <row r="17" customFormat="false" ht="21.75" hidden="false" customHeight="true" outlineLevel="0" collapsed="false">
      <c r="B17" s="139"/>
      <c r="C17" s="10" t="s">
        <v>131</v>
      </c>
      <c r="D17" s="145" t="n">
        <v>0.2</v>
      </c>
      <c r="E17" s="141"/>
      <c r="F17" s="133" t="s">
        <v>132</v>
      </c>
    </row>
    <row r="18" customFormat="false" ht="21.75" hidden="false" customHeight="true" outlineLevel="0" collapsed="false">
      <c r="B18" s="146"/>
      <c r="C18" s="10" t="s">
        <v>24</v>
      </c>
      <c r="D18" s="147" t="n">
        <v>3000</v>
      </c>
      <c r="E18" s="148"/>
      <c r="F18" s="133" t="s">
        <v>133</v>
      </c>
    </row>
    <row r="19" customFormat="false" ht="54" hidden="false" customHeight="true" outlineLevel="0" collapsed="false">
      <c r="B19" s="10" t="s">
        <v>25</v>
      </c>
      <c r="C19" s="149" t="s">
        <v>134</v>
      </c>
      <c r="D19" s="145" t="n">
        <v>2</v>
      </c>
      <c r="E19" s="129" t="n">
        <v>20</v>
      </c>
      <c r="F19" s="133" t="s">
        <v>135</v>
      </c>
    </row>
    <row r="20" customFormat="false" ht="20.25" hidden="false" customHeight="true" outlineLevel="0" collapsed="false">
      <c r="B20" s="139"/>
      <c r="C20" s="26" t="s">
        <v>136</v>
      </c>
      <c r="D20" s="147" t="n">
        <v>0</v>
      </c>
      <c r="E20" s="129" t="n">
        <v>20</v>
      </c>
      <c r="F20" s="133" t="s">
        <v>137</v>
      </c>
    </row>
    <row r="21" customFormat="false" ht="30" hidden="false" customHeight="true" outlineLevel="0" collapsed="false">
      <c r="B21" s="146"/>
      <c r="C21" s="10" t="s">
        <v>138</v>
      </c>
      <c r="D21" s="145" t="n">
        <v>0.3</v>
      </c>
      <c r="E21" s="132" t="n">
        <v>20</v>
      </c>
      <c r="F21" s="133" t="s">
        <v>139</v>
      </c>
    </row>
    <row r="22" customFormat="false" ht="30" hidden="false" customHeight="true" outlineLevel="0" collapsed="false">
      <c r="B22" s="10" t="s">
        <v>29</v>
      </c>
      <c r="C22" s="10" t="s">
        <v>140</v>
      </c>
      <c r="D22" s="150" t="n">
        <v>400</v>
      </c>
      <c r="E22" s="132" t="n">
        <v>20</v>
      </c>
      <c r="F22" s="133" t="s">
        <v>141</v>
      </c>
    </row>
    <row r="23" customFormat="false" ht="30" hidden="false" customHeight="true" outlineLevel="0" collapsed="false">
      <c r="B23" s="10" t="s">
        <v>31</v>
      </c>
      <c r="C23" s="10" t="s">
        <v>32</v>
      </c>
      <c r="D23" s="145" t="n">
        <v>0.003</v>
      </c>
      <c r="E23" s="132" t="n">
        <v>20</v>
      </c>
      <c r="F23" s="133" t="s">
        <v>142</v>
      </c>
    </row>
    <row r="24" customFormat="false" ht="30" hidden="false" customHeight="true" outlineLevel="0" collapsed="false">
      <c r="B24" s="10" t="s">
        <v>33</v>
      </c>
      <c r="C24" s="10" t="s">
        <v>143</v>
      </c>
      <c r="D24" s="150" t="n">
        <v>1000</v>
      </c>
      <c r="E24" s="151" t="n">
        <v>10</v>
      </c>
      <c r="F24" s="133" t="s">
        <v>144</v>
      </c>
    </row>
    <row r="25" customFormat="false" ht="30" hidden="false" customHeight="true" outlineLevel="0" collapsed="false">
      <c r="B25" s="10" t="s">
        <v>35</v>
      </c>
      <c r="C25" s="10" t="s">
        <v>36</v>
      </c>
      <c r="D25" s="152" t="n">
        <v>0.025595</v>
      </c>
      <c r="E25" s="132" t="n">
        <v>20</v>
      </c>
      <c r="F25" s="133" t="s">
        <v>145</v>
      </c>
    </row>
    <row r="26" customFormat="false" ht="30" hidden="false" customHeight="true" outlineLevel="0" collapsed="false">
      <c r="B26" s="10" t="s">
        <v>37</v>
      </c>
      <c r="C26" s="10" t="s">
        <v>38</v>
      </c>
      <c r="D26" s="145" t="n">
        <v>0.2</v>
      </c>
      <c r="E26" s="132" t="n">
        <v>20</v>
      </c>
      <c r="F26" s="133" t="s">
        <v>146</v>
      </c>
    </row>
    <row r="27" customFormat="false" ht="20.25" hidden="false" customHeight="true" outlineLevel="0" collapsed="false">
      <c r="B27" s="11"/>
      <c r="C27" s="11"/>
      <c r="D27" s="11"/>
      <c r="E27" s="11"/>
    </row>
    <row r="28" customFormat="false" ht="20.25" hidden="false" customHeight="true" outlineLevel="0" collapsed="false">
      <c r="B28" s="11"/>
      <c r="C28" s="11"/>
      <c r="D28" s="11"/>
      <c r="E28" s="11"/>
    </row>
    <row r="29" customFormat="false" ht="22.5" hidden="false" customHeight="true" outlineLevel="0" collapsed="false">
      <c r="B29" s="12" t="s">
        <v>39</v>
      </c>
      <c r="C29" s="124"/>
      <c r="D29" s="125"/>
      <c r="E29" s="11"/>
    </row>
    <row r="30" customFormat="false" ht="22.5" hidden="false" customHeight="true" outlineLevel="0" collapsed="false">
      <c r="B30" s="14" t="s">
        <v>40</v>
      </c>
      <c r="C30" s="29" t="s">
        <v>11</v>
      </c>
      <c r="D30" s="30" t="s">
        <v>12</v>
      </c>
      <c r="E30" s="11"/>
      <c r="F30" s="126" t="s">
        <v>108</v>
      </c>
    </row>
    <row r="31" customFormat="false" ht="30" hidden="false" customHeight="true" outlineLevel="0" collapsed="false">
      <c r="B31" s="18" t="s">
        <v>41</v>
      </c>
      <c r="C31" s="5" t="s">
        <v>42</v>
      </c>
      <c r="D31" s="153" t="n">
        <v>0.8</v>
      </c>
      <c r="E31" s="11"/>
      <c r="F31" s="133" t="s">
        <v>147</v>
      </c>
    </row>
    <row r="32" customFormat="false" ht="18.75" hidden="false" customHeight="true" outlineLevel="0" collapsed="false">
      <c r="B32" s="18" t="s">
        <v>43</v>
      </c>
      <c r="C32" s="5" t="s">
        <v>44</v>
      </c>
      <c r="D32" s="153" t="n">
        <v>15</v>
      </c>
      <c r="E32" s="11"/>
      <c r="F32" s="133" t="s">
        <v>148</v>
      </c>
    </row>
    <row r="33" customFormat="false" ht="18.75" hidden="false" customHeight="true" outlineLevel="0" collapsed="false">
      <c r="B33" s="10" t="s">
        <v>45</v>
      </c>
      <c r="C33" s="32" t="s">
        <v>46</v>
      </c>
      <c r="D33" s="145" t="n">
        <v>0.9</v>
      </c>
      <c r="E33" s="11"/>
      <c r="F33" s="133" t="s">
        <v>149</v>
      </c>
    </row>
    <row r="34" customFormat="false" ht="30" hidden="false" customHeight="true" outlineLevel="0" collapsed="false">
      <c r="B34" s="10" t="s">
        <v>47</v>
      </c>
      <c r="C34" s="32" t="s">
        <v>44</v>
      </c>
      <c r="D34" s="145" t="n">
        <v>4</v>
      </c>
      <c r="E34" s="11"/>
      <c r="F34" s="133" t="s">
        <v>150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97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54" t="n">
        <v>0</v>
      </c>
      <c r="C38" s="155"/>
      <c r="D38" s="156"/>
      <c r="E38" s="156"/>
      <c r="F38" s="157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9"/>
      <c r="U38" s="158"/>
      <c r="V38" s="158"/>
      <c r="W38" s="158"/>
      <c r="X38" s="160"/>
    </row>
    <row r="39" customFormat="false" ht="18.75" hidden="false" customHeight="true" outlineLevel="0" collapsed="false">
      <c r="B39" s="161" t="s">
        <v>51</v>
      </c>
      <c r="C39" s="162" t="n">
        <v>0</v>
      </c>
      <c r="D39" s="163" t="n">
        <v>1</v>
      </c>
      <c r="E39" s="163" t="n">
        <v>2</v>
      </c>
      <c r="F39" s="163" t="n">
        <v>3</v>
      </c>
      <c r="G39" s="163" t="n">
        <v>4</v>
      </c>
      <c r="H39" s="163" t="n">
        <v>5</v>
      </c>
      <c r="I39" s="163" t="n">
        <v>6</v>
      </c>
      <c r="J39" s="163" t="n">
        <v>7</v>
      </c>
      <c r="K39" s="163" t="n">
        <v>8</v>
      </c>
      <c r="L39" s="163" t="n">
        <v>9</v>
      </c>
      <c r="M39" s="163" t="n">
        <v>10</v>
      </c>
      <c r="N39" s="163" t="n">
        <v>11</v>
      </c>
      <c r="O39" s="163" t="n">
        <v>12</v>
      </c>
      <c r="P39" s="163" t="n">
        <v>13</v>
      </c>
      <c r="Q39" s="163" t="n">
        <v>14</v>
      </c>
      <c r="R39" s="163" t="n">
        <v>15</v>
      </c>
      <c r="S39" s="163" t="n">
        <v>16</v>
      </c>
      <c r="T39" s="164" t="n">
        <v>17</v>
      </c>
      <c r="U39" s="163" t="n">
        <v>18</v>
      </c>
      <c r="V39" s="163" t="n">
        <v>19</v>
      </c>
      <c r="W39" s="163" t="n">
        <v>20</v>
      </c>
      <c r="X39" s="47"/>
    </row>
    <row r="40" customFormat="false" ht="18.75" hidden="false" customHeight="true" outlineLevel="0" collapsed="false">
      <c r="B40" s="165" t="s">
        <v>52</v>
      </c>
      <c r="C40" s="166" t="n">
        <v>0</v>
      </c>
      <c r="D40" s="167" t="n">
        <f aca="false">$D$10*P1</f>
        <v>541531.98</v>
      </c>
      <c r="E40" s="167" t="n">
        <f aca="false">$D$10*Q1</f>
        <v>539343.972</v>
      </c>
      <c r="F40" s="167" t="n">
        <f aca="false">$D$10*R1</f>
        <v>537155.964</v>
      </c>
      <c r="G40" s="167" t="n">
        <f aca="false">$D$10*S1</f>
        <v>534967.956</v>
      </c>
      <c r="H40" s="167" t="n">
        <f aca="false">$D$10*T1</f>
        <v>532779.948</v>
      </c>
      <c r="I40" s="167" t="n">
        <f aca="false">$D$10*U1</f>
        <v>530591.94</v>
      </c>
      <c r="J40" s="167" t="n">
        <f aca="false">$D$10*V1</f>
        <v>528403.932</v>
      </c>
      <c r="K40" s="167" t="n">
        <f aca="false">$D$10*W1</f>
        <v>526215.924</v>
      </c>
      <c r="L40" s="167" t="n">
        <f aca="false">$D$10*X1</f>
        <v>524027.916</v>
      </c>
      <c r="M40" s="167" t="n">
        <f aca="false">$D$10*Y1</f>
        <v>521839.908</v>
      </c>
      <c r="N40" s="167" t="n">
        <f aca="false">$D$10*Z1</f>
        <v>519651.9</v>
      </c>
      <c r="O40" s="167" t="n">
        <f aca="false">$D$10*AA1</f>
        <v>517463.892</v>
      </c>
      <c r="P40" s="167" t="n">
        <f aca="false">$D$10*AB1</f>
        <v>515275.884</v>
      </c>
      <c r="Q40" s="167" t="n">
        <f aca="false">$D$10*AC1</f>
        <v>513087.876</v>
      </c>
      <c r="R40" s="167" t="n">
        <f aca="false">$D$10*AD1</f>
        <v>510899.868</v>
      </c>
      <c r="S40" s="167" t="n">
        <f aca="false">$D$10*AE1</f>
        <v>508711.86</v>
      </c>
      <c r="T40" s="167" t="n">
        <f aca="false">$D$10*AF1</f>
        <v>506523.852</v>
      </c>
      <c r="U40" s="167" t="n">
        <f aca="false">$D$10*AG1</f>
        <v>504335.844</v>
      </c>
      <c r="V40" s="167" t="n">
        <f aca="false">$D$10*AH1</f>
        <v>502147.836</v>
      </c>
      <c r="W40" s="167" t="n">
        <f aca="false">$D$10*AI1</f>
        <v>499959.828</v>
      </c>
      <c r="X40" s="168"/>
    </row>
    <row r="41" customFormat="false" ht="18.75" hidden="false" customHeight="true" outlineLevel="0" collapsed="false">
      <c r="B41" s="169" t="s">
        <v>53</v>
      </c>
      <c r="C41" s="170" t="s">
        <v>3</v>
      </c>
      <c r="D41" s="171" t="n">
        <f aca="false">D40*$D$13</f>
        <v>2011899.612096</v>
      </c>
      <c r="E41" s="171" t="n">
        <f aca="false">E40*$D$13</f>
        <v>2003770.7247744</v>
      </c>
      <c r="F41" s="171" t="n">
        <f aca="false">F40*$D$13</f>
        <v>1995641.8374528</v>
      </c>
      <c r="G41" s="171" t="n">
        <f aca="false">G40*$D$13</f>
        <v>1987512.9501312</v>
      </c>
      <c r="H41" s="171" t="n">
        <f aca="false">H40*$D$13</f>
        <v>1979384.0628096</v>
      </c>
      <c r="I41" s="171" t="n">
        <f aca="false">I40*$D$13</f>
        <v>1971255.175488</v>
      </c>
      <c r="J41" s="171" t="n">
        <f aca="false">J40*$D$13</f>
        <v>1963126.2881664</v>
      </c>
      <c r="K41" s="171" t="n">
        <f aca="false">K40*$D$13</f>
        <v>1954997.4008448</v>
      </c>
      <c r="L41" s="171" t="n">
        <f aca="false">L40*$D$13</f>
        <v>1946868.5135232</v>
      </c>
      <c r="M41" s="171" t="n">
        <f aca="false">M40*$D$13</f>
        <v>1938739.6262016</v>
      </c>
      <c r="N41" s="171" t="n">
        <f aca="false">N40*$D$13</f>
        <v>1930610.73888</v>
      </c>
      <c r="O41" s="171" t="n">
        <f aca="false">O40*$D$13</f>
        <v>1922481.8515584</v>
      </c>
      <c r="P41" s="171" t="n">
        <f aca="false">P40*$D$13</f>
        <v>1914352.9642368</v>
      </c>
      <c r="Q41" s="171" t="n">
        <f aca="false">Q40*$D$13</f>
        <v>1906224.0769152</v>
      </c>
      <c r="R41" s="171" t="n">
        <f aca="false">R40*$D$13</f>
        <v>1898095.1895936</v>
      </c>
      <c r="S41" s="171" t="n">
        <f aca="false">S40*$D$13</f>
        <v>1889966.302272</v>
      </c>
      <c r="T41" s="171" t="n">
        <f aca="false">T40*$D$13</f>
        <v>1881837.4149504</v>
      </c>
      <c r="U41" s="171" t="n">
        <f aca="false">U40*$D$13</f>
        <v>1873708.5276288</v>
      </c>
      <c r="V41" s="171" t="n">
        <f aca="false">V40*$D$13</f>
        <v>1865579.6403072</v>
      </c>
      <c r="W41" s="171" t="n">
        <f aca="false">W40*$D$13</f>
        <v>1857450.7529856</v>
      </c>
      <c r="X41" s="172"/>
    </row>
    <row r="42" customFormat="false" ht="18.75" hidden="false" customHeight="true" outlineLevel="0" collapsed="false">
      <c r="B42" s="173" t="s">
        <v>54</v>
      </c>
      <c r="C42" s="174" t="s">
        <v>3</v>
      </c>
      <c r="D42" s="175"/>
      <c r="E42" s="175"/>
      <c r="F42" s="175"/>
      <c r="G42" s="176" t="s">
        <v>3</v>
      </c>
      <c r="H42" s="176" t="s">
        <v>3</v>
      </c>
      <c r="I42" s="176" t="s">
        <v>3</v>
      </c>
      <c r="J42" s="176" t="s">
        <v>3</v>
      </c>
      <c r="K42" s="176" t="s">
        <v>3</v>
      </c>
      <c r="L42" s="176" t="s">
        <v>3</v>
      </c>
      <c r="M42" s="176" t="s">
        <v>3</v>
      </c>
      <c r="N42" s="176" t="s">
        <v>3</v>
      </c>
      <c r="O42" s="176" t="s">
        <v>3</v>
      </c>
      <c r="P42" s="176" t="s">
        <v>3</v>
      </c>
      <c r="Q42" s="176" t="s">
        <v>3</v>
      </c>
      <c r="R42" s="176" t="s">
        <v>3</v>
      </c>
      <c r="S42" s="176" t="s">
        <v>3</v>
      </c>
      <c r="T42" s="176" t="s">
        <v>3</v>
      </c>
      <c r="U42" s="176" t="s">
        <v>3</v>
      </c>
      <c r="V42" s="176" t="s">
        <v>3</v>
      </c>
      <c r="W42" s="176" t="s">
        <v>3</v>
      </c>
      <c r="X42" s="177"/>
    </row>
    <row r="43" customFormat="false" ht="18.75" hidden="false" customHeight="true" outlineLevel="0" collapsed="false">
      <c r="B43" s="178" t="s">
        <v>55</v>
      </c>
      <c r="C43" s="179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customFormat="false" ht="18.75" hidden="false" customHeight="true" outlineLevel="0" collapsed="false">
      <c r="B44" s="182" t="s">
        <v>56</v>
      </c>
      <c r="C44" s="183" t="n">
        <f aca="false">-(D16/(1-D17)+D18)*C4</f>
        <v>-16571800</v>
      </c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</row>
    <row r="45" customFormat="false" ht="18.75" hidden="false" customHeight="true" outlineLevel="0" collapsed="false">
      <c r="B45" s="182" t="s">
        <v>57</v>
      </c>
      <c r="C45" s="174" t="s">
        <v>3</v>
      </c>
      <c r="D45" s="0" t="n">
        <v>-603569.8836288</v>
      </c>
      <c r="E45" s="184" t="n">
        <v>-601131.21743232</v>
      </c>
      <c r="F45" s="184" t="n">
        <v>-598692.55123584</v>
      </c>
      <c r="G45" s="184" t="n">
        <v>-596253.88503936</v>
      </c>
      <c r="H45" s="184" t="n">
        <v>-593815.21884288</v>
      </c>
      <c r="I45" s="184" t="n">
        <v>-591376.5526464</v>
      </c>
      <c r="J45" s="184" t="n">
        <v>-588937.88644992</v>
      </c>
      <c r="K45" s="184" t="n">
        <v>-586499.22025344</v>
      </c>
      <c r="L45" s="184" t="n">
        <v>-584060.55405696</v>
      </c>
      <c r="M45" s="184" t="n">
        <v>-581621.88786048</v>
      </c>
      <c r="N45" s="184" t="n">
        <v>-579183.221664</v>
      </c>
      <c r="O45" s="184" t="n">
        <v>-576744.55546752</v>
      </c>
      <c r="P45" s="184" t="n">
        <v>-574305.88927104</v>
      </c>
      <c r="Q45" s="184" t="n">
        <v>-571867.22307456</v>
      </c>
      <c r="R45" s="184" t="n">
        <v>-569428.55687808</v>
      </c>
      <c r="S45" s="184" t="n">
        <v>-566989.8906816</v>
      </c>
      <c r="T45" s="184" t="n">
        <v>-564551.22448512</v>
      </c>
      <c r="U45" s="184" t="n">
        <v>-562112.55828864</v>
      </c>
      <c r="V45" s="184" t="n">
        <v>-559673.89209216</v>
      </c>
      <c r="W45" s="184" t="n">
        <v>-557235.22589568</v>
      </c>
      <c r="X45" s="184"/>
    </row>
    <row r="46" customFormat="false" ht="18.75" hidden="false" customHeight="true" outlineLevel="0" collapsed="false">
      <c r="B46" s="182" t="s">
        <v>58</v>
      </c>
      <c r="C46" s="17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</row>
    <row r="47" customFormat="false" ht="18.75" hidden="false" customHeight="true" outlineLevel="0" collapsed="false">
      <c r="B47" s="182" t="s">
        <v>59</v>
      </c>
      <c r="C47" s="174" t="s">
        <v>3</v>
      </c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</row>
    <row r="48" customFormat="false" ht="18.75" hidden="false" customHeight="true" outlineLevel="0" collapsed="false">
      <c r="B48" s="182" t="s">
        <v>60</v>
      </c>
      <c r="C48" s="174" t="s">
        <v>3</v>
      </c>
      <c r="D48" s="184" t="n">
        <v>-174440</v>
      </c>
      <c r="E48" s="184" t="n">
        <v>-174440</v>
      </c>
      <c r="F48" s="184" t="n">
        <v>-174440</v>
      </c>
      <c r="G48" s="184" t="n">
        <v>-174440</v>
      </c>
      <c r="H48" s="184" t="n">
        <v>-174440</v>
      </c>
      <c r="I48" s="184" t="n">
        <v>-174440</v>
      </c>
      <c r="J48" s="184" t="n">
        <v>-174440</v>
      </c>
      <c r="K48" s="184" t="n">
        <v>-174440</v>
      </c>
      <c r="L48" s="184" t="n">
        <v>-174440</v>
      </c>
      <c r="M48" s="184" t="n">
        <v>-174440</v>
      </c>
      <c r="N48" s="184" t="n">
        <v>-174440</v>
      </c>
      <c r="O48" s="184" t="n">
        <v>-174440</v>
      </c>
      <c r="P48" s="184" t="n">
        <v>-174440</v>
      </c>
      <c r="Q48" s="184" t="n">
        <v>-174440</v>
      </c>
      <c r="R48" s="184" t="n">
        <v>-174440</v>
      </c>
      <c r="S48" s="184" t="n">
        <v>-174440</v>
      </c>
      <c r="T48" s="184" t="n">
        <v>-174440</v>
      </c>
      <c r="U48" s="184" t="n">
        <v>-174440</v>
      </c>
      <c r="V48" s="184" t="n">
        <v>-174440</v>
      </c>
      <c r="W48" s="184" t="n">
        <v>-174440</v>
      </c>
      <c r="X48" s="184"/>
    </row>
    <row r="49" customFormat="false" ht="18.75" hidden="false" customHeight="true" outlineLevel="0" collapsed="false">
      <c r="B49" s="182" t="s">
        <v>61</v>
      </c>
      <c r="C49" s="174" t="s">
        <v>3</v>
      </c>
      <c r="D49" s="184" t="n">
        <v>-36632.4</v>
      </c>
      <c r="E49" s="184" t="n">
        <v>-36632.4</v>
      </c>
      <c r="F49" s="184" t="n">
        <v>-36632.4</v>
      </c>
      <c r="G49" s="184" t="n">
        <v>-36632.4</v>
      </c>
      <c r="H49" s="184" t="n">
        <v>-36632.4</v>
      </c>
      <c r="I49" s="184" t="n">
        <v>-36632.4</v>
      </c>
      <c r="J49" s="184" t="n">
        <v>-36632.4</v>
      </c>
      <c r="K49" s="184" t="n">
        <v>-36632.4</v>
      </c>
      <c r="L49" s="184" t="n">
        <v>-36632.4</v>
      </c>
      <c r="M49" s="184" t="n">
        <v>-36632.4</v>
      </c>
      <c r="N49" s="184" t="n">
        <v>-36632.4</v>
      </c>
      <c r="O49" s="184" t="n">
        <v>-36632.4</v>
      </c>
      <c r="P49" s="184" t="n">
        <v>-36632.4</v>
      </c>
      <c r="Q49" s="184" t="n">
        <v>-36632.4</v>
      </c>
      <c r="R49" s="184" t="n">
        <v>-36632.4</v>
      </c>
      <c r="S49" s="184" t="n">
        <v>-36632.4</v>
      </c>
      <c r="T49" s="184" t="n">
        <v>-36632.4</v>
      </c>
      <c r="U49" s="184" t="n">
        <v>-36632.4</v>
      </c>
      <c r="V49" s="184" t="n">
        <v>-36632.4</v>
      </c>
      <c r="W49" s="184" t="n">
        <v>-36632.4</v>
      </c>
      <c r="X49" s="184"/>
    </row>
    <row r="50" customFormat="false" ht="18.75" hidden="false" customHeight="true" outlineLevel="0" collapsed="false">
      <c r="B50" s="182" t="s">
        <v>62</v>
      </c>
      <c r="C50" s="174"/>
      <c r="D50" s="184" t="n">
        <v>-43610</v>
      </c>
      <c r="E50" s="184" t="n">
        <v>-43610</v>
      </c>
      <c r="F50" s="184" t="n">
        <v>-43610</v>
      </c>
      <c r="G50" s="184" t="n">
        <v>-43610</v>
      </c>
      <c r="H50" s="184" t="n">
        <v>-43610</v>
      </c>
      <c r="I50" s="184" t="n">
        <v>-43610</v>
      </c>
      <c r="J50" s="184" t="n">
        <v>-43610</v>
      </c>
      <c r="K50" s="184" t="n">
        <v>-43610</v>
      </c>
      <c r="L50" s="184" t="n">
        <v>-43610</v>
      </c>
      <c r="M50" s="184" t="n">
        <v>-43610</v>
      </c>
      <c r="N50" s="184" t="n">
        <v>0</v>
      </c>
      <c r="O50" s="184" t="n">
        <v>0</v>
      </c>
      <c r="P50" s="184" t="n">
        <v>0</v>
      </c>
      <c r="Q50" s="184" t="n">
        <v>0</v>
      </c>
      <c r="R50" s="184" t="n">
        <v>0</v>
      </c>
      <c r="S50" s="184" t="n">
        <v>0</v>
      </c>
      <c r="T50" s="184" t="n">
        <v>0</v>
      </c>
      <c r="U50" s="184" t="n">
        <v>0</v>
      </c>
      <c r="V50" s="184" t="n">
        <v>0</v>
      </c>
      <c r="W50" s="184" t="n">
        <v>0</v>
      </c>
      <c r="X50" s="184"/>
    </row>
    <row r="51" customFormat="false" ht="18.75" hidden="false" customHeight="true" outlineLevel="0" collapsed="false">
      <c r="B51" s="182" t="s">
        <v>63</v>
      </c>
      <c r="C51" s="185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</row>
    <row r="52" customFormat="false" ht="18.75" hidden="false" customHeight="true" outlineLevel="0" collapsed="false">
      <c r="B52" s="182" t="s">
        <v>64</v>
      </c>
      <c r="C52" s="185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</row>
    <row r="53" customFormat="false" ht="18.75" hidden="false" customHeight="true" outlineLevel="0" collapsed="false">
      <c r="B53" s="186" t="s">
        <v>65</v>
      </c>
      <c r="C53" s="185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</row>
    <row r="54" customFormat="false" ht="18.75" hidden="false" customHeight="true" outlineLevel="0" collapsed="false">
      <c r="B54" s="186" t="s">
        <v>66</v>
      </c>
      <c r="C54" s="185"/>
      <c r="D54" s="184" t="n">
        <f aca="false">-(D64+D67+D68+D71+D72+D73+D74)*0.2</f>
        <v>-185725.4424192</v>
      </c>
      <c r="E54" s="184" t="n">
        <f aca="false">-(E64+E67+E68+E71+E72+E73+E74)*0.2</f>
        <v>-63873.421468416</v>
      </c>
      <c r="F54" s="184" t="n">
        <f aca="false">-(F64+F67+F68+F71+F72+F73+F74)*0.2</f>
        <v>-62735.377243392</v>
      </c>
      <c r="G54" s="184" t="n">
        <f aca="false">-(G64+G67+G68+G71+G72+G73+G74)*0.2</f>
        <v>-61597.333018368</v>
      </c>
      <c r="H54" s="184" t="n">
        <f aca="false">-(H64+H67+H68+H71+H72+H73+H74)*0.2</f>
        <v>-60459.288793344</v>
      </c>
      <c r="I54" s="184" t="n">
        <f aca="false">-(I64+I67+I68+I71+I72+I73+I74)*0.2</f>
        <v>-59321.24456832</v>
      </c>
      <c r="J54" s="184" t="n">
        <f aca="false">-(J64+J67+J68+J71+J72+J73+J74)*0.2</f>
        <v>-58183.200343296</v>
      </c>
      <c r="K54" s="184" t="n">
        <f aca="false">-(K64+K67+K68+K71+K72+K73+K74)*0.2</f>
        <v>-57045.156118272</v>
      </c>
      <c r="L54" s="184" t="n">
        <f aca="false">-(L64+L67+L68+L71+L72+L73+L74)*0.2</f>
        <v>-55907.111893248</v>
      </c>
      <c r="M54" s="184" t="n">
        <f aca="false">-(M64+M67+M68+M71+M72+M73+M74)*0.2</f>
        <v>-54769.067668224</v>
      </c>
      <c r="N54" s="184" t="n">
        <f aca="false">-(N64+N67+N68+N71+N72+N73+N74)*0.2</f>
        <v>-62353.0234432</v>
      </c>
      <c r="O54" s="184" t="n">
        <f aca="false">-(O64+O67+O68+O71+O72+O73+O74)*0.2</f>
        <v>-61214.979218176</v>
      </c>
      <c r="P54" s="184" t="n">
        <f aca="false">-(P64+P67+P68+P71+P72+P73+P74)*0.2</f>
        <v>-60076.934993152</v>
      </c>
      <c r="Q54" s="184" t="n">
        <f aca="false">-(Q64+Q67+Q68+Q71+Q72+Q73+Q74)*0.2</f>
        <v>-58938.890768128</v>
      </c>
      <c r="R54" s="184" t="n">
        <f aca="false">-(R64+R67+R68+R71+R72+R73+R74)*0.2</f>
        <v>-57800.846543104</v>
      </c>
      <c r="S54" s="184" t="n">
        <f aca="false">-(S64+S67+S68+S71+S72+S73+S74)*0.2</f>
        <v>-56662.80231808</v>
      </c>
      <c r="T54" s="184" t="n">
        <f aca="false">-(T64+T67+T68+T71+T72+T73+T74)*0.2</f>
        <v>-55524.7580930559</v>
      </c>
      <c r="U54" s="184" t="n">
        <f aca="false">-(U64+U67+U68+U71+U72+U73+U74)*0.2</f>
        <v>-54386.713868032</v>
      </c>
      <c r="V54" s="184" t="n">
        <f aca="false">-(V64+V67+V68+V71+V72+V73+V74)*0.2</f>
        <v>-53248.669643008</v>
      </c>
      <c r="W54" s="184" t="n">
        <f aca="false">-(W64+W67+W68+W71+W72+W73+W74)*0.2</f>
        <v>-52110.625417984</v>
      </c>
      <c r="X54" s="175"/>
    </row>
    <row r="55" customFormat="false" ht="18.75" hidden="false" customHeight="true" outlineLevel="0" collapsed="false">
      <c r="B55" s="187" t="s">
        <v>67</v>
      </c>
      <c r="C55" s="188" t="n">
        <f aca="false">C44</f>
        <v>-16571800</v>
      </c>
      <c r="D55" s="189" t="n">
        <f aca="false">SUM(D41:D54)</f>
        <v>967921.886048</v>
      </c>
      <c r="E55" s="189" t="n">
        <f aca="false">SUM(E41:E54)</f>
        <v>1084083.68587366</v>
      </c>
      <c r="F55" s="189" t="n">
        <f aca="false">SUM(F41:F54)</f>
        <v>1079531.50897357</v>
      </c>
      <c r="G55" s="189" t="n">
        <f aca="false">SUM(G41:G54)</f>
        <v>1074979.33207347</v>
      </c>
      <c r="H55" s="189" t="n">
        <f aca="false">SUM(H41:H54)</f>
        <v>1070427.15517338</v>
      </c>
      <c r="I55" s="189" t="n">
        <f aca="false">SUM(I41:I54)</f>
        <v>1065874.97827328</v>
      </c>
      <c r="J55" s="189" t="n">
        <f aca="false">SUM(J41:J54)</f>
        <v>1061322.80137318</v>
      </c>
      <c r="K55" s="189" t="n">
        <f aca="false">SUM(K41:K54)</f>
        <v>1056770.62447309</v>
      </c>
      <c r="L55" s="189" t="n">
        <f aca="false">SUM(L41:L54)</f>
        <v>1052218.44757299</v>
      </c>
      <c r="M55" s="189" t="n">
        <f aca="false">SUM(M41:M54)</f>
        <v>1047666.2706729</v>
      </c>
      <c r="N55" s="189" t="n">
        <f aca="false">SUM(N41:N54)</f>
        <v>1078002.0937728</v>
      </c>
      <c r="O55" s="189" t="n">
        <f aca="false">SUM(O41:O54)</f>
        <v>1073449.9168727</v>
      </c>
      <c r="P55" s="189" t="n">
        <f aca="false">SUM(P41:P54)</f>
        <v>1068897.73997261</v>
      </c>
      <c r="Q55" s="189" t="n">
        <f aca="false">SUM(Q41:Q54)</f>
        <v>1064345.56307251</v>
      </c>
      <c r="R55" s="189" t="n">
        <f aca="false">SUM(R41:R54)</f>
        <v>1059793.38617242</v>
      </c>
      <c r="S55" s="189" t="n">
        <f aca="false">SUM(S41:S54)</f>
        <v>1055241.20927232</v>
      </c>
      <c r="T55" s="189" t="n">
        <f aca="false">SUM(T41:T54)</f>
        <v>1050689.03237222</v>
      </c>
      <c r="U55" s="189" t="n">
        <f aca="false">SUM(U41:U54)</f>
        <v>1046136.85547213</v>
      </c>
      <c r="V55" s="189" t="n">
        <f aca="false">SUM(V41:V54)</f>
        <v>1041584.67857203</v>
      </c>
      <c r="W55" s="189" t="n">
        <f aca="false">SUM(W41:W54)</f>
        <v>1037032.50167194</v>
      </c>
      <c r="X55" s="190"/>
      <c r="Y55" s="191"/>
      <c r="Z55" s="192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</row>
    <row r="56" customFormat="false" ht="18.75" hidden="false" customHeight="true" outlineLevel="0" collapsed="false">
      <c r="B56" s="193" t="s">
        <v>68</v>
      </c>
      <c r="D56" s="194" t="n">
        <f aca="false">C55+D55</f>
        <v>-15603878.113952</v>
      </c>
      <c r="E56" s="194" t="n">
        <f aca="false">D56+E55</f>
        <v>-14519794.4280783</v>
      </c>
      <c r="F56" s="194" t="n">
        <f aca="false">E56+F55</f>
        <v>-13440262.9191048</v>
      </c>
      <c r="G56" s="194" t="n">
        <f aca="false">F56+G55</f>
        <v>-12365283.5870313</v>
      </c>
      <c r="H56" s="194" t="n">
        <f aca="false">G56+H55</f>
        <v>-11294856.4318579</v>
      </c>
      <c r="I56" s="194" t="n">
        <f aca="false">H56+I55</f>
        <v>-10228981.4535846</v>
      </c>
      <c r="J56" s="194" t="n">
        <f aca="false">I56+J55</f>
        <v>-9167658.65221146</v>
      </c>
      <c r="K56" s="194" t="n">
        <f aca="false">J56+K55</f>
        <v>-8110888.02773837</v>
      </c>
      <c r="L56" s="194" t="n">
        <f aca="false">K56+L55</f>
        <v>-7058669.58016538</v>
      </c>
      <c r="M56" s="194" t="n">
        <f aca="false">L56+M55</f>
        <v>-6011003.30949248</v>
      </c>
      <c r="N56" s="194" t="n">
        <f aca="false">M56+N55</f>
        <v>-4933001.21571968</v>
      </c>
      <c r="O56" s="194" t="n">
        <f aca="false">N56+O55</f>
        <v>-3859551.29884698</v>
      </c>
      <c r="P56" s="194" t="n">
        <f aca="false">O56+P55</f>
        <v>-2790653.55887437</v>
      </c>
      <c r="Q56" s="194" t="n">
        <f aca="false">P56+Q55</f>
        <v>-1726307.99580186</v>
      </c>
      <c r="R56" s="194" t="n">
        <f aca="false">Q56+R55</f>
        <v>-666514.609629442</v>
      </c>
      <c r="S56" s="194" t="n">
        <f aca="false">R56+S55</f>
        <v>388726.599642878</v>
      </c>
      <c r="T56" s="194" t="n">
        <f aca="false">S56+T55</f>
        <v>1439415.6320151</v>
      </c>
      <c r="U56" s="194" t="n">
        <f aca="false">T56+U55</f>
        <v>2485552.48748723</v>
      </c>
      <c r="V56" s="194" t="n">
        <f aca="false">U56+V55</f>
        <v>3527137.16605926</v>
      </c>
      <c r="W56" s="194" t="n">
        <f aca="false">V56+W55</f>
        <v>4564169.6677312</v>
      </c>
      <c r="X56" s="194" t="n">
        <f aca="false">W56+X55</f>
        <v>4564169.6677312</v>
      </c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</row>
    <row r="57" customFormat="false" ht="18.75" hidden="false" customHeight="true" outlineLevel="0" collapsed="false">
      <c r="B57" s="195" t="s">
        <v>74</v>
      </c>
      <c r="C57" s="196"/>
      <c r="D57" s="197" t="str">
        <f aca="false">IF((D56)&gt;0,"回收","未回收")</f>
        <v>未回收</v>
      </c>
      <c r="E57" s="198" t="str">
        <f aca="false">IF((E56)&gt;0,"回收","未回收")</f>
        <v>未回收</v>
      </c>
      <c r="F57" s="198" t="str">
        <f aca="false">IF((F56)&gt;0,"回收","未回收")</f>
        <v>未回收</v>
      </c>
      <c r="G57" s="198" t="str">
        <f aca="false">IF((G56)&gt;0,"回收","未回收")</f>
        <v>未回收</v>
      </c>
      <c r="H57" s="198" t="str">
        <f aca="false">IF((H56)&gt;0,"回收","未回收")</f>
        <v>未回收</v>
      </c>
      <c r="I57" s="198" t="str">
        <f aca="false">IF((I56)&gt;0,"回收","未回收")</f>
        <v>未回收</v>
      </c>
      <c r="J57" s="198" t="str">
        <f aca="false">IF((J56)&gt;0,"回收","未回收")</f>
        <v>未回收</v>
      </c>
      <c r="K57" s="198" t="str">
        <f aca="false">IF((K56)&gt;0,"回收","未回收")</f>
        <v>未回收</v>
      </c>
      <c r="L57" s="198" t="str">
        <f aca="false">IF((L56)&gt;0,"回收","未回收")</f>
        <v>未回收</v>
      </c>
      <c r="M57" s="198" t="str">
        <f aca="false">IF((M56)&gt;0,"回收","未回收")</f>
        <v>未回收</v>
      </c>
      <c r="N57" s="198" t="str">
        <f aca="false">IF((N56)&gt;0,"回收","未回收")</f>
        <v>未回收</v>
      </c>
      <c r="O57" s="198" t="str">
        <f aca="false">IF((O56)&gt;0,"回收","未回收")</f>
        <v>未回收</v>
      </c>
      <c r="P57" s="198" t="str">
        <f aca="false">IF((P56)&gt;0,"回收","未回收")</f>
        <v>未回收</v>
      </c>
      <c r="Q57" s="198" t="str">
        <f aca="false">IF((Q56)&gt;0,"回收","未回收")</f>
        <v>未回收</v>
      </c>
      <c r="R57" s="198" t="str">
        <f aca="false">IF((R56)&gt;0,"回收","未回收")</f>
        <v>未回收</v>
      </c>
      <c r="S57" s="198" t="str">
        <f aca="false">IF((S56)&gt;0,"回收","未回收")</f>
        <v>回收</v>
      </c>
      <c r="T57" s="198" t="str">
        <f aca="false">IF((T56)&gt;0,"回收","未回收")</f>
        <v>回收</v>
      </c>
      <c r="U57" s="198" t="str">
        <f aca="false">IF((U56)&gt;0,"回收","未回收")</f>
        <v>回收</v>
      </c>
      <c r="V57" s="198" t="str">
        <f aca="false">IF((V56)&gt;0,"回收","未回收")</f>
        <v>回收</v>
      </c>
      <c r="W57" s="198" t="str">
        <f aca="false">IF((W56)&gt;0,"回收","未回收")</f>
        <v>回收</v>
      </c>
      <c r="X57" s="198" t="str">
        <f aca="false">IF((X56)&gt;0,"回收","未回收")</f>
        <v>回收</v>
      </c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</row>
    <row r="58" customFormat="false" ht="18.75" hidden="false" customHeight="true" outlineLevel="0" collapsed="false">
      <c r="B58" s="199" t="s">
        <v>93</v>
      </c>
      <c r="C58" s="200" t="n">
        <f aca="false">IRR(C55:W55)</f>
        <v>0.0243842599807806</v>
      </c>
      <c r="D58" s="201"/>
      <c r="E58" s="201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customFormat="false" ht="18.75" hidden="false" customHeight="true" outlineLevel="0" collapsed="false">
      <c r="B59" s="202"/>
      <c r="C59" s="201"/>
      <c r="D59" s="201"/>
      <c r="E59" s="201"/>
      <c r="F59" s="202"/>
      <c r="G59" s="202"/>
      <c r="H59" s="202"/>
      <c r="I59" s="202"/>
      <c r="J59" s="202"/>
      <c r="K59" s="202"/>
      <c r="L59" s="202"/>
      <c r="M59" s="201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customFormat="false" ht="18.75" hidden="false" customHeight="true" outlineLevel="0" collapsed="false">
      <c r="B60" s="97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54" t="n">
        <v>0</v>
      </c>
      <c r="C61" s="155"/>
      <c r="D61" s="156"/>
      <c r="E61" s="156"/>
      <c r="F61" s="157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204" t="s">
        <v>50</v>
      </c>
      <c r="U61" s="158"/>
      <c r="V61" s="158"/>
      <c r="W61" s="158"/>
      <c r="X61" s="160"/>
    </row>
    <row r="62" customFormat="false" ht="18.75" hidden="false" customHeight="true" outlineLevel="0" collapsed="false">
      <c r="B62" s="161" t="s">
        <v>51</v>
      </c>
      <c r="C62" s="162" t="n">
        <v>0</v>
      </c>
      <c r="D62" s="163" t="n">
        <v>1</v>
      </c>
      <c r="E62" s="163" t="n">
        <v>2</v>
      </c>
      <c r="F62" s="163" t="n">
        <v>3</v>
      </c>
      <c r="G62" s="163" t="n">
        <v>4</v>
      </c>
      <c r="H62" s="163" t="n">
        <v>5</v>
      </c>
      <c r="I62" s="163" t="n">
        <v>6</v>
      </c>
      <c r="J62" s="163" t="n">
        <v>7</v>
      </c>
      <c r="K62" s="163" t="n">
        <v>8</v>
      </c>
      <c r="L62" s="163" t="n">
        <v>9</v>
      </c>
      <c r="M62" s="163" t="n">
        <v>10</v>
      </c>
      <c r="N62" s="163" t="n">
        <v>11</v>
      </c>
      <c r="O62" s="163" t="n">
        <v>12</v>
      </c>
      <c r="P62" s="163" t="n">
        <v>13</v>
      </c>
      <c r="Q62" s="163" t="n">
        <v>14</v>
      </c>
      <c r="R62" s="163" t="n">
        <v>15</v>
      </c>
      <c r="S62" s="163" t="n">
        <v>16</v>
      </c>
      <c r="T62" s="205" t="n">
        <v>17</v>
      </c>
      <c r="U62" s="163" t="n">
        <v>18</v>
      </c>
      <c r="V62" s="163" t="n">
        <v>19</v>
      </c>
      <c r="W62" s="163" t="n">
        <v>20</v>
      </c>
      <c r="X62" s="47"/>
    </row>
    <row r="63" customFormat="false" ht="18.75" hidden="false" customHeight="true" outlineLevel="0" collapsed="false">
      <c r="B63" s="165" t="s">
        <v>52</v>
      </c>
      <c r="C63" s="166" t="n">
        <v>0</v>
      </c>
      <c r="D63" s="167" t="n">
        <f aca="false">D40</f>
        <v>541531.98</v>
      </c>
      <c r="E63" s="167" t="n">
        <f aca="false">E40</f>
        <v>539343.972</v>
      </c>
      <c r="F63" s="167" t="n">
        <f aca="false">F40</f>
        <v>537155.964</v>
      </c>
      <c r="G63" s="167" t="n">
        <f aca="false">G40</f>
        <v>534967.956</v>
      </c>
      <c r="H63" s="167" t="n">
        <f aca="false">H40</f>
        <v>532779.948</v>
      </c>
      <c r="I63" s="167" t="n">
        <f aca="false">I40</f>
        <v>530591.94</v>
      </c>
      <c r="J63" s="167" t="n">
        <f aca="false">J40</f>
        <v>528403.932</v>
      </c>
      <c r="K63" s="167" t="n">
        <f aca="false">K40</f>
        <v>526215.924</v>
      </c>
      <c r="L63" s="167" t="n">
        <f aca="false">L40</f>
        <v>524027.916</v>
      </c>
      <c r="M63" s="167" t="n">
        <f aca="false">M40</f>
        <v>521839.908</v>
      </c>
      <c r="N63" s="167" t="n">
        <f aca="false">N40</f>
        <v>519651.9</v>
      </c>
      <c r="O63" s="167" t="n">
        <f aca="false">O40</f>
        <v>517463.892</v>
      </c>
      <c r="P63" s="167" t="n">
        <f aca="false">P40</f>
        <v>515275.884</v>
      </c>
      <c r="Q63" s="167" t="n">
        <f aca="false">Q40</f>
        <v>513087.876</v>
      </c>
      <c r="R63" s="167" t="n">
        <f aca="false">R40</f>
        <v>510899.868</v>
      </c>
      <c r="S63" s="167" t="n">
        <f aca="false">S40</f>
        <v>508711.86</v>
      </c>
      <c r="T63" s="167" t="n">
        <f aca="false">T40</f>
        <v>506523.852</v>
      </c>
      <c r="U63" s="167" t="n">
        <f aca="false">U40</f>
        <v>504335.844</v>
      </c>
      <c r="V63" s="167" t="n">
        <f aca="false">V40</f>
        <v>502147.836</v>
      </c>
      <c r="W63" s="167" t="n">
        <f aca="false">W40</f>
        <v>499959.828</v>
      </c>
      <c r="X63" s="168"/>
    </row>
    <row r="64" customFormat="false" ht="18.75" hidden="false" customHeight="true" outlineLevel="0" collapsed="false">
      <c r="B64" s="169" t="s">
        <v>53</v>
      </c>
      <c r="C64" s="170" t="s">
        <v>3</v>
      </c>
      <c r="D64" s="171" t="n">
        <f aca="false">D41</f>
        <v>2011899.612096</v>
      </c>
      <c r="E64" s="171" t="n">
        <f aca="false">E41</f>
        <v>2003770.7247744</v>
      </c>
      <c r="F64" s="171" t="n">
        <f aca="false">F41</f>
        <v>1995641.8374528</v>
      </c>
      <c r="G64" s="171" t="n">
        <f aca="false">G41</f>
        <v>1987512.9501312</v>
      </c>
      <c r="H64" s="171" t="n">
        <f aca="false">H41</f>
        <v>1979384.0628096</v>
      </c>
      <c r="I64" s="171" t="n">
        <f aca="false">I41</f>
        <v>1971255.175488</v>
      </c>
      <c r="J64" s="171" t="n">
        <f aca="false">J41</f>
        <v>1963126.2881664</v>
      </c>
      <c r="K64" s="171" t="n">
        <f aca="false">K41</f>
        <v>1954997.4008448</v>
      </c>
      <c r="L64" s="171" t="n">
        <f aca="false">L41</f>
        <v>1946868.5135232</v>
      </c>
      <c r="M64" s="171" t="n">
        <f aca="false">M41</f>
        <v>1938739.6262016</v>
      </c>
      <c r="N64" s="171" t="n">
        <f aca="false">N41</f>
        <v>1930610.73888</v>
      </c>
      <c r="O64" s="171" t="n">
        <f aca="false">O41</f>
        <v>1922481.8515584</v>
      </c>
      <c r="P64" s="171" t="n">
        <f aca="false">P41</f>
        <v>1914352.9642368</v>
      </c>
      <c r="Q64" s="171" t="n">
        <f aca="false">Q41</f>
        <v>1906224.0769152</v>
      </c>
      <c r="R64" s="171" t="n">
        <f aca="false">R41</f>
        <v>1898095.1895936</v>
      </c>
      <c r="S64" s="171" t="n">
        <f aca="false">S41</f>
        <v>1889966.302272</v>
      </c>
      <c r="T64" s="171" t="n">
        <f aca="false">T41</f>
        <v>1881837.4149504</v>
      </c>
      <c r="U64" s="171" t="n">
        <f aca="false">U41</f>
        <v>1873708.5276288</v>
      </c>
      <c r="V64" s="171" t="n">
        <f aca="false">V41</f>
        <v>1865579.6403072</v>
      </c>
      <c r="W64" s="171" t="n">
        <f aca="false">W41</f>
        <v>1857450.7529856</v>
      </c>
      <c r="X64" s="172"/>
    </row>
    <row r="65" customFormat="false" ht="18.75" hidden="false" customHeight="true" outlineLevel="0" collapsed="false">
      <c r="B65" s="173" t="s">
        <v>54</v>
      </c>
      <c r="C65" s="174" t="s">
        <v>3</v>
      </c>
      <c r="D65" s="175"/>
      <c r="E65" s="175"/>
      <c r="F65" s="175"/>
      <c r="G65" s="176" t="s">
        <v>3</v>
      </c>
      <c r="H65" s="176" t="s">
        <v>3</v>
      </c>
      <c r="I65" s="176" t="s">
        <v>3</v>
      </c>
      <c r="J65" s="176" t="s">
        <v>3</v>
      </c>
      <c r="K65" s="176" t="s">
        <v>3</v>
      </c>
      <c r="L65" s="176" t="s">
        <v>3</v>
      </c>
      <c r="M65" s="176" t="s">
        <v>3</v>
      </c>
      <c r="N65" s="176" t="s">
        <v>3</v>
      </c>
      <c r="O65" s="176" t="s">
        <v>3</v>
      </c>
      <c r="P65" s="176" t="s">
        <v>3</v>
      </c>
      <c r="Q65" s="176" t="s">
        <v>3</v>
      </c>
      <c r="R65" s="176" t="s">
        <v>3</v>
      </c>
      <c r="S65" s="176" t="s">
        <v>3</v>
      </c>
      <c r="T65" s="176" t="s">
        <v>3</v>
      </c>
      <c r="U65" s="176" t="s">
        <v>3</v>
      </c>
      <c r="V65" s="176" t="s">
        <v>3</v>
      </c>
      <c r="W65" s="176" t="s">
        <v>3</v>
      </c>
      <c r="X65" s="177"/>
    </row>
    <row r="66" customFormat="false" ht="18.75" hidden="false" customHeight="true" outlineLevel="0" collapsed="false">
      <c r="B66" s="178" t="s">
        <v>55</v>
      </c>
      <c r="C66" s="179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1"/>
    </row>
    <row r="67" customFormat="false" ht="18.75" hidden="false" customHeight="true" outlineLevel="0" collapsed="false">
      <c r="B67" s="182" t="s">
        <v>151</v>
      </c>
      <c r="C67" s="174"/>
      <c r="D67" s="206" t="n">
        <f aca="false">$C$44/$E$16</f>
        <v>-828590</v>
      </c>
      <c r="E67" s="206" t="n">
        <f aca="false">$C$44/$E$16</f>
        <v>-828590</v>
      </c>
      <c r="F67" s="206" t="n">
        <f aca="false">$C$44/$E$16</f>
        <v>-828590</v>
      </c>
      <c r="G67" s="206" t="n">
        <f aca="false">$C$44/$E$16</f>
        <v>-828590</v>
      </c>
      <c r="H67" s="206" t="n">
        <f aca="false">$C$44/$E$16</f>
        <v>-828590</v>
      </c>
      <c r="I67" s="206" t="n">
        <f aca="false">$C$44/$E$16</f>
        <v>-828590</v>
      </c>
      <c r="J67" s="206" t="n">
        <f aca="false">$C$44/$E$16</f>
        <v>-828590</v>
      </c>
      <c r="K67" s="206" t="n">
        <f aca="false">$C$44/$E$16</f>
        <v>-828590</v>
      </c>
      <c r="L67" s="206" t="n">
        <f aca="false">$C$44/$E$16</f>
        <v>-828590</v>
      </c>
      <c r="M67" s="206" t="n">
        <f aca="false">$C$44/$E$16</f>
        <v>-828590</v>
      </c>
      <c r="N67" s="206" t="n">
        <f aca="false">$C$44/$E$16</f>
        <v>-828590</v>
      </c>
      <c r="O67" s="206" t="n">
        <f aca="false">$C$44/$E$16</f>
        <v>-828590</v>
      </c>
      <c r="P67" s="206" t="n">
        <f aca="false">$C$44/$E$16</f>
        <v>-828590</v>
      </c>
      <c r="Q67" s="206" t="n">
        <f aca="false">$C$44/$E$16</f>
        <v>-828590</v>
      </c>
      <c r="R67" s="206" t="n">
        <f aca="false">$C$44/$E$16</f>
        <v>-828590</v>
      </c>
      <c r="S67" s="206" t="n">
        <f aca="false">$C$44/$E$16</f>
        <v>-828590</v>
      </c>
      <c r="T67" s="206" t="n">
        <f aca="false">$C$44/$E$16</f>
        <v>-828590</v>
      </c>
      <c r="U67" s="206" t="n">
        <f aca="false">$C$44/$E$16</f>
        <v>-828590</v>
      </c>
      <c r="V67" s="206" t="n">
        <f aca="false">$C$44/$E$16</f>
        <v>-828590</v>
      </c>
      <c r="W67" s="206" t="n">
        <f aca="false">$C$44/$E$16</f>
        <v>-828590</v>
      </c>
      <c r="X67" s="177"/>
    </row>
    <row r="68" customFormat="false" ht="18.75" hidden="false" customHeight="true" outlineLevel="0" collapsed="false">
      <c r="B68" s="182" t="s">
        <v>57</v>
      </c>
      <c r="C68" s="174" t="s">
        <v>3</v>
      </c>
      <c r="D68" s="184" t="n">
        <f aca="false">D44</f>
        <v>0</v>
      </c>
      <c r="E68" s="184" t="n">
        <f aca="false">E45</f>
        <v>-601131.21743232</v>
      </c>
      <c r="F68" s="184" t="n">
        <f aca="false">F45</f>
        <v>-598692.55123584</v>
      </c>
      <c r="G68" s="184" t="n">
        <f aca="false">G45</f>
        <v>-596253.88503936</v>
      </c>
      <c r="H68" s="184" t="n">
        <f aca="false">H45</f>
        <v>-593815.21884288</v>
      </c>
      <c r="I68" s="184" t="n">
        <f aca="false">I45</f>
        <v>-591376.5526464</v>
      </c>
      <c r="J68" s="184" t="n">
        <f aca="false">J45</f>
        <v>-588937.88644992</v>
      </c>
      <c r="K68" s="184" t="n">
        <f aca="false">K45</f>
        <v>-586499.22025344</v>
      </c>
      <c r="L68" s="184" t="n">
        <f aca="false">L45</f>
        <v>-584060.55405696</v>
      </c>
      <c r="M68" s="184" t="n">
        <f aca="false">M45</f>
        <v>-581621.88786048</v>
      </c>
      <c r="N68" s="184" t="n">
        <f aca="false">N45</f>
        <v>-579183.221664</v>
      </c>
      <c r="O68" s="184" t="n">
        <f aca="false">O45</f>
        <v>-576744.55546752</v>
      </c>
      <c r="P68" s="184" t="n">
        <f aca="false">P45</f>
        <v>-574305.88927104</v>
      </c>
      <c r="Q68" s="184" t="n">
        <f aca="false">Q45</f>
        <v>-571867.22307456</v>
      </c>
      <c r="R68" s="184" t="n">
        <f aca="false">R45</f>
        <v>-569428.55687808</v>
      </c>
      <c r="S68" s="184" t="n">
        <f aca="false">S45</f>
        <v>-566989.8906816</v>
      </c>
      <c r="T68" s="184" t="n">
        <f aca="false">T45</f>
        <v>-564551.22448512</v>
      </c>
      <c r="U68" s="184" t="n">
        <f aca="false">U45</f>
        <v>-562112.55828864</v>
      </c>
      <c r="V68" s="184" t="n">
        <f aca="false">V45</f>
        <v>-559673.89209216</v>
      </c>
      <c r="W68" s="184" t="n">
        <f aca="false">W45</f>
        <v>-557235.22589568</v>
      </c>
      <c r="X68" s="177"/>
    </row>
    <row r="69" customFormat="false" ht="18.75" hidden="false" customHeight="true" outlineLevel="0" collapsed="false">
      <c r="B69" s="182" t="s">
        <v>58</v>
      </c>
      <c r="C69" s="174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7"/>
    </row>
    <row r="70" customFormat="false" ht="18.75" hidden="false" customHeight="true" outlineLevel="0" collapsed="false">
      <c r="B70" s="182" t="s">
        <v>59</v>
      </c>
      <c r="C70" s="174" t="s">
        <v>3</v>
      </c>
      <c r="D70" s="184" t="n">
        <f aca="false">-D109*$D25</f>
        <v>-339324.1768</v>
      </c>
      <c r="E70" s="184" t="n">
        <f aca="false">-E109*$D25</f>
        <v>-316702.565013333</v>
      </c>
      <c r="F70" s="184" t="n">
        <f aca="false">-F109*$D25</f>
        <v>-294080.953226667</v>
      </c>
      <c r="G70" s="184" t="n">
        <f aca="false">-G109*$D25</f>
        <v>-271459.34144</v>
      </c>
      <c r="H70" s="184" t="n">
        <f aca="false">-H109*$D25</f>
        <v>-248837.729653333</v>
      </c>
      <c r="I70" s="184" t="n">
        <f aca="false">-I109*$D25</f>
        <v>-226216.117866667</v>
      </c>
      <c r="J70" s="184" t="n">
        <f aca="false">-J109*$D25</f>
        <v>-203594.50608</v>
      </c>
      <c r="K70" s="184" t="n">
        <f aca="false">-K109*$D25</f>
        <v>-180972.894293333</v>
      </c>
      <c r="L70" s="184" t="n">
        <f aca="false">-L109*$D25</f>
        <v>-158351.282506667</v>
      </c>
      <c r="M70" s="184" t="n">
        <f aca="false">-M109*$D25</f>
        <v>-135729.67072</v>
      </c>
      <c r="N70" s="184" t="n">
        <f aca="false">-N109*$D25</f>
        <v>-113108.058933333</v>
      </c>
      <c r="O70" s="184" t="n">
        <f aca="false">-O109*$D25</f>
        <v>-90486.4471466666</v>
      </c>
      <c r="P70" s="184" t="n">
        <f aca="false">-P109*$D25</f>
        <v>-67864.83536</v>
      </c>
      <c r="Q70" s="184" t="n">
        <f aca="false">-Q109*$D25</f>
        <v>-45243.2235733333</v>
      </c>
      <c r="R70" s="184" t="n">
        <f aca="false">-R109*$D25</f>
        <v>-22621.6117866666</v>
      </c>
      <c r="S70" s="184" t="n">
        <f aca="false">-S109*$D25</f>
        <v>-0</v>
      </c>
      <c r="T70" s="184" t="n">
        <f aca="false">-T109*$D25</f>
        <v>-0</v>
      </c>
      <c r="U70" s="184" t="n">
        <f aca="false">-U109*$D25</f>
        <v>-0</v>
      </c>
      <c r="V70" s="184" t="n">
        <f aca="false">-V109*$D25</f>
        <v>-0</v>
      </c>
      <c r="W70" s="184" t="n">
        <f aca="false">-W109*$D25</f>
        <v>-0</v>
      </c>
      <c r="X70" s="177"/>
    </row>
    <row r="71" customFormat="false" ht="18.75" hidden="false" customHeight="true" outlineLevel="0" collapsed="false">
      <c r="B71" s="182" t="s">
        <v>60</v>
      </c>
      <c r="C71" s="174" t="s">
        <v>3</v>
      </c>
      <c r="D71" s="184" t="n">
        <f aca="false">D48</f>
        <v>-174440</v>
      </c>
      <c r="E71" s="184" t="n">
        <f aca="false">E48</f>
        <v>-174440</v>
      </c>
      <c r="F71" s="184" t="n">
        <f aca="false">F48</f>
        <v>-174440</v>
      </c>
      <c r="G71" s="184" t="n">
        <f aca="false">G48</f>
        <v>-174440</v>
      </c>
      <c r="H71" s="184" t="n">
        <f aca="false">H48</f>
        <v>-174440</v>
      </c>
      <c r="I71" s="184" t="n">
        <f aca="false">I48</f>
        <v>-174440</v>
      </c>
      <c r="J71" s="184" t="n">
        <f aca="false">J48</f>
        <v>-174440</v>
      </c>
      <c r="K71" s="184" t="n">
        <f aca="false">K48</f>
        <v>-174440</v>
      </c>
      <c r="L71" s="184" t="n">
        <f aca="false">L48</f>
        <v>-174440</v>
      </c>
      <c r="M71" s="184" t="n">
        <f aca="false">M48</f>
        <v>-174440</v>
      </c>
      <c r="N71" s="184" t="n">
        <f aca="false">N48</f>
        <v>-174440</v>
      </c>
      <c r="O71" s="184" t="n">
        <f aca="false">O48</f>
        <v>-174440</v>
      </c>
      <c r="P71" s="184" t="n">
        <f aca="false">P48</f>
        <v>-174440</v>
      </c>
      <c r="Q71" s="184" t="n">
        <f aca="false">Q48</f>
        <v>-174440</v>
      </c>
      <c r="R71" s="184" t="n">
        <f aca="false">R48</f>
        <v>-174440</v>
      </c>
      <c r="S71" s="184" t="n">
        <f aca="false">S48</f>
        <v>-174440</v>
      </c>
      <c r="T71" s="184" t="n">
        <f aca="false">T48</f>
        <v>-174440</v>
      </c>
      <c r="U71" s="184" t="n">
        <f aca="false">U48</f>
        <v>-174440</v>
      </c>
      <c r="V71" s="184" t="n">
        <f aca="false">V48</f>
        <v>-174440</v>
      </c>
      <c r="W71" s="184" t="n">
        <f aca="false">W48</f>
        <v>-174440</v>
      </c>
      <c r="X71" s="177"/>
    </row>
    <row r="72" customFormat="false" ht="18.75" hidden="false" customHeight="true" outlineLevel="0" collapsed="false">
      <c r="B72" s="182" t="s">
        <v>61</v>
      </c>
      <c r="C72" s="174" t="s">
        <v>3</v>
      </c>
      <c r="D72" s="184" t="n">
        <f aca="false">D49</f>
        <v>-36632.4</v>
      </c>
      <c r="E72" s="184" t="n">
        <f aca="false">E49</f>
        <v>-36632.4</v>
      </c>
      <c r="F72" s="184" t="n">
        <f aca="false">F49</f>
        <v>-36632.4</v>
      </c>
      <c r="G72" s="184" t="n">
        <f aca="false">G49</f>
        <v>-36632.4</v>
      </c>
      <c r="H72" s="184" t="n">
        <f aca="false">H49</f>
        <v>-36632.4</v>
      </c>
      <c r="I72" s="184" t="n">
        <f aca="false">I49</f>
        <v>-36632.4</v>
      </c>
      <c r="J72" s="184" t="n">
        <f aca="false">J49</f>
        <v>-36632.4</v>
      </c>
      <c r="K72" s="184" t="n">
        <f aca="false">K49</f>
        <v>-36632.4</v>
      </c>
      <c r="L72" s="184" t="n">
        <f aca="false">L49</f>
        <v>-36632.4</v>
      </c>
      <c r="M72" s="184" t="n">
        <f aca="false">M49</f>
        <v>-36632.4</v>
      </c>
      <c r="N72" s="184" t="n">
        <f aca="false">N49</f>
        <v>-36632.4</v>
      </c>
      <c r="O72" s="184" t="n">
        <f aca="false">O49</f>
        <v>-36632.4</v>
      </c>
      <c r="P72" s="184" t="n">
        <f aca="false">P49</f>
        <v>-36632.4</v>
      </c>
      <c r="Q72" s="184" t="n">
        <f aca="false">Q49</f>
        <v>-36632.4</v>
      </c>
      <c r="R72" s="184" t="n">
        <f aca="false">R49</f>
        <v>-36632.4</v>
      </c>
      <c r="S72" s="184" t="n">
        <f aca="false">S49</f>
        <v>-36632.4</v>
      </c>
      <c r="T72" s="184" t="n">
        <f aca="false">T49</f>
        <v>-36632.4</v>
      </c>
      <c r="U72" s="184" t="n">
        <f aca="false">U49</f>
        <v>-36632.4</v>
      </c>
      <c r="V72" s="184" t="n">
        <f aca="false">V49</f>
        <v>-36632.4</v>
      </c>
      <c r="W72" s="184" t="n">
        <f aca="false">W49</f>
        <v>-36632.4</v>
      </c>
      <c r="X72" s="177"/>
    </row>
    <row r="73" customFormat="false" ht="18.75" hidden="false" customHeight="true" outlineLevel="0" collapsed="false">
      <c r="B73" s="182" t="s">
        <v>62</v>
      </c>
      <c r="C73" s="174"/>
      <c r="D73" s="184" t="n">
        <f aca="false">D50</f>
        <v>-43610</v>
      </c>
      <c r="E73" s="184" t="n">
        <f aca="false">E50</f>
        <v>-43610</v>
      </c>
      <c r="F73" s="184" t="n">
        <f aca="false">F50</f>
        <v>-43610</v>
      </c>
      <c r="G73" s="184" t="n">
        <f aca="false">G50</f>
        <v>-43610</v>
      </c>
      <c r="H73" s="184" t="n">
        <f aca="false">H50</f>
        <v>-43610</v>
      </c>
      <c r="I73" s="184" t="n">
        <f aca="false">I50</f>
        <v>-43610</v>
      </c>
      <c r="J73" s="184" t="n">
        <f aca="false">J50</f>
        <v>-43610</v>
      </c>
      <c r="K73" s="184" t="n">
        <f aca="false">K50</f>
        <v>-43610</v>
      </c>
      <c r="L73" s="184" t="n">
        <f aca="false">L50</f>
        <v>-43610</v>
      </c>
      <c r="M73" s="184" t="n">
        <f aca="false">M50</f>
        <v>-43610</v>
      </c>
      <c r="N73" s="184" t="n">
        <f aca="false">N50</f>
        <v>0</v>
      </c>
      <c r="O73" s="184" t="n">
        <f aca="false">O50</f>
        <v>0</v>
      </c>
      <c r="P73" s="184" t="n">
        <f aca="false">P50</f>
        <v>0</v>
      </c>
      <c r="Q73" s="184" t="n">
        <f aca="false">Q50</f>
        <v>0</v>
      </c>
      <c r="R73" s="184" t="n">
        <f aca="false">R50</f>
        <v>0</v>
      </c>
      <c r="S73" s="184" t="n">
        <f aca="false">S50</f>
        <v>0</v>
      </c>
      <c r="T73" s="184" t="n">
        <f aca="false">T50</f>
        <v>0</v>
      </c>
      <c r="U73" s="184" t="n">
        <f aca="false">U50</f>
        <v>0</v>
      </c>
      <c r="V73" s="184" t="n">
        <f aca="false">V50</f>
        <v>0</v>
      </c>
      <c r="W73" s="184" t="n">
        <f aca="false">W50</f>
        <v>0</v>
      </c>
      <c r="X73" s="177"/>
    </row>
    <row r="74" customFormat="false" ht="18.75" hidden="false" customHeight="true" outlineLevel="0" collapsed="false">
      <c r="B74" s="182" t="s">
        <v>63</v>
      </c>
      <c r="C74" s="185"/>
      <c r="D74" s="207"/>
      <c r="E74" s="208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7"/>
    </row>
    <row r="75" customFormat="false" ht="18.75" hidden="false" customHeight="true" outlineLevel="0" collapsed="false">
      <c r="B75" s="182" t="s">
        <v>64</v>
      </c>
      <c r="C75" s="18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7"/>
    </row>
    <row r="76" customFormat="false" ht="18.75" hidden="false" customHeight="true" outlineLevel="0" collapsed="false">
      <c r="B76" s="187" t="s">
        <v>152</v>
      </c>
      <c r="C76" s="209"/>
      <c r="D76" s="189" t="n">
        <f aca="false">SUM(D64:D75)</f>
        <v>589303.035296</v>
      </c>
      <c r="E76" s="189" t="n">
        <f aca="false">SUM(E64:E75)</f>
        <v>2664.54232874643</v>
      </c>
      <c r="F76" s="189" t="n">
        <f aca="false">SUM(F64:F75)</f>
        <v>19595.9329902934</v>
      </c>
      <c r="G76" s="189" t="n">
        <f aca="false">SUM(G64:G75)</f>
        <v>36527.3236518401</v>
      </c>
      <c r="H76" s="189" t="n">
        <f aca="false">SUM(H64:H75)</f>
        <v>53458.7143133866</v>
      </c>
      <c r="I76" s="189" t="n">
        <f aca="false">SUM(I64:I75)</f>
        <v>70390.1049749332</v>
      </c>
      <c r="J76" s="189" t="n">
        <f aca="false">SUM(J64:J75)</f>
        <v>87321.4956364801</v>
      </c>
      <c r="K76" s="189" t="n">
        <f aca="false">SUM(K64:K75)</f>
        <v>104252.886298027</v>
      </c>
      <c r="L76" s="189" t="n">
        <f aca="false">SUM(L64:L75)</f>
        <v>121184.276959573</v>
      </c>
      <c r="M76" s="189" t="n">
        <f aca="false">SUM(M64:M75)</f>
        <v>138115.66762112</v>
      </c>
      <c r="N76" s="189" t="n">
        <f aca="false">SUM(N64:N75)</f>
        <v>198657.058282667</v>
      </c>
      <c r="O76" s="189" t="n">
        <f aca="false">SUM(O64:O75)</f>
        <v>215588.448944213</v>
      </c>
      <c r="P76" s="189" t="n">
        <f aca="false">SUM(P64:P75)</f>
        <v>232519.83960576</v>
      </c>
      <c r="Q76" s="189" t="n">
        <f aca="false">SUM(Q64:Q75)</f>
        <v>249451.230267307</v>
      </c>
      <c r="R76" s="189" t="n">
        <f aca="false">SUM(R64:R75)</f>
        <v>266382.620928853</v>
      </c>
      <c r="S76" s="189" t="n">
        <f aca="false">SUM(S64:S75)</f>
        <v>283314.0115904</v>
      </c>
      <c r="T76" s="189" t="n">
        <f aca="false">SUM(T64:T75)</f>
        <v>277623.79046528</v>
      </c>
      <c r="U76" s="189" t="n">
        <f aca="false">SUM(U64:U75)</f>
        <v>271933.56934016</v>
      </c>
      <c r="V76" s="189" t="n">
        <f aca="false">SUM(V64:V75)</f>
        <v>266243.34821504</v>
      </c>
      <c r="W76" s="189" t="n">
        <f aca="false">SUM(W64:W75)</f>
        <v>260553.12708992</v>
      </c>
      <c r="X76" s="189" t="n">
        <f aca="false">SUM(X64:X75)</f>
        <v>0</v>
      </c>
    </row>
    <row r="77" customFormat="false" ht="18.75" hidden="false" customHeight="true" outlineLevel="0" collapsed="false">
      <c r="B77" s="186" t="s">
        <v>66</v>
      </c>
      <c r="C77" s="185"/>
      <c r="D77" s="184" t="n">
        <f aca="false">-D76*0.2</f>
        <v>-117860.6070592</v>
      </c>
      <c r="E77" s="184" t="n">
        <f aca="false">-E76*0.2</f>
        <v>-532.908465749286</v>
      </c>
      <c r="F77" s="184" t="n">
        <f aca="false">-F76*0.2</f>
        <v>-3919.18659805869</v>
      </c>
      <c r="G77" s="184" t="n">
        <f aca="false">-G76*0.2</f>
        <v>-7305.46473036801</v>
      </c>
      <c r="H77" s="184" t="n">
        <f aca="false">-H76*0.2</f>
        <v>-10691.7428626773</v>
      </c>
      <c r="I77" s="184" t="n">
        <f aca="false">-I76*0.2</f>
        <v>-14078.0209949866</v>
      </c>
      <c r="J77" s="184" t="n">
        <f aca="false">-J76*0.2</f>
        <v>-17464.299127296</v>
      </c>
      <c r="K77" s="184" t="n">
        <f aca="false">-K76*0.2</f>
        <v>-20850.5772596053</v>
      </c>
      <c r="L77" s="184" t="n">
        <f aca="false">-L76*0.2</f>
        <v>-24236.8553919146</v>
      </c>
      <c r="M77" s="184" t="n">
        <f aca="false">-M76*0.2</f>
        <v>-27623.133524224</v>
      </c>
      <c r="N77" s="184" t="n">
        <f aca="false">-N76*0.2</f>
        <v>-39731.4116565333</v>
      </c>
      <c r="O77" s="184" t="n">
        <f aca="false">-O76*0.2</f>
        <v>-43117.6897888426</v>
      </c>
      <c r="P77" s="184" t="n">
        <f aca="false">-P76*0.2</f>
        <v>-46503.967921152</v>
      </c>
      <c r="Q77" s="184" t="n">
        <f aca="false">-Q76*0.2</f>
        <v>-49890.2460534613</v>
      </c>
      <c r="R77" s="184" t="n">
        <f aca="false">-R76*0.2</f>
        <v>-53276.5241857707</v>
      </c>
      <c r="S77" s="184" t="n">
        <f aca="false">-S76*0.2</f>
        <v>-56662.80231808</v>
      </c>
      <c r="T77" s="184" t="n">
        <f aca="false">-T76*0.2</f>
        <v>-55524.7580930559</v>
      </c>
      <c r="U77" s="184" t="n">
        <f aca="false">-U76*0.2</f>
        <v>-54386.713868032</v>
      </c>
      <c r="V77" s="184" t="n">
        <f aca="false">-V76*0.2</f>
        <v>-53248.669643008</v>
      </c>
      <c r="W77" s="184" t="n">
        <f aca="false">-W76*0.2</f>
        <v>-52110.625417984</v>
      </c>
      <c r="X77" s="184" t="n">
        <f aca="false">-X76*0.2</f>
        <v>-0</v>
      </c>
    </row>
    <row r="78" customFormat="false" ht="15.75" hidden="false" customHeight="true" outlineLevel="0" collapsed="false">
      <c r="B78" s="210" t="s">
        <v>76</v>
      </c>
      <c r="D78" s="184" t="n">
        <f aca="false">SUM(D76:D77)</f>
        <v>471442.4282368</v>
      </c>
      <c r="E78" s="184" t="n">
        <f aca="false">SUM(E76:E77)</f>
        <v>2131.63386299714</v>
      </c>
      <c r="F78" s="184" t="n">
        <f aca="false">SUM(F76:F77)</f>
        <v>15676.7463922348</v>
      </c>
      <c r="G78" s="184" t="n">
        <f aca="false">SUM(G76:G77)</f>
        <v>29221.8589214721</v>
      </c>
      <c r="H78" s="184" t="n">
        <f aca="false">SUM(H76:H77)</f>
        <v>42766.9714507093</v>
      </c>
      <c r="I78" s="184" t="n">
        <f aca="false">SUM(I76:I77)</f>
        <v>56312.0839799465</v>
      </c>
      <c r="J78" s="184" t="n">
        <f aca="false">SUM(J76:J77)</f>
        <v>69857.1965091841</v>
      </c>
      <c r="K78" s="184" t="n">
        <f aca="false">SUM(K76:K77)</f>
        <v>83402.3090384213</v>
      </c>
      <c r="L78" s="184" t="n">
        <f aca="false">SUM(L76:L77)</f>
        <v>96947.4215676585</v>
      </c>
      <c r="M78" s="184" t="n">
        <f aca="false">SUM(M76:M77)</f>
        <v>110492.534096896</v>
      </c>
      <c r="N78" s="184" t="n">
        <f aca="false">SUM(N76:N77)</f>
        <v>158925.646626133</v>
      </c>
      <c r="O78" s="184" t="n">
        <f aca="false">SUM(O76:O77)</f>
        <v>172470.759155371</v>
      </c>
      <c r="P78" s="184" t="n">
        <f aca="false">SUM(P76:P77)</f>
        <v>186015.871684608</v>
      </c>
      <c r="Q78" s="184" t="n">
        <f aca="false">SUM(Q76:Q77)</f>
        <v>199560.984213845</v>
      </c>
      <c r="R78" s="184" t="n">
        <f aca="false">SUM(R76:R77)</f>
        <v>213106.096743083</v>
      </c>
      <c r="S78" s="184" t="n">
        <f aca="false">SUM(S76:S77)</f>
        <v>226651.20927232</v>
      </c>
      <c r="T78" s="184" t="n">
        <f aca="false">SUM(T76:T77)</f>
        <v>222099.032372224</v>
      </c>
      <c r="U78" s="184" t="n">
        <f aca="false">SUM(U76:U77)</f>
        <v>217546.855472128</v>
      </c>
      <c r="V78" s="184" t="n">
        <f aca="false">SUM(V76:V77)</f>
        <v>212994.678572032</v>
      </c>
      <c r="W78" s="184" t="n">
        <f aca="false">SUM(W76:W77)</f>
        <v>208442.501671936</v>
      </c>
      <c r="X78" s="184" t="n">
        <f aca="false">SUM(X76:X77)</f>
        <v>0</v>
      </c>
    </row>
    <row r="79" customFormat="false" ht="18.75" hidden="false" customHeight="true" outlineLevel="0" collapsed="false">
      <c r="B79" s="193" t="s">
        <v>68</v>
      </c>
      <c r="C79" s="196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2"/>
    </row>
    <row r="80" customFormat="false" ht="18.75" hidden="false" customHeight="true" outlineLevel="0" collapsed="false">
      <c r="B80" s="213" t="s">
        <v>74</v>
      </c>
      <c r="C80" s="214"/>
      <c r="D80" s="215"/>
      <c r="E80" s="215"/>
      <c r="F80" s="215"/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6"/>
    </row>
    <row r="81" customFormat="false" ht="18.75" hidden="false" customHeight="true" outlineLevel="0" collapsed="false">
      <c r="B81" s="202"/>
      <c r="C81" s="201"/>
      <c r="D81" s="201"/>
      <c r="E81" s="201"/>
      <c r="F81" s="202"/>
      <c r="G81" s="202"/>
      <c r="H81" s="202"/>
      <c r="I81" s="202"/>
      <c r="J81" s="202"/>
      <c r="K81" s="202"/>
      <c r="L81" s="202"/>
      <c r="M81" s="201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</row>
    <row r="82" customFormat="false" ht="18.75" hidden="false" customHeight="true" outlineLevel="0" collapsed="false">
      <c r="C82" s="217" t="s">
        <v>48</v>
      </c>
      <c r="D82" s="218" t="n">
        <f aca="false">D37</f>
        <v>2023</v>
      </c>
      <c r="E82" s="218" t="n">
        <f aca="false">E37</f>
        <v>2024</v>
      </c>
      <c r="F82" s="218" t="n">
        <f aca="false">F37</f>
        <v>2025</v>
      </c>
      <c r="G82" s="218" t="n">
        <f aca="false">G37</f>
        <v>2026</v>
      </c>
      <c r="H82" s="218" t="n">
        <f aca="false">H37</f>
        <v>2027</v>
      </c>
      <c r="I82" s="218" t="n">
        <f aca="false">I37</f>
        <v>2028</v>
      </c>
      <c r="J82" s="218" t="n">
        <f aca="false">J37</f>
        <v>2029</v>
      </c>
      <c r="K82" s="218" t="n">
        <f aca="false">K37</f>
        <v>2030</v>
      </c>
      <c r="L82" s="218" t="n">
        <f aca="false">L37</f>
        <v>2031</v>
      </c>
      <c r="M82" s="218" t="n">
        <f aca="false">M37</f>
        <v>2032</v>
      </c>
      <c r="N82" s="218" t="n">
        <f aca="false">N37</f>
        <v>2033</v>
      </c>
      <c r="O82" s="218" t="n">
        <f aca="false">O37</f>
        <v>2034</v>
      </c>
      <c r="P82" s="218" t="n">
        <f aca="false">P37</f>
        <v>2035</v>
      </c>
      <c r="Q82" s="218" t="n">
        <f aca="false">Q37</f>
        <v>2036</v>
      </c>
      <c r="R82" s="218" t="n">
        <f aca="false">R37</f>
        <v>2037</v>
      </c>
      <c r="S82" s="218" t="n">
        <f aca="false">S37</f>
        <v>2038</v>
      </c>
      <c r="T82" s="218" t="n">
        <f aca="false">T37</f>
        <v>2039</v>
      </c>
      <c r="U82" s="218" t="n">
        <f aca="false">U37</f>
        <v>2040</v>
      </c>
      <c r="V82" s="218" t="n">
        <f aca="false">V37</f>
        <v>2041</v>
      </c>
      <c r="W82" s="218" t="n">
        <f aca="false">W37</f>
        <v>2042</v>
      </c>
      <c r="X82" s="72"/>
    </row>
    <row r="83" customFormat="false" ht="18.75" hidden="false" customHeight="true" outlineLevel="0" collapsed="false">
      <c r="X83" s="203"/>
    </row>
    <row r="84" customFormat="false" ht="18.75" hidden="false" customHeight="true" outlineLevel="0" collapsed="false">
      <c r="B84" s="219" t="s">
        <v>51</v>
      </c>
      <c r="C84" s="219" t="n">
        <v>0</v>
      </c>
      <c r="D84" s="219" t="n">
        <v>1</v>
      </c>
      <c r="E84" s="219" t="n">
        <v>2</v>
      </c>
      <c r="F84" s="219" t="n">
        <v>3</v>
      </c>
      <c r="G84" s="219" t="n">
        <v>4</v>
      </c>
      <c r="H84" s="219" t="n">
        <v>5</v>
      </c>
      <c r="I84" s="219" t="n">
        <v>6</v>
      </c>
      <c r="J84" s="219" t="n">
        <v>7</v>
      </c>
      <c r="K84" s="219" t="n">
        <v>8</v>
      </c>
      <c r="L84" s="219" t="n">
        <v>9</v>
      </c>
      <c r="M84" s="219" t="n">
        <v>10</v>
      </c>
      <c r="N84" s="219" t="n">
        <v>11</v>
      </c>
      <c r="O84" s="219" t="n">
        <v>12</v>
      </c>
      <c r="P84" s="219" t="n">
        <v>13</v>
      </c>
      <c r="Q84" s="219" t="n">
        <v>14</v>
      </c>
      <c r="R84" s="219" t="n">
        <v>15</v>
      </c>
      <c r="S84" s="219" t="n">
        <v>16</v>
      </c>
      <c r="T84" s="219" t="n">
        <v>17</v>
      </c>
      <c r="U84" s="219" t="n">
        <v>18</v>
      </c>
      <c r="V84" s="219" t="n">
        <v>19</v>
      </c>
      <c r="W84" s="219" t="n">
        <v>20</v>
      </c>
      <c r="X84" s="103"/>
    </row>
    <row r="85" customFormat="false" ht="18.75" hidden="false" customHeight="true" outlineLevel="0" collapsed="false">
      <c r="B85" s="220" t="s">
        <v>76</v>
      </c>
      <c r="C85" s="220"/>
      <c r="D85" s="221" t="n">
        <f aca="false">D78</f>
        <v>471442.4282368</v>
      </c>
      <c r="E85" s="221" t="n">
        <f aca="false">E78</f>
        <v>2131.63386299714</v>
      </c>
      <c r="F85" s="221" t="n">
        <f aca="false">F78</f>
        <v>15676.7463922348</v>
      </c>
      <c r="G85" s="221" t="n">
        <f aca="false">G78</f>
        <v>29221.8589214721</v>
      </c>
      <c r="H85" s="221" t="n">
        <f aca="false">H78</f>
        <v>42766.9714507093</v>
      </c>
      <c r="I85" s="221" t="n">
        <f aca="false">I78</f>
        <v>56312.0839799465</v>
      </c>
      <c r="J85" s="221" t="n">
        <f aca="false">J78</f>
        <v>69857.1965091841</v>
      </c>
      <c r="K85" s="221" t="n">
        <f aca="false">K78</f>
        <v>83402.3090384213</v>
      </c>
      <c r="L85" s="221" t="n">
        <f aca="false">L78</f>
        <v>96947.4215676585</v>
      </c>
      <c r="M85" s="221" t="n">
        <f aca="false">M78</f>
        <v>110492.534096896</v>
      </c>
      <c r="N85" s="221" t="n">
        <f aca="false">N78</f>
        <v>158925.646626133</v>
      </c>
      <c r="O85" s="221" t="n">
        <f aca="false">O78</f>
        <v>172470.759155371</v>
      </c>
      <c r="P85" s="221" t="n">
        <f aca="false">P78</f>
        <v>186015.871684608</v>
      </c>
      <c r="Q85" s="221" t="n">
        <f aca="false">Q78</f>
        <v>199560.984213845</v>
      </c>
      <c r="R85" s="221" t="n">
        <f aca="false">R78</f>
        <v>213106.096743083</v>
      </c>
      <c r="S85" s="221" t="n">
        <f aca="false">S78</f>
        <v>226651.20927232</v>
      </c>
      <c r="T85" s="221" t="n">
        <f aca="false">T78</f>
        <v>222099.032372224</v>
      </c>
      <c r="U85" s="221" t="n">
        <f aca="false">U78</f>
        <v>217546.855472128</v>
      </c>
      <c r="V85" s="221" t="n">
        <f aca="false">V78</f>
        <v>212994.678572032</v>
      </c>
      <c r="W85" s="221" t="n">
        <f aca="false">W78</f>
        <v>208442.501671936</v>
      </c>
      <c r="X85" s="220"/>
      <c r="Y85" s="220"/>
    </row>
    <row r="86" customFormat="false" ht="15.75" hidden="false" customHeight="true" outlineLevel="0" collapsed="false">
      <c r="B86" s="220" t="s">
        <v>77</v>
      </c>
      <c r="C86" s="220"/>
      <c r="D86" s="222" t="n">
        <f aca="false">-D67</f>
        <v>828590</v>
      </c>
      <c r="E86" s="222" t="n">
        <f aca="false">-E67</f>
        <v>828590</v>
      </c>
      <c r="F86" s="222" t="n">
        <f aca="false">-F67</f>
        <v>828590</v>
      </c>
      <c r="G86" s="222" t="n">
        <f aca="false">-G67</f>
        <v>828590</v>
      </c>
      <c r="H86" s="222" t="n">
        <f aca="false">-H67</f>
        <v>828590</v>
      </c>
      <c r="I86" s="222" t="n">
        <f aca="false">-I67</f>
        <v>828590</v>
      </c>
      <c r="J86" s="222" t="n">
        <f aca="false">-J67</f>
        <v>828590</v>
      </c>
      <c r="K86" s="222" t="n">
        <f aca="false">-K67</f>
        <v>828590</v>
      </c>
      <c r="L86" s="222" t="n">
        <f aca="false">-L67</f>
        <v>828590</v>
      </c>
      <c r="M86" s="222" t="n">
        <f aca="false">-M67</f>
        <v>828590</v>
      </c>
      <c r="N86" s="222" t="n">
        <f aca="false">-N67</f>
        <v>828590</v>
      </c>
      <c r="O86" s="222" t="n">
        <f aca="false">-O67</f>
        <v>828590</v>
      </c>
      <c r="P86" s="222" t="n">
        <f aca="false">-P67</f>
        <v>828590</v>
      </c>
      <c r="Q86" s="222" t="n">
        <f aca="false">-Q67</f>
        <v>828590</v>
      </c>
      <c r="R86" s="222" t="n">
        <f aca="false">-R67</f>
        <v>828590</v>
      </c>
      <c r="S86" s="222" t="n">
        <f aca="false">-S67</f>
        <v>828590</v>
      </c>
      <c r="T86" s="222" t="n">
        <f aca="false">-T67</f>
        <v>828590</v>
      </c>
      <c r="U86" s="222" t="n">
        <f aca="false">-U67</f>
        <v>828590</v>
      </c>
      <c r="V86" s="222" t="n">
        <f aca="false">-V67</f>
        <v>828590</v>
      </c>
      <c r="W86" s="222" t="n">
        <f aca="false">-W67</f>
        <v>828590</v>
      </c>
      <c r="X86" s="223"/>
      <c r="Y86" s="223"/>
    </row>
    <row r="87" customFormat="false" ht="15.75" hidden="false" customHeight="true" outlineLevel="0" collapsed="false">
      <c r="B87" s="220" t="s">
        <v>78</v>
      </c>
      <c r="C87" s="220"/>
      <c r="D87" s="224" t="n">
        <f aca="false">SUM(D85:D86)</f>
        <v>1300032.4282368</v>
      </c>
      <c r="E87" s="224" t="n">
        <f aca="false">SUM(E85:E86)</f>
        <v>830721.633862997</v>
      </c>
      <c r="F87" s="224" t="n">
        <f aca="false">SUM(F85:F86)</f>
        <v>844266.746392235</v>
      </c>
      <c r="G87" s="224" t="n">
        <f aca="false">SUM(G85:G86)</f>
        <v>857811.858921472</v>
      </c>
      <c r="H87" s="224" t="n">
        <f aca="false">SUM(H85:H86)</f>
        <v>871356.971450709</v>
      </c>
      <c r="I87" s="224" t="n">
        <f aca="false">SUM(I85:I86)</f>
        <v>884902.083979947</v>
      </c>
      <c r="J87" s="224" t="n">
        <f aca="false">SUM(J85:J86)</f>
        <v>898447.196509184</v>
      </c>
      <c r="K87" s="224" t="n">
        <f aca="false">SUM(K85:K86)</f>
        <v>911992.309038421</v>
      </c>
      <c r="L87" s="224" t="n">
        <f aca="false">SUM(L85:L86)</f>
        <v>925537.421567659</v>
      </c>
      <c r="M87" s="224" t="n">
        <f aca="false">SUM(M85:M86)</f>
        <v>939082.534096896</v>
      </c>
      <c r="N87" s="224" t="n">
        <f aca="false">SUM(N85:N86)</f>
        <v>987515.646626133</v>
      </c>
      <c r="O87" s="224" t="n">
        <f aca="false">SUM(O85:O86)</f>
        <v>1001060.75915537</v>
      </c>
      <c r="P87" s="224" t="n">
        <f aca="false">SUM(P85:P86)</f>
        <v>1014605.87168461</v>
      </c>
      <c r="Q87" s="224" t="n">
        <f aca="false">SUM(Q85:Q86)</f>
        <v>1028150.98421385</v>
      </c>
      <c r="R87" s="224" t="n">
        <f aca="false">SUM(R85:R86)</f>
        <v>1041696.09674308</v>
      </c>
      <c r="S87" s="224" t="n">
        <f aca="false">SUM(S85:S86)</f>
        <v>1055241.20927232</v>
      </c>
      <c r="T87" s="224" t="n">
        <f aca="false">SUM(T85:T86)</f>
        <v>1050689.03237222</v>
      </c>
      <c r="U87" s="224" t="n">
        <f aca="false">SUM(U85:U86)</f>
        <v>1046136.85547213</v>
      </c>
      <c r="V87" s="224" t="n">
        <f aca="false">SUM(V85:V86)</f>
        <v>1041584.67857203</v>
      </c>
      <c r="W87" s="224" t="n">
        <f aca="false">SUM(W85:W86)</f>
        <v>1037032.50167194</v>
      </c>
      <c r="X87" s="192"/>
    </row>
    <row r="88" customFormat="false" ht="15.75" hidden="false" customHeight="true" outlineLevel="0" collapsed="false">
      <c r="B88" s="220"/>
      <c r="C88" s="220"/>
      <c r="D88" s="220"/>
      <c r="E88" s="220"/>
      <c r="F88" s="225"/>
      <c r="G88" s="225"/>
      <c r="H88" s="225"/>
      <c r="I88" s="225"/>
      <c r="J88" s="225"/>
      <c r="K88" s="225"/>
      <c r="L88" s="225"/>
      <c r="M88" s="225"/>
      <c r="N88" s="225"/>
      <c r="O88" s="225"/>
      <c r="P88" s="225"/>
      <c r="Q88" s="225"/>
      <c r="R88" s="225"/>
      <c r="S88" s="225"/>
      <c r="T88" s="225"/>
      <c r="U88" s="225"/>
      <c r="V88" s="225"/>
      <c r="W88" s="225"/>
      <c r="X88" s="191"/>
    </row>
    <row r="89" customFormat="false" ht="15.75" hidden="false" customHeight="true" outlineLevel="0" collapsed="false">
      <c r="B89" s="226" t="s">
        <v>79</v>
      </c>
      <c r="C89" s="227"/>
      <c r="D89" s="228" t="n">
        <f aca="false">C44</f>
        <v>-16571800</v>
      </c>
      <c r="E89" s="227"/>
      <c r="F89" s="227"/>
      <c r="G89" s="227"/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9"/>
    </row>
    <row r="90" customFormat="false" ht="15.75" hidden="false" customHeight="true" outlineLevel="0" collapsed="false">
      <c r="B90" s="220"/>
      <c r="C90" s="220"/>
      <c r="D90" s="220"/>
      <c r="E90" s="220"/>
      <c r="F90" s="225"/>
      <c r="G90" s="225"/>
      <c r="H90" s="225"/>
      <c r="I90" s="225"/>
      <c r="J90" s="225"/>
      <c r="K90" s="225"/>
      <c r="L90" s="225"/>
      <c r="M90" s="225"/>
      <c r="N90" s="225"/>
      <c r="O90" s="225"/>
      <c r="P90" s="225"/>
      <c r="Q90" s="225"/>
      <c r="R90" s="225"/>
      <c r="S90" s="225"/>
      <c r="T90" s="225"/>
      <c r="U90" s="225"/>
      <c r="V90" s="225"/>
      <c r="W90" s="225"/>
      <c r="X90" s="191"/>
    </row>
    <row r="91" customFormat="false" ht="15.75" hidden="false" customHeight="true" outlineLevel="0" collapsed="false">
      <c r="B91" s="220"/>
      <c r="C91" s="220"/>
      <c r="D91" s="220"/>
      <c r="E91" s="220"/>
      <c r="F91" s="225"/>
      <c r="G91" s="225"/>
      <c r="H91" s="225"/>
      <c r="I91" s="225"/>
      <c r="J91" s="225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191"/>
    </row>
    <row r="92" customFormat="false" ht="15.75" hidden="false" customHeight="true" outlineLevel="0" collapsed="false">
      <c r="B92" s="226" t="s">
        <v>80</v>
      </c>
      <c r="C92" s="227"/>
      <c r="D92" s="228" t="n">
        <f aca="false">-D89*D31</f>
        <v>13257440</v>
      </c>
      <c r="E92" s="227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191"/>
    </row>
    <row r="93" customFormat="false" ht="15.75" hidden="false" customHeight="true" outlineLevel="0" collapsed="false">
      <c r="B93" s="220" t="s">
        <v>81</v>
      </c>
      <c r="C93" s="220"/>
      <c r="D93" s="230"/>
      <c r="E93" s="230" t="n">
        <v>-883829.333333333</v>
      </c>
      <c r="F93" s="230" t="n">
        <v>-883829.333333333</v>
      </c>
      <c r="G93" s="230" t="n">
        <v>-883829.333333333</v>
      </c>
      <c r="H93" s="230" t="n">
        <v>-883829.333333333</v>
      </c>
      <c r="I93" s="230" t="n">
        <v>-883829.333333333</v>
      </c>
      <c r="J93" s="230" t="n">
        <v>-883829.333333333</v>
      </c>
      <c r="K93" s="230" t="n">
        <v>-883829.333333333</v>
      </c>
      <c r="L93" s="230" t="n">
        <v>-883829.333333333</v>
      </c>
      <c r="M93" s="230" t="n">
        <v>-883829.333333333</v>
      </c>
      <c r="N93" s="230" t="n">
        <v>-883829.333333333</v>
      </c>
      <c r="O93" s="230" t="n">
        <v>-883829.333333333</v>
      </c>
      <c r="P93" s="230" t="n">
        <v>-883829.333333333</v>
      </c>
      <c r="Q93" s="230" t="n">
        <v>-883829.333333333</v>
      </c>
      <c r="R93" s="230" t="n">
        <v>-883829.333333333</v>
      </c>
      <c r="S93" s="230" t="n">
        <v>-883829.333333333</v>
      </c>
      <c r="T93" s="230" t="n">
        <v>0</v>
      </c>
      <c r="U93" s="230" t="n">
        <v>0</v>
      </c>
      <c r="V93" s="230" t="n">
        <v>0</v>
      </c>
      <c r="W93" s="230" t="n">
        <v>0</v>
      </c>
      <c r="X93" s="229"/>
    </row>
    <row r="94" customFormat="false" ht="15.75" hidden="false" customHeight="true" outlineLevel="0" collapsed="false">
      <c r="B94" s="220" t="s">
        <v>82</v>
      </c>
      <c r="C94" s="225"/>
      <c r="D94" s="221" t="n">
        <f aca="false">-D89*(1-D31)</f>
        <v>3314360</v>
      </c>
      <c r="E94" s="225"/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192"/>
    </row>
    <row r="95" customFormat="false" ht="15.75" hidden="false" customHeight="true" outlineLevel="0" collapsed="false">
      <c r="B95" s="220" t="s">
        <v>45</v>
      </c>
      <c r="C95" s="225"/>
      <c r="D95" s="225"/>
      <c r="E95" s="231" t="n">
        <f aca="false">-D85*$D$33</f>
        <v>-424298.18541312</v>
      </c>
      <c r="F95" s="231" t="n">
        <f aca="false">-E85*$D$33</f>
        <v>-1918.47047669743</v>
      </c>
      <c r="G95" s="231" t="n">
        <f aca="false">-F85*$D$33</f>
        <v>-14109.0717530113</v>
      </c>
      <c r="H95" s="231" t="n">
        <f aca="false">-G85*$D$33</f>
        <v>-26299.6730293248</v>
      </c>
      <c r="I95" s="231" t="n">
        <f aca="false">-H85*$D$33</f>
        <v>-38490.2743056383</v>
      </c>
      <c r="J95" s="231" t="n">
        <f aca="false">-I85*$D$33</f>
        <v>-50680.8755819519</v>
      </c>
      <c r="K95" s="231" t="n">
        <f aca="false">-J85*$D$33</f>
        <v>-62871.4768582657</v>
      </c>
      <c r="L95" s="231" t="n">
        <f aca="false">-K85*$D$33</f>
        <v>-75062.0781345792</v>
      </c>
      <c r="M95" s="231" t="n">
        <f aca="false">-L85*$D$33</f>
        <v>-87252.6794108927</v>
      </c>
      <c r="N95" s="231" t="n">
        <f aca="false">-M85*$D$33</f>
        <v>-99443.2806872063</v>
      </c>
      <c r="O95" s="231" t="n">
        <f aca="false">-N85*$D$33</f>
        <v>-143033.08196352</v>
      </c>
      <c r="P95" s="231" t="n">
        <f aca="false">-O85*$D$33</f>
        <v>-155223.683239834</v>
      </c>
      <c r="Q95" s="231" t="n">
        <f aca="false">-P85*$D$33</f>
        <v>-167414.284516147</v>
      </c>
      <c r="R95" s="231" t="n">
        <f aca="false">-Q85*$D$33</f>
        <v>-179604.885792461</v>
      </c>
      <c r="S95" s="231" t="n">
        <f aca="false">-R85*$D$33</f>
        <v>-191795.487068774</v>
      </c>
      <c r="T95" s="231" t="n">
        <f aca="false">-S85*$D$33</f>
        <v>-203986.088345088</v>
      </c>
      <c r="U95" s="231" t="n">
        <f aca="false">-T85*$D$33</f>
        <v>-199889.129135001</v>
      </c>
      <c r="V95" s="231" t="n">
        <f aca="false">-U85*$D$33</f>
        <v>-195792.169924915</v>
      </c>
      <c r="W95" s="231" t="n">
        <f aca="false">-V85*$D$33</f>
        <v>-191695.210714829</v>
      </c>
      <c r="X95" s="231" t="n">
        <f aca="false">-W85*$D$33</f>
        <v>-187598.251504742</v>
      </c>
    </row>
    <row r="96" customFormat="false" ht="15.75" hidden="false" customHeight="true" outlineLevel="0" collapsed="false">
      <c r="B96" s="232" t="s">
        <v>47</v>
      </c>
      <c r="C96" s="233"/>
      <c r="D96" s="233" t="n">
        <v>0</v>
      </c>
      <c r="E96" s="234" t="n">
        <v>0</v>
      </c>
      <c r="F96" s="234" t="n">
        <v>0</v>
      </c>
      <c r="G96" s="234" t="n">
        <v>0</v>
      </c>
      <c r="H96" s="234" t="n">
        <v>0</v>
      </c>
      <c r="I96" s="234" t="n">
        <v>0</v>
      </c>
      <c r="J96" s="234" t="n">
        <v>0</v>
      </c>
      <c r="K96" s="234" t="n">
        <v>0</v>
      </c>
      <c r="L96" s="234" t="n">
        <v>0</v>
      </c>
      <c r="M96" s="234" t="n">
        <v>0</v>
      </c>
      <c r="N96" s="234" t="n">
        <v>0</v>
      </c>
      <c r="O96" s="234" t="n">
        <v>0</v>
      </c>
      <c r="P96" s="234" t="n">
        <v>0</v>
      </c>
      <c r="Q96" s="234" t="n">
        <v>0</v>
      </c>
      <c r="R96" s="234" t="n">
        <v>0</v>
      </c>
      <c r="S96" s="234" t="n">
        <v>0</v>
      </c>
      <c r="T96" s="234" t="n">
        <v>-828590</v>
      </c>
      <c r="U96" s="234" t="n">
        <v>-828590</v>
      </c>
      <c r="V96" s="234" t="n">
        <v>-828590</v>
      </c>
      <c r="W96" s="234" t="n">
        <v>-828590</v>
      </c>
      <c r="X96" s="235" t="n">
        <f aca="false">-W101-X95</f>
        <v>-299606.481983998</v>
      </c>
    </row>
    <row r="97" customFormat="false" ht="15.75" hidden="false" customHeight="true" outlineLevel="0" collapsed="false">
      <c r="B97" s="225"/>
      <c r="C97" s="225"/>
      <c r="D97" s="225"/>
      <c r="E97" s="225"/>
      <c r="F97" s="22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192"/>
    </row>
    <row r="98" customFormat="false" ht="15.75" hidden="false" customHeight="true" outlineLevel="0" collapsed="false">
      <c r="B98" s="225"/>
      <c r="C98" s="225"/>
      <c r="D98" s="225"/>
      <c r="E98" s="225"/>
      <c r="F98" s="22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192"/>
    </row>
    <row r="99" customFormat="false" ht="15.75" hidden="false" customHeight="true" outlineLevel="0" collapsed="false">
      <c r="B99" s="220" t="s">
        <v>83</v>
      </c>
      <c r="C99" s="221" t="n">
        <v>0</v>
      </c>
      <c r="D99" s="221" t="n">
        <f aca="false">SUM(D87:D96)</f>
        <v>1300032.4282368</v>
      </c>
      <c r="E99" s="221" t="n">
        <f aca="false">SUM(E87:E96)</f>
        <v>-477405.884883456</v>
      </c>
      <c r="F99" s="221" t="n">
        <f aca="false">SUM(F87:F96)</f>
        <v>-41481.057417796</v>
      </c>
      <c r="G99" s="221" t="n">
        <f aca="false">SUM(G87:G96)</f>
        <v>-40126.5461648726</v>
      </c>
      <c r="H99" s="221" t="n">
        <f aca="false">SUM(H87:H96)</f>
        <v>-38772.034911949</v>
      </c>
      <c r="I99" s="221" t="n">
        <f aca="false">SUM(I87:I96)</f>
        <v>-37417.5236590251</v>
      </c>
      <c r="J99" s="221" t="n">
        <f aca="false">SUM(J87:J96)</f>
        <v>-36063.0124061012</v>
      </c>
      <c r="K99" s="221" t="n">
        <f aca="false">SUM(K87:K96)</f>
        <v>-34708.5011531778</v>
      </c>
      <c r="L99" s="221" t="n">
        <f aca="false">SUM(L87:L96)</f>
        <v>-33353.989900254</v>
      </c>
      <c r="M99" s="221" t="n">
        <f aca="false">SUM(M87:M96)</f>
        <v>-31999.4786473301</v>
      </c>
      <c r="N99" s="221" t="n">
        <f aca="false">SUM(N87:N96)</f>
        <v>4243.03260559353</v>
      </c>
      <c r="O99" s="221" t="n">
        <f aca="false">SUM(O87:O96)</f>
        <v>-25801.6561414828</v>
      </c>
      <c r="P99" s="221" t="n">
        <f aca="false">SUM(P87:P96)</f>
        <v>-24447.144888559</v>
      </c>
      <c r="Q99" s="221" t="n">
        <f aca="false">SUM(Q87:Q96)</f>
        <v>-23092.6336356353</v>
      </c>
      <c r="R99" s="221" t="n">
        <f aca="false">SUM(R87:R96)</f>
        <v>-21738.1223827114</v>
      </c>
      <c r="S99" s="221" t="n">
        <f aca="false">SUM(S87:S96)</f>
        <v>-20383.6111297878</v>
      </c>
      <c r="T99" s="221" t="n">
        <f aca="false">SUM(T87:T96)</f>
        <v>18112.9440271357</v>
      </c>
      <c r="U99" s="221" t="n">
        <f aca="false">SUM(U87:U96)</f>
        <v>17657.7263371266</v>
      </c>
      <c r="V99" s="221" t="n">
        <f aca="false">SUM(V87:V96)</f>
        <v>17202.5086471166</v>
      </c>
      <c r="W99" s="221" t="n">
        <f aca="false">SUM(W87:W96)</f>
        <v>16747.2909571073</v>
      </c>
      <c r="X99" s="192"/>
    </row>
    <row r="100" customFormat="false" ht="15.75" hidden="false" customHeight="true" outlineLevel="0" collapsed="false">
      <c r="B100" s="220" t="s">
        <v>84</v>
      </c>
      <c r="C100" s="221" t="n">
        <v>0</v>
      </c>
      <c r="D100" s="221" t="n">
        <f aca="false">C101</f>
        <v>0</v>
      </c>
      <c r="E100" s="221" t="n">
        <f aca="false">D101</f>
        <v>1300032.4282368</v>
      </c>
      <c r="F100" s="221" t="n">
        <f aca="false">E101</f>
        <v>822626.543353343</v>
      </c>
      <c r="G100" s="221" t="n">
        <f aca="false">F101</f>
        <v>781145.485935547</v>
      </c>
      <c r="H100" s="221" t="n">
        <f aca="false">G101</f>
        <v>741018.939770674</v>
      </c>
      <c r="I100" s="221" t="n">
        <f aca="false">H101</f>
        <v>702246.904858725</v>
      </c>
      <c r="J100" s="221" t="n">
        <f aca="false">I101</f>
        <v>664829.3811997</v>
      </c>
      <c r="K100" s="221" t="n">
        <f aca="false">J101</f>
        <v>628766.368793599</v>
      </c>
      <c r="L100" s="221" t="n">
        <f aca="false">K101</f>
        <v>594057.867640421</v>
      </c>
      <c r="M100" s="221" t="n">
        <f aca="false">L101</f>
        <v>560703.877740167</v>
      </c>
      <c r="N100" s="221" t="n">
        <f aca="false">M101</f>
        <v>528704.399092837</v>
      </c>
      <c r="O100" s="221" t="n">
        <f aca="false">N101</f>
        <v>532947.431698431</v>
      </c>
      <c r="P100" s="221" t="n">
        <f aca="false">O101</f>
        <v>507145.775556948</v>
      </c>
      <c r="Q100" s="221" t="n">
        <f aca="false">P101</f>
        <v>482698.630668389</v>
      </c>
      <c r="R100" s="221" t="n">
        <f aca="false">Q101</f>
        <v>459605.997032754</v>
      </c>
      <c r="S100" s="221" t="n">
        <f aca="false">R101</f>
        <v>437867.874650042</v>
      </c>
      <c r="T100" s="221" t="n">
        <f aca="false">S101</f>
        <v>417484.263520255</v>
      </c>
      <c r="U100" s="221" t="n">
        <f aca="false">T101</f>
        <v>435597.20754739</v>
      </c>
      <c r="V100" s="221" t="n">
        <f aca="false">U101</f>
        <v>453254.933884517</v>
      </c>
      <c r="W100" s="221" t="n">
        <f aca="false">V101</f>
        <v>470457.442531633</v>
      </c>
      <c r="X100" s="191"/>
    </row>
    <row r="101" customFormat="false" ht="15.75" hidden="false" customHeight="true" outlineLevel="0" collapsed="false">
      <c r="B101" s="220" t="s">
        <v>85</v>
      </c>
      <c r="C101" s="221" t="n">
        <v>0</v>
      </c>
      <c r="D101" s="221" t="n">
        <f aca="false">D99+D100</f>
        <v>1300032.4282368</v>
      </c>
      <c r="E101" s="221" t="n">
        <f aca="false">E99+E100</f>
        <v>822626.543353343</v>
      </c>
      <c r="F101" s="221" t="n">
        <f aca="false">F99+F100</f>
        <v>781145.485935547</v>
      </c>
      <c r="G101" s="221" t="n">
        <f aca="false">G99+G100</f>
        <v>741018.939770674</v>
      </c>
      <c r="H101" s="221" t="n">
        <f aca="false">H99+H100</f>
        <v>702246.904858725</v>
      </c>
      <c r="I101" s="221" t="n">
        <f aca="false">I99+I100</f>
        <v>664829.3811997</v>
      </c>
      <c r="J101" s="221" t="n">
        <f aca="false">J99+J100</f>
        <v>628766.368793599</v>
      </c>
      <c r="K101" s="221" t="n">
        <f aca="false">K99+K100</f>
        <v>594057.867640421</v>
      </c>
      <c r="L101" s="221" t="n">
        <f aca="false">L99+L100</f>
        <v>560703.877740167</v>
      </c>
      <c r="M101" s="221" t="n">
        <f aca="false">M99+M100</f>
        <v>528704.399092837</v>
      </c>
      <c r="N101" s="221" t="n">
        <f aca="false">N99+N100</f>
        <v>532947.431698431</v>
      </c>
      <c r="O101" s="221" t="n">
        <f aca="false">O99+O100</f>
        <v>507145.775556948</v>
      </c>
      <c r="P101" s="221" t="n">
        <f aca="false">P99+P100</f>
        <v>482698.630668389</v>
      </c>
      <c r="Q101" s="221" t="n">
        <f aca="false">Q99+Q100</f>
        <v>459605.997032754</v>
      </c>
      <c r="R101" s="221" t="n">
        <f aca="false">R99+R100</f>
        <v>437867.874650042</v>
      </c>
      <c r="S101" s="221" t="n">
        <f aca="false">S99+S100</f>
        <v>417484.263520255</v>
      </c>
      <c r="T101" s="221" t="n">
        <f aca="false">T99+T100</f>
        <v>435597.20754739</v>
      </c>
      <c r="U101" s="221" t="n">
        <f aca="false">U99+U100</f>
        <v>453254.933884517</v>
      </c>
      <c r="V101" s="221" t="n">
        <f aca="false">V99+V100</f>
        <v>470457.442531633</v>
      </c>
      <c r="W101" s="221" t="n">
        <f aca="false">W99+W100</f>
        <v>487204.733488741</v>
      </c>
      <c r="X101" s="191"/>
    </row>
    <row r="102" customFormat="false" ht="15.75" hidden="false" customHeight="true" outlineLevel="0" collapsed="false"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</row>
    <row r="103" customFormat="false" ht="15.75" hidden="false" customHeight="true" outlineLevel="0" collapsed="false">
      <c r="B103" s="220"/>
      <c r="C103" s="220"/>
      <c r="D103" s="220"/>
      <c r="E103" s="220"/>
      <c r="F103" s="225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</row>
    <row r="104" customFormat="false" ht="15.75" hidden="false" customHeight="true" outlineLevel="0" collapsed="false">
      <c r="B104" s="236" t="s">
        <v>86</v>
      </c>
      <c r="C104" s="237"/>
      <c r="D104" s="238" t="n">
        <f aca="false">-D94</f>
        <v>-3314360</v>
      </c>
      <c r="E104" s="224" t="n">
        <f aca="false">-E95-E96</f>
        <v>424298.18541312</v>
      </c>
      <c r="F104" s="224" t="n">
        <f aca="false">-F95-F96</f>
        <v>1918.47047669743</v>
      </c>
      <c r="G104" s="224" t="n">
        <f aca="false">-G95-G96</f>
        <v>14109.0717530113</v>
      </c>
      <c r="H104" s="224" t="n">
        <f aca="false">-H95-H96</f>
        <v>26299.6730293248</v>
      </c>
      <c r="I104" s="224" t="n">
        <f aca="false">-I95-I96</f>
        <v>38490.2743056383</v>
      </c>
      <c r="J104" s="224" t="n">
        <f aca="false">-J95-J96</f>
        <v>50680.8755819519</v>
      </c>
      <c r="K104" s="224" t="n">
        <f aca="false">-K95-K96</f>
        <v>62871.4768582657</v>
      </c>
      <c r="L104" s="224" t="n">
        <f aca="false">-L95-L96</f>
        <v>75062.0781345792</v>
      </c>
      <c r="M104" s="224" t="n">
        <f aca="false">-M95-M96</f>
        <v>87252.6794108927</v>
      </c>
      <c r="N104" s="224" t="n">
        <f aca="false">-N95-N96</f>
        <v>99443.2806872063</v>
      </c>
      <c r="O104" s="224" t="n">
        <f aca="false">-O95-O96</f>
        <v>143033.08196352</v>
      </c>
      <c r="P104" s="224" t="n">
        <f aca="false">-P95-P96</f>
        <v>155223.683239834</v>
      </c>
      <c r="Q104" s="224" t="n">
        <f aca="false">-Q95-Q96</f>
        <v>167414.284516147</v>
      </c>
      <c r="R104" s="224" t="n">
        <f aca="false">-R95-R96</f>
        <v>179604.885792461</v>
      </c>
      <c r="S104" s="224" t="n">
        <f aca="false">-S95-S96</f>
        <v>191795.487068774</v>
      </c>
      <c r="T104" s="224" t="n">
        <f aca="false">-T95-T96</f>
        <v>1032576.08834509</v>
      </c>
      <c r="U104" s="224" t="n">
        <f aca="false">-U95-U96</f>
        <v>1028479.129135</v>
      </c>
      <c r="V104" s="224" t="n">
        <f aca="false">-V95-V96</f>
        <v>1024382.16992492</v>
      </c>
      <c r="W104" s="224" t="n">
        <f aca="false">-W95-W96</f>
        <v>1020285.21071483</v>
      </c>
      <c r="X104" s="224" t="n">
        <f aca="false">-X95-X96</f>
        <v>487204.733488741</v>
      </c>
    </row>
    <row r="105" customFormat="false" ht="15.75" hidden="false" customHeight="true" outlineLevel="0" collapsed="false">
      <c r="B105" s="220" t="s">
        <v>87</v>
      </c>
      <c r="C105" s="239" t="n">
        <f aca="false">IRR(D104:X104)</f>
        <v>0.0448818930298181</v>
      </c>
      <c r="D105" s="225"/>
      <c r="E105" s="225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</row>
    <row r="106" customFormat="false" ht="15.75" hidden="false" customHeight="true" outlineLevel="0" collapsed="false">
      <c r="B106" s="236" t="s">
        <v>88</v>
      </c>
      <c r="C106" s="237"/>
      <c r="D106" s="238" t="n">
        <f aca="false">D85-D94</f>
        <v>-2842917.5717632</v>
      </c>
      <c r="E106" s="224" t="n">
        <f aca="false">E85</f>
        <v>2131.63386299714</v>
      </c>
      <c r="F106" s="224" t="n">
        <f aca="false">F85-F96</f>
        <v>15676.7463922348</v>
      </c>
      <c r="G106" s="224" t="n">
        <f aca="false">G85-G96</f>
        <v>29221.8589214721</v>
      </c>
      <c r="H106" s="224" t="n">
        <f aca="false">H85-H96</f>
        <v>42766.9714507093</v>
      </c>
      <c r="I106" s="224" t="n">
        <f aca="false">I85-I96</f>
        <v>56312.0839799465</v>
      </c>
      <c r="J106" s="224" t="n">
        <f aca="false">J85-J96</f>
        <v>69857.1965091841</v>
      </c>
      <c r="K106" s="224" t="n">
        <f aca="false">K85-K96</f>
        <v>83402.3090384213</v>
      </c>
      <c r="L106" s="224" t="n">
        <f aca="false">L85-L96</f>
        <v>96947.4215676585</v>
      </c>
      <c r="M106" s="224" t="n">
        <f aca="false">M85-M96</f>
        <v>110492.534096896</v>
      </c>
      <c r="N106" s="224" t="n">
        <f aca="false">N85-N96</f>
        <v>158925.646626133</v>
      </c>
      <c r="O106" s="224" t="n">
        <f aca="false">O85-O96</f>
        <v>172470.759155371</v>
      </c>
      <c r="P106" s="224" t="n">
        <f aca="false">P85-P96</f>
        <v>186015.871684608</v>
      </c>
      <c r="Q106" s="224" t="n">
        <f aca="false">Q85-Q96</f>
        <v>199560.984213845</v>
      </c>
      <c r="R106" s="224" t="n">
        <f aca="false">R85-R96</f>
        <v>213106.096743083</v>
      </c>
      <c r="S106" s="224" t="n">
        <f aca="false">S85-S96</f>
        <v>226651.20927232</v>
      </c>
      <c r="T106" s="224" t="n">
        <f aca="false">T85-T96</f>
        <v>1050689.03237222</v>
      </c>
      <c r="U106" s="224" t="n">
        <f aca="false">U85-U96</f>
        <v>1046136.85547213</v>
      </c>
      <c r="V106" s="224" t="n">
        <f aca="false">V85-V96</f>
        <v>1041584.67857203</v>
      </c>
      <c r="W106" s="224" t="n">
        <f aca="false">W85-W96</f>
        <v>1037032.50167194</v>
      </c>
      <c r="X106" s="229"/>
    </row>
    <row r="107" customFormat="false" ht="15.75" hidden="false" customHeight="true" outlineLevel="0" collapsed="false">
      <c r="B107" s="236" t="s">
        <v>89</v>
      </c>
      <c r="C107" s="239" t="n">
        <f aca="false">IRR(D106:W106)</f>
        <v>0.0482819488426896</v>
      </c>
      <c r="D107" s="225"/>
      <c r="E107" s="225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</row>
    <row r="108" customFormat="false" ht="15.75" hidden="false" customHeight="true" outlineLevel="0" collapsed="false"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</row>
    <row r="109" customFormat="false" ht="15.75" hidden="false" customHeight="true" outlineLevel="0" collapsed="false">
      <c r="B109" s="220" t="s">
        <v>90</v>
      </c>
      <c r="C109" s="221" t="n">
        <v>0</v>
      </c>
      <c r="D109" s="221" t="n">
        <f aca="false">D92</f>
        <v>13257440</v>
      </c>
      <c r="E109" s="221" t="n">
        <f aca="false">D109+E93</f>
        <v>12373610.6666667</v>
      </c>
      <c r="F109" s="221" t="n">
        <f aca="false">E109+F93</f>
        <v>11489781.3333333</v>
      </c>
      <c r="G109" s="221" t="n">
        <f aca="false">F109+G93</f>
        <v>10605952</v>
      </c>
      <c r="H109" s="221" t="n">
        <f aca="false">G109+H93</f>
        <v>9722122.66666666</v>
      </c>
      <c r="I109" s="221" t="n">
        <f aca="false">H109+I93</f>
        <v>8838293.33333333</v>
      </c>
      <c r="J109" s="221" t="n">
        <f aca="false">I109+J93</f>
        <v>7954464</v>
      </c>
      <c r="K109" s="221" t="n">
        <f aca="false">J109+K93</f>
        <v>7070634.66666666</v>
      </c>
      <c r="L109" s="221" t="n">
        <f aca="false">K109+L93</f>
        <v>6186805.33333333</v>
      </c>
      <c r="M109" s="221" t="n">
        <f aca="false">L109+M93</f>
        <v>5302976</v>
      </c>
      <c r="N109" s="221" t="n">
        <f aca="false">M109+N93</f>
        <v>4419146.66666667</v>
      </c>
      <c r="O109" s="221" t="n">
        <f aca="false">N109+O93</f>
        <v>3535317.33333333</v>
      </c>
      <c r="P109" s="221" t="n">
        <f aca="false">O109+P93</f>
        <v>2651488</v>
      </c>
      <c r="Q109" s="221" t="n">
        <f aca="false">P109+Q93</f>
        <v>1767658.66666666</v>
      </c>
      <c r="R109" s="221" t="n">
        <f aca="false">Q109+R93</f>
        <v>883829.333333331</v>
      </c>
      <c r="S109" s="221" t="n">
        <f aca="false">R109+S93</f>
        <v>0</v>
      </c>
      <c r="T109" s="221" t="n">
        <f aca="false">S109+T93</f>
        <v>0</v>
      </c>
      <c r="U109" s="221" t="n">
        <f aca="false">T109+U93</f>
        <v>0</v>
      </c>
      <c r="V109" s="221" t="n">
        <f aca="false">U109+V93</f>
        <v>0</v>
      </c>
      <c r="W109" s="221" t="n">
        <f aca="false">V109+W93</f>
        <v>0</v>
      </c>
      <c r="X109" s="2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2" t="s">
        <v>0</v>
      </c>
      <c r="C1" s="124"/>
      <c r="D1" s="124"/>
      <c r="E1" s="125"/>
      <c r="F1" s="126" t="s">
        <v>108</v>
      </c>
      <c r="P1" s="127" t="n">
        <f aca="false">1-D11</f>
        <v>0.99</v>
      </c>
      <c r="Q1" s="127" t="n">
        <f aca="false">P1-$D12</f>
        <v>0.986</v>
      </c>
      <c r="R1" s="127" t="n">
        <f aca="false">Q1-$D12</f>
        <v>0.982</v>
      </c>
      <c r="S1" s="127" t="n">
        <f aca="false">R1-$D12</f>
        <v>0.978</v>
      </c>
      <c r="T1" s="127" t="n">
        <f aca="false">S1-$D12</f>
        <v>0.974</v>
      </c>
      <c r="U1" s="127" t="n">
        <f aca="false">T1-$D12</f>
        <v>0.97</v>
      </c>
      <c r="V1" s="127" t="n">
        <f aca="false">U1-$D12</f>
        <v>0.966</v>
      </c>
      <c r="W1" s="127" t="n">
        <f aca="false">V1-$D12</f>
        <v>0.962</v>
      </c>
      <c r="X1" s="127" t="n">
        <f aca="false">W1-$D12</f>
        <v>0.958</v>
      </c>
      <c r="Y1" s="127" t="n">
        <f aca="false">X1-$D12</f>
        <v>0.954</v>
      </c>
      <c r="Z1" s="127" t="n">
        <f aca="false">Y1-$D12</f>
        <v>0.95</v>
      </c>
      <c r="AA1" s="127" t="n">
        <f aca="false">Z1-$D12</f>
        <v>0.946</v>
      </c>
      <c r="AB1" s="127" t="n">
        <f aca="false">AA1-$D12</f>
        <v>0.942</v>
      </c>
      <c r="AC1" s="127" t="n">
        <f aca="false">AB1-$D12</f>
        <v>0.938</v>
      </c>
      <c r="AD1" s="127" t="n">
        <f aca="false">AC1-$D12</f>
        <v>0.934</v>
      </c>
      <c r="AE1" s="127" t="n">
        <f aca="false">AD1-$D12</f>
        <v>0.93</v>
      </c>
      <c r="AF1" s="127" t="n">
        <f aca="false">AE1-$D12</f>
        <v>0.926</v>
      </c>
      <c r="AG1" s="127" t="n">
        <f aca="false">AF1-$D12</f>
        <v>0.922</v>
      </c>
      <c r="AH1" s="127" t="n">
        <f aca="false">AG1-$D12</f>
        <v>0.918</v>
      </c>
      <c r="AI1" s="127" t="n">
        <f aca="false">AH1-$D12</f>
        <v>0.914</v>
      </c>
    </row>
    <row r="2" customFormat="false" ht="21.75" hidden="false" customHeight="true" outlineLevel="0" collapsed="false">
      <c r="B2" s="5" t="s">
        <v>1</v>
      </c>
      <c r="C2" s="128" t="s">
        <v>109</v>
      </c>
      <c r="D2" s="6" t="s">
        <v>3</v>
      </c>
      <c r="E2" s="129" t="s">
        <v>3</v>
      </c>
      <c r="F2" s="130" t="s">
        <v>110</v>
      </c>
    </row>
    <row r="3" customFormat="false" ht="21.75" hidden="false" customHeight="true" outlineLevel="0" collapsed="false">
      <c r="B3" s="32" t="s">
        <v>4</v>
      </c>
      <c r="C3" s="131" t="n">
        <v>20</v>
      </c>
      <c r="D3" s="9" t="s">
        <v>3</v>
      </c>
      <c r="E3" s="132" t="s">
        <v>3</v>
      </c>
      <c r="F3" s="133" t="s">
        <v>111</v>
      </c>
    </row>
    <row r="4" customFormat="false" ht="21.75" hidden="false" customHeight="true" outlineLevel="0" collapsed="false">
      <c r="B4" s="32" t="s">
        <v>112</v>
      </c>
      <c r="C4" s="131" t="n">
        <v>436.1</v>
      </c>
      <c r="D4" s="9" t="s">
        <v>3</v>
      </c>
      <c r="E4" s="132" t="s">
        <v>3</v>
      </c>
      <c r="F4" s="133" t="s">
        <v>113</v>
      </c>
      <c r="M4" s="0" t="s">
        <v>183</v>
      </c>
    </row>
    <row r="5" customFormat="false" ht="22.5" hidden="false" customHeight="true" outlineLevel="0" collapsed="false">
      <c r="B5" s="10" t="s">
        <v>6</v>
      </c>
      <c r="C5" s="131" t="n">
        <v>2023</v>
      </c>
      <c r="D5" s="10" t="s">
        <v>7</v>
      </c>
      <c r="E5" s="134" t="n">
        <v>2042</v>
      </c>
      <c r="F5" s="133" t="s">
        <v>115</v>
      </c>
      <c r="M5" s="0" t="s">
        <v>184</v>
      </c>
    </row>
    <row r="6" customFormat="false" ht="20.25" hidden="false" customHeight="true" outlineLevel="0" collapsed="false">
      <c r="B6" s="11"/>
      <c r="C6" s="11"/>
      <c r="D6" s="11"/>
      <c r="E6" s="11"/>
      <c r="M6" s="0" t="s">
        <v>185</v>
      </c>
    </row>
    <row r="7" customFormat="false" ht="22.5" hidden="false" customHeight="true" outlineLevel="0" collapsed="false">
      <c r="B7" s="12" t="s">
        <v>8</v>
      </c>
      <c r="C7" s="124"/>
      <c r="D7" s="124"/>
      <c r="E7" s="125"/>
      <c r="M7" s="0" t="s">
        <v>186</v>
      </c>
    </row>
    <row r="8" customFormat="false" ht="22.5" hidden="false" customHeight="true" outlineLevel="0" collapsed="false">
      <c r="B8" s="13" t="s">
        <v>9</v>
      </c>
      <c r="E8" s="135"/>
      <c r="M8" s="0" t="s">
        <v>187</v>
      </c>
    </row>
    <row r="9" customFormat="false" ht="22.5" hidden="false" customHeight="true" outlineLevel="0" collapsed="false">
      <c r="B9" s="14" t="s">
        <v>10</v>
      </c>
      <c r="C9" s="15" t="s">
        <v>11</v>
      </c>
      <c r="D9" s="15" t="s">
        <v>12</v>
      </c>
      <c r="E9" s="136" t="s">
        <v>13</v>
      </c>
      <c r="F9" s="126" t="s">
        <v>108</v>
      </c>
      <c r="M9" s="0" t="s">
        <v>120</v>
      </c>
    </row>
    <row r="10" customFormat="false" ht="30" hidden="false" customHeight="true" outlineLevel="0" collapsed="false">
      <c r="B10" s="17" t="s">
        <v>14</v>
      </c>
      <c r="C10" s="18" t="s">
        <v>121</v>
      </c>
      <c r="D10" s="137" t="n">
        <v>547002</v>
      </c>
      <c r="E10" s="138" t="n">
        <v>20</v>
      </c>
      <c r="F10" s="133" t="s">
        <v>122</v>
      </c>
      <c r="M10" s="0" t="s">
        <v>104</v>
      </c>
    </row>
    <row r="11" customFormat="false" ht="30" hidden="false" customHeight="true" outlineLevel="0" collapsed="false">
      <c r="B11" s="139"/>
      <c r="C11" s="10" t="s">
        <v>16</v>
      </c>
      <c r="D11" s="140" t="n">
        <v>0.01</v>
      </c>
      <c r="E11" s="141"/>
      <c r="F11" s="133" t="s">
        <v>124</v>
      </c>
    </row>
    <row r="12" customFormat="false" ht="30" hidden="false" customHeight="true" outlineLevel="0" collapsed="false">
      <c r="B12" s="139"/>
      <c r="C12" s="10" t="s">
        <v>17</v>
      </c>
      <c r="D12" s="142" t="n">
        <v>0.004</v>
      </c>
      <c r="E12" s="141"/>
      <c r="F12" s="133" t="s">
        <v>125</v>
      </c>
    </row>
    <row r="13" customFormat="false" ht="22.5" hidden="false" customHeight="true" outlineLevel="0" collapsed="false">
      <c r="B13" s="139"/>
      <c r="C13" s="21" t="s">
        <v>126</v>
      </c>
      <c r="D13" s="143" t="n">
        <v>3.7152</v>
      </c>
      <c r="E13" s="141"/>
      <c r="F13" s="133" t="s">
        <v>127</v>
      </c>
    </row>
    <row r="14" customFormat="false" ht="22.5" hidden="false" customHeight="true" outlineLevel="0" collapsed="false">
      <c r="B14" s="22" t="s">
        <v>19</v>
      </c>
      <c r="C14" s="124"/>
      <c r="D14" s="124"/>
      <c r="E14" s="125"/>
    </row>
    <row r="15" customFormat="false" ht="22.5" hidden="false" customHeight="true" outlineLevel="0" collapsed="false">
      <c r="B15" s="14" t="s">
        <v>10</v>
      </c>
      <c r="C15" s="15" t="s">
        <v>11</v>
      </c>
      <c r="D15" s="15" t="s">
        <v>12</v>
      </c>
      <c r="E15" s="136" t="s">
        <v>20</v>
      </c>
      <c r="F15" s="126" t="s">
        <v>108</v>
      </c>
    </row>
    <row r="16" customFormat="false" ht="21.75" hidden="false" customHeight="true" outlineLevel="0" collapsed="false">
      <c r="B16" s="18" t="s">
        <v>128</v>
      </c>
      <c r="C16" s="18" t="s">
        <v>129</v>
      </c>
      <c r="D16" s="144" t="n">
        <v>26000</v>
      </c>
      <c r="E16" s="129" t="n">
        <v>20</v>
      </c>
      <c r="F16" s="133" t="s">
        <v>130</v>
      </c>
    </row>
    <row r="17" customFormat="false" ht="21.75" hidden="false" customHeight="true" outlineLevel="0" collapsed="false">
      <c r="B17" s="139"/>
      <c r="C17" s="10" t="s">
        <v>131</v>
      </c>
      <c r="D17" s="145" t="n">
        <v>0.2</v>
      </c>
      <c r="E17" s="141"/>
      <c r="F17" s="133" t="s">
        <v>132</v>
      </c>
    </row>
    <row r="18" customFormat="false" ht="21.75" hidden="false" customHeight="true" outlineLevel="0" collapsed="false">
      <c r="B18" s="146"/>
      <c r="C18" s="10" t="s">
        <v>24</v>
      </c>
      <c r="D18" s="147" t="n">
        <v>3000</v>
      </c>
      <c r="E18" s="148"/>
      <c r="F18" s="133" t="s">
        <v>133</v>
      </c>
    </row>
    <row r="19" customFormat="false" ht="54" hidden="false" customHeight="true" outlineLevel="0" collapsed="false">
      <c r="B19" s="10" t="s">
        <v>25</v>
      </c>
      <c r="C19" s="149" t="s">
        <v>134</v>
      </c>
      <c r="D19" s="145" t="n">
        <v>2</v>
      </c>
      <c r="E19" s="129" t="n">
        <v>20</v>
      </c>
      <c r="F19" s="133" t="s">
        <v>135</v>
      </c>
    </row>
    <row r="20" customFormat="false" ht="20.25" hidden="false" customHeight="true" outlineLevel="0" collapsed="false">
      <c r="B20" s="139"/>
      <c r="C20" s="26" t="s">
        <v>136</v>
      </c>
      <c r="D20" s="147" t="n">
        <v>0</v>
      </c>
      <c r="E20" s="129" t="n">
        <v>20</v>
      </c>
      <c r="F20" s="133" t="s">
        <v>137</v>
      </c>
    </row>
    <row r="21" customFormat="false" ht="30" hidden="false" customHeight="true" outlineLevel="0" collapsed="false">
      <c r="B21" s="146"/>
      <c r="C21" s="10" t="s">
        <v>138</v>
      </c>
      <c r="D21" s="145" t="n">
        <v>0.3</v>
      </c>
      <c r="E21" s="132" t="n">
        <v>20</v>
      </c>
      <c r="F21" s="133" t="s">
        <v>139</v>
      </c>
    </row>
    <row r="22" customFormat="false" ht="30" hidden="false" customHeight="true" outlineLevel="0" collapsed="false">
      <c r="B22" s="10" t="s">
        <v>29</v>
      </c>
      <c r="C22" s="10" t="s">
        <v>140</v>
      </c>
      <c r="D22" s="150" t="n">
        <v>400</v>
      </c>
      <c r="E22" s="132" t="n">
        <v>20</v>
      </c>
      <c r="F22" s="133" t="s">
        <v>141</v>
      </c>
    </row>
    <row r="23" customFormat="false" ht="30" hidden="false" customHeight="true" outlineLevel="0" collapsed="false">
      <c r="B23" s="10" t="s">
        <v>31</v>
      </c>
      <c r="C23" s="10" t="s">
        <v>32</v>
      </c>
      <c r="D23" s="145" t="n">
        <v>0.003</v>
      </c>
      <c r="E23" s="132" t="n">
        <v>20</v>
      </c>
      <c r="F23" s="133" t="s">
        <v>142</v>
      </c>
    </row>
    <row r="24" customFormat="false" ht="30" hidden="false" customHeight="true" outlineLevel="0" collapsed="false">
      <c r="B24" s="10" t="s">
        <v>33</v>
      </c>
      <c r="C24" s="10" t="s">
        <v>143</v>
      </c>
      <c r="D24" s="150" t="n">
        <v>1000</v>
      </c>
      <c r="E24" s="151" t="n">
        <v>10</v>
      </c>
      <c r="F24" s="133" t="s">
        <v>144</v>
      </c>
    </row>
    <row r="25" customFormat="false" ht="30" hidden="false" customHeight="true" outlineLevel="0" collapsed="false">
      <c r="B25" s="10" t="s">
        <v>35</v>
      </c>
      <c r="C25" s="10" t="s">
        <v>36</v>
      </c>
      <c r="D25" s="152" t="n">
        <v>0.025595</v>
      </c>
      <c r="E25" s="132" t="n">
        <v>20</v>
      </c>
      <c r="F25" s="133" t="s">
        <v>145</v>
      </c>
    </row>
    <row r="26" customFormat="false" ht="30" hidden="false" customHeight="true" outlineLevel="0" collapsed="false">
      <c r="B26" s="10" t="s">
        <v>37</v>
      </c>
      <c r="C26" s="10" t="s">
        <v>38</v>
      </c>
      <c r="D26" s="145" t="n">
        <v>0.2</v>
      </c>
      <c r="E26" s="132" t="n">
        <v>20</v>
      </c>
      <c r="F26" s="133" t="s">
        <v>146</v>
      </c>
    </row>
    <row r="27" customFormat="false" ht="20.25" hidden="false" customHeight="true" outlineLevel="0" collapsed="false">
      <c r="B27" s="11"/>
      <c r="C27" s="11"/>
      <c r="D27" s="11"/>
      <c r="E27" s="11"/>
    </row>
    <row r="28" customFormat="false" ht="20.25" hidden="false" customHeight="true" outlineLevel="0" collapsed="false">
      <c r="B28" s="11"/>
      <c r="C28" s="11"/>
      <c r="D28" s="11"/>
      <c r="E28" s="11"/>
    </row>
    <row r="29" customFormat="false" ht="22.5" hidden="false" customHeight="true" outlineLevel="0" collapsed="false">
      <c r="B29" s="12" t="s">
        <v>39</v>
      </c>
      <c r="C29" s="124"/>
      <c r="D29" s="125"/>
      <c r="E29" s="11"/>
    </row>
    <row r="30" customFormat="false" ht="22.5" hidden="false" customHeight="true" outlineLevel="0" collapsed="false">
      <c r="B30" s="14" t="s">
        <v>40</v>
      </c>
      <c r="C30" s="29" t="s">
        <v>11</v>
      </c>
      <c r="D30" s="30" t="s">
        <v>12</v>
      </c>
      <c r="E30" s="11"/>
      <c r="F30" s="126" t="s">
        <v>108</v>
      </c>
    </row>
    <row r="31" customFormat="false" ht="30" hidden="false" customHeight="true" outlineLevel="0" collapsed="false">
      <c r="B31" s="18" t="s">
        <v>41</v>
      </c>
      <c r="C31" s="5" t="s">
        <v>42</v>
      </c>
      <c r="D31" s="153" t="n">
        <v>0.8</v>
      </c>
      <c r="E31" s="11"/>
      <c r="F31" s="133" t="s">
        <v>147</v>
      </c>
    </row>
    <row r="32" customFormat="false" ht="18.75" hidden="false" customHeight="true" outlineLevel="0" collapsed="false">
      <c r="B32" s="18" t="s">
        <v>43</v>
      </c>
      <c r="C32" s="5" t="s">
        <v>44</v>
      </c>
      <c r="D32" s="153" t="n">
        <v>15</v>
      </c>
      <c r="E32" s="11"/>
      <c r="F32" s="133" t="s">
        <v>148</v>
      </c>
    </row>
    <row r="33" customFormat="false" ht="18.75" hidden="false" customHeight="true" outlineLevel="0" collapsed="false">
      <c r="B33" s="10" t="s">
        <v>45</v>
      </c>
      <c r="C33" s="32" t="s">
        <v>46</v>
      </c>
      <c r="D33" s="145" t="n">
        <v>0.9</v>
      </c>
      <c r="E33" s="11"/>
      <c r="F33" s="133" t="s">
        <v>149</v>
      </c>
    </row>
    <row r="34" customFormat="false" ht="30" hidden="false" customHeight="true" outlineLevel="0" collapsed="false">
      <c r="B34" s="10" t="s">
        <v>47</v>
      </c>
      <c r="C34" s="32" t="s">
        <v>44</v>
      </c>
      <c r="D34" s="145" t="n">
        <v>4</v>
      </c>
      <c r="E34" s="11"/>
      <c r="F34" s="133" t="s">
        <v>150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97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54" t="n">
        <v>0</v>
      </c>
      <c r="C38" s="155"/>
      <c r="D38" s="156"/>
      <c r="E38" s="156"/>
      <c r="F38" s="157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9"/>
      <c r="U38" s="158"/>
      <c r="V38" s="158"/>
      <c r="W38" s="158"/>
      <c r="X38" s="160"/>
    </row>
    <row r="39" customFormat="false" ht="18.75" hidden="false" customHeight="true" outlineLevel="0" collapsed="false">
      <c r="B39" s="161" t="s">
        <v>51</v>
      </c>
      <c r="C39" s="162" t="n">
        <v>0</v>
      </c>
      <c r="D39" s="163" t="n">
        <v>1</v>
      </c>
      <c r="E39" s="163" t="n">
        <v>2</v>
      </c>
      <c r="F39" s="163" t="n">
        <v>3</v>
      </c>
      <c r="G39" s="163" t="n">
        <v>4</v>
      </c>
      <c r="H39" s="163" t="n">
        <v>5</v>
      </c>
      <c r="I39" s="163" t="n">
        <v>6</v>
      </c>
      <c r="J39" s="163" t="n">
        <v>7</v>
      </c>
      <c r="K39" s="163" t="n">
        <v>8</v>
      </c>
      <c r="L39" s="163" t="n">
        <v>9</v>
      </c>
      <c r="M39" s="163" t="n">
        <v>10</v>
      </c>
      <c r="N39" s="163" t="n">
        <v>11</v>
      </c>
      <c r="O39" s="163" t="n">
        <v>12</v>
      </c>
      <c r="P39" s="163" t="n">
        <v>13</v>
      </c>
      <c r="Q39" s="163" t="n">
        <v>14</v>
      </c>
      <c r="R39" s="163" t="n">
        <v>15</v>
      </c>
      <c r="S39" s="163" t="n">
        <v>16</v>
      </c>
      <c r="T39" s="164" t="n">
        <v>17</v>
      </c>
      <c r="U39" s="163" t="n">
        <v>18</v>
      </c>
      <c r="V39" s="163" t="n">
        <v>19</v>
      </c>
      <c r="W39" s="163" t="n">
        <v>20</v>
      </c>
      <c r="X39" s="47"/>
    </row>
    <row r="40" customFormat="false" ht="18.75" hidden="false" customHeight="true" outlineLevel="0" collapsed="false">
      <c r="B40" s="165" t="s">
        <v>52</v>
      </c>
      <c r="C40" s="166" t="n">
        <v>0</v>
      </c>
      <c r="D40" s="167" t="n">
        <f aca="false">$D$10*P1</f>
        <v>541531.98</v>
      </c>
      <c r="E40" s="167" t="n">
        <f aca="false">$D$10*Q1</f>
        <v>539343.972</v>
      </c>
      <c r="F40" s="167" t="n">
        <f aca="false">$D$10*R1</f>
        <v>537155.964</v>
      </c>
      <c r="G40" s="167" t="n">
        <f aca="false">$D$10*S1</f>
        <v>534967.956</v>
      </c>
      <c r="H40" s="167" t="n">
        <f aca="false">$D$10*T1</f>
        <v>532779.948</v>
      </c>
      <c r="I40" s="167" t="n">
        <f aca="false">$D$10*U1</f>
        <v>530591.94</v>
      </c>
      <c r="J40" s="167" t="n">
        <f aca="false">$D$10*V1</f>
        <v>528403.932</v>
      </c>
      <c r="K40" s="167" t="n">
        <f aca="false">$D$10*W1</f>
        <v>526215.924</v>
      </c>
      <c r="L40" s="167" t="n">
        <f aca="false">$D$10*X1</f>
        <v>524027.916</v>
      </c>
      <c r="M40" s="167" t="n">
        <f aca="false">$D$10*Y1</f>
        <v>521839.908</v>
      </c>
      <c r="N40" s="167" t="n">
        <f aca="false">$D$10*Z1</f>
        <v>519651.9</v>
      </c>
      <c r="O40" s="167" t="n">
        <f aca="false">$D$10*AA1</f>
        <v>517463.892</v>
      </c>
      <c r="P40" s="167" t="n">
        <f aca="false">$D$10*AB1</f>
        <v>515275.884</v>
      </c>
      <c r="Q40" s="167" t="n">
        <f aca="false">$D$10*AC1</f>
        <v>513087.876</v>
      </c>
      <c r="R40" s="167" t="n">
        <f aca="false">$D$10*AD1</f>
        <v>510899.868</v>
      </c>
      <c r="S40" s="167" t="n">
        <f aca="false">$D$10*AE1</f>
        <v>508711.86</v>
      </c>
      <c r="T40" s="167" t="n">
        <f aca="false">$D$10*AF1</f>
        <v>506523.852</v>
      </c>
      <c r="U40" s="167" t="n">
        <f aca="false">$D$10*AG1</f>
        <v>504335.844</v>
      </c>
      <c r="V40" s="167" t="n">
        <f aca="false">$D$10*AH1</f>
        <v>502147.836</v>
      </c>
      <c r="W40" s="167" t="n">
        <f aca="false">$D$10*AI1</f>
        <v>499959.828</v>
      </c>
      <c r="X40" s="168"/>
    </row>
    <row r="41" customFormat="false" ht="18.75" hidden="false" customHeight="true" outlineLevel="0" collapsed="false">
      <c r="B41" s="169" t="s">
        <v>53</v>
      </c>
      <c r="C41" s="170" t="s">
        <v>3</v>
      </c>
      <c r="D41" s="171" t="n">
        <f aca="false">D40*$D$13</f>
        <v>2011899.612096</v>
      </c>
      <c r="E41" s="171" t="n">
        <f aca="false">E40*$D$13</f>
        <v>2003770.7247744</v>
      </c>
      <c r="F41" s="171" t="n">
        <f aca="false">F40*$D$13</f>
        <v>1995641.8374528</v>
      </c>
      <c r="G41" s="171" t="n">
        <f aca="false">G40*$D$13</f>
        <v>1987512.9501312</v>
      </c>
      <c r="H41" s="171" t="n">
        <f aca="false">H40*$D$13</f>
        <v>1979384.0628096</v>
      </c>
      <c r="I41" s="171" t="n">
        <f aca="false">I40*$D$13</f>
        <v>1971255.175488</v>
      </c>
      <c r="J41" s="171" t="n">
        <f aca="false">J40*$D$13</f>
        <v>1963126.2881664</v>
      </c>
      <c r="K41" s="171" t="n">
        <f aca="false">K40*$D$13</f>
        <v>1954997.4008448</v>
      </c>
      <c r="L41" s="171" t="n">
        <f aca="false">L40*$D$13</f>
        <v>1946868.5135232</v>
      </c>
      <c r="M41" s="171" t="n">
        <f aca="false">M40*$D$13</f>
        <v>1938739.6262016</v>
      </c>
      <c r="N41" s="171" t="n">
        <f aca="false">N40*$D$13</f>
        <v>1930610.73888</v>
      </c>
      <c r="O41" s="171" t="n">
        <f aca="false">O40*$D$13</f>
        <v>1922481.8515584</v>
      </c>
      <c r="P41" s="171" t="n">
        <f aca="false">P40*$D$13</f>
        <v>1914352.9642368</v>
      </c>
      <c r="Q41" s="171" t="n">
        <f aca="false">Q40*$D$13</f>
        <v>1906224.0769152</v>
      </c>
      <c r="R41" s="171" t="n">
        <f aca="false">R40*$D$13</f>
        <v>1898095.1895936</v>
      </c>
      <c r="S41" s="171" t="n">
        <f aca="false">S40*$D$13</f>
        <v>1889966.302272</v>
      </c>
      <c r="T41" s="171" t="n">
        <f aca="false">T40*$D$13</f>
        <v>1881837.4149504</v>
      </c>
      <c r="U41" s="171" t="n">
        <f aca="false">U40*$D$13</f>
        <v>1873708.5276288</v>
      </c>
      <c r="V41" s="171" t="n">
        <f aca="false">V40*$D$13</f>
        <v>1865579.6403072</v>
      </c>
      <c r="W41" s="171" t="n">
        <f aca="false">W40*$D$13</f>
        <v>1857450.7529856</v>
      </c>
      <c r="X41" s="172"/>
    </row>
    <row r="42" customFormat="false" ht="18.75" hidden="false" customHeight="true" outlineLevel="0" collapsed="false">
      <c r="B42" s="173" t="s">
        <v>54</v>
      </c>
      <c r="C42" s="174" t="s">
        <v>3</v>
      </c>
      <c r="D42" s="175"/>
      <c r="E42" s="175"/>
      <c r="F42" s="175"/>
      <c r="G42" s="176" t="s">
        <v>3</v>
      </c>
      <c r="H42" s="176" t="s">
        <v>3</v>
      </c>
      <c r="I42" s="176" t="s">
        <v>3</v>
      </c>
      <c r="J42" s="176" t="s">
        <v>3</v>
      </c>
      <c r="K42" s="176" t="s">
        <v>3</v>
      </c>
      <c r="L42" s="176" t="s">
        <v>3</v>
      </c>
      <c r="M42" s="176" t="s">
        <v>3</v>
      </c>
      <c r="N42" s="176" t="s">
        <v>3</v>
      </c>
      <c r="O42" s="176" t="s">
        <v>3</v>
      </c>
      <c r="P42" s="176" t="s">
        <v>3</v>
      </c>
      <c r="Q42" s="176" t="s">
        <v>3</v>
      </c>
      <c r="R42" s="176" t="s">
        <v>3</v>
      </c>
      <c r="S42" s="176" t="s">
        <v>3</v>
      </c>
      <c r="T42" s="176" t="s">
        <v>3</v>
      </c>
      <c r="U42" s="176" t="s">
        <v>3</v>
      </c>
      <c r="V42" s="176" t="s">
        <v>3</v>
      </c>
      <c r="W42" s="176" t="s">
        <v>3</v>
      </c>
      <c r="X42" s="177"/>
    </row>
    <row r="43" customFormat="false" ht="18.75" hidden="false" customHeight="true" outlineLevel="0" collapsed="false">
      <c r="B43" s="178" t="s">
        <v>55</v>
      </c>
      <c r="C43" s="179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customFormat="false" ht="18.75" hidden="false" customHeight="true" outlineLevel="0" collapsed="false">
      <c r="B44" s="182" t="s">
        <v>56</v>
      </c>
      <c r="C44" s="183" t="n">
        <f aca="false">-(D16/(1-D17)+D18)*C4</f>
        <v>-15481550</v>
      </c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</row>
    <row r="45" customFormat="false" ht="18.75" hidden="false" customHeight="true" outlineLevel="0" collapsed="false">
      <c r="B45" s="182" t="s">
        <v>57</v>
      </c>
      <c r="C45" s="174" t="s">
        <v>3</v>
      </c>
      <c r="D45" s="0" t="n">
        <v>-603569.8836288</v>
      </c>
      <c r="E45" s="184" t="n">
        <v>-601131.21743232</v>
      </c>
      <c r="F45" s="184" t="n">
        <v>-598692.55123584</v>
      </c>
      <c r="G45" s="184" t="n">
        <v>-596253.88503936</v>
      </c>
      <c r="H45" s="184" t="n">
        <v>-593815.21884288</v>
      </c>
      <c r="I45" s="184" t="n">
        <v>-591376.5526464</v>
      </c>
      <c r="J45" s="184" t="n">
        <v>-588937.88644992</v>
      </c>
      <c r="K45" s="184" t="n">
        <v>-586499.22025344</v>
      </c>
      <c r="L45" s="184" t="n">
        <v>-584060.55405696</v>
      </c>
      <c r="M45" s="184" t="n">
        <v>-581621.88786048</v>
      </c>
      <c r="N45" s="184" t="n">
        <v>-579183.221664</v>
      </c>
      <c r="O45" s="184" t="n">
        <v>-576744.55546752</v>
      </c>
      <c r="P45" s="184" t="n">
        <v>-574305.88927104</v>
      </c>
      <c r="Q45" s="184" t="n">
        <v>-571867.22307456</v>
      </c>
      <c r="R45" s="184" t="n">
        <v>-569428.55687808</v>
      </c>
      <c r="S45" s="184" t="n">
        <v>-566989.8906816</v>
      </c>
      <c r="T45" s="184" t="n">
        <v>-564551.22448512</v>
      </c>
      <c r="U45" s="184" t="n">
        <v>-562112.55828864</v>
      </c>
      <c r="V45" s="184" t="n">
        <v>-559673.89209216</v>
      </c>
      <c r="W45" s="184" t="n">
        <v>-557235.22589568</v>
      </c>
      <c r="X45" s="184"/>
    </row>
    <row r="46" customFormat="false" ht="18.75" hidden="false" customHeight="true" outlineLevel="0" collapsed="false">
      <c r="B46" s="182" t="s">
        <v>58</v>
      </c>
      <c r="C46" s="17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</row>
    <row r="47" customFormat="false" ht="18.75" hidden="false" customHeight="true" outlineLevel="0" collapsed="false">
      <c r="B47" s="182" t="s">
        <v>59</v>
      </c>
      <c r="C47" s="174" t="s">
        <v>3</v>
      </c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</row>
    <row r="48" customFormat="false" ht="18.75" hidden="false" customHeight="true" outlineLevel="0" collapsed="false">
      <c r="B48" s="182" t="s">
        <v>60</v>
      </c>
      <c r="C48" s="174" t="s">
        <v>3</v>
      </c>
      <c r="D48" s="184" t="n">
        <v>-174440</v>
      </c>
      <c r="E48" s="184" t="n">
        <v>-174440</v>
      </c>
      <c r="F48" s="184" t="n">
        <v>-174440</v>
      </c>
      <c r="G48" s="184" t="n">
        <v>-174440</v>
      </c>
      <c r="H48" s="184" t="n">
        <v>-174440</v>
      </c>
      <c r="I48" s="184" t="n">
        <v>-174440</v>
      </c>
      <c r="J48" s="184" t="n">
        <v>-174440</v>
      </c>
      <c r="K48" s="184" t="n">
        <v>-174440</v>
      </c>
      <c r="L48" s="184" t="n">
        <v>-174440</v>
      </c>
      <c r="M48" s="184" t="n">
        <v>-174440</v>
      </c>
      <c r="N48" s="184" t="n">
        <v>-174440</v>
      </c>
      <c r="O48" s="184" t="n">
        <v>-174440</v>
      </c>
      <c r="P48" s="184" t="n">
        <v>-174440</v>
      </c>
      <c r="Q48" s="184" t="n">
        <v>-174440</v>
      </c>
      <c r="R48" s="184" t="n">
        <v>-174440</v>
      </c>
      <c r="S48" s="184" t="n">
        <v>-174440</v>
      </c>
      <c r="T48" s="184" t="n">
        <v>-174440</v>
      </c>
      <c r="U48" s="184" t="n">
        <v>-174440</v>
      </c>
      <c r="V48" s="184" t="n">
        <v>-174440</v>
      </c>
      <c r="W48" s="184" t="n">
        <v>-174440</v>
      </c>
      <c r="X48" s="184"/>
    </row>
    <row r="49" customFormat="false" ht="18.75" hidden="false" customHeight="true" outlineLevel="0" collapsed="false">
      <c r="B49" s="182" t="s">
        <v>61</v>
      </c>
      <c r="C49" s="174" t="s">
        <v>3</v>
      </c>
      <c r="D49" s="184" t="n">
        <v>-34015.8</v>
      </c>
      <c r="E49" s="184" t="n">
        <v>-34015.8</v>
      </c>
      <c r="F49" s="184" t="n">
        <v>-34015.8</v>
      </c>
      <c r="G49" s="184" t="n">
        <v>-34015.8</v>
      </c>
      <c r="H49" s="184" t="n">
        <v>-34015.8</v>
      </c>
      <c r="I49" s="184" t="n">
        <v>-34015.8</v>
      </c>
      <c r="J49" s="184" t="n">
        <v>-34015.8</v>
      </c>
      <c r="K49" s="184" t="n">
        <v>-34015.8</v>
      </c>
      <c r="L49" s="184" t="n">
        <v>-34015.8</v>
      </c>
      <c r="M49" s="184" t="n">
        <v>-34015.8</v>
      </c>
      <c r="N49" s="184" t="n">
        <v>-34015.8</v>
      </c>
      <c r="O49" s="184" t="n">
        <v>-34015.8</v>
      </c>
      <c r="P49" s="184" t="n">
        <v>-34015.8</v>
      </c>
      <c r="Q49" s="184" t="n">
        <v>-34015.8</v>
      </c>
      <c r="R49" s="184" t="n">
        <v>-34015.8</v>
      </c>
      <c r="S49" s="184" t="n">
        <v>-34015.8</v>
      </c>
      <c r="T49" s="184" t="n">
        <v>-34015.8</v>
      </c>
      <c r="U49" s="184" t="n">
        <v>-34015.8</v>
      </c>
      <c r="V49" s="184" t="n">
        <v>-34015.8</v>
      </c>
      <c r="W49" s="184" t="n">
        <v>-34015.8</v>
      </c>
      <c r="X49" s="184"/>
    </row>
    <row r="50" customFormat="false" ht="18.75" hidden="false" customHeight="true" outlineLevel="0" collapsed="false">
      <c r="B50" s="182" t="s">
        <v>62</v>
      </c>
      <c r="C50" s="174"/>
      <c r="D50" s="184" t="n">
        <v>-43610</v>
      </c>
      <c r="E50" s="184" t="n">
        <v>-43610</v>
      </c>
      <c r="F50" s="184" t="n">
        <v>-43610</v>
      </c>
      <c r="G50" s="184" t="n">
        <v>-43610</v>
      </c>
      <c r="H50" s="184" t="n">
        <v>-43610</v>
      </c>
      <c r="I50" s="184" t="n">
        <v>-43610</v>
      </c>
      <c r="J50" s="184" t="n">
        <v>-43610</v>
      </c>
      <c r="K50" s="184" t="n">
        <v>-43610</v>
      </c>
      <c r="L50" s="184" t="n">
        <v>-43610</v>
      </c>
      <c r="M50" s="184" t="n">
        <v>-43610</v>
      </c>
      <c r="N50" s="184" t="n">
        <v>0</v>
      </c>
      <c r="O50" s="184" t="n">
        <v>0</v>
      </c>
      <c r="P50" s="184" t="n">
        <v>0</v>
      </c>
      <c r="Q50" s="184" t="n">
        <v>0</v>
      </c>
      <c r="R50" s="184" t="n">
        <v>0</v>
      </c>
      <c r="S50" s="184" t="n">
        <v>0</v>
      </c>
      <c r="T50" s="184" t="n">
        <v>0</v>
      </c>
      <c r="U50" s="184" t="n">
        <v>0</v>
      </c>
      <c r="V50" s="184" t="n">
        <v>0</v>
      </c>
      <c r="W50" s="184" t="n">
        <v>0</v>
      </c>
      <c r="X50" s="184"/>
    </row>
    <row r="51" customFormat="false" ht="18.75" hidden="false" customHeight="true" outlineLevel="0" collapsed="false">
      <c r="B51" s="182" t="s">
        <v>63</v>
      </c>
      <c r="C51" s="185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</row>
    <row r="52" customFormat="false" ht="18.75" hidden="false" customHeight="true" outlineLevel="0" collapsed="false">
      <c r="B52" s="182" t="s">
        <v>64</v>
      </c>
      <c r="C52" s="185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</row>
    <row r="53" customFormat="false" ht="18.75" hidden="false" customHeight="true" outlineLevel="0" collapsed="false">
      <c r="B53" s="186" t="s">
        <v>65</v>
      </c>
      <c r="C53" s="185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</row>
    <row r="54" customFormat="false" ht="18.75" hidden="false" customHeight="true" outlineLevel="0" collapsed="false">
      <c r="B54" s="186" t="s">
        <v>66</v>
      </c>
      <c r="C54" s="185"/>
      <c r="D54" s="184" t="n">
        <f aca="false">-(D64+D67+D68+D71+D72+D73+D74)*0.2</f>
        <v>-197151.2624192</v>
      </c>
      <c r="E54" s="184" t="n">
        <f aca="false">-(E64+E67+E68+E71+E72+E73+E74)*0.2</f>
        <v>-75299.241468416</v>
      </c>
      <c r="F54" s="184" t="n">
        <f aca="false">-(F64+F67+F68+F71+F72+F73+F74)*0.2</f>
        <v>-74161.197243392</v>
      </c>
      <c r="G54" s="184" t="n">
        <f aca="false">-(G64+G67+G68+G71+G72+G73+G74)*0.2</f>
        <v>-73023.153018368</v>
      </c>
      <c r="H54" s="184" t="n">
        <f aca="false">-(H64+H67+H68+H71+H72+H73+H74)*0.2</f>
        <v>-71885.108793344</v>
      </c>
      <c r="I54" s="184" t="n">
        <f aca="false">-(I64+I67+I68+I71+I72+I73+I74)*0.2</f>
        <v>-70747.06456832</v>
      </c>
      <c r="J54" s="184" t="n">
        <f aca="false">-(J64+J67+J68+J71+J72+J73+J74)*0.2</f>
        <v>-69609.020343296</v>
      </c>
      <c r="K54" s="184" t="n">
        <f aca="false">-(K64+K67+K68+K71+K72+K73+K74)*0.2</f>
        <v>-68470.976118272</v>
      </c>
      <c r="L54" s="184" t="n">
        <f aca="false">-(L64+L67+L68+L71+L72+L73+L74)*0.2</f>
        <v>-67332.931893248</v>
      </c>
      <c r="M54" s="184" t="n">
        <f aca="false">-(M64+M67+M68+M71+M72+M73+M74)*0.2</f>
        <v>-66194.887668224</v>
      </c>
      <c r="N54" s="184" t="n">
        <f aca="false">-(N64+N67+N68+N71+N72+N73+N74)*0.2</f>
        <v>-73778.8434432</v>
      </c>
      <c r="O54" s="184" t="n">
        <f aca="false">-(O64+O67+O68+O71+O72+O73+O74)*0.2</f>
        <v>-72640.799218176</v>
      </c>
      <c r="P54" s="184" t="n">
        <f aca="false">-(P64+P67+P68+P71+P72+P73+P74)*0.2</f>
        <v>-71502.754993152</v>
      </c>
      <c r="Q54" s="184" t="n">
        <f aca="false">-(Q64+Q67+Q68+Q71+Q72+Q73+Q74)*0.2</f>
        <v>-70364.710768128</v>
      </c>
      <c r="R54" s="184" t="n">
        <f aca="false">-(R64+R67+R68+R71+R72+R73+R74)*0.2</f>
        <v>-69226.666543104</v>
      </c>
      <c r="S54" s="184" t="n">
        <f aca="false">-(S64+S67+S68+S71+S72+S73+S74)*0.2</f>
        <v>-68088.62231808</v>
      </c>
      <c r="T54" s="184" t="n">
        <f aca="false">-(T64+T67+T68+T71+T72+T73+T74)*0.2</f>
        <v>-66950.5780930559</v>
      </c>
      <c r="U54" s="184" t="n">
        <f aca="false">-(U64+U67+U68+U71+U72+U73+U74)*0.2</f>
        <v>-65812.533868032</v>
      </c>
      <c r="V54" s="184" t="n">
        <f aca="false">-(V64+V67+V68+V71+V72+V73+V74)*0.2</f>
        <v>-64674.489643008</v>
      </c>
      <c r="W54" s="184" t="n">
        <f aca="false">-(W64+W67+W68+W71+W72+W73+W74)*0.2</f>
        <v>-63536.445417984</v>
      </c>
      <c r="X54" s="175"/>
    </row>
    <row r="55" customFormat="false" ht="18.75" hidden="false" customHeight="true" outlineLevel="0" collapsed="false">
      <c r="B55" s="187" t="s">
        <v>67</v>
      </c>
      <c r="C55" s="188" t="n">
        <f aca="false">C44</f>
        <v>-15481550</v>
      </c>
      <c r="D55" s="189" t="n">
        <f aca="false">SUM(D41:D54)</f>
        <v>959112.666048</v>
      </c>
      <c r="E55" s="189" t="n">
        <f aca="false">SUM(E41:E54)</f>
        <v>1075274.46587366</v>
      </c>
      <c r="F55" s="189" t="n">
        <f aca="false">SUM(F41:F54)</f>
        <v>1070722.28897357</v>
      </c>
      <c r="G55" s="189" t="n">
        <f aca="false">SUM(G41:G54)</f>
        <v>1066170.11207347</v>
      </c>
      <c r="H55" s="189" t="n">
        <f aca="false">SUM(H41:H54)</f>
        <v>1061617.93517338</v>
      </c>
      <c r="I55" s="189" t="n">
        <f aca="false">SUM(I41:I54)</f>
        <v>1057065.75827328</v>
      </c>
      <c r="J55" s="189" t="n">
        <f aca="false">SUM(J41:J54)</f>
        <v>1052513.58137318</v>
      </c>
      <c r="K55" s="189" t="n">
        <f aca="false">SUM(K41:K54)</f>
        <v>1047961.40447309</v>
      </c>
      <c r="L55" s="189" t="n">
        <f aca="false">SUM(L41:L54)</f>
        <v>1043409.22757299</v>
      </c>
      <c r="M55" s="189" t="n">
        <f aca="false">SUM(M41:M54)</f>
        <v>1038857.0506729</v>
      </c>
      <c r="N55" s="189" t="n">
        <f aca="false">SUM(N41:N54)</f>
        <v>1069192.8737728</v>
      </c>
      <c r="O55" s="189" t="n">
        <f aca="false">SUM(O41:O54)</f>
        <v>1064640.6968727</v>
      </c>
      <c r="P55" s="189" t="n">
        <f aca="false">SUM(P41:P54)</f>
        <v>1060088.51997261</v>
      </c>
      <c r="Q55" s="189" t="n">
        <f aca="false">SUM(Q41:Q54)</f>
        <v>1055536.34307251</v>
      </c>
      <c r="R55" s="189" t="n">
        <f aca="false">SUM(R41:R54)</f>
        <v>1050984.16617242</v>
      </c>
      <c r="S55" s="189" t="n">
        <f aca="false">SUM(S41:S54)</f>
        <v>1046431.98927232</v>
      </c>
      <c r="T55" s="189" t="n">
        <f aca="false">SUM(T41:T54)</f>
        <v>1041879.81237222</v>
      </c>
      <c r="U55" s="189" t="n">
        <f aca="false">SUM(U41:U54)</f>
        <v>1037327.63547213</v>
      </c>
      <c r="V55" s="189" t="n">
        <f aca="false">SUM(V41:V54)</f>
        <v>1032775.45857203</v>
      </c>
      <c r="W55" s="189" t="n">
        <f aca="false">SUM(W41:W54)</f>
        <v>1028223.28167194</v>
      </c>
      <c r="X55" s="190"/>
      <c r="Y55" s="191"/>
      <c r="Z55" s="192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</row>
    <row r="56" customFormat="false" ht="18.75" hidden="false" customHeight="true" outlineLevel="0" collapsed="false">
      <c r="B56" s="193" t="s">
        <v>68</v>
      </c>
      <c r="D56" s="194" t="n">
        <f aca="false">C55+D55</f>
        <v>-14522437.333952</v>
      </c>
      <c r="E56" s="194" t="n">
        <f aca="false">D56+E55</f>
        <v>-13447162.8680783</v>
      </c>
      <c r="F56" s="194" t="n">
        <f aca="false">E56+F55</f>
        <v>-12376440.5791048</v>
      </c>
      <c r="G56" s="194" t="n">
        <f aca="false">F56+G55</f>
        <v>-11310270.4670313</v>
      </c>
      <c r="H56" s="194" t="n">
        <f aca="false">G56+H55</f>
        <v>-10248652.5318579</v>
      </c>
      <c r="I56" s="194" t="n">
        <f aca="false">H56+I55</f>
        <v>-9191586.77358464</v>
      </c>
      <c r="J56" s="194" t="n">
        <f aca="false">I56+J55</f>
        <v>-8139073.19221146</v>
      </c>
      <c r="K56" s="194" t="n">
        <f aca="false">J56+K55</f>
        <v>-7091111.78773837</v>
      </c>
      <c r="L56" s="194" t="n">
        <f aca="false">K56+L55</f>
        <v>-6047702.56016538</v>
      </c>
      <c r="M56" s="194" t="n">
        <f aca="false">L56+M55</f>
        <v>-5008845.50949248</v>
      </c>
      <c r="N56" s="194" t="n">
        <f aca="false">M56+N55</f>
        <v>-3939652.63571968</v>
      </c>
      <c r="O56" s="194" t="n">
        <f aca="false">N56+O55</f>
        <v>-2875011.93884698</v>
      </c>
      <c r="P56" s="194" t="n">
        <f aca="false">O56+P55</f>
        <v>-1814923.41887437</v>
      </c>
      <c r="Q56" s="194" t="n">
        <f aca="false">P56+Q55</f>
        <v>-759387.075801859</v>
      </c>
      <c r="R56" s="194" t="n">
        <f aca="false">Q56+R55</f>
        <v>291597.090370557</v>
      </c>
      <c r="S56" s="194" t="n">
        <f aca="false">R56+S55</f>
        <v>1338029.07964288</v>
      </c>
      <c r="T56" s="194" t="n">
        <f aca="false">S56+T55</f>
        <v>2379908.8920151</v>
      </c>
      <c r="U56" s="194" t="n">
        <f aca="false">T56+U55</f>
        <v>3417236.52748723</v>
      </c>
      <c r="V56" s="194" t="n">
        <f aca="false">U56+V55</f>
        <v>4450011.98605926</v>
      </c>
      <c r="W56" s="194" t="n">
        <f aca="false">V56+W55</f>
        <v>5478235.2677312</v>
      </c>
      <c r="X56" s="194" t="n">
        <f aca="false">W56+X55</f>
        <v>5478235.2677312</v>
      </c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</row>
    <row r="57" customFormat="false" ht="18.75" hidden="false" customHeight="true" outlineLevel="0" collapsed="false">
      <c r="B57" s="195" t="s">
        <v>74</v>
      </c>
      <c r="C57" s="196"/>
      <c r="D57" s="197" t="str">
        <f aca="false">IF((D56)&gt;0,"回收","未回收")</f>
        <v>未回收</v>
      </c>
      <c r="E57" s="198" t="str">
        <f aca="false">IF((E56)&gt;0,"回收","未回收")</f>
        <v>未回收</v>
      </c>
      <c r="F57" s="198" t="str">
        <f aca="false">IF((F56)&gt;0,"回收","未回收")</f>
        <v>未回收</v>
      </c>
      <c r="G57" s="198" t="str">
        <f aca="false">IF((G56)&gt;0,"回收","未回收")</f>
        <v>未回收</v>
      </c>
      <c r="H57" s="198" t="str">
        <f aca="false">IF((H56)&gt;0,"回收","未回收")</f>
        <v>未回收</v>
      </c>
      <c r="I57" s="198" t="str">
        <f aca="false">IF((I56)&gt;0,"回收","未回收")</f>
        <v>未回收</v>
      </c>
      <c r="J57" s="198" t="str">
        <f aca="false">IF((J56)&gt;0,"回收","未回收")</f>
        <v>未回收</v>
      </c>
      <c r="K57" s="198" t="str">
        <f aca="false">IF((K56)&gt;0,"回收","未回收")</f>
        <v>未回收</v>
      </c>
      <c r="L57" s="198" t="str">
        <f aca="false">IF((L56)&gt;0,"回收","未回收")</f>
        <v>未回收</v>
      </c>
      <c r="M57" s="198" t="str">
        <f aca="false">IF((M56)&gt;0,"回收","未回收")</f>
        <v>未回收</v>
      </c>
      <c r="N57" s="198" t="str">
        <f aca="false">IF((N56)&gt;0,"回收","未回收")</f>
        <v>未回收</v>
      </c>
      <c r="O57" s="198" t="str">
        <f aca="false">IF((O56)&gt;0,"回收","未回收")</f>
        <v>未回收</v>
      </c>
      <c r="P57" s="198" t="str">
        <f aca="false">IF((P56)&gt;0,"回收","未回收")</f>
        <v>未回收</v>
      </c>
      <c r="Q57" s="198" t="str">
        <f aca="false">IF((Q56)&gt;0,"回收","未回收")</f>
        <v>未回收</v>
      </c>
      <c r="R57" s="198" t="str">
        <f aca="false">IF((R56)&gt;0,"回收","未回收")</f>
        <v>回收</v>
      </c>
      <c r="S57" s="198" t="str">
        <f aca="false">IF((S56)&gt;0,"回收","未回收")</f>
        <v>回收</v>
      </c>
      <c r="T57" s="198" t="str">
        <f aca="false">IF((T56)&gt;0,"回收","未回收")</f>
        <v>回收</v>
      </c>
      <c r="U57" s="198" t="str">
        <f aca="false">IF((U56)&gt;0,"回收","未回收")</f>
        <v>回收</v>
      </c>
      <c r="V57" s="198" t="str">
        <f aca="false">IF((V56)&gt;0,"回收","未回收")</f>
        <v>回收</v>
      </c>
      <c r="W57" s="198" t="str">
        <f aca="false">IF((W56)&gt;0,"回收","未回收")</f>
        <v>回收</v>
      </c>
      <c r="X57" s="198" t="str">
        <f aca="false">IF((X56)&gt;0,"回收","未回收")</f>
        <v>回收</v>
      </c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</row>
    <row r="58" customFormat="false" ht="18.75" hidden="false" customHeight="true" outlineLevel="0" collapsed="false">
      <c r="B58" s="199" t="s">
        <v>93</v>
      </c>
      <c r="C58" s="200" t="n">
        <f aca="false">IRR(C55:W55)</f>
        <v>0.0307707870353644</v>
      </c>
      <c r="D58" s="201"/>
      <c r="E58" s="201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customFormat="false" ht="18.75" hidden="false" customHeight="true" outlineLevel="0" collapsed="false">
      <c r="B59" s="202"/>
      <c r="C59" s="201"/>
      <c r="D59" s="201"/>
      <c r="E59" s="201"/>
      <c r="F59" s="202"/>
      <c r="G59" s="202"/>
      <c r="H59" s="202"/>
      <c r="I59" s="202"/>
      <c r="J59" s="202"/>
      <c r="K59" s="202"/>
      <c r="L59" s="202"/>
      <c r="M59" s="201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customFormat="false" ht="18.75" hidden="false" customHeight="true" outlineLevel="0" collapsed="false">
      <c r="B60" s="97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54" t="n">
        <v>0</v>
      </c>
      <c r="C61" s="155"/>
      <c r="D61" s="156"/>
      <c r="E61" s="156"/>
      <c r="F61" s="157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204" t="s">
        <v>50</v>
      </c>
      <c r="U61" s="158"/>
      <c r="V61" s="158"/>
      <c r="W61" s="158"/>
      <c r="X61" s="160"/>
    </row>
    <row r="62" customFormat="false" ht="18.75" hidden="false" customHeight="true" outlineLevel="0" collapsed="false">
      <c r="B62" s="161" t="s">
        <v>51</v>
      </c>
      <c r="C62" s="162" t="n">
        <v>0</v>
      </c>
      <c r="D62" s="163" t="n">
        <v>1</v>
      </c>
      <c r="E62" s="163" t="n">
        <v>2</v>
      </c>
      <c r="F62" s="163" t="n">
        <v>3</v>
      </c>
      <c r="G62" s="163" t="n">
        <v>4</v>
      </c>
      <c r="H62" s="163" t="n">
        <v>5</v>
      </c>
      <c r="I62" s="163" t="n">
        <v>6</v>
      </c>
      <c r="J62" s="163" t="n">
        <v>7</v>
      </c>
      <c r="K62" s="163" t="n">
        <v>8</v>
      </c>
      <c r="L62" s="163" t="n">
        <v>9</v>
      </c>
      <c r="M62" s="163" t="n">
        <v>10</v>
      </c>
      <c r="N62" s="163" t="n">
        <v>11</v>
      </c>
      <c r="O62" s="163" t="n">
        <v>12</v>
      </c>
      <c r="P62" s="163" t="n">
        <v>13</v>
      </c>
      <c r="Q62" s="163" t="n">
        <v>14</v>
      </c>
      <c r="R62" s="163" t="n">
        <v>15</v>
      </c>
      <c r="S62" s="163" t="n">
        <v>16</v>
      </c>
      <c r="T62" s="205" t="n">
        <v>17</v>
      </c>
      <c r="U62" s="163" t="n">
        <v>18</v>
      </c>
      <c r="V62" s="163" t="n">
        <v>19</v>
      </c>
      <c r="W62" s="163" t="n">
        <v>20</v>
      </c>
      <c r="X62" s="47"/>
    </row>
    <row r="63" customFormat="false" ht="18.75" hidden="false" customHeight="true" outlineLevel="0" collapsed="false">
      <c r="B63" s="165" t="s">
        <v>52</v>
      </c>
      <c r="C63" s="166" t="n">
        <v>0</v>
      </c>
      <c r="D63" s="167" t="n">
        <f aca="false">D40</f>
        <v>541531.98</v>
      </c>
      <c r="E63" s="167" t="n">
        <f aca="false">E40</f>
        <v>539343.972</v>
      </c>
      <c r="F63" s="167" t="n">
        <f aca="false">F40</f>
        <v>537155.964</v>
      </c>
      <c r="G63" s="167" t="n">
        <f aca="false">G40</f>
        <v>534967.956</v>
      </c>
      <c r="H63" s="167" t="n">
        <f aca="false">H40</f>
        <v>532779.948</v>
      </c>
      <c r="I63" s="167" t="n">
        <f aca="false">I40</f>
        <v>530591.94</v>
      </c>
      <c r="J63" s="167" t="n">
        <f aca="false">J40</f>
        <v>528403.932</v>
      </c>
      <c r="K63" s="167" t="n">
        <f aca="false">K40</f>
        <v>526215.924</v>
      </c>
      <c r="L63" s="167" t="n">
        <f aca="false">L40</f>
        <v>524027.916</v>
      </c>
      <c r="M63" s="167" t="n">
        <f aca="false">M40</f>
        <v>521839.908</v>
      </c>
      <c r="N63" s="167" t="n">
        <f aca="false">N40</f>
        <v>519651.9</v>
      </c>
      <c r="O63" s="167" t="n">
        <f aca="false">O40</f>
        <v>517463.892</v>
      </c>
      <c r="P63" s="167" t="n">
        <f aca="false">P40</f>
        <v>515275.884</v>
      </c>
      <c r="Q63" s="167" t="n">
        <f aca="false">Q40</f>
        <v>513087.876</v>
      </c>
      <c r="R63" s="167" t="n">
        <f aca="false">R40</f>
        <v>510899.868</v>
      </c>
      <c r="S63" s="167" t="n">
        <f aca="false">S40</f>
        <v>508711.86</v>
      </c>
      <c r="T63" s="167" t="n">
        <f aca="false">T40</f>
        <v>506523.852</v>
      </c>
      <c r="U63" s="167" t="n">
        <f aca="false">U40</f>
        <v>504335.844</v>
      </c>
      <c r="V63" s="167" t="n">
        <f aca="false">V40</f>
        <v>502147.836</v>
      </c>
      <c r="W63" s="167" t="n">
        <f aca="false">W40</f>
        <v>499959.828</v>
      </c>
      <c r="X63" s="168"/>
    </row>
    <row r="64" customFormat="false" ht="18.75" hidden="false" customHeight="true" outlineLevel="0" collapsed="false">
      <c r="B64" s="169" t="s">
        <v>53</v>
      </c>
      <c r="C64" s="170" t="s">
        <v>3</v>
      </c>
      <c r="D64" s="171" t="n">
        <f aca="false">D41</f>
        <v>2011899.612096</v>
      </c>
      <c r="E64" s="171" t="n">
        <f aca="false">E41</f>
        <v>2003770.7247744</v>
      </c>
      <c r="F64" s="171" t="n">
        <f aca="false">F41</f>
        <v>1995641.8374528</v>
      </c>
      <c r="G64" s="171" t="n">
        <f aca="false">G41</f>
        <v>1987512.9501312</v>
      </c>
      <c r="H64" s="171" t="n">
        <f aca="false">H41</f>
        <v>1979384.0628096</v>
      </c>
      <c r="I64" s="171" t="n">
        <f aca="false">I41</f>
        <v>1971255.175488</v>
      </c>
      <c r="J64" s="171" t="n">
        <f aca="false">J41</f>
        <v>1963126.2881664</v>
      </c>
      <c r="K64" s="171" t="n">
        <f aca="false">K41</f>
        <v>1954997.4008448</v>
      </c>
      <c r="L64" s="171" t="n">
        <f aca="false">L41</f>
        <v>1946868.5135232</v>
      </c>
      <c r="M64" s="171" t="n">
        <f aca="false">M41</f>
        <v>1938739.6262016</v>
      </c>
      <c r="N64" s="171" t="n">
        <f aca="false">N41</f>
        <v>1930610.73888</v>
      </c>
      <c r="O64" s="171" t="n">
        <f aca="false">O41</f>
        <v>1922481.8515584</v>
      </c>
      <c r="P64" s="171" t="n">
        <f aca="false">P41</f>
        <v>1914352.9642368</v>
      </c>
      <c r="Q64" s="171" t="n">
        <f aca="false">Q41</f>
        <v>1906224.0769152</v>
      </c>
      <c r="R64" s="171" t="n">
        <f aca="false">R41</f>
        <v>1898095.1895936</v>
      </c>
      <c r="S64" s="171" t="n">
        <f aca="false">S41</f>
        <v>1889966.302272</v>
      </c>
      <c r="T64" s="171" t="n">
        <f aca="false">T41</f>
        <v>1881837.4149504</v>
      </c>
      <c r="U64" s="171" t="n">
        <f aca="false">U41</f>
        <v>1873708.5276288</v>
      </c>
      <c r="V64" s="171" t="n">
        <f aca="false">V41</f>
        <v>1865579.6403072</v>
      </c>
      <c r="W64" s="171" t="n">
        <f aca="false">W41</f>
        <v>1857450.7529856</v>
      </c>
      <c r="X64" s="172"/>
    </row>
    <row r="65" customFormat="false" ht="18.75" hidden="false" customHeight="true" outlineLevel="0" collapsed="false">
      <c r="B65" s="173" t="s">
        <v>54</v>
      </c>
      <c r="C65" s="174" t="s">
        <v>3</v>
      </c>
      <c r="D65" s="175"/>
      <c r="E65" s="175"/>
      <c r="F65" s="175"/>
      <c r="G65" s="176" t="s">
        <v>3</v>
      </c>
      <c r="H65" s="176" t="s">
        <v>3</v>
      </c>
      <c r="I65" s="176" t="s">
        <v>3</v>
      </c>
      <c r="J65" s="176" t="s">
        <v>3</v>
      </c>
      <c r="K65" s="176" t="s">
        <v>3</v>
      </c>
      <c r="L65" s="176" t="s">
        <v>3</v>
      </c>
      <c r="M65" s="176" t="s">
        <v>3</v>
      </c>
      <c r="N65" s="176" t="s">
        <v>3</v>
      </c>
      <c r="O65" s="176" t="s">
        <v>3</v>
      </c>
      <c r="P65" s="176" t="s">
        <v>3</v>
      </c>
      <c r="Q65" s="176" t="s">
        <v>3</v>
      </c>
      <c r="R65" s="176" t="s">
        <v>3</v>
      </c>
      <c r="S65" s="176" t="s">
        <v>3</v>
      </c>
      <c r="T65" s="176" t="s">
        <v>3</v>
      </c>
      <c r="U65" s="176" t="s">
        <v>3</v>
      </c>
      <c r="V65" s="176" t="s">
        <v>3</v>
      </c>
      <c r="W65" s="176" t="s">
        <v>3</v>
      </c>
      <c r="X65" s="177"/>
    </row>
    <row r="66" customFormat="false" ht="18.75" hidden="false" customHeight="true" outlineLevel="0" collapsed="false">
      <c r="B66" s="178" t="s">
        <v>55</v>
      </c>
      <c r="C66" s="179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1"/>
    </row>
    <row r="67" customFormat="false" ht="18.75" hidden="false" customHeight="true" outlineLevel="0" collapsed="false">
      <c r="B67" s="182" t="s">
        <v>151</v>
      </c>
      <c r="C67" s="174"/>
      <c r="D67" s="206" t="n">
        <f aca="false">$C$44/$E$16</f>
        <v>-774077.5</v>
      </c>
      <c r="E67" s="206" t="n">
        <f aca="false">$C$44/$E$16</f>
        <v>-774077.5</v>
      </c>
      <c r="F67" s="206" t="n">
        <f aca="false">$C$44/$E$16</f>
        <v>-774077.5</v>
      </c>
      <c r="G67" s="206" t="n">
        <f aca="false">$C$44/$E$16</f>
        <v>-774077.5</v>
      </c>
      <c r="H67" s="206" t="n">
        <f aca="false">$C$44/$E$16</f>
        <v>-774077.5</v>
      </c>
      <c r="I67" s="206" t="n">
        <f aca="false">$C$44/$E$16</f>
        <v>-774077.5</v>
      </c>
      <c r="J67" s="206" t="n">
        <f aca="false">$C$44/$E$16</f>
        <v>-774077.5</v>
      </c>
      <c r="K67" s="206" t="n">
        <f aca="false">$C$44/$E$16</f>
        <v>-774077.5</v>
      </c>
      <c r="L67" s="206" t="n">
        <f aca="false">$C$44/$E$16</f>
        <v>-774077.5</v>
      </c>
      <c r="M67" s="206" t="n">
        <f aca="false">$C$44/$E$16</f>
        <v>-774077.5</v>
      </c>
      <c r="N67" s="206" t="n">
        <f aca="false">$C$44/$E$16</f>
        <v>-774077.5</v>
      </c>
      <c r="O67" s="206" t="n">
        <f aca="false">$C$44/$E$16</f>
        <v>-774077.5</v>
      </c>
      <c r="P67" s="206" t="n">
        <f aca="false">$C$44/$E$16</f>
        <v>-774077.5</v>
      </c>
      <c r="Q67" s="206" t="n">
        <f aca="false">$C$44/$E$16</f>
        <v>-774077.5</v>
      </c>
      <c r="R67" s="206" t="n">
        <f aca="false">$C$44/$E$16</f>
        <v>-774077.5</v>
      </c>
      <c r="S67" s="206" t="n">
        <f aca="false">$C$44/$E$16</f>
        <v>-774077.5</v>
      </c>
      <c r="T67" s="206" t="n">
        <f aca="false">$C$44/$E$16</f>
        <v>-774077.5</v>
      </c>
      <c r="U67" s="206" t="n">
        <f aca="false">$C$44/$E$16</f>
        <v>-774077.5</v>
      </c>
      <c r="V67" s="206" t="n">
        <f aca="false">$C$44/$E$16</f>
        <v>-774077.5</v>
      </c>
      <c r="W67" s="206" t="n">
        <f aca="false">$C$44/$E$16</f>
        <v>-774077.5</v>
      </c>
      <c r="X67" s="177"/>
    </row>
    <row r="68" customFormat="false" ht="18.75" hidden="false" customHeight="true" outlineLevel="0" collapsed="false">
      <c r="B68" s="182" t="s">
        <v>57</v>
      </c>
      <c r="C68" s="174" t="s">
        <v>3</v>
      </c>
      <c r="D68" s="184" t="n">
        <f aca="false">D44</f>
        <v>0</v>
      </c>
      <c r="E68" s="184" t="n">
        <f aca="false">E45</f>
        <v>-601131.21743232</v>
      </c>
      <c r="F68" s="184" t="n">
        <f aca="false">F45</f>
        <v>-598692.55123584</v>
      </c>
      <c r="G68" s="184" t="n">
        <f aca="false">G45</f>
        <v>-596253.88503936</v>
      </c>
      <c r="H68" s="184" t="n">
        <f aca="false">H45</f>
        <v>-593815.21884288</v>
      </c>
      <c r="I68" s="184" t="n">
        <f aca="false">I45</f>
        <v>-591376.5526464</v>
      </c>
      <c r="J68" s="184" t="n">
        <f aca="false">J45</f>
        <v>-588937.88644992</v>
      </c>
      <c r="K68" s="184" t="n">
        <f aca="false">K45</f>
        <v>-586499.22025344</v>
      </c>
      <c r="L68" s="184" t="n">
        <f aca="false">L45</f>
        <v>-584060.55405696</v>
      </c>
      <c r="M68" s="184" t="n">
        <f aca="false">M45</f>
        <v>-581621.88786048</v>
      </c>
      <c r="N68" s="184" t="n">
        <f aca="false">N45</f>
        <v>-579183.221664</v>
      </c>
      <c r="O68" s="184" t="n">
        <f aca="false">O45</f>
        <v>-576744.55546752</v>
      </c>
      <c r="P68" s="184" t="n">
        <f aca="false">P45</f>
        <v>-574305.88927104</v>
      </c>
      <c r="Q68" s="184" t="n">
        <f aca="false">Q45</f>
        <v>-571867.22307456</v>
      </c>
      <c r="R68" s="184" t="n">
        <f aca="false">R45</f>
        <v>-569428.55687808</v>
      </c>
      <c r="S68" s="184" t="n">
        <f aca="false">S45</f>
        <v>-566989.8906816</v>
      </c>
      <c r="T68" s="184" t="n">
        <f aca="false">T45</f>
        <v>-564551.22448512</v>
      </c>
      <c r="U68" s="184" t="n">
        <f aca="false">U45</f>
        <v>-562112.55828864</v>
      </c>
      <c r="V68" s="184" t="n">
        <f aca="false">V45</f>
        <v>-559673.89209216</v>
      </c>
      <c r="W68" s="184" t="n">
        <f aca="false">W45</f>
        <v>-557235.22589568</v>
      </c>
      <c r="X68" s="177"/>
    </row>
    <row r="69" customFormat="false" ht="18.75" hidden="false" customHeight="true" outlineLevel="0" collapsed="false">
      <c r="B69" s="182" t="s">
        <v>58</v>
      </c>
      <c r="C69" s="174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7"/>
    </row>
    <row r="70" customFormat="false" ht="18.75" hidden="false" customHeight="true" outlineLevel="0" collapsed="false">
      <c r="B70" s="182" t="s">
        <v>59</v>
      </c>
      <c r="C70" s="174" t="s">
        <v>3</v>
      </c>
      <c r="D70" s="184" t="n">
        <f aca="false">-D109*$D25</f>
        <v>-317000.2178</v>
      </c>
      <c r="E70" s="184" t="n">
        <f aca="false">-E109*$D25</f>
        <v>-295866.869946667</v>
      </c>
      <c r="F70" s="184" t="n">
        <f aca="false">-F109*$D25</f>
        <v>-274733.522093333</v>
      </c>
      <c r="G70" s="184" t="n">
        <f aca="false">-G109*$D25</f>
        <v>-253600.17424</v>
      </c>
      <c r="H70" s="184" t="n">
        <f aca="false">-H109*$D25</f>
        <v>-232466.826386667</v>
      </c>
      <c r="I70" s="184" t="n">
        <f aca="false">-I109*$D25</f>
        <v>-211333.478533333</v>
      </c>
      <c r="J70" s="184" t="n">
        <f aca="false">-J109*$D25</f>
        <v>-190200.13068</v>
      </c>
      <c r="K70" s="184" t="n">
        <f aca="false">-K109*$D25</f>
        <v>-169066.782826667</v>
      </c>
      <c r="L70" s="184" t="n">
        <f aca="false">-L109*$D25</f>
        <v>-147933.434973333</v>
      </c>
      <c r="M70" s="184" t="n">
        <f aca="false">-M109*$D25</f>
        <v>-126800.08712</v>
      </c>
      <c r="N70" s="184" t="n">
        <f aca="false">-N109*$D25</f>
        <v>-105666.739266667</v>
      </c>
      <c r="O70" s="184" t="n">
        <f aca="false">-O109*$D25</f>
        <v>-84533.3914133334</v>
      </c>
      <c r="P70" s="184" t="n">
        <f aca="false">-P109*$D25</f>
        <v>-63400.04356</v>
      </c>
      <c r="Q70" s="184" t="n">
        <f aca="false">-Q109*$D25</f>
        <v>-42266.6957066667</v>
      </c>
      <c r="R70" s="184" t="n">
        <f aca="false">-R109*$D25</f>
        <v>-21133.3478533334</v>
      </c>
      <c r="S70" s="184" t="n">
        <f aca="false">-S109*$D25</f>
        <v>-0</v>
      </c>
      <c r="T70" s="184" t="n">
        <f aca="false">-T109*$D25</f>
        <v>-0</v>
      </c>
      <c r="U70" s="184" t="n">
        <f aca="false">-U109*$D25</f>
        <v>-0</v>
      </c>
      <c r="V70" s="184" t="n">
        <f aca="false">-V109*$D25</f>
        <v>-0</v>
      </c>
      <c r="W70" s="184" t="n">
        <f aca="false">-W109*$D25</f>
        <v>-0</v>
      </c>
      <c r="X70" s="177"/>
    </row>
    <row r="71" customFormat="false" ht="18.75" hidden="false" customHeight="true" outlineLevel="0" collapsed="false">
      <c r="B71" s="182" t="s">
        <v>60</v>
      </c>
      <c r="C71" s="174" t="s">
        <v>3</v>
      </c>
      <c r="D71" s="184" t="n">
        <f aca="false">D48</f>
        <v>-174440</v>
      </c>
      <c r="E71" s="184" t="n">
        <f aca="false">E48</f>
        <v>-174440</v>
      </c>
      <c r="F71" s="184" t="n">
        <f aca="false">F48</f>
        <v>-174440</v>
      </c>
      <c r="G71" s="184" t="n">
        <f aca="false">G48</f>
        <v>-174440</v>
      </c>
      <c r="H71" s="184" t="n">
        <f aca="false">H48</f>
        <v>-174440</v>
      </c>
      <c r="I71" s="184" t="n">
        <f aca="false">I48</f>
        <v>-174440</v>
      </c>
      <c r="J71" s="184" t="n">
        <f aca="false">J48</f>
        <v>-174440</v>
      </c>
      <c r="K71" s="184" t="n">
        <f aca="false">K48</f>
        <v>-174440</v>
      </c>
      <c r="L71" s="184" t="n">
        <f aca="false">L48</f>
        <v>-174440</v>
      </c>
      <c r="M71" s="184" t="n">
        <f aca="false">M48</f>
        <v>-174440</v>
      </c>
      <c r="N71" s="184" t="n">
        <f aca="false">N48</f>
        <v>-174440</v>
      </c>
      <c r="O71" s="184" t="n">
        <f aca="false">O48</f>
        <v>-174440</v>
      </c>
      <c r="P71" s="184" t="n">
        <f aca="false">P48</f>
        <v>-174440</v>
      </c>
      <c r="Q71" s="184" t="n">
        <f aca="false">Q48</f>
        <v>-174440</v>
      </c>
      <c r="R71" s="184" t="n">
        <f aca="false">R48</f>
        <v>-174440</v>
      </c>
      <c r="S71" s="184" t="n">
        <f aca="false">S48</f>
        <v>-174440</v>
      </c>
      <c r="T71" s="184" t="n">
        <f aca="false">T48</f>
        <v>-174440</v>
      </c>
      <c r="U71" s="184" t="n">
        <f aca="false">U48</f>
        <v>-174440</v>
      </c>
      <c r="V71" s="184" t="n">
        <f aca="false">V48</f>
        <v>-174440</v>
      </c>
      <c r="W71" s="184" t="n">
        <f aca="false">W48</f>
        <v>-174440</v>
      </c>
      <c r="X71" s="177"/>
    </row>
    <row r="72" customFormat="false" ht="18.75" hidden="false" customHeight="true" outlineLevel="0" collapsed="false">
      <c r="B72" s="182" t="s">
        <v>61</v>
      </c>
      <c r="C72" s="174" t="s">
        <v>3</v>
      </c>
      <c r="D72" s="184" t="n">
        <f aca="false">D49</f>
        <v>-34015.8</v>
      </c>
      <c r="E72" s="184" t="n">
        <f aca="false">E49</f>
        <v>-34015.8</v>
      </c>
      <c r="F72" s="184" t="n">
        <f aca="false">F49</f>
        <v>-34015.8</v>
      </c>
      <c r="G72" s="184" t="n">
        <f aca="false">G49</f>
        <v>-34015.8</v>
      </c>
      <c r="H72" s="184" t="n">
        <f aca="false">H49</f>
        <v>-34015.8</v>
      </c>
      <c r="I72" s="184" t="n">
        <f aca="false">I49</f>
        <v>-34015.8</v>
      </c>
      <c r="J72" s="184" t="n">
        <f aca="false">J49</f>
        <v>-34015.8</v>
      </c>
      <c r="K72" s="184" t="n">
        <f aca="false">K49</f>
        <v>-34015.8</v>
      </c>
      <c r="L72" s="184" t="n">
        <f aca="false">L49</f>
        <v>-34015.8</v>
      </c>
      <c r="M72" s="184" t="n">
        <f aca="false">M49</f>
        <v>-34015.8</v>
      </c>
      <c r="N72" s="184" t="n">
        <f aca="false">N49</f>
        <v>-34015.8</v>
      </c>
      <c r="O72" s="184" t="n">
        <f aca="false">O49</f>
        <v>-34015.8</v>
      </c>
      <c r="P72" s="184" t="n">
        <f aca="false">P49</f>
        <v>-34015.8</v>
      </c>
      <c r="Q72" s="184" t="n">
        <f aca="false">Q49</f>
        <v>-34015.8</v>
      </c>
      <c r="R72" s="184" t="n">
        <f aca="false">R49</f>
        <v>-34015.8</v>
      </c>
      <c r="S72" s="184" t="n">
        <f aca="false">S49</f>
        <v>-34015.8</v>
      </c>
      <c r="T72" s="184" t="n">
        <f aca="false">T49</f>
        <v>-34015.8</v>
      </c>
      <c r="U72" s="184" t="n">
        <f aca="false">U49</f>
        <v>-34015.8</v>
      </c>
      <c r="V72" s="184" t="n">
        <f aca="false">V49</f>
        <v>-34015.8</v>
      </c>
      <c r="W72" s="184" t="n">
        <f aca="false">W49</f>
        <v>-34015.8</v>
      </c>
      <c r="X72" s="177"/>
    </row>
    <row r="73" customFormat="false" ht="18.75" hidden="false" customHeight="true" outlineLevel="0" collapsed="false">
      <c r="B73" s="182" t="s">
        <v>62</v>
      </c>
      <c r="C73" s="174"/>
      <c r="D73" s="184" t="n">
        <f aca="false">D50</f>
        <v>-43610</v>
      </c>
      <c r="E73" s="184" t="n">
        <f aca="false">E50</f>
        <v>-43610</v>
      </c>
      <c r="F73" s="184" t="n">
        <f aca="false">F50</f>
        <v>-43610</v>
      </c>
      <c r="G73" s="184" t="n">
        <f aca="false">G50</f>
        <v>-43610</v>
      </c>
      <c r="H73" s="184" t="n">
        <f aca="false">H50</f>
        <v>-43610</v>
      </c>
      <c r="I73" s="184" t="n">
        <f aca="false">I50</f>
        <v>-43610</v>
      </c>
      <c r="J73" s="184" t="n">
        <f aca="false">J50</f>
        <v>-43610</v>
      </c>
      <c r="K73" s="184" t="n">
        <f aca="false">K50</f>
        <v>-43610</v>
      </c>
      <c r="L73" s="184" t="n">
        <f aca="false">L50</f>
        <v>-43610</v>
      </c>
      <c r="M73" s="184" t="n">
        <f aca="false">M50</f>
        <v>-43610</v>
      </c>
      <c r="N73" s="184" t="n">
        <f aca="false">N50</f>
        <v>0</v>
      </c>
      <c r="O73" s="184" t="n">
        <f aca="false">O50</f>
        <v>0</v>
      </c>
      <c r="P73" s="184" t="n">
        <f aca="false">P50</f>
        <v>0</v>
      </c>
      <c r="Q73" s="184" t="n">
        <f aca="false">Q50</f>
        <v>0</v>
      </c>
      <c r="R73" s="184" t="n">
        <f aca="false">R50</f>
        <v>0</v>
      </c>
      <c r="S73" s="184" t="n">
        <f aca="false">S50</f>
        <v>0</v>
      </c>
      <c r="T73" s="184" t="n">
        <f aca="false">T50</f>
        <v>0</v>
      </c>
      <c r="U73" s="184" t="n">
        <f aca="false">U50</f>
        <v>0</v>
      </c>
      <c r="V73" s="184" t="n">
        <f aca="false">V50</f>
        <v>0</v>
      </c>
      <c r="W73" s="184" t="n">
        <f aca="false">W50</f>
        <v>0</v>
      </c>
      <c r="X73" s="177"/>
    </row>
    <row r="74" customFormat="false" ht="18.75" hidden="false" customHeight="true" outlineLevel="0" collapsed="false">
      <c r="B74" s="182" t="s">
        <v>63</v>
      </c>
      <c r="C74" s="185"/>
      <c r="D74" s="207"/>
      <c r="E74" s="208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7"/>
    </row>
    <row r="75" customFormat="false" ht="18.75" hidden="false" customHeight="true" outlineLevel="0" collapsed="false">
      <c r="B75" s="182" t="s">
        <v>64</v>
      </c>
      <c r="C75" s="18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7"/>
    </row>
    <row r="76" customFormat="false" ht="18.75" hidden="false" customHeight="true" outlineLevel="0" collapsed="false">
      <c r="B76" s="187" t="s">
        <v>152</v>
      </c>
      <c r="C76" s="209"/>
      <c r="D76" s="189" t="n">
        <f aca="false">SUM(D64:D75)</f>
        <v>668756.094296</v>
      </c>
      <c r="E76" s="189" t="n">
        <f aca="false">SUM(E64:E75)</f>
        <v>80629.3373954131</v>
      </c>
      <c r="F76" s="189" t="n">
        <f aca="false">SUM(F64:F75)</f>
        <v>96072.4641236267</v>
      </c>
      <c r="G76" s="189" t="n">
        <f aca="false">SUM(G64:G75)</f>
        <v>111515.59085184</v>
      </c>
      <c r="H76" s="189" t="n">
        <f aca="false">SUM(H64:H75)</f>
        <v>126958.717580053</v>
      </c>
      <c r="I76" s="189" t="n">
        <f aca="false">SUM(I64:I75)</f>
        <v>142401.844308266</v>
      </c>
      <c r="J76" s="189" t="n">
        <f aca="false">SUM(J64:J75)</f>
        <v>157844.97103648</v>
      </c>
      <c r="K76" s="189" t="n">
        <f aca="false">SUM(K64:K75)</f>
        <v>173288.097764693</v>
      </c>
      <c r="L76" s="189" t="n">
        <f aca="false">SUM(L64:L75)</f>
        <v>188731.224492906</v>
      </c>
      <c r="M76" s="189" t="n">
        <f aca="false">SUM(M64:M75)</f>
        <v>204174.35122112</v>
      </c>
      <c r="N76" s="189" t="n">
        <f aca="false">SUM(N64:N75)</f>
        <v>263227.477949333</v>
      </c>
      <c r="O76" s="189" t="n">
        <f aca="false">SUM(O64:O75)</f>
        <v>278670.604677547</v>
      </c>
      <c r="P76" s="189" t="n">
        <f aca="false">SUM(P64:P75)</f>
        <v>294113.73140576</v>
      </c>
      <c r="Q76" s="189" t="n">
        <f aca="false">SUM(Q64:Q75)</f>
        <v>309556.858133973</v>
      </c>
      <c r="R76" s="189" t="n">
        <f aca="false">SUM(R64:R75)</f>
        <v>324999.984862187</v>
      </c>
      <c r="S76" s="189" t="n">
        <f aca="false">SUM(S64:S75)</f>
        <v>340443.1115904</v>
      </c>
      <c r="T76" s="189" t="n">
        <f aca="false">SUM(T64:T75)</f>
        <v>334752.89046528</v>
      </c>
      <c r="U76" s="189" t="n">
        <f aca="false">SUM(U64:U75)</f>
        <v>329062.66934016</v>
      </c>
      <c r="V76" s="189" t="n">
        <f aca="false">SUM(V64:V75)</f>
        <v>323372.44821504</v>
      </c>
      <c r="W76" s="189" t="n">
        <f aca="false">SUM(W64:W75)</f>
        <v>317682.22708992</v>
      </c>
      <c r="X76" s="189" t="n">
        <f aca="false">SUM(X64:X75)</f>
        <v>0</v>
      </c>
    </row>
    <row r="77" customFormat="false" ht="18.75" hidden="false" customHeight="true" outlineLevel="0" collapsed="false">
      <c r="B77" s="186" t="s">
        <v>66</v>
      </c>
      <c r="C77" s="185"/>
      <c r="D77" s="184" t="n">
        <f aca="false">-D76*0.2</f>
        <v>-133751.2188592</v>
      </c>
      <c r="E77" s="184" t="n">
        <f aca="false">-E76*0.2</f>
        <v>-16125.8674790826</v>
      </c>
      <c r="F77" s="184" t="n">
        <f aca="false">-F76*0.2</f>
        <v>-19214.4928247253</v>
      </c>
      <c r="G77" s="184" t="n">
        <f aca="false">-G76*0.2</f>
        <v>-22303.118170368</v>
      </c>
      <c r="H77" s="184" t="n">
        <f aca="false">-H76*0.2</f>
        <v>-25391.7435160106</v>
      </c>
      <c r="I77" s="184" t="n">
        <f aca="false">-I76*0.2</f>
        <v>-28480.3688616533</v>
      </c>
      <c r="J77" s="184" t="n">
        <f aca="false">-J76*0.2</f>
        <v>-31568.994207296</v>
      </c>
      <c r="K77" s="184" t="n">
        <f aca="false">-K76*0.2</f>
        <v>-34657.6195529386</v>
      </c>
      <c r="L77" s="184" t="n">
        <f aca="false">-L76*0.2</f>
        <v>-37746.2448985813</v>
      </c>
      <c r="M77" s="184" t="n">
        <f aca="false">-M76*0.2</f>
        <v>-40834.870244224</v>
      </c>
      <c r="N77" s="184" t="n">
        <f aca="false">-N76*0.2</f>
        <v>-52645.4955898666</v>
      </c>
      <c r="O77" s="184" t="n">
        <f aca="false">-O76*0.2</f>
        <v>-55734.1209355093</v>
      </c>
      <c r="P77" s="184" t="n">
        <f aca="false">-P76*0.2</f>
        <v>-58822.746281152</v>
      </c>
      <c r="Q77" s="184" t="n">
        <f aca="false">-Q76*0.2</f>
        <v>-61911.3716267946</v>
      </c>
      <c r="R77" s="184" t="n">
        <f aca="false">-R76*0.2</f>
        <v>-64999.9969724373</v>
      </c>
      <c r="S77" s="184" t="n">
        <f aca="false">-S76*0.2</f>
        <v>-68088.62231808</v>
      </c>
      <c r="T77" s="184" t="n">
        <f aca="false">-T76*0.2</f>
        <v>-66950.5780930559</v>
      </c>
      <c r="U77" s="184" t="n">
        <f aca="false">-U76*0.2</f>
        <v>-65812.533868032</v>
      </c>
      <c r="V77" s="184" t="n">
        <f aca="false">-V76*0.2</f>
        <v>-64674.489643008</v>
      </c>
      <c r="W77" s="184" t="n">
        <f aca="false">-W76*0.2</f>
        <v>-63536.445417984</v>
      </c>
      <c r="X77" s="184" t="n">
        <f aca="false">-X76*0.2</f>
        <v>-0</v>
      </c>
    </row>
    <row r="78" customFormat="false" ht="15.75" hidden="false" customHeight="true" outlineLevel="0" collapsed="false">
      <c r="B78" s="210" t="s">
        <v>76</v>
      </c>
      <c r="D78" s="184" t="n">
        <f aca="false">SUM(D76:D77)</f>
        <v>535004.8754368</v>
      </c>
      <c r="E78" s="184" t="n">
        <f aca="false">SUM(E76:E77)</f>
        <v>64503.4699163305</v>
      </c>
      <c r="F78" s="184" t="n">
        <f aca="false">SUM(F76:F77)</f>
        <v>76857.9712989014</v>
      </c>
      <c r="G78" s="184" t="n">
        <f aca="false">SUM(G76:G77)</f>
        <v>89212.4726814719</v>
      </c>
      <c r="H78" s="184" t="n">
        <f aca="false">SUM(H76:H77)</f>
        <v>101566.974064042</v>
      </c>
      <c r="I78" s="184" t="n">
        <f aca="false">SUM(I76:I77)</f>
        <v>113921.475446613</v>
      </c>
      <c r="J78" s="184" t="n">
        <f aca="false">SUM(J76:J77)</f>
        <v>126275.976829184</v>
      </c>
      <c r="K78" s="184" t="n">
        <f aca="false">SUM(K76:K77)</f>
        <v>138630.478211755</v>
      </c>
      <c r="L78" s="184" t="n">
        <f aca="false">SUM(L76:L77)</f>
        <v>150984.979594325</v>
      </c>
      <c r="M78" s="184" t="n">
        <f aca="false">SUM(M76:M77)</f>
        <v>163339.480976896</v>
      </c>
      <c r="N78" s="184" t="n">
        <f aca="false">SUM(N76:N77)</f>
        <v>210581.982359467</v>
      </c>
      <c r="O78" s="184" t="n">
        <f aca="false">SUM(O76:O77)</f>
        <v>222936.483742037</v>
      </c>
      <c r="P78" s="184" t="n">
        <f aca="false">SUM(P76:P77)</f>
        <v>235290.985124608</v>
      </c>
      <c r="Q78" s="184" t="n">
        <f aca="false">SUM(Q76:Q77)</f>
        <v>247645.486507179</v>
      </c>
      <c r="R78" s="184" t="n">
        <f aca="false">SUM(R76:R77)</f>
        <v>259999.987889749</v>
      </c>
      <c r="S78" s="184" t="n">
        <f aca="false">SUM(S76:S77)</f>
        <v>272354.48927232</v>
      </c>
      <c r="T78" s="184" t="n">
        <f aca="false">SUM(T76:T77)</f>
        <v>267802.312372224</v>
      </c>
      <c r="U78" s="184" t="n">
        <f aca="false">SUM(U76:U77)</f>
        <v>263250.135472128</v>
      </c>
      <c r="V78" s="184" t="n">
        <f aca="false">SUM(V76:V77)</f>
        <v>258697.958572032</v>
      </c>
      <c r="W78" s="184" t="n">
        <f aca="false">SUM(W76:W77)</f>
        <v>254145.781671936</v>
      </c>
      <c r="X78" s="184" t="n">
        <f aca="false">SUM(X76:X77)</f>
        <v>0</v>
      </c>
    </row>
    <row r="79" customFormat="false" ht="18.75" hidden="false" customHeight="true" outlineLevel="0" collapsed="false">
      <c r="B79" s="193" t="s">
        <v>68</v>
      </c>
      <c r="C79" s="196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2"/>
    </row>
    <row r="80" customFormat="false" ht="18.75" hidden="false" customHeight="true" outlineLevel="0" collapsed="false">
      <c r="B80" s="213" t="s">
        <v>74</v>
      </c>
      <c r="C80" s="214"/>
      <c r="D80" s="215"/>
      <c r="E80" s="215"/>
      <c r="F80" s="215"/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6"/>
    </row>
    <row r="81" customFormat="false" ht="18.75" hidden="false" customHeight="true" outlineLevel="0" collapsed="false">
      <c r="B81" s="202"/>
      <c r="C81" s="201"/>
      <c r="D81" s="201"/>
      <c r="E81" s="201"/>
      <c r="F81" s="202"/>
      <c r="G81" s="202"/>
      <c r="H81" s="202"/>
      <c r="I81" s="202"/>
      <c r="J81" s="202"/>
      <c r="K81" s="202"/>
      <c r="L81" s="202"/>
      <c r="M81" s="201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</row>
    <row r="82" customFormat="false" ht="18.75" hidden="false" customHeight="true" outlineLevel="0" collapsed="false">
      <c r="C82" s="217" t="s">
        <v>48</v>
      </c>
      <c r="D82" s="218" t="n">
        <f aca="false">D37</f>
        <v>2023</v>
      </c>
      <c r="E82" s="218" t="n">
        <f aca="false">E37</f>
        <v>2024</v>
      </c>
      <c r="F82" s="218" t="n">
        <f aca="false">F37</f>
        <v>2025</v>
      </c>
      <c r="G82" s="218" t="n">
        <f aca="false">G37</f>
        <v>2026</v>
      </c>
      <c r="H82" s="218" t="n">
        <f aca="false">H37</f>
        <v>2027</v>
      </c>
      <c r="I82" s="218" t="n">
        <f aca="false">I37</f>
        <v>2028</v>
      </c>
      <c r="J82" s="218" t="n">
        <f aca="false">J37</f>
        <v>2029</v>
      </c>
      <c r="K82" s="218" t="n">
        <f aca="false">K37</f>
        <v>2030</v>
      </c>
      <c r="L82" s="218" t="n">
        <f aca="false">L37</f>
        <v>2031</v>
      </c>
      <c r="M82" s="218" t="n">
        <f aca="false">M37</f>
        <v>2032</v>
      </c>
      <c r="N82" s="218" t="n">
        <f aca="false">N37</f>
        <v>2033</v>
      </c>
      <c r="O82" s="218" t="n">
        <f aca="false">O37</f>
        <v>2034</v>
      </c>
      <c r="P82" s="218" t="n">
        <f aca="false">P37</f>
        <v>2035</v>
      </c>
      <c r="Q82" s="218" t="n">
        <f aca="false">Q37</f>
        <v>2036</v>
      </c>
      <c r="R82" s="218" t="n">
        <f aca="false">R37</f>
        <v>2037</v>
      </c>
      <c r="S82" s="218" t="n">
        <f aca="false">S37</f>
        <v>2038</v>
      </c>
      <c r="T82" s="218" t="n">
        <f aca="false">T37</f>
        <v>2039</v>
      </c>
      <c r="U82" s="218" t="n">
        <f aca="false">U37</f>
        <v>2040</v>
      </c>
      <c r="V82" s="218" t="n">
        <f aca="false">V37</f>
        <v>2041</v>
      </c>
      <c r="W82" s="218" t="n">
        <f aca="false">W37</f>
        <v>2042</v>
      </c>
      <c r="X82" s="72"/>
    </row>
    <row r="83" customFormat="false" ht="18.75" hidden="false" customHeight="true" outlineLevel="0" collapsed="false">
      <c r="X83" s="203"/>
    </row>
    <row r="84" customFormat="false" ht="18.75" hidden="false" customHeight="true" outlineLevel="0" collapsed="false">
      <c r="B84" s="219" t="s">
        <v>51</v>
      </c>
      <c r="C84" s="219" t="n">
        <v>0</v>
      </c>
      <c r="D84" s="219" t="n">
        <v>1</v>
      </c>
      <c r="E84" s="219" t="n">
        <v>2</v>
      </c>
      <c r="F84" s="219" t="n">
        <v>3</v>
      </c>
      <c r="G84" s="219" t="n">
        <v>4</v>
      </c>
      <c r="H84" s="219" t="n">
        <v>5</v>
      </c>
      <c r="I84" s="219" t="n">
        <v>6</v>
      </c>
      <c r="J84" s="219" t="n">
        <v>7</v>
      </c>
      <c r="K84" s="219" t="n">
        <v>8</v>
      </c>
      <c r="L84" s="219" t="n">
        <v>9</v>
      </c>
      <c r="M84" s="219" t="n">
        <v>10</v>
      </c>
      <c r="N84" s="219" t="n">
        <v>11</v>
      </c>
      <c r="O84" s="219" t="n">
        <v>12</v>
      </c>
      <c r="P84" s="219" t="n">
        <v>13</v>
      </c>
      <c r="Q84" s="219" t="n">
        <v>14</v>
      </c>
      <c r="R84" s="219" t="n">
        <v>15</v>
      </c>
      <c r="S84" s="219" t="n">
        <v>16</v>
      </c>
      <c r="T84" s="219" t="n">
        <v>17</v>
      </c>
      <c r="U84" s="219" t="n">
        <v>18</v>
      </c>
      <c r="V84" s="219" t="n">
        <v>19</v>
      </c>
      <c r="W84" s="219" t="n">
        <v>20</v>
      </c>
      <c r="X84" s="103"/>
    </row>
    <row r="85" customFormat="false" ht="18.75" hidden="false" customHeight="true" outlineLevel="0" collapsed="false">
      <c r="B85" s="220" t="s">
        <v>76</v>
      </c>
      <c r="C85" s="220"/>
      <c r="D85" s="221" t="n">
        <f aca="false">D78</f>
        <v>535004.8754368</v>
      </c>
      <c r="E85" s="221" t="n">
        <f aca="false">E78</f>
        <v>64503.4699163305</v>
      </c>
      <c r="F85" s="221" t="n">
        <f aca="false">F78</f>
        <v>76857.9712989014</v>
      </c>
      <c r="G85" s="221" t="n">
        <f aca="false">G78</f>
        <v>89212.4726814719</v>
      </c>
      <c r="H85" s="221" t="n">
        <f aca="false">H78</f>
        <v>101566.974064042</v>
      </c>
      <c r="I85" s="221" t="n">
        <f aca="false">I78</f>
        <v>113921.475446613</v>
      </c>
      <c r="J85" s="221" t="n">
        <f aca="false">J78</f>
        <v>126275.976829184</v>
      </c>
      <c r="K85" s="221" t="n">
        <f aca="false">K78</f>
        <v>138630.478211755</v>
      </c>
      <c r="L85" s="221" t="n">
        <f aca="false">L78</f>
        <v>150984.979594325</v>
      </c>
      <c r="M85" s="221" t="n">
        <f aca="false">M78</f>
        <v>163339.480976896</v>
      </c>
      <c r="N85" s="221" t="n">
        <f aca="false">N78</f>
        <v>210581.982359467</v>
      </c>
      <c r="O85" s="221" t="n">
        <f aca="false">O78</f>
        <v>222936.483742037</v>
      </c>
      <c r="P85" s="221" t="n">
        <f aca="false">P78</f>
        <v>235290.985124608</v>
      </c>
      <c r="Q85" s="221" t="n">
        <f aca="false">Q78</f>
        <v>247645.486507179</v>
      </c>
      <c r="R85" s="221" t="n">
        <f aca="false">R78</f>
        <v>259999.987889749</v>
      </c>
      <c r="S85" s="221" t="n">
        <f aca="false">S78</f>
        <v>272354.48927232</v>
      </c>
      <c r="T85" s="221" t="n">
        <f aca="false">T78</f>
        <v>267802.312372224</v>
      </c>
      <c r="U85" s="221" t="n">
        <f aca="false">U78</f>
        <v>263250.135472128</v>
      </c>
      <c r="V85" s="221" t="n">
        <f aca="false">V78</f>
        <v>258697.958572032</v>
      </c>
      <c r="W85" s="221" t="n">
        <f aca="false">W78</f>
        <v>254145.781671936</v>
      </c>
      <c r="X85" s="220"/>
      <c r="Y85" s="220"/>
    </row>
    <row r="86" customFormat="false" ht="15.75" hidden="false" customHeight="true" outlineLevel="0" collapsed="false">
      <c r="B86" s="220" t="s">
        <v>77</v>
      </c>
      <c r="C86" s="220"/>
      <c r="D86" s="222" t="n">
        <f aca="false">-D67</f>
        <v>774077.5</v>
      </c>
      <c r="E86" s="222" t="n">
        <f aca="false">-E67</f>
        <v>774077.5</v>
      </c>
      <c r="F86" s="222" t="n">
        <f aca="false">-F67</f>
        <v>774077.5</v>
      </c>
      <c r="G86" s="222" t="n">
        <f aca="false">-G67</f>
        <v>774077.5</v>
      </c>
      <c r="H86" s="222" t="n">
        <f aca="false">-H67</f>
        <v>774077.5</v>
      </c>
      <c r="I86" s="222" t="n">
        <f aca="false">-I67</f>
        <v>774077.5</v>
      </c>
      <c r="J86" s="222" t="n">
        <f aca="false">-J67</f>
        <v>774077.5</v>
      </c>
      <c r="K86" s="222" t="n">
        <f aca="false">-K67</f>
        <v>774077.5</v>
      </c>
      <c r="L86" s="222" t="n">
        <f aca="false">-L67</f>
        <v>774077.5</v>
      </c>
      <c r="M86" s="222" t="n">
        <f aca="false">-M67</f>
        <v>774077.5</v>
      </c>
      <c r="N86" s="222" t="n">
        <f aca="false">-N67</f>
        <v>774077.5</v>
      </c>
      <c r="O86" s="222" t="n">
        <f aca="false">-O67</f>
        <v>774077.5</v>
      </c>
      <c r="P86" s="222" t="n">
        <f aca="false">-P67</f>
        <v>774077.5</v>
      </c>
      <c r="Q86" s="222" t="n">
        <f aca="false">-Q67</f>
        <v>774077.5</v>
      </c>
      <c r="R86" s="222" t="n">
        <f aca="false">-R67</f>
        <v>774077.5</v>
      </c>
      <c r="S86" s="222" t="n">
        <f aca="false">-S67</f>
        <v>774077.5</v>
      </c>
      <c r="T86" s="222" t="n">
        <f aca="false">-T67</f>
        <v>774077.5</v>
      </c>
      <c r="U86" s="222" t="n">
        <f aca="false">-U67</f>
        <v>774077.5</v>
      </c>
      <c r="V86" s="222" t="n">
        <f aca="false">-V67</f>
        <v>774077.5</v>
      </c>
      <c r="W86" s="222" t="n">
        <f aca="false">-W67</f>
        <v>774077.5</v>
      </c>
      <c r="X86" s="223"/>
      <c r="Y86" s="223"/>
    </row>
    <row r="87" customFormat="false" ht="15.75" hidden="false" customHeight="true" outlineLevel="0" collapsed="false">
      <c r="B87" s="220" t="s">
        <v>78</v>
      </c>
      <c r="C87" s="220"/>
      <c r="D87" s="224" t="n">
        <f aca="false">SUM(D85:D86)</f>
        <v>1309082.3754368</v>
      </c>
      <c r="E87" s="224" t="n">
        <f aca="false">SUM(E85:E86)</f>
        <v>838580.96991633</v>
      </c>
      <c r="F87" s="224" t="n">
        <f aca="false">SUM(F85:F86)</f>
        <v>850935.471298901</v>
      </c>
      <c r="G87" s="224" t="n">
        <f aca="false">SUM(G85:G86)</f>
        <v>863289.972681472</v>
      </c>
      <c r="H87" s="224" t="n">
        <f aca="false">SUM(H85:H86)</f>
        <v>875644.474064042</v>
      </c>
      <c r="I87" s="224" t="n">
        <f aca="false">SUM(I85:I86)</f>
        <v>887998.975446613</v>
      </c>
      <c r="J87" s="224" t="n">
        <f aca="false">SUM(J85:J86)</f>
        <v>900353.476829184</v>
      </c>
      <c r="K87" s="224" t="n">
        <f aca="false">SUM(K85:K86)</f>
        <v>912707.978211755</v>
      </c>
      <c r="L87" s="224" t="n">
        <f aca="false">SUM(L85:L86)</f>
        <v>925062.479594325</v>
      </c>
      <c r="M87" s="224" t="n">
        <f aca="false">SUM(M85:M86)</f>
        <v>937416.980976896</v>
      </c>
      <c r="N87" s="224" t="n">
        <f aca="false">SUM(N85:N86)</f>
        <v>984659.482359467</v>
      </c>
      <c r="O87" s="224" t="n">
        <f aca="false">SUM(O85:O86)</f>
        <v>997013.983742037</v>
      </c>
      <c r="P87" s="224" t="n">
        <f aca="false">SUM(P85:P86)</f>
        <v>1009368.48512461</v>
      </c>
      <c r="Q87" s="224" t="n">
        <f aca="false">SUM(Q85:Q86)</f>
        <v>1021722.98650718</v>
      </c>
      <c r="R87" s="224" t="n">
        <f aca="false">SUM(R85:R86)</f>
        <v>1034077.48788975</v>
      </c>
      <c r="S87" s="224" t="n">
        <f aca="false">SUM(S85:S86)</f>
        <v>1046431.98927232</v>
      </c>
      <c r="T87" s="224" t="n">
        <f aca="false">SUM(T85:T86)</f>
        <v>1041879.81237222</v>
      </c>
      <c r="U87" s="224" t="n">
        <f aca="false">SUM(U85:U86)</f>
        <v>1037327.63547213</v>
      </c>
      <c r="V87" s="224" t="n">
        <f aca="false">SUM(V85:V86)</f>
        <v>1032775.45857203</v>
      </c>
      <c r="W87" s="224" t="n">
        <f aca="false">SUM(W85:W86)</f>
        <v>1028223.28167194</v>
      </c>
      <c r="X87" s="192"/>
    </row>
    <row r="88" customFormat="false" ht="15.75" hidden="false" customHeight="true" outlineLevel="0" collapsed="false">
      <c r="B88" s="220"/>
      <c r="C88" s="220"/>
      <c r="D88" s="220"/>
      <c r="E88" s="220"/>
      <c r="F88" s="225"/>
      <c r="G88" s="225"/>
      <c r="H88" s="225"/>
      <c r="I88" s="225"/>
      <c r="J88" s="225"/>
      <c r="K88" s="225"/>
      <c r="L88" s="225"/>
      <c r="M88" s="225"/>
      <c r="N88" s="225"/>
      <c r="O88" s="225"/>
      <c r="P88" s="225"/>
      <c r="Q88" s="225"/>
      <c r="R88" s="225"/>
      <c r="S88" s="225"/>
      <c r="T88" s="225"/>
      <c r="U88" s="225"/>
      <c r="V88" s="225"/>
      <c r="W88" s="225"/>
      <c r="X88" s="191"/>
    </row>
    <row r="89" customFormat="false" ht="15.75" hidden="false" customHeight="true" outlineLevel="0" collapsed="false">
      <c r="B89" s="226" t="s">
        <v>79</v>
      </c>
      <c r="C89" s="227"/>
      <c r="D89" s="228" t="n">
        <f aca="false">C44</f>
        <v>-15481550</v>
      </c>
      <c r="E89" s="227"/>
      <c r="F89" s="227"/>
      <c r="G89" s="227"/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9"/>
    </row>
    <row r="90" customFormat="false" ht="15.75" hidden="false" customHeight="true" outlineLevel="0" collapsed="false">
      <c r="B90" s="220"/>
      <c r="C90" s="220"/>
      <c r="D90" s="220"/>
      <c r="E90" s="220"/>
      <c r="F90" s="225"/>
      <c r="G90" s="225"/>
      <c r="H90" s="225"/>
      <c r="I90" s="225"/>
      <c r="J90" s="225"/>
      <c r="K90" s="225"/>
      <c r="L90" s="225"/>
      <c r="M90" s="225"/>
      <c r="N90" s="225"/>
      <c r="O90" s="225"/>
      <c r="P90" s="225"/>
      <c r="Q90" s="225"/>
      <c r="R90" s="225"/>
      <c r="S90" s="225"/>
      <c r="T90" s="225"/>
      <c r="U90" s="225"/>
      <c r="V90" s="225"/>
      <c r="W90" s="225"/>
      <c r="X90" s="191"/>
    </row>
    <row r="91" customFormat="false" ht="15.75" hidden="false" customHeight="true" outlineLevel="0" collapsed="false">
      <c r="B91" s="220"/>
      <c r="C91" s="220"/>
      <c r="D91" s="220"/>
      <c r="E91" s="220"/>
      <c r="F91" s="225"/>
      <c r="G91" s="225"/>
      <c r="H91" s="225"/>
      <c r="I91" s="225"/>
      <c r="J91" s="225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191"/>
    </row>
    <row r="92" customFormat="false" ht="15.75" hidden="false" customHeight="true" outlineLevel="0" collapsed="false">
      <c r="B92" s="226" t="s">
        <v>80</v>
      </c>
      <c r="C92" s="227"/>
      <c r="D92" s="228" t="n">
        <f aca="false">-D89*D31</f>
        <v>12385240</v>
      </c>
      <c r="E92" s="227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191"/>
    </row>
    <row r="93" customFormat="false" ht="15.75" hidden="false" customHeight="true" outlineLevel="0" collapsed="false">
      <c r="B93" s="220" t="s">
        <v>81</v>
      </c>
      <c r="C93" s="220"/>
      <c r="D93" s="230"/>
      <c r="E93" s="230" t="n">
        <v>-825682.666666667</v>
      </c>
      <c r="F93" s="230" t="n">
        <v>-825682.666666667</v>
      </c>
      <c r="G93" s="230" t="n">
        <v>-825682.666666667</v>
      </c>
      <c r="H93" s="230" t="n">
        <v>-825682.666666667</v>
      </c>
      <c r="I93" s="230" t="n">
        <v>-825682.666666667</v>
      </c>
      <c r="J93" s="230" t="n">
        <v>-825682.666666667</v>
      </c>
      <c r="K93" s="230" t="n">
        <v>-825682.666666667</v>
      </c>
      <c r="L93" s="230" t="n">
        <v>-825682.666666667</v>
      </c>
      <c r="M93" s="230" t="n">
        <v>-825682.666666667</v>
      </c>
      <c r="N93" s="230" t="n">
        <v>-825682.666666667</v>
      </c>
      <c r="O93" s="230" t="n">
        <v>-825682.666666667</v>
      </c>
      <c r="P93" s="230" t="n">
        <v>-825682.666666667</v>
      </c>
      <c r="Q93" s="230" t="n">
        <v>-825682.666666667</v>
      </c>
      <c r="R93" s="230" t="n">
        <v>-825682.666666667</v>
      </c>
      <c r="S93" s="230" t="n">
        <v>-825682.666666667</v>
      </c>
      <c r="T93" s="230" t="n">
        <v>0</v>
      </c>
      <c r="U93" s="230" t="n">
        <v>0</v>
      </c>
      <c r="V93" s="230" t="n">
        <v>0</v>
      </c>
      <c r="W93" s="230" t="n">
        <v>0</v>
      </c>
      <c r="X93" s="229"/>
    </row>
    <row r="94" customFormat="false" ht="15.75" hidden="false" customHeight="true" outlineLevel="0" collapsed="false">
      <c r="B94" s="220" t="s">
        <v>82</v>
      </c>
      <c r="C94" s="225"/>
      <c r="D94" s="221" t="n">
        <f aca="false">-D89*(1-D31)</f>
        <v>3096310</v>
      </c>
      <c r="E94" s="225"/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192"/>
    </row>
    <row r="95" customFormat="false" ht="15.75" hidden="false" customHeight="true" outlineLevel="0" collapsed="false">
      <c r="B95" s="220" t="s">
        <v>45</v>
      </c>
      <c r="C95" s="225"/>
      <c r="D95" s="225"/>
      <c r="E95" s="231" t="n">
        <f aca="false">-D85*$D$33</f>
        <v>-481504.38789312</v>
      </c>
      <c r="F95" s="231" t="n">
        <f aca="false">-E85*$D$33</f>
        <v>-58053.1229246974</v>
      </c>
      <c r="G95" s="231" t="n">
        <f aca="false">-F85*$D$33</f>
        <v>-69172.1741690112</v>
      </c>
      <c r="H95" s="231" t="n">
        <f aca="false">-G85*$D$33</f>
        <v>-80291.2254133248</v>
      </c>
      <c r="I95" s="231" t="n">
        <f aca="false">-H85*$D$33</f>
        <v>-91410.2766576382</v>
      </c>
      <c r="J95" s="231" t="n">
        <f aca="false">-I85*$D$33</f>
        <v>-102529.327901952</v>
      </c>
      <c r="K95" s="231" t="n">
        <f aca="false">-J85*$D$33</f>
        <v>-113648.379146266</v>
      </c>
      <c r="L95" s="231" t="n">
        <f aca="false">-K85*$D$33</f>
        <v>-124767.430390579</v>
      </c>
      <c r="M95" s="231" t="n">
        <f aca="false">-L85*$D$33</f>
        <v>-135886.481634893</v>
      </c>
      <c r="N95" s="231" t="n">
        <f aca="false">-M85*$D$33</f>
        <v>-147005.532879206</v>
      </c>
      <c r="O95" s="231" t="n">
        <f aca="false">-N85*$D$33</f>
        <v>-189523.78412352</v>
      </c>
      <c r="P95" s="231" t="n">
        <f aca="false">-O85*$D$33</f>
        <v>-200642.835367833</v>
      </c>
      <c r="Q95" s="231" t="n">
        <f aca="false">-P85*$D$33</f>
        <v>-211761.886612147</v>
      </c>
      <c r="R95" s="231" t="n">
        <f aca="false">-Q85*$D$33</f>
        <v>-222880.937856461</v>
      </c>
      <c r="S95" s="231" t="n">
        <f aca="false">-R85*$D$33</f>
        <v>-233999.989100774</v>
      </c>
      <c r="T95" s="231" t="n">
        <f aca="false">-S85*$D$33</f>
        <v>-245119.040345088</v>
      </c>
      <c r="U95" s="231" t="n">
        <f aca="false">-T85*$D$33</f>
        <v>-241022.081135001</v>
      </c>
      <c r="V95" s="231" t="n">
        <f aca="false">-U85*$D$33</f>
        <v>-236925.121924915</v>
      </c>
      <c r="W95" s="231" t="n">
        <f aca="false">-V85*$D$33</f>
        <v>-232828.162714829</v>
      </c>
      <c r="X95" s="231" t="n">
        <f aca="false">-W85*$D$33</f>
        <v>-228731.203504742</v>
      </c>
    </row>
    <row r="96" customFormat="false" ht="15.75" hidden="false" customHeight="true" outlineLevel="0" collapsed="false">
      <c r="B96" s="232" t="s">
        <v>47</v>
      </c>
      <c r="C96" s="233"/>
      <c r="D96" s="233" t="n">
        <v>0</v>
      </c>
      <c r="E96" s="234" t="n">
        <v>0</v>
      </c>
      <c r="F96" s="234" t="n">
        <v>0</v>
      </c>
      <c r="G96" s="234" t="n">
        <v>0</v>
      </c>
      <c r="H96" s="234" t="n">
        <v>0</v>
      </c>
      <c r="I96" s="234" t="n">
        <v>0</v>
      </c>
      <c r="J96" s="234" t="n">
        <v>0</v>
      </c>
      <c r="K96" s="234" t="n">
        <v>0</v>
      </c>
      <c r="L96" s="234" t="n">
        <v>0</v>
      </c>
      <c r="M96" s="234" t="n">
        <v>0</v>
      </c>
      <c r="N96" s="234" t="n">
        <v>0</v>
      </c>
      <c r="O96" s="234" t="n">
        <v>0</v>
      </c>
      <c r="P96" s="234" t="n">
        <v>0</v>
      </c>
      <c r="Q96" s="234" t="n">
        <v>0</v>
      </c>
      <c r="R96" s="234" t="n">
        <v>0</v>
      </c>
      <c r="S96" s="234" t="n">
        <v>0</v>
      </c>
      <c r="T96" s="234" t="n">
        <v>-774077.5</v>
      </c>
      <c r="U96" s="234" t="n">
        <v>-774077.5</v>
      </c>
      <c r="V96" s="234" t="n">
        <v>-774077.5</v>
      </c>
      <c r="W96" s="234" t="n">
        <v>-774077.5</v>
      </c>
      <c r="X96" s="235" t="n">
        <f aca="false">-W101-X95</f>
        <v>-405300.375744</v>
      </c>
    </row>
    <row r="97" customFormat="false" ht="15.75" hidden="false" customHeight="true" outlineLevel="0" collapsed="false">
      <c r="B97" s="225"/>
      <c r="C97" s="225"/>
      <c r="D97" s="225"/>
      <c r="E97" s="225"/>
      <c r="F97" s="22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192"/>
    </row>
    <row r="98" customFormat="false" ht="15.75" hidden="false" customHeight="true" outlineLevel="0" collapsed="false">
      <c r="B98" s="225"/>
      <c r="C98" s="225"/>
      <c r="D98" s="225"/>
      <c r="E98" s="225"/>
      <c r="F98" s="22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192"/>
    </row>
    <row r="99" customFormat="false" ht="15.75" hidden="false" customHeight="true" outlineLevel="0" collapsed="false">
      <c r="B99" s="220" t="s">
        <v>83</v>
      </c>
      <c r="C99" s="221" t="n">
        <v>0</v>
      </c>
      <c r="D99" s="221" t="n">
        <f aca="false">SUM(D87:D96)</f>
        <v>1309082.3754368</v>
      </c>
      <c r="E99" s="221" t="n">
        <f aca="false">SUM(E87:E96)</f>
        <v>-468606.084643456</v>
      </c>
      <c r="F99" s="221" t="n">
        <f aca="false">SUM(F87:F96)</f>
        <v>-32800.3182924627</v>
      </c>
      <c r="G99" s="221" t="n">
        <f aca="false">SUM(G87:G96)</f>
        <v>-31564.8681542059</v>
      </c>
      <c r="H99" s="221" t="n">
        <f aca="false">SUM(H87:H96)</f>
        <v>-30329.4180159489</v>
      </c>
      <c r="I99" s="221" t="n">
        <f aca="false">SUM(I87:I96)</f>
        <v>-29093.9678776918</v>
      </c>
      <c r="J99" s="221" t="n">
        <f aca="false">SUM(J87:J96)</f>
        <v>-27858.5177394344</v>
      </c>
      <c r="K99" s="221" t="n">
        <f aca="false">SUM(K87:K96)</f>
        <v>-26623.0676011778</v>
      </c>
      <c r="L99" s="221" t="n">
        <f aca="false">SUM(L87:L96)</f>
        <v>-25387.6174629205</v>
      </c>
      <c r="M99" s="221" t="n">
        <f aca="false">SUM(M87:M96)</f>
        <v>-24152.1673246633</v>
      </c>
      <c r="N99" s="221" t="n">
        <f aca="false">SUM(N87:N96)</f>
        <v>11971.2828135937</v>
      </c>
      <c r="O99" s="221" t="n">
        <f aca="false">SUM(O87:O96)</f>
        <v>-18192.4670481493</v>
      </c>
      <c r="P99" s="221" t="n">
        <f aca="false">SUM(P87:P96)</f>
        <v>-16957.0169098922</v>
      </c>
      <c r="Q99" s="221" t="n">
        <f aca="false">SUM(Q87:Q96)</f>
        <v>-15721.5667716352</v>
      </c>
      <c r="R99" s="221" t="n">
        <f aca="false">SUM(R87:R96)</f>
        <v>-14486.1166333781</v>
      </c>
      <c r="S99" s="221" t="n">
        <f aca="false">SUM(S87:S96)</f>
        <v>-13250.6664951209</v>
      </c>
      <c r="T99" s="221" t="n">
        <f aca="false">SUM(T87:T96)</f>
        <v>22683.2720271357</v>
      </c>
      <c r="U99" s="221" t="n">
        <f aca="false">SUM(U87:U96)</f>
        <v>22228.0543371266</v>
      </c>
      <c r="V99" s="221" t="n">
        <f aca="false">SUM(V87:V96)</f>
        <v>21772.8366471167</v>
      </c>
      <c r="W99" s="221" t="n">
        <f aca="false">SUM(W87:W96)</f>
        <v>21317.6189571073</v>
      </c>
      <c r="X99" s="192"/>
    </row>
    <row r="100" customFormat="false" ht="15.75" hidden="false" customHeight="true" outlineLevel="0" collapsed="false">
      <c r="B100" s="220" t="s">
        <v>84</v>
      </c>
      <c r="C100" s="221" t="n">
        <v>0</v>
      </c>
      <c r="D100" s="221" t="n">
        <f aca="false">C101</f>
        <v>0</v>
      </c>
      <c r="E100" s="221" t="n">
        <f aca="false">D101</f>
        <v>1309082.3754368</v>
      </c>
      <c r="F100" s="221" t="n">
        <f aca="false">E101</f>
        <v>840476.290793343</v>
      </c>
      <c r="G100" s="221" t="n">
        <f aca="false">F101</f>
        <v>807675.972500881</v>
      </c>
      <c r="H100" s="221" t="n">
        <f aca="false">G101</f>
        <v>776111.104346675</v>
      </c>
      <c r="I100" s="221" t="n">
        <f aca="false">H101</f>
        <v>745781.686330726</v>
      </c>
      <c r="J100" s="221" t="n">
        <f aca="false">I101</f>
        <v>716687.718453034</v>
      </c>
      <c r="K100" s="221" t="n">
        <f aca="false">J101</f>
        <v>688829.200713599</v>
      </c>
      <c r="L100" s="221" t="n">
        <f aca="false">K101</f>
        <v>662206.133112422</v>
      </c>
      <c r="M100" s="221" t="n">
        <f aca="false">L101</f>
        <v>636818.515649501</v>
      </c>
      <c r="N100" s="221" t="n">
        <f aca="false">M101</f>
        <v>612666.348324838</v>
      </c>
      <c r="O100" s="221" t="n">
        <f aca="false">N101</f>
        <v>624637.631138432</v>
      </c>
      <c r="P100" s="221" t="n">
        <f aca="false">O101</f>
        <v>606445.164090282</v>
      </c>
      <c r="Q100" s="221" t="n">
        <f aca="false">P101</f>
        <v>589488.14718039</v>
      </c>
      <c r="R100" s="221" t="n">
        <f aca="false">Q101</f>
        <v>573766.580408755</v>
      </c>
      <c r="S100" s="221" t="n">
        <f aca="false">R101</f>
        <v>559280.463775377</v>
      </c>
      <c r="T100" s="221" t="n">
        <f aca="false">S101</f>
        <v>546029.797280256</v>
      </c>
      <c r="U100" s="221" t="n">
        <f aca="false">T101</f>
        <v>568713.069307392</v>
      </c>
      <c r="V100" s="221" t="n">
        <f aca="false">U101</f>
        <v>590941.123644518</v>
      </c>
      <c r="W100" s="221" t="n">
        <f aca="false">V101</f>
        <v>612713.960291635</v>
      </c>
      <c r="X100" s="191"/>
    </row>
    <row r="101" customFormat="false" ht="15.75" hidden="false" customHeight="true" outlineLevel="0" collapsed="false">
      <c r="B101" s="220" t="s">
        <v>85</v>
      </c>
      <c r="C101" s="221" t="n">
        <v>0</v>
      </c>
      <c r="D101" s="221" t="n">
        <f aca="false">D99+D100</f>
        <v>1309082.3754368</v>
      </c>
      <c r="E101" s="221" t="n">
        <f aca="false">E99+E100</f>
        <v>840476.290793343</v>
      </c>
      <c r="F101" s="221" t="n">
        <f aca="false">F99+F100</f>
        <v>807675.972500881</v>
      </c>
      <c r="G101" s="221" t="n">
        <f aca="false">G99+G100</f>
        <v>776111.104346675</v>
      </c>
      <c r="H101" s="221" t="n">
        <f aca="false">H99+H100</f>
        <v>745781.686330726</v>
      </c>
      <c r="I101" s="221" t="n">
        <f aca="false">I99+I100</f>
        <v>716687.718453034</v>
      </c>
      <c r="J101" s="221" t="n">
        <f aca="false">J99+J100</f>
        <v>688829.200713599</v>
      </c>
      <c r="K101" s="221" t="n">
        <f aca="false">K99+K100</f>
        <v>662206.133112422</v>
      </c>
      <c r="L101" s="221" t="n">
        <f aca="false">L99+L100</f>
        <v>636818.515649501</v>
      </c>
      <c r="M101" s="221" t="n">
        <f aca="false">M99+M100</f>
        <v>612666.348324838</v>
      </c>
      <c r="N101" s="221" t="n">
        <f aca="false">N99+N100</f>
        <v>624637.631138432</v>
      </c>
      <c r="O101" s="221" t="n">
        <f aca="false">O99+O100</f>
        <v>606445.164090282</v>
      </c>
      <c r="P101" s="221" t="n">
        <f aca="false">P99+P100</f>
        <v>589488.14718039</v>
      </c>
      <c r="Q101" s="221" t="n">
        <f aca="false">Q99+Q100</f>
        <v>573766.580408755</v>
      </c>
      <c r="R101" s="221" t="n">
        <f aca="false">R99+R100</f>
        <v>559280.463775377</v>
      </c>
      <c r="S101" s="221" t="n">
        <f aca="false">S99+S100</f>
        <v>546029.797280256</v>
      </c>
      <c r="T101" s="221" t="n">
        <f aca="false">T99+T100</f>
        <v>568713.069307392</v>
      </c>
      <c r="U101" s="221" t="n">
        <f aca="false">U99+U100</f>
        <v>590941.123644518</v>
      </c>
      <c r="V101" s="221" t="n">
        <f aca="false">V99+V100</f>
        <v>612713.960291635</v>
      </c>
      <c r="W101" s="221" t="n">
        <f aca="false">W99+W100</f>
        <v>634031.579248742</v>
      </c>
      <c r="X101" s="191"/>
    </row>
    <row r="102" customFormat="false" ht="15.75" hidden="false" customHeight="true" outlineLevel="0" collapsed="false"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</row>
    <row r="103" customFormat="false" ht="15.75" hidden="false" customHeight="true" outlineLevel="0" collapsed="false">
      <c r="B103" s="220"/>
      <c r="C103" s="220"/>
      <c r="D103" s="220"/>
      <c r="E103" s="220"/>
      <c r="F103" s="225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</row>
    <row r="104" customFormat="false" ht="15.75" hidden="false" customHeight="true" outlineLevel="0" collapsed="false">
      <c r="B104" s="236" t="s">
        <v>86</v>
      </c>
      <c r="C104" s="237"/>
      <c r="D104" s="238" t="n">
        <f aca="false">-D94</f>
        <v>-3096310</v>
      </c>
      <c r="E104" s="224" t="n">
        <f aca="false">-E95-E96</f>
        <v>481504.38789312</v>
      </c>
      <c r="F104" s="224" t="n">
        <f aca="false">-F95-F96</f>
        <v>58053.1229246974</v>
      </c>
      <c r="G104" s="224" t="n">
        <f aca="false">-G95-G96</f>
        <v>69172.1741690112</v>
      </c>
      <c r="H104" s="224" t="n">
        <f aca="false">-H95-H96</f>
        <v>80291.2254133248</v>
      </c>
      <c r="I104" s="224" t="n">
        <f aca="false">-I95-I96</f>
        <v>91410.2766576382</v>
      </c>
      <c r="J104" s="224" t="n">
        <f aca="false">-J95-J96</f>
        <v>102529.327901952</v>
      </c>
      <c r="K104" s="224" t="n">
        <f aca="false">-K95-K96</f>
        <v>113648.379146266</v>
      </c>
      <c r="L104" s="224" t="n">
        <f aca="false">-L95-L96</f>
        <v>124767.430390579</v>
      </c>
      <c r="M104" s="224" t="n">
        <f aca="false">-M95-M96</f>
        <v>135886.481634893</v>
      </c>
      <c r="N104" s="224" t="n">
        <f aca="false">-N95-N96</f>
        <v>147005.532879206</v>
      </c>
      <c r="O104" s="224" t="n">
        <f aca="false">-O95-O96</f>
        <v>189523.78412352</v>
      </c>
      <c r="P104" s="224" t="n">
        <f aca="false">-P95-P96</f>
        <v>200642.835367833</v>
      </c>
      <c r="Q104" s="224" t="n">
        <f aca="false">-Q95-Q96</f>
        <v>211761.886612147</v>
      </c>
      <c r="R104" s="224" t="n">
        <f aca="false">-R95-R96</f>
        <v>222880.937856461</v>
      </c>
      <c r="S104" s="224" t="n">
        <f aca="false">-S95-S96</f>
        <v>233999.989100774</v>
      </c>
      <c r="T104" s="224" t="n">
        <f aca="false">-T95-T96</f>
        <v>1019196.54034509</v>
      </c>
      <c r="U104" s="224" t="n">
        <f aca="false">-U95-U96</f>
        <v>1015099.581135</v>
      </c>
      <c r="V104" s="224" t="n">
        <f aca="false">-V95-V96</f>
        <v>1011002.62192492</v>
      </c>
      <c r="W104" s="224" t="n">
        <f aca="false">-W95-W96</f>
        <v>1006905.66271483</v>
      </c>
      <c r="X104" s="224" t="n">
        <f aca="false">-X95-X96</f>
        <v>634031.579248742</v>
      </c>
    </row>
    <row r="105" customFormat="false" ht="15.75" hidden="false" customHeight="true" outlineLevel="0" collapsed="false">
      <c r="B105" s="220" t="s">
        <v>87</v>
      </c>
      <c r="C105" s="239" t="n">
        <f aca="false">IRR(D104:X104)</f>
        <v>0.063959546737747</v>
      </c>
      <c r="D105" s="225"/>
      <c r="E105" s="225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</row>
    <row r="106" customFormat="false" ht="15.75" hidden="false" customHeight="true" outlineLevel="0" collapsed="false">
      <c r="B106" s="236" t="s">
        <v>88</v>
      </c>
      <c r="C106" s="237"/>
      <c r="D106" s="238" t="n">
        <f aca="false">D85-D94</f>
        <v>-2561305.1245632</v>
      </c>
      <c r="E106" s="224" t="n">
        <f aca="false">E85</f>
        <v>64503.4699163305</v>
      </c>
      <c r="F106" s="224" t="n">
        <f aca="false">F85-F96</f>
        <v>76857.9712989014</v>
      </c>
      <c r="G106" s="224" t="n">
        <f aca="false">G85-G96</f>
        <v>89212.4726814719</v>
      </c>
      <c r="H106" s="224" t="n">
        <f aca="false">H85-H96</f>
        <v>101566.974064042</v>
      </c>
      <c r="I106" s="224" t="n">
        <f aca="false">I85-I96</f>
        <v>113921.475446613</v>
      </c>
      <c r="J106" s="224" t="n">
        <f aca="false">J85-J96</f>
        <v>126275.976829184</v>
      </c>
      <c r="K106" s="224" t="n">
        <f aca="false">K85-K96</f>
        <v>138630.478211755</v>
      </c>
      <c r="L106" s="224" t="n">
        <f aca="false">L85-L96</f>
        <v>150984.979594325</v>
      </c>
      <c r="M106" s="224" t="n">
        <f aca="false">M85-M96</f>
        <v>163339.480976896</v>
      </c>
      <c r="N106" s="224" t="n">
        <f aca="false">N85-N96</f>
        <v>210581.982359467</v>
      </c>
      <c r="O106" s="224" t="n">
        <f aca="false">O85-O96</f>
        <v>222936.483742037</v>
      </c>
      <c r="P106" s="224" t="n">
        <f aca="false">P85-P96</f>
        <v>235290.985124608</v>
      </c>
      <c r="Q106" s="224" t="n">
        <f aca="false">Q85-Q96</f>
        <v>247645.486507179</v>
      </c>
      <c r="R106" s="224" t="n">
        <f aca="false">R85-R96</f>
        <v>259999.987889749</v>
      </c>
      <c r="S106" s="224" t="n">
        <f aca="false">S85-S96</f>
        <v>272354.48927232</v>
      </c>
      <c r="T106" s="224" t="n">
        <f aca="false">T85-T96</f>
        <v>1041879.81237222</v>
      </c>
      <c r="U106" s="224" t="n">
        <f aca="false">U85-U96</f>
        <v>1037327.63547213</v>
      </c>
      <c r="V106" s="224" t="n">
        <f aca="false">V85-V96</f>
        <v>1032775.45857203</v>
      </c>
      <c r="W106" s="224" t="n">
        <f aca="false">W85-W96</f>
        <v>1028223.28167194</v>
      </c>
      <c r="X106" s="229"/>
    </row>
    <row r="107" customFormat="false" ht="15.75" hidden="false" customHeight="true" outlineLevel="0" collapsed="false">
      <c r="B107" s="236" t="s">
        <v>89</v>
      </c>
      <c r="C107" s="239" t="n">
        <f aca="false">IRR(D106:W106)</f>
        <v>0.0711493804014098</v>
      </c>
      <c r="D107" s="225"/>
      <c r="E107" s="225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</row>
    <row r="108" customFormat="false" ht="15.75" hidden="false" customHeight="true" outlineLevel="0" collapsed="false"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</row>
    <row r="109" customFormat="false" ht="15.75" hidden="false" customHeight="true" outlineLevel="0" collapsed="false">
      <c r="B109" s="220" t="s">
        <v>90</v>
      </c>
      <c r="C109" s="221" t="n">
        <v>0</v>
      </c>
      <c r="D109" s="221" t="n">
        <f aca="false">D92</f>
        <v>12385240</v>
      </c>
      <c r="E109" s="221" t="n">
        <f aca="false">D109+E93</f>
        <v>11559557.3333333</v>
      </c>
      <c r="F109" s="221" t="n">
        <f aca="false">E109+F93</f>
        <v>10733874.6666667</v>
      </c>
      <c r="G109" s="221" t="n">
        <f aca="false">F109+G93</f>
        <v>9908192</v>
      </c>
      <c r="H109" s="221" t="n">
        <f aca="false">G109+H93</f>
        <v>9082509.33333334</v>
      </c>
      <c r="I109" s="221" t="n">
        <f aca="false">H109+I93</f>
        <v>8256826.66666667</v>
      </c>
      <c r="J109" s="221" t="n">
        <f aca="false">I109+J93</f>
        <v>7431144</v>
      </c>
      <c r="K109" s="221" t="n">
        <f aca="false">J109+K93</f>
        <v>6605461.33333334</v>
      </c>
      <c r="L109" s="221" t="n">
        <f aca="false">K109+L93</f>
        <v>5779778.66666667</v>
      </c>
      <c r="M109" s="221" t="n">
        <f aca="false">L109+M93</f>
        <v>4954096</v>
      </c>
      <c r="N109" s="221" t="n">
        <f aca="false">M109+N93</f>
        <v>4128413.33333333</v>
      </c>
      <c r="O109" s="221" t="n">
        <f aca="false">N109+O93</f>
        <v>3302730.66666667</v>
      </c>
      <c r="P109" s="221" t="n">
        <f aca="false">O109+P93</f>
        <v>2477048</v>
      </c>
      <c r="Q109" s="221" t="n">
        <f aca="false">P109+Q93</f>
        <v>1651365.33333334</v>
      </c>
      <c r="R109" s="221" t="n">
        <f aca="false">Q109+R93</f>
        <v>825682.666666668</v>
      </c>
      <c r="S109" s="221" t="n">
        <f aca="false">R109+S93</f>
        <v>0</v>
      </c>
      <c r="T109" s="221" t="n">
        <f aca="false">S109+T93</f>
        <v>0</v>
      </c>
      <c r="U109" s="221" t="n">
        <f aca="false">T109+U93</f>
        <v>0</v>
      </c>
      <c r="V109" s="221" t="n">
        <f aca="false">U109+V93</f>
        <v>0</v>
      </c>
      <c r="W109" s="221" t="n">
        <f aca="false">V109+W93</f>
        <v>0</v>
      </c>
      <c r="X109" s="2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2" t="s">
        <v>0</v>
      </c>
      <c r="C1" s="124"/>
      <c r="D1" s="124"/>
      <c r="E1" s="125"/>
      <c r="F1" s="126" t="s">
        <v>108</v>
      </c>
      <c r="P1" s="127" t="n">
        <f aca="false">1-D11</f>
        <v>0.99</v>
      </c>
      <c r="Q1" s="127" t="n">
        <f aca="false">P1-$D12</f>
        <v>0.986</v>
      </c>
      <c r="R1" s="127" t="n">
        <f aca="false">Q1-$D12</f>
        <v>0.982</v>
      </c>
      <c r="S1" s="127" t="n">
        <f aca="false">R1-$D12</f>
        <v>0.978</v>
      </c>
      <c r="T1" s="127" t="n">
        <f aca="false">S1-$D12</f>
        <v>0.974</v>
      </c>
      <c r="U1" s="127" t="n">
        <f aca="false">T1-$D12</f>
        <v>0.97</v>
      </c>
      <c r="V1" s="127" t="n">
        <f aca="false">U1-$D12</f>
        <v>0.966</v>
      </c>
      <c r="W1" s="127" t="n">
        <f aca="false">V1-$D12</f>
        <v>0.962</v>
      </c>
      <c r="X1" s="127" t="n">
        <f aca="false">W1-$D12</f>
        <v>0.958</v>
      </c>
      <c r="Y1" s="127" t="n">
        <f aca="false">X1-$D12</f>
        <v>0.954</v>
      </c>
      <c r="Z1" s="127" t="n">
        <f aca="false">Y1-$D12</f>
        <v>0.95</v>
      </c>
      <c r="AA1" s="127" t="n">
        <f aca="false">Z1-$D12</f>
        <v>0.946</v>
      </c>
      <c r="AB1" s="127" t="n">
        <f aca="false">AA1-$D12</f>
        <v>0.942</v>
      </c>
      <c r="AC1" s="127" t="n">
        <f aca="false">AB1-$D12</f>
        <v>0.938</v>
      </c>
      <c r="AD1" s="127" t="n">
        <f aca="false">AC1-$D12</f>
        <v>0.934</v>
      </c>
      <c r="AE1" s="127" t="n">
        <f aca="false">AD1-$D12</f>
        <v>0.93</v>
      </c>
      <c r="AF1" s="127" t="n">
        <f aca="false">AE1-$D12</f>
        <v>0.926</v>
      </c>
      <c r="AG1" s="127" t="n">
        <f aca="false">AF1-$D12</f>
        <v>0.922</v>
      </c>
      <c r="AH1" s="127" t="n">
        <f aca="false">AG1-$D12</f>
        <v>0.918</v>
      </c>
      <c r="AI1" s="127" t="n">
        <f aca="false">AH1-$D12</f>
        <v>0.914</v>
      </c>
    </row>
    <row r="2" customFormat="false" ht="21.75" hidden="false" customHeight="true" outlineLevel="0" collapsed="false">
      <c r="B2" s="5" t="s">
        <v>1</v>
      </c>
      <c r="C2" s="128" t="s">
        <v>109</v>
      </c>
      <c r="D2" s="6" t="s">
        <v>3</v>
      </c>
      <c r="E2" s="129" t="s">
        <v>3</v>
      </c>
      <c r="F2" s="130" t="s">
        <v>110</v>
      </c>
    </row>
    <row r="3" customFormat="false" ht="21.75" hidden="false" customHeight="true" outlineLevel="0" collapsed="false">
      <c r="B3" s="32" t="s">
        <v>4</v>
      </c>
      <c r="C3" s="131" t="n">
        <v>20</v>
      </c>
      <c r="D3" s="9" t="s">
        <v>3</v>
      </c>
      <c r="E3" s="132" t="s">
        <v>3</v>
      </c>
      <c r="F3" s="133" t="s">
        <v>111</v>
      </c>
    </row>
    <row r="4" customFormat="false" ht="21.75" hidden="false" customHeight="true" outlineLevel="0" collapsed="false">
      <c r="B4" s="32" t="s">
        <v>112</v>
      </c>
      <c r="C4" s="131" t="n">
        <v>436.1</v>
      </c>
      <c r="D4" s="9" t="s">
        <v>3</v>
      </c>
      <c r="E4" s="132" t="s">
        <v>3</v>
      </c>
      <c r="F4" s="133" t="s">
        <v>113</v>
      </c>
      <c r="M4" s="0" t="s">
        <v>188</v>
      </c>
    </row>
    <row r="5" customFormat="false" ht="22.5" hidden="false" customHeight="true" outlineLevel="0" collapsed="false">
      <c r="B5" s="10" t="s">
        <v>6</v>
      </c>
      <c r="C5" s="131" t="n">
        <v>2023</v>
      </c>
      <c r="D5" s="10" t="s">
        <v>7</v>
      </c>
      <c r="E5" s="134" t="n">
        <v>2042</v>
      </c>
      <c r="F5" s="133" t="s">
        <v>115</v>
      </c>
      <c r="M5" s="0" t="s">
        <v>189</v>
      </c>
    </row>
    <row r="6" customFormat="false" ht="20.25" hidden="false" customHeight="true" outlineLevel="0" collapsed="false">
      <c r="B6" s="11"/>
      <c r="C6" s="11"/>
      <c r="D6" s="11"/>
      <c r="E6" s="11"/>
      <c r="M6" s="0" t="s">
        <v>190</v>
      </c>
    </row>
    <row r="7" customFormat="false" ht="22.5" hidden="false" customHeight="true" outlineLevel="0" collapsed="false">
      <c r="B7" s="12" t="s">
        <v>8</v>
      </c>
      <c r="C7" s="124"/>
      <c r="D7" s="124"/>
      <c r="E7" s="125"/>
      <c r="M7" s="0" t="s">
        <v>191</v>
      </c>
    </row>
    <row r="8" customFormat="false" ht="22.5" hidden="false" customHeight="true" outlineLevel="0" collapsed="false">
      <c r="B8" s="13" t="s">
        <v>9</v>
      </c>
      <c r="E8" s="135"/>
      <c r="M8" s="0" t="s">
        <v>192</v>
      </c>
    </row>
    <row r="9" customFormat="false" ht="22.5" hidden="false" customHeight="true" outlineLevel="0" collapsed="false">
      <c r="B9" s="14" t="s">
        <v>10</v>
      </c>
      <c r="C9" s="15" t="s">
        <v>11</v>
      </c>
      <c r="D9" s="15" t="s">
        <v>12</v>
      </c>
      <c r="E9" s="136" t="s">
        <v>13</v>
      </c>
      <c r="F9" s="126" t="s">
        <v>108</v>
      </c>
      <c r="M9" s="0" t="s">
        <v>120</v>
      </c>
    </row>
    <row r="10" customFormat="false" ht="30" hidden="false" customHeight="true" outlineLevel="0" collapsed="false">
      <c r="B10" s="17" t="s">
        <v>14</v>
      </c>
      <c r="C10" s="18" t="s">
        <v>121</v>
      </c>
      <c r="D10" s="137" t="n">
        <v>547002</v>
      </c>
      <c r="E10" s="138" t="n">
        <v>20</v>
      </c>
      <c r="F10" s="133" t="s">
        <v>122</v>
      </c>
      <c r="M10" s="0" t="s">
        <v>105</v>
      </c>
    </row>
    <row r="11" customFormat="false" ht="30" hidden="false" customHeight="true" outlineLevel="0" collapsed="false">
      <c r="B11" s="139"/>
      <c r="C11" s="10" t="s">
        <v>16</v>
      </c>
      <c r="D11" s="140" t="n">
        <v>0.01</v>
      </c>
      <c r="E11" s="141"/>
      <c r="F11" s="133" t="s">
        <v>124</v>
      </c>
    </row>
    <row r="12" customFormat="false" ht="30" hidden="false" customHeight="true" outlineLevel="0" collapsed="false">
      <c r="B12" s="139"/>
      <c r="C12" s="10" t="s">
        <v>17</v>
      </c>
      <c r="D12" s="142" t="n">
        <v>0.004</v>
      </c>
      <c r="E12" s="141"/>
      <c r="F12" s="133" t="s">
        <v>125</v>
      </c>
    </row>
    <row r="13" customFormat="false" ht="22.5" hidden="false" customHeight="true" outlineLevel="0" collapsed="false">
      <c r="B13" s="139"/>
      <c r="C13" s="21" t="s">
        <v>126</v>
      </c>
      <c r="D13" s="143" t="n">
        <v>3.7152</v>
      </c>
      <c r="E13" s="141"/>
      <c r="F13" s="133" t="s">
        <v>127</v>
      </c>
    </row>
    <row r="14" customFormat="false" ht="22.5" hidden="false" customHeight="true" outlineLevel="0" collapsed="false">
      <c r="B14" s="22" t="s">
        <v>19</v>
      </c>
      <c r="C14" s="124"/>
      <c r="D14" s="124"/>
      <c r="E14" s="125"/>
    </row>
    <row r="15" customFormat="false" ht="22.5" hidden="false" customHeight="true" outlineLevel="0" collapsed="false">
      <c r="B15" s="14" t="s">
        <v>10</v>
      </c>
      <c r="C15" s="15" t="s">
        <v>11</v>
      </c>
      <c r="D15" s="15" t="s">
        <v>12</v>
      </c>
      <c r="E15" s="136" t="s">
        <v>20</v>
      </c>
      <c r="F15" s="126" t="s">
        <v>108</v>
      </c>
    </row>
    <row r="16" customFormat="false" ht="21.75" hidden="false" customHeight="true" outlineLevel="0" collapsed="false">
      <c r="B16" s="18" t="s">
        <v>128</v>
      </c>
      <c r="C16" s="18" t="s">
        <v>129</v>
      </c>
      <c r="D16" s="144" t="n">
        <v>24000</v>
      </c>
      <c r="E16" s="129" t="n">
        <v>20</v>
      </c>
      <c r="F16" s="133" t="s">
        <v>130</v>
      </c>
    </row>
    <row r="17" customFormat="false" ht="21.75" hidden="false" customHeight="true" outlineLevel="0" collapsed="false">
      <c r="B17" s="139"/>
      <c r="C17" s="10" t="s">
        <v>131</v>
      </c>
      <c r="D17" s="145" t="n">
        <v>0.2</v>
      </c>
      <c r="E17" s="141"/>
      <c r="F17" s="133" t="s">
        <v>132</v>
      </c>
    </row>
    <row r="18" customFormat="false" ht="21.75" hidden="false" customHeight="true" outlineLevel="0" collapsed="false">
      <c r="B18" s="146"/>
      <c r="C18" s="10" t="s">
        <v>24</v>
      </c>
      <c r="D18" s="147" t="n">
        <v>3000</v>
      </c>
      <c r="E18" s="148"/>
      <c r="F18" s="133" t="s">
        <v>133</v>
      </c>
    </row>
    <row r="19" customFormat="false" ht="54" hidden="false" customHeight="true" outlineLevel="0" collapsed="false">
      <c r="B19" s="10" t="s">
        <v>25</v>
      </c>
      <c r="C19" s="149" t="s">
        <v>134</v>
      </c>
      <c r="D19" s="145" t="n">
        <v>2</v>
      </c>
      <c r="E19" s="129" t="n">
        <v>20</v>
      </c>
      <c r="F19" s="133" t="s">
        <v>135</v>
      </c>
    </row>
    <row r="20" customFormat="false" ht="20.25" hidden="false" customHeight="true" outlineLevel="0" collapsed="false">
      <c r="B20" s="139"/>
      <c r="C20" s="26" t="s">
        <v>136</v>
      </c>
      <c r="D20" s="147" t="n">
        <v>0</v>
      </c>
      <c r="E20" s="129" t="n">
        <v>20</v>
      </c>
      <c r="F20" s="133" t="s">
        <v>137</v>
      </c>
    </row>
    <row r="21" customFormat="false" ht="30" hidden="false" customHeight="true" outlineLevel="0" collapsed="false">
      <c r="B21" s="146"/>
      <c r="C21" s="10" t="s">
        <v>138</v>
      </c>
      <c r="D21" s="145" t="n">
        <v>0.3</v>
      </c>
      <c r="E21" s="132" t="n">
        <v>20</v>
      </c>
      <c r="F21" s="133" t="s">
        <v>139</v>
      </c>
    </row>
    <row r="22" customFormat="false" ht="30" hidden="false" customHeight="true" outlineLevel="0" collapsed="false">
      <c r="B22" s="10" t="s">
        <v>29</v>
      </c>
      <c r="C22" s="10" t="s">
        <v>140</v>
      </c>
      <c r="D22" s="150" t="n">
        <v>400</v>
      </c>
      <c r="E22" s="132" t="n">
        <v>20</v>
      </c>
      <c r="F22" s="133" t="s">
        <v>141</v>
      </c>
    </row>
    <row r="23" customFormat="false" ht="30" hidden="false" customHeight="true" outlineLevel="0" collapsed="false">
      <c r="B23" s="10" t="s">
        <v>31</v>
      </c>
      <c r="C23" s="10" t="s">
        <v>32</v>
      </c>
      <c r="D23" s="145" t="n">
        <v>0.003</v>
      </c>
      <c r="E23" s="132" t="n">
        <v>20</v>
      </c>
      <c r="F23" s="133" t="s">
        <v>142</v>
      </c>
    </row>
    <row r="24" customFormat="false" ht="30" hidden="false" customHeight="true" outlineLevel="0" collapsed="false">
      <c r="B24" s="10" t="s">
        <v>33</v>
      </c>
      <c r="C24" s="10" t="s">
        <v>143</v>
      </c>
      <c r="D24" s="150" t="n">
        <v>1000</v>
      </c>
      <c r="E24" s="151" t="n">
        <v>10</v>
      </c>
      <c r="F24" s="133" t="s">
        <v>144</v>
      </c>
    </row>
    <row r="25" customFormat="false" ht="30" hidden="false" customHeight="true" outlineLevel="0" collapsed="false">
      <c r="B25" s="10" t="s">
        <v>35</v>
      </c>
      <c r="C25" s="10" t="s">
        <v>36</v>
      </c>
      <c r="D25" s="152" t="n">
        <v>0.025595</v>
      </c>
      <c r="E25" s="132" t="n">
        <v>20</v>
      </c>
      <c r="F25" s="133" t="s">
        <v>145</v>
      </c>
    </row>
    <row r="26" customFormat="false" ht="30" hidden="false" customHeight="true" outlineLevel="0" collapsed="false">
      <c r="B26" s="10" t="s">
        <v>37</v>
      </c>
      <c r="C26" s="10" t="s">
        <v>38</v>
      </c>
      <c r="D26" s="145" t="n">
        <v>0.2</v>
      </c>
      <c r="E26" s="132" t="n">
        <v>20</v>
      </c>
      <c r="F26" s="133" t="s">
        <v>146</v>
      </c>
    </row>
    <row r="27" customFormat="false" ht="20.25" hidden="false" customHeight="true" outlineLevel="0" collapsed="false">
      <c r="B27" s="11"/>
      <c r="C27" s="11"/>
      <c r="D27" s="11"/>
      <c r="E27" s="11"/>
    </row>
    <row r="28" customFormat="false" ht="20.25" hidden="false" customHeight="true" outlineLevel="0" collapsed="false">
      <c r="B28" s="11"/>
      <c r="C28" s="11"/>
      <c r="D28" s="11"/>
      <c r="E28" s="11"/>
    </row>
    <row r="29" customFormat="false" ht="22.5" hidden="false" customHeight="true" outlineLevel="0" collapsed="false">
      <c r="B29" s="12" t="s">
        <v>39</v>
      </c>
      <c r="C29" s="124"/>
      <c r="D29" s="125"/>
      <c r="E29" s="11"/>
    </row>
    <row r="30" customFormat="false" ht="22.5" hidden="false" customHeight="true" outlineLevel="0" collapsed="false">
      <c r="B30" s="14" t="s">
        <v>40</v>
      </c>
      <c r="C30" s="29" t="s">
        <v>11</v>
      </c>
      <c r="D30" s="30" t="s">
        <v>12</v>
      </c>
      <c r="E30" s="11"/>
      <c r="F30" s="126" t="s">
        <v>108</v>
      </c>
    </row>
    <row r="31" customFormat="false" ht="30" hidden="false" customHeight="true" outlineLevel="0" collapsed="false">
      <c r="B31" s="18" t="s">
        <v>41</v>
      </c>
      <c r="C31" s="5" t="s">
        <v>42</v>
      </c>
      <c r="D31" s="153" t="n">
        <v>0.8</v>
      </c>
      <c r="E31" s="11"/>
      <c r="F31" s="133" t="s">
        <v>147</v>
      </c>
    </row>
    <row r="32" customFormat="false" ht="18.75" hidden="false" customHeight="true" outlineLevel="0" collapsed="false">
      <c r="B32" s="18" t="s">
        <v>43</v>
      </c>
      <c r="C32" s="5" t="s">
        <v>44</v>
      </c>
      <c r="D32" s="153" t="n">
        <v>15</v>
      </c>
      <c r="E32" s="11"/>
      <c r="F32" s="133" t="s">
        <v>148</v>
      </c>
    </row>
    <row r="33" customFormat="false" ht="18.75" hidden="false" customHeight="true" outlineLevel="0" collapsed="false">
      <c r="B33" s="10" t="s">
        <v>45</v>
      </c>
      <c r="C33" s="32" t="s">
        <v>46</v>
      </c>
      <c r="D33" s="145" t="n">
        <v>0.9</v>
      </c>
      <c r="E33" s="11"/>
      <c r="F33" s="133" t="s">
        <v>149</v>
      </c>
    </row>
    <row r="34" customFormat="false" ht="30" hidden="false" customHeight="true" outlineLevel="0" collapsed="false">
      <c r="B34" s="10" t="s">
        <v>47</v>
      </c>
      <c r="C34" s="32" t="s">
        <v>44</v>
      </c>
      <c r="D34" s="145" t="n">
        <v>4</v>
      </c>
      <c r="E34" s="11"/>
      <c r="F34" s="133" t="s">
        <v>150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97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54" t="n">
        <v>0</v>
      </c>
      <c r="C38" s="155"/>
      <c r="D38" s="156"/>
      <c r="E38" s="156"/>
      <c r="F38" s="157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9"/>
      <c r="U38" s="158"/>
      <c r="V38" s="158"/>
      <c r="W38" s="158"/>
      <c r="X38" s="160"/>
    </row>
    <row r="39" customFormat="false" ht="18.75" hidden="false" customHeight="true" outlineLevel="0" collapsed="false">
      <c r="B39" s="161" t="s">
        <v>51</v>
      </c>
      <c r="C39" s="162" t="n">
        <v>0</v>
      </c>
      <c r="D39" s="163" t="n">
        <v>1</v>
      </c>
      <c r="E39" s="163" t="n">
        <v>2</v>
      </c>
      <c r="F39" s="163" t="n">
        <v>3</v>
      </c>
      <c r="G39" s="163" t="n">
        <v>4</v>
      </c>
      <c r="H39" s="163" t="n">
        <v>5</v>
      </c>
      <c r="I39" s="163" t="n">
        <v>6</v>
      </c>
      <c r="J39" s="163" t="n">
        <v>7</v>
      </c>
      <c r="K39" s="163" t="n">
        <v>8</v>
      </c>
      <c r="L39" s="163" t="n">
        <v>9</v>
      </c>
      <c r="M39" s="163" t="n">
        <v>10</v>
      </c>
      <c r="N39" s="163" t="n">
        <v>11</v>
      </c>
      <c r="O39" s="163" t="n">
        <v>12</v>
      </c>
      <c r="P39" s="163" t="n">
        <v>13</v>
      </c>
      <c r="Q39" s="163" t="n">
        <v>14</v>
      </c>
      <c r="R39" s="163" t="n">
        <v>15</v>
      </c>
      <c r="S39" s="163" t="n">
        <v>16</v>
      </c>
      <c r="T39" s="164" t="n">
        <v>17</v>
      </c>
      <c r="U39" s="163" t="n">
        <v>18</v>
      </c>
      <c r="V39" s="163" t="n">
        <v>19</v>
      </c>
      <c r="W39" s="163" t="n">
        <v>20</v>
      </c>
      <c r="X39" s="47"/>
    </row>
    <row r="40" customFormat="false" ht="18.75" hidden="false" customHeight="true" outlineLevel="0" collapsed="false">
      <c r="B40" s="165" t="s">
        <v>52</v>
      </c>
      <c r="C40" s="166" t="n">
        <v>0</v>
      </c>
      <c r="D40" s="167" t="n">
        <f aca="false">$D$10*P1</f>
        <v>541531.98</v>
      </c>
      <c r="E40" s="167" t="n">
        <f aca="false">$D$10*Q1</f>
        <v>539343.972</v>
      </c>
      <c r="F40" s="167" t="n">
        <f aca="false">$D$10*R1</f>
        <v>537155.964</v>
      </c>
      <c r="G40" s="167" t="n">
        <f aca="false">$D$10*S1</f>
        <v>534967.956</v>
      </c>
      <c r="H40" s="167" t="n">
        <f aca="false">$D$10*T1</f>
        <v>532779.948</v>
      </c>
      <c r="I40" s="167" t="n">
        <f aca="false">$D$10*U1</f>
        <v>530591.94</v>
      </c>
      <c r="J40" s="167" t="n">
        <f aca="false">$D$10*V1</f>
        <v>528403.932</v>
      </c>
      <c r="K40" s="167" t="n">
        <f aca="false">$D$10*W1</f>
        <v>526215.924</v>
      </c>
      <c r="L40" s="167" t="n">
        <f aca="false">$D$10*X1</f>
        <v>524027.916</v>
      </c>
      <c r="M40" s="167" t="n">
        <f aca="false">$D$10*Y1</f>
        <v>521839.908</v>
      </c>
      <c r="N40" s="167" t="n">
        <f aca="false">$D$10*Z1</f>
        <v>519651.9</v>
      </c>
      <c r="O40" s="167" t="n">
        <f aca="false">$D$10*AA1</f>
        <v>517463.892</v>
      </c>
      <c r="P40" s="167" t="n">
        <f aca="false">$D$10*AB1</f>
        <v>515275.884</v>
      </c>
      <c r="Q40" s="167" t="n">
        <f aca="false">$D$10*AC1</f>
        <v>513087.876</v>
      </c>
      <c r="R40" s="167" t="n">
        <f aca="false">$D$10*AD1</f>
        <v>510899.868</v>
      </c>
      <c r="S40" s="167" t="n">
        <f aca="false">$D$10*AE1</f>
        <v>508711.86</v>
      </c>
      <c r="T40" s="167" t="n">
        <f aca="false">$D$10*AF1</f>
        <v>506523.852</v>
      </c>
      <c r="U40" s="167" t="n">
        <f aca="false">$D$10*AG1</f>
        <v>504335.844</v>
      </c>
      <c r="V40" s="167" t="n">
        <f aca="false">$D$10*AH1</f>
        <v>502147.836</v>
      </c>
      <c r="W40" s="167" t="n">
        <f aca="false">$D$10*AI1</f>
        <v>499959.828</v>
      </c>
      <c r="X40" s="168"/>
    </row>
    <row r="41" customFormat="false" ht="18.75" hidden="false" customHeight="true" outlineLevel="0" collapsed="false">
      <c r="B41" s="169" t="s">
        <v>53</v>
      </c>
      <c r="C41" s="170" t="s">
        <v>3</v>
      </c>
      <c r="D41" s="171" t="n">
        <f aca="false">D40*$D$13</f>
        <v>2011899.612096</v>
      </c>
      <c r="E41" s="171" t="n">
        <f aca="false">E40*$D$13</f>
        <v>2003770.7247744</v>
      </c>
      <c r="F41" s="171" t="n">
        <f aca="false">F40*$D$13</f>
        <v>1995641.8374528</v>
      </c>
      <c r="G41" s="171" t="n">
        <f aca="false">G40*$D$13</f>
        <v>1987512.9501312</v>
      </c>
      <c r="H41" s="171" t="n">
        <f aca="false">H40*$D$13</f>
        <v>1979384.0628096</v>
      </c>
      <c r="I41" s="171" t="n">
        <f aca="false">I40*$D$13</f>
        <v>1971255.175488</v>
      </c>
      <c r="J41" s="171" t="n">
        <f aca="false">J40*$D$13</f>
        <v>1963126.2881664</v>
      </c>
      <c r="K41" s="171" t="n">
        <f aca="false">K40*$D$13</f>
        <v>1954997.4008448</v>
      </c>
      <c r="L41" s="171" t="n">
        <f aca="false">L40*$D$13</f>
        <v>1946868.5135232</v>
      </c>
      <c r="M41" s="171" t="n">
        <f aca="false">M40*$D$13</f>
        <v>1938739.6262016</v>
      </c>
      <c r="N41" s="171" t="n">
        <f aca="false">N40*$D$13</f>
        <v>1930610.73888</v>
      </c>
      <c r="O41" s="171" t="n">
        <f aca="false">O40*$D$13</f>
        <v>1922481.8515584</v>
      </c>
      <c r="P41" s="171" t="n">
        <f aca="false">P40*$D$13</f>
        <v>1914352.9642368</v>
      </c>
      <c r="Q41" s="171" t="n">
        <f aca="false">Q40*$D$13</f>
        <v>1906224.0769152</v>
      </c>
      <c r="R41" s="171" t="n">
        <f aca="false">R40*$D$13</f>
        <v>1898095.1895936</v>
      </c>
      <c r="S41" s="171" t="n">
        <f aca="false">S40*$D$13</f>
        <v>1889966.302272</v>
      </c>
      <c r="T41" s="171" t="n">
        <f aca="false">T40*$D$13</f>
        <v>1881837.4149504</v>
      </c>
      <c r="U41" s="171" t="n">
        <f aca="false">U40*$D$13</f>
        <v>1873708.5276288</v>
      </c>
      <c r="V41" s="171" t="n">
        <f aca="false">V40*$D$13</f>
        <v>1865579.6403072</v>
      </c>
      <c r="W41" s="171" t="n">
        <f aca="false">W40*$D$13</f>
        <v>1857450.7529856</v>
      </c>
      <c r="X41" s="172"/>
    </row>
    <row r="42" customFormat="false" ht="18.75" hidden="false" customHeight="true" outlineLevel="0" collapsed="false">
      <c r="B42" s="173" t="s">
        <v>54</v>
      </c>
      <c r="C42" s="174" t="s">
        <v>3</v>
      </c>
      <c r="D42" s="175"/>
      <c r="E42" s="175"/>
      <c r="F42" s="175"/>
      <c r="G42" s="176" t="s">
        <v>3</v>
      </c>
      <c r="H42" s="176" t="s">
        <v>3</v>
      </c>
      <c r="I42" s="176" t="s">
        <v>3</v>
      </c>
      <c r="J42" s="176" t="s">
        <v>3</v>
      </c>
      <c r="K42" s="176" t="s">
        <v>3</v>
      </c>
      <c r="L42" s="176" t="s">
        <v>3</v>
      </c>
      <c r="M42" s="176" t="s">
        <v>3</v>
      </c>
      <c r="N42" s="176" t="s">
        <v>3</v>
      </c>
      <c r="O42" s="176" t="s">
        <v>3</v>
      </c>
      <c r="P42" s="176" t="s">
        <v>3</v>
      </c>
      <c r="Q42" s="176" t="s">
        <v>3</v>
      </c>
      <c r="R42" s="176" t="s">
        <v>3</v>
      </c>
      <c r="S42" s="176" t="s">
        <v>3</v>
      </c>
      <c r="T42" s="176" t="s">
        <v>3</v>
      </c>
      <c r="U42" s="176" t="s">
        <v>3</v>
      </c>
      <c r="V42" s="176" t="s">
        <v>3</v>
      </c>
      <c r="W42" s="176" t="s">
        <v>3</v>
      </c>
      <c r="X42" s="177"/>
    </row>
    <row r="43" customFormat="false" ht="18.75" hidden="false" customHeight="true" outlineLevel="0" collapsed="false">
      <c r="B43" s="178" t="s">
        <v>55</v>
      </c>
      <c r="C43" s="179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customFormat="false" ht="18.75" hidden="false" customHeight="true" outlineLevel="0" collapsed="false">
      <c r="B44" s="182" t="s">
        <v>56</v>
      </c>
      <c r="C44" s="183" t="n">
        <f aca="false">-(D16/(1-D17)+D18)*C4</f>
        <v>-14391300</v>
      </c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</row>
    <row r="45" customFormat="false" ht="18.75" hidden="false" customHeight="true" outlineLevel="0" collapsed="false">
      <c r="B45" s="182" t="s">
        <v>57</v>
      </c>
      <c r="C45" s="174" t="s">
        <v>3</v>
      </c>
      <c r="D45" s="0" t="n">
        <v>-603569.8836288</v>
      </c>
      <c r="E45" s="184" t="n">
        <v>-601131.21743232</v>
      </c>
      <c r="F45" s="184" t="n">
        <v>-598692.55123584</v>
      </c>
      <c r="G45" s="184" t="n">
        <v>-596253.88503936</v>
      </c>
      <c r="H45" s="184" t="n">
        <v>-593815.21884288</v>
      </c>
      <c r="I45" s="184" t="n">
        <v>-591376.5526464</v>
      </c>
      <c r="J45" s="184" t="n">
        <v>-588937.88644992</v>
      </c>
      <c r="K45" s="184" t="n">
        <v>-586499.22025344</v>
      </c>
      <c r="L45" s="184" t="n">
        <v>-584060.55405696</v>
      </c>
      <c r="M45" s="184" t="n">
        <v>-581621.88786048</v>
      </c>
      <c r="N45" s="184" t="n">
        <v>-579183.221664</v>
      </c>
      <c r="O45" s="184" t="n">
        <v>-576744.55546752</v>
      </c>
      <c r="P45" s="184" t="n">
        <v>-574305.88927104</v>
      </c>
      <c r="Q45" s="184" t="n">
        <v>-571867.22307456</v>
      </c>
      <c r="R45" s="184" t="n">
        <v>-569428.55687808</v>
      </c>
      <c r="S45" s="184" t="n">
        <v>-566989.8906816</v>
      </c>
      <c r="T45" s="184" t="n">
        <v>-564551.22448512</v>
      </c>
      <c r="U45" s="184" t="n">
        <v>-562112.55828864</v>
      </c>
      <c r="V45" s="184" t="n">
        <v>-559673.89209216</v>
      </c>
      <c r="W45" s="184" t="n">
        <v>-557235.22589568</v>
      </c>
      <c r="X45" s="184"/>
    </row>
    <row r="46" customFormat="false" ht="18.75" hidden="false" customHeight="true" outlineLevel="0" collapsed="false">
      <c r="B46" s="182" t="s">
        <v>58</v>
      </c>
      <c r="C46" s="17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</row>
    <row r="47" customFormat="false" ht="18.75" hidden="false" customHeight="true" outlineLevel="0" collapsed="false">
      <c r="B47" s="182" t="s">
        <v>59</v>
      </c>
      <c r="C47" s="174" t="s">
        <v>3</v>
      </c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</row>
    <row r="48" customFormat="false" ht="18.75" hidden="false" customHeight="true" outlineLevel="0" collapsed="false">
      <c r="B48" s="182" t="s">
        <v>60</v>
      </c>
      <c r="C48" s="174" t="s">
        <v>3</v>
      </c>
      <c r="D48" s="184" t="n">
        <v>-174440</v>
      </c>
      <c r="E48" s="184" t="n">
        <v>-174440</v>
      </c>
      <c r="F48" s="184" t="n">
        <v>-174440</v>
      </c>
      <c r="G48" s="184" t="n">
        <v>-174440</v>
      </c>
      <c r="H48" s="184" t="n">
        <v>-174440</v>
      </c>
      <c r="I48" s="184" t="n">
        <v>-174440</v>
      </c>
      <c r="J48" s="184" t="n">
        <v>-174440</v>
      </c>
      <c r="K48" s="184" t="n">
        <v>-174440</v>
      </c>
      <c r="L48" s="184" t="n">
        <v>-174440</v>
      </c>
      <c r="M48" s="184" t="n">
        <v>-174440</v>
      </c>
      <c r="N48" s="184" t="n">
        <v>-174440</v>
      </c>
      <c r="O48" s="184" t="n">
        <v>-174440</v>
      </c>
      <c r="P48" s="184" t="n">
        <v>-174440</v>
      </c>
      <c r="Q48" s="184" t="n">
        <v>-174440</v>
      </c>
      <c r="R48" s="184" t="n">
        <v>-174440</v>
      </c>
      <c r="S48" s="184" t="n">
        <v>-174440</v>
      </c>
      <c r="T48" s="184" t="n">
        <v>-174440</v>
      </c>
      <c r="U48" s="184" t="n">
        <v>-174440</v>
      </c>
      <c r="V48" s="184" t="n">
        <v>-174440</v>
      </c>
      <c r="W48" s="184" t="n">
        <v>-174440</v>
      </c>
      <c r="X48" s="184"/>
    </row>
    <row r="49" customFormat="false" ht="18.75" hidden="false" customHeight="true" outlineLevel="0" collapsed="false">
      <c r="B49" s="182" t="s">
        <v>61</v>
      </c>
      <c r="C49" s="174" t="s">
        <v>3</v>
      </c>
      <c r="D49" s="184" t="n">
        <v>-31399.2</v>
      </c>
      <c r="E49" s="184" t="n">
        <v>-31399.2</v>
      </c>
      <c r="F49" s="184" t="n">
        <v>-31399.2</v>
      </c>
      <c r="G49" s="184" t="n">
        <v>-31399.2</v>
      </c>
      <c r="H49" s="184" t="n">
        <v>-31399.2</v>
      </c>
      <c r="I49" s="184" t="n">
        <v>-31399.2</v>
      </c>
      <c r="J49" s="184" t="n">
        <v>-31399.2</v>
      </c>
      <c r="K49" s="184" t="n">
        <v>-31399.2</v>
      </c>
      <c r="L49" s="184" t="n">
        <v>-31399.2</v>
      </c>
      <c r="M49" s="184" t="n">
        <v>-31399.2</v>
      </c>
      <c r="N49" s="184" t="n">
        <v>-31399.2</v>
      </c>
      <c r="O49" s="184" t="n">
        <v>-31399.2</v>
      </c>
      <c r="P49" s="184" t="n">
        <v>-31399.2</v>
      </c>
      <c r="Q49" s="184" t="n">
        <v>-31399.2</v>
      </c>
      <c r="R49" s="184" t="n">
        <v>-31399.2</v>
      </c>
      <c r="S49" s="184" t="n">
        <v>-31399.2</v>
      </c>
      <c r="T49" s="184" t="n">
        <v>-31399.2</v>
      </c>
      <c r="U49" s="184" t="n">
        <v>-31399.2</v>
      </c>
      <c r="V49" s="184" t="n">
        <v>-31399.2</v>
      </c>
      <c r="W49" s="184" t="n">
        <v>-31399.2</v>
      </c>
      <c r="X49" s="184"/>
    </row>
    <row r="50" customFormat="false" ht="18.75" hidden="false" customHeight="true" outlineLevel="0" collapsed="false">
      <c r="B50" s="182" t="s">
        <v>62</v>
      </c>
      <c r="C50" s="174"/>
      <c r="D50" s="184" t="n">
        <v>-43610</v>
      </c>
      <c r="E50" s="184" t="n">
        <v>-43610</v>
      </c>
      <c r="F50" s="184" t="n">
        <v>-43610</v>
      </c>
      <c r="G50" s="184" t="n">
        <v>-43610</v>
      </c>
      <c r="H50" s="184" t="n">
        <v>-43610</v>
      </c>
      <c r="I50" s="184" t="n">
        <v>-43610</v>
      </c>
      <c r="J50" s="184" t="n">
        <v>-43610</v>
      </c>
      <c r="K50" s="184" t="n">
        <v>-43610</v>
      </c>
      <c r="L50" s="184" t="n">
        <v>-43610</v>
      </c>
      <c r="M50" s="184" t="n">
        <v>-43610</v>
      </c>
      <c r="N50" s="184" t="n">
        <v>0</v>
      </c>
      <c r="O50" s="184" t="n">
        <v>0</v>
      </c>
      <c r="P50" s="184" t="n">
        <v>0</v>
      </c>
      <c r="Q50" s="184" t="n">
        <v>0</v>
      </c>
      <c r="R50" s="184" t="n">
        <v>0</v>
      </c>
      <c r="S50" s="184" t="n">
        <v>0</v>
      </c>
      <c r="T50" s="184" t="n">
        <v>0</v>
      </c>
      <c r="U50" s="184" t="n">
        <v>0</v>
      </c>
      <c r="V50" s="184" t="n">
        <v>0</v>
      </c>
      <c r="W50" s="184" t="n">
        <v>0</v>
      </c>
      <c r="X50" s="184"/>
    </row>
    <row r="51" customFormat="false" ht="18.75" hidden="false" customHeight="true" outlineLevel="0" collapsed="false">
      <c r="B51" s="182" t="s">
        <v>63</v>
      </c>
      <c r="C51" s="185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</row>
    <row r="52" customFormat="false" ht="18.75" hidden="false" customHeight="true" outlineLevel="0" collapsed="false">
      <c r="B52" s="182" t="s">
        <v>64</v>
      </c>
      <c r="C52" s="185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</row>
    <row r="53" customFormat="false" ht="18.75" hidden="false" customHeight="true" outlineLevel="0" collapsed="false">
      <c r="B53" s="186" t="s">
        <v>65</v>
      </c>
      <c r="C53" s="185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</row>
    <row r="54" customFormat="false" ht="18.75" hidden="false" customHeight="true" outlineLevel="0" collapsed="false">
      <c r="B54" s="186" t="s">
        <v>66</v>
      </c>
      <c r="C54" s="185"/>
      <c r="D54" s="184" t="n">
        <f aca="false">-(D64+D67+D68+D71+D72+D73+D74)*0.2</f>
        <v>-208577.0824192</v>
      </c>
      <c r="E54" s="184" t="n">
        <f aca="false">-(E64+E67+E68+E71+E72+E73+E74)*0.2</f>
        <v>-86725.061468416</v>
      </c>
      <c r="F54" s="184" t="n">
        <f aca="false">-(F64+F67+F68+F71+F72+F73+F74)*0.2</f>
        <v>-85587.017243392</v>
      </c>
      <c r="G54" s="184" t="n">
        <f aca="false">-(G64+G67+G68+G71+G72+G73+G74)*0.2</f>
        <v>-84448.973018368</v>
      </c>
      <c r="H54" s="184" t="n">
        <f aca="false">-(H64+H67+H68+H71+H72+H73+H74)*0.2</f>
        <v>-83310.928793344</v>
      </c>
      <c r="I54" s="184" t="n">
        <f aca="false">-(I64+I67+I68+I71+I72+I73+I74)*0.2</f>
        <v>-82172.88456832</v>
      </c>
      <c r="J54" s="184" t="n">
        <f aca="false">-(J64+J67+J68+J71+J72+J73+J74)*0.2</f>
        <v>-81034.840343296</v>
      </c>
      <c r="K54" s="184" t="n">
        <f aca="false">-(K64+K67+K68+K71+K72+K73+K74)*0.2</f>
        <v>-79896.796118272</v>
      </c>
      <c r="L54" s="184" t="n">
        <f aca="false">-(L64+L67+L68+L71+L72+L73+L74)*0.2</f>
        <v>-78758.751893248</v>
      </c>
      <c r="M54" s="184" t="n">
        <f aca="false">-(M64+M67+M68+M71+M72+M73+M74)*0.2</f>
        <v>-77620.707668224</v>
      </c>
      <c r="N54" s="184" t="n">
        <f aca="false">-(N64+N67+N68+N71+N72+N73+N74)*0.2</f>
        <v>-85204.6634432</v>
      </c>
      <c r="O54" s="184" t="n">
        <f aca="false">-(O64+O67+O68+O71+O72+O73+O74)*0.2</f>
        <v>-84066.619218176</v>
      </c>
      <c r="P54" s="184" t="n">
        <f aca="false">-(P64+P67+P68+P71+P72+P73+P74)*0.2</f>
        <v>-82928.574993152</v>
      </c>
      <c r="Q54" s="184" t="n">
        <f aca="false">-(Q64+Q67+Q68+Q71+Q72+Q73+Q74)*0.2</f>
        <v>-81790.530768128</v>
      </c>
      <c r="R54" s="184" t="n">
        <f aca="false">-(R64+R67+R68+R71+R72+R73+R74)*0.2</f>
        <v>-80652.486543104</v>
      </c>
      <c r="S54" s="184" t="n">
        <f aca="false">-(S64+S67+S68+S71+S72+S73+S74)*0.2</f>
        <v>-79514.44231808</v>
      </c>
      <c r="T54" s="184" t="n">
        <f aca="false">-(T64+T67+T68+T71+T72+T73+T74)*0.2</f>
        <v>-78376.3980930559</v>
      </c>
      <c r="U54" s="184" t="n">
        <f aca="false">-(U64+U67+U68+U71+U72+U73+U74)*0.2</f>
        <v>-77238.353868032</v>
      </c>
      <c r="V54" s="184" t="n">
        <f aca="false">-(V64+V67+V68+V71+V72+V73+V74)*0.2</f>
        <v>-76100.309643008</v>
      </c>
      <c r="W54" s="184" t="n">
        <f aca="false">-(W64+W67+W68+W71+W72+W73+W74)*0.2</f>
        <v>-74962.265417984</v>
      </c>
      <c r="X54" s="175"/>
    </row>
    <row r="55" customFormat="false" ht="18.75" hidden="false" customHeight="true" outlineLevel="0" collapsed="false">
      <c r="B55" s="187" t="s">
        <v>67</v>
      </c>
      <c r="C55" s="188" t="n">
        <f aca="false">C44</f>
        <v>-14391300</v>
      </c>
      <c r="D55" s="189" t="n">
        <f aca="false">SUM(D41:D54)</f>
        <v>950303.446048</v>
      </c>
      <c r="E55" s="189" t="n">
        <f aca="false">SUM(E41:E54)</f>
        <v>1066465.24587366</v>
      </c>
      <c r="F55" s="189" t="n">
        <f aca="false">SUM(F41:F54)</f>
        <v>1061913.06897357</v>
      </c>
      <c r="G55" s="189" t="n">
        <f aca="false">SUM(G41:G54)</f>
        <v>1057360.89207347</v>
      </c>
      <c r="H55" s="189" t="n">
        <f aca="false">SUM(H41:H54)</f>
        <v>1052808.71517338</v>
      </c>
      <c r="I55" s="189" t="n">
        <f aca="false">SUM(I41:I54)</f>
        <v>1048256.53827328</v>
      </c>
      <c r="J55" s="189" t="n">
        <f aca="false">SUM(J41:J54)</f>
        <v>1043704.36137318</v>
      </c>
      <c r="K55" s="189" t="n">
        <f aca="false">SUM(K41:K54)</f>
        <v>1039152.18447309</v>
      </c>
      <c r="L55" s="189" t="n">
        <f aca="false">SUM(L41:L54)</f>
        <v>1034600.00757299</v>
      </c>
      <c r="M55" s="189" t="n">
        <f aca="false">SUM(M41:M54)</f>
        <v>1030047.8306729</v>
      </c>
      <c r="N55" s="189" t="n">
        <f aca="false">SUM(N41:N54)</f>
        <v>1060383.6537728</v>
      </c>
      <c r="O55" s="189" t="n">
        <f aca="false">SUM(O41:O54)</f>
        <v>1055831.4768727</v>
      </c>
      <c r="P55" s="189" t="n">
        <f aca="false">SUM(P41:P54)</f>
        <v>1051279.29997261</v>
      </c>
      <c r="Q55" s="189" t="n">
        <f aca="false">SUM(Q41:Q54)</f>
        <v>1046727.12307251</v>
      </c>
      <c r="R55" s="189" t="n">
        <f aca="false">SUM(R41:R54)</f>
        <v>1042174.94617242</v>
      </c>
      <c r="S55" s="189" t="n">
        <f aca="false">SUM(S41:S54)</f>
        <v>1037622.76927232</v>
      </c>
      <c r="T55" s="189" t="n">
        <f aca="false">SUM(T41:T54)</f>
        <v>1033070.59237222</v>
      </c>
      <c r="U55" s="189" t="n">
        <f aca="false">SUM(U41:U54)</f>
        <v>1028518.41547213</v>
      </c>
      <c r="V55" s="189" t="n">
        <f aca="false">SUM(V41:V54)</f>
        <v>1023966.23857203</v>
      </c>
      <c r="W55" s="189" t="n">
        <f aca="false">SUM(W41:W54)</f>
        <v>1019414.06167194</v>
      </c>
      <c r="X55" s="190"/>
      <c r="Y55" s="191"/>
      <c r="Z55" s="192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</row>
    <row r="56" customFormat="false" ht="18.75" hidden="false" customHeight="true" outlineLevel="0" collapsed="false">
      <c r="B56" s="193" t="s">
        <v>68</v>
      </c>
      <c r="D56" s="194" t="n">
        <f aca="false">C55+D55</f>
        <v>-13440996.553952</v>
      </c>
      <c r="E56" s="194" t="n">
        <f aca="false">D56+E55</f>
        <v>-12374531.3080783</v>
      </c>
      <c r="F56" s="194" t="n">
        <f aca="false">E56+F55</f>
        <v>-11312618.2391048</v>
      </c>
      <c r="G56" s="194" t="n">
        <f aca="false">F56+G55</f>
        <v>-10255257.3470313</v>
      </c>
      <c r="H56" s="194" t="n">
        <f aca="false">G56+H55</f>
        <v>-9202448.63185792</v>
      </c>
      <c r="I56" s="194" t="n">
        <f aca="false">H56+I55</f>
        <v>-8154192.09358465</v>
      </c>
      <c r="J56" s="194" t="n">
        <f aca="false">I56+J55</f>
        <v>-7110487.73221146</v>
      </c>
      <c r="K56" s="194" t="n">
        <f aca="false">J56+K55</f>
        <v>-6071335.54773837</v>
      </c>
      <c r="L56" s="194" t="n">
        <f aca="false">K56+L55</f>
        <v>-5036735.54016538</v>
      </c>
      <c r="M56" s="194" t="n">
        <f aca="false">L56+M55</f>
        <v>-4006687.70949248</v>
      </c>
      <c r="N56" s="194" t="n">
        <f aca="false">M56+N55</f>
        <v>-2946304.05571969</v>
      </c>
      <c r="O56" s="194" t="n">
        <f aca="false">N56+O55</f>
        <v>-1890472.57884698</v>
      </c>
      <c r="P56" s="194" t="n">
        <f aca="false">O56+P55</f>
        <v>-839193.278874373</v>
      </c>
      <c r="Q56" s="194" t="n">
        <f aca="false">P56+Q55</f>
        <v>207533.844198139</v>
      </c>
      <c r="R56" s="194" t="n">
        <f aca="false">Q56+R55</f>
        <v>1249708.79037055</v>
      </c>
      <c r="S56" s="194" t="n">
        <f aca="false">R56+S55</f>
        <v>2287331.55964287</v>
      </c>
      <c r="T56" s="194" t="n">
        <f aca="false">S56+T55</f>
        <v>3320402.1520151</v>
      </c>
      <c r="U56" s="194" t="n">
        <f aca="false">T56+U55</f>
        <v>4348920.56748723</v>
      </c>
      <c r="V56" s="194" t="n">
        <f aca="false">U56+V55</f>
        <v>5372886.80605926</v>
      </c>
      <c r="W56" s="194" t="n">
        <f aca="false">V56+W55</f>
        <v>6392300.86773119</v>
      </c>
      <c r="X56" s="194" t="n">
        <f aca="false">W56+X55</f>
        <v>6392300.86773119</v>
      </c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</row>
    <row r="57" customFormat="false" ht="18.75" hidden="false" customHeight="true" outlineLevel="0" collapsed="false">
      <c r="B57" s="195" t="s">
        <v>74</v>
      </c>
      <c r="C57" s="196"/>
      <c r="D57" s="197" t="str">
        <f aca="false">IF((D56)&gt;0,"回收","未回收")</f>
        <v>未回收</v>
      </c>
      <c r="E57" s="198" t="str">
        <f aca="false">IF((E56)&gt;0,"回收","未回收")</f>
        <v>未回收</v>
      </c>
      <c r="F57" s="198" t="str">
        <f aca="false">IF((F56)&gt;0,"回收","未回收")</f>
        <v>未回收</v>
      </c>
      <c r="G57" s="198" t="str">
        <f aca="false">IF((G56)&gt;0,"回收","未回收")</f>
        <v>未回收</v>
      </c>
      <c r="H57" s="198" t="str">
        <f aca="false">IF((H56)&gt;0,"回收","未回收")</f>
        <v>未回收</v>
      </c>
      <c r="I57" s="198" t="str">
        <f aca="false">IF((I56)&gt;0,"回收","未回收")</f>
        <v>未回收</v>
      </c>
      <c r="J57" s="198" t="str">
        <f aca="false">IF((J56)&gt;0,"回收","未回收")</f>
        <v>未回收</v>
      </c>
      <c r="K57" s="198" t="str">
        <f aca="false">IF((K56)&gt;0,"回收","未回收")</f>
        <v>未回收</v>
      </c>
      <c r="L57" s="198" t="str">
        <f aca="false">IF((L56)&gt;0,"回收","未回收")</f>
        <v>未回收</v>
      </c>
      <c r="M57" s="198" t="str">
        <f aca="false">IF((M56)&gt;0,"回收","未回收")</f>
        <v>未回收</v>
      </c>
      <c r="N57" s="198" t="str">
        <f aca="false">IF((N56)&gt;0,"回收","未回收")</f>
        <v>未回收</v>
      </c>
      <c r="O57" s="198" t="str">
        <f aca="false">IF((O56)&gt;0,"回收","未回收")</f>
        <v>未回收</v>
      </c>
      <c r="P57" s="198" t="str">
        <f aca="false">IF((P56)&gt;0,"回收","未回收")</f>
        <v>未回收</v>
      </c>
      <c r="Q57" s="198" t="str">
        <f aca="false">IF((Q56)&gt;0,"回收","未回收")</f>
        <v>回收</v>
      </c>
      <c r="R57" s="198" t="str">
        <f aca="false">IF((R56)&gt;0,"回收","未回收")</f>
        <v>回收</v>
      </c>
      <c r="S57" s="198" t="str">
        <f aca="false">IF((S56)&gt;0,"回收","未回收")</f>
        <v>回收</v>
      </c>
      <c r="T57" s="198" t="str">
        <f aca="false">IF((T56)&gt;0,"回收","未回收")</f>
        <v>回收</v>
      </c>
      <c r="U57" s="198" t="str">
        <f aca="false">IF((U56)&gt;0,"回收","未回收")</f>
        <v>回收</v>
      </c>
      <c r="V57" s="198" t="str">
        <f aca="false">IF((V56)&gt;0,"回收","未回收")</f>
        <v>回收</v>
      </c>
      <c r="W57" s="198" t="str">
        <f aca="false">IF((W56)&gt;0,"回收","未回收")</f>
        <v>回收</v>
      </c>
      <c r="X57" s="198" t="str">
        <f aca="false">IF((X56)&gt;0,"回收","未回收")</f>
        <v>回收</v>
      </c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</row>
    <row r="58" customFormat="false" ht="18.75" hidden="false" customHeight="true" outlineLevel="0" collapsed="false">
      <c r="B58" s="199" t="s">
        <v>93</v>
      </c>
      <c r="C58" s="200" t="n">
        <f aca="false">IRR(C55:W55)</f>
        <v>0.0378836427483709</v>
      </c>
      <c r="D58" s="201"/>
      <c r="E58" s="201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customFormat="false" ht="18.75" hidden="false" customHeight="true" outlineLevel="0" collapsed="false">
      <c r="B59" s="202"/>
      <c r="C59" s="201"/>
      <c r="D59" s="201"/>
      <c r="E59" s="201"/>
      <c r="F59" s="202"/>
      <c r="G59" s="202"/>
      <c r="H59" s="202"/>
      <c r="I59" s="202"/>
      <c r="J59" s="202"/>
      <c r="K59" s="202"/>
      <c r="L59" s="202"/>
      <c r="M59" s="201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customFormat="false" ht="18.75" hidden="false" customHeight="true" outlineLevel="0" collapsed="false">
      <c r="B60" s="97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54" t="n">
        <v>0</v>
      </c>
      <c r="C61" s="155"/>
      <c r="D61" s="156"/>
      <c r="E61" s="156"/>
      <c r="F61" s="157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204" t="s">
        <v>50</v>
      </c>
      <c r="U61" s="158"/>
      <c r="V61" s="158"/>
      <c r="W61" s="158"/>
      <c r="X61" s="160"/>
    </row>
    <row r="62" customFormat="false" ht="18.75" hidden="false" customHeight="true" outlineLevel="0" collapsed="false">
      <c r="B62" s="161" t="s">
        <v>51</v>
      </c>
      <c r="C62" s="162" t="n">
        <v>0</v>
      </c>
      <c r="D62" s="163" t="n">
        <v>1</v>
      </c>
      <c r="E62" s="163" t="n">
        <v>2</v>
      </c>
      <c r="F62" s="163" t="n">
        <v>3</v>
      </c>
      <c r="G62" s="163" t="n">
        <v>4</v>
      </c>
      <c r="H62" s="163" t="n">
        <v>5</v>
      </c>
      <c r="I62" s="163" t="n">
        <v>6</v>
      </c>
      <c r="J62" s="163" t="n">
        <v>7</v>
      </c>
      <c r="K62" s="163" t="n">
        <v>8</v>
      </c>
      <c r="L62" s="163" t="n">
        <v>9</v>
      </c>
      <c r="M62" s="163" t="n">
        <v>10</v>
      </c>
      <c r="N62" s="163" t="n">
        <v>11</v>
      </c>
      <c r="O62" s="163" t="n">
        <v>12</v>
      </c>
      <c r="P62" s="163" t="n">
        <v>13</v>
      </c>
      <c r="Q62" s="163" t="n">
        <v>14</v>
      </c>
      <c r="R62" s="163" t="n">
        <v>15</v>
      </c>
      <c r="S62" s="163" t="n">
        <v>16</v>
      </c>
      <c r="T62" s="205" t="n">
        <v>17</v>
      </c>
      <c r="U62" s="163" t="n">
        <v>18</v>
      </c>
      <c r="V62" s="163" t="n">
        <v>19</v>
      </c>
      <c r="W62" s="163" t="n">
        <v>20</v>
      </c>
      <c r="X62" s="47"/>
    </row>
    <row r="63" customFormat="false" ht="18.75" hidden="false" customHeight="true" outlineLevel="0" collapsed="false">
      <c r="B63" s="165" t="s">
        <v>52</v>
      </c>
      <c r="C63" s="166" t="n">
        <v>0</v>
      </c>
      <c r="D63" s="167" t="n">
        <f aca="false">D40</f>
        <v>541531.98</v>
      </c>
      <c r="E63" s="167" t="n">
        <f aca="false">E40</f>
        <v>539343.972</v>
      </c>
      <c r="F63" s="167" t="n">
        <f aca="false">F40</f>
        <v>537155.964</v>
      </c>
      <c r="G63" s="167" t="n">
        <f aca="false">G40</f>
        <v>534967.956</v>
      </c>
      <c r="H63" s="167" t="n">
        <f aca="false">H40</f>
        <v>532779.948</v>
      </c>
      <c r="I63" s="167" t="n">
        <f aca="false">I40</f>
        <v>530591.94</v>
      </c>
      <c r="J63" s="167" t="n">
        <f aca="false">J40</f>
        <v>528403.932</v>
      </c>
      <c r="K63" s="167" t="n">
        <f aca="false">K40</f>
        <v>526215.924</v>
      </c>
      <c r="L63" s="167" t="n">
        <f aca="false">L40</f>
        <v>524027.916</v>
      </c>
      <c r="M63" s="167" t="n">
        <f aca="false">M40</f>
        <v>521839.908</v>
      </c>
      <c r="N63" s="167" t="n">
        <f aca="false">N40</f>
        <v>519651.9</v>
      </c>
      <c r="O63" s="167" t="n">
        <f aca="false">O40</f>
        <v>517463.892</v>
      </c>
      <c r="P63" s="167" t="n">
        <f aca="false">P40</f>
        <v>515275.884</v>
      </c>
      <c r="Q63" s="167" t="n">
        <f aca="false">Q40</f>
        <v>513087.876</v>
      </c>
      <c r="R63" s="167" t="n">
        <f aca="false">R40</f>
        <v>510899.868</v>
      </c>
      <c r="S63" s="167" t="n">
        <f aca="false">S40</f>
        <v>508711.86</v>
      </c>
      <c r="T63" s="167" t="n">
        <f aca="false">T40</f>
        <v>506523.852</v>
      </c>
      <c r="U63" s="167" t="n">
        <f aca="false">U40</f>
        <v>504335.844</v>
      </c>
      <c r="V63" s="167" t="n">
        <f aca="false">V40</f>
        <v>502147.836</v>
      </c>
      <c r="W63" s="167" t="n">
        <f aca="false">W40</f>
        <v>499959.828</v>
      </c>
      <c r="X63" s="168"/>
    </row>
    <row r="64" customFormat="false" ht="18.75" hidden="false" customHeight="true" outlineLevel="0" collapsed="false">
      <c r="B64" s="169" t="s">
        <v>53</v>
      </c>
      <c r="C64" s="170" t="s">
        <v>3</v>
      </c>
      <c r="D64" s="171" t="n">
        <f aca="false">D41</f>
        <v>2011899.612096</v>
      </c>
      <c r="E64" s="171" t="n">
        <f aca="false">E41</f>
        <v>2003770.7247744</v>
      </c>
      <c r="F64" s="171" t="n">
        <f aca="false">F41</f>
        <v>1995641.8374528</v>
      </c>
      <c r="G64" s="171" t="n">
        <f aca="false">G41</f>
        <v>1987512.9501312</v>
      </c>
      <c r="H64" s="171" t="n">
        <f aca="false">H41</f>
        <v>1979384.0628096</v>
      </c>
      <c r="I64" s="171" t="n">
        <f aca="false">I41</f>
        <v>1971255.175488</v>
      </c>
      <c r="J64" s="171" t="n">
        <f aca="false">J41</f>
        <v>1963126.2881664</v>
      </c>
      <c r="K64" s="171" t="n">
        <f aca="false">K41</f>
        <v>1954997.4008448</v>
      </c>
      <c r="L64" s="171" t="n">
        <f aca="false">L41</f>
        <v>1946868.5135232</v>
      </c>
      <c r="M64" s="171" t="n">
        <f aca="false">M41</f>
        <v>1938739.6262016</v>
      </c>
      <c r="N64" s="171" t="n">
        <f aca="false">N41</f>
        <v>1930610.73888</v>
      </c>
      <c r="O64" s="171" t="n">
        <f aca="false">O41</f>
        <v>1922481.8515584</v>
      </c>
      <c r="P64" s="171" t="n">
        <f aca="false">P41</f>
        <v>1914352.9642368</v>
      </c>
      <c r="Q64" s="171" t="n">
        <f aca="false">Q41</f>
        <v>1906224.0769152</v>
      </c>
      <c r="R64" s="171" t="n">
        <f aca="false">R41</f>
        <v>1898095.1895936</v>
      </c>
      <c r="S64" s="171" t="n">
        <f aca="false">S41</f>
        <v>1889966.302272</v>
      </c>
      <c r="T64" s="171" t="n">
        <f aca="false">T41</f>
        <v>1881837.4149504</v>
      </c>
      <c r="U64" s="171" t="n">
        <f aca="false">U41</f>
        <v>1873708.5276288</v>
      </c>
      <c r="V64" s="171" t="n">
        <f aca="false">V41</f>
        <v>1865579.6403072</v>
      </c>
      <c r="W64" s="171" t="n">
        <f aca="false">W41</f>
        <v>1857450.7529856</v>
      </c>
      <c r="X64" s="172"/>
    </row>
    <row r="65" customFormat="false" ht="18.75" hidden="false" customHeight="true" outlineLevel="0" collapsed="false">
      <c r="B65" s="173" t="s">
        <v>54</v>
      </c>
      <c r="C65" s="174" t="s">
        <v>3</v>
      </c>
      <c r="D65" s="175"/>
      <c r="E65" s="175"/>
      <c r="F65" s="175"/>
      <c r="G65" s="176" t="s">
        <v>3</v>
      </c>
      <c r="H65" s="176" t="s">
        <v>3</v>
      </c>
      <c r="I65" s="176" t="s">
        <v>3</v>
      </c>
      <c r="J65" s="176" t="s">
        <v>3</v>
      </c>
      <c r="K65" s="176" t="s">
        <v>3</v>
      </c>
      <c r="L65" s="176" t="s">
        <v>3</v>
      </c>
      <c r="M65" s="176" t="s">
        <v>3</v>
      </c>
      <c r="N65" s="176" t="s">
        <v>3</v>
      </c>
      <c r="O65" s="176" t="s">
        <v>3</v>
      </c>
      <c r="P65" s="176" t="s">
        <v>3</v>
      </c>
      <c r="Q65" s="176" t="s">
        <v>3</v>
      </c>
      <c r="R65" s="176" t="s">
        <v>3</v>
      </c>
      <c r="S65" s="176" t="s">
        <v>3</v>
      </c>
      <c r="T65" s="176" t="s">
        <v>3</v>
      </c>
      <c r="U65" s="176" t="s">
        <v>3</v>
      </c>
      <c r="V65" s="176" t="s">
        <v>3</v>
      </c>
      <c r="W65" s="176" t="s">
        <v>3</v>
      </c>
      <c r="X65" s="177"/>
    </row>
    <row r="66" customFormat="false" ht="18.75" hidden="false" customHeight="true" outlineLevel="0" collapsed="false">
      <c r="B66" s="178" t="s">
        <v>55</v>
      </c>
      <c r="C66" s="179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1"/>
    </row>
    <row r="67" customFormat="false" ht="18.75" hidden="false" customHeight="true" outlineLevel="0" collapsed="false">
      <c r="B67" s="182" t="s">
        <v>151</v>
      </c>
      <c r="C67" s="174"/>
      <c r="D67" s="206" t="n">
        <f aca="false">$C$44/$E$16</f>
        <v>-719565</v>
      </c>
      <c r="E67" s="206" t="n">
        <f aca="false">$C$44/$E$16</f>
        <v>-719565</v>
      </c>
      <c r="F67" s="206" t="n">
        <f aca="false">$C$44/$E$16</f>
        <v>-719565</v>
      </c>
      <c r="G67" s="206" t="n">
        <f aca="false">$C$44/$E$16</f>
        <v>-719565</v>
      </c>
      <c r="H67" s="206" t="n">
        <f aca="false">$C$44/$E$16</f>
        <v>-719565</v>
      </c>
      <c r="I67" s="206" t="n">
        <f aca="false">$C$44/$E$16</f>
        <v>-719565</v>
      </c>
      <c r="J67" s="206" t="n">
        <f aca="false">$C$44/$E$16</f>
        <v>-719565</v>
      </c>
      <c r="K67" s="206" t="n">
        <f aca="false">$C$44/$E$16</f>
        <v>-719565</v>
      </c>
      <c r="L67" s="206" t="n">
        <f aca="false">$C$44/$E$16</f>
        <v>-719565</v>
      </c>
      <c r="M67" s="206" t="n">
        <f aca="false">$C$44/$E$16</f>
        <v>-719565</v>
      </c>
      <c r="N67" s="206" t="n">
        <f aca="false">$C$44/$E$16</f>
        <v>-719565</v>
      </c>
      <c r="O67" s="206" t="n">
        <f aca="false">$C$44/$E$16</f>
        <v>-719565</v>
      </c>
      <c r="P67" s="206" t="n">
        <f aca="false">$C$44/$E$16</f>
        <v>-719565</v>
      </c>
      <c r="Q67" s="206" t="n">
        <f aca="false">$C$44/$E$16</f>
        <v>-719565</v>
      </c>
      <c r="R67" s="206" t="n">
        <f aca="false">$C$44/$E$16</f>
        <v>-719565</v>
      </c>
      <c r="S67" s="206" t="n">
        <f aca="false">$C$44/$E$16</f>
        <v>-719565</v>
      </c>
      <c r="T67" s="206" t="n">
        <f aca="false">$C$44/$E$16</f>
        <v>-719565</v>
      </c>
      <c r="U67" s="206" t="n">
        <f aca="false">$C$44/$E$16</f>
        <v>-719565</v>
      </c>
      <c r="V67" s="206" t="n">
        <f aca="false">$C$44/$E$16</f>
        <v>-719565</v>
      </c>
      <c r="W67" s="206" t="n">
        <f aca="false">$C$44/$E$16</f>
        <v>-719565</v>
      </c>
      <c r="X67" s="177"/>
    </row>
    <row r="68" customFormat="false" ht="18.75" hidden="false" customHeight="true" outlineLevel="0" collapsed="false">
      <c r="B68" s="182" t="s">
        <v>57</v>
      </c>
      <c r="C68" s="174" t="s">
        <v>3</v>
      </c>
      <c r="D68" s="184" t="n">
        <f aca="false">D44</f>
        <v>0</v>
      </c>
      <c r="E68" s="184" t="n">
        <f aca="false">E45</f>
        <v>-601131.21743232</v>
      </c>
      <c r="F68" s="184" t="n">
        <f aca="false">F45</f>
        <v>-598692.55123584</v>
      </c>
      <c r="G68" s="184" t="n">
        <f aca="false">G45</f>
        <v>-596253.88503936</v>
      </c>
      <c r="H68" s="184" t="n">
        <f aca="false">H45</f>
        <v>-593815.21884288</v>
      </c>
      <c r="I68" s="184" t="n">
        <f aca="false">I45</f>
        <v>-591376.5526464</v>
      </c>
      <c r="J68" s="184" t="n">
        <f aca="false">J45</f>
        <v>-588937.88644992</v>
      </c>
      <c r="K68" s="184" t="n">
        <f aca="false">K45</f>
        <v>-586499.22025344</v>
      </c>
      <c r="L68" s="184" t="n">
        <f aca="false">L45</f>
        <v>-584060.55405696</v>
      </c>
      <c r="M68" s="184" t="n">
        <f aca="false">M45</f>
        <v>-581621.88786048</v>
      </c>
      <c r="N68" s="184" t="n">
        <f aca="false">N45</f>
        <v>-579183.221664</v>
      </c>
      <c r="O68" s="184" t="n">
        <f aca="false">O45</f>
        <v>-576744.55546752</v>
      </c>
      <c r="P68" s="184" t="n">
        <f aca="false">P45</f>
        <v>-574305.88927104</v>
      </c>
      <c r="Q68" s="184" t="n">
        <f aca="false">Q45</f>
        <v>-571867.22307456</v>
      </c>
      <c r="R68" s="184" t="n">
        <f aca="false">R45</f>
        <v>-569428.55687808</v>
      </c>
      <c r="S68" s="184" t="n">
        <f aca="false">S45</f>
        <v>-566989.8906816</v>
      </c>
      <c r="T68" s="184" t="n">
        <f aca="false">T45</f>
        <v>-564551.22448512</v>
      </c>
      <c r="U68" s="184" t="n">
        <f aca="false">U45</f>
        <v>-562112.55828864</v>
      </c>
      <c r="V68" s="184" t="n">
        <f aca="false">V45</f>
        <v>-559673.89209216</v>
      </c>
      <c r="W68" s="184" t="n">
        <f aca="false">W45</f>
        <v>-557235.22589568</v>
      </c>
      <c r="X68" s="177"/>
    </row>
    <row r="69" customFormat="false" ht="18.75" hidden="false" customHeight="true" outlineLevel="0" collapsed="false">
      <c r="B69" s="182" t="s">
        <v>58</v>
      </c>
      <c r="C69" s="174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7"/>
    </row>
    <row r="70" customFormat="false" ht="18.75" hidden="false" customHeight="true" outlineLevel="0" collapsed="false">
      <c r="B70" s="182" t="s">
        <v>59</v>
      </c>
      <c r="C70" s="174" t="s">
        <v>3</v>
      </c>
      <c r="D70" s="184" t="n">
        <f aca="false">-D109*$D25</f>
        <v>-294676.2588</v>
      </c>
      <c r="E70" s="184" t="n">
        <f aca="false">-E109*$D25</f>
        <v>-275031.17488</v>
      </c>
      <c r="F70" s="184" t="n">
        <f aca="false">-F109*$D25</f>
        <v>-255386.09096</v>
      </c>
      <c r="G70" s="184" t="n">
        <f aca="false">-G109*$D25</f>
        <v>-235741.00704</v>
      </c>
      <c r="H70" s="184" t="n">
        <f aca="false">-H109*$D25</f>
        <v>-216095.92312</v>
      </c>
      <c r="I70" s="184" t="n">
        <f aca="false">-I109*$D25</f>
        <v>-196450.8392</v>
      </c>
      <c r="J70" s="184" t="n">
        <f aca="false">-J109*$D25</f>
        <v>-176805.75528</v>
      </c>
      <c r="K70" s="184" t="n">
        <f aca="false">-K109*$D25</f>
        <v>-157160.67136</v>
      </c>
      <c r="L70" s="184" t="n">
        <f aca="false">-L109*$D25</f>
        <v>-137515.58744</v>
      </c>
      <c r="M70" s="184" t="n">
        <f aca="false">-M109*$D25</f>
        <v>-117870.50352</v>
      </c>
      <c r="N70" s="184" t="n">
        <f aca="false">-N109*$D25</f>
        <v>-98225.4196</v>
      </c>
      <c r="O70" s="184" t="n">
        <f aca="false">-O109*$D25</f>
        <v>-78580.33568</v>
      </c>
      <c r="P70" s="184" t="n">
        <f aca="false">-P109*$D25</f>
        <v>-58935.25176</v>
      </c>
      <c r="Q70" s="184" t="n">
        <f aca="false">-Q109*$D25</f>
        <v>-39290.16784</v>
      </c>
      <c r="R70" s="184" t="n">
        <f aca="false">-R109*$D25</f>
        <v>-19645.08392</v>
      </c>
      <c r="S70" s="184" t="n">
        <f aca="false">-S109*$D25</f>
        <v>-0</v>
      </c>
      <c r="T70" s="184" t="n">
        <f aca="false">-T109*$D25</f>
        <v>-0</v>
      </c>
      <c r="U70" s="184" t="n">
        <f aca="false">-U109*$D25</f>
        <v>-0</v>
      </c>
      <c r="V70" s="184" t="n">
        <f aca="false">-V109*$D25</f>
        <v>-0</v>
      </c>
      <c r="W70" s="184" t="n">
        <f aca="false">-W109*$D25</f>
        <v>-0</v>
      </c>
      <c r="X70" s="177"/>
    </row>
    <row r="71" customFormat="false" ht="18.75" hidden="false" customHeight="true" outlineLevel="0" collapsed="false">
      <c r="B71" s="182" t="s">
        <v>60</v>
      </c>
      <c r="C71" s="174" t="s">
        <v>3</v>
      </c>
      <c r="D71" s="184" t="n">
        <f aca="false">D48</f>
        <v>-174440</v>
      </c>
      <c r="E71" s="184" t="n">
        <f aca="false">E48</f>
        <v>-174440</v>
      </c>
      <c r="F71" s="184" t="n">
        <f aca="false">F48</f>
        <v>-174440</v>
      </c>
      <c r="G71" s="184" t="n">
        <f aca="false">G48</f>
        <v>-174440</v>
      </c>
      <c r="H71" s="184" t="n">
        <f aca="false">H48</f>
        <v>-174440</v>
      </c>
      <c r="I71" s="184" t="n">
        <f aca="false">I48</f>
        <v>-174440</v>
      </c>
      <c r="J71" s="184" t="n">
        <f aca="false">J48</f>
        <v>-174440</v>
      </c>
      <c r="K71" s="184" t="n">
        <f aca="false">K48</f>
        <v>-174440</v>
      </c>
      <c r="L71" s="184" t="n">
        <f aca="false">L48</f>
        <v>-174440</v>
      </c>
      <c r="M71" s="184" t="n">
        <f aca="false">M48</f>
        <v>-174440</v>
      </c>
      <c r="N71" s="184" t="n">
        <f aca="false">N48</f>
        <v>-174440</v>
      </c>
      <c r="O71" s="184" t="n">
        <f aca="false">O48</f>
        <v>-174440</v>
      </c>
      <c r="P71" s="184" t="n">
        <f aca="false">P48</f>
        <v>-174440</v>
      </c>
      <c r="Q71" s="184" t="n">
        <f aca="false">Q48</f>
        <v>-174440</v>
      </c>
      <c r="R71" s="184" t="n">
        <f aca="false">R48</f>
        <v>-174440</v>
      </c>
      <c r="S71" s="184" t="n">
        <f aca="false">S48</f>
        <v>-174440</v>
      </c>
      <c r="T71" s="184" t="n">
        <f aca="false">T48</f>
        <v>-174440</v>
      </c>
      <c r="U71" s="184" t="n">
        <f aca="false">U48</f>
        <v>-174440</v>
      </c>
      <c r="V71" s="184" t="n">
        <f aca="false">V48</f>
        <v>-174440</v>
      </c>
      <c r="W71" s="184" t="n">
        <f aca="false">W48</f>
        <v>-174440</v>
      </c>
      <c r="X71" s="177"/>
    </row>
    <row r="72" customFormat="false" ht="18.75" hidden="false" customHeight="true" outlineLevel="0" collapsed="false">
      <c r="B72" s="182" t="s">
        <v>61</v>
      </c>
      <c r="C72" s="174" t="s">
        <v>3</v>
      </c>
      <c r="D72" s="184" t="n">
        <f aca="false">D49</f>
        <v>-31399.2</v>
      </c>
      <c r="E72" s="184" t="n">
        <f aca="false">E49</f>
        <v>-31399.2</v>
      </c>
      <c r="F72" s="184" t="n">
        <f aca="false">F49</f>
        <v>-31399.2</v>
      </c>
      <c r="G72" s="184" t="n">
        <f aca="false">G49</f>
        <v>-31399.2</v>
      </c>
      <c r="H72" s="184" t="n">
        <f aca="false">H49</f>
        <v>-31399.2</v>
      </c>
      <c r="I72" s="184" t="n">
        <f aca="false">I49</f>
        <v>-31399.2</v>
      </c>
      <c r="J72" s="184" t="n">
        <f aca="false">J49</f>
        <v>-31399.2</v>
      </c>
      <c r="K72" s="184" t="n">
        <f aca="false">K49</f>
        <v>-31399.2</v>
      </c>
      <c r="L72" s="184" t="n">
        <f aca="false">L49</f>
        <v>-31399.2</v>
      </c>
      <c r="M72" s="184" t="n">
        <f aca="false">M49</f>
        <v>-31399.2</v>
      </c>
      <c r="N72" s="184" t="n">
        <f aca="false">N49</f>
        <v>-31399.2</v>
      </c>
      <c r="O72" s="184" t="n">
        <f aca="false">O49</f>
        <v>-31399.2</v>
      </c>
      <c r="P72" s="184" t="n">
        <f aca="false">P49</f>
        <v>-31399.2</v>
      </c>
      <c r="Q72" s="184" t="n">
        <f aca="false">Q49</f>
        <v>-31399.2</v>
      </c>
      <c r="R72" s="184" t="n">
        <f aca="false">R49</f>
        <v>-31399.2</v>
      </c>
      <c r="S72" s="184" t="n">
        <f aca="false">S49</f>
        <v>-31399.2</v>
      </c>
      <c r="T72" s="184" t="n">
        <f aca="false">T49</f>
        <v>-31399.2</v>
      </c>
      <c r="U72" s="184" t="n">
        <f aca="false">U49</f>
        <v>-31399.2</v>
      </c>
      <c r="V72" s="184" t="n">
        <f aca="false">V49</f>
        <v>-31399.2</v>
      </c>
      <c r="W72" s="184" t="n">
        <f aca="false">W49</f>
        <v>-31399.2</v>
      </c>
      <c r="X72" s="177"/>
    </row>
    <row r="73" customFormat="false" ht="18.75" hidden="false" customHeight="true" outlineLevel="0" collapsed="false">
      <c r="B73" s="182" t="s">
        <v>62</v>
      </c>
      <c r="C73" s="174"/>
      <c r="D73" s="184" t="n">
        <f aca="false">D50</f>
        <v>-43610</v>
      </c>
      <c r="E73" s="184" t="n">
        <f aca="false">E50</f>
        <v>-43610</v>
      </c>
      <c r="F73" s="184" t="n">
        <f aca="false">F50</f>
        <v>-43610</v>
      </c>
      <c r="G73" s="184" t="n">
        <f aca="false">G50</f>
        <v>-43610</v>
      </c>
      <c r="H73" s="184" t="n">
        <f aca="false">H50</f>
        <v>-43610</v>
      </c>
      <c r="I73" s="184" t="n">
        <f aca="false">I50</f>
        <v>-43610</v>
      </c>
      <c r="J73" s="184" t="n">
        <f aca="false">J50</f>
        <v>-43610</v>
      </c>
      <c r="K73" s="184" t="n">
        <f aca="false">K50</f>
        <v>-43610</v>
      </c>
      <c r="L73" s="184" t="n">
        <f aca="false">L50</f>
        <v>-43610</v>
      </c>
      <c r="M73" s="184" t="n">
        <f aca="false">M50</f>
        <v>-43610</v>
      </c>
      <c r="N73" s="184" t="n">
        <f aca="false">N50</f>
        <v>0</v>
      </c>
      <c r="O73" s="184" t="n">
        <f aca="false">O50</f>
        <v>0</v>
      </c>
      <c r="P73" s="184" t="n">
        <f aca="false">P50</f>
        <v>0</v>
      </c>
      <c r="Q73" s="184" t="n">
        <f aca="false">Q50</f>
        <v>0</v>
      </c>
      <c r="R73" s="184" t="n">
        <f aca="false">R50</f>
        <v>0</v>
      </c>
      <c r="S73" s="184" t="n">
        <f aca="false">S50</f>
        <v>0</v>
      </c>
      <c r="T73" s="184" t="n">
        <f aca="false">T50</f>
        <v>0</v>
      </c>
      <c r="U73" s="184" t="n">
        <f aca="false">U50</f>
        <v>0</v>
      </c>
      <c r="V73" s="184" t="n">
        <f aca="false">V50</f>
        <v>0</v>
      </c>
      <c r="W73" s="184" t="n">
        <f aca="false">W50</f>
        <v>0</v>
      </c>
      <c r="X73" s="177"/>
    </row>
    <row r="74" customFormat="false" ht="18.75" hidden="false" customHeight="true" outlineLevel="0" collapsed="false">
      <c r="B74" s="182" t="s">
        <v>63</v>
      </c>
      <c r="C74" s="185"/>
      <c r="D74" s="207"/>
      <c r="E74" s="208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7"/>
    </row>
    <row r="75" customFormat="false" ht="18.75" hidden="false" customHeight="true" outlineLevel="0" collapsed="false">
      <c r="B75" s="182" t="s">
        <v>64</v>
      </c>
      <c r="C75" s="18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7"/>
    </row>
    <row r="76" customFormat="false" ht="18.75" hidden="false" customHeight="true" outlineLevel="0" collapsed="false">
      <c r="B76" s="187" t="s">
        <v>152</v>
      </c>
      <c r="C76" s="209"/>
      <c r="D76" s="189" t="n">
        <f aca="false">SUM(D64:D75)</f>
        <v>748209.153296</v>
      </c>
      <c r="E76" s="189" t="n">
        <f aca="false">SUM(E64:E75)</f>
        <v>158594.13246208</v>
      </c>
      <c r="F76" s="189" t="n">
        <f aca="false">SUM(F64:F75)</f>
        <v>172548.99525696</v>
      </c>
      <c r="G76" s="189" t="n">
        <f aca="false">SUM(G64:G75)</f>
        <v>186503.85805184</v>
      </c>
      <c r="H76" s="189" t="n">
        <f aca="false">SUM(H64:H75)</f>
        <v>200458.72084672</v>
      </c>
      <c r="I76" s="189" t="n">
        <f aca="false">SUM(I64:I75)</f>
        <v>214413.5836416</v>
      </c>
      <c r="J76" s="189" t="n">
        <f aca="false">SUM(J64:J75)</f>
        <v>228368.44643648</v>
      </c>
      <c r="K76" s="189" t="n">
        <f aca="false">SUM(K64:K75)</f>
        <v>242323.30923136</v>
      </c>
      <c r="L76" s="189" t="n">
        <f aca="false">SUM(L64:L75)</f>
        <v>256278.17202624</v>
      </c>
      <c r="M76" s="189" t="n">
        <f aca="false">SUM(M64:M75)</f>
        <v>270233.03482112</v>
      </c>
      <c r="N76" s="189" t="n">
        <f aca="false">SUM(N64:N75)</f>
        <v>327797.897616</v>
      </c>
      <c r="O76" s="189" t="n">
        <f aca="false">SUM(O64:O75)</f>
        <v>341752.76041088</v>
      </c>
      <c r="P76" s="189" t="n">
        <f aca="false">SUM(P64:P75)</f>
        <v>355707.62320576</v>
      </c>
      <c r="Q76" s="189" t="n">
        <f aca="false">SUM(Q64:Q75)</f>
        <v>369662.48600064</v>
      </c>
      <c r="R76" s="189" t="n">
        <f aca="false">SUM(R64:R75)</f>
        <v>383617.34879552</v>
      </c>
      <c r="S76" s="189" t="n">
        <f aca="false">SUM(S64:S75)</f>
        <v>397572.2115904</v>
      </c>
      <c r="T76" s="189" t="n">
        <f aca="false">SUM(T64:T75)</f>
        <v>391881.99046528</v>
      </c>
      <c r="U76" s="189" t="n">
        <f aca="false">SUM(U64:U75)</f>
        <v>386191.76934016</v>
      </c>
      <c r="V76" s="189" t="n">
        <f aca="false">SUM(V64:V75)</f>
        <v>380501.54821504</v>
      </c>
      <c r="W76" s="189" t="n">
        <f aca="false">SUM(W64:W75)</f>
        <v>374811.32708992</v>
      </c>
      <c r="X76" s="189" t="n">
        <f aca="false">SUM(X64:X75)</f>
        <v>0</v>
      </c>
    </row>
    <row r="77" customFormat="false" ht="18.75" hidden="false" customHeight="true" outlineLevel="0" collapsed="false">
      <c r="B77" s="186" t="s">
        <v>66</v>
      </c>
      <c r="C77" s="185"/>
      <c r="D77" s="184" t="n">
        <f aca="false">-D76*0.2</f>
        <v>-149641.8306592</v>
      </c>
      <c r="E77" s="184" t="n">
        <f aca="false">-E76*0.2</f>
        <v>-31718.826492416</v>
      </c>
      <c r="F77" s="184" t="n">
        <f aca="false">-F76*0.2</f>
        <v>-34509.799051392</v>
      </c>
      <c r="G77" s="184" t="n">
        <f aca="false">-G76*0.2</f>
        <v>-37300.771610368</v>
      </c>
      <c r="H77" s="184" t="n">
        <f aca="false">-H76*0.2</f>
        <v>-40091.744169344</v>
      </c>
      <c r="I77" s="184" t="n">
        <f aca="false">-I76*0.2</f>
        <v>-42882.71672832</v>
      </c>
      <c r="J77" s="184" t="n">
        <f aca="false">-J76*0.2</f>
        <v>-45673.689287296</v>
      </c>
      <c r="K77" s="184" t="n">
        <f aca="false">-K76*0.2</f>
        <v>-48464.661846272</v>
      </c>
      <c r="L77" s="184" t="n">
        <f aca="false">-L76*0.2</f>
        <v>-51255.634405248</v>
      </c>
      <c r="M77" s="184" t="n">
        <f aca="false">-M76*0.2</f>
        <v>-54046.606964224</v>
      </c>
      <c r="N77" s="184" t="n">
        <f aca="false">-N76*0.2</f>
        <v>-65559.5795232</v>
      </c>
      <c r="O77" s="184" t="n">
        <f aca="false">-O76*0.2</f>
        <v>-68350.552082176</v>
      </c>
      <c r="P77" s="184" t="n">
        <f aca="false">-P76*0.2</f>
        <v>-71141.524641152</v>
      </c>
      <c r="Q77" s="184" t="n">
        <f aca="false">-Q76*0.2</f>
        <v>-73932.497200128</v>
      </c>
      <c r="R77" s="184" t="n">
        <f aca="false">-R76*0.2</f>
        <v>-76723.469759104</v>
      </c>
      <c r="S77" s="184" t="n">
        <f aca="false">-S76*0.2</f>
        <v>-79514.44231808</v>
      </c>
      <c r="T77" s="184" t="n">
        <f aca="false">-T76*0.2</f>
        <v>-78376.3980930559</v>
      </c>
      <c r="U77" s="184" t="n">
        <f aca="false">-U76*0.2</f>
        <v>-77238.353868032</v>
      </c>
      <c r="V77" s="184" t="n">
        <f aca="false">-V76*0.2</f>
        <v>-76100.309643008</v>
      </c>
      <c r="W77" s="184" t="n">
        <f aca="false">-W76*0.2</f>
        <v>-74962.265417984</v>
      </c>
      <c r="X77" s="184" t="n">
        <f aca="false">-X76*0.2</f>
        <v>-0</v>
      </c>
    </row>
    <row r="78" customFormat="false" ht="15.75" hidden="false" customHeight="true" outlineLevel="0" collapsed="false">
      <c r="B78" s="210" t="s">
        <v>76</v>
      </c>
      <c r="D78" s="184" t="n">
        <f aca="false">SUM(D76:D77)</f>
        <v>598567.3226368</v>
      </c>
      <c r="E78" s="184" t="n">
        <f aca="false">SUM(E76:E77)</f>
        <v>126875.305969664</v>
      </c>
      <c r="F78" s="184" t="n">
        <f aca="false">SUM(F76:F77)</f>
        <v>138039.196205568</v>
      </c>
      <c r="G78" s="184" t="n">
        <f aca="false">SUM(G76:G77)</f>
        <v>149203.086441472</v>
      </c>
      <c r="H78" s="184" t="n">
        <f aca="false">SUM(H76:H77)</f>
        <v>160366.976677376</v>
      </c>
      <c r="I78" s="184" t="n">
        <f aca="false">SUM(I76:I77)</f>
        <v>171530.86691328</v>
      </c>
      <c r="J78" s="184" t="n">
        <f aca="false">SUM(J76:J77)</f>
        <v>182694.757149184</v>
      </c>
      <c r="K78" s="184" t="n">
        <f aca="false">SUM(K76:K77)</f>
        <v>193858.647385088</v>
      </c>
      <c r="L78" s="184" t="n">
        <f aca="false">SUM(L76:L77)</f>
        <v>205022.537620992</v>
      </c>
      <c r="M78" s="184" t="n">
        <f aca="false">SUM(M76:M77)</f>
        <v>216186.427856896</v>
      </c>
      <c r="N78" s="184" t="n">
        <f aca="false">SUM(N76:N77)</f>
        <v>262238.3180928</v>
      </c>
      <c r="O78" s="184" t="n">
        <f aca="false">SUM(O76:O77)</f>
        <v>273402.208328704</v>
      </c>
      <c r="P78" s="184" t="n">
        <f aca="false">SUM(P76:P77)</f>
        <v>284566.098564608</v>
      </c>
      <c r="Q78" s="184" t="n">
        <f aca="false">SUM(Q76:Q77)</f>
        <v>295729.988800512</v>
      </c>
      <c r="R78" s="184" t="n">
        <f aca="false">SUM(R76:R77)</f>
        <v>306893.879036416</v>
      </c>
      <c r="S78" s="184" t="n">
        <f aca="false">SUM(S76:S77)</f>
        <v>318057.76927232</v>
      </c>
      <c r="T78" s="184" t="n">
        <f aca="false">SUM(T76:T77)</f>
        <v>313505.592372224</v>
      </c>
      <c r="U78" s="184" t="n">
        <f aca="false">SUM(U76:U77)</f>
        <v>308953.415472128</v>
      </c>
      <c r="V78" s="184" t="n">
        <f aca="false">SUM(V76:V77)</f>
        <v>304401.238572032</v>
      </c>
      <c r="W78" s="184" t="n">
        <f aca="false">SUM(W76:W77)</f>
        <v>299849.061671936</v>
      </c>
      <c r="X78" s="184" t="n">
        <f aca="false">SUM(X76:X77)</f>
        <v>0</v>
      </c>
    </row>
    <row r="79" customFormat="false" ht="18.75" hidden="false" customHeight="true" outlineLevel="0" collapsed="false">
      <c r="B79" s="193" t="s">
        <v>68</v>
      </c>
      <c r="C79" s="196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2"/>
    </row>
    <row r="80" customFormat="false" ht="18.75" hidden="false" customHeight="true" outlineLevel="0" collapsed="false">
      <c r="B80" s="213" t="s">
        <v>74</v>
      </c>
      <c r="C80" s="214"/>
      <c r="D80" s="215"/>
      <c r="E80" s="215"/>
      <c r="F80" s="215"/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6"/>
    </row>
    <row r="81" customFormat="false" ht="18.75" hidden="false" customHeight="true" outlineLevel="0" collapsed="false">
      <c r="B81" s="202"/>
      <c r="C81" s="201"/>
      <c r="D81" s="201"/>
      <c r="E81" s="201"/>
      <c r="F81" s="202"/>
      <c r="G81" s="202"/>
      <c r="H81" s="202"/>
      <c r="I81" s="202"/>
      <c r="J81" s="202"/>
      <c r="K81" s="202"/>
      <c r="L81" s="202"/>
      <c r="M81" s="201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</row>
    <row r="82" customFormat="false" ht="18.75" hidden="false" customHeight="true" outlineLevel="0" collapsed="false">
      <c r="C82" s="217" t="s">
        <v>48</v>
      </c>
      <c r="D82" s="218" t="n">
        <f aca="false">D37</f>
        <v>2023</v>
      </c>
      <c r="E82" s="218" t="n">
        <f aca="false">E37</f>
        <v>2024</v>
      </c>
      <c r="F82" s="218" t="n">
        <f aca="false">F37</f>
        <v>2025</v>
      </c>
      <c r="G82" s="218" t="n">
        <f aca="false">G37</f>
        <v>2026</v>
      </c>
      <c r="H82" s="218" t="n">
        <f aca="false">H37</f>
        <v>2027</v>
      </c>
      <c r="I82" s="218" t="n">
        <f aca="false">I37</f>
        <v>2028</v>
      </c>
      <c r="J82" s="218" t="n">
        <f aca="false">J37</f>
        <v>2029</v>
      </c>
      <c r="K82" s="218" t="n">
        <f aca="false">K37</f>
        <v>2030</v>
      </c>
      <c r="L82" s="218" t="n">
        <f aca="false">L37</f>
        <v>2031</v>
      </c>
      <c r="M82" s="218" t="n">
        <f aca="false">M37</f>
        <v>2032</v>
      </c>
      <c r="N82" s="218" t="n">
        <f aca="false">N37</f>
        <v>2033</v>
      </c>
      <c r="O82" s="218" t="n">
        <f aca="false">O37</f>
        <v>2034</v>
      </c>
      <c r="P82" s="218" t="n">
        <f aca="false">P37</f>
        <v>2035</v>
      </c>
      <c r="Q82" s="218" t="n">
        <f aca="false">Q37</f>
        <v>2036</v>
      </c>
      <c r="R82" s="218" t="n">
        <f aca="false">R37</f>
        <v>2037</v>
      </c>
      <c r="S82" s="218" t="n">
        <f aca="false">S37</f>
        <v>2038</v>
      </c>
      <c r="T82" s="218" t="n">
        <f aca="false">T37</f>
        <v>2039</v>
      </c>
      <c r="U82" s="218" t="n">
        <f aca="false">U37</f>
        <v>2040</v>
      </c>
      <c r="V82" s="218" t="n">
        <f aca="false">V37</f>
        <v>2041</v>
      </c>
      <c r="W82" s="218" t="n">
        <f aca="false">W37</f>
        <v>2042</v>
      </c>
      <c r="X82" s="72"/>
    </row>
    <row r="83" customFormat="false" ht="18.75" hidden="false" customHeight="true" outlineLevel="0" collapsed="false">
      <c r="X83" s="203"/>
    </row>
    <row r="84" customFormat="false" ht="18.75" hidden="false" customHeight="true" outlineLevel="0" collapsed="false">
      <c r="B84" s="219" t="s">
        <v>51</v>
      </c>
      <c r="C84" s="219" t="n">
        <v>0</v>
      </c>
      <c r="D84" s="219" t="n">
        <v>1</v>
      </c>
      <c r="E84" s="219" t="n">
        <v>2</v>
      </c>
      <c r="F84" s="219" t="n">
        <v>3</v>
      </c>
      <c r="G84" s="219" t="n">
        <v>4</v>
      </c>
      <c r="H84" s="219" t="n">
        <v>5</v>
      </c>
      <c r="I84" s="219" t="n">
        <v>6</v>
      </c>
      <c r="J84" s="219" t="n">
        <v>7</v>
      </c>
      <c r="K84" s="219" t="n">
        <v>8</v>
      </c>
      <c r="L84" s="219" t="n">
        <v>9</v>
      </c>
      <c r="M84" s="219" t="n">
        <v>10</v>
      </c>
      <c r="N84" s="219" t="n">
        <v>11</v>
      </c>
      <c r="O84" s="219" t="n">
        <v>12</v>
      </c>
      <c r="P84" s="219" t="n">
        <v>13</v>
      </c>
      <c r="Q84" s="219" t="n">
        <v>14</v>
      </c>
      <c r="R84" s="219" t="n">
        <v>15</v>
      </c>
      <c r="S84" s="219" t="n">
        <v>16</v>
      </c>
      <c r="T84" s="219" t="n">
        <v>17</v>
      </c>
      <c r="U84" s="219" t="n">
        <v>18</v>
      </c>
      <c r="V84" s="219" t="n">
        <v>19</v>
      </c>
      <c r="W84" s="219" t="n">
        <v>20</v>
      </c>
      <c r="X84" s="103"/>
    </row>
    <row r="85" customFormat="false" ht="18.75" hidden="false" customHeight="true" outlineLevel="0" collapsed="false">
      <c r="B85" s="220" t="s">
        <v>76</v>
      </c>
      <c r="C85" s="220"/>
      <c r="D85" s="221" t="n">
        <f aca="false">D78</f>
        <v>598567.3226368</v>
      </c>
      <c r="E85" s="221" t="n">
        <f aca="false">E78</f>
        <v>126875.305969664</v>
      </c>
      <c r="F85" s="221" t="n">
        <f aca="false">F78</f>
        <v>138039.196205568</v>
      </c>
      <c r="G85" s="221" t="n">
        <f aca="false">G78</f>
        <v>149203.086441472</v>
      </c>
      <c r="H85" s="221" t="n">
        <f aca="false">H78</f>
        <v>160366.976677376</v>
      </c>
      <c r="I85" s="221" t="n">
        <f aca="false">I78</f>
        <v>171530.86691328</v>
      </c>
      <c r="J85" s="221" t="n">
        <f aca="false">J78</f>
        <v>182694.757149184</v>
      </c>
      <c r="K85" s="221" t="n">
        <f aca="false">K78</f>
        <v>193858.647385088</v>
      </c>
      <c r="L85" s="221" t="n">
        <f aca="false">L78</f>
        <v>205022.537620992</v>
      </c>
      <c r="M85" s="221" t="n">
        <f aca="false">M78</f>
        <v>216186.427856896</v>
      </c>
      <c r="N85" s="221" t="n">
        <f aca="false">N78</f>
        <v>262238.3180928</v>
      </c>
      <c r="O85" s="221" t="n">
        <f aca="false">O78</f>
        <v>273402.208328704</v>
      </c>
      <c r="P85" s="221" t="n">
        <f aca="false">P78</f>
        <v>284566.098564608</v>
      </c>
      <c r="Q85" s="221" t="n">
        <f aca="false">Q78</f>
        <v>295729.988800512</v>
      </c>
      <c r="R85" s="221" t="n">
        <f aca="false">R78</f>
        <v>306893.879036416</v>
      </c>
      <c r="S85" s="221" t="n">
        <f aca="false">S78</f>
        <v>318057.76927232</v>
      </c>
      <c r="T85" s="221" t="n">
        <f aca="false">T78</f>
        <v>313505.592372224</v>
      </c>
      <c r="U85" s="221" t="n">
        <f aca="false">U78</f>
        <v>308953.415472128</v>
      </c>
      <c r="V85" s="221" t="n">
        <f aca="false">V78</f>
        <v>304401.238572032</v>
      </c>
      <c r="W85" s="221" t="n">
        <f aca="false">W78</f>
        <v>299849.061671936</v>
      </c>
      <c r="X85" s="220"/>
      <c r="Y85" s="220"/>
    </row>
    <row r="86" customFormat="false" ht="15.75" hidden="false" customHeight="true" outlineLevel="0" collapsed="false">
      <c r="B86" s="220" t="s">
        <v>77</v>
      </c>
      <c r="C86" s="220"/>
      <c r="D86" s="222" t="n">
        <f aca="false">-D67</f>
        <v>719565</v>
      </c>
      <c r="E86" s="222" t="n">
        <f aca="false">-E67</f>
        <v>719565</v>
      </c>
      <c r="F86" s="222" t="n">
        <f aca="false">-F67</f>
        <v>719565</v>
      </c>
      <c r="G86" s="222" t="n">
        <f aca="false">-G67</f>
        <v>719565</v>
      </c>
      <c r="H86" s="222" t="n">
        <f aca="false">-H67</f>
        <v>719565</v>
      </c>
      <c r="I86" s="222" t="n">
        <f aca="false">-I67</f>
        <v>719565</v>
      </c>
      <c r="J86" s="222" t="n">
        <f aca="false">-J67</f>
        <v>719565</v>
      </c>
      <c r="K86" s="222" t="n">
        <f aca="false">-K67</f>
        <v>719565</v>
      </c>
      <c r="L86" s="222" t="n">
        <f aca="false">-L67</f>
        <v>719565</v>
      </c>
      <c r="M86" s="222" t="n">
        <f aca="false">-M67</f>
        <v>719565</v>
      </c>
      <c r="N86" s="222" t="n">
        <f aca="false">-N67</f>
        <v>719565</v>
      </c>
      <c r="O86" s="222" t="n">
        <f aca="false">-O67</f>
        <v>719565</v>
      </c>
      <c r="P86" s="222" t="n">
        <f aca="false">-P67</f>
        <v>719565</v>
      </c>
      <c r="Q86" s="222" t="n">
        <f aca="false">-Q67</f>
        <v>719565</v>
      </c>
      <c r="R86" s="222" t="n">
        <f aca="false">-R67</f>
        <v>719565</v>
      </c>
      <c r="S86" s="222" t="n">
        <f aca="false">-S67</f>
        <v>719565</v>
      </c>
      <c r="T86" s="222" t="n">
        <f aca="false">-T67</f>
        <v>719565</v>
      </c>
      <c r="U86" s="222" t="n">
        <f aca="false">-U67</f>
        <v>719565</v>
      </c>
      <c r="V86" s="222" t="n">
        <f aca="false">-V67</f>
        <v>719565</v>
      </c>
      <c r="W86" s="222" t="n">
        <f aca="false">-W67</f>
        <v>719565</v>
      </c>
      <c r="X86" s="223"/>
      <c r="Y86" s="223"/>
    </row>
    <row r="87" customFormat="false" ht="15.75" hidden="false" customHeight="true" outlineLevel="0" collapsed="false">
      <c r="B87" s="220" t="s">
        <v>78</v>
      </c>
      <c r="C87" s="220"/>
      <c r="D87" s="224" t="n">
        <f aca="false">SUM(D85:D86)</f>
        <v>1318132.3226368</v>
      </c>
      <c r="E87" s="224" t="n">
        <f aca="false">SUM(E85:E86)</f>
        <v>846440.305969664</v>
      </c>
      <c r="F87" s="224" t="n">
        <f aca="false">SUM(F85:F86)</f>
        <v>857604.196205568</v>
      </c>
      <c r="G87" s="224" t="n">
        <f aca="false">SUM(G85:G86)</f>
        <v>868768.086441472</v>
      </c>
      <c r="H87" s="224" t="n">
        <f aca="false">SUM(H85:H86)</f>
        <v>879931.976677376</v>
      </c>
      <c r="I87" s="224" t="n">
        <f aca="false">SUM(I85:I86)</f>
        <v>891095.86691328</v>
      </c>
      <c r="J87" s="224" t="n">
        <f aca="false">SUM(J85:J86)</f>
        <v>902259.757149184</v>
      </c>
      <c r="K87" s="224" t="n">
        <f aca="false">SUM(K85:K86)</f>
        <v>913423.647385088</v>
      </c>
      <c r="L87" s="224" t="n">
        <f aca="false">SUM(L85:L86)</f>
        <v>924587.537620992</v>
      </c>
      <c r="M87" s="224" t="n">
        <f aca="false">SUM(M85:M86)</f>
        <v>935751.427856896</v>
      </c>
      <c r="N87" s="224" t="n">
        <f aca="false">SUM(N85:N86)</f>
        <v>981803.3180928</v>
      </c>
      <c r="O87" s="224" t="n">
        <f aca="false">SUM(O85:O86)</f>
        <v>992967.208328704</v>
      </c>
      <c r="P87" s="224" t="n">
        <f aca="false">SUM(P85:P86)</f>
        <v>1004131.09856461</v>
      </c>
      <c r="Q87" s="224" t="n">
        <f aca="false">SUM(Q85:Q86)</f>
        <v>1015294.98880051</v>
      </c>
      <c r="R87" s="224" t="n">
        <f aca="false">SUM(R85:R86)</f>
        <v>1026458.87903642</v>
      </c>
      <c r="S87" s="224" t="n">
        <f aca="false">SUM(S85:S86)</f>
        <v>1037622.76927232</v>
      </c>
      <c r="T87" s="224" t="n">
        <f aca="false">SUM(T85:T86)</f>
        <v>1033070.59237222</v>
      </c>
      <c r="U87" s="224" t="n">
        <f aca="false">SUM(U85:U86)</f>
        <v>1028518.41547213</v>
      </c>
      <c r="V87" s="224" t="n">
        <f aca="false">SUM(V85:V86)</f>
        <v>1023966.23857203</v>
      </c>
      <c r="W87" s="224" t="n">
        <f aca="false">SUM(W85:W86)</f>
        <v>1019414.06167194</v>
      </c>
      <c r="X87" s="192"/>
    </row>
    <row r="88" customFormat="false" ht="15.75" hidden="false" customHeight="true" outlineLevel="0" collapsed="false">
      <c r="B88" s="220"/>
      <c r="C88" s="220"/>
      <c r="D88" s="220"/>
      <c r="E88" s="220"/>
      <c r="F88" s="225"/>
      <c r="G88" s="225"/>
      <c r="H88" s="225"/>
      <c r="I88" s="225"/>
      <c r="J88" s="225"/>
      <c r="K88" s="225"/>
      <c r="L88" s="225"/>
      <c r="M88" s="225"/>
      <c r="N88" s="225"/>
      <c r="O88" s="225"/>
      <c r="P88" s="225"/>
      <c r="Q88" s="225"/>
      <c r="R88" s="225"/>
      <c r="S88" s="225"/>
      <c r="T88" s="225"/>
      <c r="U88" s="225"/>
      <c r="V88" s="225"/>
      <c r="W88" s="225"/>
      <c r="X88" s="191"/>
    </row>
    <row r="89" customFormat="false" ht="15.75" hidden="false" customHeight="true" outlineLevel="0" collapsed="false">
      <c r="B89" s="226" t="s">
        <v>79</v>
      </c>
      <c r="C89" s="227"/>
      <c r="D89" s="228" t="n">
        <f aca="false">C44</f>
        <v>-14391300</v>
      </c>
      <c r="E89" s="227"/>
      <c r="F89" s="227"/>
      <c r="G89" s="227"/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9"/>
    </row>
    <row r="90" customFormat="false" ht="15.75" hidden="false" customHeight="true" outlineLevel="0" collapsed="false">
      <c r="B90" s="220"/>
      <c r="C90" s="220"/>
      <c r="D90" s="220"/>
      <c r="E90" s="220"/>
      <c r="F90" s="225"/>
      <c r="G90" s="225"/>
      <c r="H90" s="225"/>
      <c r="I90" s="225"/>
      <c r="J90" s="225"/>
      <c r="K90" s="225"/>
      <c r="L90" s="225"/>
      <c r="M90" s="225"/>
      <c r="N90" s="225"/>
      <c r="O90" s="225"/>
      <c r="P90" s="225"/>
      <c r="Q90" s="225"/>
      <c r="R90" s="225"/>
      <c r="S90" s="225"/>
      <c r="T90" s="225"/>
      <c r="U90" s="225"/>
      <c r="V90" s="225"/>
      <c r="W90" s="225"/>
      <c r="X90" s="191"/>
    </row>
    <row r="91" customFormat="false" ht="15.75" hidden="false" customHeight="true" outlineLevel="0" collapsed="false">
      <c r="B91" s="220"/>
      <c r="C91" s="220"/>
      <c r="D91" s="220"/>
      <c r="E91" s="220"/>
      <c r="F91" s="225"/>
      <c r="G91" s="225"/>
      <c r="H91" s="225"/>
      <c r="I91" s="225"/>
      <c r="J91" s="225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191"/>
    </row>
    <row r="92" customFormat="false" ht="15.75" hidden="false" customHeight="true" outlineLevel="0" collapsed="false">
      <c r="B92" s="226" t="s">
        <v>80</v>
      </c>
      <c r="C92" s="227"/>
      <c r="D92" s="228" t="n">
        <f aca="false">-D89*D31</f>
        <v>11513040</v>
      </c>
      <c r="E92" s="227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191"/>
    </row>
    <row r="93" customFormat="false" ht="15.75" hidden="false" customHeight="true" outlineLevel="0" collapsed="false">
      <c r="B93" s="220" t="s">
        <v>81</v>
      </c>
      <c r="C93" s="220"/>
      <c r="D93" s="230"/>
      <c r="E93" s="230" t="n">
        <v>-767536</v>
      </c>
      <c r="F93" s="230" t="n">
        <v>-767536</v>
      </c>
      <c r="G93" s="230" t="n">
        <v>-767536</v>
      </c>
      <c r="H93" s="230" t="n">
        <v>-767536</v>
      </c>
      <c r="I93" s="230" t="n">
        <v>-767536</v>
      </c>
      <c r="J93" s="230" t="n">
        <v>-767536</v>
      </c>
      <c r="K93" s="230" t="n">
        <v>-767536</v>
      </c>
      <c r="L93" s="230" t="n">
        <v>-767536</v>
      </c>
      <c r="M93" s="230" t="n">
        <v>-767536</v>
      </c>
      <c r="N93" s="230" t="n">
        <v>-767536</v>
      </c>
      <c r="O93" s="230" t="n">
        <v>-767536</v>
      </c>
      <c r="P93" s="230" t="n">
        <v>-767536</v>
      </c>
      <c r="Q93" s="230" t="n">
        <v>-767536</v>
      </c>
      <c r="R93" s="230" t="n">
        <v>-767536</v>
      </c>
      <c r="S93" s="230" t="n">
        <v>-767536</v>
      </c>
      <c r="T93" s="230" t="n">
        <v>0</v>
      </c>
      <c r="U93" s="230" t="n">
        <v>0</v>
      </c>
      <c r="V93" s="230" t="n">
        <v>0</v>
      </c>
      <c r="W93" s="230" t="n">
        <v>0</v>
      </c>
      <c r="X93" s="229"/>
    </row>
    <row r="94" customFormat="false" ht="15.75" hidden="false" customHeight="true" outlineLevel="0" collapsed="false">
      <c r="B94" s="220" t="s">
        <v>82</v>
      </c>
      <c r="C94" s="225"/>
      <c r="D94" s="221" t="n">
        <f aca="false">-D89*(1-D31)</f>
        <v>2878260</v>
      </c>
      <c r="E94" s="225"/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192"/>
    </row>
    <row r="95" customFormat="false" ht="15.75" hidden="false" customHeight="true" outlineLevel="0" collapsed="false">
      <c r="B95" s="220" t="s">
        <v>45</v>
      </c>
      <c r="C95" s="225"/>
      <c r="D95" s="225"/>
      <c r="E95" s="231" t="n">
        <f aca="false">-D85*$D$33</f>
        <v>-538710.59037312</v>
      </c>
      <c r="F95" s="231" t="n">
        <f aca="false">-E85*$D$33</f>
        <v>-114187.775372697</v>
      </c>
      <c r="G95" s="231" t="n">
        <f aca="false">-F85*$D$33</f>
        <v>-124235.276585011</v>
      </c>
      <c r="H95" s="231" t="n">
        <f aca="false">-G85*$D$33</f>
        <v>-134282.777797325</v>
      </c>
      <c r="I95" s="231" t="n">
        <f aca="false">-H85*$D$33</f>
        <v>-144330.279009638</v>
      </c>
      <c r="J95" s="231" t="n">
        <f aca="false">-I85*$D$33</f>
        <v>-154377.780221952</v>
      </c>
      <c r="K95" s="231" t="n">
        <f aca="false">-J85*$D$33</f>
        <v>-164425.281434266</v>
      </c>
      <c r="L95" s="231" t="n">
        <f aca="false">-K85*$D$33</f>
        <v>-174472.782646579</v>
      </c>
      <c r="M95" s="231" t="n">
        <f aca="false">-L85*$D$33</f>
        <v>-184520.283858893</v>
      </c>
      <c r="N95" s="231" t="n">
        <f aca="false">-M85*$D$33</f>
        <v>-194567.785071206</v>
      </c>
      <c r="O95" s="231" t="n">
        <f aca="false">-N85*$D$33</f>
        <v>-236014.48628352</v>
      </c>
      <c r="P95" s="231" t="n">
        <f aca="false">-O85*$D$33</f>
        <v>-246061.987495833</v>
      </c>
      <c r="Q95" s="231" t="n">
        <f aca="false">-P85*$D$33</f>
        <v>-256109.488708147</v>
      </c>
      <c r="R95" s="231" t="n">
        <f aca="false">-Q85*$D$33</f>
        <v>-266156.989920461</v>
      </c>
      <c r="S95" s="231" t="n">
        <f aca="false">-R85*$D$33</f>
        <v>-276204.491132774</v>
      </c>
      <c r="T95" s="231" t="n">
        <f aca="false">-S85*$D$33</f>
        <v>-286251.992345088</v>
      </c>
      <c r="U95" s="231" t="n">
        <f aca="false">-T85*$D$33</f>
        <v>-282155.033135001</v>
      </c>
      <c r="V95" s="231" t="n">
        <f aca="false">-U85*$D$33</f>
        <v>-278058.073924915</v>
      </c>
      <c r="W95" s="231" t="n">
        <f aca="false">-V85*$D$33</f>
        <v>-273961.114714829</v>
      </c>
      <c r="X95" s="231" t="n">
        <f aca="false">-W85*$D$33</f>
        <v>-269864.155504742</v>
      </c>
    </row>
    <row r="96" customFormat="false" ht="15.75" hidden="false" customHeight="true" outlineLevel="0" collapsed="false">
      <c r="B96" s="232" t="s">
        <v>47</v>
      </c>
      <c r="C96" s="233"/>
      <c r="D96" s="233" t="n">
        <v>0</v>
      </c>
      <c r="E96" s="234" t="n">
        <v>0</v>
      </c>
      <c r="F96" s="234" t="n">
        <v>0</v>
      </c>
      <c r="G96" s="234" t="n">
        <v>0</v>
      </c>
      <c r="H96" s="234" t="n">
        <v>0</v>
      </c>
      <c r="I96" s="234" t="n">
        <v>0</v>
      </c>
      <c r="J96" s="234" t="n">
        <v>0</v>
      </c>
      <c r="K96" s="234" t="n">
        <v>0</v>
      </c>
      <c r="L96" s="234" t="n">
        <v>0</v>
      </c>
      <c r="M96" s="234" t="n">
        <v>0</v>
      </c>
      <c r="N96" s="234" t="n">
        <v>0</v>
      </c>
      <c r="O96" s="234" t="n">
        <v>0</v>
      </c>
      <c r="P96" s="234" t="n">
        <v>0</v>
      </c>
      <c r="Q96" s="234" t="n">
        <v>0</v>
      </c>
      <c r="R96" s="234" t="n">
        <v>0</v>
      </c>
      <c r="S96" s="234" t="n">
        <v>0</v>
      </c>
      <c r="T96" s="234" t="n">
        <v>-719565</v>
      </c>
      <c r="U96" s="234" t="n">
        <v>-719565</v>
      </c>
      <c r="V96" s="234" t="n">
        <v>-719565</v>
      </c>
      <c r="W96" s="234" t="n">
        <v>-719565</v>
      </c>
      <c r="X96" s="235" t="n">
        <f aca="false">-W101-X95</f>
        <v>-510994.269503999</v>
      </c>
    </row>
    <row r="97" customFormat="false" ht="15.75" hidden="false" customHeight="true" outlineLevel="0" collapsed="false">
      <c r="B97" s="225"/>
      <c r="C97" s="225"/>
      <c r="D97" s="225"/>
      <c r="E97" s="225"/>
      <c r="F97" s="22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192"/>
    </row>
    <row r="98" customFormat="false" ht="15.75" hidden="false" customHeight="true" outlineLevel="0" collapsed="false">
      <c r="B98" s="225"/>
      <c r="C98" s="225"/>
      <c r="D98" s="225"/>
      <c r="E98" s="225"/>
      <c r="F98" s="22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192"/>
    </row>
    <row r="99" customFormat="false" ht="15.75" hidden="false" customHeight="true" outlineLevel="0" collapsed="false">
      <c r="B99" s="220" t="s">
        <v>83</v>
      </c>
      <c r="C99" s="221" t="n">
        <v>0</v>
      </c>
      <c r="D99" s="221" t="n">
        <f aca="false">SUM(D87:D96)</f>
        <v>1318132.3226368</v>
      </c>
      <c r="E99" s="221" t="n">
        <f aca="false">SUM(E87:E96)</f>
        <v>-459806.284403456</v>
      </c>
      <c r="F99" s="221" t="n">
        <f aca="false">SUM(F87:F96)</f>
        <v>-24119.5791671294</v>
      </c>
      <c r="G99" s="221" t="n">
        <f aca="false">SUM(G87:G96)</f>
        <v>-23003.1901435393</v>
      </c>
      <c r="H99" s="221" t="n">
        <f aca="false">SUM(H87:H96)</f>
        <v>-21886.801119949</v>
      </c>
      <c r="I99" s="221" t="n">
        <f aca="false">SUM(I87:I96)</f>
        <v>-20770.4120963585</v>
      </c>
      <c r="J99" s="221" t="n">
        <f aca="false">SUM(J87:J96)</f>
        <v>-19654.0230727678</v>
      </c>
      <c r="K99" s="221" t="n">
        <f aca="false">SUM(K87:K96)</f>
        <v>-18537.6340491777</v>
      </c>
      <c r="L99" s="221" t="n">
        <f aca="false">SUM(L87:L96)</f>
        <v>-17421.2450255873</v>
      </c>
      <c r="M99" s="221" t="n">
        <f aca="false">SUM(M87:M96)</f>
        <v>-16304.8560019968</v>
      </c>
      <c r="N99" s="221" t="n">
        <f aca="false">SUM(N87:N96)</f>
        <v>19699.5330215936</v>
      </c>
      <c r="O99" s="221" t="n">
        <f aca="false">SUM(O87:O96)</f>
        <v>-10583.277954816</v>
      </c>
      <c r="P99" s="221" t="n">
        <f aca="false">SUM(P87:P96)</f>
        <v>-9466.88893122555</v>
      </c>
      <c r="Q99" s="221" t="n">
        <f aca="false">SUM(Q87:Q96)</f>
        <v>-8350.4999076353</v>
      </c>
      <c r="R99" s="221" t="n">
        <f aca="false">SUM(R87:R96)</f>
        <v>-7234.11088404479</v>
      </c>
      <c r="S99" s="221" t="n">
        <f aca="false">SUM(S87:S96)</f>
        <v>-6117.72186045436</v>
      </c>
      <c r="T99" s="221" t="n">
        <f aca="false">SUM(T87:T96)</f>
        <v>27253.6000271358</v>
      </c>
      <c r="U99" s="221" t="n">
        <f aca="false">SUM(U87:U96)</f>
        <v>26798.3823371266</v>
      </c>
      <c r="V99" s="221" t="n">
        <f aca="false">SUM(V87:V96)</f>
        <v>26343.1646471166</v>
      </c>
      <c r="W99" s="221" t="n">
        <f aca="false">SUM(W87:W96)</f>
        <v>25887.9469571074</v>
      </c>
      <c r="X99" s="192"/>
    </row>
    <row r="100" customFormat="false" ht="15.75" hidden="false" customHeight="true" outlineLevel="0" collapsed="false">
      <c r="B100" s="220" t="s">
        <v>84</v>
      </c>
      <c r="C100" s="221" t="n">
        <v>0</v>
      </c>
      <c r="D100" s="221" t="n">
        <f aca="false">C101</f>
        <v>0</v>
      </c>
      <c r="E100" s="221" t="n">
        <f aca="false">D101</f>
        <v>1318132.3226368</v>
      </c>
      <c r="F100" s="221" t="n">
        <f aca="false">E101</f>
        <v>858326.038233343</v>
      </c>
      <c r="G100" s="221" t="n">
        <f aca="false">F101</f>
        <v>834206.459066214</v>
      </c>
      <c r="H100" s="221" t="n">
        <f aca="false">G101</f>
        <v>811203.268922675</v>
      </c>
      <c r="I100" s="221" t="n">
        <f aca="false">H101</f>
        <v>789316.467802726</v>
      </c>
      <c r="J100" s="221" t="n">
        <f aca="false">I101</f>
        <v>768546.055706367</v>
      </c>
      <c r="K100" s="221" t="n">
        <f aca="false">J101</f>
        <v>748892.032633599</v>
      </c>
      <c r="L100" s="221" t="n">
        <f aca="false">K101</f>
        <v>730354.398584422</v>
      </c>
      <c r="M100" s="221" t="n">
        <f aca="false">L101</f>
        <v>712933.153558834</v>
      </c>
      <c r="N100" s="221" t="n">
        <f aca="false">M101</f>
        <v>696628.297556838</v>
      </c>
      <c r="O100" s="221" t="n">
        <f aca="false">N101</f>
        <v>716327.830578431</v>
      </c>
      <c r="P100" s="221" t="n">
        <f aca="false">O101</f>
        <v>705744.552623615</v>
      </c>
      <c r="Q100" s="221" t="n">
        <f aca="false">P101</f>
        <v>696277.66369239</v>
      </c>
      <c r="R100" s="221" t="n">
        <f aca="false">Q101</f>
        <v>687927.163784754</v>
      </c>
      <c r="S100" s="221" t="n">
        <f aca="false">R101</f>
        <v>680693.05290071</v>
      </c>
      <c r="T100" s="221" t="n">
        <f aca="false">S101</f>
        <v>674575.331040255</v>
      </c>
      <c r="U100" s="221" t="n">
        <f aca="false">T101</f>
        <v>701828.931067391</v>
      </c>
      <c r="V100" s="221" t="n">
        <f aca="false">U101</f>
        <v>728627.313404518</v>
      </c>
      <c r="W100" s="221" t="n">
        <f aca="false">V101</f>
        <v>754970.478051634</v>
      </c>
      <c r="X100" s="191"/>
    </row>
    <row r="101" customFormat="false" ht="15.75" hidden="false" customHeight="true" outlineLevel="0" collapsed="false">
      <c r="B101" s="220" t="s">
        <v>85</v>
      </c>
      <c r="C101" s="221" t="n">
        <v>0</v>
      </c>
      <c r="D101" s="221" t="n">
        <f aca="false">D99+D100</f>
        <v>1318132.3226368</v>
      </c>
      <c r="E101" s="221" t="n">
        <f aca="false">E99+E100</f>
        <v>858326.038233343</v>
      </c>
      <c r="F101" s="221" t="n">
        <f aca="false">F99+F100</f>
        <v>834206.459066214</v>
      </c>
      <c r="G101" s="221" t="n">
        <f aca="false">G99+G100</f>
        <v>811203.268922675</v>
      </c>
      <c r="H101" s="221" t="n">
        <f aca="false">H99+H100</f>
        <v>789316.467802726</v>
      </c>
      <c r="I101" s="221" t="n">
        <f aca="false">I99+I100</f>
        <v>768546.055706367</v>
      </c>
      <c r="J101" s="221" t="n">
        <f aca="false">J99+J100</f>
        <v>748892.032633599</v>
      </c>
      <c r="K101" s="221" t="n">
        <f aca="false">K99+K100</f>
        <v>730354.398584422</v>
      </c>
      <c r="L101" s="221" t="n">
        <f aca="false">L99+L100</f>
        <v>712933.153558834</v>
      </c>
      <c r="M101" s="221" t="n">
        <f aca="false">M99+M100</f>
        <v>696628.297556838</v>
      </c>
      <c r="N101" s="221" t="n">
        <f aca="false">N99+N100</f>
        <v>716327.830578431</v>
      </c>
      <c r="O101" s="221" t="n">
        <f aca="false">O99+O100</f>
        <v>705744.552623615</v>
      </c>
      <c r="P101" s="221" t="n">
        <f aca="false">P99+P100</f>
        <v>696277.66369239</v>
      </c>
      <c r="Q101" s="221" t="n">
        <f aca="false">Q99+Q100</f>
        <v>687927.163784754</v>
      </c>
      <c r="R101" s="221" t="n">
        <f aca="false">R99+R100</f>
        <v>680693.05290071</v>
      </c>
      <c r="S101" s="221" t="n">
        <f aca="false">S99+S100</f>
        <v>674575.331040255</v>
      </c>
      <c r="T101" s="221" t="n">
        <f aca="false">T99+T100</f>
        <v>701828.931067391</v>
      </c>
      <c r="U101" s="221" t="n">
        <f aca="false">U99+U100</f>
        <v>728627.313404518</v>
      </c>
      <c r="V101" s="221" t="n">
        <f aca="false">V99+V100</f>
        <v>754970.478051634</v>
      </c>
      <c r="W101" s="221" t="n">
        <f aca="false">W99+W100</f>
        <v>780858.425008742</v>
      </c>
      <c r="X101" s="191"/>
    </row>
    <row r="102" customFormat="false" ht="15.75" hidden="false" customHeight="true" outlineLevel="0" collapsed="false"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</row>
    <row r="103" customFormat="false" ht="15.75" hidden="false" customHeight="true" outlineLevel="0" collapsed="false">
      <c r="B103" s="220"/>
      <c r="C103" s="220"/>
      <c r="D103" s="220"/>
      <c r="E103" s="220"/>
      <c r="F103" s="225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</row>
    <row r="104" customFormat="false" ht="15.75" hidden="false" customHeight="true" outlineLevel="0" collapsed="false">
      <c r="B104" s="236" t="s">
        <v>86</v>
      </c>
      <c r="C104" s="237"/>
      <c r="D104" s="238" t="n">
        <f aca="false">-D94</f>
        <v>-2878260</v>
      </c>
      <c r="E104" s="224" t="n">
        <f aca="false">-E95-E96</f>
        <v>538710.59037312</v>
      </c>
      <c r="F104" s="224" t="n">
        <f aca="false">-F95-F96</f>
        <v>114187.775372697</v>
      </c>
      <c r="G104" s="224" t="n">
        <f aca="false">-G95-G96</f>
        <v>124235.276585011</v>
      </c>
      <c r="H104" s="224" t="n">
        <f aca="false">-H95-H96</f>
        <v>134282.777797325</v>
      </c>
      <c r="I104" s="224" t="n">
        <f aca="false">-I95-I96</f>
        <v>144330.279009638</v>
      </c>
      <c r="J104" s="224" t="n">
        <f aca="false">-J95-J96</f>
        <v>154377.780221952</v>
      </c>
      <c r="K104" s="224" t="n">
        <f aca="false">-K95-K96</f>
        <v>164425.281434266</v>
      </c>
      <c r="L104" s="224" t="n">
        <f aca="false">-L95-L96</f>
        <v>174472.782646579</v>
      </c>
      <c r="M104" s="224" t="n">
        <f aca="false">-M95-M96</f>
        <v>184520.283858893</v>
      </c>
      <c r="N104" s="224" t="n">
        <f aca="false">-N95-N96</f>
        <v>194567.785071206</v>
      </c>
      <c r="O104" s="224" t="n">
        <f aca="false">-O95-O96</f>
        <v>236014.48628352</v>
      </c>
      <c r="P104" s="224" t="n">
        <f aca="false">-P95-P96</f>
        <v>246061.987495833</v>
      </c>
      <c r="Q104" s="224" t="n">
        <f aca="false">-Q95-Q96</f>
        <v>256109.488708147</v>
      </c>
      <c r="R104" s="224" t="n">
        <f aca="false">-R95-R96</f>
        <v>266156.989920461</v>
      </c>
      <c r="S104" s="224" t="n">
        <f aca="false">-S95-S96</f>
        <v>276204.491132774</v>
      </c>
      <c r="T104" s="224" t="n">
        <f aca="false">-T95-T96</f>
        <v>1005816.99234509</v>
      </c>
      <c r="U104" s="224" t="n">
        <f aca="false">-U95-U96</f>
        <v>1001720.033135</v>
      </c>
      <c r="V104" s="224" t="n">
        <f aca="false">-V95-V96</f>
        <v>997623.073924915</v>
      </c>
      <c r="W104" s="224" t="n">
        <f aca="false">-W95-W96</f>
        <v>993526.114714829</v>
      </c>
      <c r="X104" s="224" t="n">
        <f aca="false">-X95-X96</f>
        <v>780858.425008742</v>
      </c>
    </row>
    <row r="105" customFormat="false" ht="15.75" hidden="false" customHeight="true" outlineLevel="0" collapsed="false">
      <c r="B105" s="220" t="s">
        <v>87</v>
      </c>
      <c r="C105" s="239" t="n">
        <f aca="false">IRR(D104:X104)</f>
        <v>0.0856396794159239</v>
      </c>
      <c r="D105" s="225"/>
      <c r="E105" s="225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</row>
    <row r="106" customFormat="false" ht="15.75" hidden="false" customHeight="true" outlineLevel="0" collapsed="false">
      <c r="B106" s="236" t="s">
        <v>88</v>
      </c>
      <c r="C106" s="237"/>
      <c r="D106" s="238" t="n">
        <f aca="false">D85-D94</f>
        <v>-2279692.6773632</v>
      </c>
      <c r="E106" s="224" t="n">
        <f aca="false">E85</f>
        <v>126875.305969664</v>
      </c>
      <c r="F106" s="224" t="n">
        <f aca="false">F85-F96</f>
        <v>138039.196205568</v>
      </c>
      <c r="G106" s="224" t="n">
        <f aca="false">G85-G96</f>
        <v>149203.086441472</v>
      </c>
      <c r="H106" s="224" t="n">
        <f aca="false">H85-H96</f>
        <v>160366.976677376</v>
      </c>
      <c r="I106" s="224" t="n">
        <f aca="false">I85-I96</f>
        <v>171530.86691328</v>
      </c>
      <c r="J106" s="224" t="n">
        <f aca="false">J85-J96</f>
        <v>182694.757149184</v>
      </c>
      <c r="K106" s="224" t="n">
        <f aca="false">K85-K96</f>
        <v>193858.647385088</v>
      </c>
      <c r="L106" s="224" t="n">
        <f aca="false">L85-L96</f>
        <v>205022.537620992</v>
      </c>
      <c r="M106" s="224" t="n">
        <f aca="false">M85-M96</f>
        <v>216186.427856896</v>
      </c>
      <c r="N106" s="224" t="n">
        <f aca="false">N85-N96</f>
        <v>262238.3180928</v>
      </c>
      <c r="O106" s="224" t="n">
        <f aca="false">O85-O96</f>
        <v>273402.208328704</v>
      </c>
      <c r="P106" s="224" t="n">
        <f aca="false">P85-P96</f>
        <v>284566.098564608</v>
      </c>
      <c r="Q106" s="224" t="n">
        <f aca="false">Q85-Q96</f>
        <v>295729.988800512</v>
      </c>
      <c r="R106" s="224" t="n">
        <f aca="false">R85-R96</f>
        <v>306893.879036416</v>
      </c>
      <c r="S106" s="224" t="n">
        <f aca="false">S85-S96</f>
        <v>318057.76927232</v>
      </c>
      <c r="T106" s="224" t="n">
        <f aca="false">T85-T96</f>
        <v>1033070.59237222</v>
      </c>
      <c r="U106" s="224" t="n">
        <f aca="false">U85-U96</f>
        <v>1028518.41547213</v>
      </c>
      <c r="V106" s="224" t="n">
        <f aca="false">V85-V96</f>
        <v>1023966.23857203</v>
      </c>
      <c r="W106" s="224" t="n">
        <f aca="false">W85-W96</f>
        <v>1019414.06167194</v>
      </c>
      <c r="X106" s="229"/>
    </row>
    <row r="107" customFormat="false" ht="15.75" hidden="false" customHeight="true" outlineLevel="0" collapsed="false">
      <c r="B107" s="236" t="s">
        <v>89</v>
      </c>
      <c r="C107" s="239" t="n">
        <f aca="false">IRR(D106:W106)</f>
        <v>0.0989884465247848</v>
      </c>
      <c r="D107" s="225"/>
      <c r="E107" s="225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</row>
    <row r="108" customFormat="false" ht="15.75" hidden="false" customHeight="true" outlineLevel="0" collapsed="false"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</row>
    <row r="109" customFormat="false" ht="15.75" hidden="false" customHeight="true" outlineLevel="0" collapsed="false">
      <c r="B109" s="220" t="s">
        <v>90</v>
      </c>
      <c r="C109" s="221" t="n">
        <v>0</v>
      </c>
      <c r="D109" s="221" t="n">
        <f aca="false">D92</f>
        <v>11513040</v>
      </c>
      <c r="E109" s="221" t="n">
        <f aca="false">D109+E93</f>
        <v>10745504</v>
      </c>
      <c r="F109" s="221" t="n">
        <f aca="false">E109+F93</f>
        <v>9977968</v>
      </c>
      <c r="G109" s="221" t="n">
        <f aca="false">F109+G93</f>
        <v>9210432</v>
      </c>
      <c r="H109" s="221" t="n">
        <f aca="false">G109+H93</f>
        <v>8442896</v>
      </c>
      <c r="I109" s="221" t="n">
        <f aca="false">H109+I93</f>
        <v>7675360</v>
      </c>
      <c r="J109" s="221" t="n">
        <f aca="false">I109+J93</f>
        <v>6907824</v>
      </c>
      <c r="K109" s="221" t="n">
        <f aca="false">J109+K93</f>
        <v>6140288</v>
      </c>
      <c r="L109" s="221" t="n">
        <f aca="false">K109+L93</f>
        <v>5372752</v>
      </c>
      <c r="M109" s="221" t="n">
        <f aca="false">L109+M93</f>
        <v>4605216</v>
      </c>
      <c r="N109" s="221" t="n">
        <f aca="false">M109+N93</f>
        <v>3837680</v>
      </c>
      <c r="O109" s="221" t="n">
        <f aca="false">N109+O93</f>
        <v>3070144</v>
      </c>
      <c r="P109" s="221" t="n">
        <f aca="false">O109+P93</f>
        <v>2302608</v>
      </c>
      <c r="Q109" s="221" t="n">
        <f aca="false">P109+Q93</f>
        <v>1535072</v>
      </c>
      <c r="R109" s="221" t="n">
        <f aca="false">Q109+R93</f>
        <v>767536</v>
      </c>
      <c r="S109" s="221" t="n">
        <f aca="false">R109+S93</f>
        <v>0</v>
      </c>
      <c r="T109" s="221" t="n">
        <f aca="false">S109+T93</f>
        <v>0</v>
      </c>
      <c r="U109" s="221" t="n">
        <f aca="false">T109+U93</f>
        <v>0</v>
      </c>
      <c r="V109" s="221" t="n">
        <f aca="false">U109+V93</f>
        <v>0</v>
      </c>
      <c r="W109" s="221" t="n">
        <f aca="false">V109+W93</f>
        <v>0</v>
      </c>
      <c r="X109" s="2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2" t="s">
        <v>0</v>
      </c>
      <c r="C1" s="124"/>
      <c r="D1" s="124"/>
      <c r="E1" s="125"/>
      <c r="F1" s="126" t="s">
        <v>108</v>
      </c>
      <c r="P1" s="127" t="n">
        <f aca="false">1-D11</f>
        <v>0.99</v>
      </c>
      <c r="Q1" s="127" t="n">
        <f aca="false">P1-$D12</f>
        <v>0.986</v>
      </c>
      <c r="R1" s="127" t="n">
        <f aca="false">Q1-$D12</f>
        <v>0.982</v>
      </c>
      <c r="S1" s="127" t="n">
        <f aca="false">R1-$D12</f>
        <v>0.978</v>
      </c>
      <c r="T1" s="127" t="n">
        <f aca="false">S1-$D12</f>
        <v>0.974</v>
      </c>
      <c r="U1" s="127" t="n">
        <f aca="false">T1-$D12</f>
        <v>0.97</v>
      </c>
      <c r="V1" s="127" t="n">
        <f aca="false">U1-$D12</f>
        <v>0.966</v>
      </c>
      <c r="W1" s="127" t="n">
        <f aca="false">V1-$D12</f>
        <v>0.962</v>
      </c>
      <c r="X1" s="127" t="n">
        <f aca="false">W1-$D12</f>
        <v>0.958</v>
      </c>
      <c r="Y1" s="127" t="n">
        <f aca="false">X1-$D12</f>
        <v>0.954</v>
      </c>
      <c r="Z1" s="127" t="n">
        <f aca="false">Y1-$D12</f>
        <v>0.95</v>
      </c>
      <c r="AA1" s="127" t="n">
        <f aca="false">Z1-$D12</f>
        <v>0.946</v>
      </c>
      <c r="AB1" s="127" t="n">
        <f aca="false">AA1-$D12</f>
        <v>0.942</v>
      </c>
      <c r="AC1" s="127" t="n">
        <f aca="false">AB1-$D12</f>
        <v>0.938</v>
      </c>
      <c r="AD1" s="127" t="n">
        <f aca="false">AC1-$D12</f>
        <v>0.934</v>
      </c>
      <c r="AE1" s="127" t="n">
        <f aca="false">AD1-$D12</f>
        <v>0.93</v>
      </c>
      <c r="AF1" s="127" t="n">
        <f aca="false">AE1-$D12</f>
        <v>0.926</v>
      </c>
      <c r="AG1" s="127" t="n">
        <f aca="false">AF1-$D12</f>
        <v>0.922</v>
      </c>
      <c r="AH1" s="127" t="n">
        <f aca="false">AG1-$D12</f>
        <v>0.918</v>
      </c>
      <c r="AI1" s="127" t="n">
        <f aca="false">AH1-$D12</f>
        <v>0.914</v>
      </c>
    </row>
    <row r="2" customFormat="false" ht="21.75" hidden="false" customHeight="true" outlineLevel="0" collapsed="false">
      <c r="B2" s="5" t="s">
        <v>1</v>
      </c>
      <c r="C2" s="128" t="s">
        <v>109</v>
      </c>
      <c r="D2" s="6" t="s">
        <v>3</v>
      </c>
      <c r="E2" s="129" t="s">
        <v>3</v>
      </c>
      <c r="F2" s="130" t="s">
        <v>110</v>
      </c>
    </row>
    <row r="3" customFormat="false" ht="21.75" hidden="false" customHeight="true" outlineLevel="0" collapsed="false">
      <c r="B3" s="32" t="s">
        <v>4</v>
      </c>
      <c r="C3" s="131" t="n">
        <v>20</v>
      </c>
      <c r="D3" s="9" t="s">
        <v>3</v>
      </c>
      <c r="E3" s="132" t="s">
        <v>3</v>
      </c>
      <c r="F3" s="133" t="s">
        <v>111</v>
      </c>
    </row>
    <row r="4" customFormat="false" ht="21.75" hidden="false" customHeight="true" outlineLevel="0" collapsed="false">
      <c r="B4" s="32" t="s">
        <v>112</v>
      </c>
      <c r="C4" s="131" t="n">
        <v>436.1</v>
      </c>
      <c r="D4" s="9" t="s">
        <v>3</v>
      </c>
      <c r="E4" s="132" t="s">
        <v>3</v>
      </c>
      <c r="F4" s="133" t="s">
        <v>113</v>
      </c>
      <c r="M4" s="0" t="s">
        <v>193</v>
      </c>
    </row>
    <row r="5" customFormat="false" ht="22.5" hidden="false" customHeight="true" outlineLevel="0" collapsed="false">
      <c r="B5" s="10" t="s">
        <v>6</v>
      </c>
      <c r="C5" s="131" t="n">
        <v>2023</v>
      </c>
      <c r="D5" s="10" t="s">
        <v>7</v>
      </c>
      <c r="E5" s="134" t="n">
        <v>2042</v>
      </c>
      <c r="F5" s="133" t="s">
        <v>115</v>
      </c>
      <c r="M5" s="0" t="s">
        <v>194</v>
      </c>
    </row>
    <row r="6" customFormat="false" ht="20.25" hidden="false" customHeight="true" outlineLevel="0" collapsed="false">
      <c r="B6" s="11"/>
      <c r="C6" s="11"/>
      <c r="D6" s="11"/>
      <c r="E6" s="11"/>
      <c r="M6" s="0" t="s">
        <v>195</v>
      </c>
    </row>
    <row r="7" customFormat="false" ht="22.5" hidden="false" customHeight="true" outlineLevel="0" collapsed="false">
      <c r="B7" s="12" t="s">
        <v>8</v>
      </c>
      <c r="C7" s="124"/>
      <c r="D7" s="124"/>
      <c r="E7" s="125"/>
      <c r="M7" s="0" t="s">
        <v>196</v>
      </c>
    </row>
    <row r="8" customFormat="false" ht="22.5" hidden="false" customHeight="true" outlineLevel="0" collapsed="false">
      <c r="B8" s="13" t="s">
        <v>9</v>
      </c>
      <c r="E8" s="135"/>
      <c r="M8" s="0" t="s">
        <v>197</v>
      </c>
    </row>
    <row r="9" customFormat="false" ht="22.5" hidden="false" customHeight="true" outlineLevel="0" collapsed="false">
      <c r="B9" s="14" t="s">
        <v>10</v>
      </c>
      <c r="C9" s="15" t="s">
        <v>11</v>
      </c>
      <c r="D9" s="15" t="s">
        <v>12</v>
      </c>
      <c r="E9" s="136" t="s">
        <v>13</v>
      </c>
      <c r="F9" s="126" t="s">
        <v>108</v>
      </c>
      <c r="M9" s="0" t="s">
        <v>120</v>
      </c>
    </row>
    <row r="10" customFormat="false" ht="30" hidden="false" customHeight="true" outlineLevel="0" collapsed="false">
      <c r="B10" s="17" t="s">
        <v>14</v>
      </c>
      <c r="C10" s="18" t="s">
        <v>121</v>
      </c>
      <c r="D10" s="137" t="n">
        <v>547002</v>
      </c>
      <c r="E10" s="138" t="n">
        <v>20</v>
      </c>
      <c r="F10" s="133" t="s">
        <v>122</v>
      </c>
      <c r="M10" s="0" t="s">
        <v>106</v>
      </c>
    </row>
    <row r="11" customFormat="false" ht="30" hidden="false" customHeight="true" outlineLevel="0" collapsed="false">
      <c r="B11" s="139"/>
      <c r="C11" s="10" t="s">
        <v>16</v>
      </c>
      <c r="D11" s="140" t="n">
        <v>0.01</v>
      </c>
      <c r="E11" s="141"/>
      <c r="F11" s="133" t="s">
        <v>124</v>
      </c>
    </row>
    <row r="12" customFormat="false" ht="30" hidden="false" customHeight="true" outlineLevel="0" collapsed="false">
      <c r="B12" s="139"/>
      <c r="C12" s="10" t="s">
        <v>17</v>
      </c>
      <c r="D12" s="142" t="n">
        <v>0.004</v>
      </c>
      <c r="E12" s="141"/>
      <c r="F12" s="133" t="s">
        <v>125</v>
      </c>
    </row>
    <row r="13" customFormat="false" ht="22.5" hidden="false" customHeight="true" outlineLevel="0" collapsed="false">
      <c r="B13" s="139"/>
      <c r="C13" s="21" t="s">
        <v>126</v>
      </c>
      <c r="D13" s="143" t="n">
        <v>3.7152</v>
      </c>
      <c r="E13" s="141"/>
      <c r="F13" s="133" t="s">
        <v>127</v>
      </c>
    </row>
    <row r="14" customFormat="false" ht="22.5" hidden="false" customHeight="true" outlineLevel="0" collapsed="false">
      <c r="B14" s="22" t="s">
        <v>19</v>
      </c>
      <c r="C14" s="124"/>
      <c r="D14" s="124"/>
      <c r="E14" s="125"/>
    </row>
    <row r="15" customFormat="false" ht="22.5" hidden="false" customHeight="true" outlineLevel="0" collapsed="false">
      <c r="B15" s="14" t="s">
        <v>10</v>
      </c>
      <c r="C15" s="15" t="s">
        <v>11</v>
      </c>
      <c r="D15" s="15" t="s">
        <v>12</v>
      </c>
      <c r="E15" s="136" t="s">
        <v>20</v>
      </c>
      <c r="F15" s="126" t="s">
        <v>108</v>
      </c>
    </row>
    <row r="16" customFormat="false" ht="21.75" hidden="false" customHeight="true" outlineLevel="0" collapsed="false">
      <c r="B16" s="18" t="s">
        <v>128</v>
      </c>
      <c r="C16" s="18" t="s">
        <v>129</v>
      </c>
      <c r="D16" s="144" t="n">
        <v>22000</v>
      </c>
      <c r="E16" s="129" t="n">
        <v>20</v>
      </c>
      <c r="F16" s="133" t="s">
        <v>130</v>
      </c>
    </row>
    <row r="17" customFormat="false" ht="21.75" hidden="false" customHeight="true" outlineLevel="0" collapsed="false">
      <c r="B17" s="139"/>
      <c r="C17" s="10" t="s">
        <v>131</v>
      </c>
      <c r="D17" s="145" t="n">
        <v>0.2</v>
      </c>
      <c r="E17" s="141"/>
      <c r="F17" s="133" t="s">
        <v>132</v>
      </c>
    </row>
    <row r="18" customFormat="false" ht="21.75" hidden="false" customHeight="true" outlineLevel="0" collapsed="false">
      <c r="B18" s="146"/>
      <c r="C18" s="10" t="s">
        <v>24</v>
      </c>
      <c r="D18" s="147" t="n">
        <v>3000</v>
      </c>
      <c r="E18" s="148"/>
      <c r="F18" s="133" t="s">
        <v>133</v>
      </c>
    </row>
    <row r="19" customFormat="false" ht="54" hidden="false" customHeight="true" outlineLevel="0" collapsed="false">
      <c r="B19" s="10" t="s">
        <v>25</v>
      </c>
      <c r="C19" s="149" t="s">
        <v>134</v>
      </c>
      <c r="D19" s="145" t="n">
        <v>2</v>
      </c>
      <c r="E19" s="129" t="n">
        <v>20</v>
      </c>
      <c r="F19" s="133" t="s">
        <v>135</v>
      </c>
    </row>
    <row r="20" customFormat="false" ht="20.25" hidden="false" customHeight="true" outlineLevel="0" collapsed="false">
      <c r="B20" s="139"/>
      <c r="C20" s="26" t="s">
        <v>136</v>
      </c>
      <c r="D20" s="147" t="n">
        <v>0</v>
      </c>
      <c r="E20" s="129" t="n">
        <v>20</v>
      </c>
      <c r="F20" s="133" t="s">
        <v>137</v>
      </c>
    </row>
    <row r="21" customFormat="false" ht="30" hidden="false" customHeight="true" outlineLevel="0" collapsed="false">
      <c r="B21" s="146"/>
      <c r="C21" s="10" t="s">
        <v>138</v>
      </c>
      <c r="D21" s="145" t="n">
        <v>0.3</v>
      </c>
      <c r="E21" s="132" t="n">
        <v>20</v>
      </c>
      <c r="F21" s="133" t="s">
        <v>139</v>
      </c>
    </row>
    <row r="22" customFormat="false" ht="30" hidden="false" customHeight="true" outlineLevel="0" collapsed="false">
      <c r="B22" s="10" t="s">
        <v>29</v>
      </c>
      <c r="C22" s="10" t="s">
        <v>140</v>
      </c>
      <c r="D22" s="150" t="n">
        <v>400</v>
      </c>
      <c r="E22" s="132" t="n">
        <v>20</v>
      </c>
      <c r="F22" s="133" t="s">
        <v>141</v>
      </c>
    </row>
    <row r="23" customFormat="false" ht="30" hidden="false" customHeight="true" outlineLevel="0" collapsed="false">
      <c r="B23" s="10" t="s">
        <v>31</v>
      </c>
      <c r="C23" s="10" t="s">
        <v>32</v>
      </c>
      <c r="D23" s="145" t="n">
        <v>0.003</v>
      </c>
      <c r="E23" s="132" t="n">
        <v>20</v>
      </c>
      <c r="F23" s="133" t="s">
        <v>142</v>
      </c>
    </row>
    <row r="24" customFormat="false" ht="30" hidden="false" customHeight="true" outlineLevel="0" collapsed="false">
      <c r="B24" s="10" t="s">
        <v>33</v>
      </c>
      <c r="C24" s="10" t="s">
        <v>143</v>
      </c>
      <c r="D24" s="150" t="n">
        <v>1000</v>
      </c>
      <c r="E24" s="151" t="n">
        <v>10</v>
      </c>
      <c r="F24" s="133" t="s">
        <v>144</v>
      </c>
    </row>
    <row r="25" customFormat="false" ht="30" hidden="false" customHeight="true" outlineLevel="0" collapsed="false">
      <c r="B25" s="10" t="s">
        <v>35</v>
      </c>
      <c r="C25" s="10" t="s">
        <v>36</v>
      </c>
      <c r="D25" s="152" t="n">
        <v>0.025595</v>
      </c>
      <c r="E25" s="132" t="n">
        <v>20</v>
      </c>
      <c r="F25" s="133" t="s">
        <v>145</v>
      </c>
    </row>
    <row r="26" customFormat="false" ht="30" hidden="false" customHeight="true" outlineLevel="0" collapsed="false">
      <c r="B26" s="10" t="s">
        <v>37</v>
      </c>
      <c r="C26" s="10" t="s">
        <v>38</v>
      </c>
      <c r="D26" s="145" t="n">
        <v>0.2</v>
      </c>
      <c r="E26" s="132" t="n">
        <v>20</v>
      </c>
      <c r="F26" s="133" t="s">
        <v>146</v>
      </c>
    </row>
    <row r="27" customFormat="false" ht="20.25" hidden="false" customHeight="true" outlineLevel="0" collapsed="false">
      <c r="B27" s="11"/>
      <c r="C27" s="11"/>
      <c r="D27" s="11"/>
      <c r="E27" s="11"/>
    </row>
    <row r="28" customFormat="false" ht="20.25" hidden="false" customHeight="true" outlineLevel="0" collapsed="false">
      <c r="B28" s="11"/>
      <c r="C28" s="11"/>
      <c r="D28" s="11"/>
      <c r="E28" s="11"/>
    </row>
    <row r="29" customFormat="false" ht="22.5" hidden="false" customHeight="true" outlineLevel="0" collapsed="false">
      <c r="B29" s="12" t="s">
        <v>39</v>
      </c>
      <c r="C29" s="124"/>
      <c r="D29" s="125"/>
      <c r="E29" s="11"/>
    </row>
    <row r="30" customFormat="false" ht="22.5" hidden="false" customHeight="true" outlineLevel="0" collapsed="false">
      <c r="B30" s="14" t="s">
        <v>40</v>
      </c>
      <c r="C30" s="29" t="s">
        <v>11</v>
      </c>
      <c r="D30" s="30" t="s">
        <v>12</v>
      </c>
      <c r="E30" s="11"/>
      <c r="F30" s="126" t="s">
        <v>108</v>
      </c>
    </row>
    <row r="31" customFormat="false" ht="30" hidden="false" customHeight="true" outlineLevel="0" collapsed="false">
      <c r="B31" s="18" t="s">
        <v>41</v>
      </c>
      <c r="C31" s="5" t="s">
        <v>42</v>
      </c>
      <c r="D31" s="153" t="n">
        <v>0.8</v>
      </c>
      <c r="E31" s="11"/>
      <c r="F31" s="133" t="s">
        <v>147</v>
      </c>
    </row>
    <row r="32" customFormat="false" ht="18.75" hidden="false" customHeight="true" outlineLevel="0" collapsed="false">
      <c r="B32" s="18" t="s">
        <v>43</v>
      </c>
      <c r="C32" s="5" t="s">
        <v>44</v>
      </c>
      <c r="D32" s="153" t="n">
        <v>15</v>
      </c>
      <c r="E32" s="11"/>
      <c r="F32" s="133" t="s">
        <v>148</v>
      </c>
    </row>
    <row r="33" customFormat="false" ht="18.75" hidden="false" customHeight="true" outlineLevel="0" collapsed="false">
      <c r="B33" s="10" t="s">
        <v>45</v>
      </c>
      <c r="C33" s="32" t="s">
        <v>46</v>
      </c>
      <c r="D33" s="145" t="n">
        <v>0.9</v>
      </c>
      <c r="E33" s="11"/>
      <c r="F33" s="133" t="s">
        <v>149</v>
      </c>
    </row>
    <row r="34" customFormat="false" ht="30" hidden="false" customHeight="true" outlineLevel="0" collapsed="false">
      <c r="B34" s="10" t="s">
        <v>47</v>
      </c>
      <c r="C34" s="32" t="s">
        <v>44</v>
      </c>
      <c r="D34" s="145" t="n">
        <v>4</v>
      </c>
      <c r="E34" s="11"/>
      <c r="F34" s="133" t="s">
        <v>150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97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54" t="n">
        <v>0</v>
      </c>
      <c r="C38" s="155"/>
      <c r="D38" s="156"/>
      <c r="E38" s="156"/>
      <c r="F38" s="157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9"/>
      <c r="U38" s="158"/>
      <c r="V38" s="158"/>
      <c r="W38" s="158"/>
      <c r="X38" s="160"/>
    </row>
    <row r="39" customFormat="false" ht="18.75" hidden="false" customHeight="true" outlineLevel="0" collapsed="false">
      <c r="B39" s="161" t="s">
        <v>51</v>
      </c>
      <c r="C39" s="162" t="n">
        <v>0</v>
      </c>
      <c r="D39" s="163" t="n">
        <v>1</v>
      </c>
      <c r="E39" s="163" t="n">
        <v>2</v>
      </c>
      <c r="F39" s="163" t="n">
        <v>3</v>
      </c>
      <c r="G39" s="163" t="n">
        <v>4</v>
      </c>
      <c r="H39" s="163" t="n">
        <v>5</v>
      </c>
      <c r="I39" s="163" t="n">
        <v>6</v>
      </c>
      <c r="J39" s="163" t="n">
        <v>7</v>
      </c>
      <c r="K39" s="163" t="n">
        <v>8</v>
      </c>
      <c r="L39" s="163" t="n">
        <v>9</v>
      </c>
      <c r="M39" s="163" t="n">
        <v>10</v>
      </c>
      <c r="N39" s="163" t="n">
        <v>11</v>
      </c>
      <c r="O39" s="163" t="n">
        <v>12</v>
      </c>
      <c r="P39" s="163" t="n">
        <v>13</v>
      </c>
      <c r="Q39" s="163" t="n">
        <v>14</v>
      </c>
      <c r="R39" s="163" t="n">
        <v>15</v>
      </c>
      <c r="S39" s="163" t="n">
        <v>16</v>
      </c>
      <c r="T39" s="164" t="n">
        <v>17</v>
      </c>
      <c r="U39" s="163" t="n">
        <v>18</v>
      </c>
      <c r="V39" s="163" t="n">
        <v>19</v>
      </c>
      <c r="W39" s="163" t="n">
        <v>20</v>
      </c>
      <c r="X39" s="47"/>
    </row>
    <row r="40" customFormat="false" ht="18.75" hidden="false" customHeight="true" outlineLevel="0" collapsed="false">
      <c r="B40" s="165" t="s">
        <v>52</v>
      </c>
      <c r="C40" s="166" t="n">
        <v>0</v>
      </c>
      <c r="D40" s="167" t="n">
        <f aca="false">$D$10*P1</f>
        <v>541531.98</v>
      </c>
      <c r="E40" s="167" t="n">
        <f aca="false">$D$10*Q1</f>
        <v>539343.972</v>
      </c>
      <c r="F40" s="167" t="n">
        <f aca="false">$D$10*R1</f>
        <v>537155.964</v>
      </c>
      <c r="G40" s="167" t="n">
        <f aca="false">$D$10*S1</f>
        <v>534967.956</v>
      </c>
      <c r="H40" s="167" t="n">
        <f aca="false">$D$10*T1</f>
        <v>532779.948</v>
      </c>
      <c r="I40" s="167" t="n">
        <f aca="false">$D$10*U1</f>
        <v>530591.94</v>
      </c>
      <c r="J40" s="167" t="n">
        <f aca="false">$D$10*V1</f>
        <v>528403.932</v>
      </c>
      <c r="K40" s="167" t="n">
        <f aca="false">$D$10*W1</f>
        <v>526215.924</v>
      </c>
      <c r="L40" s="167" t="n">
        <f aca="false">$D$10*X1</f>
        <v>524027.916</v>
      </c>
      <c r="M40" s="167" t="n">
        <f aca="false">$D$10*Y1</f>
        <v>521839.908</v>
      </c>
      <c r="N40" s="167" t="n">
        <f aca="false">$D$10*Z1</f>
        <v>519651.9</v>
      </c>
      <c r="O40" s="167" t="n">
        <f aca="false">$D$10*AA1</f>
        <v>517463.892</v>
      </c>
      <c r="P40" s="167" t="n">
        <f aca="false">$D$10*AB1</f>
        <v>515275.884</v>
      </c>
      <c r="Q40" s="167" t="n">
        <f aca="false">$D$10*AC1</f>
        <v>513087.876</v>
      </c>
      <c r="R40" s="167" t="n">
        <f aca="false">$D$10*AD1</f>
        <v>510899.868</v>
      </c>
      <c r="S40" s="167" t="n">
        <f aca="false">$D$10*AE1</f>
        <v>508711.86</v>
      </c>
      <c r="T40" s="167" t="n">
        <f aca="false">$D$10*AF1</f>
        <v>506523.852</v>
      </c>
      <c r="U40" s="167" t="n">
        <f aca="false">$D$10*AG1</f>
        <v>504335.844</v>
      </c>
      <c r="V40" s="167" t="n">
        <f aca="false">$D$10*AH1</f>
        <v>502147.836</v>
      </c>
      <c r="W40" s="167" t="n">
        <f aca="false">$D$10*AI1</f>
        <v>499959.828</v>
      </c>
      <c r="X40" s="168"/>
    </row>
    <row r="41" customFormat="false" ht="18.75" hidden="false" customHeight="true" outlineLevel="0" collapsed="false">
      <c r="B41" s="169" t="s">
        <v>53</v>
      </c>
      <c r="C41" s="170" t="s">
        <v>3</v>
      </c>
      <c r="D41" s="171" t="n">
        <f aca="false">D40*$D$13</f>
        <v>2011899.612096</v>
      </c>
      <c r="E41" s="171" t="n">
        <f aca="false">E40*$D$13</f>
        <v>2003770.7247744</v>
      </c>
      <c r="F41" s="171" t="n">
        <f aca="false">F40*$D$13</f>
        <v>1995641.8374528</v>
      </c>
      <c r="G41" s="171" t="n">
        <f aca="false">G40*$D$13</f>
        <v>1987512.9501312</v>
      </c>
      <c r="H41" s="171" t="n">
        <f aca="false">H40*$D$13</f>
        <v>1979384.0628096</v>
      </c>
      <c r="I41" s="171" t="n">
        <f aca="false">I40*$D$13</f>
        <v>1971255.175488</v>
      </c>
      <c r="J41" s="171" t="n">
        <f aca="false">J40*$D$13</f>
        <v>1963126.2881664</v>
      </c>
      <c r="K41" s="171" t="n">
        <f aca="false">K40*$D$13</f>
        <v>1954997.4008448</v>
      </c>
      <c r="L41" s="171" t="n">
        <f aca="false">L40*$D$13</f>
        <v>1946868.5135232</v>
      </c>
      <c r="M41" s="171" t="n">
        <f aca="false">M40*$D$13</f>
        <v>1938739.6262016</v>
      </c>
      <c r="N41" s="171" t="n">
        <f aca="false">N40*$D$13</f>
        <v>1930610.73888</v>
      </c>
      <c r="O41" s="171" t="n">
        <f aca="false">O40*$D$13</f>
        <v>1922481.8515584</v>
      </c>
      <c r="P41" s="171" t="n">
        <f aca="false">P40*$D$13</f>
        <v>1914352.9642368</v>
      </c>
      <c r="Q41" s="171" t="n">
        <f aca="false">Q40*$D$13</f>
        <v>1906224.0769152</v>
      </c>
      <c r="R41" s="171" t="n">
        <f aca="false">R40*$D$13</f>
        <v>1898095.1895936</v>
      </c>
      <c r="S41" s="171" t="n">
        <f aca="false">S40*$D$13</f>
        <v>1889966.302272</v>
      </c>
      <c r="T41" s="171" t="n">
        <f aca="false">T40*$D$13</f>
        <v>1881837.4149504</v>
      </c>
      <c r="U41" s="171" t="n">
        <f aca="false">U40*$D$13</f>
        <v>1873708.5276288</v>
      </c>
      <c r="V41" s="171" t="n">
        <f aca="false">V40*$D$13</f>
        <v>1865579.6403072</v>
      </c>
      <c r="W41" s="171" t="n">
        <f aca="false">W40*$D$13</f>
        <v>1857450.7529856</v>
      </c>
      <c r="X41" s="172"/>
    </row>
    <row r="42" customFormat="false" ht="18.75" hidden="false" customHeight="true" outlineLevel="0" collapsed="false">
      <c r="B42" s="173" t="s">
        <v>54</v>
      </c>
      <c r="C42" s="174" t="s">
        <v>3</v>
      </c>
      <c r="D42" s="175"/>
      <c r="E42" s="175"/>
      <c r="F42" s="175"/>
      <c r="G42" s="176" t="s">
        <v>3</v>
      </c>
      <c r="H42" s="176" t="s">
        <v>3</v>
      </c>
      <c r="I42" s="176" t="s">
        <v>3</v>
      </c>
      <c r="J42" s="176" t="s">
        <v>3</v>
      </c>
      <c r="K42" s="176" t="s">
        <v>3</v>
      </c>
      <c r="L42" s="176" t="s">
        <v>3</v>
      </c>
      <c r="M42" s="176" t="s">
        <v>3</v>
      </c>
      <c r="N42" s="176" t="s">
        <v>3</v>
      </c>
      <c r="O42" s="176" t="s">
        <v>3</v>
      </c>
      <c r="P42" s="176" t="s">
        <v>3</v>
      </c>
      <c r="Q42" s="176" t="s">
        <v>3</v>
      </c>
      <c r="R42" s="176" t="s">
        <v>3</v>
      </c>
      <c r="S42" s="176" t="s">
        <v>3</v>
      </c>
      <c r="T42" s="176" t="s">
        <v>3</v>
      </c>
      <c r="U42" s="176" t="s">
        <v>3</v>
      </c>
      <c r="V42" s="176" t="s">
        <v>3</v>
      </c>
      <c r="W42" s="176" t="s">
        <v>3</v>
      </c>
      <c r="X42" s="177"/>
    </row>
    <row r="43" customFormat="false" ht="18.75" hidden="false" customHeight="true" outlineLevel="0" collapsed="false">
      <c r="B43" s="178" t="s">
        <v>55</v>
      </c>
      <c r="C43" s="179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customFormat="false" ht="18.75" hidden="false" customHeight="true" outlineLevel="0" collapsed="false">
      <c r="B44" s="182" t="s">
        <v>56</v>
      </c>
      <c r="C44" s="183" t="n">
        <f aca="false">-(D16/(1-D17)+D18)*C4</f>
        <v>-13301050</v>
      </c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</row>
    <row r="45" customFormat="false" ht="18.75" hidden="false" customHeight="true" outlineLevel="0" collapsed="false">
      <c r="B45" s="182" t="s">
        <v>57</v>
      </c>
      <c r="C45" s="174" t="s">
        <v>3</v>
      </c>
      <c r="D45" s="0" t="n">
        <v>-603569.8836288</v>
      </c>
      <c r="E45" s="184" t="n">
        <v>-601131.21743232</v>
      </c>
      <c r="F45" s="184" t="n">
        <v>-598692.55123584</v>
      </c>
      <c r="G45" s="184" t="n">
        <v>-596253.88503936</v>
      </c>
      <c r="H45" s="184" t="n">
        <v>-593815.21884288</v>
      </c>
      <c r="I45" s="184" t="n">
        <v>-591376.5526464</v>
      </c>
      <c r="J45" s="184" t="n">
        <v>-588937.88644992</v>
      </c>
      <c r="K45" s="184" t="n">
        <v>-586499.22025344</v>
      </c>
      <c r="L45" s="184" t="n">
        <v>-584060.55405696</v>
      </c>
      <c r="M45" s="184" t="n">
        <v>-581621.88786048</v>
      </c>
      <c r="N45" s="184" t="n">
        <v>-579183.221664</v>
      </c>
      <c r="O45" s="184" t="n">
        <v>-576744.55546752</v>
      </c>
      <c r="P45" s="184" t="n">
        <v>-574305.88927104</v>
      </c>
      <c r="Q45" s="184" t="n">
        <v>-571867.22307456</v>
      </c>
      <c r="R45" s="184" t="n">
        <v>-569428.55687808</v>
      </c>
      <c r="S45" s="184" t="n">
        <v>-566989.8906816</v>
      </c>
      <c r="T45" s="184" t="n">
        <v>-564551.22448512</v>
      </c>
      <c r="U45" s="184" t="n">
        <v>-562112.55828864</v>
      </c>
      <c r="V45" s="184" t="n">
        <v>-559673.89209216</v>
      </c>
      <c r="W45" s="184" t="n">
        <v>-557235.22589568</v>
      </c>
      <c r="X45" s="184"/>
    </row>
    <row r="46" customFormat="false" ht="18.75" hidden="false" customHeight="true" outlineLevel="0" collapsed="false">
      <c r="B46" s="182" t="s">
        <v>58</v>
      </c>
      <c r="C46" s="17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</row>
    <row r="47" customFormat="false" ht="18.75" hidden="false" customHeight="true" outlineLevel="0" collapsed="false">
      <c r="B47" s="182" t="s">
        <v>59</v>
      </c>
      <c r="C47" s="174" t="s">
        <v>3</v>
      </c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</row>
    <row r="48" customFormat="false" ht="18.75" hidden="false" customHeight="true" outlineLevel="0" collapsed="false">
      <c r="B48" s="182" t="s">
        <v>60</v>
      </c>
      <c r="C48" s="174" t="s">
        <v>3</v>
      </c>
      <c r="D48" s="184" t="n">
        <v>-174440</v>
      </c>
      <c r="E48" s="184" t="n">
        <v>-174440</v>
      </c>
      <c r="F48" s="184" t="n">
        <v>-174440</v>
      </c>
      <c r="G48" s="184" t="n">
        <v>-174440</v>
      </c>
      <c r="H48" s="184" t="n">
        <v>-174440</v>
      </c>
      <c r="I48" s="184" t="n">
        <v>-174440</v>
      </c>
      <c r="J48" s="184" t="n">
        <v>-174440</v>
      </c>
      <c r="K48" s="184" t="n">
        <v>-174440</v>
      </c>
      <c r="L48" s="184" t="n">
        <v>-174440</v>
      </c>
      <c r="M48" s="184" t="n">
        <v>-174440</v>
      </c>
      <c r="N48" s="184" t="n">
        <v>-174440</v>
      </c>
      <c r="O48" s="184" t="n">
        <v>-174440</v>
      </c>
      <c r="P48" s="184" t="n">
        <v>-174440</v>
      </c>
      <c r="Q48" s="184" t="n">
        <v>-174440</v>
      </c>
      <c r="R48" s="184" t="n">
        <v>-174440</v>
      </c>
      <c r="S48" s="184" t="n">
        <v>-174440</v>
      </c>
      <c r="T48" s="184" t="n">
        <v>-174440</v>
      </c>
      <c r="U48" s="184" t="n">
        <v>-174440</v>
      </c>
      <c r="V48" s="184" t="n">
        <v>-174440</v>
      </c>
      <c r="W48" s="184" t="n">
        <v>-174440</v>
      </c>
      <c r="X48" s="184"/>
    </row>
    <row r="49" customFormat="false" ht="18.75" hidden="false" customHeight="true" outlineLevel="0" collapsed="false">
      <c r="B49" s="182" t="s">
        <v>61</v>
      </c>
      <c r="C49" s="174" t="s">
        <v>3</v>
      </c>
      <c r="D49" s="184" t="n">
        <v>-28782.6</v>
      </c>
      <c r="E49" s="184" t="n">
        <v>-28782.6</v>
      </c>
      <c r="F49" s="184" t="n">
        <v>-28782.6</v>
      </c>
      <c r="G49" s="184" t="n">
        <v>-28782.6</v>
      </c>
      <c r="H49" s="184" t="n">
        <v>-28782.6</v>
      </c>
      <c r="I49" s="184" t="n">
        <v>-28782.6</v>
      </c>
      <c r="J49" s="184" t="n">
        <v>-28782.6</v>
      </c>
      <c r="K49" s="184" t="n">
        <v>-28782.6</v>
      </c>
      <c r="L49" s="184" t="n">
        <v>-28782.6</v>
      </c>
      <c r="M49" s="184" t="n">
        <v>-28782.6</v>
      </c>
      <c r="N49" s="184" t="n">
        <v>-28782.6</v>
      </c>
      <c r="O49" s="184" t="n">
        <v>-28782.6</v>
      </c>
      <c r="P49" s="184" t="n">
        <v>-28782.6</v>
      </c>
      <c r="Q49" s="184" t="n">
        <v>-28782.6</v>
      </c>
      <c r="R49" s="184" t="n">
        <v>-28782.6</v>
      </c>
      <c r="S49" s="184" t="n">
        <v>-28782.6</v>
      </c>
      <c r="T49" s="184" t="n">
        <v>-28782.6</v>
      </c>
      <c r="U49" s="184" t="n">
        <v>-28782.6</v>
      </c>
      <c r="V49" s="184" t="n">
        <v>-28782.6</v>
      </c>
      <c r="W49" s="184" t="n">
        <v>-28782.6</v>
      </c>
      <c r="X49" s="184"/>
    </row>
    <row r="50" customFormat="false" ht="18.75" hidden="false" customHeight="true" outlineLevel="0" collapsed="false">
      <c r="B50" s="182" t="s">
        <v>62</v>
      </c>
      <c r="C50" s="174"/>
      <c r="D50" s="184" t="n">
        <v>-43610</v>
      </c>
      <c r="E50" s="184" t="n">
        <v>-43610</v>
      </c>
      <c r="F50" s="184" t="n">
        <v>-43610</v>
      </c>
      <c r="G50" s="184" t="n">
        <v>-43610</v>
      </c>
      <c r="H50" s="184" t="n">
        <v>-43610</v>
      </c>
      <c r="I50" s="184" t="n">
        <v>-43610</v>
      </c>
      <c r="J50" s="184" t="n">
        <v>-43610</v>
      </c>
      <c r="K50" s="184" t="n">
        <v>-43610</v>
      </c>
      <c r="L50" s="184" t="n">
        <v>-43610</v>
      </c>
      <c r="M50" s="184" t="n">
        <v>-43610</v>
      </c>
      <c r="N50" s="184" t="n">
        <v>0</v>
      </c>
      <c r="O50" s="184" t="n">
        <v>0</v>
      </c>
      <c r="P50" s="184" t="n">
        <v>0</v>
      </c>
      <c r="Q50" s="184" t="n">
        <v>0</v>
      </c>
      <c r="R50" s="184" t="n">
        <v>0</v>
      </c>
      <c r="S50" s="184" t="n">
        <v>0</v>
      </c>
      <c r="T50" s="184" t="n">
        <v>0</v>
      </c>
      <c r="U50" s="184" t="n">
        <v>0</v>
      </c>
      <c r="V50" s="184" t="n">
        <v>0</v>
      </c>
      <c r="W50" s="184" t="n">
        <v>0</v>
      </c>
      <c r="X50" s="184"/>
    </row>
    <row r="51" customFormat="false" ht="18.75" hidden="false" customHeight="true" outlineLevel="0" collapsed="false">
      <c r="B51" s="182" t="s">
        <v>63</v>
      </c>
      <c r="C51" s="185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</row>
    <row r="52" customFormat="false" ht="18.75" hidden="false" customHeight="true" outlineLevel="0" collapsed="false">
      <c r="B52" s="182" t="s">
        <v>64</v>
      </c>
      <c r="C52" s="185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</row>
    <row r="53" customFormat="false" ht="18.75" hidden="false" customHeight="true" outlineLevel="0" collapsed="false">
      <c r="B53" s="186" t="s">
        <v>65</v>
      </c>
      <c r="C53" s="185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</row>
    <row r="54" customFormat="false" ht="18.75" hidden="false" customHeight="true" outlineLevel="0" collapsed="false">
      <c r="B54" s="186" t="s">
        <v>66</v>
      </c>
      <c r="C54" s="185"/>
      <c r="D54" s="184" t="n">
        <f aca="false">-(D64+D67+D68+D71+D72+D73+D74)*0.2</f>
        <v>-220002.9024192</v>
      </c>
      <c r="E54" s="184" t="n">
        <f aca="false">-(E64+E67+E68+E71+E72+E73+E74)*0.2</f>
        <v>-98150.881468416</v>
      </c>
      <c r="F54" s="184" t="n">
        <f aca="false">-(F64+F67+F68+F71+F72+F73+F74)*0.2</f>
        <v>-97012.837243392</v>
      </c>
      <c r="G54" s="184" t="n">
        <f aca="false">-(G64+G67+G68+G71+G72+G73+G74)*0.2</f>
        <v>-95874.793018368</v>
      </c>
      <c r="H54" s="184" t="n">
        <f aca="false">-(H64+H67+H68+H71+H72+H73+H74)*0.2</f>
        <v>-94736.748793344</v>
      </c>
      <c r="I54" s="184" t="n">
        <f aca="false">-(I64+I67+I68+I71+I72+I73+I74)*0.2</f>
        <v>-93598.70456832</v>
      </c>
      <c r="J54" s="184" t="n">
        <f aca="false">-(J64+J67+J68+J71+J72+J73+J74)*0.2</f>
        <v>-92460.660343296</v>
      </c>
      <c r="K54" s="184" t="n">
        <f aca="false">-(K64+K67+K68+K71+K72+K73+K74)*0.2</f>
        <v>-91322.616118272</v>
      </c>
      <c r="L54" s="184" t="n">
        <f aca="false">-(L64+L67+L68+L71+L72+L73+L74)*0.2</f>
        <v>-90184.571893248</v>
      </c>
      <c r="M54" s="184" t="n">
        <f aca="false">-(M64+M67+M68+M71+M72+M73+M74)*0.2</f>
        <v>-89046.527668224</v>
      </c>
      <c r="N54" s="184" t="n">
        <f aca="false">-(N64+N67+N68+N71+N72+N73+N74)*0.2</f>
        <v>-96630.4834432</v>
      </c>
      <c r="O54" s="184" t="n">
        <f aca="false">-(O64+O67+O68+O71+O72+O73+O74)*0.2</f>
        <v>-95492.439218176</v>
      </c>
      <c r="P54" s="184" t="n">
        <f aca="false">-(P64+P67+P68+P71+P72+P73+P74)*0.2</f>
        <v>-94354.394993152</v>
      </c>
      <c r="Q54" s="184" t="n">
        <f aca="false">-(Q64+Q67+Q68+Q71+Q72+Q73+Q74)*0.2</f>
        <v>-93216.350768128</v>
      </c>
      <c r="R54" s="184" t="n">
        <f aca="false">-(R64+R67+R68+R71+R72+R73+R74)*0.2</f>
        <v>-92078.306543104</v>
      </c>
      <c r="S54" s="184" t="n">
        <f aca="false">-(S64+S67+S68+S71+S72+S73+S74)*0.2</f>
        <v>-90940.26231808</v>
      </c>
      <c r="T54" s="184" t="n">
        <f aca="false">-(T64+T67+T68+T71+T72+T73+T74)*0.2</f>
        <v>-89802.2180930559</v>
      </c>
      <c r="U54" s="184" t="n">
        <f aca="false">-(U64+U67+U68+U71+U72+U73+U74)*0.2</f>
        <v>-88664.173868032</v>
      </c>
      <c r="V54" s="184" t="n">
        <f aca="false">-(V64+V67+V68+V71+V72+V73+V74)*0.2</f>
        <v>-87526.129643008</v>
      </c>
      <c r="W54" s="184" t="n">
        <f aca="false">-(W64+W67+W68+W71+W72+W73+W74)*0.2</f>
        <v>-86388.085417984</v>
      </c>
      <c r="X54" s="175"/>
    </row>
    <row r="55" customFormat="false" ht="18.75" hidden="false" customHeight="true" outlineLevel="0" collapsed="false">
      <c r="B55" s="187" t="s">
        <v>67</v>
      </c>
      <c r="C55" s="188" t="n">
        <f aca="false">C44</f>
        <v>-13301050</v>
      </c>
      <c r="D55" s="189" t="n">
        <f aca="false">SUM(D41:D54)</f>
        <v>941494.226048</v>
      </c>
      <c r="E55" s="189" t="n">
        <f aca="false">SUM(E41:E54)</f>
        <v>1057656.02587366</v>
      </c>
      <c r="F55" s="189" t="n">
        <f aca="false">SUM(F41:F54)</f>
        <v>1053103.84897357</v>
      </c>
      <c r="G55" s="189" t="n">
        <f aca="false">SUM(G41:G54)</f>
        <v>1048551.67207347</v>
      </c>
      <c r="H55" s="189" t="n">
        <f aca="false">SUM(H41:H54)</f>
        <v>1043999.49517338</v>
      </c>
      <c r="I55" s="189" t="n">
        <f aca="false">SUM(I41:I54)</f>
        <v>1039447.31827328</v>
      </c>
      <c r="J55" s="189" t="n">
        <f aca="false">SUM(J41:J54)</f>
        <v>1034895.14137318</v>
      </c>
      <c r="K55" s="189" t="n">
        <f aca="false">SUM(K41:K54)</f>
        <v>1030342.96447309</v>
      </c>
      <c r="L55" s="189" t="n">
        <f aca="false">SUM(L41:L54)</f>
        <v>1025790.78757299</v>
      </c>
      <c r="M55" s="189" t="n">
        <f aca="false">SUM(M41:M54)</f>
        <v>1021238.6106729</v>
      </c>
      <c r="N55" s="189" t="n">
        <f aca="false">SUM(N41:N54)</f>
        <v>1051574.4337728</v>
      </c>
      <c r="O55" s="189" t="n">
        <f aca="false">SUM(O41:O54)</f>
        <v>1047022.2568727</v>
      </c>
      <c r="P55" s="189" t="n">
        <f aca="false">SUM(P41:P54)</f>
        <v>1042470.07997261</v>
      </c>
      <c r="Q55" s="189" t="n">
        <f aca="false">SUM(Q41:Q54)</f>
        <v>1037917.90307251</v>
      </c>
      <c r="R55" s="189" t="n">
        <f aca="false">SUM(R41:R54)</f>
        <v>1033365.72617242</v>
      </c>
      <c r="S55" s="189" t="n">
        <f aca="false">SUM(S41:S54)</f>
        <v>1028813.54927232</v>
      </c>
      <c r="T55" s="189" t="n">
        <f aca="false">SUM(T41:T54)</f>
        <v>1024261.37237222</v>
      </c>
      <c r="U55" s="189" t="n">
        <f aca="false">SUM(U41:U54)</f>
        <v>1019709.19547213</v>
      </c>
      <c r="V55" s="189" t="n">
        <f aca="false">SUM(V41:V54)</f>
        <v>1015157.01857203</v>
      </c>
      <c r="W55" s="189" t="n">
        <f aca="false">SUM(W41:W54)</f>
        <v>1010604.84167194</v>
      </c>
      <c r="X55" s="190"/>
      <c r="Y55" s="191"/>
      <c r="Z55" s="192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</row>
    <row r="56" customFormat="false" ht="18.75" hidden="false" customHeight="true" outlineLevel="0" collapsed="false">
      <c r="B56" s="193" t="s">
        <v>68</v>
      </c>
      <c r="D56" s="194" t="n">
        <f aca="false">C55+D55</f>
        <v>-12359555.773952</v>
      </c>
      <c r="E56" s="194" t="n">
        <f aca="false">D56+E55</f>
        <v>-11301899.7480783</v>
      </c>
      <c r="F56" s="194" t="n">
        <f aca="false">E56+F55</f>
        <v>-10248795.8991048</v>
      </c>
      <c r="G56" s="194" t="n">
        <f aca="false">F56+G55</f>
        <v>-9200244.22703129</v>
      </c>
      <c r="H56" s="194" t="n">
        <f aca="false">G56+H55</f>
        <v>-8156244.73185792</v>
      </c>
      <c r="I56" s="194" t="n">
        <f aca="false">H56+I55</f>
        <v>-7116797.41358464</v>
      </c>
      <c r="J56" s="194" t="n">
        <f aca="false">I56+J55</f>
        <v>-6081902.27221146</v>
      </c>
      <c r="K56" s="194" t="n">
        <f aca="false">J56+K55</f>
        <v>-5051559.30773837</v>
      </c>
      <c r="L56" s="194" t="n">
        <f aca="false">K56+L55</f>
        <v>-4025768.52016537</v>
      </c>
      <c r="M56" s="194" t="n">
        <f aca="false">L56+M55</f>
        <v>-3004529.90949248</v>
      </c>
      <c r="N56" s="194" t="n">
        <f aca="false">M56+N55</f>
        <v>-1952955.47571968</v>
      </c>
      <c r="O56" s="194" t="n">
        <f aca="false">N56+O55</f>
        <v>-905933.218846975</v>
      </c>
      <c r="P56" s="194" t="n">
        <f aca="false">O56+P55</f>
        <v>136536.861125633</v>
      </c>
      <c r="Q56" s="194" t="n">
        <f aca="false">P56+Q55</f>
        <v>1174454.76419815</v>
      </c>
      <c r="R56" s="194" t="n">
        <f aca="false">Q56+R55</f>
        <v>2207820.49037056</v>
      </c>
      <c r="S56" s="194" t="n">
        <f aca="false">R56+S55</f>
        <v>3236634.03964288</v>
      </c>
      <c r="T56" s="194" t="n">
        <f aca="false">S56+T55</f>
        <v>4260895.41201511</v>
      </c>
      <c r="U56" s="194" t="n">
        <f aca="false">T56+U55</f>
        <v>5280604.60748723</v>
      </c>
      <c r="V56" s="194" t="n">
        <f aca="false">U56+V55</f>
        <v>6295761.62605926</v>
      </c>
      <c r="W56" s="194" t="n">
        <f aca="false">V56+W55</f>
        <v>7306366.4677312</v>
      </c>
      <c r="X56" s="194" t="n">
        <f aca="false">W56+X55</f>
        <v>7306366.4677312</v>
      </c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</row>
    <row r="57" customFormat="false" ht="18.75" hidden="false" customHeight="true" outlineLevel="0" collapsed="false">
      <c r="B57" s="195" t="s">
        <v>74</v>
      </c>
      <c r="C57" s="196"/>
      <c r="D57" s="197" t="str">
        <f aca="false">IF((D56)&gt;0,"回收","未回收")</f>
        <v>未回收</v>
      </c>
      <c r="E57" s="198" t="str">
        <f aca="false">IF((E56)&gt;0,"回收","未回收")</f>
        <v>未回收</v>
      </c>
      <c r="F57" s="198" t="str">
        <f aca="false">IF((F56)&gt;0,"回收","未回收")</f>
        <v>未回收</v>
      </c>
      <c r="G57" s="198" t="str">
        <f aca="false">IF((G56)&gt;0,"回收","未回收")</f>
        <v>未回收</v>
      </c>
      <c r="H57" s="198" t="str">
        <f aca="false">IF((H56)&gt;0,"回收","未回收")</f>
        <v>未回收</v>
      </c>
      <c r="I57" s="198" t="str">
        <f aca="false">IF((I56)&gt;0,"回收","未回收")</f>
        <v>未回收</v>
      </c>
      <c r="J57" s="198" t="str">
        <f aca="false">IF((J56)&gt;0,"回收","未回收")</f>
        <v>未回收</v>
      </c>
      <c r="K57" s="198" t="str">
        <f aca="false">IF((K56)&gt;0,"回收","未回收")</f>
        <v>未回收</v>
      </c>
      <c r="L57" s="198" t="str">
        <f aca="false">IF((L56)&gt;0,"回收","未回收")</f>
        <v>未回收</v>
      </c>
      <c r="M57" s="198" t="str">
        <f aca="false">IF((M56)&gt;0,"回收","未回收")</f>
        <v>未回收</v>
      </c>
      <c r="N57" s="198" t="str">
        <f aca="false">IF((N56)&gt;0,"回收","未回收")</f>
        <v>未回收</v>
      </c>
      <c r="O57" s="198" t="str">
        <f aca="false">IF((O56)&gt;0,"回收","未回收")</f>
        <v>未回收</v>
      </c>
      <c r="P57" s="198" t="str">
        <f aca="false">IF((P56)&gt;0,"回收","未回收")</f>
        <v>回收</v>
      </c>
      <c r="Q57" s="198" t="str">
        <f aca="false">IF((Q56)&gt;0,"回收","未回收")</f>
        <v>回收</v>
      </c>
      <c r="R57" s="198" t="str">
        <f aca="false">IF((R56)&gt;0,"回收","未回收")</f>
        <v>回收</v>
      </c>
      <c r="S57" s="198" t="str">
        <f aca="false">IF((S56)&gt;0,"回收","未回收")</f>
        <v>回收</v>
      </c>
      <c r="T57" s="198" t="str">
        <f aca="false">IF((T56)&gt;0,"回收","未回收")</f>
        <v>回收</v>
      </c>
      <c r="U57" s="198" t="str">
        <f aca="false">IF((U56)&gt;0,"回收","未回收")</f>
        <v>回收</v>
      </c>
      <c r="V57" s="198" t="str">
        <f aca="false">IF((V56)&gt;0,"回收","未回收")</f>
        <v>回收</v>
      </c>
      <c r="W57" s="198" t="str">
        <f aca="false">IF((W56)&gt;0,"回收","未回收")</f>
        <v>回收</v>
      </c>
      <c r="X57" s="198" t="str">
        <f aca="false">IF((X56)&gt;0,"回收","未回收")</f>
        <v>回收</v>
      </c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</row>
    <row r="58" customFormat="false" ht="18.75" hidden="false" customHeight="true" outlineLevel="0" collapsed="false">
      <c r="B58" s="199" t="s">
        <v>93</v>
      </c>
      <c r="C58" s="200" t="n">
        <f aca="false">IRR(C55:W55)</f>
        <v>0.0458768948271867</v>
      </c>
      <c r="D58" s="201"/>
      <c r="E58" s="201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customFormat="false" ht="18.75" hidden="false" customHeight="true" outlineLevel="0" collapsed="false">
      <c r="B59" s="202"/>
      <c r="C59" s="201"/>
      <c r="D59" s="201"/>
      <c r="E59" s="201"/>
      <c r="F59" s="202"/>
      <c r="G59" s="202"/>
      <c r="H59" s="202"/>
      <c r="I59" s="202"/>
      <c r="J59" s="202"/>
      <c r="K59" s="202"/>
      <c r="L59" s="202"/>
      <c r="M59" s="201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customFormat="false" ht="18.75" hidden="false" customHeight="true" outlineLevel="0" collapsed="false">
      <c r="B60" s="97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54" t="n">
        <v>0</v>
      </c>
      <c r="C61" s="155"/>
      <c r="D61" s="156"/>
      <c r="E61" s="156"/>
      <c r="F61" s="157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204" t="s">
        <v>50</v>
      </c>
      <c r="U61" s="158"/>
      <c r="V61" s="158"/>
      <c r="W61" s="158"/>
      <c r="X61" s="160"/>
    </row>
    <row r="62" customFormat="false" ht="18.75" hidden="false" customHeight="true" outlineLevel="0" collapsed="false">
      <c r="B62" s="161" t="s">
        <v>51</v>
      </c>
      <c r="C62" s="162" t="n">
        <v>0</v>
      </c>
      <c r="D62" s="163" t="n">
        <v>1</v>
      </c>
      <c r="E62" s="163" t="n">
        <v>2</v>
      </c>
      <c r="F62" s="163" t="n">
        <v>3</v>
      </c>
      <c r="G62" s="163" t="n">
        <v>4</v>
      </c>
      <c r="H62" s="163" t="n">
        <v>5</v>
      </c>
      <c r="I62" s="163" t="n">
        <v>6</v>
      </c>
      <c r="J62" s="163" t="n">
        <v>7</v>
      </c>
      <c r="K62" s="163" t="n">
        <v>8</v>
      </c>
      <c r="L62" s="163" t="n">
        <v>9</v>
      </c>
      <c r="M62" s="163" t="n">
        <v>10</v>
      </c>
      <c r="N62" s="163" t="n">
        <v>11</v>
      </c>
      <c r="O62" s="163" t="n">
        <v>12</v>
      </c>
      <c r="P62" s="163" t="n">
        <v>13</v>
      </c>
      <c r="Q62" s="163" t="n">
        <v>14</v>
      </c>
      <c r="R62" s="163" t="n">
        <v>15</v>
      </c>
      <c r="S62" s="163" t="n">
        <v>16</v>
      </c>
      <c r="T62" s="205" t="n">
        <v>17</v>
      </c>
      <c r="U62" s="163" t="n">
        <v>18</v>
      </c>
      <c r="V62" s="163" t="n">
        <v>19</v>
      </c>
      <c r="W62" s="163" t="n">
        <v>20</v>
      </c>
      <c r="X62" s="47"/>
    </row>
    <row r="63" customFormat="false" ht="18.75" hidden="false" customHeight="true" outlineLevel="0" collapsed="false">
      <c r="B63" s="165" t="s">
        <v>52</v>
      </c>
      <c r="C63" s="166" t="n">
        <v>0</v>
      </c>
      <c r="D63" s="167" t="n">
        <f aca="false">D40</f>
        <v>541531.98</v>
      </c>
      <c r="E63" s="167" t="n">
        <f aca="false">E40</f>
        <v>539343.972</v>
      </c>
      <c r="F63" s="167" t="n">
        <f aca="false">F40</f>
        <v>537155.964</v>
      </c>
      <c r="G63" s="167" t="n">
        <f aca="false">G40</f>
        <v>534967.956</v>
      </c>
      <c r="H63" s="167" t="n">
        <f aca="false">H40</f>
        <v>532779.948</v>
      </c>
      <c r="I63" s="167" t="n">
        <f aca="false">I40</f>
        <v>530591.94</v>
      </c>
      <c r="J63" s="167" t="n">
        <f aca="false">J40</f>
        <v>528403.932</v>
      </c>
      <c r="K63" s="167" t="n">
        <f aca="false">K40</f>
        <v>526215.924</v>
      </c>
      <c r="L63" s="167" t="n">
        <f aca="false">L40</f>
        <v>524027.916</v>
      </c>
      <c r="M63" s="167" t="n">
        <f aca="false">M40</f>
        <v>521839.908</v>
      </c>
      <c r="N63" s="167" t="n">
        <f aca="false">N40</f>
        <v>519651.9</v>
      </c>
      <c r="O63" s="167" t="n">
        <f aca="false">O40</f>
        <v>517463.892</v>
      </c>
      <c r="P63" s="167" t="n">
        <f aca="false">P40</f>
        <v>515275.884</v>
      </c>
      <c r="Q63" s="167" t="n">
        <f aca="false">Q40</f>
        <v>513087.876</v>
      </c>
      <c r="R63" s="167" t="n">
        <f aca="false">R40</f>
        <v>510899.868</v>
      </c>
      <c r="S63" s="167" t="n">
        <f aca="false">S40</f>
        <v>508711.86</v>
      </c>
      <c r="T63" s="167" t="n">
        <f aca="false">T40</f>
        <v>506523.852</v>
      </c>
      <c r="U63" s="167" t="n">
        <f aca="false">U40</f>
        <v>504335.844</v>
      </c>
      <c r="V63" s="167" t="n">
        <f aca="false">V40</f>
        <v>502147.836</v>
      </c>
      <c r="W63" s="167" t="n">
        <f aca="false">W40</f>
        <v>499959.828</v>
      </c>
      <c r="X63" s="168"/>
    </row>
    <row r="64" customFormat="false" ht="18.75" hidden="false" customHeight="true" outlineLevel="0" collapsed="false">
      <c r="B64" s="169" t="s">
        <v>53</v>
      </c>
      <c r="C64" s="170" t="s">
        <v>3</v>
      </c>
      <c r="D64" s="171" t="n">
        <f aca="false">D41</f>
        <v>2011899.612096</v>
      </c>
      <c r="E64" s="171" t="n">
        <f aca="false">E41</f>
        <v>2003770.7247744</v>
      </c>
      <c r="F64" s="171" t="n">
        <f aca="false">F41</f>
        <v>1995641.8374528</v>
      </c>
      <c r="G64" s="171" t="n">
        <f aca="false">G41</f>
        <v>1987512.9501312</v>
      </c>
      <c r="H64" s="171" t="n">
        <f aca="false">H41</f>
        <v>1979384.0628096</v>
      </c>
      <c r="I64" s="171" t="n">
        <f aca="false">I41</f>
        <v>1971255.175488</v>
      </c>
      <c r="J64" s="171" t="n">
        <f aca="false">J41</f>
        <v>1963126.2881664</v>
      </c>
      <c r="K64" s="171" t="n">
        <f aca="false">K41</f>
        <v>1954997.4008448</v>
      </c>
      <c r="L64" s="171" t="n">
        <f aca="false">L41</f>
        <v>1946868.5135232</v>
      </c>
      <c r="M64" s="171" t="n">
        <f aca="false">M41</f>
        <v>1938739.6262016</v>
      </c>
      <c r="N64" s="171" t="n">
        <f aca="false">N41</f>
        <v>1930610.73888</v>
      </c>
      <c r="O64" s="171" t="n">
        <f aca="false">O41</f>
        <v>1922481.8515584</v>
      </c>
      <c r="P64" s="171" t="n">
        <f aca="false">P41</f>
        <v>1914352.9642368</v>
      </c>
      <c r="Q64" s="171" t="n">
        <f aca="false">Q41</f>
        <v>1906224.0769152</v>
      </c>
      <c r="R64" s="171" t="n">
        <f aca="false">R41</f>
        <v>1898095.1895936</v>
      </c>
      <c r="S64" s="171" t="n">
        <f aca="false">S41</f>
        <v>1889966.302272</v>
      </c>
      <c r="T64" s="171" t="n">
        <f aca="false">T41</f>
        <v>1881837.4149504</v>
      </c>
      <c r="U64" s="171" t="n">
        <f aca="false">U41</f>
        <v>1873708.5276288</v>
      </c>
      <c r="V64" s="171" t="n">
        <f aca="false">V41</f>
        <v>1865579.6403072</v>
      </c>
      <c r="W64" s="171" t="n">
        <f aca="false">W41</f>
        <v>1857450.7529856</v>
      </c>
      <c r="X64" s="172"/>
    </row>
    <row r="65" customFormat="false" ht="18.75" hidden="false" customHeight="true" outlineLevel="0" collapsed="false">
      <c r="B65" s="173" t="s">
        <v>54</v>
      </c>
      <c r="C65" s="174" t="s">
        <v>3</v>
      </c>
      <c r="D65" s="175"/>
      <c r="E65" s="175"/>
      <c r="F65" s="175"/>
      <c r="G65" s="176" t="s">
        <v>3</v>
      </c>
      <c r="H65" s="176" t="s">
        <v>3</v>
      </c>
      <c r="I65" s="176" t="s">
        <v>3</v>
      </c>
      <c r="J65" s="176" t="s">
        <v>3</v>
      </c>
      <c r="K65" s="176" t="s">
        <v>3</v>
      </c>
      <c r="L65" s="176" t="s">
        <v>3</v>
      </c>
      <c r="M65" s="176" t="s">
        <v>3</v>
      </c>
      <c r="N65" s="176" t="s">
        <v>3</v>
      </c>
      <c r="O65" s="176" t="s">
        <v>3</v>
      </c>
      <c r="P65" s="176" t="s">
        <v>3</v>
      </c>
      <c r="Q65" s="176" t="s">
        <v>3</v>
      </c>
      <c r="R65" s="176" t="s">
        <v>3</v>
      </c>
      <c r="S65" s="176" t="s">
        <v>3</v>
      </c>
      <c r="T65" s="176" t="s">
        <v>3</v>
      </c>
      <c r="U65" s="176" t="s">
        <v>3</v>
      </c>
      <c r="V65" s="176" t="s">
        <v>3</v>
      </c>
      <c r="W65" s="176" t="s">
        <v>3</v>
      </c>
      <c r="X65" s="177"/>
    </row>
    <row r="66" customFormat="false" ht="18.75" hidden="false" customHeight="true" outlineLevel="0" collapsed="false">
      <c r="B66" s="178" t="s">
        <v>55</v>
      </c>
      <c r="C66" s="179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1"/>
    </row>
    <row r="67" customFormat="false" ht="18.75" hidden="false" customHeight="true" outlineLevel="0" collapsed="false">
      <c r="B67" s="182" t="s">
        <v>151</v>
      </c>
      <c r="C67" s="174"/>
      <c r="D67" s="206" t="n">
        <f aca="false">$C$44/$E$16</f>
        <v>-665052.5</v>
      </c>
      <c r="E67" s="206" t="n">
        <f aca="false">$C$44/$E$16</f>
        <v>-665052.5</v>
      </c>
      <c r="F67" s="206" t="n">
        <f aca="false">$C$44/$E$16</f>
        <v>-665052.5</v>
      </c>
      <c r="G67" s="206" t="n">
        <f aca="false">$C$44/$E$16</f>
        <v>-665052.5</v>
      </c>
      <c r="H67" s="206" t="n">
        <f aca="false">$C$44/$E$16</f>
        <v>-665052.5</v>
      </c>
      <c r="I67" s="206" t="n">
        <f aca="false">$C$44/$E$16</f>
        <v>-665052.5</v>
      </c>
      <c r="J67" s="206" t="n">
        <f aca="false">$C$44/$E$16</f>
        <v>-665052.5</v>
      </c>
      <c r="K67" s="206" t="n">
        <f aca="false">$C$44/$E$16</f>
        <v>-665052.5</v>
      </c>
      <c r="L67" s="206" t="n">
        <f aca="false">$C$44/$E$16</f>
        <v>-665052.5</v>
      </c>
      <c r="M67" s="206" t="n">
        <f aca="false">$C$44/$E$16</f>
        <v>-665052.5</v>
      </c>
      <c r="N67" s="206" t="n">
        <f aca="false">$C$44/$E$16</f>
        <v>-665052.5</v>
      </c>
      <c r="O67" s="206" t="n">
        <f aca="false">$C$44/$E$16</f>
        <v>-665052.5</v>
      </c>
      <c r="P67" s="206" t="n">
        <f aca="false">$C$44/$E$16</f>
        <v>-665052.5</v>
      </c>
      <c r="Q67" s="206" t="n">
        <f aca="false">$C$44/$E$16</f>
        <v>-665052.5</v>
      </c>
      <c r="R67" s="206" t="n">
        <f aca="false">$C$44/$E$16</f>
        <v>-665052.5</v>
      </c>
      <c r="S67" s="206" t="n">
        <f aca="false">$C$44/$E$16</f>
        <v>-665052.5</v>
      </c>
      <c r="T67" s="206" t="n">
        <f aca="false">$C$44/$E$16</f>
        <v>-665052.5</v>
      </c>
      <c r="U67" s="206" t="n">
        <f aca="false">$C$44/$E$16</f>
        <v>-665052.5</v>
      </c>
      <c r="V67" s="206" t="n">
        <f aca="false">$C$44/$E$16</f>
        <v>-665052.5</v>
      </c>
      <c r="W67" s="206" t="n">
        <f aca="false">$C$44/$E$16</f>
        <v>-665052.5</v>
      </c>
      <c r="X67" s="177"/>
    </row>
    <row r="68" customFormat="false" ht="18.75" hidden="false" customHeight="true" outlineLevel="0" collapsed="false">
      <c r="B68" s="182" t="s">
        <v>57</v>
      </c>
      <c r="C68" s="174" t="s">
        <v>3</v>
      </c>
      <c r="D68" s="184" t="n">
        <f aca="false">D44</f>
        <v>0</v>
      </c>
      <c r="E68" s="184" t="n">
        <f aca="false">E45</f>
        <v>-601131.21743232</v>
      </c>
      <c r="F68" s="184" t="n">
        <f aca="false">F45</f>
        <v>-598692.55123584</v>
      </c>
      <c r="G68" s="184" t="n">
        <f aca="false">G45</f>
        <v>-596253.88503936</v>
      </c>
      <c r="H68" s="184" t="n">
        <f aca="false">H45</f>
        <v>-593815.21884288</v>
      </c>
      <c r="I68" s="184" t="n">
        <f aca="false">I45</f>
        <v>-591376.5526464</v>
      </c>
      <c r="J68" s="184" t="n">
        <f aca="false">J45</f>
        <v>-588937.88644992</v>
      </c>
      <c r="K68" s="184" t="n">
        <f aca="false">K45</f>
        <v>-586499.22025344</v>
      </c>
      <c r="L68" s="184" t="n">
        <f aca="false">L45</f>
        <v>-584060.55405696</v>
      </c>
      <c r="M68" s="184" t="n">
        <f aca="false">M45</f>
        <v>-581621.88786048</v>
      </c>
      <c r="N68" s="184" t="n">
        <f aca="false">N45</f>
        <v>-579183.221664</v>
      </c>
      <c r="O68" s="184" t="n">
        <f aca="false">O45</f>
        <v>-576744.55546752</v>
      </c>
      <c r="P68" s="184" t="n">
        <f aca="false">P45</f>
        <v>-574305.88927104</v>
      </c>
      <c r="Q68" s="184" t="n">
        <f aca="false">Q45</f>
        <v>-571867.22307456</v>
      </c>
      <c r="R68" s="184" t="n">
        <f aca="false">R45</f>
        <v>-569428.55687808</v>
      </c>
      <c r="S68" s="184" t="n">
        <f aca="false">S45</f>
        <v>-566989.8906816</v>
      </c>
      <c r="T68" s="184" t="n">
        <f aca="false">T45</f>
        <v>-564551.22448512</v>
      </c>
      <c r="U68" s="184" t="n">
        <f aca="false">U45</f>
        <v>-562112.55828864</v>
      </c>
      <c r="V68" s="184" t="n">
        <f aca="false">V45</f>
        <v>-559673.89209216</v>
      </c>
      <c r="W68" s="184" t="n">
        <f aca="false">W45</f>
        <v>-557235.22589568</v>
      </c>
      <c r="X68" s="177"/>
    </row>
    <row r="69" customFormat="false" ht="18.75" hidden="false" customHeight="true" outlineLevel="0" collapsed="false">
      <c r="B69" s="182" t="s">
        <v>58</v>
      </c>
      <c r="C69" s="174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7"/>
    </row>
    <row r="70" customFormat="false" ht="18.75" hidden="false" customHeight="true" outlineLevel="0" collapsed="false">
      <c r="B70" s="182" t="s">
        <v>59</v>
      </c>
      <c r="C70" s="174" t="s">
        <v>3</v>
      </c>
      <c r="D70" s="184" t="n">
        <f aca="false">-D109*$D25</f>
        <v>-272352.2998</v>
      </c>
      <c r="E70" s="184" t="n">
        <f aca="false">-E109*$D25</f>
        <v>-254195.479813333</v>
      </c>
      <c r="F70" s="184" t="n">
        <f aca="false">-F109*$D25</f>
        <v>-236038.659826667</v>
      </c>
      <c r="G70" s="184" t="n">
        <f aca="false">-G109*$D25</f>
        <v>-217881.83984</v>
      </c>
      <c r="H70" s="184" t="n">
        <f aca="false">-H109*$D25</f>
        <v>-199725.019853333</v>
      </c>
      <c r="I70" s="184" t="n">
        <f aca="false">-I109*$D25</f>
        <v>-181568.199866667</v>
      </c>
      <c r="J70" s="184" t="n">
        <f aca="false">-J109*$D25</f>
        <v>-163411.37988</v>
      </c>
      <c r="K70" s="184" t="n">
        <f aca="false">-K109*$D25</f>
        <v>-145254.559893333</v>
      </c>
      <c r="L70" s="184" t="n">
        <f aca="false">-L109*$D25</f>
        <v>-127097.739906667</v>
      </c>
      <c r="M70" s="184" t="n">
        <f aca="false">-M109*$D25</f>
        <v>-108940.91992</v>
      </c>
      <c r="N70" s="184" t="n">
        <f aca="false">-N109*$D25</f>
        <v>-90784.0999333333</v>
      </c>
      <c r="O70" s="184" t="n">
        <f aca="false">-O109*$D25</f>
        <v>-72627.2799466667</v>
      </c>
      <c r="P70" s="184" t="n">
        <f aca="false">-P109*$D25</f>
        <v>-54470.45996</v>
      </c>
      <c r="Q70" s="184" t="n">
        <f aca="false">-Q109*$D25</f>
        <v>-36313.6399733333</v>
      </c>
      <c r="R70" s="184" t="n">
        <f aca="false">-R109*$D25</f>
        <v>-18156.8199866667</v>
      </c>
      <c r="S70" s="184" t="n">
        <f aca="false">-S109*$D25</f>
        <v>-0</v>
      </c>
      <c r="T70" s="184" t="n">
        <f aca="false">-T109*$D25</f>
        <v>-0</v>
      </c>
      <c r="U70" s="184" t="n">
        <f aca="false">-U109*$D25</f>
        <v>-0</v>
      </c>
      <c r="V70" s="184" t="n">
        <f aca="false">-V109*$D25</f>
        <v>-0</v>
      </c>
      <c r="W70" s="184" t="n">
        <f aca="false">-W109*$D25</f>
        <v>-0</v>
      </c>
      <c r="X70" s="177"/>
    </row>
    <row r="71" customFormat="false" ht="18.75" hidden="false" customHeight="true" outlineLevel="0" collapsed="false">
      <c r="B71" s="182" t="s">
        <v>60</v>
      </c>
      <c r="C71" s="174" t="s">
        <v>3</v>
      </c>
      <c r="D71" s="184" t="n">
        <f aca="false">D48</f>
        <v>-174440</v>
      </c>
      <c r="E71" s="184" t="n">
        <f aca="false">E48</f>
        <v>-174440</v>
      </c>
      <c r="F71" s="184" t="n">
        <f aca="false">F48</f>
        <v>-174440</v>
      </c>
      <c r="G71" s="184" t="n">
        <f aca="false">G48</f>
        <v>-174440</v>
      </c>
      <c r="H71" s="184" t="n">
        <f aca="false">H48</f>
        <v>-174440</v>
      </c>
      <c r="I71" s="184" t="n">
        <f aca="false">I48</f>
        <v>-174440</v>
      </c>
      <c r="J71" s="184" t="n">
        <f aca="false">J48</f>
        <v>-174440</v>
      </c>
      <c r="K71" s="184" t="n">
        <f aca="false">K48</f>
        <v>-174440</v>
      </c>
      <c r="L71" s="184" t="n">
        <f aca="false">L48</f>
        <v>-174440</v>
      </c>
      <c r="M71" s="184" t="n">
        <f aca="false">M48</f>
        <v>-174440</v>
      </c>
      <c r="N71" s="184" t="n">
        <f aca="false">N48</f>
        <v>-174440</v>
      </c>
      <c r="O71" s="184" t="n">
        <f aca="false">O48</f>
        <v>-174440</v>
      </c>
      <c r="P71" s="184" t="n">
        <f aca="false">P48</f>
        <v>-174440</v>
      </c>
      <c r="Q71" s="184" t="n">
        <f aca="false">Q48</f>
        <v>-174440</v>
      </c>
      <c r="R71" s="184" t="n">
        <f aca="false">R48</f>
        <v>-174440</v>
      </c>
      <c r="S71" s="184" t="n">
        <f aca="false">S48</f>
        <v>-174440</v>
      </c>
      <c r="T71" s="184" t="n">
        <f aca="false">T48</f>
        <v>-174440</v>
      </c>
      <c r="U71" s="184" t="n">
        <f aca="false">U48</f>
        <v>-174440</v>
      </c>
      <c r="V71" s="184" t="n">
        <f aca="false">V48</f>
        <v>-174440</v>
      </c>
      <c r="W71" s="184" t="n">
        <f aca="false">W48</f>
        <v>-174440</v>
      </c>
      <c r="X71" s="177"/>
    </row>
    <row r="72" customFormat="false" ht="18.75" hidden="false" customHeight="true" outlineLevel="0" collapsed="false">
      <c r="B72" s="182" t="s">
        <v>61</v>
      </c>
      <c r="C72" s="174" t="s">
        <v>3</v>
      </c>
      <c r="D72" s="184" t="n">
        <f aca="false">D49</f>
        <v>-28782.6</v>
      </c>
      <c r="E72" s="184" t="n">
        <f aca="false">E49</f>
        <v>-28782.6</v>
      </c>
      <c r="F72" s="184" t="n">
        <f aca="false">F49</f>
        <v>-28782.6</v>
      </c>
      <c r="G72" s="184" t="n">
        <f aca="false">G49</f>
        <v>-28782.6</v>
      </c>
      <c r="H72" s="184" t="n">
        <f aca="false">H49</f>
        <v>-28782.6</v>
      </c>
      <c r="I72" s="184" t="n">
        <f aca="false">I49</f>
        <v>-28782.6</v>
      </c>
      <c r="J72" s="184" t="n">
        <f aca="false">J49</f>
        <v>-28782.6</v>
      </c>
      <c r="K72" s="184" t="n">
        <f aca="false">K49</f>
        <v>-28782.6</v>
      </c>
      <c r="L72" s="184" t="n">
        <f aca="false">L49</f>
        <v>-28782.6</v>
      </c>
      <c r="M72" s="184" t="n">
        <f aca="false">M49</f>
        <v>-28782.6</v>
      </c>
      <c r="N72" s="184" t="n">
        <f aca="false">N49</f>
        <v>-28782.6</v>
      </c>
      <c r="O72" s="184" t="n">
        <f aca="false">O49</f>
        <v>-28782.6</v>
      </c>
      <c r="P72" s="184" t="n">
        <f aca="false">P49</f>
        <v>-28782.6</v>
      </c>
      <c r="Q72" s="184" t="n">
        <f aca="false">Q49</f>
        <v>-28782.6</v>
      </c>
      <c r="R72" s="184" t="n">
        <f aca="false">R49</f>
        <v>-28782.6</v>
      </c>
      <c r="S72" s="184" t="n">
        <f aca="false">S49</f>
        <v>-28782.6</v>
      </c>
      <c r="T72" s="184" t="n">
        <f aca="false">T49</f>
        <v>-28782.6</v>
      </c>
      <c r="U72" s="184" t="n">
        <f aca="false">U49</f>
        <v>-28782.6</v>
      </c>
      <c r="V72" s="184" t="n">
        <f aca="false">V49</f>
        <v>-28782.6</v>
      </c>
      <c r="W72" s="184" t="n">
        <f aca="false">W49</f>
        <v>-28782.6</v>
      </c>
      <c r="X72" s="177"/>
    </row>
    <row r="73" customFormat="false" ht="18.75" hidden="false" customHeight="true" outlineLevel="0" collapsed="false">
      <c r="B73" s="182" t="s">
        <v>62</v>
      </c>
      <c r="C73" s="174"/>
      <c r="D73" s="184" t="n">
        <f aca="false">D50</f>
        <v>-43610</v>
      </c>
      <c r="E73" s="184" t="n">
        <f aca="false">E50</f>
        <v>-43610</v>
      </c>
      <c r="F73" s="184" t="n">
        <f aca="false">F50</f>
        <v>-43610</v>
      </c>
      <c r="G73" s="184" t="n">
        <f aca="false">G50</f>
        <v>-43610</v>
      </c>
      <c r="H73" s="184" t="n">
        <f aca="false">H50</f>
        <v>-43610</v>
      </c>
      <c r="I73" s="184" t="n">
        <f aca="false">I50</f>
        <v>-43610</v>
      </c>
      <c r="J73" s="184" t="n">
        <f aca="false">J50</f>
        <v>-43610</v>
      </c>
      <c r="K73" s="184" t="n">
        <f aca="false">K50</f>
        <v>-43610</v>
      </c>
      <c r="L73" s="184" t="n">
        <f aca="false">L50</f>
        <v>-43610</v>
      </c>
      <c r="M73" s="184" t="n">
        <f aca="false">M50</f>
        <v>-43610</v>
      </c>
      <c r="N73" s="184" t="n">
        <f aca="false">N50</f>
        <v>0</v>
      </c>
      <c r="O73" s="184" t="n">
        <f aca="false">O50</f>
        <v>0</v>
      </c>
      <c r="P73" s="184" t="n">
        <f aca="false">P50</f>
        <v>0</v>
      </c>
      <c r="Q73" s="184" t="n">
        <f aca="false">Q50</f>
        <v>0</v>
      </c>
      <c r="R73" s="184" t="n">
        <f aca="false">R50</f>
        <v>0</v>
      </c>
      <c r="S73" s="184" t="n">
        <f aca="false">S50</f>
        <v>0</v>
      </c>
      <c r="T73" s="184" t="n">
        <f aca="false">T50</f>
        <v>0</v>
      </c>
      <c r="U73" s="184" t="n">
        <f aca="false">U50</f>
        <v>0</v>
      </c>
      <c r="V73" s="184" t="n">
        <f aca="false">V50</f>
        <v>0</v>
      </c>
      <c r="W73" s="184" t="n">
        <f aca="false">W50</f>
        <v>0</v>
      </c>
      <c r="X73" s="177"/>
    </row>
    <row r="74" customFormat="false" ht="18.75" hidden="false" customHeight="true" outlineLevel="0" collapsed="false">
      <c r="B74" s="182" t="s">
        <v>63</v>
      </c>
      <c r="C74" s="185"/>
      <c r="D74" s="207"/>
      <c r="E74" s="208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7"/>
    </row>
    <row r="75" customFormat="false" ht="18.75" hidden="false" customHeight="true" outlineLevel="0" collapsed="false">
      <c r="B75" s="182" t="s">
        <v>64</v>
      </c>
      <c r="C75" s="18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7"/>
    </row>
    <row r="76" customFormat="false" ht="18.75" hidden="false" customHeight="true" outlineLevel="0" collapsed="false">
      <c r="B76" s="187" t="s">
        <v>152</v>
      </c>
      <c r="C76" s="209"/>
      <c r="D76" s="189" t="n">
        <f aca="false">SUM(D64:D75)</f>
        <v>827662.212296</v>
      </c>
      <c r="E76" s="189" t="n">
        <f aca="false">SUM(E64:E75)</f>
        <v>236558.927528746</v>
      </c>
      <c r="F76" s="189" t="n">
        <f aca="false">SUM(F64:F75)</f>
        <v>249025.526390293</v>
      </c>
      <c r="G76" s="189" t="n">
        <f aca="false">SUM(G64:G75)</f>
        <v>261492.12525184</v>
      </c>
      <c r="H76" s="189" t="n">
        <f aca="false">SUM(H64:H75)</f>
        <v>273958.724113387</v>
      </c>
      <c r="I76" s="189" t="n">
        <f aca="false">SUM(I64:I75)</f>
        <v>286425.322974933</v>
      </c>
      <c r="J76" s="189" t="n">
        <f aca="false">SUM(J64:J75)</f>
        <v>298891.92183648</v>
      </c>
      <c r="K76" s="189" t="n">
        <f aca="false">SUM(K64:K75)</f>
        <v>311358.520698027</v>
      </c>
      <c r="L76" s="189" t="n">
        <f aca="false">SUM(L64:L75)</f>
        <v>323825.119559573</v>
      </c>
      <c r="M76" s="189" t="n">
        <f aca="false">SUM(M64:M75)</f>
        <v>336291.71842112</v>
      </c>
      <c r="N76" s="189" t="n">
        <f aca="false">SUM(N64:N75)</f>
        <v>392368.317282667</v>
      </c>
      <c r="O76" s="189" t="n">
        <f aca="false">SUM(O64:O75)</f>
        <v>404834.916144213</v>
      </c>
      <c r="P76" s="189" t="n">
        <f aca="false">SUM(P64:P75)</f>
        <v>417301.51500576</v>
      </c>
      <c r="Q76" s="189" t="n">
        <f aca="false">SUM(Q64:Q75)</f>
        <v>429768.113867307</v>
      </c>
      <c r="R76" s="189" t="n">
        <f aca="false">SUM(R64:R75)</f>
        <v>442234.712728853</v>
      </c>
      <c r="S76" s="189" t="n">
        <f aca="false">SUM(S64:S75)</f>
        <v>454701.3115904</v>
      </c>
      <c r="T76" s="189" t="n">
        <f aca="false">SUM(T64:T75)</f>
        <v>449011.09046528</v>
      </c>
      <c r="U76" s="189" t="n">
        <f aca="false">SUM(U64:U75)</f>
        <v>443320.86934016</v>
      </c>
      <c r="V76" s="189" t="n">
        <f aca="false">SUM(V64:V75)</f>
        <v>437630.64821504</v>
      </c>
      <c r="W76" s="189" t="n">
        <f aca="false">SUM(W64:W75)</f>
        <v>431940.42708992</v>
      </c>
      <c r="X76" s="189" t="n">
        <f aca="false">SUM(X64:X75)</f>
        <v>0</v>
      </c>
    </row>
    <row r="77" customFormat="false" ht="18.75" hidden="false" customHeight="true" outlineLevel="0" collapsed="false">
      <c r="B77" s="186" t="s">
        <v>66</v>
      </c>
      <c r="C77" s="185"/>
      <c r="D77" s="184" t="n">
        <f aca="false">-D76*0.2</f>
        <v>-165532.4424592</v>
      </c>
      <c r="E77" s="184" t="n">
        <f aca="false">-E76*0.2</f>
        <v>-47311.7855057493</v>
      </c>
      <c r="F77" s="184" t="n">
        <f aca="false">-F76*0.2</f>
        <v>-49805.1052780587</v>
      </c>
      <c r="G77" s="184" t="n">
        <f aca="false">-G76*0.2</f>
        <v>-52298.425050368</v>
      </c>
      <c r="H77" s="184" t="n">
        <f aca="false">-H76*0.2</f>
        <v>-54791.7448226773</v>
      </c>
      <c r="I77" s="184" t="n">
        <f aca="false">-I76*0.2</f>
        <v>-57285.0645949866</v>
      </c>
      <c r="J77" s="184" t="n">
        <f aca="false">-J76*0.2</f>
        <v>-59778.384367296</v>
      </c>
      <c r="K77" s="184" t="n">
        <f aca="false">-K76*0.2</f>
        <v>-62271.7041396053</v>
      </c>
      <c r="L77" s="184" t="n">
        <f aca="false">-L76*0.2</f>
        <v>-64765.0239119146</v>
      </c>
      <c r="M77" s="184" t="n">
        <f aca="false">-M76*0.2</f>
        <v>-67258.343684224</v>
      </c>
      <c r="N77" s="184" t="n">
        <f aca="false">-N76*0.2</f>
        <v>-78473.6634565333</v>
      </c>
      <c r="O77" s="184" t="n">
        <f aca="false">-O76*0.2</f>
        <v>-80966.9832288426</v>
      </c>
      <c r="P77" s="184" t="n">
        <f aca="false">-P76*0.2</f>
        <v>-83460.303001152</v>
      </c>
      <c r="Q77" s="184" t="n">
        <f aca="false">-Q76*0.2</f>
        <v>-85953.6227734613</v>
      </c>
      <c r="R77" s="184" t="n">
        <f aca="false">-R76*0.2</f>
        <v>-88446.9425457707</v>
      </c>
      <c r="S77" s="184" t="n">
        <f aca="false">-S76*0.2</f>
        <v>-90940.26231808</v>
      </c>
      <c r="T77" s="184" t="n">
        <f aca="false">-T76*0.2</f>
        <v>-89802.2180930559</v>
      </c>
      <c r="U77" s="184" t="n">
        <f aca="false">-U76*0.2</f>
        <v>-88664.173868032</v>
      </c>
      <c r="V77" s="184" t="n">
        <f aca="false">-V76*0.2</f>
        <v>-87526.129643008</v>
      </c>
      <c r="W77" s="184" t="n">
        <f aca="false">-W76*0.2</f>
        <v>-86388.085417984</v>
      </c>
      <c r="X77" s="184" t="n">
        <f aca="false">-X76*0.2</f>
        <v>-0</v>
      </c>
    </row>
    <row r="78" customFormat="false" ht="15.75" hidden="false" customHeight="true" outlineLevel="0" collapsed="false">
      <c r="B78" s="210" t="s">
        <v>76</v>
      </c>
      <c r="D78" s="184" t="n">
        <f aca="false">SUM(D76:D77)</f>
        <v>662129.7698368</v>
      </c>
      <c r="E78" s="184" t="n">
        <f aca="false">SUM(E76:E77)</f>
        <v>189247.142022997</v>
      </c>
      <c r="F78" s="184" t="n">
        <f aca="false">SUM(F76:F77)</f>
        <v>199220.421112235</v>
      </c>
      <c r="G78" s="184" t="n">
        <f aca="false">SUM(G76:G77)</f>
        <v>209193.700201472</v>
      </c>
      <c r="H78" s="184" t="n">
        <f aca="false">SUM(H76:H77)</f>
        <v>219166.979290709</v>
      </c>
      <c r="I78" s="184" t="n">
        <f aca="false">SUM(I76:I77)</f>
        <v>229140.258379947</v>
      </c>
      <c r="J78" s="184" t="n">
        <f aca="false">SUM(J76:J77)</f>
        <v>239113.537469184</v>
      </c>
      <c r="K78" s="184" t="n">
        <f aca="false">SUM(K76:K77)</f>
        <v>249086.816558421</v>
      </c>
      <c r="L78" s="184" t="n">
        <f aca="false">SUM(L76:L77)</f>
        <v>259060.095647659</v>
      </c>
      <c r="M78" s="184" t="n">
        <f aca="false">SUM(M76:M77)</f>
        <v>269033.374736896</v>
      </c>
      <c r="N78" s="184" t="n">
        <f aca="false">SUM(N76:N77)</f>
        <v>313894.653826133</v>
      </c>
      <c r="O78" s="184" t="n">
        <f aca="false">SUM(O76:O77)</f>
        <v>323867.932915371</v>
      </c>
      <c r="P78" s="184" t="n">
        <f aca="false">SUM(P76:P77)</f>
        <v>333841.212004608</v>
      </c>
      <c r="Q78" s="184" t="n">
        <f aca="false">SUM(Q76:Q77)</f>
        <v>343814.491093845</v>
      </c>
      <c r="R78" s="184" t="n">
        <f aca="false">SUM(R76:R77)</f>
        <v>353787.770183083</v>
      </c>
      <c r="S78" s="184" t="n">
        <f aca="false">SUM(S76:S77)</f>
        <v>363761.04927232</v>
      </c>
      <c r="T78" s="184" t="n">
        <f aca="false">SUM(T76:T77)</f>
        <v>359208.872372224</v>
      </c>
      <c r="U78" s="184" t="n">
        <f aca="false">SUM(U76:U77)</f>
        <v>354656.695472128</v>
      </c>
      <c r="V78" s="184" t="n">
        <f aca="false">SUM(V76:V77)</f>
        <v>350104.518572032</v>
      </c>
      <c r="W78" s="184" t="n">
        <f aca="false">SUM(W76:W77)</f>
        <v>345552.341671936</v>
      </c>
      <c r="X78" s="184" t="n">
        <f aca="false">SUM(X76:X77)</f>
        <v>0</v>
      </c>
    </row>
    <row r="79" customFormat="false" ht="18.75" hidden="false" customHeight="true" outlineLevel="0" collapsed="false">
      <c r="B79" s="193" t="s">
        <v>68</v>
      </c>
      <c r="C79" s="196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2"/>
    </row>
    <row r="80" customFormat="false" ht="18.75" hidden="false" customHeight="true" outlineLevel="0" collapsed="false">
      <c r="B80" s="213" t="s">
        <v>74</v>
      </c>
      <c r="C80" s="214"/>
      <c r="D80" s="215"/>
      <c r="E80" s="215"/>
      <c r="F80" s="215"/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6"/>
    </row>
    <row r="81" customFormat="false" ht="18.75" hidden="false" customHeight="true" outlineLevel="0" collapsed="false">
      <c r="B81" s="202"/>
      <c r="C81" s="201"/>
      <c r="D81" s="201"/>
      <c r="E81" s="201"/>
      <c r="F81" s="202"/>
      <c r="G81" s="202"/>
      <c r="H81" s="202"/>
      <c r="I81" s="202"/>
      <c r="J81" s="202"/>
      <c r="K81" s="202"/>
      <c r="L81" s="202"/>
      <c r="M81" s="201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</row>
    <row r="82" customFormat="false" ht="18.75" hidden="false" customHeight="true" outlineLevel="0" collapsed="false">
      <c r="C82" s="217" t="s">
        <v>48</v>
      </c>
      <c r="D82" s="218" t="n">
        <f aca="false">D37</f>
        <v>2023</v>
      </c>
      <c r="E82" s="218" t="n">
        <f aca="false">E37</f>
        <v>2024</v>
      </c>
      <c r="F82" s="218" t="n">
        <f aca="false">F37</f>
        <v>2025</v>
      </c>
      <c r="G82" s="218" t="n">
        <f aca="false">G37</f>
        <v>2026</v>
      </c>
      <c r="H82" s="218" t="n">
        <f aca="false">H37</f>
        <v>2027</v>
      </c>
      <c r="I82" s="218" t="n">
        <f aca="false">I37</f>
        <v>2028</v>
      </c>
      <c r="J82" s="218" t="n">
        <f aca="false">J37</f>
        <v>2029</v>
      </c>
      <c r="K82" s="218" t="n">
        <f aca="false">K37</f>
        <v>2030</v>
      </c>
      <c r="L82" s="218" t="n">
        <f aca="false">L37</f>
        <v>2031</v>
      </c>
      <c r="M82" s="218" t="n">
        <f aca="false">M37</f>
        <v>2032</v>
      </c>
      <c r="N82" s="218" t="n">
        <f aca="false">N37</f>
        <v>2033</v>
      </c>
      <c r="O82" s="218" t="n">
        <f aca="false">O37</f>
        <v>2034</v>
      </c>
      <c r="P82" s="218" t="n">
        <f aca="false">P37</f>
        <v>2035</v>
      </c>
      <c r="Q82" s="218" t="n">
        <f aca="false">Q37</f>
        <v>2036</v>
      </c>
      <c r="R82" s="218" t="n">
        <f aca="false">R37</f>
        <v>2037</v>
      </c>
      <c r="S82" s="218" t="n">
        <f aca="false">S37</f>
        <v>2038</v>
      </c>
      <c r="T82" s="218" t="n">
        <f aca="false">T37</f>
        <v>2039</v>
      </c>
      <c r="U82" s="218" t="n">
        <f aca="false">U37</f>
        <v>2040</v>
      </c>
      <c r="V82" s="218" t="n">
        <f aca="false">V37</f>
        <v>2041</v>
      </c>
      <c r="W82" s="218" t="n">
        <f aca="false">W37</f>
        <v>2042</v>
      </c>
      <c r="X82" s="72"/>
    </row>
    <row r="83" customFormat="false" ht="18.75" hidden="false" customHeight="true" outlineLevel="0" collapsed="false">
      <c r="X83" s="203"/>
    </row>
    <row r="84" customFormat="false" ht="18.75" hidden="false" customHeight="true" outlineLevel="0" collapsed="false">
      <c r="B84" s="219" t="s">
        <v>51</v>
      </c>
      <c r="C84" s="219" t="n">
        <v>0</v>
      </c>
      <c r="D84" s="219" t="n">
        <v>1</v>
      </c>
      <c r="E84" s="219" t="n">
        <v>2</v>
      </c>
      <c r="F84" s="219" t="n">
        <v>3</v>
      </c>
      <c r="G84" s="219" t="n">
        <v>4</v>
      </c>
      <c r="H84" s="219" t="n">
        <v>5</v>
      </c>
      <c r="I84" s="219" t="n">
        <v>6</v>
      </c>
      <c r="J84" s="219" t="n">
        <v>7</v>
      </c>
      <c r="K84" s="219" t="n">
        <v>8</v>
      </c>
      <c r="L84" s="219" t="n">
        <v>9</v>
      </c>
      <c r="M84" s="219" t="n">
        <v>10</v>
      </c>
      <c r="N84" s="219" t="n">
        <v>11</v>
      </c>
      <c r="O84" s="219" t="n">
        <v>12</v>
      </c>
      <c r="P84" s="219" t="n">
        <v>13</v>
      </c>
      <c r="Q84" s="219" t="n">
        <v>14</v>
      </c>
      <c r="R84" s="219" t="n">
        <v>15</v>
      </c>
      <c r="S84" s="219" t="n">
        <v>16</v>
      </c>
      <c r="T84" s="219" t="n">
        <v>17</v>
      </c>
      <c r="U84" s="219" t="n">
        <v>18</v>
      </c>
      <c r="V84" s="219" t="n">
        <v>19</v>
      </c>
      <c r="W84" s="219" t="n">
        <v>20</v>
      </c>
      <c r="X84" s="103"/>
    </row>
    <row r="85" customFormat="false" ht="18.75" hidden="false" customHeight="true" outlineLevel="0" collapsed="false">
      <c r="B85" s="220" t="s">
        <v>76</v>
      </c>
      <c r="C85" s="220"/>
      <c r="D85" s="221" t="n">
        <f aca="false">D78</f>
        <v>662129.7698368</v>
      </c>
      <c r="E85" s="221" t="n">
        <f aca="false">E78</f>
        <v>189247.142022997</v>
      </c>
      <c r="F85" s="221" t="n">
        <f aca="false">F78</f>
        <v>199220.421112235</v>
      </c>
      <c r="G85" s="221" t="n">
        <f aca="false">G78</f>
        <v>209193.700201472</v>
      </c>
      <c r="H85" s="221" t="n">
        <f aca="false">H78</f>
        <v>219166.979290709</v>
      </c>
      <c r="I85" s="221" t="n">
        <f aca="false">I78</f>
        <v>229140.258379947</v>
      </c>
      <c r="J85" s="221" t="n">
        <f aca="false">J78</f>
        <v>239113.537469184</v>
      </c>
      <c r="K85" s="221" t="n">
        <f aca="false">K78</f>
        <v>249086.816558421</v>
      </c>
      <c r="L85" s="221" t="n">
        <f aca="false">L78</f>
        <v>259060.095647659</v>
      </c>
      <c r="M85" s="221" t="n">
        <f aca="false">M78</f>
        <v>269033.374736896</v>
      </c>
      <c r="N85" s="221" t="n">
        <f aca="false">N78</f>
        <v>313894.653826133</v>
      </c>
      <c r="O85" s="221" t="n">
        <f aca="false">O78</f>
        <v>323867.932915371</v>
      </c>
      <c r="P85" s="221" t="n">
        <f aca="false">P78</f>
        <v>333841.212004608</v>
      </c>
      <c r="Q85" s="221" t="n">
        <f aca="false">Q78</f>
        <v>343814.491093845</v>
      </c>
      <c r="R85" s="221" t="n">
        <f aca="false">R78</f>
        <v>353787.770183083</v>
      </c>
      <c r="S85" s="221" t="n">
        <f aca="false">S78</f>
        <v>363761.04927232</v>
      </c>
      <c r="T85" s="221" t="n">
        <f aca="false">T78</f>
        <v>359208.872372224</v>
      </c>
      <c r="U85" s="221" t="n">
        <f aca="false">U78</f>
        <v>354656.695472128</v>
      </c>
      <c r="V85" s="221" t="n">
        <f aca="false">V78</f>
        <v>350104.518572032</v>
      </c>
      <c r="W85" s="221" t="n">
        <f aca="false">W78</f>
        <v>345552.341671936</v>
      </c>
      <c r="X85" s="220"/>
      <c r="Y85" s="220"/>
    </row>
    <row r="86" customFormat="false" ht="15.75" hidden="false" customHeight="true" outlineLevel="0" collapsed="false">
      <c r="B86" s="220" t="s">
        <v>77</v>
      </c>
      <c r="C86" s="220"/>
      <c r="D86" s="222" t="n">
        <f aca="false">-D67</f>
        <v>665052.5</v>
      </c>
      <c r="E86" s="222" t="n">
        <f aca="false">-E67</f>
        <v>665052.5</v>
      </c>
      <c r="F86" s="222" t="n">
        <f aca="false">-F67</f>
        <v>665052.5</v>
      </c>
      <c r="G86" s="222" t="n">
        <f aca="false">-G67</f>
        <v>665052.5</v>
      </c>
      <c r="H86" s="222" t="n">
        <f aca="false">-H67</f>
        <v>665052.5</v>
      </c>
      <c r="I86" s="222" t="n">
        <f aca="false">-I67</f>
        <v>665052.5</v>
      </c>
      <c r="J86" s="222" t="n">
        <f aca="false">-J67</f>
        <v>665052.5</v>
      </c>
      <c r="K86" s="222" t="n">
        <f aca="false">-K67</f>
        <v>665052.5</v>
      </c>
      <c r="L86" s="222" t="n">
        <f aca="false">-L67</f>
        <v>665052.5</v>
      </c>
      <c r="M86" s="222" t="n">
        <f aca="false">-M67</f>
        <v>665052.5</v>
      </c>
      <c r="N86" s="222" t="n">
        <f aca="false">-N67</f>
        <v>665052.5</v>
      </c>
      <c r="O86" s="222" t="n">
        <f aca="false">-O67</f>
        <v>665052.5</v>
      </c>
      <c r="P86" s="222" t="n">
        <f aca="false">-P67</f>
        <v>665052.5</v>
      </c>
      <c r="Q86" s="222" t="n">
        <f aca="false">-Q67</f>
        <v>665052.5</v>
      </c>
      <c r="R86" s="222" t="n">
        <f aca="false">-R67</f>
        <v>665052.5</v>
      </c>
      <c r="S86" s="222" t="n">
        <f aca="false">-S67</f>
        <v>665052.5</v>
      </c>
      <c r="T86" s="222" t="n">
        <f aca="false">-T67</f>
        <v>665052.5</v>
      </c>
      <c r="U86" s="222" t="n">
        <f aca="false">-U67</f>
        <v>665052.5</v>
      </c>
      <c r="V86" s="222" t="n">
        <f aca="false">-V67</f>
        <v>665052.5</v>
      </c>
      <c r="W86" s="222" t="n">
        <f aca="false">-W67</f>
        <v>665052.5</v>
      </c>
      <c r="X86" s="223"/>
      <c r="Y86" s="223"/>
    </row>
    <row r="87" customFormat="false" ht="15.75" hidden="false" customHeight="true" outlineLevel="0" collapsed="false">
      <c r="B87" s="220" t="s">
        <v>78</v>
      </c>
      <c r="C87" s="220"/>
      <c r="D87" s="224" t="n">
        <f aca="false">SUM(D85:D86)</f>
        <v>1327182.2698368</v>
      </c>
      <c r="E87" s="224" t="n">
        <f aca="false">SUM(E85:E86)</f>
        <v>854299.642022997</v>
      </c>
      <c r="F87" s="224" t="n">
        <f aca="false">SUM(F85:F86)</f>
        <v>864272.921112235</v>
      </c>
      <c r="G87" s="224" t="n">
        <f aca="false">SUM(G85:G86)</f>
        <v>874246.200201472</v>
      </c>
      <c r="H87" s="224" t="n">
        <f aca="false">SUM(H85:H86)</f>
        <v>884219.479290709</v>
      </c>
      <c r="I87" s="224" t="n">
        <f aca="false">SUM(I85:I86)</f>
        <v>894192.758379947</v>
      </c>
      <c r="J87" s="224" t="n">
        <f aca="false">SUM(J85:J86)</f>
        <v>904166.037469184</v>
      </c>
      <c r="K87" s="224" t="n">
        <f aca="false">SUM(K85:K86)</f>
        <v>914139.316558421</v>
      </c>
      <c r="L87" s="224" t="n">
        <f aca="false">SUM(L85:L86)</f>
        <v>924112.595647659</v>
      </c>
      <c r="M87" s="224" t="n">
        <f aca="false">SUM(M85:M86)</f>
        <v>934085.874736896</v>
      </c>
      <c r="N87" s="224" t="n">
        <f aca="false">SUM(N85:N86)</f>
        <v>978947.153826133</v>
      </c>
      <c r="O87" s="224" t="n">
        <f aca="false">SUM(O85:O86)</f>
        <v>988920.432915371</v>
      </c>
      <c r="P87" s="224" t="n">
        <f aca="false">SUM(P85:P86)</f>
        <v>998893.712004608</v>
      </c>
      <c r="Q87" s="224" t="n">
        <f aca="false">SUM(Q85:Q86)</f>
        <v>1008866.99109385</v>
      </c>
      <c r="R87" s="224" t="n">
        <f aca="false">SUM(R85:R86)</f>
        <v>1018840.27018308</v>
      </c>
      <c r="S87" s="224" t="n">
        <f aca="false">SUM(S85:S86)</f>
        <v>1028813.54927232</v>
      </c>
      <c r="T87" s="224" t="n">
        <f aca="false">SUM(T85:T86)</f>
        <v>1024261.37237222</v>
      </c>
      <c r="U87" s="224" t="n">
        <f aca="false">SUM(U85:U86)</f>
        <v>1019709.19547213</v>
      </c>
      <c r="V87" s="224" t="n">
        <f aca="false">SUM(V85:V86)</f>
        <v>1015157.01857203</v>
      </c>
      <c r="W87" s="224" t="n">
        <f aca="false">SUM(W85:W86)</f>
        <v>1010604.84167194</v>
      </c>
      <c r="X87" s="192"/>
    </row>
    <row r="88" customFormat="false" ht="15.75" hidden="false" customHeight="true" outlineLevel="0" collapsed="false">
      <c r="B88" s="220"/>
      <c r="C88" s="220"/>
      <c r="D88" s="220"/>
      <c r="E88" s="220"/>
      <c r="F88" s="225"/>
      <c r="G88" s="225"/>
      <c r="H88" s="225"/>
      <c r="I88" s="225"/>
      <c r="J88" s="225"/>
      <c r="K88" s="225"/>
      <c r="L88" s="225"/>
      <c r="M88" s="225"/>
      <c r="N88" s="225"/>
      <c r="O88" s="225"/>
      <c r="P88" s="225"/>
      <c r="Q88" s="225"/>
      <c r="R88" s="225"/>
      <c r="S88" s="225"/>
      <c r="T88" s="225"/>
      <c r="U88" s="225"/>
      <c r="V88" s="225"/>
      <c r="W88" s="225"/>
      <c r="X88" s="191"/>
    </row>
    <row r="89" customFormat="false" ht="15.75" hidden="false" customHeight="true" outlineLevel="0" collapsed="false">
      <c r="B89" s="226" t="s">
        <v>79</v>
      </c>
      <c r="C89" s="227"/>
      <c r="D89" s="228" t="n">
        <f aca="false">C44</f>
        <v>-13301050</v>
      </c>
      <c r="E89" s="227"/>
      <c r="F89" s="227"/>
      <c r="G89" s="227"/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9"/>
    </row>
    <row r="90" customFormat="false" ht="15.75" hidden="false" customHeight="true" outlineLevel="0" collapsed="false">
      <c r="B90" s="220"/>
      <c r="C90" s="220"/>
      <c r="D90" s="220"/>
      <c r="E90" s="220"/>
      <c r="F90" s="225"/>
      <c r="G90" s="225"/>
      <c r="H90" s="225"/>
      <c r="I90" s="225"/>
      <c r="J90" s="225"/>
      <c r="K90" s="225"/>
      <c r="L90" s="225"/>
      <c r="M90" s="225"/>
      <c r="N90" s="225"/>
      <c r="O90" s="225"/>
      <c r="P90" s="225"/>
      <c r="Q90" s="225"/>
      <c r="R90" s="225"/>
      <c r="S90" s="225"/>
      <c r="T90" s="225"/>
      <c r="U90" s="225"/>
      <c r="V90" s="225"/>
      <c r="W90" s="225"/>
      <c r="X90" s="191"/>
    </row>
    <row r="91" customFormat="false" ht="15.75" hidden="false" customHeight="true" outlineLevel="0" collapsed="false">
      <c r="B91" s="220"/>
      <c r="C91" s="220"/>
      <c r="D91" s="220"/>
      <c r="E91" s="220"/>
      <c r="F91" s="225"/>
      <c r="G91" s="225"/>
      <c r="H91" s="225"/>
      <c r="I91" s="225"/>
      <c r="J91" s="225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191"/>
    </row>
    <row r="92" customFormat="false" ht="15.75" hidden="false" customHeight="true" outlineLevel="0" collapsed="false">
      <c r="B92" s="226" t="s">
        <v>80</v>
      </c>
      <c r="C92" s="227"/>
      <c r="D92" s="228" t="n">
        <f aca="false">-D89*D31</f>
        <v>10640840</v>
      </c>
      <c r="E92" s="227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191"/>
    </row>
    <row r="93" customFormat="false" ht="15.75" hidden="false" customHeight="true" outlineLevel="0" collapsed="false">
      <c r="B93" s="220" t="s">
        <v>81</v>
      </c>
      <c r="C93" s="220"/>
      <c r="D93" s="230"/>
      <c r="E93" s="230" t="n">
        <v>-709389.333333333</v>
      </c>
      <c r="F93" s="230" t="n">
        <v>-709389.333333333</v>
      </c>
      <c r="G93" s="230" t="n">
        <v>-709389.333333333</v>
      </c>
      <c r="H93" s="230" t="n">
        <v>-709389.333333333</v>
      </c>
      <c r="I93" s="230" t="n">
        <v>-709389.333333333</v>
      </c>
      <c r="J93" s="230" t="n">
        <v>-709389.333333333</v>
      </c>
      <c r="K93" s="230" t="n">
        <v>-709389.333333333</v>
      </c>
      <c r="L93" s="230" t="n">
        <v>-709389.333333333</v>
      </c>
      <c r="M93" s="230" t="n">
        <v>-709389.333333333</v>
      </c>
      <c r="N93" s="230" t="n">
        <v>-709389.333333333</v>
      </c>
      <c r="O93" s="230" t="n">
        <v>-709389.333333333</v>
      </c>
      <c r="P93" s="230" t="n">
        <v>-709389.333333333</v>
      </c>
      <c r="Q93" s="230" t="n">
        <v>-709389.333333333</v>
      </c>
      <c r="R93" s="230" t="n">
        <v>-709389.333333333</v>
      </c>
      <c r="S93" s="230" t="n">
        <v>-709389.333333333</v>
      </c>
      <c r="T93" s="230" t="n">
        <v>0</v>
      </c>
      <c r="U93" s="230" t="n">
        <v>0</v>
      </c>
      <c r="V93" s="230" t="n">
        <v>0</v>
      </c>
      <c r="W93" s="230" t="n">
        <v>0</v>
      </c>
      <c r="X93" s="229"/>
    </row>
    <row r="94" customFormat="false" ht="15.75" hidden="false" customHeight="true" outlineLevel="0" collapsed="false">
      <c r="B94" s="220" t="s">
        <v>82</v>
      </c>
      <c r="C94" s="225"/>
      <c r="D94" s="221" t="n">
        <f aca="false">-D89*(1-D31)</f>
        <v>2660210</v>
      </c>
      <c r="E94" s="225"/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192"/>
    </row>
    <row r="95" customFormat="false" ht="15.75" hidden="false" customHeight="true" outlineLevel="0" collapsed="false">
      <c r="B95" s="220" t="s">
        <v>45</v>
      </c>
      <c r="C95" s="225"/>
      <c r="D95" s="225"/>
      <c r="E95" s="231" t="n">
        <f aca="false">-D85*$D$33</f>
        <v>-595916.79285312</v>
      </c>
      <c r="F95" s="231" t="n">
        <f aca="false">-E85*$D$33</f>
        <v>-170322.427820697</v>
      </c>
      <c r="G95" s="231" t="n">
        <f aca="false">-F85*$D$33</f>
        <v>-179298.379001011</v>
      </c>
      <c r="H95" s="231" t="n">
        <f aca="false">-G85*$D$33</f>
        <v>-188274.330181325</v>
      </c>
      <c r="I95" s="231" t="n">
        <f aca="false">-H85*$D$33</f>
        <v>-197250.281361638</v>
      </c>
      <c r="J95" s="231" t="n">
        <f aca="false">-I85*$D$33</f>
        <v>-206226.232541952</v>
      </c>
      <c r="K95" s="231" t="n">
        <f aca="false">-J85*$D$33</f>
        <v>-215202.183722266</v>
      </c>
      <c r="L95" s="231" t="n">
        <f aca="false">-K85*$D$33</f>
        <v>-224178.134902579</v>
      </c>
      <c r="M95" s="231" t="n">
        <f aca="false">-L85*$D$33</f>
        <v>-233154.086082893</v>
      </c>
      <c r="N95" s="231" t="n">
        <f aca="false">-M85*$D$33</f>
        <v>-242130.037263206</v>
      </c>
      <c r="O95" s="231" t="n">
        <f aca="false">-N85*$D$33</f>
        <v>-282505.18844352</v>
      </c>
      <c r="P95" s="231" t="n">
        <f aca="false">-O85*$D$33</f>
        <v>-291481.139623834</v>
      </c>
      <c r="Q95" s="231" t="n">
        <f aca="false">-P85*$D$33</f>
        <v>-300457.090804147</v>
      </c>
      <c r="R95" s="231" t="n">
        <f aca="false">-Q85*$D$33</f>
        <v>-309433.041984461</v>
      </c>
      <c r="S95" s="231" t="n">
        <f aca="false">-R85*$D$33</f>
        <v>-318408.993164774</v>
      </c>
      <c r="T95" s="231" t="n">
        <f aca="false">-S85*$D$33</f>
        <v>-327384.944345088</v>
      </c>
      <c r="U95" s="231" t="n">
        <f aca="false">-T85*$D$33</f>
        <v>-323287.985135001</v>
      </c>
      <c r="V95" s="231" t="n">
        <f aca="false">-U85*$D$33</f>
        <v>-319191.025924915</v>
      </c>
      <c r="W95" s="231" t="n">
        <f aca="false">-V85*$D$33</f>
        <v>-315094.066714829</v>
      </c>
      <c r="X95" s="231" t="n">
        <f aca="false">-W85*$D$33</f>
        <v>-310997.107504742</v>
      </c>
    </row>
    <row r="96" customFormat="false" ht="15.75" hidden="false" customHeight="true" outlineLevel="0" collapsed="false">
      <c r="B96" s="232" t="s">
        <v>47</v>
      </c>
      <c r="C96" s="233"/>
      <c r="D96" s="233" t="n">
        <v>0</v>
      </c>
      <c r="E96" s="234" t="n">
        <v>0</v>
      </c>
      <c r="F96" s="234" t="n">
        <v>0</v>
      </c>
      <c r="G96" s="234" t="n">
        <v>0</v>
      </c>
      <c r="H96" s="234" t="n">
        <v>0</v>
      </c>
      <c r="I96" s="234" t="n">
        <v>0</v>
      </c>
      <c r="J96" s="234" t="n">
        <v>0</v>
      </c>
      <c r="K96" s="234" t="n">
        <v>0</v>
      </c>
      <c r="L96" s="234" t="n">
        <v>0</v>
      </c>
      <c r="M96" s="234" t="n">
        <v>0</v>
      </c>
      <c r="N96" s="234" t="n">
        <v>0</v>
      </c>
      <c r="O96" s="234" t="n">
        <v>0</v>
      </c>
      <c r="P96" s="234" t="n">
        <v>0</v>
      </c>
      <c r="Q96" s="234" t="n">
        <v>0</v>
      </c>
      <c r="R96" s="234" t="n">
        <v>0</v>
      </c>
      <c r="S96" s="234" t="n">
        <v>0</v>
      </c>
      <c r="T96" s="234" t="n">
        <v>-665052.5</v>
      </c>
      <c r="U96" s="234" t="n">
        <v>-665052.5</v>
      </c>
      <c r="V96" s="234" t="n">
        <v>-665052.5</v>
      </c>
      <c r="W96" s="234" t="n">
        <v>-665052.5</v>
      </c>
      <c r="X96" s="235" t="n">
        <f aca="false">-W101-X95</f>
        <v>-616688.163263998</v>
      </c>
    </row>
    <row r="97" customFormat="false" ht="15.75" hidden="false" customHeight="true" outlineLevel="0" collapsed="false">
      <c r="B97" s="225"/>
      <c r="C97" s="225"/>
      <c r="D97" s="225"/>
      <c r="E97" s="225"/>
      <c r="F97" s="22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192"/>
    </row>
    <row r="98" customFormat="false" ht="15.75" hidden="false" customHeight="true" outlineLevel="0" collapsed="false">
      <c r="B98" s="225"/>
      <c r="C98" s="225"/>
      <c r="D98" s="225"/>
      <c r="E98" s="225"/>
      <c r="F98" s="22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192"/>
    </row>
    <row r="99" customFormat="false" ht="15.75" hidden="false" customHeight="true" outlineLevel="0" collapsed="false">
      <c r="B99" s="220" t="s">
        <v>83</v>
      </c>
      <c r="C99" s="221" t="n">
        <v>0</v>
      </c>
      <c r="D99" s="221" t="n">
        <f aca="false">SUM(D87:D96)</f>
        <v>1327182.2698368</v>
      </c>
      <c r="E99" s="221" t="n">
        <f aca="false">SUM(E87:E96)</f>
        <v>-451006.484163456</v>
      </c>
      <c r="F99" s="221" t="n">
        <f aca="false">SUM(F87:F96)</f>
        <v>-15438.8400417962</v>
      </c>
      <c r="G99" s="221" t="n">
        <f aca="false">SUM(G87:G96)</f>
        <v>-14441.5121328726</v>
      </c>
      <c r="H99" s="221" t="n">
        <f aca="false">SUM(H87:H96)</f>
        <v>-13444.1842239489</v>
      </c>
      <c r="I99" s="221" t="n">
        <f aca="false">SUM(I87:I96)</f>
        <v>-12446.8563150252</v>
      </c>
      <c r="J99" s="221" t="n">
        <f aca="false">SUM(J87:J96)</f>
        <v>-11449.5284061012</v>
      </c>
      <c r="K99" s="221" t="n">
        <f aca="false">SUM(K87:K96)</f>
        <v>-10452.2004971778</v>
      </c>
      <c r="L99" s="221" t="n">
        <f aca="false">SUM(L87:L96)</f>
        <v>-9454.87258825402</v>
      </c>
      <c r="M99" s="221" t="n">
        <f aca="false">SUM(M87:M96)</f>
        <v>-8457.54467933014</v>
      </c>
      <c r="N99" s="221" t="n">
        <f aca="false">SUM(N87:N96)</f>
        <v>27427.7832295935</v>
      </c>
      <c r="O99" s="221" t="n">
        <f aca="false">SUM(O87:O96)</f>
        <v>-2974.08886148274</v>
      </c>
      <c r="P99" s="221" t="n">
        <f aca="false">SUM(P87:P96)</f>
        <v>-1976.76095255901</v>
      </c>
      <c r="Q99" s="221" t="n">
        <f aca="false">SUM(Q87:Q96)</f>
        <v>-979.433043635276</v>
      </c>
      <c r="R99" s="221" t="n">
        <f aca="false">SUM(R87:R96)</f>
        <v>17.8948652884574</v>
      </c>
      <c r="S99" s="221" t="n">
        <f aca="false">SUM(S87:S96)</f>
        <v>1015.22277421231</v>
      </c>
      <c r="T99" s="221" t="n">
        <f aca="false">SUM(T87:T96)</f>
        <v>31823.9280271358</v>
      </c>
      <c r="U99" s="221" t="n">
        <f aca="false">SUM(U87:U96)</f>
        <v>31368.7103371266</v>
      </c>
      <c r="V99" s="221" t="n">
        <f aca="false">SUM(V87:V96)</f>
        <v>30913.4926471165</v>
      </c>
      <c r="W99" s="221" t="n">
        <f aca="false">SUM(W87:W96)</f>
        <v>30458.2749571074</v>
      </c>
      <c r="X99" s="192"/>
    </row>
    <row r="100" customFormat="false" ht="15.75" hidden="false" customHeight="true" outlineLevel="0" collapsed="false">
      <c r="B100" s="220" t="s">
        <v>84</v>
      </c>
      <c r="C100" s="221" t="n">
        <v>0</v>
      </c>
      <c r="D100" s="221" t="n">
        <f aca="false">C101</f>
        <v>0</v>
      </c>
      <c r="E100" s="221" t="n">
        <f aca="false">D101</f>
        <v>1327182.2698368</v>
      </c>
      <c r="F100" s="221" t="n">
        <f aca="false">E101</f>
        <v>876175.785673343</v>
      </c>
      <c r="G100" s="221" t="n">
        <f aca="false">F101</f>
        <v>860736.945631547</v>
      </c>
      <c r="H100" s="221" t="n">
        <f aca="false">G101</f>
        <v>846295.433498674</v>
      </c>
      <c r="I100" s="221" t="n">
        <f aca="false">H101</f>
        <v>832851.249274725</v>
      </c>
      <c r="J100" s="221" t="n">
        <f aca="false">I101</f>
        <v>820404.3929597</v>
      </c>
      <c r="K100" s="221" t="n">
        <f aca="false">J101</f>
        <v>808954.864553599</v>
      </c>
      <c r="L100" s="221" t="n">
        <f aca="false">K101</f>
        <v>798502.664056421</v>
      </c>
      <c r="M100" s="221" t="n">
        <f aca="false">L101</f>
        <v>789047.791468167</v>
      </c>
      <c r="N100" s="221" t="n">
        <f aca="false">M101</f>
        <v>780590.246788837</v>
      </c>
      <c r="O100" s="221" t="n">
        <f aca="false">N101</f>
        <v>808018.030018431</v>
      </c>
      <c r="P100" s="221" t="n">
        <f aca="false">O101</f>
        <v>805043.941156948</v>
      </c>
      <c r="Q100" s="221" t="n">
        <f aca="false">P101</f>
        <v>803067.180204389</v>
      </c>
      <c r="R100" s="221" t="n">
        <f aca="false">Q101</f>
        <v>802087.747160754</v>
      </c>
      <c r="S100" s="221" t="n">
        <f aca="false">R101</f>
        <v>802105.642026042</v>
      </c>
      <c r="T100" s="221" t="n">
        <f aca="false">S101</f>
        <v>803120.864800254</v>
      </c>
      <c r="U100" s="221" t="n">
        <f aca="false">T101</f>
        <v>834944.79282739</v>
      </c>
      <c r="V100" s="221" t="n">
        <f aca="false">U101</f>
        <v>866313.503164517</v>
      </c>
      <c r="W100" s="221" t="n">
        <f aca="false">V101</f>
        <v>897226.995811633</v>
      </c>
      <c r="X100" s="191"/>
    </row>
    <row r="101" customFormat="false" ht="15.75" hidden="false" customHeight="true" outlineLevel="0" collapsed="false">
      <c r="B101" s="220" t="s">
        <v>85</v>
      </c>
      <c r="C101" s="221" t="n">
        <v>0</v>
      </c>
      <c r="D101" s="221" t="n">
        <f aca="false">D99+D100</f>
        <v>1327182.2698368</v>
      </c>
      <c r="E101" s="221" t="n">
        <f aca="false">E99+E100</f>
        <v>876175.785673343</v>
      </c>
      <c r="F101" s="221" t="n">
        <f aca="false">F99+F100</f>
        <v>860736.945631547</v>
      </c>
      <c r="G101" s="221" t="n">
        <f aca="false">G99+G100</f>
        <v>846295.433498674</v>
      </c>
      <c r="H101" s="221" t="n">
        <f aca="false">H99+H100</f>
        <v>832851.249274725</v>
      </c>
      <c r="I101" s="221" t="n">
        <f aca="false">I99+I100</f>
        <v>820404.3929597</v>
      </c>
      <c r="J101" s="221" t="n">
        <f aca="false">J99+J100</f>
        <v>808954.864553599</v>
      </c>
      <c r="K101" s="221" t="n">
        <f aca="false">K99+K100</f>
        <v>798502.664056421</v>
      </c>
      <c r="L101" s="221" t="n">
        <f aca="false">L99+L100</f>
        <v>789047.791468167</v>
      </c>
      <c r="M101" s="221" t="n">
        <f aca="false">M99+M100</f>
        <v>780590.246788837</v>
      </c>
      <c r="N101" s="221" t="n">
        <f aca="false">N99+N100</f>
        <v>808018.030018431</v>
      </c>
      <c r="O101" s="221" t="n">
        <f aca="false">O99+O100</f>
        <v>805043.941156948</v>
      </c>
      <c r="P101" s="221" t="n">
        <f aca="false">P99+P100</f>
        <v>803067.180204389</v>
      </c>
      <c r="Q101" s="221" t="n">
        <f aca="false">Q99+Q100</f>
        <v>802087.747160754</v>
      </c>
      <c r="R101" s="221" t="n">
        <f aca="false">R99+R100</f>
        <v>802105.642026042</v>
      </c>
      <c r="S101" s="221" t="n">
        <f aca="false">S99+S100</f>
        <v>803120.864800254</v>
      </c>
      <c r="T101" s="221" t="n">
        <f aca="false">T99+T100</f>
        <v>834944.79282739</v>
      </c>
      <c r="U101" s="221" t="n">
        <f aca="false">U99+U100</f>
        <v>866313.503164517</v>
      </c>
      <c r="V101" s="221" t="n">
        <f aca="false">V99+V100</f>
        <v>897226.995811633</v>
      </c>
      <c r="W101" s="221" t="n">
        <f aca="false">W99+W100</f>
        <v>927685.27076874</v>
      </c>
      <c r="X101" s="191"/>
    </row>
    <row r="102" customFormat="false" ht="15.75" hidden="false" customHeight="true" outlineLevel="0" collapsed="false"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</row>
    <row r="103" customFormat="false" ht="15.75" hidden="false" customHeight="true" outlineLevel="0" collapsed="false">
      <c r="B103" s="220"/>
      <c r="C103" s="220"/>
      <c r="D103" s="220"/>
      <c r="E103" s="220"/>
      <c r="F103" s="225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</row>
    <row r="104" customFormat="false" ht="15.75" hidden="false" customHeight="true" outlineLevel="0" collapsed="false">
      <c r="B104" s="236" t="s">
        <v>86</v>
      </c>
      <c r="C104" s="237"/>
      <c r="D104" s="238" t="n">
        <f aca="false">-D94</f>
        <v>-2660210</v>
      </c>
      <c r="E104" s="224" t="n">
        <f aca="false">-E95-E96</f>
        <v>595916.79285312</v>
      </c>
      <c r="F104" s="224" t="n">
        <f aca="false">-F95-F96</f>
        <v>170322.427820697</v>
      </c>
      <c r="G104" s="224" t="n">
        <f aca="false">-G95-G96</f>
        <v>179298.379001011</v>
      </c>
      <c r="H104" s="224" t="n">
        <f aca="false">-H95-H96</f>
        <v>188274.330181325</v>
      </c>
      <c r="I104" s="224" t="n">
        <f aca="false">-I95-I96</f>
        <v>197250.281361638</v>
      </c>
      <c r="J104" s="224" t="n">
        <f aca="false">-J95-J96</f>
        <v>206226.232541952</v>
      </c>
      <c r="K104" s="224" t="n">
        <f aca="false">-K95-K96</f>
        <v>215202.183722266</v>
      </c>
      <c r="L104" s="224" t="n">
        <f aca="false">-L95-L96</f>
        <v>224178.134902579</v>
      </c>
      <c r="M104" s="224" t="n">
        <f aca="false">-M95-M96</f>
        <v>233154.086082893</v>
      </c>
      <c r="N104" s="224" t="n">
        <f aca="false">-N95-N96</f>
        <v>242130.037263206</v>
      </c>
      <c r="O104" s="224" t="n">
        <f aca="false">-O95-O96</f>
        <v>282505.18844352</v>
      </c>
      <c r="P104" s="224" t="n">
        <f aca="false">-P95-P96</f>
        <v>291481.139623834</v>
      </c>
      <c r="Q104" s="224" t="n">
        <f aca="false">-Q95-Q96</f>
        <v>300457.090804147</v>
      </c>
      <c r="R104" s="224" t="n">
        <f aca="false">-R95-R96</f>
        <v>309433.041984461</v>
      </c>
      <c r="S104" s="224" t="n">
        <f aca="false">-S95-S96</f>
        <v>318408.993164774</v>
      </c>
      <c r="T104" s="224" t="n">
        <f aca="false">-T95-T96</f>
        <v>992437.444345088</v>
      </c>
      <c r="U104" s="224" t="n">
        <f aca="false">-U95-U96</f>
        <v>988340.485135001</v>
      </c>
      <c r="V104" s="224" t="n">
        <f aca="false">-V95-V96</f>
        <v>984243.525924915</v>
      </c>
      <c r="W104" s="224" t="n">
        <f aca="false">-W95-W96</f>
        <v>980146.566714829</v>
      </c>
      <c r="X104" s="224" t="n">
        <f aca="false">-X95-X96</f>
        <v>927685.27076874</v>
      </c>
    </row>
    <row r="105" customFormat="false" ht="15.75" hidden="false" customHeight="true" outlineLevel="0" collapsed="false">
      <c r="B105" s="220" t="s">
        <v>87</v>
      </c>
      <c r="C105" s="239" t="n">
        <f aca="false">IRR(D104:X104)</f>
        <v>0.110831899129283</v>
      </c>
      <c r="D105" s="225"/>
      <c r="E105" s="225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</row>
    <row r="106" customFormat="false" ht="15.75" hidden="false" customHeight="true" outlineLevel="0" collapsed="false">
      <c r="B106" s="236" t="s">
        <v>88</v>
      </c>
      <c r="C106" s="237"/>
      <c r="D106" s="238" t="n">
        <f aca="false">D85-D94</f>
        <v>-1998080.2301632</v>
      </c>
      <c r="E106" s="224" t="n">
        <f aca="false">E85</f>
        <v>189247.142022997</v>
      </c>
      <c r="F106" s="224" t="n">
        <f aca="false">F85-F96</f>
        <v>199220.421112235</v>
      </c>
      <c r="G106" s="224" t="n">
        <f aca="false">G85-G96</f>
        <v>209193.700201472</v>
      </c>
      <c r="H106" s="224" t="n">
        <f aca="false">H85-H96</f>
        <v>219166.979290709</v>
      </c>
      <c r="I106" s="224" t="n">
        <f aca="false">I85-I96</f>
        <v>229140.258379947</v>
      </c>
      <c r="J106" s="224" t="n">
        <f aca="false">J85-J96</f>
        <v>239113.537469184</v>
      </c>
      <c r="K106" s="224" t="n">
        <f aca="false">K85-K96</f>
        <v>249086.816558421</v>
      </c>
      <c r="L106" s="224" t="n">
        <f aca="false">L85-L96</f>
        <v>259060.095647659</v>
      </c>
      <c r="M106" s="224" t="n">
        <f aca="false">M85-M96</f>
        <v>269033.374736896</v>
      </c>
      <c r="N106" s="224" t="n">
        <f aca="false">N85-N96</f>
        <v>313894.653826133</v>
      </c>
      <c r="O106" s="224" t="n">
        <f aca="false">O85-O96</f>
        <v>323867.932915371</v>
      </c>
      <c r="P106" s="224" t="n">
        <f aca="false">P85-P96</f>
        <v>333841.212004608</v>
      </c>
      <c r="Q106" s="224" t="n">
        <f aca="false">Q85-Q96</f>
        <v>343814.491093845</v>
      </c>
      <c r="R106" s="224" t="n">
        <f aca="false">R85-R96</f>
        <v>353787.770183083</v>
      </c>
      <c r="S106" s="224" t="n">
        <f aca="false">S85-S96</f>
        <v>363761.04927232</v>
      </c>
      <c r="T106" s="224" t="n">
        <f aca="false">T85-T96</f>
        <v>1024261.37237222</v>
      </c>
      <c r="U106" s="224" t="n">
        <f aca="false">U85-U96</f>
        <v>1019709.19547213</v>
      </c>
      <c r="V106" s="224" t="n">
        <f aca="false">V85-V96</f>
        <v>1015157.01857203</v>
      </c>
      <c r="W106" s="224" t="n">
        <f aca="false">W85-W96</f>
        <v>1010604.84167194</v>
      </c>
      <c r="X106" s="229"/>
    </row>
    <row r="107" customFormat="false" ht="15.75" hidden="false" customHeight="true" outlineLevel="0" collapsed="false">
      <c r="B107" s="236" t="s">
        <v>89</v>
      </c>
      <c r="C107" s="239" t="n">
        <f aca="false">IRR(D106:W106)</f>
        <v>0.134117987752038</v>
      </c>
      <c r="D107" s="225"/>
      <c r="E107" s="225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</row>
    <row r="108" customFormat="false" ht="15.75" hidden="false" customHeight="true" outlineLevel="0" collapsed="false"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</row>
    <row r="109" customFormat="false" ht="15.75" hidden="false" customHeight="true" outlineLevel="0" collapsed="false">
      <c r="B109" s="220" t="s">
        <v>90</v>
      </c>
      <c r="C109" s="221" t="n">
        <v>0</v>
      </c>
      <c r="D109" s="221" t="n">
        <f aca="false">D92</f>
        <v>10640840</v>
      </c>
      <c r="E109" s="221" t="n">
        <f aca="false">D109+E93</f>
        <v>9931450.66666667</v>
      </c>
      <c r="F109" s="221" t="n">
        <f aca="false">E109+F93</f>
        <v>9222061.33333333</v>
      </c>
      <c r="G109" s="221" t="n">
        <f aca="false">F109+G93</f>
        <v>8512672</v>
      </c>
      <c r="H109" s="221" t="n">
        <f aca="false">G109+H93</f>
        <v>7803282.66666667</v>
      </c>
      <c r="I109" s="221" t="n">
        <f aca="false">H109+I93</f>
        <v>7093893.33333333</v>
      </c>
      <c r="J109" s="221" t="n">
        <f aca="false">I109+J93</f>
        <v>6384504</v>
      </c>
      <c r="K109" s="221" t="n">
        <f aca="false">J109+K93</f>
        <v>5675114.66666667</v>
      </c>
      <c r="L109" s="221" t="n">
        <f aca="false">K109+L93</f>
        <v>4965725.33333333</v>
      </c>
      <c r="M109" s="221" t="n">
        <f aca="false">L109+M93</f>
        <v>4256336</v>
      </c>
      <c r="N109" s="221" t="n">
        <f aca="false">M109+N93</f>
        <v>3546946.66666667</v>
      </c>
      <c r="O109" s="221" t="n">
        <f aca="false">N109+O93</f>
        <v>2837557.33333333</v>
      </c>
      <c r="P109" s="221" t="n">
        <f aca="false">O109+P93</f>
        <v>2128168</v>
      </c>
      <c r="Q109" s="221" t="n">
        <f aca="false">P109+Q93</f>
        <v>1418778.66666667</v>
      </c>
      <c r="R109" s="221" t="n">
        <f aca="false">Q109+R93</f>
        <v>709389.333333333</v>
      </c>
      <c r="S109" s="221" t="n">
        <f aca="false">R109+S93</f>
        <v>0</v>
      </c>
      <c r="T109" s="221" t="n">
        <f aca="false">S109+T93</f>
        <v>0</v>
      </c>
      <c r="U109" s="221" t="n">
        <f aca="false">T109+U93</f>
        <v>0</v>
      </c>
      <c r="V109" s="221" t="n">
        <f aca="false">U109+V93</f>
        <v>0</v>
      </c>
      <c r="W109" s="221" t="n">
        <f aca="false">V109+W93</f>
        <v>0</v>
      </c>
      <c r="X109" s="2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2" t="s">
        <v>0</v>
      </c>
      <c r="C1" s="124"/>
      <c r="D1" s="124"/>
      <c r="E1" s="125"/>
      <c r="F1" s="126" t="s">
        <v>108</v>
      </c>
      <c r="P1" s="127" t="n">
        <f aca="false">1-D11</f>
        <v>0.99</v>
      </c>
      <c r="Q1" s="127" t="n">
        <f aca="false">P1-$D12</f>
        <v>0.986</v>
      </c>
      <c r="R1" s="127" t="n">
        <f aca="false">Q1-$D12</f>
        <v>0.982</v>
      </c>
      <c r="S1" s="127" t="n">
        <f aca="false">R1-$D12</f>
        <v>0.978</v>
      </c>
      <c r="T1" s="127" t="n">
        <f aca="false">S1-$D12</f>
        <v>0.974</v>
      </c>
      <c r="U1" s="127" t="n">
        <f aca="false">T1-$D12</f>
        <v>0.97</v>
      </c>
      <c r="V1" s="127" t="n">
        <f aca="false">U1-$D12</f>
        <v>0.966</v>
      </c>
      <c r="W1" s="127" t="n">
        <f aca="false">V1-$D12</f>
        <v>0.962</v>
      </c>
      <c r="X1" s="127" t="n">
        <f aca="false">W1-$D12</f>
        <v>0.958</v>
      </c>
      <c r="Y1" s="127" t="n">
        <f aca="false">X1-$D12</f>
        <v>0.954</v>
      </c>
      <c r="Z1" s="127" t="n">
        <f aca="false">Y1-$D12</f>
        <v>0.95</v>
      </c>
      <c r="AA1" s="127" t="n">
        <f aca="false">Z1-$D12</f>
        <v>0.946</v>
      </c>
      <c r="AB1" s="127" t="n">
        <f aca="false">AA1-$D12</f>
        <v>0.942</v>
      </c>
      <c r="AC1" s="127" t="n">
        <f aca="false">AB1-$D12</f>
        <v>0.938</v>
      </c>
      <c r="AD1" s="127" t="n">
        <f aca="false">AC1-$D12</f>
        <v>0.934</v>
      </c>
      <c r="AE1" s="127" t="n">
        <f aca="false">AD1-$D12</f>
        <v>0.93</v>
      </c>
      <c r="AF1" s="127" t="n">
        <f aca="false">AE1-$D12</f>
        <v>0.926</v>
      </c>
      <c r="AG1" s="127" t="n">
        <f aca="false">AF1-$D12</f>
        <v>0.922</v>
      </c>
      <c r="AH1" s="127" t="n">
        <f aca="false">AG1-$D12</f>
        <v>0.918</v>
      </c>
      <c r="AI1" s="127" t="n">
        <f aca="false">AH1-$D12</f>
        <v>0.914</v>
      </c>
    </row>
    <row r="2" customFormat="false" ht="21.75" hidden="false" customHeight="true" outlineLevel="0" collapsed="false">
      <c r="B2" s="5" t="s">
        <v>1</v>
      </c>
      <c r="C2" s="128" t="s">
        <v>109</v>
      </c>
      <c r="D2" s="6" t="s">
        <v>3</v>
      </c>
      <c r="E2" s="129" t="s">
        <v>3</v>
      </c>
      <c r="F2" s="130" t="s">
        <v>110</v>
      </c>
    </row>
    <row r="3" customFormat="false" ht="21.75" hidden="false" customHeight="true" outlineLevel="0" collapsed="false">
      <c r="B3" s="32" t="s">
        <v>4</v>
      </c>
      <c r="C3" s="131" t="n">
        <v>20</v>
      </c>
      <c r="D3" s="9" t="s">
        <v>3</v>
      </c>
      <c r="E3" s="132" t="s">
        <v>3</v>
      </c>
      <c r="F3" s="133" t="s">
        <v>111</v>
      </c>
    </row>
    <row r="4" customFormat="false" ht="21.75" hidden="false" customHeight="true" outlineLevel="0" collapsed="false">
      <c r="B4" s="32" t="s">
        <v>112</v>
      </c>
      <c r="C4" s="131" t="n">
        <v>436.1</v>
      </c>
      <c r="D4" s="9" t="s">
        <v>3</v>
      </c>
      <c r="E4" s="132" t="s">
        <v>3</v>
      </c>
      <c r="F4" s="133" t="s">
        <v>113</v>
      </c>
      <c r="M4" s="0" t="s">
        <v>198</v>
      </c>
    </row>
    <row r="5" customFormat="false" ht="22.5" hidden="false" customHeight="true" outlineLevel="0" collapsed="false">
      <c r="B5" s="10" t="s">
        <v>6</v>
      </c>
      <c r="C5" s="131" t="n">
        <v>2023</v>
      </c>
      <c r="D5" s="10" t="s">
        <v>7</v>
      </c>
      <c r="E5" s="134" t="n">
        <v>2042</v>
      </c>
      <c r="F5" s="133" t="s">
        <v>115</v>
      </c>
      <c r="M5" s="0" t="s">
        <v>199</v>
      </c>
    </row>
    <row r="6" customFormat="false" ht="20.25" hidden="false" customHeight="true" outlineLevel="0" collapsed="false">
      <c r="B6" s="11"/>
      <c r="C6" s="11"/>
      <c r="D6" s="11"/>
      <c r="E6" s="11"/>
      <c r="M6" s="0" t="s">
        <v>200</v>
      </c>
    </row>
    <row r="7" customFormat="false" ht="22.5" hidden="false" customHeight="true" outlineLevel="0" collapsed="false">
      <c r="B7" s="12" t="s">
        <v>8</v>
      </c>
      <c r="C7" s="124"/>
      <c r="D7" s="124"/>
      <c r="E7" s="125"/>
      <c r="M7" s="0" t="s">
        <v>201</v>
      </c>
    </row>
    <row r="8" customFormat="false" ht="22.5" hidden="false" customHeight="true" outlineLevel="0" collapsed="false">
      <c r="B8" s="13" t="s">
        <v>9</v>
      </c>
      <c r="E8" s="135"/>
      <c r="M8" s="0" t="s">
        <v>202</v>
      </c>
    </row>
    <row r="9" customFormat="false" ht="22.5" hidden="false" customHeight="true" outlineLevel="0" collapsed="false">
      <c r="B9" s="14" t="s">
        <v>10</v>
      </c>
      <c r="C9" s="15" t="s">
        <v>11</v>
      </c>
      <c r="D9" s="15" t="s">
        <v>12</v>
      </c>
      <c r="E9" s="136" t="s">
        <v>13</v>
      </c>
      <c r="F9" s="126" t="s">
        <v>108</v>
      </c>
      <c r="M9" s="0" t="s">
        <v>120</v>
      </c>
    </row>
    <row r="10" customFormat="false" ht="30" hidden="false" customHeight="true" outlineLevel="0" collapsed="false">
      <c r="B10" s="17" t="s">
        <v>14</v>
      </c>
      <c r="C10" s="18" t="s">
        <v>121</v>
      </c>
      <c r="D10" s="137" t="n">
        <v>547002</v>
      </c>
      <c r="E10" s="138" t="n">
        <v>20</v>
      </c>
      <c r="F10" s="133" t="s">
        <v>122</v>
      </c>
      <c r="M10" s="0" t="s">
        <v>107</v>
      </c>
    </row>
    <row r="11" customFormat="false" ht="30" hidden="false" customHeight="true" outlineLevel="0" collapsed="false">
      <c r="B11" s="139"/>
      <c r="C11" s="10" t="s">
        <v>16</v>
      </c>
      <c r="D11" s="140" t="n">
        <v>0.01</v>
      </c>
      <c r="E11" s="141"/>
      <c r="F11" s="133" t="s">
        <v>124</v>
      </c>
    </row>
    <row r="12" customFormat="false" ht="30" hidden="false" customHeight="true" outlineLevel="0" collapsed="false">
      <c r="B12" s="139"/>
      <c r="C12" s="10" t="s">
        <v>17</v>
      </c>
      <c r="D12" s="142" t="n">
        <v>0.004</v>
      </c>
      <c r="E12" s="141"/>
      <c r="F12" s="133" t="s">
        <v>125</v>
      </c>
    </row>
    <row r="13" customFormat="false" ht="22.5" hidden="false" customHeight="true" outlineLevel="0" collapsed="false">
      <c r="B13" s="139"/>
      <c r="C13" s="21" t="s">
        <v>126</v>
      </c>
      <c r="D13" s="143" t="n">
        <v>3.7152</v>
      </c>
      <c r="E13" s="141"/>
      <c r="F13" s="133" t="s">
        <v>127</v>
      </c>
    </row>
    <row r="14" customFormat="false" ht="22.5" hidden="false" customHeight="true" outlineLevel="0" collapsed="false">
      <c r="B14" s="22" t="s">
        <v>19</v>
      </c>
      <c r="C14" s="124"/>
      <c r="D14" s="124"/>
      <c r="E14" s="125"/>
    </row>
    <row r="15" customFormat="false" ht="22.5" hidden="false" customHeight="true" outlineLevel="0" collapsed="false">
      <c r="B15" s="14" t="s">
        <v>10</v>
      </c>
      <c r="C15" s="15" t="s">
        <v>11</v>
      </c>
      <c r="D15" s="15" t="s">
        <v>12</v>
      </c>
      <c r="E15" s="136" t="s">
        <v>20</v>
      </c>
      <c r="F15" s="126" t="s">
        <v>108</v>
      </c>
    </row>
    <row r="16" customFormat="false" ht="21.75" hidden="false" customHeight="true" outlineLevel="0" collapsed="false">
      <c r="B16" s="18" t="s">
        <v>128</v>
      </c>
      <c r="C16" s="18" t="s">
        <v>129</v>
      </c>
      <c r="D16" s="144" t="n">
        <v>20000</v>
      </c>
      <c r="E16" s="129" t="n">
        <v>20</v>
      </c>
      <c r="F16" s="133" t="s">
        <v>130</v>
      </c>
    </row>
    <row r="17" customFormat="false" ht="21.75" hidden="false" customHeight="true" outlineLevel="0" collapsed="false">
      <c r="B17" s="139"/>
      <c r="C17" s="10" t="s">
        <v>131</v>
      </c>
      <c r="D17" s="145" t="n">
        <v>0.2</v>
      </c>
      <c r="E17" s="141"/>
      <c r="F17" s="133" t="s">
        <v>132</v>
      </c>
    </row>
    <row r="18" customFormat="false" ht="21.75" hidden="false" customHeight="true" outlineLevel="0" collapsed="false">
      <c r="B18" s="146"/>
      <c r="C18" s="10" t="s">
        <v>24</v>
      </c>
      <c r="D18" s="147" t="n">
        <v>3000</v>
      </c>
      <c r="E18" s="148"/>
      <c r="F18" s="133" t="s">
        <v>133</v>
      </c>
    </row>
    <row r="19" customFormat="false" ht="54" hidden="false" customHeight="true" outlineLevel="0" collapsed="false">
      <c r="B19" s="10" t="s">
        <v>25</v>
      </c>
      <c r="C19" s="149" t="s">
        <v>134</v>
      </c>
      <c r="D19" s="145" t="n">
        <v>2</v>
      </c>
      <c r="E19" s="129" t="n">
        <v>20</v>
      </c>
      <c r="F19" s="133" t="s">
        <v>135</v>
      </c>
    </row>
    <row r="20" customFormat="false" ht="20.25" hidden="false" customHeight="true" outlineLevel="0" collapsed="false">
      <c r="B20" s="139"/>
      <c r="C20" s="26" t="s">
        <v>136</v>
      </c>
      <c r="D20" s="147" t="n">
        <v>0</v>
      </c>
      <c r="E20" s="129" t="n">
        <v>20</v>
      </c>
      <c r="F20" s="133" t="s">
        <v>137</v>
      </c>
    </row>
    <row r="21" customFormat="false" ht="30" hidden="false" customHeight="true" outlineLevel="0" collapsed="false">
      <c r="B21" s="146"/>
      <c r="C21" s="10" t="s">
        <v>138</v>
      </c>
      <c r="D21" s="145" t="n">
        <v>0.3</v>
      </c>
      <c r="E21" s="132" t="n">
        <v>20</v>
      </c>
      <c r="F21" s="133" t="s">
        <v>139</v>
      </c>
    </row>
    <row r="22" customFormat="false" ht="30" hidden="false" customHeight="true" outlineLevel="0" collapsed="false">
      <c r="B22" s="10" t="s">
        <v>29</v>
      </c>
      <c r="C22" s="10" t="s">
        <v>140</v>
      </c>
      <c r="D22" s="150" t="n">
        <v>400</v>
      </c>
      <c r="E22" s="132" t="n">
        <v>20</v>
      </c>
      <c r="F22" s="133" t="s">
        <v>141</v>
      </c>
    </row>
    <row r="23" customFormat="false" ht="30" hidden="false" customHeight="true" outlineLevel="0" collapsed="false">
      <c r="B23" s="10" t="s">
        <v>31</v>
      </c>
      <c r="C23" s="10" t="s">
        <v>32</v>
      </c>
      <c r="D23" s="145" t="n">
        <v>0.003</v>
      </c>
      <c r="E23" s="132" t="n">
        <v>20</v>
      </c>
      <c r="F23" s="133" t="s">
        <v>142</v>
      </c>
    </row>
    <row r="24" customFormat="false" ht="30" hidden="false" customHeight="true" outlineLevel="0" collapsed="false">
      <c r="B24" s="10" t="s">
        <v>33</v>
      </c>
      <c r="C24" s="10" t="s">
        <v>143</v>
      </c>
      <c r="D24" s="150" t="n">
        <v>1000</v>
      </c>
      <c r="E24" s="151" t="n">
        <v>10</v>
      </c>
      <c r="F24" s="133" t="s">
        <v>144</v>
      </c>
    </row>
    <row r="25" customFormat="false" ht="30" hidden="false" customHeight="true" outlineLevel="0" collapsed="false">
      <c r="B25" s="10" t="s">
        <v>35</v>
      </c>
      <c r="C25" s="10" t="s">
        <v>36</v>
      </c>
      <c r="D25" s="152" t="n">
        <v>0.025595</v>
      </c>
      <c r="E25" s="132" t="n">
        <v>20</v>
      </c>
      <c r="F25" s="133" t="s">
        <v>145</v>
      </c>
    </row>
    <row r="26" customFormat="false" ht="30" hidden="false" customHeight="true" outlineLevel="0" collapsed="false">
      <c r="B26" s="10" t="s">
        <v>37</v>
      </c>
      <c r="C26" s="10" t="s">
        <v>38</v>
      </c>
      <c r="D26" s="145" t="n">
        <v>0.2</v>
      </c>
      <c r="E26" s="132" t="n">
        <v>20</v>
      </c>
      <c r="F26" s="133" t="s">
        <v>146</v>
      </c>
    </row>
    <row r="27" customFormat="false" ht="20.25" hidden="false" customHeight="true" outlineLevel="0" collapsed="false">
      <c r="B27" s="11"/>
      <c r="C27" s="11"/>
      <c r="D27" s="11"/>
      <c r="E27" s="11"/>
    </row>
    <row r="28" customFormat="false" ht="20.25" hidden="false" customHeight="true" outlineLevel="0" collapsed="false">
      <c r="B28" s="11"/>
      <c r="C28" s="11"/>
      <c r="D28" s="11"/>
      <c r="E28" s="11"/>
    </row>
    <row r="29" customFormat="false" ht="22.5" hidden="false" customHeight="true" outlineLevel="0" collapsed="false">
      <c r="B29" s="12" t="s">
        <v>39</v>
      </c>
      <c r="C29" s="124"/>
      <c r="D29" s="125"/>
      <c r="E29" s="11"/>
    </row>
    <row r="30" customFormat="false" ht="22.5" hidden="false" customHeight="true" outlineLevel="0" collapsed="false">
      <c r="B30" s="14" t="s">
        <v>40</v>
      </c>
      <c r="C30" s="29" t="s">
        <v>11</v>
      </c>
      <c r="D30" s="30" t="s">
        <v>12</v>
      </c>
      <c r="E30" s="11"/>
      <c r="F30" s="126" t="s">
        <v>108</v>
      </c>
    </row>
    <row r="31" customFormat="false" ht="30" hidden="false" customHeight="true" outlineLevel="0" collapsed="false">
      <c r="B31" s="18" t="s">
        <v>41</v>
      </c>
      <c r="C31" s="5" t="s">
        <v>42</v>
      </c>
      <c r="D31" s="153" t="n">
        <v>0.8</v>
      </c>
      <c r="E31" s="11"/>
      <c r="F31" s="133" t="s">
        <v>147</v>
      </c>
    </row>
    <row r="32" customFormat="false" ht="18.75" hidden="false" customHeight="true" outlineLevel="0" collapsed="false">
      <c r="B32" s="18" t="s">
        <v>43</v>
      </c>
      <c r="C32" s="5" t="s">
        <v>44</v>
      </c>
      <c r="D32" s="153" t="n">
        <v>15</v>
      </c>
      <c r="E32" s="11"/>
      <c r="F32" s="133" t="s">
        <v>148</v>
      </c>
    </row>
    <row r="33" customFormat="false" ht="18.75" hidden="false" customHeight="true" outlineLevel="0" collapsed="false">
      <c r="B33" s="10" t="s">
        <v>45</v>
      </c>
      <c r="C33" s="32" t="s">
        <v>46</v>
      </c>
      <c r="D33" s="145" t="n">
        <v>0.9</v>
      </c>
      <c r="E33" s="11"/>
      <c r="F33" s="133" t="s">
        <v>149</v>
      </c>
    </row>
    <row r="34" customFormat="false" ht="30" hidden="false" customHeight="true" outlineLevel="0" collapsed="false">
      <c r="B34" s="10" t="s">
        <v>47</v>
      </c>
      <c r="C34" s="32" t="s">
        <v>44</v>
      </c>
      <c r="D34" s="145" t="n">
        <v>4</v>
      </c>
      <c r="E34" s="11"/>
      <c r="F34" s="133" t="s">
        <v>150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97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54" t="n">
        <v>0</v>
      </c>
      <c r="C38" s="155"/>
      <c r="D38" s="156"/>
      <c r="E38" s="156"/>
      <c r="F38" s="157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9"/>
      <c r="U38" s="158"/>
      <c r="V38" s="158"/>
      <c r="W38" s="158"/>
      <c r="X38" s="160"/>
    </row>
    <row r="39" customFormat="false" ht="18.75" hidden="false" customHeight="true" outlineLevel="0" collapsed="false">
      <c r="B39" s="161" t="s">
        <v>51</v>
      </c>
      <c r="C39" s="162" t="n">
        <v>0</v>
      </c>
      <c r="D39" s="163" t="n">
        <v>1</v>
      </c>
      <c r="E39" s="163" t="n">
        <v>2</v>
      </c>
      <c r="F39" s="163" t="n">
        <v>3</v>
      </c>
      <c r="G39" s="163" t="n">
        <v>4</v>
      </c>
      <c r="H39" s="163" t="n">
        <v>5</v>
      </c>
      <c r="I39" s="163" t="n">
        <v>6</v>
      </c>
      <c r="J39" s="163" t="n">
        <v>7</v>
      </c>
      <c r="K39" s="163" t="n">
        <v>8</v>
      </c>
      <c r="L39" s="163" t="n">
        <v>9</v>
      </c>
      <c r="M39" s="163" t="n">
        <v>10</v>
      </c>
      <c r="N39" s="163" t="n">
        <v>11</v>
      </c>
      <c r="O39" s="163" t="n">
        <v>12</v>
      </c>
      <c r="P39" s="163" t="n">
        <v>13</v>
      </c>
      <c r="Q39" s="163" t="n">
        <v>14</v>
      </c>
      <c r="R39" s="163" t="n">
        <v>15</v>
      </c>
      <c r="S39" s="163" t="n">
        <v>16</v>
      </c>
      <c r="T39" s="164" t="n">
        <v>17</v>
      </c>
      <c r="U39" s="163" t="n">
        <v>18</v>
      </c>
      <c r="V39" s="163" t="n">
        <v>19</v>
      </c>
      <c r="W39" s="163" t="n">
        <v>20</v>
      </c>
      <c r="X39" s="47"/>
    </row>
    <row r="40" customFormat="false" ht="18.75" hidden="false" customHeight="true" outlineLevel="0" collapsed="false">
      <c r="B40" s="165" t="s">
        <v>52</v>
      </c>
      <c r="C40" s="166" t="n">
        <v>0</v>
      </c>
      <c r="D40" s="167" t="n">
        <f aca="false">$D$10*P1</f>
        <v>541531.98</v>
      </c>
      <c r="E40" s="167" t="n">
        <f aca="false">$D$10*Q1</f>
        <v>539343.972</v>
      </c>
      <c r="F40" s="167" t="n">
        <f aca="false">$D$10*R1</f>
        <v>537155.964</v>
      </c>
      <c r="G40" s="167" t="n">
        <f aca="false">$D$10*S1</f>
        <v>534967.956</v>
      </c>
      <c r="H40" s="167" t="n">
        <f aca="false">$D$10*T1</f>
        <v>532779.948</v>
      </c>
      <c r="I40" s="167" t="n">
        <f aca="false">$D$10*U1</f>
        <v>530591.94</v>
      </c>
      <c r="J40" s="167" t="n">
        <f aca="false">$D$10*V1</f>
        <v>528403.932</v>
      </c>
      <c r="K40" s="167" t="n">
        <f aca="false">$D$10*W1</f>
        <v>526215.924</v>
      </c>
      <c r="L40" s="167" t="n">
        <f aca="false">$D$10*X1</f>
        <v>524027.916</v>
      </c>
      <c r="M40" s="167" t="n">
        <f aca="false">$D$10*Y1</f>
        <v>521839.908</v>
      </c>
      <c r="N40" s="167" t="n">
        <f aca="false">$D$10*Z1</f>
        <v>519651.9</v>
      </c>
      <c r="O40" s="167" t="n">
        <f aca="false">$D$10*AA1</f>
        <v>517463.892</v>
      </c>
      <c r="P40" s="167" t="n">
        <f aca="false">$D$10*AB1</f>
        <v>515275.884</v>
      </c>
      <c r="Q40" s="167" t="n">
        <f aca="false">$D$10*AC1</f>
        <v>513087.876</v>
      </c>
      <c r="R40" s="167" t="n">
        <f aca="false">$D$10*AD1</f>
        <v>510899.868</v>
      </c>
      <c r="S40" s="167" t="n">
        <f aca="false">$D$10*AE1</f>
        <v>508711.86</v>
      </c>
      <c r="T40" s="167" t="n">
        <f aca="false">$D$10*AF1</f>
        <v>506523.852</v>
      </c>
      <c r="U40" s="167" t="n">
        <f aca="false">$D$10*AG1</f>
        <v>504335.844</v>
      </c>
      <c r="V40" s="167" t="n">
        <f aca="false">$D$10*AH1</f>
        <v>502147.836</v>
      </c>
      <c r="W40" s="167" t="n">
        <f aca="false">$D$10*AI1</f>
        <v>499959.828</v>
      </c>
      <c r="X40" s="168"/>
    </row>
    <row r="41" customFormat="false" ht="18.75" hidden="false" customHeight="true" outlineLevel="0" collapsed="false">
      <c r="B41" s="169" t="s">
        <v>53</v>
      </c>
      <c r="C41" s="170" t="s">
        <v>3</v>
      </c>
      <c r="D41" s="171" t="n">
        <f aca="false">D40*$D$13</f>
        <v>2011899.612096</v>
      </c>
      <c r="E41" s="171" t="n">
        <f aca="false">E40*$D$13</f>
        <v>2003770.7247744</v>
      </c>
      <c r="F41" s="171" t="n">
        <f aca="false">F40*$D$13</f>
        <v>1995641.8374528</v>
      </c>
      <c r="G41" s="171" t="n">
        <f aca="false">G40*$D$13</f>
        <v>1987512.9501312</v>
      </c>
      <c r="H41" s="171" t="n">
        <f aca="false">H40*$D$13</f>
        <v>1979384.0628096</v>
      </c>
      <c r="I41" s="171" t="n">
        <f aca="false">I40*$D$13</f>
        <v>1971255.175488</v>
      </c>
      <c r="J41" s="171" t="n">
        <f aca="false">J40*$D$13</f>
        <v>1963126.2881664</v>
      </c>
      <c r="K41" s="171" t="n">
        <f aca="false">K40*$D$13</f>
        <v>1954997.4008448</v>
      </c>
      <c r="L41" s="171" t="n">
        <f aca="false">L40*$D$13</f>
        <v>1946868.5135232</v>
      </c>
      <c r="M41" s="171" t="n">
        <f aca="false">M40*$D$13</f>
        <v>1938739.6262016</v>
      </c>
      <c r="N41" s="171" t="n">
        <f aca="false">N40*$D$13</f>
        <v>1930610.73888</v>
      </c>
      <c r="O41" s="171" t="n">
        <f aca="false">O40*$D$13</f>
        <v>1922481.8515584</v>
      </c>
      <c r="P41" s="171" t="n">
        <f aca="false">P40*$D$13</f>
        <v>1914352.9642368</v>
      </c>
      <c r="Q41" s="171" t="n">
        <f aca="false">Q40*$D$13</f>
        <v>1906224.0769152</v>
      </c>
      <c r="R41" s="171" t="n">
        <f aca="false">R40*$D$13</f>
        <v>1898095.1895936</v>
      </c>
      <c r="S41" s="171" t="n">
        <f aca="false">S40*$D$13</f>
        <v>1889966.302272</v>
      </c>
      <c r="T41" s="171" t="n">
        <f aca="false">T40*$D$13</f>
        <v>1881837.4149504</v>
      </c>
      <c r="U41" s="171" t="n">
        <f aca="false">U40*$D$13</f>
        <v>1873708.5276288</v>
      </c>
      <c r="V41" s="171" t="n">
        <f aca="false">V40*$D$13</f>
        <v>1865579.6403072</v>
      </c>
      <c r="W41" s="171" t="n">
        <f aca="false">W40*$D$13</f>
        <v>1857450.7529856</v>
      </c>
      <c r="X41" s="172"/>
    </row>
    <row r="42" customFormat="false" ht="18.75" hidden="false" customHeight="true" outlineLevel="0" collapsed="false">
      <c r="B42" s="173" t="s">
        <v>54</v>
      </c>
      <c r="C42" s="174" t="s">
        <v>3</v>
      </c>
      <c r="D42" s="175"/>
      <c r="E42" s="175"/>
      <c r="F42" s="175"/>
      <c r="G42" s="176" t="s">
        <v>3</v>
      </c>
      <c r="H42" s="176" t="s">
        <v>3</v>
      </c>
      <c r="I42" s="176" t="s">
        <v>3</v>
      </c>
      <c r="J42" s="176" t="s">
        <v>3</v>
      </c>
      <c r="K42" s="176" t="s">
        <v>3</v>
      </c>
      <c r="L42" s="176" t="s">
        <v>3</v>
      </c>
      <c r="M42" s="176" t="s">
        <v>3</v>
      </c>
      <c r="N42" s="176" t="s">
        <v>3</v>
      </c>
      <c r="O42" s="176" t="s">
        <v>3</v>
      </c>
      <c r="P42" s="176" t="s">
        <v>3</v>
      </c>
      <c r="Q42" s="176" t="s">
        <v>3</v>
      </c>
      <c r="R42" s="176" t="s">
        <v>3</v>
      </c>
      <c r="S42" s="176" t="s">
        <v>3</v>
      </c>
      <c r="T42" s="176" t="s">
        <v>3</v>
      </c>
      <c r="U42" s="176" t="s">
        <v>3</v>
      </c>
      <c r="V42" s="176" t="s">
        <v>3</v>
      </c>
      <c r="W42" s="176" t="s">
        <v>3</v>
      </c>
      <c r="X42" s="177"/>
    </row>
    <row r="43" customFormat="false" ht="18.75" hidden="false" customHeight="true" outlineLevel="0" collapsed="false">
      <c r="B43" s="178" t="s">
        <v>55</v>
      </c>
      <c r="C43" s="179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customFormat="false" ht="18.75" hidden="false" customHeight="true" outlineLevel="0" collapsed="false">
      <c r="B44" s="182" t="s">
        <v>56</v>
      </c>
      <c r="C44" s="183" t="n">
        <f aca="false">-(D16/(1-D17)+D18)*C4</f>
        <v>-12210800</v>
      </c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</row>
    <row r="45" customFormat="false" ht="18.75" hidden="false" customHeight="true" outlineLevel="0" collapsed="false">
      <c r="B45" s="182" t="s">
        <v>57</v>
      </c>
      <c r="C45" s="174" t="s">
        <v>3</v>
      </c>
      <c r="D45" s="0" t="n">
        <v>-603569.8836288</v>
      </c>
      <c r="E45" s="184" t="n">
        <v>-601131.21743232</v>
      </c>
      <c r="F45" s="184" t="n">
        <v>-598692.55123584</v>
      </c>
      <c r="G45" s="184" t="n">
        <v>-596253.88503936</v>
      </c>
      <c r="H45" s="184" t="n">
        <v>-593815.21884288</v>
      </c>
      <c r="I45" s="184" t="n">
        <v>-591376.5526464</v>
      </c>
      <c r="J45" s="184" t="n">
        <v>-588937.88644992</v>
      </c>
      <c r="K45" s="184" t="n">
        <v>-586499.22025344</v>
      </c>
      <c r="L45" s="184" t="n">
        <v>-584060.55405696</v>
      </c>
      <c r="M45" s="184" t="n">
        <v>-581621.88786048</v>
      </c>
      <c r="N45" s="184" t="n">
        <v>-579183.221664</v>
      </c>
      <c r="O45" s="184" t="n">
        <v>-576744.55546752</v>
      </c>
      <c r="P45" s="184" t="n">
        <v>-574305.88927104</v>
      </c>
      <c r="Q45" s="184" t="n">
        <v>-571867.22307456</v>
      </c>
      <c r="R45" s="184" t="n">
        <v>-569428.55687808</v>
      </c>
      <c r="S45" s="184" t="n">
        <v>-566989.8906816</v>
      </c>
      <c r="T45" s="184" t="n">
        <v>-564551.22448512</v>
      </c>
      <c r="U45" s="184" t="n">
        <v>-562112.55828864</v>
      </c>
      <c r="V45" s="184" t="n">
        <v>-559673.89209216</v>
      </c>
      <c r="W45" s="184" t="n">
        <v>-557235.22589568</v>
      </c>
      <c r="X45" s="184"/>
    </row>
    <row r="46" customFormat="false" ht="18.75" hidden="false" customHeight="true" outlineLevel="0" collapsed="false">
      <c r="B46" s="182" t="s">
        <v>58</v>
      </c>
      <c r="C46" s="17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</row>
    <row r="47" customFormat="false" ht="18.75" hidden="false" customHeight="true" outlineLevel="0" collapsed="false">
      <c r="B47" s="182" t="s">
        <v>59</v>
      </c>
      <c r="C47" s="174" t="s">
        <v>3</v>
      </c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</row>
    <row r="48" customFormat="false" ht="18.75" hidden="false" customHeight="true" outlineLevel="0" collapsed="false">
      <c r="B48" s="182" t="s">
        <v>60</v>
      </c>
      <c r="C48" s="174" t="s">
        <v>3</v>
      </c>
      <c r="D48" s="184" t="n">
        <v>-174440</v>
      </c>
      <c r="E48" s="184" t="n">
        <v>-174440</v>
      </c>
      <c r="F48" s="184" t="n">
        <v>-174440</v>
      </c>
      <c r="G48" s="184" t="n">
        <v>-174440</v>
      </c>
      <c r="H48" s="184" t="n">
        <v>-174440</v>
      </c>
      <c r="I48" s="184" t="n">
        <v>-174440</v>
      </c>
      <c r="J48" s="184" t="n">
        <v>-174440</v>
      </c>
      <c r="K48" s="184" t="n">
        <v>-174440</v>
      </c>
      <c r="L48" s="184" t="n">
        <v>-174440</v>
      </c>
      <c r="M48" s="184" t="n">
        <v>-174440</v>
      </c>
      <c r="N48" s="184" t="n">
        <v>-174440</v>
      </c>
      <c r="O48" s="184" t="n">
        <v>-174440</v>
      </c>
      <c r="P48" s="184" t="n">
        <v>-174440</v>
      </c>
      <c r="Q48" s="184" t="n">
        <v>-174440</v>
      </c>
      <c r="R48" s="184" t="n">
        <v>-174440</v>
      </c>
      <c r="S48" s="184" t="n">
        <v>-174440</v>
      </c>
      <c r="T48" s="184" t="n">
        <v>-174440</v>
      </c>
      <c r="U48" s="184" t="n">
        <v>-174440</v>
      </c>
      <c r="V48" s="184" t="n">
        <v>-174440</v>
      </c>
      <c r="W48" s="184" t="n">
        <v>-174440</v>
      </c>
      <c r="X48" s="184"/>
    </row>
    <row r="49" customFormat="false" ht="18.75" hidden="false" customHeight="true" outlineLevel="0" collapsed="false">
      <c r="B49" s="182" t="s">
        <v>61</v>
      </c>
      <c r="C49" s="174" t="s">
        <v>3</v>
      </c>
      <c r="D49" s="184" t="n">
        <v>-26166</v>
      </c>
      <c r="E49" s="184" t="n">
        <v>-26166</v>
      </c>
      <c r="F49" s="184" t="n">
        <v>-26166</v>
      </c>
      <c r="G49" s="184" t="n">
        <v>-26166</v>
      </c>
      <c r="H49" s="184" t="n">
        <v>-26166</v>
      </c>
      <c r="I49" s="184" t="n">
        <v>-26166</v>
      </c>
      <c r="J49" s="184" t="n">
        <v>-26166</v>
      </c>
      <c r="K49" s="184" t="n">
        <v>-26166</v>
      </c>
      <c r="L49" s="184" t="n">
        <v>-26166</v>
      </c>
      <c r="M49" s="184" t="n">
        <v>-26166</v>
      </c>
      <c r="N49" s="184" t="n">
        <v>-26166</v>
      </c>
      <c r="O49" s="184" t="n">
        <v>-26166</v>
      </c>
      <c r="P49" s="184" t="n">
        <v>-26166</v>
      </c>
      <c r="Q49" s="184" t="n">
        <v>-26166</v>
      </c>
      <c r="R49" s="184" t="n">
        <v>-26166</v>
      </c>
      <c r="S49" s="184" t="n">
        <v>-26166</v>
      </c>
      <c r="T49" s="184" t="n">
        <v>-26166</v>
      </c>
      <c r="U49" s="184" t="n">
        <v>-26166</v>
      </c>
      <c r="V49" s="184" t="n">
        <v>-26166</v>
      </c>
      <c r="W49" s="184" t="n">
        <v>-26166</v>
      </c>
      <c r="X49" s="184"/>
    </row>
    <row r="50" customFormat="false" ht="18.75" hidden="false" customHeight="true" outlineLevel="0" collapsed="false">
      <c r="B50" s="182" t="s">
        <v>62</v>
      </c>
      <c r="C50" s="174"/>
      <c r="D50" s="184" t="n">
        <v>-43610</v>
      </c>
      <c r="E50" s="184" t="n">
        <v>-43610</v>
      </c>
      <c r="F50" s="184" t="n">
        <v>-43610</v>
      </c>
      <c r="G50" s="184" t="n">
        <v>-43610</v>
      </c>
      <c r="H50" s="184" t="n">
        <v>-43610</v>
      </c>
      <c r="I50" s="184" t="n">
        <v>-43610</v>
      </c>
      <c r="J50" s="184" t="n">
        <v>-43610</v>
      </c>
      <c r="K50" s="184" t="n">
        <v>-43610</v>
      </c>
      <c r="L50" s="184" t="n">
        <v>-43610</v>
      </c>
      <c r="M50" s="184" t="n">
        <v>-43610</v>
      </c>
      <c r="N50" s="184" t="n">
        <v>0</v>
      </c>
      <c r="O50" s="184" t="n">
        <v>0</v>
      </c>
      <c r="P50" s="184" t="n">
        <v>0</v>
      </c>
      <c r="Q50" s="184" t="n">
        <v>0</v>
      </c>
      <c r="R50" s="184" t="n">
        <v>0</v>
      </c>
      <c r="S50" s="184" t="n">
        <v>0</v>
      </c>
      <c r="T50" s="184" t="n">
        <v>0</v>
      </c>
      <c r="U50" s="184" t="n">
        <v>0</v>
      </c>
      <c r="V50" s="184" t="n">
        <v>0</v>
      </c>
      <c r="W50" s="184" t="n">
        <v>0</v>
      </c>
      <c r="X50" s="184"/>
    </row>
    <row r="51" customFormat="false" ht="18.75" hidden="false" customHeight="true" outlineLevel="0" collapsed="false">
      <c r="B51" s="182" t="s">
        <v>63</v>
      </c>
      <c r="C51" s="185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</row>
    <row r="52" customFormat="false" ht="18.75" hidden="false" customHeight="true" outlineLevel="0" collapsed="false">
      <c r="B52" s="182" t="s">
        <v>64</v>
      </c>
      <c r="C52" s="185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</row>
    <row r="53" customFormat="false" ht="18.75" hidden="false" customHeight="true" outlineLevel="0" collapsed="false">
      <c r="B53" s="186" t="s">
        <v>65</v>
      </c>
      <c r="C53" s="185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</row>
    <row r="54" customFormat="false" ht="18.75" hidden="false" customHeight="true" outlineLevel="0" collapsed="false">
      <c r="B54" s="186" t="s">
        <v>66</v>
      </c>
      <c r="C54" s="185"/>
      <c r="D54" s="184" t="n">
        <f aca="false">-(D64+D67+D68+D71+D72+D73+D74)*0.2</f>
        <v>-231428.7224192</v>
      </c>
      <c r="E54" s="184" t="n">
        <f aca="false">-(E64+E67+E68+E71+E72+E73+E74)*0.2</f>
        <v>-109576.701468416</v>
      </c>
      <c r="F54" s="184" t="n">
        <f aca="false">-(F64+F67+F68+F71+F72+F73+F74)*0.2</f>
        <v>-108438.657243392</v>
      </c>
      <c r="G54" s="184" t="n">
        <f aca="false">-(G64+G67+G68+G71+G72+G73+G74)*0.2</f>
        <v>-107300.613018368</v>
      </c>
      <c r="H54" s="184" t="n">
        <f aca="false">-(H64+H67+H68+H71+H72+H73+H74)*0.2</f>
        <v>-106162.568793344</v>
      </c>
      <c r="I54" s="184" t="n">
        <f aca="false">-(I64+I67+I68+I71+I72+I73+I74)*0.2</f>
        <v>-105024.52456832</v>
      </c>
      <c r="J54" s="184" t="n">
        <f aca="false">-(J64+J67+J68+J71+J72+J73+J74)*0.2</f>
        <v>-103886.480343296</v>
      </c>
      <c r="K54" s="184" t="n">
        <f aca="false">-(K64+K67+K68+K71+K72+K73+K74)*0.2</f>
        <v>-102748.436118272</v>
      </c>
      <c r="L54" s="184" t="n">
        <f aca="false">-(L64+L67+L68+L71+L72+L73+L74)*0.2</f>
        <v>-101610.391893248</v>
      </c>
      <c r="M54" s="184" t="n">
        <f aca="false">-(M64+M67+M68+M71+M72+M73+M74)*0.2</f>
        <v>-100472.347668224</v>
      </c>
      <c r="N54" s="184" t="n">
        <f aca="false">-(N64+N67+N68+N71+N72+N73+N74)*0.2</f>
        <v>-108056.3034432</v>
      </c>
      <c r="O54" s="184" t="n">
        <f aca="false">-(O64+O67+O68+O71+O72+O73+O74)*0.2</f>
        <v>-106918.259218176</v>
      </c>
      <c r="P54" s="184" t="n">
        <f aca="false">-(P64+P67+P68+P71+P72+P73+P74)*0.2</f>
        <v>-105780.214993152</v>
      </c>
      <c r="Q54" s="184" t="n">
        <f aca="false">-(Q64+Q67+Q68+Q71+Q72+Q73+Q74)*0.2</f>
        <v>-104642.170768128</v>
      </c>
      <c r="R54" s="184" t="n">
        <f aca="false">-(R64+R67+R68+R71+R72+R73+R74)*0.2</f>
        <v>-103504.126543104</v>
      </c>
      <c r="S54" s="184" t="n">
        <f aca="false">-(S64+S67+S68+S71+S72+S73+S74)*0.2</f>
        <v>-102366.08231808</v>
      </c>
      <c r="T54" s="184" t="n">
        <f aca="false">-(T64+T67+T68+T71+T72+T73+T74)*0.2</f>
        <v>-101228.038093056</v>
      </c>
      <c r="U54" s="184" t="n">
        <f aca="false">-(U64+U67+U68+U71+U72+U73+U74)*0.2</f>
        <v>-100089.993868032</v>
      </c>
      <c r="V54" s="184" t="n">
        <f aca="false">-(V64+V67+V68+V71+V72+V73+V74)*0.2</f>
        <v>-98951.949643008</v>
      </c>
      <c r="W54" s="184" t="n">
        <f aca="false">-(W64+W67+W68+W71+W72+W73+W74)*0.2</f>
        <v>-97813.905417984</v>
      </c>
      <c r="X54" s="175"/>
    </row>
    <row r="55" customFormat="false" ht="18.75" hidden="false" customHeight="true" outlineLevel="0" collapsed="false">
      <c r="B55" s="187" t="s">
        <v>67</v>
      </c>
      <c r="C55" s="188" t="n">
        <f aca="false">C44</f>
        <v>-12210800</v>
      </c>
      <c r="D55" s="189" t="n">
        <f aca="false">SUM(D41:D54)</f>
        <v>932685.006048</v>
      </c>
      <c r="E55" s="189" t="n">
        <f aca="false">SUM(E41:E54)</f>
        <v>1048846.80587366</v>
      </c>
      <c r="F55" s="189" t="n">
        <f aca="false">SUM(F41:F54)</f>
        <v>1044294.62897357</v>
      </c>
      <c r="G55" s="189" t="n">
        <f aca="false">SUM(G41:G54)</f>
        <v>1039742.45207347</v>
      </c>
      <c r="H55" s="189" t="n">
        <f aca="false">SUM(H41:H54)</f>
        <v>1035190.27517338</v>
      </c>
      <c r="I55" s="189" t="n">
        <f aca="false">SUM(I41:I54)</f>
        <v>1030638.09827328</v>
      </c>
      <c r="J55" s="189" t="n">
        <f aca="false">SUM(J41:J54)</f>
        <v>1026085.92137318</v>
      </c>
      <c r="K55" s="189" t="n">
        <f aca="false">SUM(K41:K54)</f>
        <v>1021533.74447309</v>
      </c>
      <c r="L55" s="189" t="n">
        <f aca="false">SUM(L41:L54)</f>
        <v>1016981.56757299</v>
      </c>
      <c r="M55" s="189" t="n">
        <f aca="false">SUM(M41:M54)</f>
        <v>1012429.3906729</v>
      </c>
      <c r="N55" s="189" t="n">
        <f aca="false">SUM(N41:N54)</f>
        <v>1042765.2137728</v>
      </c>
      <c r="O55" s="189" t="n">
        <f aca="false">SUM(O41:O54)</f>
        <v>1038213.0368727</v>
      </c>
      <c r="P55" s="189" t="n">
        <f aca="false">SUM(P41:P54)</f>
        <v>1033660.85997261</v>
      </c>
      <c r="Q55" s="189" t="n">
        <f aca="false">SUM(Q41:Q54)</f>
        <v>1029108.68307251</v>
      </c>
      <c r="R55" s="189" t="n">
        <f aca="false">SUM(R41:R54)</f>
        <v>1024556.50617242</v>
      </c>
      <c r="S55" s="189" t="n">
        <f aca="false">SUM(S41:S54)</f>
        <v>1020004.32927232</v>
      </c>
      <c r="T55" s="189" t="n">
        <f aca="false">SUM(T41:T54)</f>
        <v>1015452.15237222</v>
      </c>
      <c r="U55" s="189" t="n">
        <f aca="false">SUM(U41:U54)</f>
        <v>1010899.97547213</v>
      </c>
      <c r="V55" s="189" t="n">
        <f aca="false">SUM(V41:V54)</f>
        <v>1006347.79857203</v>
      </c>
      <c r="W55" s="189" t="n">
        <f aca="false">SUM(W41:W54)</f>
        <v>1001795.62167194</v>
      </c>
      <c r="X55" s="190"/>
      <c r="Y55" s="191"/>
      <c r="Z55" s="192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</row>
    <row r="56" customFormat="false" ht="18.75" hidden="false" customHeight="true" outlineLevel="0" collapsed="false">
      <c r="B56" s="193" t="s">
        <v>68</v>
      </c>
      <c r="D56" s="194" t="n">
        <f aca="false">C55+D55</f>
        <v>-11278114.993952</v>
      </c>
      <c r="E56" s="194" t="n">
        <f aca="false">D56+E55</f>
        <v>-10229268.1880783</v>
      </c>
      <c r="F56" s="194" t="n">
        <f aca="false">E56+F55</f>
        <v>-9184973.55910477</v>
      </c>
      <c r="G56" s="194" t="n">
        <f aca="false">F56+G55</f>
        <v>-8145231.1070313</v>
      </c>
      <c r="H56" s="194" t="n">
        <f aca="false">G56+H55</f>
        <v>-7110040.83185792</v>
      </c>
      <c r="I56" s="194" t="n">
        <f aca="false">H56+I55</f>
        <v>-6079402.73358464</v>
      </c>
      <c r="J56" s="194" t="n">
        <f aca="false">I56+J55</f>
        <v>-5053316.81221146</v>
      </c>
      <c r="K56" s="194" t="n">
        <f aca="false">J56+K55</f>
        <v>-4031783.06773837</v>
      </c>
      <c r="L56" s="194" t="n">
        <f aca="false">K56+L55</f>
        <v>-3014801.50016538</v>
      </c>
      <c r="M56" s="194" t="n">
        <f aca="false">L56+M55</f>
        <v>-2002372.10949248</v>
      </c>
      <c r="N56" s="194" t="n">
        <f aca="false">M56+N55</f>
        <v>-959606.895719683</v>
      </c>
      <c r="O56" s="194" t="n">
        <f aca="false">N56+O55</f>
        <v>78606.1411530214</v>
      </c>
      <c r="P56" s="194" t="n">
        <f aca="false">O56+P55</f>
        <v>1112267.00112563</v>
      </c>
      <c r="Q56" s="194" t="n">
        <f aca="false">P56+Q55</f>
        <v>2141375.68419814</v>
      </c>
      <c r="R56" s="194" t="n">
        <f aca="false">Q56+R55</f>
        <v>3165932.19037056</v>
      </c>
      <c r="S56" s="194" t="n">
        <f aca="false">R56+S55</f>
        <v>4185936.51964288</v>
      </c>
      <c r="T56" s="194" t="n">
        <f aca="false">S56+T55</f>
        <v>5201388.6720151</v>
      </c>
      <c r="U56" s="194" t="n">
        <f aca="false">T56+U55</f>
        <v>6212288.64748723</v>
      </c>
      <c r="V56" s="194" t="n">
        <f aca="false">U56+V55</f>
        <v>7218636.44605926</v>
      </c>
      <c r="W56" s="194" t="n">
        <f aca="false">V56+W55</f>
        <v>8220432.0677312</v>
      </c>
      <c r="X56" s="194" t="n">
        <f aca="false">W56+X55</f>
        <v>8220432.0677312</v>
      </c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</row>
    <row r="57" customFormat="false" ht="18.75" hidden="false" customHeight="true" outlineLevel="0" collapsed="false">
      <c r="B57" s="195" t="s">
        <v>74</v>
      </c>
      <c r="C57" s="196"/>
      <c r="D57" s="197" t="str">
        <f aca="false">IF((D56)&gt;0,"回收","未回收")</f>
        <v>未回收</v>
      </c>
      <c r="E57" s="198" t="str">
        <f aca="false">IF((E56)&gt;0,"回收","未回收")</f>
        <v>未回收</v>
      </c>
      <c r="F57" s="198" t="str">
        <f aca="false">IF((F56)&gt;0,"回收","未回收")</f>
        <v>未回收</v>
      </c>
      <c r="G57" s="198" t="str">
        <f aca="false">IF((G56)&gt;0,"回收","未回收")</f>
        <v>未回收</v>
      </c>
      <c r="H57" s="198" t="str">
        <f aca="false">IF((H56)&gt;0,"回收","未回收")</f>
        <v>未回收</v>
      </c>
      <c r="I57" s="198" t="str">
        <f aca="false">IF((I56)&gt;0,"回收","未回收")</f>
        <v>未回收</v>
      </c>
      <c r="J57" s="198" t="str">
        <f aca="false">IF((J56)&gt;0,"回收","未回收")</f>
        <v>未回收</v>
      </c>
      <c r="K57" s="198" t="str">
        <f aca="false">IF((K56)&gt;0,"回收","未回收")</f>
        <v>未回收</v>
      </c>
      <c r="L57" s="198" t="str">
        <f aca="false">IF((L56)&gt;0,"回收","未回收")</f>
        <v>未回收</v>
      </c>
      <c r="M57" s="198" t="str">
        <f aca="false">IF((M56)&gt;0,"回收","未回收")</f>
        <v>未回收</v>
      </c>
      <c r="N57" s="198" t="str">
        <f aca="false">IF((N56)&gt;0,"回收","未回收")</f>
        <v>未回收</v>
      </c>
      <c r="O57" s="198" t="str">
        <f aca="false">IF((O56)&gt;0,"回收","未回收")</f>
        <v>回收</v>
      </c>
      <c r="P57" s="198" t="str">
        <f aca="false">IF((P56)&gt;0,"回收","未回收")</f>
        <v>回收</v>
      </c>
      <c r="Q57" s="198" t="str">
        <f aca="false">IF((Q56)&gt;0,"回收","未回收")</f>
        <v>回收</v>
      </c>
      <c r="R57" s="198" t="str">
        <f aca="false">IF((R56)&gt;0,"回收","未回收")</f>
        <v>回收</v>
      </c>
      <c r="S57" s="198" t="str">
        <f aca="false">IF((S56)&gt;0,"回收","未回收")</f>
        <v>回收</v>
      </c>
      <c r="T57" s="198" t="str">
        <f aca="false">IF((T56)&gt;0,"回收","未回收")</f>
        <v>回收</v>
      </c>
      <c r="U57" s="198" t="str">
        <f aca="false">IF((U56)&gt;0,"回收","未回收")</f>
        <v>回收</v>
      </c>
      <c r="V57" s="198" t="str">
        <f aca="false">IF((V56)&gt;0,"回收","未回收")</f>
        <v>回收</v>
      </c>
      <c r="W57" s="198" t="str">
        <f aca="false">IF((W56)&gt;0,"回收","未回收")</f>
        <v>回收</v>
      </c>
      <c r="X57" s="198" t="str">
        <f aca="false">IF((X56)&gt;0,"回收","未回收")</f>
        <v>回收</v>
      </c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</row>
    <row r="58" customFormat="false" ht="18.75" hidden="false" customHeight="true" outlineLevel="0" collapsed="false">
      <c r="B58" s="199" t="s">
        <v>93</v>
      </c>
      <c r="C58" s="200" t="n">
        <f aca="false">IRR(C55:W55)</f>
        <v>0.0549555266011394</v>
      </c>
      <c r="D58" s="201"/>
      <c r="E58" s="201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</row>
    <row r="59" customFormat="false" ht="18.75" hidden="false" customHeight="true" outlineLevel="0" collapsed="false">
      <c r="B59" s="202"/>
      <c r="C59" s="201"/>
      <c r="D59" s="201"/>
      <c r="E59" s="201"/>
      <c r="F59" s="202"/>
      <c r="G59" s="202"/>
      <c r="H59" s="202"/>
      <c r="I59" s="202"/>
      <c r="J59" s="202"/>
      <c r="K59" s="202"/>
      <c r="L59" s="202"/>
      <c r="M59" s="201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</row>
    <row r="60" customFormat="false" ht="18.75" hidden="false" customHeight="true" outlineLevel="0" collapsed="false">
      <c r="B60" s="97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54" t="n">
        <v>0</v>
      </c>
      <c r="C61" s="155"/>
      <c r="D61" s="156"/>
      <c r="E61" s="156"/>
      <c r="F61" s="157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204" t="s">
        <v>50</v>
      </c>
      <c r="U61" s="158"/>
      <c r="V61" s="158"/>
      <c r="W61" s="158"/>
      <c r="X61" s="160"/>
    </row>
    <row r="62" customFormat="false" ht="18.75" hidden="false" customHeight="true" outlineLevel="0" collapsed="false">
      <c r="B62" s="161" t="s">
        <v>51</v>
      </c>
      <c r="C62" s="162" t="n">
        <v>0</v>
      </c>
      <c r="D62" s="163" t="n">
        <v>1</v>
      </c>
      <c r="E62" s="163" t="n">
        <v>2</v>
      </c>
      <c r="F62" s="163" t="n">
        <v>3</v>
      </c>
      <c r="G62" s="163" t="n">
        <v>4</v>
      </c>
      <c r="H62" s="163" t="n">
        <v>5</v>
      </c>
      <c r="I62" s="163" t="n">
        <v>6</v>
      </c>
      <c r="J62" s="163" t="n">
        <v>7</v>
      </c>
      <c r="K62" s="163" t="n">
        <v>8</v>
      </c>
      <c r="L62" s="163" t="n">
        <v>9</v>
      </c>
      <c r="M62" s="163" t="n">
        <v>10</v>
      </c>
      <c r="N62" s="163" t="n">
        <v>11</v>
      </c>
      <c r="O62" s="163" t="n">
        <v>12</v>
      </c>
      <c r="P62" s="163" t="n">
        <v>13</v>
      </c>
      <c r="Q62" s="163" t="n">
        <v>14</v>
      </c>
      <c r="R62" s="163" t="n">
        <v>15</v>
      </c>
      <c r="S62" s="163" t="n">
        <v>16</v>
      </c>
      <c r="T62" s="205" t="n">
        <v>17</v>
      </c>
      <c r="U62" s="163" t="n">
        <v>18</v>
      </c>
      <c r="V62" s="163" t="n">
        <v>19</v>
      </c>
      <c r="W62" s="163" t="n">
        <v>20</v>
      </c>
      <c r="X62" s="47"/>
    </row>
    <row r="63" customFormat="false" ht="18.75" hidden="false" customHeight="true" outlineLevel="0" collapsed="false">
      <c r="B63" s="165" t="s">
        <v>52</v>
      </c>
      <c r="C63" s="166" t="n">
        <v>0</v>
      </c>
      <c r="D63" s="167" t="n">
        <f aca="false">D40</f>
        <v>541531.98</v>
      </c>
      <c r="E63" s="167" t="n">
        <f aca="false">E40</f>
        <v>539343.972</v>
      </c>
      <c r="F63" s="167" t="n">
        <f aca="false">F40</f>
        <v>537155.964</v>
      </c>
      <c r="G63" s="167" t="n">
        <f aca="false">G40</f>
        <v>534967.956</v>
      </c>
      <c r="H63" s="167" t="n">
        <f aca="false">H40</f>
        <v>532779.948</v>
      </c>
      <c r="I63" s="167" t="n">
        <f aca="false">I40</f>
        <v>530591.94</v>
      </c>
      <c r="J63" s="167" t="n">
        <f aca="false">J40</f>
        <v>528403.932</v>
      </c>
      <c r="K63" s="167" t="n">
        <f aca="false">K40</f>
        <v>526215.924</v>
      </c>
      <c r="L63" s="167" t="n">
        <f aca="false">L40</f>
        <v>524027.916</v>
      </c>
      <c r="M63" s="167" t="n">
        <f aca="false">M40</f>
        <v>521839.908</v>
      </c>
      <c r="N63" s="167" t="n">
        <f aca="false">N40</f>
        <v>519651.9</v>
      </c>
      <c r="O63" s="167" t="n">
        <f aca="false">O40</f>
        <v>517463.892</v>
      </c>
      <c r="P63" s="167" t="n">
        <f aca="false">P40</f>
        <v>515275.884</v>
      </c>
      <c r="Q63" s="167" t="n">
        <f aca="false">Q40</f>
        <v>513087.876</v>
      </c>
      <c r="R63" s="167" t="n">
        <f aca="false">R40</f>
        <v>510899.868</v>
      </c>
      <c r="S63" s="167" t="n">
        <f aca="false">S40</f>
        <v>508711.86</v>
      </c>
      <c r="T63" s="167" t="n">
        <f aca="false">T40</f>
        <v>506523.852</v>
      </c>
      <c r="U63" s="167" t="n">
        <f aca="false">U40</f>
        <v>504335.844</v>
      </c>
      <c r="V63" s="167" t="n">
        <f aca="false">V40</f>
        <v>502147.836</v>
      </c>
      <c r="W63" s="167" t="n">
        <f aca="false">W40</f>
        <v>499959.828</v>
      </c>
      <c r="X63" s="168"/>
    </row>
    <row r="64" customFormat="false" ht="18.75" hidden="false" customHeight="true" outlineLevel="0" collapsed="false">
      <c r="B64" s="169" t="s">
        <v>53</v>
      </c>
      <c r="C64" s="170" t="s">
        <v>3</v>
      </c>
      <c r="D64" s="171" t="n">
        <f aca="false">D41</f>
        <v>2011899.612096</v>
      </c>
      <c r="E64" s="171" t="n">
        <f aca="false">E41</f>
        <v>2003770.7247744</v>
      </c>
      <c r="F64" s="171" t="n">
        <f aca="false">F41</f>
        <v>1995641.8374528</v>
      </c>
      <c r="G64" s="171" t="n">
        <f aca="false">G41</f>
        <v>1987512.9501312</v>
      </c>
      <c r="H64" s="171" t="n">
        <f aca="false">H41</f>
        <v>1979384.0628096</v>
      </c>
      <c r="I64" s="171" t="n">
        <f aca="false">I41</f>
        <v>1971255.175488</v>
      </c>
      <c r="J64" s="171" t="n">
        <f aca="false">J41</f>
        <v>1963126.2881664</v>
      </c>
      <c r="K64" s="171" t="n">
        <f aca="false">K41</f>
        <v>1954997.4008448</v>
      </c>
      <c r="L64" s="171" t="n">
        <f aca="false">L41</f>
        <v>1946868.5135232</v>
      </c>
      <c r="M64" s="171" t="n">
        <f aca="false">M41</f>
        <v>1938739.6262016</v>
      </c>
      <c r="N64" s="171" t="n">
        <f aca="false">N41</f>
        <v>1930610.73888</v>
      </c>
      <c r="O64" s="171" t="n">
        <f aca="false">O41</f>
        <v>1922481.8515584</v>
      </c>
      <c r="P64" s="171" t="n">
        <f aca="false">P41</f>
        <v>1914352.9642368</v>
      </c>
      <c r="Q64" s="171" t="n">
        <f aca="false">Q41</f>
        <v>1906224.0769152</v>
      </c>
      <c r="R64" s="171" t="n">
        <f aca="false">R41</f>
        <v>1898095.1895936</v>
      </c>
      <c r="S64" s="171" t="n">
        <f aca="false">S41</f>
        <v>1889966.302272</v>
      </c>
      <c r="T64" s="171" t="n">
        <f aca="false">T41</f>
        <v>1881837.4149504</v>
      </c>
      <c r="U64" s="171" t="n">
        <f aca="false">U41</f>
        <v>1873708.5276288</v>
      </c>
      <c r="V64" s="171" t="n">
        <f aca="false">V41</f>
        <v>1865579.6403072</v>
      </c>
      <c r="W64" s="171" t="n">
        <f aca="false">W41</f>
        <v>1857450.7529856</v>
      </c>
      <c r="X64" s="172"/>
    </row>
    <row r="65" customFormat="false" ht="18.75" hidden="false" customHeight="true" outlineLevel="0" collapsed="false">
      <c r="B65" s="173" t="s">
        <v>54</v>
      </c>
      <c r="C65" s="174" t="s">
        <v>3</v>
      </c>
      <c r="D65" s="175"/>
      <c r="E65" s="175"/>
      <c r="F65" s="175"/>
      <c r="G65" s="176" t="s">
        <v>3</v>
      </c>
      <c r="H65" s="176" t="s">
        <v>3</v>
      </c>
      <c r="I65" s="176" t="s">
        <v>3</v>
      </c>
      <c r="J65" s="176" t="s">
        <v>3</v>
      </c>
      <c r="K65" s="176" t="s">
        <v>3</v>
      </c>
      <c r="L65" s="176" t="s">
        <v>3</v>
      </c>
      <c r="M65" s="176" t="s">
        <v>3</v>
      </c>
      <c r="N65" s="176" t="s">
        <v>3</v>
      </c>
      <c r="O65" s="176" t="s">
        <v>3</v>
      </c>
      <c r="P65" s="176" t="s">
        <v>3</v>
      </c>
      <c r="Q65" s="176" t="s">
        <v>3</v>
      </c>
      <c r="R65" s="176" t="s">
        <v>3</v>
      </c>
      <c r="S65" s="176" t="s">
        <v>3</v>
      </c>
      <c r="T65" s="176" t="s">
        <v>3</v>
      </c>
      <c r="U65" s="176" t="s">
        <v>3</v>
      </c>
      <c r="V65" s="176" t="s">
        <v>3</v>
      </c>
      <c r="W65" s="176" t="s">
        <v>3</v>
      </c>
      <c r="X65" s="177"/>
    </row>
    <row r="66" customFormat="false" ht="18.75" hidden="false" customHeight="true" outlineLevel="0" collapsed="false">
      <c r="B66" s="178" t="s">
        <v>55</v>
      </c>
      <c r="C66" s="179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1"/>
    </row>
    <row r="67" customFormat="false" ht="18.75" hidden="false" customHeight="true" outlineLevel="0" collapsed="false">
      <c r="B67" s="182" t="s">
        <v>151</v>
      </c>
      <c r="C67" s="174"/>
      <c r="D67" s="206" t="n">
        <f aca="false">$C$44/$E$16</f>
        <v>-610540</v>
      </c>
      <c r="E67" s="206" t="n">
        <f aca="false">$C$44/$E$16</f>
        <v>-610540</v>
      </c>
      <c r="F67" s="206" t="n">
        <f aca="false">$C$44/$E$16</f>
        <v>-610540</v>
      </c>
      <c r="G67" s="206" t="n">
        <f aca="false">$C$44/$E$16</f>
        <v>-610540</v>
      </c>
      <c r="H67" s="206" t="n">
        <f aca="false">$C$44/$E$16</f>
        <v>-610540</v>
      </c>
      <c r="I67" s="206" t="n">
        <f aca="false">$C$44/$E$16</f>
        <v>-610540</v>
      </c>
      <c r="J67" s="206" t="n">
        <f aca="false">$C$44/$E$16</f>
        <v>-610540</v>
      </c>
      <c r="K67" s="206" t="n">
        <f aca="false">$C$44/$E$16</f>
        <v>-610540</v>
      </c>
      <c r="L67" s="206" t="n">
        <f aca="false">$C$44/$E$16</f>
        <v>-610540</v>
      </c>
      <c r="M67" s="206" t="n">
        <f aca="false">$C$44/$E$16</f>
        <v>-610540</v>
      </c>
      <c r="N67" s="206" t="n">
        <f aca="false">$C$44/$E$16</f>
        <v>-610540</v>
      </c>
      <c r="O67" s="206" t="n">
        <f aca="false">$C$44/$E$16</f>
        <v>-610540</v>
      </c>
      <c r="P67" s="206" t="n">
        <f aca="false">$C$44/$E$16</f>
        <v>-610540</v>
      </c>
      <c r="Q67" s="206" t="n">
        <f aca="false">$C$44/$E$16</f>
        <v>-610540</v>
      </c>
      <c r="R67" s="206" t="n">
        <f aca="false">$C$44/$E$16</f>
        <v>-610540</v>
      </c>
      <c r="S67" s="206" t="n">
        <f aca="false">$C$44/$E$16</f>
        <v>-610540</v>
      </c>
      <c r="T67" s="206" t="n">
        <f aca="false">$C$44/$E$16</f>
        <v>-610540</v>
      </c>
      <c r="U67" s="206" t="n">
        <f aca="false">$C$44/$E$16</f>
        <v>-610540</v>
      </c>
      <c r="V67" s="206" t="n">
        <f aca="false">$C$44/$E$16</f>
        <v>-610540</v>
      </c>
      <c r="W67" s="206" t="n">
        <f aca="false">$C$44/$E$16</f>
        <v>-610540</v>
      </c>
      <c r="X67" s="177"/>
    </row>
    <row r="68" customFormat="false" ht="18.75" hidden="false" customHeight="true" outlineLevel="0" collapsed="false">
      <c r="B68" s="182" t="s">
        <v>57</v>
      </c>
      <c r="C68" s="174" t="s">
        <v>3</v>
      </c>
      <c r="D68" s="184" t="n">
        <f aca="false">D44</f>
        <v>0</v>
      </c>
      <c r="E68" s="184" t="n">
        <f aca="false">E45</f>
        <v>-601131.21743232</v>
      </c>
      <c r="F68" s="184" t="n">
        <f aca="false">F45</f>
        <v>-598692.55123584</v>
      </c>
      <c r="G68" s="184" t="n">
        <f aca="false">G45</f>
        <v>-596253.88503936</v>
      </c>
      <c r="H68" s="184" t="n">
        <f aca="false">H45</f>
        <v>-593815.21884288</v>
      </c>
      <c r="I68" s="184" t="n">
        <f aca="false">I45</f>
        <v>-591376.5526464</v>
      </c>
      <c r="J68" s="184" t="n">
        <f aca="false">J45</f>
        <v>-588937.88644992</v>
      </c>
      <c r="K68" s="184" t="n">
        <f aca="false">K45</f>
        <v>-586499.22025344</v>
      </c>
      <c r="L68" s="184" t="n">
        <f aca="false">L45</f>
        <v>-584060.55405696</v>
      </c>
      <c r="M68" s="184" t="n">
        <f aca="false">M45</f>
        <v>-581621.88786048</v>
      </c>
      <c r="N68" s="184" t="n">
        <f aca="false">N45</f>
        <v>-579183.221664</v>
      </c>
      <c r="O68" s="184" t="n">
        <f aca="false">O45</f>
        <v>-576744.55546752</v>
      </c>
      <c r="P68" s="184" t="n">
        <f aca="false">P45</f>
        <v>-574305.88927104</v>
      </c>
      <c r="Q68" s="184" t="n">
        <f aca="false">Q45</f>
        <v>-571867.22307456</v>
      </c>
      <c r="R68" s="184" t="n">
        <f aca="false">R45</f>
        <v>-569428.55687808</v>
      </c>
      <c r="S68" s="184" t="n">
        <f aca="false">S45</f>
        <v>-566989.8906816</v>
      </c>
      <c r="T68" s="184" t="n">
        <f aca="false">T45</f>
        <v>-564551.22448512</v>
      </c>
      <c r="U68" s="184" t="n">
        <f aca="false">U45</f>
        <v>-562112.55828864</v>
      </c>
      <c r="V68" s="184" t="n">
        <f aca="false">V45</f>
        <v>-559673.89209216</v>
      </c>
      <c r="W68" s="184" t="n">
        <f aca="false">W45</f>
        <v>-557235.22589568</v>
      </c>
      <c r="X68" s="177"/>
    </row>
    <row r="69" customFormat="false" ht="18.75" hidden="false" customHeight="true" outlineLevel="0" collapsed="false">
      <c r="B69" s="182" t="s">
        <v>58</v>
      </c>
      <c r="C69" s="174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7"/>
    </row>
    <row r="70" customFormat="false" ht="18.75" hidden="false" customHeight="true" outlineLevel="0" collapsed="false">
      <c r="B70" s="182" t="s">
        <v>59</v>
      </c>
      <c r="C70" s="174" t="s">
        <v>3</v>
      </c>
      <c r="D70" s="184" t="n">
        <f aca="false">-D109*$D25</f>
        <v>-250028.3408</v>
      </c>
      <c r="E70" s="184" t="n">
        <f aca="false">-E109*$D25</f>
        <v>-233359.784746667</v>
      </c>
      <c r="F70" s="184" t="n">
        <f aca="false">-F109*$D25</f>
        <v>-216691.228693333</v>
      </c>
      <c r="G70" s="184" t="n">
        <f aca="false">-G109*$D25</f>
        <v>-200022.67264</v>
      </c>
      <c r="H70" s="184" t="n">
        <f aca="false">-H109*$D25</f>
        <v>-183354.116586667</v>
      </c>
      <c r="I70" s="184" t="n">
        <f aca="false">-I109*$D25</f>
        <v>-166685.560533333</v>
      </c>
      <c r="J70" s="184" t="n">
        <f aca="false">-J109*$D25</f>
        <v>-150017.00448</v>
      </c>
      <c r="K70" s="184" t="n">
        <f aca="false">-K109*$D25</f>
        <v>-133348.448426667</v>
      </c>
      <c r="L70" s="184" t="n">
        <f aca="false">-L109*$D25</f>
        <v>-116679.892373333</v>
      </c>
      <c r="M70" s="184" t="n">
        <f aca="false">-M109*$D25</f>
        <v>-100011.33632</v>
      </c>
      <c r="N70" s="184" t="n">
        <f aca="false">-N109*$D25</f>
        <v>-83342.7802666667</v>
      </c>
      <c r="O70" s="184" t="n">
        <f aca="false">-O109*$D25</f>
        <v>-66674.2242133333</v>
      </c>
      <c r="P70" s="184" t="n">
        <f aca="false">-P109*$D25</f>
        <v>-50005.66816</v>
      </c>
      <c r="Q70" s="184" t="n">
        <f aca="false">-Q109*$D25</f>
        <v>-33337.1121066667</v>
      </c>
      <c r="R70" s="184" t="n">
        <f aca="false">-R109*$D25</f>
        <v>-16668.5560533333</v>
      </c>
      <c r="S70" s="184" t="n">
        <f aca="false">-S109*$D25</f>
        <v>-0</v>
      </c>
      <c r="T70" s="184" t="n">
        <f aca="false">-T109*$D25</f>
        <v>-0</v>
      </c>
      <c r="U70" s="184" t="n">
        <f aca="false">-U109*$D25</f>
        <v>-0</v>
      </c>
      <c r="V70" s="184" t="n">
        <f aca="false">-V109*$D25</f>
        <v>-0</v>
      </c>
      <c r="W70" s="184" t="n">
        <f aca="false">-W109*$D25</f>
        <v>-0</v>
      </c>
      <c r="X70" s="177"/>
    </row>
    <row r="71" customFormat="false" ht="18.75" hidden="false" customHeight="true" outlineLevel="0" collapsed="false">
      <c r="B71" s="182" t="s">
        <v>60</v>
      </c>
      <c r="C71" s="174" t="s">
        <v>3</v>
      </c>
      <c r="D71" s="184" t="n">
        <f aca="false">D48</f>
        <v>-174440</v>
      </c>
      <c r="E71" s="184" t="n">
        <f aca="false">E48</f>
        <v>-174440</v>
      </c>
      <c r="F71" s="184" t="n">
        <f aca="false">F48</f>
        <v>-174440</v>
      </c>
      <c r="G71" s="184" t="n">
        <f aca="false">G48</f>
        <v>-174440</v>
      </c>
      <c r="H71" s="184" t="n">
        <f aca="false">H48</f>
        <v>-174440</v>
      </c>
      <c r="I71" s="184" t="n">
        <f aca="false">I48</f>
        <v>-174440</v>
      </c>
      <c r="J71" s="184" t="n">
        <f aca="false">J48</f>
        <v>-174440</v>
      </c>
      <c r="K71" s="184" t="n">
        <f aca="false">K48</f>
        <v>-174440</v>
      </c>
      <c r="L71" s="184" t="n">
        <f aca="false">L48</f>
        <v>-174440</v>
      </c>
      <c r="M71" s="184" t="n">
        <f aca="false">M48</f>
        <v>-174440</v>
      </c>
      <c r="N71" s="184" t="n">
        <f aca="false">N48</f>
        <v>-174440</v>
      </c>
      <c r="O71" s="184" t="n">
        <f aca="false">O48</f>
        <v>-174440</v>
      </c>
      <c r="P71" s="184" t="n">
        <f aca="false">P48</f>
        <v>-174440</v>
      </c>
      <c r="Q71" s="184" t="n">
        <f aca="false">Q48</f>
        <v>-174440</v>
      </c>
      <c r="R71" s="184" t="n">
        <f aca="false">R48</f>
        <v>-174440</v>
      </c>
      <c r="S71" s="184" t="n">
        <f aca="false">S48</f>
        <v>-174440</v>
      </c>
      <c r="T71" s="184" t="n">
        <f aca="false">T48</f>
        <v>-174440</v>
      </c>
      <c r="U71" s="184" t="n">
        <f aca="false">U48</f>
        <v>-174440</v>
      </c>
      <c r="V71" s="184" t="n">
        <f aca="false">V48</f>
        <v>-174440</v>
      </c>
      <c r="W71" s="184" t="n">
        <f aca="false">W48</f>
        <v>-174440</v>
      </c>
      <c r="X71" s="177"/>
    </row>
    <row r="72" customFormat="false" ht="18.75" hidden="false" customHeight="true" outlineLevel="0" collapsed="false">
      <c r="B72" s="182" t="s">
        <v>61</v>
      </c>
      <c r="C72" s="174" t="s">
        <v>3</v>
      </c>
      <c r="D72" s="184" t="n">
        <f aca="false">D49</f>
        <v>-26166</v>
      </c>
      <c r="E72" s="184" t="n">
        <f aca="false">E49</f>
        <v>-26166</v>
      </c>
      <c r="F72" s="184" t="n">
        <f aca="false">F49</f>
        <v>-26166</v>
      </c>
      <c r="G72" s="184" t="n">
        <f aca="false">G49</f>
        <v>-26166</v>
      </c>
      <c r="H72" s="184" t="n">
        <f aca="false">H49</f>
        <v>-26166</v>
      </c>
      <c r="I72" s="184" t="n">
        <f aca="false">I49</f>
        <v>-26166</v>
      </c>
      <c r="J72" s="184" t="n">
        <f aca="false">J49</f>
        <v>-26166</v>
      </c>
      <c r="K72" s="184" t="n">
        <f aca="false">K49</f>
        <v>-26166</v>
      </c>
      <c r="L72" s="184" t="n">
        <f aca="false">L49</f>
        <v>-26166</v>
      </c>
      <c r="M72" s="184" t="n">
        <f aca="false">M49</f>
        <v>-26166</v>
      </c>
      <c r="N72" s="184" t="n">
        <f aca="false">N49</f>
        <v>-26166</v>
      </c>
      <c r="O72" s="184" t="n">
        <f aca="false">O49</f>
        <v>-26166</v>
      </c>
      <c r="P72" s="184" t="n">
        <f aca="false">P49</f>
        <v>-26166</v>
      </c>
      <c r="Q72" s="184" t="n">
        <f aca="false">Q49</f>
        <v>-26166</v>
      </c>
      <c r="R72" s="184" t="n">
        <f aca="false">R49</f>
        <v>-26166</v>
      </c>
      <c r="S72" s="184" t="n">
        <f aca="false">S49</f>
        <v>-26166</v>
      </c>
      <c r="T72" s="184" t="n">
        <f aca="false">T49</f>
        <v>-26166</v>
      </c>
      <c r="U72" s="184" t="n">
        <f aca="false">U49</f>
        <v>-26166</v>
      </c>
      <c r="V72" s="184" t="n">
        <f aca="false">V49</f>
        <v>-26166</v>
      </c>
      <c r="W72" s="184" t="n">
        <f aca="false">W49</f>
        <v>-26166</v>
      </c>
      <c r="X72" s="177"/>
    </row>
    <row r="73" customFormat="false" ht="18.75" hidden="false" customHeight="true" outlineLevel="0" collapsed="false">
      <c r="B73" s="182" t="s">
        <v>62</v>
      </c>
      <c r="C73" s="174"/>
      <c r="D73" s="184" t="n">
        <f aca="false">D50</f>
        <v>-43610</v>
      </c>
      <c r="E73" s="184" t="n">
        <f aca="false">E50</f>
        <v>-43610</v>
      </c>
      <c r="F73" s="184" t="n">
        <f aca="false">F50</f>
        <v>-43610</v>
      </c>
      <c r="G73" s="184" t="n">
        <f aca="false">G50</f>
        <v>-43610</v>
      </c>
      <c r="H73" s="184" t="n">
        <f aca="false">H50</f>
        <v>-43610</v>
      </c>
      <c r="I73" s="184" t="n">
        <f aca="false">I50</f>
        <v>-43610</v>
      </c>
      <c r="J73" s="184" t="n">
        <f aca="false">J50</f>
        <v>-43610</v>
      </c>
      <c r="K73" s="184" t="n">
        <f aca="false">K50</f>
        <v>-43610</v>
      </c>
      <c r="L73" s="184" t="n">
        <f aca="false">L50</f>
        <v>-43610</v>
      </c>
      <c r="M73" s="184" t="n">
        <f aca="false">M50</f>
        <v>-43610</v>
      </c>
      <c r="N73" s="184" t="n">
        <f aca="false">N50</f>
        <v>0</v>
      </c>
      <c r="O73" s="184" t="n">
        <f aca="false">O50</f>
        <v>0</v>
      </c>
      <c r="P73" s="184" t="n">
        <f aca="false">P50</f>
        <v>0</v>
      </c>
      <c r="Q73" s="184" t="n">
        <f aca="false">Q50</f>
        <v>0</v>
      </c>
      <c r="R73" s="184" t="n">
        <f aca="false">R50</f>
        <v>0</v>
      </c>
      <c r="S73" s="184" t="n">
        <f aca="false">S50</f>
        <v>0</v>
      </c>
      <c r="T73" s="184" t="n">
        <f aca="false">T50</f>
        <v>0</v>
      </c>
      <c r="U73" s="184" t="n">
        <f aca="false">U50</f>
        <v>0</v>
      </c>
      <c r="V73" s="184" t="n">
        <f aca="false">V50</f>
        <v>0</v>
      </c>
      <c r="W73" s="184" t="n">
        <f aca="false">W50</f>
        <v>0</v>
      </c>
      <c r="X73" s="177"/>
    </row>
    <row r="74" customFormat="false" ht="18.75" hidden="false" customHeight="true" outlineLevel="0" collapsed="false">
      <c r="B74" s="182" t="s">
        <v>63</v>
      </c>
      <c r="C74" s="185"/>
      <c r="D74" s="207"/>
      <c r="E74" s="208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7"/>
    </row>
    <row r="75" customFormat="false" ht="18.75" hidden="false" customHeight="true" outlineLevel="0" collapsed="false">
      <c r="B75" s="182" t="s">
        <v>64</v>
      </c>
      <c r="C75" s="18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7"/>
    </row>
    <row r="76" customFormat="false" ht="18.75" hidden="false" customHeight="true" outlineLevel="0" collapsed="false">
      <c r="B76" s="187" t="s">
        <v>152</v>
      </c>
      <c r="C76" s="209"/>
      <c r="D76" s="189" t="n">
        <f aca="false">SUM(D64:D75)</f>
        <v>907115.271296</v>
      </c>
      <c r="E76" s="189" t="n">
        <f aca="false">SUM(E64:E75)</f>
        <v>314523.722595413</v>
      </c>
      <c r="F76" s="189" t="n">
        <f aca="false">SUM(F64:F75)</f>
        <v>325502.057523627</v>
      </c>
      <c r="G76" s="189" t="n">
        <f aca="false">SUM(G64:G75)</f>
        <v>336480.39245184</v>
      </c>
      <c r="H76" s="189" t="n">
        <f aca="false">SUM(H64:H75)</f>
        <v>347458.727380053</v>
      </c>
      <c r="I76" s="189" t="n">
        <f aca="false">SUM(I64:I75)</f>
        <v>358437.062308266</v>
      </c>
      <c r="J76" s="189" t="n">
        <f aca="false">SUM(J64:J75)</f>
        <v>369415.39723648</v>
      </c>
      <c r="K76" s="189" t="n">
        <f aca="false">SUM(K64:K75)</f>
        <v>380393.732164693</v>
      </c>
      <c r="L76" s="189" t="n">
        <f aca="false">SUM(L64:L75)</f>
        <v>391372.067092906</v>
      </c>
      <c r="M76" s="189" t="n">
        <f aca="false">SUM(M64:M75)</f>
        <v>402350.40202112</v>
      </c>
      <c r="N76" s="189" t="n">
        <f aca="false">SUM(N64:N75)</f>
        <v>456938.736949333</v>
      </c>
      <c r="O76" s="189" t="n">
        <f aca="false">SUM(O64:O75)</f>
        <v>467917.071877547</v>
      </c>
      <c r="P76" s="189" t="n">
        <f aca="false">SUM(P64:P75)</f>
        <v>478895.40680576</v>
      </c>
      <c r="Q76" s="189" t="n">
        <f aca="false">SUM(Q64:Q75)</f>
        <v>489873.741733973</v>
      </c>
      <c r="R76" s="189" t="n">
        <f aca="false">SUM(R64:R75)</f>
        <v>500852.076662187</v>
      </c>
      <c r="S76" s="189" t="n">
        <f aca="false">SUM(S64:S75)</f>
        <v>511830.4115904</v>
      </c>
      <c r="T76" s="189" t="n">
        <f aca="false">SUM(T64:T75)</f>
        <v>506140.19046528</v>
      </c>
      <c r="U76" s="189" t="n">
        <f aca="false">SUM(U64:U75)</f>
        <v>500449.96934016</v>
      </c>
      <c r="V76" s="189" t="n">
        <f aca="false">SUM(V64:V75)</f>
        <v>494759.74821504</v>
      </c>
      <c r="W76" s="189" t="n">
        <f aca="false">SUM(W64:W75)</f>
        <v>489069.52708992</v>
      </c>
      <c r="X76" s="189" t="n">
        <f aca="false">SUM(X64:X75)</f>
        <v>0</v>
      </c>
    </row>
    <row r="77" customFormat="false" ht="18.75" hidden="false" customHeight="true" outlineLevel="0" collapsed="false">
      <c r="B77" s="186" t="s">
        <v>66</v>
      </c>
      <c r="C77" s="185"/>
      <c r="D77" s="184" t="n">
        <f aca="false">-D76*0.2</f>
        <v>-181423.0542592</v>
      </c>
      <c r="E77" s="184" t="n">
        <f aca="false">-E76*0.2</f>
        <v>-62904.7445190826</v>
      </c>
      <c r="F77" s="184" t="n">
        <f aca="false">-F76*0.2</f>
        <v>-65100.4115047253</v>
      </c>
      <c r="G77" s="184" t="n">
        <f aca="false">-G76*0.2</f>
        <v>-67296.078490368</v>
      </c>
      <c r="H77" s="184" t="n">
        <f aca="false">-H76*0.2</f>
        <v>-69491.7454760106</v>
      </c>
      <c r="I77" s="184" t="n">
        <f aca="false">-I76*0.2</f>
        <v>-71687.4124616533</v>
      </c>
      <c r="J77" s="184" t="n">
        <f aca="false">-J76*0.2</f>
        <v>-73883.079447296</v>
      </c>
      <c r="K77" s="184" t="n">
        <f aca="false">-K76*0.2</f>
        <v>-76078.7464329386</v>
      </c>
      <c r="L77" s="184" t="n">
        <f aca="false">-L76*0.2</f>
        <v>-78274.4134185813</v>
      </c>
      <c r="M77" s="184" t="n">
        <f aca="false">-M76*0.2</f>
        <v>-80470.080404224</v>
      </c>
      <c r="N77" s="184" t="n">
        <f aca="false">-N76*0.2</f>
        <v>-91387.7473898667</v>
      </c>
      <c r="O77" s="184" t="n">
        <f aca="false">-O76*0.2</f>
        <v>-93583.4143755093</v>
      </c>
      <c r="P77" s="184" t="n">
        <f aca="false">-P76*0.2</f>
        <v>-95779.081361152</v>
      </c>
      <c r="Q77" s="184" t="n">
        <f aca="false">-Q76*0.2</f>
        <v>-97974.7483467946</v>
      </c>
      <c r="R77" s="184" t="n">
        <f aca="false">-R76*0.2</f>
        <v>-100170.415332437</v>
      </c>
      <c r="S77" s="184" t="n">
        <f aca="false">-S76*0.2</f>
        <v>-102366.08231808</v>
      </c>
      <c r="T77" s="184" t="n">
        <f aca="false">-T76*0.2</f>
        <v>-101228.038093056</v>
      </c>
      <c r="U77" s="184" t="n">
        <f aca="false">-U76*0.2</f>
        <v>-100089.993868032</v>
      </c>
      <c r="V77" s="184" t="n">
        <f aca="false">-V76*0.2</f>
        <v>-98951.949643008</v>
      </c>
      <c r="W77" s="184" t="n">
        <f aca="false">-W76*0.2</f>
        <v>-97813.905417984</v>
      </c>
      <c r="X77" s="184" t="n">
        <f aca="false">-X76*0.2</f>
        <v>-0</v>
      </c>
    </row>
    <row r="78" customFormat="false" ht="15.75" hidden="false" customHeight="true" outlineLevel="0" collapsed="false">
      <c r="B78" s="210" t="s">
        <v>76</v>
      </c>
      <c r="D78" s="184" t="n">
        <f aca="false">SUM(D76:D77)</f>
        <v>725692.2170368</v>
      </c>
      <c r="E78" s="184" t="n">
        <f aca="false">SUM(E76:E77)</f>
        <v>251618.97807633</v>
      </c>
      <c r="F78" s="184" t="n">
        <f aca="false">SUM(F76:F77)</f>
        <v>260401.646018901</v>
      </c>
      <c r="G78" s="184" t="n">
        <f aca="false">SUM(G76:G77)</f>
        <v>269184.313961472</v>
      </c>
      <c r="H78" s="184" t="n">
        <f aca="false">SUM(H76:H77)</f>
        <v>277966.981904043</v>
      </c>
      <c r="I78" s="184" t="n">
        <f aca="false">SUM(I76:I77)</f>
        <v>286749.649846613</v>
      </c>
      <c r="J78" s="184" t="n">
        <f aca="false">SUM(J76:J77)</f>
        <v>295532.317789184</v>
      </c>
      <c r="K78" s="184" t="n">
        <f aca="false">SUM(K76:K77)</f>
        <v>304314.985731755</v>
      </c>
      <c r="L78" s="184" t="n">
        <f aca="false">SUM(L76:L77)</f>
        <v>313097.653674325</v>
      </c>
      <c r="M78" s="184" t="n">
        <f aca="false">SUM(M76:M77)</f>
        <v>321880.321616896</v>
      </c>
      <c r="N78" s="184" t="n">
        <f aca="false">SUM(N76:N77)</f>
        <v>365550.989559467</v>
      </c>
      <c r="O78" s="184" t="n">
        <f aca="false">SUM(O76:O77)</f>
        <v>374333.657502037</v>
      </c>
      <c r="P78" s="184" t="n">
        <f aca="false">SUM(P76:P77)</f>
        <v>383116.325444608</v>
      </c>
      <c r="Q78" s="184" t="n">
        <f aca="false">SUM(Q76:Q77)</f>
        <v>391898.993387179</v>
      </c>
      <c r="R78" s="184" t="n">
        <f aca="false">SUM(R76:R77)</f>
        <v>400681.661329749</v>
      </c>
      <c r="S78" s="184" t="n">
        <f aca="false">SUM(S76:S77)</f>
        <v>409464.32927232</v>
      </c>
      <c r="T78" s="184" t="n">
        <f aca="false">SUM(T76:T77)</f>
        <v>404912.152372224</v>
      </c>
      <c r="U78" s="184" t="n">
        <f aca="false">SUM(U76:U77)</f>
        <v>400359.975472128</v>
      </c>
      <c r="V78" s="184" t="n">
        <f aca="false">SUM(V76:V77)</f>
        <v>395807.798572032</v>
      </c>
      <c r="W78" s="184" t="n">
        <f aca="false">SUM(W76:W77)</f>
        <v>391255.621671936</v>
      </c>
      <c r="X78" s="184" t="n">
        <f aca="false">SUM(X76:X77)</f>
        <v>0</v>
      </c>
    </row>
    <row r="79" customFormat="false" ht="18.75" hidden="false" customHeight="true" outlineLevel="0" collapsed="false">
      <c r="B79" s="193" t="s">
        <v>68</v>
      </c>
      <c r="C79" s="196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2"/>
    </row>
    <row r="80" customFormat="false" ht="18.75" hidden="false" customHeight="true" outlineLevel="0" collapsed="false">
      <c r="B80" s="213" t="s">
        <v>74</v>
      </c>
      <c r="C80" s="214"/>
      <c r="D80" s="215"/>
      <c r="E80" s="215"/>
      <c r="F80" s="215"/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6"/>
    </row>
    <row r="81" customFormat="false" ht="18.75" hidden="false" customHeight="true" outlineLevel="0" collapsed="false">
      <c r="B81" s="202"/>
      <c r="C81" s="201"/>
      <c r="D81" s="201"/>
      <c r="E81" s="201"/>
      <c r="F81" s="202"/>
      <c r="G81" s="202"/>
      <c r="H81" s="202"/>
      <c r="I81" s="202"/>
      <c r="J81" s="202"/>
      <c r="K81" s="202"/>
      <c r="L81" s="202"/>
      <c r="M81" s="201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</row>
    <row r="82" customFormat="false" ht="18.75" hidden="false" customHeight="true" outlineLevel="0" collapsed="false">
      <c r="C82" s="217" t="s">
        <v>48</v>
      </c>
      <c r="D82" s="218" t="n">
        <f aca="false">D37</f>
        <v>2023</v>
      </c>
      <c r="E82" s="218" t="n">
        <f aca="false">E37</f>
        <v>2024</v>
      </c>
      <c r="F82" s="218" t="n">
        <f aca="false">F37</f>
        <v>2025</v>
      </c>
      <c r="G82" s="218" t="n">
        <f aca="false">G37</f>
        <v>2026</v>
      </c>
      <c r="H82" s="218" t="n">
        <f aca="false">H37</f>
        <v>2027</v>
      </c>
      <c r="I82" s="218" t="n">
        <f aca="false">I37</f>
        <v>2028</v>
      </c>
      <c r="J82" s="218" t="n">
        <f aca="false">J37</f>
        <v>2029</v>
      </c>
      <c r="K82" s="218" t="n">
        <f aca="false">K37</f>
        <v>2030</v>
      </c>
      <c r="L82" s="218" t="n">
        <f aca="false">L37</f>
        <v>2031</v>
      </c>
      <c r="M82" s="218" t="n">
        <f aca="false">M37</f>
        <v>2032</v>
      </c>
      <c r="N82" s="218" t="n">
        <f aca="false">N37</f>
        <v>2033</v>
      </c>
      <c r="O82" s="218" t="n">
        <f aca="false">O37</f>
        <v>2034</v>
      </c>
      <c r="P82" s="218" t="n">
        <f aca="false">P37</f>
        <v>2035</v>
      </c>
      <c r="Q82" s="218" t="n">
        <f aca="false">Q37</f>
        <v>2036</v>
      </c>
      <c r="R82" s="218" t="n">
        <f aca="false">R37</f>
        <v>2037</v>
      </c>
      <c r="S82" s="218" t="n">
        <f aca="false">S37</f>
        <v>2038</v>
      </c>
      <c r="T82" s="218" t="n">
        <f aca="false">T37</f>
        <v>2039</v>
      </c>
      <c r="U82" s="218" t="n">
        <f aca="false">U37</f>
        <v>2040</v>
      </c>
      <c r="V82" s="218" t="n">
        <f aca="false">V37</f>
        <v>2041</v>
      </c>
      <c r="W82" s="218" t="n">
        <f aca="false">W37</f>
        <v>2042</v>
      </c>
      <c r="X82" s="72"/>
    </row>
    <row r="83" customFormat="false" ht="18.75" hidden="false" customHeight="true" outlineLevel="0" collapsed="false">
      <c r="X83" s="203"/>
    </row>
    <row r="84" customFormat="false" ht="18.75" hidden="false" customHeight="true" outlineLevel="0" collapsed="false">
      <c r="B84" s="219" t="s">
        <v>51</v>
      </c>
      <c r="C84" s="219" t="n">
        <v>0</v>
      </c>
      <c r="D84" s="219" t="n">
        <v>1</v>
      </c>
      <c r="E84" s="219" t="n">
        <v>2</v>
      </c>
      <c r="F84" s="219" t="n">
        <v>3</v>
      </c>
      <c r="G84" s="219" t="n">
        <v>4</v>
      </c>
      <c r="H84" s="219" t="n">
        <v>5</v>
      </c>
      <c r="I84" s="219" t="n">
        <v>6</v>
      </c>
      <c r="J84" s="219" t="n">
        <v>7</v>
      </c>
      <c r="K84" s="219" t="n">
        <v>8</v>
      </c>
      <c r="L84" s="219" t="n">
        <v>9</v>
      </c>
      <c r="M84" s="219" t="n">
        <v>10</v>
      </c>
      <c r="N84" s="219" t="n">
        <v>11</v>
      </c>
      <c r="O84" s="219" t="n">
        <v>12</v>
      </c>
      <c r="P84" s="219" t="n">
        <v>13</v>
      </c>
      <c r="Q84" s="219" t="n">
        <v>14</v>
      </c>
      <c r="R84" s="219" t="n">
        <v>15</v>
      </c>
      <c r="S84" s="219" t="n">
        <v>16</v>
      </c>
      <c r="T84" s="219" t="n">
        <v>17</v>
      </c>
      <c r="U84" s="219" t="n">
        <v>18</v>
      </c>
      <c r="V84" s="219" t="n">
        <v>19</v>
      </c>
      <c r="W84" s="219" t="n">
        <v>20</v>
      </c>
      <c r="X84" s="103"/>
    </row>
    <row r="85" customFormat="false" ht="18.75" hidden="false" customHeight="true" outlineLevel="0" collapsed="false">
      <c r="B85" s="220" t="s">
        <v>76</v>
      </c>
      <c r="C85" s="220"/>
      <c r="D85" s="221" t="n">
        <f aca="false">D78</f>
        <v>725692.2170368</v>
      </c>
      <c r="E85" s="221" t="n">
        <f aca="false">E78</f>
        <v>251618.97807633</v>
      </c>
      <c r="F85" s="221" t="n">
        <f aca="false">F78</f>
        <v>260401.646018901</v>
      </c>
      <c r="G85" s="221" t="n">
        <f aca="false">G78</f>
        <v>269184.313961472</v>
      </c>
      <c r="H85" s="221" t="n">
        <f aca="false">H78</f>
        <v>277966.981904043</v>
      </c>
      <c r="I85" s="221" t="n">
        <f aca="false">I78</f>
        <v>286749.649846613</v>
      </c>
      <c r="J85" s="221" t="n">
        <f aca="false">J78</f>
        <v>295532.317789184</v>
      </c>
      <c r="K85" s="221" t="n">
        <f aca="false">K78</f>
        <v>304314.985731755</v>
      </c>
      <c r="L85" s="221" t="n">
        <f aca="false">L78</f>
        <v>313097.653674325</v>
      </c>
      <c r="M85" s="221" t="n">
        <f aca="false">M78</f>
        <v>321880.321616896</v>
      </c>
      <c r="N85" s="221" t="n">
        <f aca="false">N78</f>
        <v>365550.989559467</v>
      </c>
      <c r="O85" s="221" t="n">
        <f aca="false">O78</f>
        <v>374333.657502037</v>
      </c>
      <c r="P85" s="221" t="n">
        <f aca="false">P78</f>
        <v>383116.325444608</v>
      </c>
      <c r="Q85" s="221" t="n">
        <f aca="false">Q78</f>
        <v>391898.993387179</v>
      </c>
      <c r="R85" s="221" t="n">
        <f aca="false">R78</f>
        <v>400681.661329749</v>
      </c>
      <c r="S85" s="221" t="n">
        <f aca="false">S78</f>
        <v>409464.32927232</v>
      </c>
      <c r="T85" s="221" t="n">
        <f aca="false">T78</f>
        <v>404912.152372224</v>
      </c>
      <c r="U85" s="221" t="n">
        <f aca="false">U78</f>
        <v>400359.975472128</v>
      </c>
      <c r="V85" s="221" t="n">
        <f aca="false">V78</f>
        <v>395807.798572032</v>
      </c>
      <c r="W85" s="221" t="n">
        <f aca="false">W78</f>
        <v>391255.621671936</v>
      </c>
      <c r="X85" s="220"/>
      <c r="Y85" s="220"/>
    </row>
    <row r="86" customFormat="false" ht="15.75" hidden="false" customHeight="true" outlineLevel="0" collapsed="false">
      <c r="B86" s="220" t="s">
        <v>77</v>
      </c>
      <c r="C86" s="220"/>
      <c r="D86" s="222" t="n">
        <f aca="false">-D67</f>
        <v>610540</v>
      </c>
      <c r="E86" s="222" t="n">
        <f aca="false">-E67</f>
        <v>610540</v>
      </c>
      <c r="F86" s="222" t="n">
        <f aca="false">-F67</f>
        <v>610540</v>
      </c>
      <c r="G86" s="222" t="n">
        <f aca="false">-G67</f>
        <v>610540</v>
      </c>
      <c r="H86" s="222" t="n">
        <f aca="false">-H67</f>
        <v>610540</v>
      </c>
      <c r="I86" s="222" t="n">
        <f aca="false">-I67</f>
        <v>610540</v>
      </c>
      <c r="J86" s="222" t="n">
        <f aca="false">-J67</f>
        <v>610540</v>
      </c>
      <c r="K86" s="222" t="n">
        <f aca="false">-K67</f>
        <v>610540</v>
      </c>
      <c r="L86" s="222" t="n">
        <f aca="false">-L67</f>
        <v>610540</v>
      </c>
      <c r="M86" s="222" t="n">
        <f aca="false">-M67</f>
        <v>610540</v>
      </c>
      <c r="N86" s="222" t="n">
        <f aca="false">-N67</f>
        <v>610540</v>
      </c>
      <c r="O86" s="222" t="n">
        <f aca="false">-O67</f>
        <v>610540</v>
      </c>
      <c r="P86" s="222" t="n">
        <f aca="false">-P67</f>
        <v>610540</v>
      </c>
      <c r="Q86" s="222" t="n">
        <f aca="false">-Q67</f>
        <v>610540</v>
      </c>
      <c r="R86" s="222" t="n">
        <f aca="false">-R67</f>
        <v>610540</v>
      </c>
      <c r="S86" s="222" t="n">
        <f aca="false">-S67</f>
        <v>610540</v>
      </c>
      <c r="T86" s="222" t="n">
        <f aca="false">-T67</f>
        <v>610540</v>
      </c>
      <c r="U86" s="222" t="n">
        <f aca="false">-U67</f>
        <v>610540</v>
      </c>
      <c r="V86" s="222" t="n">
        <f aca="false">-V67</f>
        <v>610540</v>
      </c>
      <c r="W86" s="222" t="n">
        <f aca="false">-W67</f>
        <v>610540</v>
      </c>
      <c r="X86" s="223"/>
      <c r="Y86" s="223"/>
    </row>
    <row r="87" customFormat="false" ht="15.75" hidden="false" customHeight="true" outlineLevel="0" collapsed="false">
      <c r="B87" s="220" t="s">
        <v>78</v>
      </c>
      <c r="C87" s="220"/>
      <c r="D87" s="224" t="n">
        <f aca="false">SUM(D85:D86)</f>
        <v>1336232.2170368</v>
      </c>
      <c r="E87" s="224" t="n">
        <f aca="false">SUM(E85:E86)</f>
        <v>862158.978076331</v>
      </c>
      <c r="F87" s="224" t="n">
        <f aca="false">SUM(F85:F86)</f>
        <v>870941.646018901</v>
      </c>
      <c r="G87" s="224" t="n">
        <f aca="false">SUM(G85:G86)</f>
        <v>879724.313961472</v>
      </c>
      <c r="H87" s="224" t="n">
        <f aca="false">SUM(H85:H86)</f>
        <v>888506.981904043</v>
      </c>
      <c r="I87" s="224" t="n">
        <f aca="false">SUM(I85:I86)</f>
        <v>897289.649846613</v>
      </c>
      <c r="J87" s="224" t="n">
        <f aca="false">SUM(J85:J86)</f>
        <v>906072.317789184</v>
      </c>
      <c r="K87" s="224" t="n">
        <f aca="false">SUM(K85:K86)</f>
        <v>914854.985731755</v>
      </c>
      <c r="L87" s="224" t="n">
        <f aca="false">SUM(L85:L86)</f>
        <v>923637.653674325</v>
      </c>
      <c r="M87" s="224" t="n">
        <f aca="false">SUM(M85:M86)</f>
        <v>932420.321616896</v>
      </c>
      <c r="N87" s="224" t="n">
        <f aca="false">SUM(N85:N86)</f>
        <v>976090.989559467</v>
      </c>
      <c r="O87" s="224" t="n">
        <f aca="false">SUM(O85:O86)</f>
        <v>984873.657502037</v>
      </c>
      <c r="P87" s="224" t="n">
        <f aca="false">SUM(P85:P86)</f>
        <v>993656.325444608</v>
      </c>
      <c r="Q87" s="224" t="n">
        <f aca="false">SUM(Q85:Q86)</f>
        <v>1002438.99338718</v>
      </c>
      <c r="R87" s="224" t="n">
        <f aca="false">SUM(R85:R86)</f>
        <v>1011221.66132975</v>
      </c>
      <c r="S87" s="224" t="n">
        <f aca="false">SUM(S85:S86)</f>
        <v>1020004.32927232</v>
      </c>
      <c r="T87" s="224" t="n">
        <f aca="false">SUM(T85:T86)</f>
        <v>1015452.15237222</v>
      </c>
      <c r="U87" s="224" t="n">
        <f aca="false">SUM(U85:U86)</f>
        <v>1010899.97547213</v>
      </c>
      <c r="V87" s="224" t="n">
        <f aca="false">SUM(V85:V86)</f>
        <v>1006347.79857203</v>
      </c>
      <c r="W87" s="224" t="n">
        <f aca="false">SUM(W85:W86)</f>
        <v>1001795.62167194</v>
      </c>
      <c r="X87" s="192"/>
    </row>
    <row r="88" customFormat="false" ht="15.75" hidden="false" customHeight="true" outlineLevel="0" collapsed="false">
      <c r="B88" s="220"/>
      <c r="C88" s="220"/>
      <c r="D88" s="220"/>
      <c r="E88" s="220"/>
      <c r="F88" s="225"/>
      <c r="G88" s="225"/>
      <c r="H88" s="225"/>
      <c r="I88" s="225"/>
      <c r="J88" s="225"/>
      <c r="K88" s="225"/>
      <c r="L88" s="225"/>
      <c r="M88" s="225"/>
      <c r="N88" s="225"/>
      <c r="O88" s="225"/>
      <c r="P88" s="225"/>
      <c r="Q88" s="225"/>
      <c r="R88" s="225"/>
      <c r="S88" s="225"/>
      <c r="T88" s="225"/>
      <c r="U88" s="225"/>
      <c r="V88" s="225"/>
      <c r="W88" s="225"/>
      <c r="X88" s="191"/>
    </row>
    <row r="89" customFormat="false" ht="15.75" hidden="false" customHeight="true" outlineLevel="0" collapsed="false">
      <c r="B89" s="226" t="s">
        <v>79</v>
      </c>
      <c r="C89" s="227"/>
      <c r="D89" s="228" t="n">
        <f aca="false">C44</f>
        <v>-12210800</v>
      </c>
      <c r="E89" s="227"/>
      <c r="F89" s="227"/>
      <c r="G89" s="227"/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9"/>
    </row>
    <row r="90" customFormat="false" ht="15.75" hidden="false" customHeight="true" outlineLevel="0" collapsed="false">
      <c r="B90" s="220"/>
      <c r="C90" s="220"/>
      <c r="D90" s="220"/>
      <c r="E90" s="220"/>
      <c r="F90" s="225"/>
      <c r="G90" s="225"/>
      <c r="H90" s="225"/>
      <c r="I90" s="225"/>
      <c r="J90" s="225"/>
      <c r="K90" s="225"/>
      <c r="L90" s="225"/>
      <c r="M90" s="225"/>
      <c r="N90" s="225"/>
      <c r="O90" s="225"/>
      <c r="P90" s="225"/>
      <c r="Q90" s="225"/>
      <c r="R90" s="225"/>
      <c r="S90" s="225"/>
      <c r="T90" s="225"/>
      <c r="U90" s="225"/>
      <c r="V90" s="225"/>
      <c r="W90" s="225"/>
      <c r="X90" s="191"/>
    </row>
    <row r="91" customFormat="false" ht="15.75" hidden="false" customHeight="true" outlineLevel="0" collapsed="false">
      <c r="B91" s="220"/>
      <c r="C91" s="220"/>
      <c r="D91" s="220"/>
      <c r="E91" s="220"/>
      <c r="F91" s="225"/>
      <c r="G91" s="225"/>
      <c r="H91" s="225"/>
      <c r="I91" s="225"/>
      <c r="J91" s="225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191"/>
    </row>
    <row r="92" customFormat="false" ht="15.75" hidden="false" customHeight="true" outlineLevel="0" collapsed="false">
      <c r="B92" s="226" t="s">
        <v>80</v>
      </c>
      <c r="C92" s="227"/>
      <c r="D92" s="228" t="n">
        <f aca="false">-D89*D31</f>
        <v>9768640</v>
      </c>
      <c r="E92" s="227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191"/>
    </row>
    <row r="93" customFormat="false" ht="15.75" hidden="false" customHeight="true" outlineLevel="0" collapsed="false">
      <c r="B93" s="220" t="s">
        <v>81</v>
      </c>
      <c r="C93" s="220"/>
      <c r="D93" s="230"/>
      <c r="E93" s="230" t="n">
        <v>-651242.666666667</v>
      </c>
      <c r="F93" s="230" t="n">
        <v>-651242.666666667</v>
      </c>
      <c r="G93" s="230" t="n">
        <v>-651242.666666667</v>
      </c>
      <c r="H93" s="230" t="n">
        <v>-651242.666666667</v>
      </c>
      <c r="I93" s="230" t="n">
        <v>-651242.666666667</v>
      </c>
      <c r="J93" s="230" t="n">
        <v>-651242.666666667</v>
      </c>
      <c r="K93" s="230" t="n">
        <v>-651242.666666667</v>
      </c>
      <c r="L93" s="230" t="n">
        <v>-651242.666666667</v>
      </c>
      <c r="M93" s="230" t="n">
        <v>-651242.666666667</v>
      </c>
      <c r="N93" s="230" t="n">
        <v>-651242.666666667</v>
      </c>
      <c r="O93" s="230" t="n">
        <v>-651242.666666667</v>
      </c>
      <c r="P93" s="230" t="n">
        <v>-651242.666666667</v>
      </c>
      <c r="Q93" s="230" t="n">
        <v>-651242.666666667</v>
      </c>
      <c r="R93" s="230" t="n">
        <v>-651242.666666667</v>
      </c>
      <c r="S93" s="230" t="n">
        <v>-651242.666666667</v>
      </c>
      <c r="T93" s="230" t="n">
        <v>0</v>
      </c>
      <c r="U93" s="230" t="n">
        <v>0</v>
      </c>
      <c r="V93" s="230" t="n">
        <v>0</v>
      </c>
      <c r="W93" s="230" t="n">
        <v>0</v>
      </c>
      <c r="X93" s="229"/>
    </row>
    <row r="94" customFormat="false" ht="15.75" hidden="false" customHeight="true" outlineLevel="0" collapsed="false">
      <c r="B94" s="220" t="s">
        <v>82</v>
      </c>
      <c r="C94" s="225"/>
      <c r="D94" s="221" t="n">
        <f aca="false">-D89*(1-D31)</f>
        <v>2442160</v>
      </c>
      <c r="E94" s="225"/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192"/>
    </row>
    <row r="95" customFormat="false" ht="15.75" hidden="false" customHeight="true" outlineLevel="0" collapsed="false">
      <c r="B95" s="220" t="s">
        <v>45</v>
      </c>
      <c r="C95" s="225"/>
      <c r="D95" s="225"/>
      <c r="E95" s="231" t="n">
        <f aca="false">-D85*$D$33</f>
        <v>-653122.99533312</v>
      </c>
      <c r="F95" s="231" t="n">
        <f aca="false">-E85*$D$33</f>
        <v>-226457.080268697</v>
      </c>
      <c r="G95" s="231" t="n">
        <f aca="false">-F85*$D$33</f>
        <v>-234361.481417011</v>
      </c>
      <c r="H95" s="231" t="n">
        <f aca="false">-G85*$D$33</f>
        <v>-242265.882565325</v>
      </c>
      <c r="I95" s="231" t="n">
        <f aca="false">-H85*$D$33</f>
        <v>-250170.283713638</v>
      </c>
      <c r="J95" s="231" t="n">
        <f aca="false">-I85*$D$33</f>
        <v>-258074.684861952</v>
      </c>
      <c r="K95" s="231" t="n">
        <f aca="false">-J85*$D$33</f>
        <v>-265979.086010266</v>
      </c>
      <c r="L95" s="231" t="n">
        <f aca="false">-K85*$D$33</f>
        <v>-273883.487158579</v>
      </c>
      <c r="M95" s="231" t="n">
        <f aca="false">-L85*$D$33</f>
        <v>-281787.888306893</v>
      </c>
      <c r="N95" s="231" t="n">
        <f aca="false">-M85*$D$33</f>
        <v>-289692.289455206</v>
      </c>
      <c r="O95" s="231" t="n">
        <f aca="false">-N85*$D$33</f>
        <v>-328995.89060352</v>
      </c>
      <c r="P95" s="231" t="n">
        <f aca="false">-O85*$D$33</f>
        <v>-336900.291751833</v>
      </c>
      <c r="Q95" s="231" t="n">
        <f aca="false">-P85*$D$33</f>
        <v>-344804.692900147</v>
      </c>
      <c r="R95" s="231" t="n">
        <f aca="false">-Q85*$D$33</f>
        <v>-352709.094048461</v>
      </c>
      <c r="S95" s="231" t="n">
        <f aca="false">-R85*$D$33</f>
        <v>-360613.495196774</v>
      </c>
      <c r="T95" s="231" t="n">
        <f aca="false">-S85*$D$33</f>
        <v>-368517.896345088</v>
      </c>
      <c r="U95" s="231" t="n">
        <f aca="false">-T85*$D$33</f>
        <v>-364420.937135001</v>
      </c>
      <c r="V95" s="231" t="n">
        <f aca="false">-U85*$D$33</f>
        <v>-360323.977924915</v>
      </c>
      <c r="W95" s="231" t="n">
        <f aca="false">-V85*$D$33</f>
        <v>-356227.018714829</v>
      </c>
      <c r="X95" s="231" t="n">
        <f aca="false">-W85*$D$33</f>
        <v>-352130.059504742</v>
      </c>
    </row>
    <row r="96" customFormat="false" ht="15.75" hidden="false" customHeight="true" outlineLevel="0" collapsed="false">
      <c r="B96" s="232" t="s">
        <v>47</v>
      </c>
      <c r="C96" s="233"/>
      <c r="D96" s="233" t="n">
        <v>0</v>
      </c>
      <c r="E96" s="234" t="n">
        <v>0</v>
      </c>
      <c r="F96" s="234" t="n">
        <v>0</v>
      </c>
      <c r="G96" s="234" t="n">
        <v>0</v>
      </c>
      <c r="H96" s="234" t="n">
        <v>0</v>
      </c>
      <c r="I96" s="234" t="n">
        <v>0</v>
      </c>
      <c r="J96" s="234" t="n">
        <v>0</v>
      </c>
      <c r="K96" s="234" t="n">
        <v>0</v>
      </c>
      <c r="L96" s="234" t="n">
        <v>0</v>
      </c>
      <c r="M96" s="234" t="n">
        <v>0</v>
      </c>
      <c r="N96" s="234" t="n">
        <v>0</v>
      </c>
      <c r="O96" s="234" t="n">
        <v>0</v>
      </c>
      <c r="P96" s="234" t="n">
        <v>0</v>
      </c>
      <c r="Q96" s="234" t="n">
        <v>0</v>
      </c>
      <c r="R96" s="234" t="n">
        <v>0</v>
      </c>
      <c r="S96" s="234" t="n">
        <v>0</v>
      </c>
      <c r="T96" s="234" t="n">
        <v>-610540</v>
      </c>
      <c r="U96" s="234" t="n">
        <v>-610540</v>
      </c>
      <c r="V96" s="234" t="n">
        <v>-610540</v>
      </c>
      <c r="W96" s="234" t="n">
        <v>-610540</v>
      </c>
      <c r="X96" s="235" t="n">
        <f aca="false">-W101-X95</f>
        <v>-722382.057024</v>
      </c>
    </row>
    <row r="97" customFormat="false" ht="15.75" hidden="false" customHeight="true" outlineLevel="0" collapsed="false">
      <c r="B97" s="225"/>
      <c r="C97" s="225"/>
      <c r="D97" s="225"/>
      <c r="E97" s="225"/>
      <c r="F97" s="22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192"/>
    </row>
    <row r="98" customFormat="false" ht="15.75" hidden="false" customHeight="true" outlineLevel="0" collapsed="false">
      <c r="B98" s="225"/>
      <c r="C98" s="225"/>
      <c r="D98" s="225"/>
      <c r="E98" s="225"/>
      <c r="F98" s="22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192"/>
    </row>
    <row r="99" customFormat="false" ht="15.75" hidden="false" customHeight="true" outlineLevel="0" collapsed="false">
      <c r="B99" s="220" t="s">
        <v>83</v>
      </c>
      <c r="C99" s="221" t="n">
        <v>0</v>
      </c>
      <c r="D99" s="221" t="n">
        <f aca="false">SUM(D87:D96)</f>
        <v>1336232.2170368</v>
      </c>
      <c r="E99" s="221" t="n">
        <f aca="false">SUM(E87:E96)</f>
        <v>-442206.683923456</v>
      </c>
      <c r="F99" s="221" t="n">
        <f aca="false">SUM(F87:F96)</f>
        <v>-6758.10091646269</v>
      </c>
      <c r="G99" s="221" t="n">
        <f aca="false">SUM(G87:G96)</f>
        <v>-5879.83412220585</v>
      </c>
      <c r="H99" s="221" t="n">
        <f aca="false">SUM(H87:H96)</f>
        <v>-5001.5673279489</v>
      </c>
      <c r="I99" s="221" t="n">
        <f aca="false">SUM(I87:I96)</f>
        <v>-4123.30053369174</v>
      </c>
      <c r="J99" s="221" t="n">
        <f aca="false">SUM(J87:J96)</f>
        <v>-3245.03373943438</v>
      </c>
      <c r="K99" s="221" t="n">
        <f aca="false">SUM(K87:K96)</f>
        <v>-2366.76694517769</v>
      </c>
      <c r="L99" s="221" t="n">
        <f aca="false">SUM(L87:L96)</f>
        <v>-1488.50015092053</v>
      </c>
      <c r="M99" s="221" t="n">
        <f aca="false">SUM(M87:M96)</f>
        <v>-610.233356663433</v>
      </c>
      <c r="N99" s="221" t="n">
        <f aca="false">SUM(N87:N96)</f>
        <v>35156.0334375937</v>
      </c>
      <c r="O99" s="221" t="n">
        <f aca="false">SUM(O87:O96)</f>
        <v>4635.10023185064</v>
      </c>
      <c r="P99" s="221" t="n">
        <f aca="false">SUM(P87:P96)</f>
        <v>5513.36702610779</v>
      </c>
      <c r="Q99" s="221" t="n">
        <f aca="false">SUM(Q87:Q96)</f>
        <v>6391.63382036478</v>
      </c>
      <c r="R99" s="221" t="n">
        <f aca="false">SUM(R87:R96)</f>
        <v>7269.90061462199</v>
      </c>
      <c r="S99" s="221" t="n">
        <f aca="false">SUM(S87:S96)</f>
        <v>8148.16740887897</v>
      </c>
      <c r="T99" s="221" t="n">
        <f aca="false">SUM(T87:T96)</f>
        <v>36394.2560271358</v>
      </c>
      <c r="U99" s="221" t="n">
        <f aca="false">SUM(U87:U96)</f>
        <v>35939.0383371266</v>
      </c>
      <c r="V99" s="221" t="n">
        <f aca="false">SUM(V87:V96)</f>
        <v>35483.8206471166</v>
      </c>
      <c r="W99" s="221" t="n">
        <f aca="false">SUM(W87:W96)</f>
        <v>35028.6029571074</v>
      </c>
      <c r="X99" s="192"/>
    </row>
    <row r="100" customFormat="false" ht="15.75" hidden="false" customHeight="true" outlineLevel="0" collapsed="false">
      <c r="B100" s="220" t="s">
        <v>84</v>
      </c>
      <c r="C100" s="221" t="n">
        <v>0</v>
      </c>
      <c r="D100" s="221" t="n">
        <f aca="false">C101</f>
        <v>0</v>
      </c>
      <c r="E100" s="221" t="n">
        <f aca="false">D101</f>
        <v>1336232.2170368</v>
      </c>
      <c r="F100" s="221" t="n">
        <f aca="false">E101</f>
        <v>894025.533113343</v>
      </c>
      <c r="G100" s="221" t="n">
        <f aca="false">F101</f>
        <v>887267.432196881</v>
      </c>
      <c r="H100" s="221" t="n">
        <f aca="false">G101</f>
        <v>881387.598074675</v>
      </c>
      <c r="I100" s="221" t="n">
        <f aca="false">H101</f>
        <v>876386.030746726</v>
      </c>
      <c r="J100" s="221" t="n">
        <f aca="false">I101</f>
        <v>872262.730213034</v>
      </c>
      <c r="K100" s="221" t="n">
        <f aca="false">J101</f>
        <v>869017.6964736</v>
      </c>
      <c r="L100" s="221" t="n">
        <f aca="false">K101</f>
        <v>866650.929528422</v>
      </c>
      <c r="M100" s="221" t="n">
        <f aca="false">L101</f>
        <v>865162.429377502</v>
      </c>
      <c r="N100" s="221" t="n">
        <f aca="false">M101</f>
        <v>864552.196020838</v>
      </c>
      <c r="O100" s="221" t="n">
        <f aca="false">N101</f>
        <v>899708.229458432</v>
      </c>
      <c r="P100" s="221" t="n">
        <f aca="false">O101</f>
        <v>904343.329690283</v>
      </c>
      <c r="Q100" s="221" t="n">
        <f aca="false">P101</f>
        <v>909856.69671639</v>
      </c>
      <c r="R100" s="221" t="n">
        <f aca="false">Q101</f>
        <v>916248.330536755</v>
      </c>
      <c r="S100" s="221" t="n">
        <f aca="false">R101</f>
        <v>923518.231151377</v>
      </c>
      <c r="T100" s="221" t="n">
        <f aca="false">S101</f>
        <v>931666.398560256</v>
      </c>
      <c r="U100" s="221" t="n">
        <f aca="false">T101</f>
        <v>968060.654587392</v>
      </c>
      <c r="V100" s="221" t="n">
        <f aca="false">U101</f>
        <v>1003999.69292452</v>
      </c>
      <c r="W100" s="221" t="n">
        <f aca="false">V101</f>
        <v>1039483.51357164</v>
      </c>
      <c r="X100" s="191"/>
    </row>
    <row r="101" customFormat="false" ht="15.75" hidden="false" customHeight="true" outlineLevel="0" collapsed="false">
      <c r="B101" s="220" t="s">
        <v>85</v>
      </c>
      <c r="C101" s="221" t="n">
        <v>0</v>
      </c>
      <c r="D101" s="221" t="n">
        <f aca="false">D99+D100</f>
        <v>1336232.2170368</v>
      </c>
      <c r="E101" s="221" t="n">
        <f aca="false">E99+E100</f>
        <v>894025.533113343</v>
      </c>
      <c r="F101" s="221" t="n">
        <f aca="false">F99+F100</f>
        <v>887267.432196881</v>
      </c>
      <c r="G101" s="221" t="n">
        <f aca="false">G99+G100</f>
        <v>881387.598074675</v>
      </c>
      <c r="H101" s="221" t="n">
        <f aca="false">H99+H100</f>
        <v>876386.030746726</v>
      </c>
      <c r="I101" s="221" t="n">
        <f aca="false">I99+I100</f>
        <v>872262.730213034</v>
      </c>
      <c r="J101" s="221" t="n">
        <f aca="false">J99+J100</f>
        <v>869017.6964736</v>
      </c>
      <c r="K101" s="221" t="n">
        <f aca="false">K99+K100</f>
        <v>866650.929528422</v>
      </c>
      <c r="L101" s="221" t="n">
        <f aca="false">L99+L100</f>
        <v>865162.429377502</v>
      </c>
      <c r="M101" s="221" t="n">
        <f aca="false">M99+M100</f>
        <v>864552.196020838</v>
      </c>
      <c r="N101" s="221" t="n">
        <f aca="false">N99+N100</f>
        <v>899708.229458432</v>
      </c>
      <c r="O101" s="221" t="n">
        <f aca="false">O99+O100</f>
        <v>904343.329690283</v>
      </c>
      <c r="P101" s="221" t="n">
        <f aca="false">P99+P100</f>
        <v>909856.69671639</v>
      </c>
      <c r="Q101" s="221" t="n">
        <f aca="false">Q99+Q100</f>
        <v>916248.330536755</v>
      </c>
      <c r="R101" s="221" t="n">
        <f aca="false">R99+R100</f>
        <v>923518.231151377</v>
      </c>
      <c r="S101" s="221" t="n">
        <f aca="false">S99+S100</f>
        <v>931666.398560256</v>
      </c>
      <c r="T101" s="221" t="n">
        <f aca="false">T99+T100</f>
        <v>968060.654587392</v>
      </c>
      <c r="U101" s="221" t="n">
        <f aca="false">U99+U100</f>
        <v>1003999.69292452</v>
      </c>
      <c r="V101" s="221" t="n">
        <f aca="false">V99+V100</f>
        <v>1039483.51357164</v>
      </c>
      <c r="W101" s="221" t="n">
        <f aca="false">W99+W100</f>
        <v>1074512.11652874</v>
      </c>
      <c r="X101" s="191"/>
    </row>
    <row r="102" customFormat="false" ht="15.75" hidden="false" customHeight="true" outlineLevel="0" collapsed="false"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</row>
    <row r="103" customFormat="false" ht="15.75" hidden="false" customHeight="true" outlineLevel="0" collapsed="false">
      <c r="B103" s="220"/>
      <c r="C103" s="220"/>
      <c r="D103" s="220"/>
      <c r="E103" s="220"/>
      <c r="F103" s="225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</row>
    <row r="104" customFormat="false" ht="15.75" hidden="false" customHeight="true" outlineLevel="0" collapsed="false">
      <c r="B104" s="236" t="s">
        <v>86</v>
      </c>
      <c r="C104" s="237"/>
      <c r="D104" s="238" t="n">
        <f aca="false">-D94</f>
        <v>-2442160</v>
      </c>
      <c r="E104" s="224" t="n">
        <f aca="false">-E95-E96</f>
        <v>653122.99533312</v>
      </c>
      <c r="F104" s="224" t="n">
        <f aca="false">-F95-F96</f>
        <v>226457.080268697</v>
      </c>
      <c r="G104" s="224" t="n">
        <f aca="false">-G95-G96</f>
        <v>234361.481417011</v>
      </c>
      <c r="H104" s="224" t="n">
        <f aca="false">-H95-H96</f>
        <v>242265.882565325</v>
      </c>
      <c r="I104" s="224" t="n">
        <f aca="false">-I95-I96</f>
        <v>250170.283713638</v>
      </c>
      <c r="J104" s="224" t="n">
        <f aca="false">-J95-J96</f>
        <v>258074.684861952</v>
      </c>
      <c r="K104" s="224" t="n">
        <f aca="false">-K95-K96</f>
        <v>265979.086010266</v>
      </c>
      <c r="L104" s="224" t="n">
        <f aca="false">-L95-L96</f>
        <v>273883.487158579</v>
      </c>
      <c r="M104" s="224" t="n">
        <f aca="false">-M95-M96</f>
        <v>281787.888306893</v>
      </c>
      <c r="N104" s="224" t="n">
        <f aca="false">-N95-N96</f>
        <v>289692.289455206</v>
      </c>
      <c r="O104" s="224" t="n">
        <f aca="false">-O95-O96</f>
        <v>328995.89060352</v>
      </c>
      <c r="P104" s="224" t="n">
        <f aca="false">-P95-P96</f>
        <v>336900.291751833</v>
      </c>
      <c r="Q104" s="224" t="n">
        <f aca="false">-Q95-Q96</f>
        <v>344804.692900147</v>
      </c>
      <c r="R104" s="224" t="n">
        <f aca="false">-R95-R96</f>
        <v>352709.094048461</v>
      </c>
      <c r="S104" s="224" t="n">
        <f aca="false">-S95-S96</f>
        <v>360613.495196774</v>
      </c>
      <c r="T104" s="224" t="n">
        <f aca="false">-T95-T96</f>
        <v>979057.896345088</v>
      </c>
      <c r="U104" s="224" t="n">
        <f aca="false">-U95-U96</f>
        <v>974960.937135001</v>
      </c>
      <c r="V104" s="224" t="n">
        <f aca="false">-V95-V96</f>
        <v>970863.977924915</v>
      </c>
      <c r="W104" s="224" t="n">
        <f aca="false">-W95-W96</f>
        <v>966767.018714829</v>
      </c>
      <c r="X104" s="224" t="n">
        <f aca="false">-X95-X96</f>
        <v>1074512.11652874</v>
      </c>
    </row>
    <row r="105" customFormat="false" ht="15.75" hidden="false" customHeight="true" outlineLevel="0" collapsed="false">
      <c r="B105" s="220" t="s">
        <v>87</v>
      </c>
      <c r="C105" s="239" t="n">
        <f aca="false">IRR(D104:X104)</f>
        <v>0.140863381284447</v>
      </c>
      <c r="D105" s="225"/>
      <c r="E105" s="225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</row>
    <row r="106" customFormat="false" ht="15.75" hidden="false" customHeight="true" outlineLevel="0" collapsed="false">
      <c r="B106" s="236" t="s">
        <v>88</v>
      </c>
      <c r="C106" s="237"/>
      <c r="D106" s="238" t="n">
        <f aca="false">D85-D94</f>
        <v>-1716467.7829632</v>
      </c>
      <c r="E106" s="224" t="n">
        <f aca="false">E85</f>
        <v>251618.97807633</v>
      </c>
      <c r="F106" s="224" t="n">
        <f aca="false">F85-F96</f>
        <v>260401.646018901</v>
      </c>
      <c r="G106" s="224" t="n">
        <f aca="false">G85-G96</f>
        <v>269184.313961472</v>
      </c>
      <c r="H106" s="224" t="n">
        <f aca="false">H85-H96</f>
        <v>277966.981904043</v>
      </c>
      <c r="I106" s="224" t="n">
        <f aca="false">I85-I96</f>
        <v>286749.649846613</v>
      </c>
      <c r="J106" s="224" t="n">
        <f aca="false">J85-J96</f>
        <v>295532.317789184</v>
      </c>
      <c r="K106" s="224" t="n">
        <f aca="false">K85-K96</f>
        <v>304314.985731755</v>
      </c>
      <c r="L106" s="224" t="n">
        <f aca="false">L85-L96</f>
        <v>313097.653674325</v>
      </c>
      <c r="M106" s="224" t="n">
        <f aca="false">M85-M96</f>
        <v>321880.321616896</v>
      </c>
      <c r="N106" s="224" t="n">
        <f aca="false">N85-N96</f>
        <v>365550.989559467</v>
      </c>
      <c r="O106" s="224" t="n">
        <f aca="false">O85-O96</f>
        <v>374333.657502037</v>
      </c>
      <c r="P106" s="224" t="n">
        <f aca="false">P85-P96</f>
        <v>383116.325444608</v>
      </c>
      <c r="Q106" s="224" t="n">
        <f aca="false">Q85-Q96</f>
        <v>391898.993387179</v>
      </c>
      <c r="R106" s="224" t="n">
        <f aca="false">R85-R96</f>
        <v>400681.661329749</v>
      </c>
      <c r="S106" s="224" t="n">
        <f aca="false">S85-S96</f>
        <v>409464.32927232</v>
      </c>
      <c r="T106" s="224" t="n">
        <f aca="false">T85-T96</f>
        <v>1015452.15237222</v>
      </c>
      <c r="U106" s="224" t="n">
        <f aca="false">U85-U96</f>
        <v>1010899.97547213</v>
      </c>
      <c r="V106" s="224" t="n">
        <f aca="false">V85-V96</f>
        <v>1006347.79857203</v>
      </c>
      <c r="W106" s="224" t="n">
        <f aca="false">W85-W96</f>
        <v>1001795.62167194</v>
      </c>
      <c r="X106" s="229"/>
    </row>
    <row r="107" customFormat="false" ht="15.75" hidden="false" customHeight="true" outlineLevel="0" collapsed="false">
      <c r="B107" s="236" t="s">
        <v>89</v>
      </c>
      <c r="C107" s="239" t="n">
        <f aca="false">IRR(D106:W106)</f>
        <v>0.180596436443649</v>
      </c>
      <c r="D107" s="225"/>
      <c r="E107" s="225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</row>
    <row r="108" customFormat="false" ht="15.75" hidden="false" customHeight="true" outlineLevel="0" collapsed="false"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</row>
    <row r="109" customFormat="false" ht="15.75" hidden="false" customHeight="true" outlineLevel="0" collapsed="false">
      <c r="B109" s="220" t="s">
        <v>90</v>
      </c>
      <c r="C109" s="221" t="n">
        <v>0</v>
      </c>
      <c r="D109" s="221" t="n">
        <f aca="false">D92</f>
        <v>9768640</v>
      </c>
      <c r="E109" s="221" t="n">
        <f aca="false">D109+E93</f>
        <v>9117397.33333333</v>
      </c>
      <c r="F109" s="221" t="n">
        <f aca="false">E109+F93</f>
        <v>8466154.66666667</v>
      </c>
      <c r="G109" s="221" t="n">
        <f aca="false">F109+G93</f>
        <v>7814912</v>
      </c>
      <c r="H109" s="221" t="n">
        <f aca="false">G109+H93</f>
        <v>7163669.33333333</v>
      </c>
      <c r="I109" s="221" t="n">
        <f aca="false">H109+I93</f>
        <v>6512426.66666667</v>
      </c>
      <c r="J109" s="221" t="n">
        <f aca="false">I109+J93</f>
        <v>5861184</v>
      </c>
      <c r="K109" s="221" t="n">
        <f aca="false">J109+K93</f>
        <v>5209941.33333333</v>
      </c>
      <c r="L109" s="221" t="n">
        <f aca="false">K109+L93</f>
        <v>4558698.66666667</v>
      </c>
      <c r="M109" s="221" t="n">
        <f aca="false">L109+M93</f>
        <v>3907456</v>
      </c>
      <c r="N109" s="221" t="n">
        <f aca="false">M109+N93</f>
        <v>3256213.33333333</v>
      </c>
      <c r="O109" s="221" t="n">
        <f aca="false">N109+O93</f>
        <v>2604970.66666667</v>
      </c>
      <c r="P109" s="221" t="n">
        <f aca="false">O109+P93</f>
        <v>1953728</v>
      </c>
      <c r="Q109" s="221" t="n">
        <f aca="false">P109+Q93</f>
        <v>1302485.33333333</v>
      </c>
      <c r="R109" s="221" t="n">
        <f aca="false">Q109+R93</f>
        <v>651242.666666667</v>
      </c>
      <c r="S109" s="221" t="n">
        <f aca="false">R109+S93</f>
        <v>0</v>
      </c>
      <c r="T109" s="221" t="n">
        <f aca="false">S109+T93</f>
        <v>0</v>
      </c>
      <c r="U109" s="221" t="n">
        <f aca="false">T109+U93</f>
        <v>0</v>
      </c>
      <c r="V109" s="221" t="n">
        <f aca="false">U109+V93</f>
        <v>0</v>
      </c>
      <c r="W109" s="221" t="n">
        <f aca="false">V109+W93</f>
        <v>0</v>
      </c>
      <c r="X109" s="2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王竣生</dc:creator>
  <dc:description/>
  <dc:language>zh-TW</dc:language>
  <cp:lastModifiedBy>王竣生</cp:lastModifiedBy>
  <dcterms:modified xsi:type="dcterms:W3CDTF">2026-04-15T17:15:05Z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