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空白範例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  <sheet name="p9" sheetId="11" state="visible" r:id="rId13"/>
    <sheet name="p10" sheetId="12" state="visible" r:id="rId14"/>
    <sheet name="p11" sheetId="13" state="visible" r:id="rId15"/>
    <sheet name="p12" sheetId="14" state="visible" r:id="rId16"/>
    <sheet name="p13" sheetId="15" state="visible" r:id="rId17"/>
    <sheet name="p14" sheetId="16" state="visible" r:id="rId18"/>
    <sheet name="p15" sheetId="17" state="visible" r:id="rId19"/>
    <sheet name="p16" sheetId="18" state="visible" r:id="rId20"/>
    <sheet name="p17" sheetId="19" state="visible" r:id="rId21"/>
    <sheet name="p18" sheetId="20" state="visible" r:id="rId22"/>
    <sheet name="p19" sheetId="21" state="visible" r:id="rId23"/>
    <sheet name="p20" sheetId="22" state="visible" r:id="rId24"/>
    <sheet name="p21" sheetId="23" state="visible" r:id="rId25"/>
    <sheet name="p22" sheetId="24" state="visible" r:id="rId26"/>
    <sheet name="p23" sheetId="25" state="visible" r:id="rId27"/>
    <sheet name="p24" sheetId="26" state="visible" r:id="rId28"/>
    <sheet name="p25" sheetId="27" state="visible" r:id="rId29"/>
    <sheet name="p26" sheetId="28" state="visible" r:id="rId30"/>
    <sheet name="p27" sheetId="29" state="visible" r:id="rId31"/>
    <sheet name="p28" sheetId="30" state="visible" r:id="rId32"/>
    <sheet name="p29" sheetId="31" state="visible" r:id="rId33"/>
    <sheet name="p30" sheetId="32" state="visible" r:id="rId34"/>
    <sheet name="p31" sheetId="33" state="visible" r:id="rId35"/>
    <sheet name="p32" sheetId="34" state="visible" r:id="rId36"/>
    <sheet name="p33" sheetId="35" state="visible" r:id="rId3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<sst xmlns="http://schemas.openxmlformats.org/spreadsheetml/2006/main" count="6733" uniqueCount="300">
  <si>
    <t xml:space="preserve">電站基本資料(請填寫著色處)</t>
  </si>
  <si>
    <t xml:space="preserve">說明</t>
  </si>
  <si>
    <t xml:space="preserve">電站名稱</t>
  </si>
  <si>
    <t xml:space="preserve">淡江大學</t>
  </si>
  <si>
    <t xml:space="preserve">-</t>
  </si>
  <si>
    <t xml:space="preserve">填入本案場名稱</t>
  </si>
  <si>
    <t xml:space="preserve">電站壽命</t>
  </si>
  <si>
    <t xml:space="preserve">預設 20 年，代表財務評估年期。若合約年限不同可依實際情況修改</t>
  </si>
  <si>
    <t xml:space="preserve">建置量(kWp)</t>
  </si>
  <si>
    <t xml:space="preserve">填入裝置容量（kWp），通常由設計圖面或報價書取得</t>
  </si>
  <si>
    <t xml:space="preserve">起始年度</t>
  </si>
  <si>
    <t xml:space="preserve">結束年度</t>
  </si>
  <si>
    <t xml:space="preserve">填入電站預計掛表的西元年份（例：2025）。結束年度會自動計算</t>
  </si>
  <si>
    <t xml:space="preserve">綜合損益表(請填寫著色處)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</si>
  <si>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</si>
  <si>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</si>
  <si>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</si>
  <si>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</si>
  <si>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</si>
  <si>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</si>
  <si>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t xml:space="preserve">年度AC併網總發電量</t>
  </si>
  <si>
    <t xml:space="preserve">預估年發電量（kWh），通常來自 PVsyst 模擬或估算：裝置容量 × 年日照時數 × 系統效率</t>
  </si>
  <si>
    <t xml:space="preserve">首年衰退率</t>
  </si>
  <si>
    <t xml:space="preserve">第一年發電衰退比率，請填小數（例：1% → 填 0.01）。一般首年衰退約 1~2%(請參考模組規格書)</t>
  </si>
  <si>
    <t xml:space="preserve">次年衰退率</t>
  </si>
  <si>
    <t xml:space="preserve">第二年起每年固定衰退比率，請填小數（例：0.4% → 填 0.004）。一般約 0.4~0.7%(請參考模組規格書)</t>
  </si>
  <si>
    <t xml:space="preserve">躉售費率(FIT) / 綠電費率</t>
  </si>
  <si>
    <t xml:space="preserve">與台電簽訂的躉購費率或綠電合約費率，單位：元/度。請參考台電公告或合約內容</t>
  </si>
  <si>
    <t xml:space="preserve">支出(請填寫著色處)</t>
  </si>
  <si>
    <t xml:space="preserve">攤提年限</t>
  </si>
  <si>
    <t xml:space="preserve">設備費用(價金)</t>
  </si>
  <si>
    <t xml:space="preserve">每kWp設備成本</t>
  </si>
  <si>
    <t xml:space="preserve">每峰瓩設備成本（元/kWp），包含模組、逆變器、支架等硬體，不含工程施工費</t>
  </si>
  <si>
    <t xml:space="preserve">信邦利潤率(ex:20%填0.2)</t>
  </si>
  <si>
    <t xml:space="preserve">公司在設備費用上加計的利潤比率，請填小數（例：20% → 填 0.2）</t>
  </si>
  <si>
    <t xml:space="preserve">開發費</t>
  </si>
  <si>
    <t xml:space="preserve">前期開發費用（元），含可行性評估、申請規費、地主溝通等。若無則填 0</t>
  </si>
  <si>
    <t xml:space="preserve">租金費用</t>
  </si>
  <si>
    <t xml:space="preserve">租金計算方式</t>
  </si>
  <si>
    <t xml:space="preserve">填 1 = 固定年租金（需填方式1參數）；填 2 = 依電費收入抽成（需填方式2參數）</t>
  </si>
  <si>
    <t xml:space="preserve">【方式1參數】每年相同價格</t>
  </si>
  <si>
    <t xml:space="preserve">租金計算方式選「1」時填寫，固定年租金金額（元/年），套用至整個電站壽命期</t>
  </si>
  <si>
    <t xml:space="preserve">【方式2參數】抽成比率</t>
  </si>
  <si>
    <t xml:space="preserve">租金計算方式選「2」時填寫，請填小數（例：10% → 填 0.1）。租金 = 當年電費收入 × 抽成比率</t>
  </si>
  <si>
    <t xml:space="preserve">運維費用</t>
  </si>
  <si>
    <t xml:space="preserve">每kw運維成本</t>
  </si>
  <si>
    <t xml:space="preserve">每峰瓩每年運維費用（元/kWp/年），含清洗、巡檢、維修等。</t>
  </si>
  <si>
    <t xml:space="preserve">保險費用</t>
  </si>
  <si>
    <t xml:space="preserve">占整體設備費用比例</t>
  </si>
  <si>
    <t xml:space="preserve">保險費佔設備總費用比率，填小數（例：0.3% → 填 0.003）。預設 0.003，可依投保條件調整</t>
  </si>
  <si>
    <t xml:space="preserve">模組回收費用</t>
  </si>
  <si>
    <t xml:space="preserve">每kw模組回收成本</t>
  </si>
  <si>
    <t xml:space="preserve">每峰瓩模組廢棄回收費用（元/kWp），於第 1~10 年計提（攤提 10 年）。</t>
  </si>
  <si>
    <t xml:space="preserve">利息費用</t>
  </si>
  <si>
    <t xml:space="preserve">銀行利率</t>
  </si>
  <si>
    <t xml:space="preserve">向銀行貸款的年利率，填小數（例：2.56% → 填 0.0256）。請依銀行核准利率填入</t>
  </si>
  <si>
    <t xml:space="preserve">所得稅</t>
  </si>
  <si>
    <t xml:space="preserve">所得稅率</t>
  </si>
  <si>
    <t xml:space="preserve">公司所得稅率，填小數（例：20% → 填 0.2）。預設 0.2，通常不需更改</t>
  </si>
  <si>
    <t xml:space="preserve">現金流量表(請填寫著色處)</t>
  </si>
  <si>
    <t xml:space="preserve">金流項目</t>
  </si>
  <si>
    <t xml:space="preserve">貸款成數</t>
  </si>
  <si>
    <t xml:space="preserve">占總設備費用比例</t>
  </si>
  <si>
    <t xml:space="preserve">貸款佔設備總費用比例，填小數（例：80% → 填 0.8）。預設 0.8 代表貸八成、自備二成</t>
  </si>
  <si>
    <t xml:space="preserve">貸款還款</t>
  </si>
  <si>
    <t xml:space="preserve">攤還期數</t>
  </si>
  <si>
    <t xml:space="preserve">貸款還款年數（年）。預設 15 年，代表分 15 年平均攤還本金</t>
  </si>
  <si>
    <t xml:space="preserve">現金股利</t>
  </si>
  <si>
    <t xml:space="preserve">股利比率</t>
  </si>
  <si>
    <t xml:space="preserve">稅後現金流中分配給股東的比例，填小數（例：90% → 填 0.9）</t>
  </si>
  <si>
    <t xml:space="preserve">年底減資</t>
  </si>
  <si>
    <t xml:space="preserve">年底減資返還股東的年數。預設 4 年，代表 倒數 4 年進行減資，加速資金返還</t>
  </si>
  <si>
    <t xml:space="preserve">編號</t>
  </si>
  <si>
    <t xml:space="preserve">價金每KW</t>
  </si>
  <si>
    <t xml:space="preserve">專案法IRR</t>
  </si>
  <si>
    <t xml:space="preserve">成本法IRR</t>
  </si>
  <si>
    <t xml:space="preserve">權益法IRR</t>
  </si>
  <si>
    <t xml:space="preserve">信邦利潤率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</si>
  <si>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</si>
  <si>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</si>
  <si>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</si>
  <si>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</si>
  <si>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</si>
  <si>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</si>
  <si>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</si>
  <si>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</si>
  <si>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</si>
  <si>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</si>
  <si>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</si>
  <si>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t xml:space="preserve">初始價金 - 比率模式，每次減少 20.0%，邊界值 20000 元</t>
  </si>
  <si>
    <t xml:space="preserve">第1次滾算，減少 7000 元 - 比率模式，每次減少 20.0%</t>
  </si>
  <si>
    <t xml:space="preserve">第2次滾算，減少 5600 元 - 比率模式，每次減少 20.0%</t>
  </si>
  <si>
    <t xml:space="preserve">初始價金 - 現金模式，每次減少 1500 元，邊界值 20000 元</t>
  </si>
  <si>
    <t xml:space="preserve">第1次滾算，減少 1500 元 - 現金模式，每次減少 1500 元</t>
  </si>
  <si>
    <t xml:space="preserve">第2次滾算，減少 1500 元 - 現金模式，每次減少 1500 元</t>
  </si>
  <si>
    <t xml:space="preserve">第3次滾算，減少 1500 元 - 現金模式，每次減少 1500 元</t>
  </si>
  <si>
    <t xml:space="preserve">第4次滾算，減少 1500 元 - 現金模式，每次減少 1500 元</t>
  </si>
  <si>
    <t xml:space="preserve">第5次滾算，減少 1500 元 - 現金模式，每次減少 1500 元</t>
  </si>
  <si>
    <t xml:space="preserve">第6次滾算，減少 1500 元 - 現金模式，每次減少 1500 元</t>
  </si>
  <si>
    <t xml:space="preserve">第7次滾算，減少 1500 元 - 現金模式，每次減少 1500 元</t>
  </si>
  <si>
    <t xml:space="preserve">第8次滾算，減少 1500 元 - 現金模式，每次減少 1500 元</t>
  </si>
  <si>
    <t xml:space="preserve">第9次滾算，減少 1500 元 - 現金模式，每次減少 1500 元</t>
  </si>
  <si>
    <t xml:space="preserve">第10次滾算，減少 1500 元 - 現金模式，每次減少 1500 元</t>
  </si>
  <si>
    <t xml:space="preserve">電站基本資料</t>
  </si>
  <si>
    <t xml:space="preserve">情境編號: 1</t>
  </si>
  <si>
    <t xml:space="preserve">初始價金摘要</t>
  </si>
  <si>
    <t xml:space="preserve">價金: 35000</t>
  </si>
  <si>
    <t xml:space="preserve">綜合損益表</t>
  </si>
  <si>
    <t xml:space="preserve">專案IRR: 2.45</t>
  </si>
  <si>
    <t xml:space="preserve">權益法IRR: 3.9</t>
  </si>
  <si>
    <t xml:space="preserve">利潤率: 30.00%</t>
  </si>
  <si>
    <t xml:space="preserve">初始價金 - 現金模式，每次減少 2000 元</t>
  </si>
  <si>
    <t xml:space="preserve">支出</t>
  </si>
  <si>
    <t xml:space="preserve">現金流量表</t>
  </si>
  <si>
    <t xml:space="preserve">年份</t>
  </si>
  <si>
    <t xml:space="preserve">(Unit : Currency)</t>
  </si>
  <si>
    <t xml:space="preserve">發電度數(KWH)</t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</si>
  <si>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</si>
  <si>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</si>
  <si>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</si>
  <si>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</si>
  <si>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</si>
  <si>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</si>
  <si>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</si>
  <si>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</si>
  <si>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</si>
  <si>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</si>
  <si>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</si>
  <si>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</si>
  <si>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</si>
  <si>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</si>
  <si>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</si>
  <si>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</si>
  <si>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</si>
  <si>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償還年限</t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</si>
  <si>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</si>
  <si>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</si>
  <si>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</si>
  <si>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</si>
  <si>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</si>
  <si>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</si>
  <si>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</si>
  <si>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</si>
  <si>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</si>
  <si>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</si>
  <si>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</si>
  <si>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</si>
  <si>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</si>
  <si>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權益法實際現金流</t>
  </si>
  <si>
    <t xml:space="preserve">借款餘額</t>
  </si>
  <si>
    <t xml:space="preserve">情境編號: 2</t>
  </si>
  <si>
    <t xml:space="preserve">第1次滾算摘要</t>
  </si>
  <si>
    <t xml:space="preserve">價金: 33000</t>
  </si>
  <si>
    <t xml:space="preserve">專案IRR: 2.97</t>
  </si>
  <si>
    <t xml:space="preserve">權益法IRR: 5.57</t>
  </si>
  <si>
    <t xml:space="preserve">情境編號: 3</t>
  </si>
  <si>
    <t xml:space="preserve">第2次滾算摘要</t>
  </si>
  <si>
    <t xml:space="preserve">價金: 31000</t>
  </si>
  <si>
    <t xml:space="preserve">專案IRR: 3.54</t>
  </si>
  <si>
    <t xml:space="preserve">權益法IRR: 7.49</t>
  </si>
  <si>
    <t xml:space="preserve">情境編號: 4</t>
  </si>
  <si>
    <t xml:space="preserve">第3次滾算摘要</t>
  </si>
  <si>
    <t xml:space="preserve">價金: 29000</t>
  </si>
  <si>
    <t xml:space="preserve">專案IRR: 4.16</t>
  </si>
  <si>
    <t xml:space="preserve">權益法IRR: 9.73</t>
  </si>
  <si>
    <t xml:space="preserve">情境編號: 5</t>
  </si>
  <si>
    <t xml:space="preserve">第4次滾算摘要</t>
  </si>
  <si>
    <t xml:space="preserve">價金: 27000</t>
  </si>
  <si>
    <t xml:space="preserve">專案IRR: 4.86</t>
  </si>
  <si>
    <t xml:space="preserve">權益法IRR: 12.41</t>
  </si>
  <si>
    <t xml:space="preserve">情境編號: 6</t>
  </si>
  <si>
    <t xml:space="preserve">第5次滾算摘要</t>
  </si>
  <si>
    <t xml:space="preserve">價金: 25000</t>
  </si>
  <si>
    <t xml:space="preserve">專案IRR: 5.63</t>
  </si>
  <si>
    <t xml:space="preserve">權益法IRR: 15.69</t>
  </si>
  <si>
    <t xml:space="preserve">情境編號: 7</t>
  </si>
  <si>
    <t xml:space="preserve">第6次滾算摘要</t>
  </si>
  <si>
    <t xml:space="preserve">價金: 23000</t>
  </si>
  <si>
    <t xml:space="preserve">專案IRR: 6.49</t>
  </si>
  <si>
    <t xml:space="preserve">權益法IRR: 19.84</t>
  </si>
  <si>
    <t xml:space="preserve">情境編號: 8</t>
  </si>
  <si>
    <t xml:space="preserve">第7次滾算摘要</t>
  </si>
  <si>
    <t xml:space="preserve">價金: 21000</t>
  </si>
  <si>
    <t xml:space="preserve">專案IRR: 7.48</t>
  </si>
  <si>
    <t xml:space="preserve">權益法IRR: 25.28</t>
  </si>
  <si>
    <t xml:space="preserve">情境編號: 9</t>
  </si>
  <si>
    <t xml:space="preserve">初始價金 - 比率模式，每次減少 20.0%</t>
  </si>
  <si>
    <t xml:space="preserve">情境編號: 10</t>
  </si>
  <si>
    <t xml:space="preserve">價金: 28000</t>
  </si>
  <si>
    <t xml:space="preserve">專案IRR: 4.5</t>
  </si>
  <si>
    <t xml:space="preserve">權益法IRR: 11.01</t>
  </si>
  <si>
    <t xml:space="preserve">情境編號: 11</t>
  </si>
  <si>
    <t xml:space="preserve">價金: 22400</t>
  </si>
  <si>
    <t xml:space="preserve">專案IRR: 6.78</t>
  </si>
  <si>
    <t xml:space="preserve">權益法IRR: 21.31</t>
  </si>
  <si>
    <t xml:space="preserve">情境編號: 12</t>
  </si>
  <si>
    <t xml:space="preserve">初始價金 - 現金模式，每次減少 1500 元</t>
  </si>
  <si>
    <t xml:space="preserve">情境編號: 13</t>
  </si>
  <si>
    <t xml:space="preserve">價金: 33500</t>
  </si>
  <si>
    <t xml:space="preserve">專案IRR: 2.83</t>
  </si>
  <si>
    <t xml:space="preserve">權益法IRR: 5.13</t>
  </si>
  <si>
    <t xml:space="preserve">情境編號: 14</t>
  </si>
  <si>
    <t xml:space="preserve">價金: 32000</t>
  </si>
  <si>
    <t xml:space="preserve">專案IRR: 3.25</t>
  </si>
  <si>
    <t xml:space="preserve">權益法IRR: 6.5</t>
  </si>
  <si>
    <t xml:space="preserve">情境編號: 15</t>
  </si>
  <si>
    <t xml:space="preserve">價金: 30500</t>
  </si>
  <si>
    <t xml:space="preserve">專案IRR: 3.69</t>
  </si>
  <si>
    <t xml:space="preserve">權益法IRR: 8.02</t>
  </si>
  <si>
    <t xml:space="preserve">情境編號: 16</t>
  </si>
  <si>
    <t xml:space="preserve">情境編號: 17</t>
  </si>
  <si>
    <t xml:space="preserve">價金: 27500</t>
  </si>
  <si>
    <t xml:space="preserve">專案IRR: 4.68</t>
  </si>
  <si>
    <t xml:space="preserve">權益法IRR: 11.69</t>
  </si>
  <si>
    <t xml:space="preserve">情境編號: 18</t>
  </si>
  <si>
    <t xml:space="preserve">價金: 26000</t>
  </si>
  <si>
    <t xml:space="preserve">專案IRR: 5.23</t>
  </si>
  <si>
    <t xml:space="preserve">權益法IRR: 13.96</t>
  </si>
  <si>
    <t xml:space="preserve">情境編號: 19</t>
  </si>
  <si>
    <t xml:space="preserve">價金: 24500</t>
  </si>
  <si>
    <t xml:space="preserve">專案IRR: 5.83</t>
  </si>
  <si>
    <t xml:space="preserve">權益法IRR: 16.63</t>
  </si>
  <si>
    <t xml:space="preserve">情境編號: 20</t>
  </si>
  <si>
    <t xml:space="preserve">第8次滾算摘要</t>
  </si>
  <si>
    <t xml:space="preserve">情境編號: 21</t>
  </si>
  <si>
    <t xml:space="preserve">第9次滾算摘要</t>
  </si>
  <si>
    <t xml:space="preserve">價金: 21500</t>
  </si>
  <si>
    <t xml:space="preserve">專案IRR: 7.22</t>
  </si>
  <si>
    <t xml:space="preserve">權益法IRR: 23.76</t>
  </si>
  <si>
    <t xml:space="preserve">情境編號: 22</t>
  </si>
  <si>
    <t xml:space="preserve">第10次滾算摘要</t>
  </si>
  <si>
    <t xml:space="preserve">價金: 20000</t>
  </si>
  <si>
    <t xml:space="preserve">專案IRR: 8.02</t>
  </si>
  <si>
    <t xml:space="preserve">權益法IRR: 28.7</t>
  </si>
  <si>
    <r>
      <rPr>
        <sz val="10"/>
        <color rgb="FF404040"/>
        <rFont val="新細明體"/>
        <family val="2"/>
        <charset val="1"/>
      </rPr>
      <t xml:space="preserve">預設 </t>
    </r>
    <r>
      <rPr>
        <sz val="10"/>
        <color rgb="FF404040"/>
        <rFont val="Noto Sans CJK SC"/>
        <family val="2"/>
        <charset val="1"/>
      </rPr>
      <t xml:space="preserve">20 </t>
    </r>
    <r>
      <rPr>
        <sz val="10"/>
        <color rgb="FF404040"/>
        <rFont val="新細明體"/>
        <family val="2"/>
        <charset val="1"/>
      </rPr>
      <t xml:space="preserve">年，代表財務評估年期。若合約年限不同可依實際情況修改</t>
    </r>
  </si>
  <si>
    <r>
      <rPr>
        <sz val="12"/>
        <color theme="1"/>
        <rFont val="新細明體"/>
        <family val="2"/>
        <charset val="1"/>
      </rPr>
      <t xml:space="preserve">建置量</t>
    </r>
    <r>
      <rPr>
        <sz val="12"/>
        <color theme="1"/>
        <rFont val="Noto Sans CJK SC"/>
        <family val="2"/>
        <charset val="1"/>
      </rPr>
      <t xml:space="preserve">(kWp)</t>
    </r>
  </si>
  <si>
    <r>
      <rPr>
        <sz val="10"/>
        <color rgb="FF404040"/>
        <rFont val="新細明體"/>
        <family val="2"/>
        <charset val="1"/>
      </rPr>
      <t xml:space="preserve">填入裝置容量（</t>
    </r>
    <r>
      <rPr>
        <sz val="10"/>
        <color rgb="FF404040"/>
        <rFont val="Noto Sans CJK SC"/>
        <family val="2"/>
        <charset val="1"/>
      </rPr>
      <t xml:space="preserve">kWp</t>
    </r>
    <r>
      <rPr>
        <sz val="10"/>
        <color rgb="FF404040"/>
        <rFont val="新細明體"/>
        <family val="2"/>
        <charset val="1"/>
      </rPr>
      <t xml:space="preserve">），通常由設計圖面或報價書取得</t>
    </r>
  </si>
  <si>
    <t xml:space="preserve">情境編號: 23</t>
  </si>
  <si>
    <r>
      <rPr>
        <sz val="10"/>
        <color rgb="FF404040"/>
        <rFont val="新細明體"/>
        <family val="2"/>
        <charset val="1"/>
      </rPr>
      <t xml:space="preserve">填入電站預計掛表的西元年份（例：</t>
    </r>
    <r>
      <rPr>
        <sz val="10"/>
        <color rgb="FF404040"/>
        <rFont val="Noto Sans CJK SC"/>
        <family val="2"/>
        <charset val="136"/>
      </rPr>
      <t xml:space="preserve">2025</t>
    </r>
    <r>
      <rPr>
        <sz val="10"/>
        <color rgb="FF404040"/>
        <rFont val="新細明體"/>
        <family val="2"/>
        <charset val="1"/>
      </rPr>
      <t xml:space="preserve">）。結束年度會自動計算</t>
    </r>
  </si>
  <si>
    <t xml:space="preserve">專案IRR: 2.71</t>
  </si>
  <si>
    <t xml:space="preserve">權益法IRR: 4.73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</si>
  <si>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Noto Sans CJK SC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</si>
  <si>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r>
      <rPr>
        <sz val="10"/>
        <color rgb="FF404040"/>
        <rFont val="新細明體"/>
        <family val="2"/>
        <charset val="1"/>
      </rPr>
      <t xml:space="preserve">預估年發電量（</t>
    </r>
    <r>
      <rPr>
        <sz val="10"/>
        <color rgb="FF404040"/>
        <rFont val="Noto Sans CJK SC"/>
        <family val="2"/>
        <charset val="1"/>
      </rPr>
      <t xml:space="preserve">kWh</t>
    </r>
    <r>
      <rPr>
        <sz val="10"/>
        <color rgb="FF404040"/>
        <rFont val="新細明體"/>
        <family val="2"/>
        <charset val="1"/>
      </rPr>
      <t xml:space="preserve">），通常來自 </t>
    </r>
    <r>
      <rPr>
        <sz val="10"/>
        <color rgb="FF404040"/>
        <rFont val="Noto Sans CJK SC"/>
        <family val="2"/>
        <charset val="1"/>
      </rPr>
      <t xml:space="preserve">PVsyst </t>
    </r>
    <r>
      <rPr>
        <sz val="10"/>
        <color rgb="FF404040"/>
        <rFont val="新細明體"/>
        <family val="2"/>
        <charset val="1"/>
      </rPr>
      <t xml:space="preserve">模擬或估算：裝置容量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年日照時數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系統效率</t>
    </r>
  </si>
  <si>
    <r>
      <rPr>
        <sz val="10"/>
        <color rgb="FF404040"/>
        <rFont val="新細明體"/>
        <family val="2"/>
        <charset val="1"/>
      </rPr>
      <t xml:space="preserve">第一年發電衰退比率，請填小數（例：</t>
    </r>
    <r>
      <rPr>
        <sz val="10"/>
        <color rgb="FF404040"/>
        <rFont val="Noto Sans CJK SC"/>
        <family val="2"/>
        <charset val="136"/>
      </rPr>
      <t xml:space="preserve">1%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0.01</t>
    </r>
    <r>
      <rPr>
        <sz val="10"/>
        <color rgb="FF404040"/>
        <rFont val="新細明體"/>
        <family val="2"/>
        <charset val="1"/>
      </rPr>
      <t xml:space="preserve">）。一般首年衰退約 </t>
    </r>
    <r>
      <rPr>
        <sz val="10"/>
        <color rgb="FF404040"/>
        <rFont val="Noto Sans CJK SC"/>
        <family val="2"/>
        <charset val="136"/>
      </rPr>
      <t xml:space="preserve">1~2%(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</si>
  <si>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0"/>
        <color rgb="FF404040"/>
        <rFont val="新細明體"/>
        <family val="2"/>
        <charset val="1"/>
      </rPr>
      <t xml:space="preserve">第二年起每年固定衰退比率，請填小數（例：</t>
    </r>
    <r>
      <rPr>
        <sz val="10"/>
        <color rgb="FF404040"/>
        <rFont val="Noto Sans CJK SC"/>
        <family val="2"/>
        <charset val="136"/>
      </rPr>
      <t xml:space="preserve">0.4%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36"/>
      </rPr>
      <t xml:space="preserve">0.004</t>
    </r>
    <r>
      <rPr>
        <sz val="10"/>
        <color rgb="FF404040"/>
        <rFont val="新細明體"/>
        <family val="2"/>
        <charset val="1"/>
      </rPr>
      <t xml:space="preserve">）。一般約 </t>
    </r>
    <r>
      <rPr>
        <sz val="10"/>
        <color rgb="FF404040"/>
        <rFont val="Noto Sans CJK SC"/>
        <family val="2"/>
        <charset val="136"/>
      </rPr>
      <t xml:space="preserve">0.4~0.7%(</t>
    </r>
    <r>
      <rPr>
        <sz val="10"/>
        <color rgb="FF404040"/>
        <rFont val="新細明體"/>
        <family val="2"/>
        <charset val="1"/>
      </rPr>
      <t xml:space="preserve">請參考模組規格書</t>
    </r>
    <r>
      <rPr>
        <sz val="10"/>
        <color rgb="FF404040"/>
        <rFont val="Noto Sans CJK SC"/>
        <family val="2"/>
        <charset val="136"/>
      </rPr>
      <t xml:space="preserve">)</t>
    </r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</si>
  <si>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Noto Sans CJK SC"/>
        <family val="2"/>
        <charset val="1"/>
      </rPr>
      <t xml:space="preserve">(FIT) / </t>
    </r>
    <r>
      <rPr>
        <sz val="12"/>
        <color theme="1"/>
        <rFont val="新細明體"/>
        <family val="2"/>
        <charset val="1"/>
      </rPr>
      <t xml:space="preserve">綠電費率</t>
    </r>
  </si>
  <si>
    <r>
      <rPr>
        <sz val="10"/>
        <color rgb="FF404040"/>
        <rFont val="新細明體"/>
        <family val="2"/>
        <charset val="1"/>
      </rPr>
      <t xml:space="preserve">與台電簽訂的躉購費率或綠電合約費率，單位：元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度。請參考台電公告或合約內容</t>
    </r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</si>
  <si>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Noto Sans CJK SC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Noto Sans CJK SC"/>
        <family val="2"/>
        <charset val="1"/>
      </rPr>
      <t xml:space="preserve">)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</si>
  <si>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kWp</t>
    </r>
    <r>
      <rPr>
        <sz val="12"/>
        <color theme="1"/>
        <rFont val="新細明體"/>
        <family val="2"/>
        <charset val="1"/>
      </rPr>
      <t xml:space="preserve">設備成本</t>
    </r>
  </si>
  <si>
    <r>
      <rPr>
        <sz val="10"/>
        <color rgb="FF404040"/>
        <rFont val="新細明體"/>
        <family val="2"/>
        <charset val="1"/>
      </rPr>
      <t xml:space="preserve">每峰瓩設備成本（元</t>
    </r>
    <r>
      <rPr>
        <sz val="10"/>
        <color rgb="FF404040"/>
        <rFont val="Noto Sans CJK SC"/>
        <family val="2"/>
        <charset val="1"/>
      </rPr>
      <t xml:space="preserve">/kWp</t>
    </r>
    <r>
      <rPr>
        <sz val="10"/>
        <color rgb="FF404040"/>
        <rFont val="新細明體"/>
        <family val="2"/>
        <charset val="1"/>
      </rPr>
      <t xml:space="preserve">），包含模組、逆變器、支架等硬體，不含工程施工費</t>
    </r>
  </si>
  <si>
    <r>
      <rPr>
        <sz val="12"/>
        <color theme="1"/>
        <rFont val="新細明體"/>
        <family val="2"/>
        <charset val="1"/>
      </rPr>
      <t xml:space="preserve">信邦利潤率</t>
    </r>
    <r>
      <rPr>
        <sz val="12"/>
        <color theme="1"/>
        <rFont val="Noto Sans CJK SC"/>
        <family val="2"/>
        <charset val="1"/>
      </rPr>
      <t xml:space="preserve">(ex:20%</t>
    </r>
    <r>
      <rPr>
        <sz val="12"/>
        <color theme="1"/>
        <rFont val="新細明體"/>
        <family val="2"/>
        <charset val="1"/>
      </rPr>
      <t xml:space="preserve">填</t>
    </r>
    <r>
      <rPr>
        <sz val="12"/>
        <color theme="1"/>
        <rFont val="Noto Sans CJK SC"/>
        <family val="2"/>
        <charset val="1"/>
      </rPr>
      <t xml:space="preserve">0.2)</t>
    </r>
  </si>
  <si>
    <r>
      <rPr>
        <sz val="10"/>
        <color rgb="FF404040"/>
        <rFont val="新細明體"/>
        <family val="2"/>
        <charset val="1"/>
      </rPr>
      <t xml:space="preserve">公司在設備費用上加計的利潤比率，請填小數（例：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</si>
  <si>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前期開發費用（元），含可行性評估、申請規費、地主溝通等。若無則填 </t>
    </r>
    <r>
      <rPr>
        <sz val="10"/>
        <color rgb="FF404040"/>
        <rFont val="Noto Sans CJK SC"/>
        <family val="2"/>
        <charset val="1"/>
      </rPr>
      <t xml:space="preserve">0</t>
    </r>
  </si>
  <si>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1 = </t>
    </r>
    <r>
      <rPr>
        <sz val="10"/>
        <color rgb="FF404040"/>
        <rFont val="新細明體"/>
        <family val="2"/>
        <charset val="1"/>
      </rPr>
      <t xml:space="preserve">固定年租金（需填方式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參數）；填 </t>
    </r>
    <r>
      <rPr>
        <sz val="10"/>
        <color rgb="FF404040"/>
        <rFont val="Noto Sans CJK SC"/>
        <family val="2"/>
        <charset val="1"/>
      </rPr>
      <t xml:space="preserve">2 = </t>
    </r>
    <r>
      <rPr>
        <sz val="10"/>
        <color rgb="FF404040"/>
        <rFont val="新細明體"/>
        <family val="2"/>
        <charset val="1"/>
      </rPr>
      <t xml:space="preserve">依電費收入抽成（需填方式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參數）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</si>
  <si>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Noto Sans CJK SC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參數】每年相同價格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</si>
  <si>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1</t>
    </r>
    <r>
      <rPr>
        <sz val="10"/>
        <color rgb="FF404040"/>
        <rFont val="新細明體"/>
        <family val="2"/>
        <charset val="1"/>
      </rPr>
      <t xml:space="preserve">」時填寫，固定年租金金額（元</t>
    </r>
    <r>
      <rPr>
        <sz val="10"/>
        <color rgb="FF404040"/>
        <rFont val="Noto Sans CJK SC"/>
        <family val="2"/>
        <charset val="1"/>
      </rPr>
      <t xml:space="preserve">/</t>
    </r>
    <r>
      <rPr>
        <sz val="10"/>
        <color rgb="FF404040"/>
        <rFont val="新細明體"/>
        <family val="2"/>
        <charset val="1"/>
      </rPr>
      <t xml:space="preserve">年），套用至整個電站壽命期</t>
    </r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</si>
  <si>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Noto Sans CJK SC"/>
        <family val="2"/>
        <charset val="1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</si>
  <si>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r>
      <rPr>
        <sz val="10"/>
        <color rgb="FF404040"/>
        <rFont val="新細明體"/>
        <family val="2"/>
        <charset val="1"/>
      </rPr>
      <t xml:space="preserve">租金計算方式選「</t>
    </r>
    <r>
      <rPr>
        <sz val="10"/>
        <color rgb="FF404040"/>
        <rFont val="Noto Sans CJK SC"/>
        <family val="2"/>
        <charset val="1"/>
      </rPr>
      <t xml:space="preserve">2</t>
    </r>
    <r>
      <rPr>
        <sz val="10"/>
        <color rgb="FF404040"/>
        <rFont val="新細明體"/>
        <family val="2"/>
        <charset val="1"/>
      </rPr>
      <t xml:space="preserve">」時填寫，請填小數（例：</t>
    </r>
    <r>
      <rPr>
        <sz val="10"/>
        <color rgb="FF404040"/>
        <rFont val="Noto Sans CJK SC"/>
        <family val="2"/>
        <charset val="1"/>
      </rPr>
      <t xml:space="preserve">10%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0.1</t>
    </r>
    <r>
      <rPr>
        <sz val="10"/>
        <color rgb="FF404040"/>
        <rFont val="新細明體"/>
        <family val="2"/>
        <charset val="1"/>
      </rPr>
      <t xml:space="preserve">）。租金 </t>
    </r>
    <r>
      <rPr>
        <sz val="10"/>
        <color rgb="FF404040"/>
        <rFont val="Noto Sans CJK SC"/>
        <family val="2"/>
        <charset val="1"/>
      </rPr>
      <t xml:space="preserve">= </t>
    </r>
    <r>
      <rPr>
        <sz val="10"/>
        <color rgb="FF404040"/>
        <rFont val="新細明體"/>
        <family val="2"/>
        <charset val="1"/>
      </rPr>
      <t xml:space="preserve">當年電費收入 </t>
    </r>
    <r>
      <rPr>
        <sz val="10"/>
        <color rgb="FF404040"/>
        <rFont val="Noto Sans CJK SC"/>
        <family val="2"/>
        <charset val="1"/>
      </rPr>
      <t xml:space="preserve">× </t>
    </r>
    <r>
      <rPr>
        <sz val="10"/>
        <color rgb="FF404040"/>
        <rFont val="新細明體"/>
        <family val="2"/>
        <charset val="1"/>
      </rPr>
      <t xml:space="preserve">抽成比率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</si>
  <si>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</si>
  <si>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r>
      <rPr>
        <sz val="10"/>
        <color rgb="FF404040"/>
        <rFont val="新細明體"/>
        <family val="2"/>
        <charset val="1"/>
      </rPr>
      <t xml:space="preserve">每峰瓩每年運維費用（元</t>
    </r>
    <r>
      <rPr>
        <sz val="10"/>
        <color rgb="FF404040"/>
        <rFont val="Noto Sans CJK SC"/>
        <family val="2"/>
        <charset val="136"/>
      </rPr>
      <t xml:space="preserve">/kWp/</t>
    </r>
    <r>
      <rPr>
        <sz val="10"/>
        <color rgb="FF404040"/>
        <rFont val="新細明體"/>
        <family val="2"/>
        <charset val="1"/>
      </rPr>
      <t xml:space="preserve">年），含清洗、巡檢、維修等。</t>
    </r>
  </si>
  <si>
    <r>
      <rPr>
        <sz val="10"/>
        <color rgb="FF404040"/>
        <rFont val="新細明體"/>
        <family val="2"/>
        <charset val="1"/>
      </rPr>
      <t xml:space="preserve">保險費佔設備總費用比率，填小數（例：</t>
    </r>
    <r>
      <rPr>
        <sz val="10"/>
        <color rgb="FF404040"/>
        <rFont val="Noto Sans CJK SC"/>
        <family val="2"/>
        <charset val="1"/>
      </rPr>
      <t xml:space="preserve">0.3%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0.003</t>
    </r>
    <r>
      <rPr>
        <sz val="10"/>
        <color rgb="FF404040"/>
        <rFont val="新細明體"/>
        <family val="2"/>
        <charset val="1"/>
      </rPr>
      <t xml:space="preserve">，可依投保條件調整</t>
    </r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</si>
  <si>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Noto Sans CJK SC"/>
        <family val="2"/>
        <charset val="1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</si>
  <si>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r>
      <rPr>
        <sz val="10"/>
        <color rgb="FF404040"/>
        <rFont val="新細明體"/>
        <family val="2"/>
        <charset val="1"/>
      </rPr>
      <t xml:space="preserve">每峰瓩模組廢棄回收費用（元</t>
    </r>
    <r>
      <rPr>
        <sz val="10"/>
        <color rgb="FF404040"/>
        <rFont val="Noto Sans CJK SC"/>
        <family val="2"/>
        <charset val="136"/>
      </rPr>
      <t xml:space="preserve">/kWp</t>
    </r>
    <r>
      <rPr>
        <sz val="10"/>
        <color rgb="FF404040"/>
        <rFont val="新細明體"/>
        <family val="2"/>
        <charset val="1"/>
      </rPr>
      <t xml:space="preserve">），於第 </t>
    </r>
    <r>
      <rPr>
        <sz val="10"/>
        <color rgb="FF404040"/>
        <rFont val="Noto Sans CJK SC"/>
        <family val="2"/>
        <charset val="136"/>
      </rPr>
      <t xml:space="preserve">1~10 </t>
    </r>
    <r>
      <rPr>
        <sz val="10"/>
        <color rgb="FF404040"/>
        <rFont val="新細明體"/>
        <family val="2"/>
        <charset val="1"/>
      </rPr>
      <t xml:space="preserve">年計提（攤提 </t>
    </r>
    <r>
      <rPr>
        <sz val="10"/>
        <color rgb="FF404040"/>
        <rFont val="Noto Sans CJK SC"/>
        <family val="2"/>
        <charset val="136"/>
      </rPr>
      <t xml:space="preserve">10 </t>
    </r>
    <r>
      <rPr>
        <sz val="10"/>
        <color rgb="FF404040"/>
        <rFont val="新細明體"/>
        <family val="2"/>
        <charset val="1"/>
      </rPr>
      <t xml:space="preserve">年）。</t>
    </r>
  </si>
  <si>
    <r>
      <rPr>
        <sz val="10"/>
        <color rgb="FF404040"/>
        <rFont val="新細明體"/>
        <family val="2"/>
        <charset val="1"/>
      </rPr>
      <t xml:space="preserve">向銀行貸款的年利率，填小數（例：</t>
    </r>
    <r>
      <rPr>
        <sz val="10"/>
        <color rgb="FF404040"/>
        <rFont val="Noto Sans CJK SC"/>
        <family val="2"/>
        <charset val="1"/>
      </rPr>
      <t xml:space="preserve">2.56%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0.0256</t>
    </r>
    <r>
      <rPr>
        <sz val="10"/>
        <color rgb="FF404040"/>
        <rFont val="新細明體"/>
        <family val="2"/>
        <charset val="1"/>
      </rPr>
      <t xml:space="preserve">）。請依銀行核准利率填入</t>
    </r>
  </si>
  <si>
    <r>
      <rPr>
        <sz val="10"/>
        <color rgb="FF404040"/>
        <rFont val="新細明體"/>
        <family val="2"/>
        <charset val="1"/>
      </rPr>
      <t xml:space="preserve">公司所得稅率，填小數（例：</t>
    </r>
    <r>
      <rPr>
        <sz val="10"/>
        <color rgb="FF404040"/>
        <rFont val="Noto Sans CJK SC"/>
        <family val="2"/>
        <charset val="1"/>
      </rPr>
      <t xml:space="preserve">20%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0.2</t>
    </r>
    <r>
      <rPr>
        <sz val="10"/>
        <color rgb="FF404040"/>
        <rFont val="新細明體"/>
        <family val="2"/>
        <charset val="1"/>
      </rPr>
      <t xml:space="preserve">，通常不需更改</t>
    </r>
  </si>
  <si>
    <r>
      <rPr>
        <sz val="10"/>
        <color rgb="FF404040"/>
        <rFont val="新細明體"/>
        <family val="2"/>
        <charset val="1"/>
      </rPr>
      <t xml:space="preserve">貸款佔設備總費用比例，填小數（例：</t>
    </r>
    <r>
      <rPr>
        <sz val="10"/>
        <color rgb="FF404040"/>
        <rFont val="Noto Sans CJK SC"/>
        <family val="2"/>
        <charset val="1"/>
      </rPr>
      <t xml:space="preserve">80%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0.8</t>
    </r>
    <r>
      <rPr>
        <sz val="10"/>
        <color rgb="FF404040"/>
        <rFont val="新細明體"/>
        <family val="2"/>
        <charset val="1"/>
      </rPr>
      <t xml:space="preserve">）。預設 </t>
    </r>
    <r>
      <rPr>
        <sz val="10"/>
        <color rgb="FF404040"/>
        <rFont val="Noto Sans CJK SC"/>
        <family val="2"/>
        <charset val="1"/>
      </rPr>
      <t xml:space="preserve">0.8 </t>
    </r>
    <r>
      <rPr>
        <sz val="10"/>
        <color rgb="FF404040"/>
        <rFont val="新細明體"/>
        <family val="2"/>
        <charset val="1"/>
      </rPr>
      <t xml:space="preserve">代表貸八成、自備二成</t>
    </r>
  </si>
  <si>
    <r>
      <rPr>
        <sz val="10"/>
        <color rgb="FF404040"/>
        <rFont val="新細明體"/>
        <family val="2"/>
        <charset val="1"/>
      </rPr>
      <t xml:space="preserve">貸款還款年數（年）。預設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年，代表分 </t>
    </r>
    <r>
      <rPr>
        <sz val="10"/>
        <color rgb="FF404040"/>
        <rFont val="Noto Sans CJK SC"/>
        <family val="2"/>
        <charset val="1"/>
      </rPr>
      <t xml:space="preserve">15 </t>
    </r>
    <r>
      <rPr>
        <sz val="10"/>
        <color rgb="FF404040"/>
        <rFont val="新細明體"/>
        <family val="2"/>
        <charset val="1"/>
      </rPr>
      <t xml:space="preserve">年平均攤還本金</t>
    </r>
  </si>
  <si>
    <r>
      <rPr>
        <sz val="10"/>
        <color rgb="FF404040"/>
        <rFont val="新細明體"/>
        <family val="2"/>
        <charset val="1"/>
      </rPr>
      <t xml:space="preserve">稅後現金流中分配給股東的比例，填小數（例：</t>
    </r>
    <r>
      <rPr>
        <sz val="10"/>
        <color rgb="FF404040"/>
        <rFont val="Noto Sans CJK SC"/>
        <family val="2"/>
        <charset val="1"/>
      </rPr>
      <t xml:space="preserve">90% → </t>
    </r>
    <r>
      <rPr>
        <sz val="10"/>
        <color rgb="FF404040"/>
        <rFont val="新細明體"/>
        <family val="2"/>
        <charset val="1"/>
      </rPr>
      <t xml:space="preserve">填 </t>
    </r>
    <r>
      <rPr>
        <sz val="10"/>
        <color rgb="FF404040"/>
        <rFont val="Noto Sans CJK SC"/>
        <family val="2"/>
        <charset val="1"/>
      </rPr>
      <t xml:space="preserve">0.9</t>
    </r>
    <r>
      <rPr>
        <sz val="10"/>
        <color rgb="FF404040"/>
        <rFont val="新細明體"/>
        <family val="2"/>
        <charset val="1"/>
      </rPr>
      <t xml:space="preserve">）</t>
    </r>
  </si>
  <si>
    <r>
      <rPr>
        <sz val="10"/>
        <color rgb="FF404040"/>
        <rFont val="新細明體"/>
        <family val="2"/>
        <charset val="1"/>
      </rPr>
      <t xml:space="preserve">年底減資返還股東的年數。預設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年，代表 倒數 </t>
    </r>
    <r>
      <rPr>
        <sz val="10"/>
        <color rgb="FF404040"/>
        <rFont val="Noto Sans CJK SC"/>
        <family val="2"/>
        <charset val="136"/>
      </rPr>
      <t xml:space="preserve">4 </t>
    </r>
    <r>
      <rPr>
        <sz val="10"/>
        <color rgb="FF404040"/>
        <rFont val="新細明體"/>
        <family val="2"/>
        <charset val="1"/>
      </rPr>
      <t xml:space="preserve">年進行減資，加速資金返還</t>
    </r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</si>
  <si>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</si>
  <si>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t xml:space="preserve">情境編號: 24</t>
  </si>
  <si>
    <t xml:space="preserve">專案IRR: 3.11</t>
  </si>
  <si>
    <t xml:space="preserve">權益法IRR: 6.05</t>
  </si>
  <si>
    <t xml:space="preserve">情境編號: 25</t>
  </si>
  <si>
    <t xml:space="preserve">專案IRR: 3.55</t>
  </si>
  <si>
    <t xml:space="preserve">權益法IRR: 7.51</t>
  </si>
  <si>
    <t xml:space="preserve">情境編號: 26</t>
  </si>
  <si>
    <t xml:space="preserve">專案IRR: 4.01</t>
  </si>
  <si>
    <t xml:space="preserve">權益法IRR: 9.17</t>
  </si>
  <si>
    <t xml:space="preserve">情境編號: 27</t>
  </si>
  <si>
    <t xml:space="preserve">專案IRR: 4.51</t>
  </si>
  <si>
    <t xml:space="preserve">權益法IRR: 11.04</t>
  </si>
  <si>
    <t xml:space="preserve">情境編號: 28</t>
  </si>
  <si>
    <t xml:space="preserve">專案IRR: 5.05</t>
  </si>
  <si>
    <t xml:space="preserve">權益法IRR: 13.21</t>
  </si>
  <si>
    <t xml:space="preserve">情境編號: 29</t>
  </si>
  <si>
    <t xml:space="preserve">專案IRR: 5.64</t>
  </si>
  <si>
    <t xml:space="preserve">權益法IRR: 15.74</t>
  </si>
  <si>
    <t xml:space="preserve">情境編號: 30</t>
  </si>
  <si>
    <t xml:space="preserve">專案IRR: 6.28</t>
  </si>
  <si>
    <t xml:space="preserve">權益法IRR: 18.76</t>
  </si>
  <si>
    <t xml:space="preserve">情境編號: 31</t>
  </si>
  <si>
    <t xml:space="preserve">專案IRR: 6.98</t>
  </si>
  <si>
    <t xml:space="preserve">權益法IRR: 22.44</t>
  </si>
  <si>
    <t xml:space="preserve">情境編號: 32</t>
  </si>
  <si>
    <t xml:space="preserve">專案IRR: 7.76</t>
  </si>
  <si>
    <t xml:space="preserve">權益法IRR: 27.03</t>
  </si>
  <si>
    <t xml:space="preserve">情境編號: 33</t>
  </si>
  <si>
    <t xml:space="preserve">專案IRR: 8.63</t>
  </si>
  <si>
    <t xml:space="preserve">權益法IRR: 32.92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</si>
</sst>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_);[RED]\(0.00\)"/>
    <numFmt numFmtId="166" formatCode="#,##0"/>
    <numFmt numFmtId="167" formatCode="#,##0_ "/>
    <numFmt numFmtId="168" formatCode="0%"/>
    <numFmt numFmtId="169" formatCode="0.00%"/>
    <numFmt numFmtId="170" formatCode="_-* #,##0_-;\-* #,##0_-;_-* \-??_-;_-@_-"/>
    <numFmt numFmtId="171" formatCode="0_);[RED]\(0\)"/>
    <numFmt numFmtId="172" formatCode="\$#,##0.00_);[RED]&quot;($&quot;#,##0.00\)"/>
    <numFmt numFmtId="173" formatCode="\$#,##0_);[RED]&quot;($&quot;#,##0\)"/>
    <numFmt numFmtId="174" formatCode="_-\$* #,##0_-;&quot;-$&quot;* #,##0_-;_-\$* \-??_-;_-@_-"/>
    <numFmt numFmtId="175" formatCode="\$#,##0.00_);[RED]&quot;($&quot;#,##0.00\)"/>
    <numFmt numFmtId="176" formatCode="\$#,##0_);[RED]&quot;($&quot;#,##0\)"/>
    <numFmt numFmtId="177" formatCode="_-\$* #,##0_-;&quot;-$&quot;* #,##0_-;_-\$* \-??_-;_-@_-"/>
  </numFmts>
  <fonts count="37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新細明體"/>
      <family val="2"/>
      <charset val="1"/>
    </font>
    <font>
      <b val="true"/>
      <sz val="12"/>
      <name val="新細明體"/>
      <family val="2"/>
      <charset val="1"/>
    </font>
    <font>
      <sz val="11"/>
      <color theme="0" tint="-0.15"/>
      <name val="新細明體"/>
      <family val="2"/>
      <charset val="1"/>
    </font>
    <font>
      <sz val="12"/>
      <color theme="1"/>
      <name val="新細明體"/>
      <family val="2"/>
      <charset val="1"/>
    </font>
    <font>
      <sz val="12"/>
      <color theme="1"/>
      <name val="Microsoft JhengHei"/>
      <family val="2"/>
      <charset val="1"/>
    </font>
    <font>
      <sz val="12"/>
      <color theme="1"/>
      <name val="Calibri"/>
      <family val="2"/>
      <charset val="1"/>
    </font>
    <font>
      <sz val="10"/>
      <color rgb="FF404040"/>
      <name val="新細明體"/>
      <family val="2"/>
      <charset val="1"/>
    </font>
    <font>
      <sz val="10"/>
      <color rgb="FF404040"/>
      <name val="微軟正黑體"/>
      <family val="2"/>
      <charset val="136"/>
    </font>
    <font>
      <sz val="12"/>
      <color theme="1"/>
      <name val="Noto Sans CJK SC"/>
      <family val="2"/>
      <charset val="1"/>
    </font>
    <font>
      <sz val="12"/>
      <color theme="1"/>
      <name val="微軟正黑體"/>
      <family val="2"/>
      <charset val="136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Arial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新細明體"/>
      <family val="1"/>
      <charset val="136"/>
    </font>
    <font>
      <b val="true"/>
      <sz val="12"/>
      <color rgb="FFFF0000"/>
      <name val="Arial"/>
      <family val="2"/>
      <charset val="1"/>
    </font>
    <font>
      <b val="true"/>
      <sz val="11"/>
      <color theme="1"/>
      <name val="新細明體"/>
      <family val="1"/>
      <charset val="136"/>
    </font>
    <font>
      <sz val="12"/>
      <color rgb="FF000000"/>
      <name val="微軟正黑體"/>
      <family val="2"/>
      <charset val="1"/>
    </font>
    <font>
      <sz val="10"/>
      <color rgb="FF404040"/>
      <name val="Noto Sans CJK SC"/>
      <family val="2"/>
      <charset val="1"/>
    </font>
    <font>
      <sz val="10"/>
      <color rgb="FF404040"/>
      <name val="Noto Sans CJK SC"/>
      <family val="2"/>
      <charset val="136"/>
    </font>
    <font>
      <sz val="11"/>
      <color theme="1"/>
      <name val="Noto Sans CJK SC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9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6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7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1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2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1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8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1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3" fillId="14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2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33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3" fillId="11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1" fillId="8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1" fillId="8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1" fillId="8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1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18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2" fillId="9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3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7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4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8" fillId="0" borderId="2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9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4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8" fillId="11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26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2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9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3" fillId="13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3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3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33" fillId="0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3" fillId="0" borderId="3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33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3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33" fillId="0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33" fillId="0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33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33" fillId="0" borderId="3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33" fillId="7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7"/>
    <col collapsed="false" customWidth="true" hidden="false" outlineLevel="0" max="4" min="3" style="1" width="10"/>
    <col collapsed="false" customWidth="true" hidden="false" outlineLevel="0" max="5" min="5" style="1" width="50"/>
    <col collapsed="false" customWidth="true" hidden="false" outlineLevel="0" max="15" min="6" style="1" width="8"/>
    <col collapsed="false" customWidth="true" hidden="false" outlineLevel="0" max="27" min="16" style="1" width="10"/>
    <col collapsed="false" customWidth="true" hidden="false" outlineLevel="0" max="34" min="28" style="1" width="11"/>
    <col collapsed="false" customWidth="true" hidden="false" outlineLevel="0" max="35" min="35" style="1" width="32.57"/>
    <col collapsed="false" customWidth="true" hidden="false" outlineLevel="0" max="36" min="36" style="1" width="9.14"/>
  </cols>
  <sheetData>
    <row r="1" customFormat="false" ht="22.5" hidden="false" customHeight="true" outlineLevel="0" collapsed="false">
      <c r="A1" s="2" t="s">
        <v>0</v>
      </c>
      <c r="B1" s="2"/>
      <c r="C1" s="2"/>
      <c r="D1" s="2"/>
      <c r="E1" s="3" t="s">
        <v>1</v>
      </c>
      <c r="O1" s="4" t="n">
        <f aca="false">1-C11</f>
        <v>0.99</v>
      </c>
      <c r="P1" s="4" t="n">
        <f aca="false">O1-$C12</f>
        <v>0.986</v>
      </c>
      <c r="Q1" s="4" t="n">
        <f aca="false">P1-$C12</f>
        <v>0.982</v>
      </c>
      <c r="R1" s="4" t="n">
        <f aca="false">Q1-$C12</f>
        <v>0.978</v>
      </c>
      <c r="S1" s="4" t="n">
        <f aca="false">R1-$C12</f>
        <v>0.974</v>
      </c>
      <c r="T1" s="4" t="n">
        <f aca="false">S1-$C12</f>
        <v>0.97</v>
      </c>
      <c r="U1" s="4" t="n">
        <f aca="false">T1-$C12</f>
        <v>0.966</v>
      </c>
      <c r="V1" s="4" t="n">
        <f aca="false">U1-$C12</f>
        <v>0.962</v>
      </c>
      <c r="W1" s="4" t="n">
        <f aca="false">V1-$C12</f>
        <v>0.958</v>
      </c>
      <c r="X1" s="4" t="n">
        <f aca="false">W1-$C12</f>
        <v>0.954</v>
      </c>
      <c r="Y1" s="4" t="n">
        <f aca="false">X1-$C12</f>
        <v>0.95</v>
      </c>
      <c r="Z1" s="4" t="n">
        <f aca="false">Y1-$C12</f>
        <v>0.946</v>
      </c>
      <c r="AA1" s="4" t="n">
        <f aca="false">Z1-$C12</f>
        <v>0.942</v>
      </c>
      <c r="AB1" s="4" t="n">
        <f aca="false">AA1-$C12</f>
        <v>0.938</v>
      </c>
      <c r="AC1" s="4" t="n">
        <f aca="false">AB1-$C12</f>
        <v>0.934</v>
      </c>
      <c r="AD1" s="4" t="n">
        <f aca="false">AC1-$C12</f>
        <v>0.93</v>
      </c>
      <c r="AE1" s="4" t="n">
        <f aca="false">AD1-$C12</f>
        <v>0.926</v>
      </c>
      <c r="AF1" s="4" t="n">
        <f aca="false">AE1-$C12</f>
        <v>0.922</v>
      </c>
      <c r="AG1" s="4" t="n">
        <f aca="false">AF1-$C12</f>
        <v>0.918</v>
      </c>
      <c r="AH1" s="4" t="n">
        <f aca="false">AG1-$C12</f>
        <v>0.914</v>
      </c>
    </row>
    <row r="2" customFormat="false" ht="21.75" hidden="false" customHeight="true" outlineLevel="0" collapsed="false">
      <c r="A2" s="5" t="s">
        <v>2</v>
      </c>
      <c r="B2" s="6" t="s">
        <v>3</v>
      </c>
      <c r="C2" s="7" t="s">
        <v>4</v>
      </c>
      <c r="D2" s="8" t="s">
        <v>4</v>
      </c>
      <c r="E2" s="9" t="s">
        <v>5</v>
      </c>
    </row>
    <row r="3" customFormat="false" ht="21.75" hidden="false" customHeight="true" outlineLevel="0" collapsed="false">
      <c r="A3" s="10" t="s">
        <v>6</v>
      </c>
      <c r="B3" s="11" t="n">
        <v>20</v>
      </c>
      <c r="C3" s="12" t="s">
        <v>4</v>
      </c>
      <c r="D3" s="13" t="s">
        <v>4</v>
      </c>
      <c r="E3" s="9" t="s">
        <v>7</v>
      </c>
    </row>
    <row r="4" customFormat="false" ht="21.75" hidden="false" customHeight="true" outlineLevel="0" collapsed="false">
      <c r="A4" s="10" t="s">
        <v>8</v>
      </c>
      <c r="B4" s="11" t="n">
        <v>436.1</v>
      </c>
      <c r="C4" s="12" t="s">
        <v>4</v>
      </c>
      <c r="D4" s="13" t="s">
        <v>4</v>
      </c>
      <c r="E4" s="9" t="s">
        <v>9</v>
      </c>
    </row>
    <row r="5" customFormat="false" ht="22.5" hidden="false" customHeight="true" outlineLevel="0" collapsed="false">
      <c r="A5" s="10" t="s">
        <v>10</v>
      </c>
      <c r="B5" s="11" t="n">
        <v>2020</v>
      </c>
      <c r="C5" s="10" t="s">
        <v>11</v>
      </c>
      <c r="D5" s="13" t="n">
        <f aca="false">B5+B3-1</f>
        <v>2039</v>
      </c>
      <c r="E5" s="9" t="s">
        <v>12</v>
      </c>
    </row>
    <row r="6" customFormat="false" ht="20.25" hidden="false" customHeight="true" outlineLevel="0" collapsed="false">
      <c r="A6" s="14"/>
      <c r="B6" s="14"/>
      <c r="C6" s="14"/>
      <c r="D6" s="14"/>
      <c r="E6" s="15"/>
    </row>
    <row r="7" customFormat="false" ht="22.5" hidden="false" customHeight="true" outlineLevel="0" collapsed="false">
      <c r="A7" s="2" t="s">
        <v>13</v>
      </c>
      <c r="B7" s="2"/>
      <c r="C7" s="2"/>
      <c r="D7" s="2"/>
      <c r="E7" s="15"/>
    </row>
    <row r="8" customFormat="false" ht="22.5" hidden="false" customHeight="true" outlineLevel="0" collapsed="false">
      <c r="A8" s="16" t="s">
        <v>14</v>
      </c>
      <c r="B8" s="16"/>
      <c r="C8" s="16"/>
      <c r="D8" s="16"/>
      <c r="E8" s="15"/>
    </row>
    <row r="9" customFormat="false" ht="22.5" hidden="false" customHeight="true" outlineLevel="0" collapsed="false">
      <c r="A9" s="17" t="s">
        <v>15</v>
      </c>
      <c r="B9" s="18" t="s">
        <v>16</v>
      </c>
      <c r="C9" s="18" t="s">
        <v>17</v>
      </c>
      <c r="D9" s="19" t="s">
        <v>18</v>
      </c>
      <c r="E9" s="3" t="s">
        <v>1</v>
      </c>
    </row>
    <row r="10" customFormat="false" ht="30" hidden="false" customHeight="true" outlineLevel="0" collapsed="false">
      <c r="A10" s="20" t="s">
        <v>19</v>
      </c>
      <c r="B10" s="5" t="s">
        <v>20</v>
      </c>
      <c r="C10" s="21" t="n">
        <v>547002</v>
      </c>
      <c r="D10" s="22" t="n">
        <f aca="false">B3</f>
        <v>20</v>
      </c>
      <c r="E10" s="9" t="s">
        <v>21</v>
      </c>
    </row>
    <row r="11" customFormat="false" ht="30" hidden="false" customHeight="true" outlineLevel="0" collapsed="false">
      <c r="A11" s="20"/>
      <c r="B11" s="10" t="s">
        <v>22</v>
      </c>
      <c r="C11" s="23" t="n">
        <v>0.01</v>
      </c>
      <c r="D11" s="22"/>
      <c r="E11" s="9" t="s">
        <v>23</v>
      </c>
    </row>
    <row r="12" customFormat="false" ht="30" hidden="false" customHeight="true" outlineLevel="0" collapsed="false">
      <c r="A12" s="20"/>
      <c r="B12" s="10" t="s">
        <v>24</v>
      </c>
      <c r="C12" s="24" t="n">
        <v>0.004</v>
      </c>
      <c r="D12" s="22"/>
      <c r="E12" s="9" t="s">
        <v>25</v>
      </c>
    </row>
    <row r="13" customFormat="false" ht="22.5" hidden="false" customHeight="true" outlineLevel="0" collapsed="false">
      <c r="A13" s="20"/>
      <c r="B13" s="25" t="s">
        <v>26</v>
      </c>
      <c r="C13" s="26" t="n">
        <v>4</v>
      </c>
      <c r="D13" s="22"/>
      <c r="E13" s="9" t="s">
        <v>27</v>
      </c>
    </row>
    <row r="14" customFormat="false" ht="22.5" hidden="false" customHeight="true" outlineLevel="0" collapsed="false">
      <c r="A14" s="27" t="s">
        <v>28</v>
      </c>
      <c r="B14" s="27"/>
      <c r="C14" s="27"/>
      <c r="D14" s="27"/>
      <c r="E14" s="15"/>
    </row>
    <row r="15" customFormat="false" ht="22.5" hidden="false" customHeight="true" outlineLevel="0" collapsed="false">
      <c r="A15" s="17" t="s">
        <v>15</v>
      </c>
      <c r="B15" s="18" t="s">
        <v>16</v>
      </c>
      <c r="C15" s="18" t="s">
        <v>17</v>
      </c>
      <c r="D15" s="19" t="s">
        <v>29</v>
      </c>
      <c r="E15" s="3" t="s">
        <v>1</v>
      </c>
    </row>
    <row r="16" customFormat="false" ht="21.75" hidden="false" customHeight="true" outlineLevel="0" collapsed="false">
      <c r="A16" s="5" t="s">
        <v>30</v>
      </c>
      <c r="B16" s="5" t="s">
        <v>31</v>
      </c>
      <c r="C16" s="28" t="n">
        <v>35000</v>
      </c>
      <c r="D16" s="8" t="n">
        <f aca="false">B3</f>
        <v>20</v>
      </c>
      <c r="E16" s="9" t="s">
        <v>32</v>
      </c>
    </row>
    <row r="17" customFormat="false" ht="21.75" hidden="false" customHeight="true" outlineLevel="0" collapsed="false">
      <c r="A17" s="5"/>
      <c r="B17" s="10" t="s">
        <v>33</v>
      </c>
      <c r="C17" s="11" t="n">
        <v>0.3</v>
      </c>
      <c r="D17" s="8"/>
      <c r="E17" s="9" t="s">
        <v>34</v>
      </c>
    </row>
    <row r="18" customFormat="false" ht="21.75" hidden="false" customHeight="true" outlineLevel="0" collapsed="false">
      <c r="A18" s="5"/>
      <c r="B18" s="10" t="s">
        <v>35</v>
      </c>
      <c r="C18" s="29" t="n">
        <v>2000</v>
      </c>
      <c r="D18" s="8"/>
      <c r="E18" s="9" t="s">
        <v>36</v>
      </c>
    </row>
    <row r="19" customFormat="false" ht="54" hidden="false" customHeight="true" outlineLevel="0" collapsed="false">
      <c r="A19" s="10" t="s">
        <v>37</v>
      </c>
      <c r="B19" s="30" t="s">
        <v>38</v>
      </c>
      <c r="C19" s="11" t="n">
        <v>1</v>
      </c>
      <c r="D19" s="8" t="s">
        <v>4</v>
      </c>
      <c r="E19" s="9" t="s">
        <v>39</v>
      </c>
    </row>
    <row r="20" customFormat="false" ht="20.25" hidden="false" customHeight="true" outlineLevel="0" collapsed="false">
      <c r="A20" s="10"/>
      <c r="B20" s="31" t="s">
        <v>40</v>
      </c>
      <c r="C20" s="29" t="n">
        <v>290201</v>
      </c>
      <c r="D20" s="8" t="n">
        <f aca="false">B3</f>
        <v>20</v>
      </c>
      <c r="E20" s="9" t="s">
        <v>41</v>
      </c>
    </row>
    <row r="21" customFormat="false" ht="30" hidden="false" customHeight="true" outlineLevel="0" collapsed="false">
      <c r="A21" s="10"/>
      <c r="B21" s="10" t="s">
        <v>42</v>
      </c>
      <c r="C21" s="11"/>
      <c r="D21" s="13" t="s">
        <v>4</v>
      </c>
      <c r="E21" s="9" t="s">
        <v>43</v>
      </c>
    </row>
    <row r="22" customFormat="false" ht="30" hidden="false" customHeight="true" outlineLevel="0" collapsed="false">
      <c r="A22" s="10" t="s">
        <v>44</v>
      </c>
      <c r="B22" s="10" t="s">
        <v>45</v>
      </c>
      <c r="C22" s="29" t="n">
        <v>400</v>
      </c>
      <c r="D22" s="13" t="n">
        <f aca="false">B3</f>
        <v>20</v>
      </c>
      <c r="E22" s="9" t="s">
        <v>46</v>
      </c>
    </row>
    <row r="23" customFormat="false" ht="30" hidden="false" customHeight="true" outlineLevel="0" collapsed="false">
      <c r="A23" s="10" t="s">
        <v>47</v>
      </c>
      <c r="B23" s="10" t="s">
        <v>48</v>
      </c>
      <c r="C23" s="11" t="n">
        <v>0.003</v>
      </c>
      <c r="D23" s="13" t="n">
        <f aca="false">B3</f>
        <v>20</v>
      </c>
      <c r="E23" s="9" t="s">
        <v>49</v>
      </c>
    </row>
    <row r="24" customFormat="false" ht="30" hidden="false" customHeight="true" outlineLevel="0" collapsed="false">
      <c r="A24" s="10" t="s">
        <v>50</v>
      </c>
      <c r="B24" s="10" t="s">
        <v>51</v>
      </c>
      <c r="C24" s="29" t="n">
        <v>1000</v>
      </c>
      <c r="D24" s="32" t="n">
        <v>10</v>
      </c>
      <c r="E24" s="9" t="s">
        <v>52</v>
      </c>
    </row>
    <row r="25" customFormat="false" ht="30" hidden="false" customHeight="true" outlineLevel="0" collapsed="false">
      <c r="A25" s="10" t="s">
        <v>53</v>
      </c>
      <c r="B25" s="10" t="s">
        <v>54</v>
      </c>
      <c r="C25" s="24" t="n">
        <v>0.0256</v>
      </c>
      <c r="D25" s="13" t="s">
        <v>4</v>
      </c>
      <c r="E25" s="9" t="s">
        <v>55</v>
      </c>
    </row>
    <row r="26" customFormat="false" ht="30" hidden="false" customHeight="true" outlineLevel="0" collapsed="false">
      <c r="A26" s="10" t="s">
        <v>56</v>
      </c>
      <c r="B26" s="10" t="s">
        <v>57</v>
      </c>
      <c r="C26" s="11" t="n">
        <v>0.2</v>
      </c>
      <c r="D26" s="13" t="s">
        <v>4</v>
      </c>
      <c r="E26" s="9" t="s">
        <v>58</v>
      </c>
    </row>
    <row r="27" customFormat="false" ht="20.25" hidden="false" customHeight="true" outlineLevel="0" collapsed="false">
      <c r="A27" s="14"/>
      <c r="B27" s="14"/>
      <c r="C27" s="14"/>
      <c r="D27" s="14"/>
      <c r="E27" s="15"/>
    </row>
    <row r="28" customFormat="false" ht="20.25" hidden="false" customHeight="true" outlineLevel="0" collapsed="false">
      <c r="A28" s="14"/>
      <c r="B28" s="14"/>
      <c r="C28" s="14"/>
      <c r="D28" s="14"/>
      <c r="E28" s="15"/>
    </row>
    <row r="29" customFormat="false" ht="22.5" hidden="false" customHeight="true" outlineLevel="0" collapsed="false">
      <c r="A29" s="2" t="s">
        <v>59</v>
      </c>
      <c r="B29" s="2"/>
      <c r="C29" s="2"/>
      <c r="D29" s="14"/>
      <c r="E29" s="15"/>
    </row>
    <row r="30" customFormat="false" ht="22.5" hidden="false" customHeight="true" outlineLevel="0" collapsed="false">
      <c r="A30" s="17" t="s">
        <v>60</v>
      </c>
      <c r="B30" s="18" t="s">
        <v>16</v>
      </c>
      <c r="C30" s="33" t="s">
        <v>17</v>
      </c>
      <c r="D30" s="14"/>
      <c r="E30" s="3" t="s">
        <v>1</v>
      </c>
    </row>
    <row r="31" customFormat="false" ht="30" hidden="false" customHeight="true" outlineLevel="0" collapsed="false">
      <c r="A31" s="5" t="s">
        <v>61</v>
      </c>
      <c r="B31" s="5" t="s">
        <v>62</v>
      </c>
      <c r="C31" s="34" t="n">
        <v>0.8</v>
      </c>
      <c r="D31" s="14"/>
      <c r="E31" s="9" t="s">
        <v>63</v>
      </c>
    </row>
    <row r="32" customFormat="false" ht="18.75" hidden="false" customHeight="true" outlineLevel="0" collapsed="false">
      <c r="A32" s="5" t="s">
        <v>64</v>
      </c>
      <c r="B32" s="5" t="s">
        <v>65</v>
      </c>
      <c r="C32" s="34" t="n">
        <v>15</v>
      </c>
      <c r="D32" s="14"/>
      <c r="E32" s="9" t="s">
        <v>66</v>
      </c>
    </row>
    <row r="33" customFormat="false" ht="18.75" hidden="false" customHeight="true" outlineLevel="0" collapsed="false">
      <c r="A33" s="10" t="s">
        <v>67</v>
      </c>
      <c r="B33" s="10" t="s">
        <v>68</v>
      </c>
      <c r="C33" s="11" t="n">
        <v>0.9</v>
      </c>
      <c r="D33" s="14"/>
      <c r="E33" s="9" t="s">
        <v>69</v>
      </c>
    </row>
    <row r="34" customFormat="false" ht="30" hidden="false" customHeight="true" outlineLevel="0" collapsed="false">
      <c r="A34" s="10" t="s">
        <v>70</v>
      </c>
      <c r="B34" s="10" t="s">
        <v>65</v>
      </c>
      <c r="C34" s="11" t="n">
        <v>4</v>
      </c>
      <c r="D34" s="14"/>
      <c r="E34" s="9" t="s">
        <v>71</v>
      </c>
    </row>
    <row r="35" customFormat="false" ht="18.75" hidden="false" customHeight="true" outlineLevel="0" collapsed="false"/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4" min="3" style="1" width="22"/>
    <col collapsed="false" customWidth="true" hidden="false" outlineLevel="0" max="5" min="5" style="1" width="21"/>
    <col collapsed="false" customWidth="true" hidden="false" outlineLevel="0" max="6" min="6" style="1" width="12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50"/>
  </cols>
  <sheetData>
    <row r="1" customFormat="false" ht="15" hidden="false" customHeight="tru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35</v>
      </c>
      <c r="J1" s="1" t="s">
        <v>80</v>
      </c>
    </row>
    <row r="2" customFormat="false" ht="15" hidden="false" customHeight="true" outlineLevel="0" collapsed="false">
      <c r="A2" s="1" t="n">
        <v>1</v>
      </c>
      <c r="B2" s="1" t="n">
        <v>35000</v>
      </c>
      <c r="C2" s="35" t="n">
        <v>0.0245</v>
      </c>
      <c r="D2" s="35" t="n">
        <v>0.037</v>
      </c>
      <c r="E2" s="35" t="n">
        <v>0.039</v>
      </c>
      <c r="F2" s="35" t="n">
        <v>0.3</v>
      </c>
      <c r="G2" s="1" t="n">
        <v>6541500</v>
      </c>
      <c r="H2" s="1" t="n">
        <v>15000</v>
      </c>
      <c r="I2" s="1" t="n">
        <v>3000</v>
      </c>
      <c r="J2" s="1" t="s">
        <v>81</v>
      </c>
    </row>
    <row r="3" customFormat="false" ht="15" hidden="false" customHeight="true" outlineLevel="0" collapsed="false">
      <c r="A3" s="1" t="n">
        <v>2</v>
      </c>
      <c r="B3" s="1" t="n">
        <v>33000</v>
      </c>
      <c r="C3" s="35" t="n">
        <v>0.0297</v>
      </c>
      <c r="D3" s="35" t="n">
        <v>0.0515</v>
      </c>
      <c r="E3" s="35" t="n">
        <v>0.0557</v>
      </c>
      <c r="F3" s="35" t="n">
        <v>0.3</v>
      </c>
      <c r="G3" s="1" t="n">
        <v>6167762.3</v>
      </c>
      <c r="H3" s="1" t="n">
        <v>14143</v>
      </c>
      <c r="I3" s="1" t="n">
        <v>3000</v>
      </c>
      <c r="J3" s="1" t="s">
        <v>82</v>
      </c>
    </row>
    <row r="4" customFormat="false" ht="15" hidden="false" customHeight="true" outlineLevel="0" collapsed="false">
      <c r="A4" s="1" t="n">
        <v>3</v>
      </c>
      <c r="B4" s="1" t="n">
        <v>31000</v>
      </c>
      <c r="C4" s="35" t="n">
        <v>0.0354</v>
      </c>
      <c r="D4" s="35" t="n">
        <v>0.0675</v>
      </c>
      <c r="E4" s="35" t="n">
        <v>0.0749</v>
      </c>
      <c r="F4" s="35" t="n">
        <v>0.3</v>
      </c>
      <c r="G4" s="1" t="n">
        <v>5794024.6</v>
      </c>
      <c r="H4" s="1" t="n">
        <v>13286</v>
      </c>
      <c r="I4" s="1" t="n">
        <v>3000</v>
      </c>
      <c r="J4" s="1" t="s">
        <v>83</v>
      </c>
    </row>
    <row r="5" customFormat="false" ht="15" hidden="false" customHeight="true" outlineLevel="0" collapsed="false">
      <c r="A5" s="1" t="n">
        <v>4</v>
      </c>
      <c r="B5" s="1" t="n">
        <v>29000</v>
      </c>
      <c r="C5" s="35" t="n">
        <v>0.0416</v>
      </c>
      <c r="D5" s="35" t="n">
        <v>0.0852</v>
      </c>
      <c r="E5" s="35" t="n">
        <v>0.0973</v>
      </c>
      <c r="F5" s="35" t="n">
        <v>0.3</v>
      </c>
      <c r="G5" s="1" t="n">
        <v>5420286.9</v>
      </c>
      <c r="H5" s="1" t="n">
        <v>12429</v>
      </c>
      <c r="I5" s="1" t="n">
        <v>3000</v>
      </c>
      <c r="J5" s="1" t="s">
        <v>84</v>
      </c>
    </row>
    <row r="6" customFormat="false" ht="15" hidden="false" customHeight="true" outlineLevel="0" collapsed="false">
      <c r="A6" s="1" t="n">
        <v>5</v>
      </c>
      <c r="B6" s="1" t="n">
        <v>27000</v>
      </c>
      <c r="C6" s="35" t="n">
        <v>0.0486</v>
      </c>
      <c r="D6" s="35" t="n">
        <v>0.1051</v>
      </c>
      <c r="E6" s="35" t="n">
        <v>0.1241</v>
      </c>
      <c r="F6" s="35" t="n">
        <v>0.3</v>
      </c>
      <c r="G6" s="1" t="n">
        <v>5046113.1</v>
      </c>
      <c r="H6" s="1" t="n">
        <v>11571</v>
      </c>
      <c r="I6" s="1" t="n">
        <v>3000</v>
      </c>
      <c r="J6" s="1" t="s">
        <v>85</v>
      </c>
    </row>
    <row r="7" customFormat="false" ht="15" hidden="false" customHeight="true" outlineLevel="0" collapsed="false">
      <c r="A7" s="1" t="n">
        <v>6</v>
      </c>
      <c r="B7" s="1" t="n">
        <v>25000</v>
      </c>
      <c r="C7" s="35" t="n">
        <v>0.0563</v>
      </c>
      <c r="D7" s="35" t="n">
        <v>0.1279</v>
      </c>
      <c r="E7" s="35" t="n">
        <v>0.1569</v>
      </c>
      <c r="F7" s="35" t="n">
        <v>0.3</v>
      </c>
      <c r="G7" s="1" t="n">
        <v>4672375.4</v>
      </c>
      <c r="H7" s="1" t="n">
        <v>10714</v>
      </c>
      <c r="I7" s="1" t="n">
        <v>3000</v>
      </c>
      <c r="J7" s="1" t="s">
        <v>86</v>
      </c>
    </row>
    <row r="8" customFormat="false" ht="15" hidden="false" customHeight="true" outlineLevel="0" collapsed="false">
      <c r="A8" s="1" t="n">
        <v>7</v>
      </c>
      <c r="B8" s="1" t="n">
        <v>23000</v>
      </c>
      <c r="C8" s="35" t="n">
        <v>0.0649</v>
      </c>
      <c r="D8" s="35" t="n">
        <v>0.1545</v>
      </c>
      <c r="E8" s="35" t="n">
        <v>0.1984</v>
      </c>
      <c r="F8" s="35" t="n">
        <v>0.3</v>
      </c>
      <c r="G8" s="1" t="n">
        <v>4298637.7</v>
      </c>
      <c r="H8" s="1" t="n">
        <v>9857</v>
      </c>
      <c r="I8" s="1" t="n">
        <v>3000</v>
      </c>
      <c r="J8" s="1" t="s">
        <v>87</v>
      </c>
    </row>
    <row r="9" customFormat="false" ht="15" hidden="false" customHeight="true" outlineLevel="0" collapsed="false">
      <c r="A9" s="1" t="n">
        <v>8</v>
      </c>
      <c r="B9" s="1" t="n">
        <v>21000</v>
      </c>
      <c r="C9" s="35" t="n">
        <v>0.0748</v>
      </c>
      <c r="D9" s="35" t="n">
        <v>0.1862</v>
      </c>
      <c r="E9" s="35" t="n">
        <v>0.2528</v>
      </c>
      <c r="F9" s="35" t="n">
        <v>0.3</v>
      </c>
      <c r="G9" s="1" t="n">
        <v>3924900</v>
      </c>
      <c r="H9" s="1" t="n">
        <v>9000</v>
      </c>
      <c r="I9" s="1" t="n">
        <v>3000</v>
      </c>
      <c r="J9" s="1" t="s">
        <v>88</v>
      </c>
    </row>
    <row r="10" customFormat="false" ht="15" hidden="false" customHeight="true" outlineLevel="0" collapsed="false">
      <c r="A10" s="1" t="n">
        <v>9</v>
      </c>
      <c r="B10" s="1" t="n">
        <v>35000</v>
      </c>
      <c r="C10" s="35" t="n">
        <v>0.0245</v>
      </c>
      <c r="D10" s="35" t="n">
        <v>0.037</v>
      </c>
      <c r="E10" s="35" t="n">
        <v>0.039</v>
      </c>
      <c r="F10" s="35" t="n">
        <v>0.3</v>
      </c>
      <c r="G10" s="1" t="n">
        <v>6541500</v>
      </c>
      <c r="H10" s="1" t="n">
        <v>15000</v>
      </c>
      <c r="I10" s="1" t="n">
        <v>3000</v>
      </c>
      <c r="J10" s="1" t="s">
        <v>89</v>
      </c>
    </row>
    <row r="11" customFormat="false" ht="15" hidden="false" customHeight="true" outlineLevel="0" collapsed="false">
      <c r="A11" s="1" t="n">
        <v>10</v>
      </c>
      <c r="B11" s="1" t="n">
        <v>28000</v>
      </c>
      <c r="C11" s="35" t="n">
        <v>0.045</v>
      </c>
      <c r="D11" s="35" t="n">
        <v>0.0948</v>
      </c>
      <c r="E11" s="35" t="n">
        <v>0.1101</v>
      </c>
      <c r="F11" s="35" t="n">
        <v>0.3</v>
      </c>
      <c r="G11" s="1" t="n">
        <v>5233200</v>
      </c>
      <c r="H11" s="1" t="n">
        <v>12000</v>
      </c>
      <c r="I11" s="1" t="n">
        <v>3000</v>
      </c>
      <c r="J11" s="1" t="s">
        <v>90</v>
      </c>
    </row>
    <row r="12" customFormat="false" ht="15" hidden="false" customHeight="true" outlineLevel="0" collapsed="false">
      <c r="A12" s="1" t="n">
        <v>11</v>
      </c>
      <c r="B12" s="1" t="n">
        <v>22400</v>
      </c>
      <c r="C12" s="35" t="n">
        <v>0.0678</v>
      </c>
      <c r="D12" s="35" t="n">
        <v>0.1634</v>
      </c>
      <c r="E12" s="35" t="n">
        <v>0.2131</v>
      </c>
      <c r="F12" s="35" t="n">
        <v>0.3</v>
      </c>
      <c r="G12" s="1" t="n">
        <v>4186560</v>
      </c>
      <c r="H12" s="1" t="n">
        <v>9600</v>
      </c>
      <c r="I12" s="1" t="n">
        <v>3000</v>
      </c>
      <c r="J12" s="1" t="s">
        <v>91</v>
      </c>
    </row>
    <row r="13" customFormat="false" ht="15" hidden="false" customHeight="true" outlineLevel="0" collapsed="false">
      <c r="A13" s="1" t="n">
        <v>12</v>
      </c>
      <c r="B13" s="1" t="n">
        <v>35000</v>
      </c>
      <c r="C13" s="35" t="n">
        <v>0.0245</v>
      </c>
      <c r="D13" s="35" t="n">
        <v>0.037</v>
      </c>
      <c r="E13" s="35" t="n">
        <v>0.039</v>
      </c>
      <c r="F13" s="35" t="n">
        <v>0.3</v>
      </c>
      <c r="G13" s="1" t="n">
        <v>6541500</v>
      </c>
      <c r="H13" s="1" t="n">
        <v>15000</v>
      </c>
      <c r="I13" s="1" t="n">
        <v>3000</v>
      </c>
      <c r="J13" s="1" t="s">
        <v>92</v>
      </c>
    </row>
    <row r="14" customFormat="false" ht="15" hidden="false" customHeight="true" outlineLevel="0" collapsed="false">
      <c r="A14" s="1" t="n">
        <v>13</v>
      </c>
      <c r="B14" s="1" t="n">
        <v>33500</v>
      </c>
      <c r="C14" s="35" t="n">
        <v>0.0283</v>
      </c>
      <c r="D14" s="35" t="n">
        <v>0.0478</v>
      </c>
      <c r="E14" s="35" t="n">
        <v>0.0513</v>
      </c>
      <c r="F14" s="35" t="n">
        <v>0.3</v>
      </c>
      <c r="G14" s="1" t="n">
        <v>6261087.7</v>
      </c>
      <c r="H14" s="1" t="n">
        <v>14357</v>
      </c>
      <c r="I14" s="1" t="n">
        <v>3000</v>
      </c>
      <c r="J14" s="1" t="s">
        <v>93</v>
      </c>
    </row>
    <row r="15" customFormat="false" ht="15" hidden="false" customHeight="true" outlineLevel="0" collapsed="false">
      <c r="A15" s="1" t="n">
        <v>14</v>
      </c>
      <c r="B15" s="1" t="n">
        <v>32000</v>
      </c>
      <c r="C15" s="35" t="n">
        <v>0.0325</v>
      </c>
      <c r="D15" s="35" t="n">
        <v>0.0593</v>
      </c>
      <c r="E15" s="35" t="n">
        <v>0.065</v>
      </c>
      <c r="F15" s="35" t="n">
        <v>0.3</v>
      </c>
      <c r="G15" s="1" t="n">
        <v>5980675.4</v>
      </c>
      <c r="H15" s="1" t="n">
        <v>13714</v>
      </c>
      <c r="I15" s="1" t="n">
        <v>3000</v>
      </c>
      <c r="J15" s="1" t="s">
        <v>94</v>
      </c>
    </row>
    <row r="16" customFormat="false" ht="15" hidden="false" customHeight="true" outlineLevel="0" collapsed="false">
      <c r="A16" s="1" t="n">
        <v>15</v>
      </c>
      <c r="B16" s="1" t="n">
        <v>30500</v>
      </c>
      <c r="C16" s="35" t="n">
        <v>0.0369</v>
      </c>
      <c r="D16" s="35" t="n">
        <v>0.0717</v>
      </c>
      <c r="E16" s="35" t="n">
        <v>0.0802</v>
      </c>
      <c r="F16" s="35" t="n">
        <v>0.3</v>
      </c>
      <c r="G16" s="1" t="n">
        <v>5700263.1</v>
      </c>
      <c r="H16" s="1" t="n">
        <v>13071</v>
      </c>
      <c r="I16" s="1" t="n">
        <v>3000</v>
      </c>
      <c r="J16" s="1" t="s">
        <v>95</v>
      </c>
    </row>
    <row r="17" customFormat="false" ht="15" hidden="false" customHeight="true" outlineLevel="0" collapsed="false">
      <c r="A17" s="1" t="n">
        <v>16</v>
      </c>
      <c r="B17" s="1" t="n">
        <v>29000</v>
      </c>
      <c r="C17" s="35" t="n">
        <v>0.0416</v>
      </c>
      <c r="D17" s="35" t="n">
        <v>0.0852</v>
      </c>
      <c r="E17" s="35" t="n">
        <v>0.0973</v>
      </c>
      <c r="F17" s="35" t="n">
        <v>0.3</v>
      </c>
      <c r="G17" s="1" t="n">
        <v>5420286.9</v>
      </c>
      <c r="H17" s="1" t="n">
        <v>12429</v>
      </c>
      <c r="I17" s="1" t="n">
        <v>3000</v>
      </c>
      <c r="J17" s="1" t="s">
        <v>96</v>
      </c>
    </row>
    <row r="18" customFormat="false" ht="15" hidden="false" customHeight="true" outlineLevel="0" collapsed="false">
      <c r="A18" s="1" t="n">
        <v>17</v>
      </c>
      <c r="B18" s="1" t="n">
        <v>27500</v>
      </c>
      <c r="C18" s="35" t="n">
        <v>0.0468</v>
      </c>
      <c r="D18" s="35" t="n">
        <v>0.0999</v>
      </c>
      <c r="E18" s="35" t="n">
        <v>0.1169</v>
      </c>
      <c r="F18" s="35" t="n">
        <v>0.3</v>
      </c>
      <c r="G18" s="1" t="n">
        <v>5139874.6</v>
      </c>
      <c r="H18" s="1" t="n">
        <v>11786</v>
      </c>
      <c r="I18" s="1" t="n">
        <v>3000</v>
      </c>
      <c r="J18" s="1" t="s">
        <v>97</v>
      </c>
    </row>
    <row r="19" customFormat="false" ht="15" hidden="false" customHeight="true" outlineLevel="0" collapsed="false">
      <c r="A19" s="1" t="n">
        <v>18</v>
      </c>
      <c r="B19" s="1" t="n">
        <v>26000</v>
      </c>
      <c r="C19" s="35" t="n">
        <v>0.0523</v>
      </c>
      <c r="D19" s="35" t="n">
        <v>0.1161</v>
      </c>
      <c r="E19" s="35" t="n">
        <v>0.1396</v>
      </c>
      <c r="F19" s="35" t="n">
        <v>0.3</v>
      </c>
      <c r="G19" s="1" t="n">
        <v>4859462.3</v>
      </c>
      <c r="H19" s="1" t="n">
        <v>11143</v>
      </c>
      <c r="I19" s="1" t="n">
        <v>3000</v>
      </c>
      <c r="J19" s="1" t="s">
        <v>98</v>
      </c>
    </row>
    <row r="20" customFormat="false" ht="15" hidden="false" customHeight="true" outlineLevel="0" collapsed="false">
      <c r="A20" s="1" t="n">
        <v>19</v>
      </c>
      <c r="B20" s="1" t="n">
        <v>24500</v>
      </c>
      <c r="C20" s="35" t="n">
        <v>0.0583</v>
      </c>
      <c r="D20" s="35" t="n">
        <v>0.1342</v>
      </c>
      <c r="E20" s="35" t="n">
        <v>0.1663</v>
      </c>
      <c r="F20" s="35" t="n">
        <v>0.3</v>
      </c>
      <c r="G20" s="1" t="n">
        <v>4579050</v>
      </c>
      <c r="H20" s="1" t="n">
        <v>10500</v>
      </c>
      <c r="I20" s="1" t="n">
        <v>3000</v>
      </c>
      <c r="J20" s="1" t="s">
        <v>99</v>
      </c>
    </row>
    <row r="21" customFormat="false" ht="15" hidden="false" customHeight="true" outlineLevel="0" collapsed="false">
      <c r="A21" s="1" t="n">
        <v>20</v>
      </c>
      <c r="B21" s="1" t="n">
        <v>23000</v>
      </c>
      <c r="C21" s="35" t="n">
        <v>0.0649</v>
      </c>
      <c r="D21" s="35" t="n">
        <v>0.1545</v>
      </c>
      <c r="E21" s="35" t="n">
        <v>0.1984</v>
      </c>
      <c r="F21" s="35" t="n">
        <v>0.3</v>
      </c>
      <c r="G21" s="1" t="n">
        <v>4298637.7</v>
      </c>
      <c r="H21" s="1" t="n">
        <v>9857</v>
      </c>
      <c r="I21" s="1" t="n">
        <v>3000</v>
      </c>
      <c r="J21" s="1" t="s">
        <v>100</v>
      </c>
    </row>
    <row r="22" customFormat="false" ht="15" hidden="false" customHeight="true" outlineLevel="0" collapsed="false">
      <c r="A22" s="1" t="n">
        <v>21</v>
      </c>
      <c r="B22" s="1" t="n">
        <v>21500</v>
      </c>
      <c r="C22" s="35" t="n">
        <v>0.0722</v>
      </c>
      <c r="D22" s="35" t="n">
        <v>0.1777</v>
      </c>
      <c r="E22" s="35" t="n">
        <v>0.2376</v>
      </c>
      <c r="F22" s="35" t="n">
        <v>0.3</v>
      </c>
      <c r="G22" s="1" t="n">
        <v>4018225.4</v>
      </c>
      <c r="H22" s="1" t="n">
        <v>9214</v>
      </c>
      <c r="I22" s="1" t="n">
        <v>3000</v>
      </c>
      <c r="J22" s="1" t="s">
        <v>101</v>
      </c>
    </row>
    <row r="23" customFormat="false" ht="15" hidden="false" customHeight="true" outlineLevel="0" collapsed="false">
      <c r="A23" s="1" t="n">
        <v>22</v>
      </c>
      <c r="B23" s="1" t="n">
        <v>20000</v>
      </c>
      <c r="C23" s="35" t="n">
        <v>0.0802</v>
      </c>
      <c r="D23" s="35" t="n">
        <v>0.2044</v>
      </c>
      <c r="E23" s="35" t="n">
        <v>0.287</v>
      </c>
      <c r="F23" s="35" t="n">
        <v>0.3</v>
      </c>
      <c r="G23" s="1" t="n">
        <v>3737813.1</v>
      </c>
      <c r="H23" s="1" t="n">
        <v>8571</v>
      </c>
      <c r="I23" s="1" t="n">
        <v>3000</v>
      </c>
      <c r="J23" s="1" t="s">
        <v>102</v>
      </c>
    </row>
    <row r="24" customFormat="false" ht="15" hidden="false" customHeight="false" outlineLevel="0" collapsed="false">
      <c r="A24" s="1" t="n">
        <v>23</v>
      </c>
      <c r="B24" s="1" t="n">
        <v>35000</v>
      </c>
      <c r="C24" s="36" t="n">
        <v>0.0271</v>
      </c>
      <c r="D24" s="36" t="n">
        <v>0.0442</v>
      </c>
      <c r="E24" s="36" t="n">
        <v>0.0473</v>
      </c>
      <c r="F24" s="36" t="n">
        <v>0.3</v>
      </c>
      <c r="G24" s="1" t="n">
        <v>6541500</v>
      </c>
      <c r="H24" s="1" t="n">
        <v>15000</v>
      </c>
      <c r="I24" s="1" t="n">
        <v>1500</v>
      </c>
      <c r="J24" s="1" t="s">
        <v>92</v>
      </c>
    </row>
    <row r="25" customFormat="false" ht="15" hidden="false" customHeight="false" outlineLevel="0" collapsed="false">
      <c r="A25" s="1" t="n">
        <v>24</v>
      </c>
      <c r="B25" s="1" t="n">
        <v>33500</v>
      </c>
      <c r="C25" s="36" t="n">
        <v>0.0311</v>
      </c>
      <c r="D25" s="36" t="n">
        <v>0.0555</v>
      </c>
      <c r="E25" s="36" t="n">
        <v>0.0605</v>
      </c>
      <c r="F25" s="36" t="n">
        <v>0.3</v>
      </c>
      <c r="G25" s="1" t="n">
        <v>6261087.7</v>
      </c>
      <c r="H25" s="1" t="n">
        <v>14357</v>
      </c>
      <c r="I25" s="1" t="n">
        <v>1500</v>
      </c>
      <c r="J25" s="1" t="s">
        <v>93</v>
      </c>
    </row>
    <row r="26" customFormat="false" ht="15" hidden="false" customHeight="false" outlineLevel="0" collapsed="false">
      <c r="A26" s="1" t="n">
        <v>25</v>
      </c>
      <c r="B26" s="1" t="n">
        <v>32000</v>
      </c>
      <c r="C26" s="36" t="n">
        <v>0.0355</v>
      </c>
      <c r="D26" s="36" t="n">
        <v>0.0676</v>
      </c>
      <c r="E26" s="36" t="n">
        <v>0.0751</v>
      </c>
      <c r="F26" s="36" t="n">
        <v>0.3</v>
      </c>
      <c r="G26" s="1" t="n">
        <v>5980675.4</v>
      </c>
      <c r="H26" s="1" t="n">
        <v>13714</v>
      </c>
      <c r="I26" s="1" t="n">
        <v>1500</v>
      </c>
      <c r="J26" s="1" t="s">
        <v>94</v>
      </c>
    </row>
    <row r="27" customFormat="false" ht="15" hidden="false" customHeight="false" outlineLevel="0" collapsed="false">
      <c r="A27" s="1" t="n">
        <v>26</v>
      </c>
      <c r="B27" s="1" t="n">
        <v>30500</v>
      </c>
      <c r="C27" s="36" t="n">
        <v>0.0401</v>
      </c>
      <c r="D27" s="36" t="n">
        <v>0.0808</v>
      </c>
      <c r="E27" s="36" t="n">
        <v>0.0917</v>
      </c>
      <c r="F27" s="36" t="n">
        <v>0.3</v>
      </c>
      <c r="G27" s="1" t="n">
        <v>5700263.1</v>
      </c>
      <c r="H27" s="1" t="n">
        <v>13071</v>
      </c>
      <c r="I27" s="1" t="n">
        <v>1500</v>
      </c>
      <c r="J27" s="1" t="s">
        <v>95</v>
      </c>
    </row>
    <row r="28" customFormat="false" ht="15" hidden="false" customHeight="false" outlineLevel="0" collapsed="false">
      <c r="A28" s="1" t="n">
        <v>27</v>
      </c>
      <c r="B28" s="1" t="n">
        <v>29000</v>
      </c>
      <c r="C28" s="36" t="n">
        <v>0.0451</v>
      </c>
      <c r="D28" s="36" t="n">
        <v>0.0951</v>
      </c>
      <c r="E28" s="36" t="n">
        <v>0.1104</v>
      </c>
      <c r="F28" s="36" t="n">
        <v>0.3</v>
      </c>
      <c r="G28" s="1" t="n">
        <v>5420286.9</v>
      </c>
      <c r="H28" s="1" t="n">
        <v>12429</v>
      </c>
      <c r="I28" s="1" t="n">
        <v>1500</v>
      </c>
      <c r="J28" s="1" t="s">
        <v>96</v>
      </c>
    </row>
    <row r="29" customFormat="false" ht="15" hidden="false" customHeight="false" outlineLevel="0" collapsed="false">
      <c r="A29" s="1" t="n">
        <v>28</v>
      </c>
      <c r="B29" s="1" t="n">
        <v>27500</v>
      </c>
      <c r="C29" s="36" t="n">
        <v>0.0505</v>
      </c>
      <c r="D29" s="36" t="n">
        <v>0.1108</v>
      </c>
      <c r="E29" s="36" t="n">
        <v>0.1321</v>
      </c>
      <c r="F29" s="36" t="n">
        <v>0.3</v>
      </c>
      <c r="G29" s="1" t="n">
        <v>5139874.6</v>
      </c>
      <c r="H29" s="1" t="n">
        <v>11786</v>
      </c>
      <c r="I29" s="1" t="n">
        <v>1500</v>
      </c>
      <c r="J29" s="1" t="s">
        <v>97</v>
      </c>
    </row>
    <row r="30" customFormat="false" ht="15" hidden="false" customHeight="false" outlineLevel="0" collapsed="false">
      <c r="A30" s="1" t="n">
        <v>29</v>
      </c>
      <c r="B30" s="1" t="n">
        <v>26000</v>
      </c>
      <c r="C30" s="36" t="n">
        <v>0.0564</v>
      </c>
      <c r="D30" s="36" t="n">
        <v>0.1283</v>
      </c>
      <c r="E30" s="36" t="n">
        <v>0.1574</v>
      </c>
      <c r="F30" s="36" t="n">
        <v>0.3</v>
      </c>
      <c r="G30" s="1" t="n">
        <v>4859462.3</v>
      </c>
      <c r="H30" s="1" t="n">
        <v>11143</v>
      </c>
      <c r="I30" s="1" t="n">
        <v>1500</v>
      </c>
      <c r="J30" s="1" t="s">
        <v>98</v>
      </c>
    </row>
    <row r="31" customFormat="false" ht="15" hidden="false" customHeight="false" outlineLevel="0" collapsed="false">
      <c r="A31" s="1" t="n">
        <v>30</v>
      </c>
      <c r="B31" s="1" t="n">
        <v>24500</v>
      </c>
      <c r="C31" s="36" t="n">
        <v>0.0628</v>
      </c>
      <c r="D31" s="36" t="n">
        <v>0.1479</v>
      </c>
      <c r="E31" s="36" t="n">
        <v>0.1876</v>
      </c>
      <c r="F31" s="36" t="n">
        <v>0.3</v>
      </c>
      <c r="G31" s="1" t="n">
        <v>4579050</v>
      </c>
      <c r="H31" s="1" t="n">
        <v>10500</v>
      </c>
      <c r="I31" s="1" t="n">
        <v>1500</v>
      </c>
      <c r="J31" s="1" t="s">
        <v>99</v>
      </c>
    </row>
    <row r="32" customFormat="false" ht="15" hidden="false" customHeight="false" outlineLevel="0" collapsed="false">
      <c r="A32" s="1" t="n">
        <v>31</v>
      </c>
      <c r="B32" s="1" t="n">
        <v>23000</v>
      </c>
      <c r="C32" s="36" t="n">
        <v>0.0698</v>
      </c>
      <c r="D32" s="36" t="n">
        <v>0.1701</v>
      </c>
      <c r="E32" s="36" t="n">
        <v>0.2244</v>
      </c>
      <c r="F32" s="36" t="n">
        <v>0.3</v>
      </c>
      <c r="G32" s="1" t="n">
        <v>4298637.7</v>
      </c>
      <c r="H32" s="1" t="n">
        <v>9857</v>
      </c>
      <c r="I32" s="1" t="n">
        <v>1500</v>
      </c>
      <c r="J32" s="1" t="s">
        <v>100</v>
      </c>
    </row>
    <row r="33" customFormat="false" ht="15" hidden="false" customHeight="false" outlineLevel="0" collapsed="false">
      <c r="A33" s="1" t="n">
        <v>32</v>
      </c>
      <c r="B33" s="1" t="n">
        <v>21500</v>
      </c>
      <c r="C33" s="36" t="n">
        <v>0.0776</v>
      </c>
      <c r="D33" s="36" t="n">
        <v>0.1956</v>
      </c>
      <c r="E33" s="36" t="n">
        <v>0.2703</v>
      </c>
      <c r="F33" s="36" t="n">
        <v>0.3</v>
      </c>
      <c r="G33" s="1" t="n">
        <v>4018225.4</v>
      </c>
      <c r="H33" s="1" t="n">
        <v>9214</v>
      </c>
      <c r="I33" s="1" t="n">
        <v>1500</v>
      </c>
      <c r="J33" s="1" t="s">
        <v>101</v>
      </c>
    </row>
    <row r="34" customFormat="false" ht="15" hidden="false" customHeight="false" outlineLevel="0" collapsed="false">
      <c r="A34" s="1" t="n">
        <v>33</v>
      </c>
      <c r="B34" s="1" t="n">
        <v>20000</v>
      </c>
      <c r="C34" s="36" t="n">
        <v>0.0863</v>
      </c>
      <c r="D34" s="36" t="n">
        <v>0.2253</v>
      </c>
      <c r="E34" s="36" t="n">
        <v>0.3292</v>
      </c>
      <c r="F34" s="36" t="n">
        <v>0.3</v>
      </c>
      <c r="G34" s="1" t="n">
        <v>3737813.1</v>
      </c>
      <c r="H34" s="1" t="n">
        <v>8571</v>
      </c>
      <c r="I34" s="1" t="n">
        <v>1500</v>
      </c>
      <c r="J34" s="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104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105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106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108</v>
      </c>
    </row>
    <row r="8" customFormat="false" ht="22.5" hidden="false" customHeight="true" outlineLevel="0" collapsed="false">
      <c r="B8" s="16" t="s">
        <v>14</v>
      </c>
      <c r="E8" s="46"/>
      <c r="M8" s="1" t="s">
        <v>109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111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-23113300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-45790.5</v>
      </c>
      <c r="E49" s="104" t="n">
        <v>-45790.5</v>
      </c>
      <c r="F49" s="104" t="n">
        <v>-45790.5</v>
      </c>
      <c r="G49" s="104" t="n">
        <v>-45790.5</v>
      </c>
      <c r="H49" s="104" t="n">
        <v>-45790.5</v>
      </c>
      <c r="I49" s="104" t="n">
        <v>-45790.5</v>
      </c>
      <c r="J49" s="104" t="n">
        <v>-45790.5</v>
      </c>
      <c r="K49" s="104" t="n">
        <v>-45790.5</v>
      </c>
      <c r="L49" s="104" t="n">
        <v>-45790.5</v>
      </c>
      <c r="M49" s="104" t="n">
        <v>-45790.5</v>
      </c>
      <c r="N49" s="104" t="n">
        <v>-45790.5</v>
      </c>
      <c r="O49" s="104" t="n">
        <v>-45790.5</v>
      </c>
      <c r="P49" s="104" t="n">
        <v>-45790.5</v>
      </c>
      <c r="Q49" s="104" t="n">
        <v>-45790.5</v>
      </c>
      <c r="R49" s="104" t="n">
        <v>-45790.5</v>
      </c>
      <c r="S49" s="104" t="n">
        <v>-45790.5</v>
      </c>
      <c r="T49" s="104" t="n">
        <v>-45790.5</v>
      </c>
      <c r="U49" s="104" t="n">
        <v>-45790.5</v>
      </c>
      <c r="V49" s="104" t="n">
        <v>-45790.5</v>
      </c>
      <c r="W49" s="104" t="n">
        <v>-45790.5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-149324.484</v>
      </c>
      <c r="E54" s="104" t="n">
        <f aca="false">-(E64+E67+E68+E71+E72+E73+E74)*0.2</f>
        <v>-89533.8776</v>
      </c>
      <c r="F54" s="104" t="n">
        <f aca="false">-(F64+F67+F68+F71+F72+F73+F74)*0.2</f>
        <v>-87783.4712</v>
      </c>
      <c r="G54" s="104" t="n">
        <f aca="false">-(G64+G67+G68+G71+G72+G73+G74)*0.2</f>
        <v>-86033.0648</v>
      </c>
      <c r="H54" s="104" t="n">
        <f aca="false">-(H64+H67+H68+H71+H72+H73+H74)*0.2</f>
        <v>-84282.6584</v>
      </c>
      <c r="I54" s="104" t="n">
        <f aca="false">-(I64+I67+I68+I71+I72+I73+I74)*0.2</f>
        <v>-82532.252</v>
      </c>
      <c r="J54" s="104" t="n">
        <f aca="false">-(J64+J67+J68+J71+J72+J73+J74)*0.2</f>
        <v>-80781.8456</v>
      </c>
      <c r="K54" s="104" t="n">
        <f aca="false">-(K64+K67+K68+K71+K72+K73+K74)*0.2</f>
        <v>-79031.4392</v>
      </c>
      <c r="L54" s="104" t="n">
        <f aca="false">-(L64+L67+L68+L71+L72+L73+L74)*0.2</f>
        <v>-77281.0328</v>
      </c>
      <c r="M54" s="104" t="n">
        <f aca="false">-(M64+M67+M68+M71+M72+M73+M74)*0.2</f>
        <v>-75530.6264</v>
      </c>
      <c r="N54" s="104" t="n">
        <f aca="false">-(N64+N67+N68+N71+N72+N73+N74)*0.2</f>
        <v>-82502.22</v>
      </c>
      <c r="O54" s="104" t="n">
        <f aca="false">-(O64+O67+O68+O71+O72+O73+O74)*0.2</f>
        <v>-80751.8136</v>
      </c>
      <c r="P54" s="104" t="n">
        <f aca="false">-(P64+P67+P68+P71+P72+P73+P74)*0.2</f>
        <v>-79001.4072</v>
      </c>
      <c r="Q54" s="104" t="n">
        <f aca="false">-(Q64+Q67+Q68+Q71+Q72+Q73+Q74)*0.2</f>
        <v>-77251.0008</v>
      </c>
      <c r="R54" s="104" t="n">
        <f aca="false">-(R64+R67+R68+R71+R72+R73+R74)*0.2</f>
        <v>-75500.5944</v>
      </c>
      <c r="S54" s="104" t="n">
        <f aca="false">-(S64+S67+S68+S71+S72+S73+S74)*0.2</f>
        <v>-73750.188</v>
      </c>
      <c r="T54" s="104" t="n">
        <f aca="false">-(T64+T67+T68+T71+T72+T73+T74)*0.2</f>
        <v>-71999.7816</v>
      </c>
      <c r="U54" s="104" t="n">
        <f aca="false">-(U64+U67+U68+U71+U72+U73+U74)*0.2</f>
        <v>-70249.3752</v>
      </c>
      <c r="V54" s="104" t="n">
        <f aca="false">-(V64+V67+V68+V71+V72+V73+V74)*0.2</f>
        <v>-68498.9688</v>
      </c>
      <c r="W54" s="104" t="n">
        <f aca="false">-(W64+W67+W68+W71+W72+W73+W74)*0.2</f>
        <v>-66748.5624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-23113300</v>
      </c>
      <c r="D55" s="109" t="n">
        <f aca="false">SUM(D41:D54)</f>
        <v>1462761.936</v>
      </c>
      <c r="E55" s="109" t="n">
        <f aca="false">SUM(E41:E54)</f>
        <v>1513800.5104</v>
      </c>
      <c r="F55" s="109" t="n">
        <f aca="false">SUM(F41:F54)</f>
        <v>1506798.8848</v>
      </c>
      <c r="G55" s="109" t="n">
        <f aca="false">SUM(G41:G54)</f>
        <v>1499797.2592</v>
      </c>
      <c r="H55" s="109" t="n">
        <f aca="false">SUM(H41:H54)</f>
        <v>1492795.6336</v>
      </c>
      <c r="I55" s="109" t="n">
        <f aca="false">SUM(I41:I54)</f>
        <v>1485794.008</v>
      </c>
      <c r="J55" s="109" t="n">
        <f aca="false">SUM(J41:J54)</f>
        <v>1478792.3824</v>
      </c>
      <c r="K55" s="109" t="n">
        <f aca="false">SUM(K41:K54)</f>
        <v>1471790.7568</v>
      </c>
      <c r="L55" s="109" t="n">
        <f aca="false">SUM(L41:L54)</f>
        <v>1464789.1312</v>
      </c>
      <c r="M55" s="109" t="n">
        <f aca="false">SUM(M41:M54)</f>
        <v>1457787.5056</v>
      </c>
      <c r="N55" s="109" t="n">
        <f aca="false">SUM(N41:N54)</f>
        <v>1485673.88</v>
      </c>
      <c r="O55" s="109" t="n">
        <f aca="false">SUM(O41:O54)</f>
        <v>1478672.2544</v>
      </c>
      <c r="P55" s="109" t="n">
        <f aca="false">SUM(P41:P54)</f>
        <v>1471670.6288</v>
      </c>
      <c r="Q55" s="109" t="n">
        <f aca="false">SUM(Q41:Q54)</f>
        <v>1464669.0032</v>
      </c>
      <c r="R55" s="109" t="n">
        <f aca="false">SUM(R41:R54)</f>
        <v>1457667.3776</v>
      </c>
      <c r="S55" s="109" t="n">
        <f aca="false">SUM(S41:S54)</f>
        <v>1450665.752</v>
      </c>
      <c r="T55" s="109" t="n">
        <f aca="false">SUM(T41:T54)</f>
        <v>1443664.1264</v>
      </c>
      <c r="U55" s="109" t="n">
        <f aca="false">SUM(U41:U54)</f>
        <v>1436662.5008</v>
      </c>
      <c r="V55" s="109" t="n">
        <f aca="false">SUM(V41:V54)</f>
        <v>1429660.8752</v>
      </c>
      <c r="W55" s="109" t="n">
        <f aca="false">SUM(W41:W54)</f>
        <v>1422659.2496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-21650538.064</v>
      </c>
      <c r="E56" s="114" t="n">
        <f aca="false">D56+E55</f>
        <v>-20136737.5536</v>
      </c>
      <c r="F56" s="114" t="n">
        <f aca="false">E56+F55</f>
        <v>-18629938.6688</v>
      </c>
      <c r="G56" s="114" t="n">
        <f aca="false">F56+G55</f>
        <v>-17130141.4096</v>
      </c>
      <c r="H56" s="114" t="n">
        <f aca="false">G56+H55</f>
        <v>-15637345.776</v>
      </c>
      <c r="I56" s="114" t="n">
        <f aca="false">H56+I55</f>
        <v>-14151551.768</v>
      </c>
      <c r="J56" s="114" t="n">
        <f aca="false">I56+J55</f>
        <v>-12672759.3856</v>
      </c>
      <c r="K56" s="114" t="n">
        <f aca="false">J56+K55</f>
        <v>-11200968.6288</v>
      </c>
      <c r="L56" s="114" t="n">
        <f aca="false">K56+L55</f>
        <v>-9736179.4976</v>
      </c>
      <c r="M56" s="114" t="n">
        <f aca="false">L56+M55</f>
        <v>-8278391.992</v>
      </c>
      <c r="N56" s="114" t="n">
        <f aca="false">M56+N55</f>
        <v>-6792718.112</v>
      </c>
      <c r="O56" s="114" t="n">
        <f aca="false">N56+O55</f>
        <v>-5314045.8576</v>
      </c>
      <c r="P56" s="114" t="n">
        <f aca="false">O56+P55</f>
        <v>-3842375.2288</v>
      </c>
      <c r="Q56" s="114" t="n">
        <f aca="false">P56+Q55</f>
        <v>-2377706.2256</v>
      </c>
      <c r="R56" s="114" t="n">
        <f aca="false">Q56+R55</f>
        <v>-920038.847999997</v>
      </c>
      <c r="S56" s="114" t="n">
        <f aca="false">R56+S55</f>
        <v>530626.904000003</v>
      </c>
      <c r="T56" s="114" t="n">
        <f aca="false">S56+T55</f>
        <v>1974291.0304</v>
      </c>
      <c r="U56" s="114" t="n">
        <f aca="false">T56+U55</f>
        <v>3410953.5312</v>
      </c>
      <c r="V56" s="114" t="n">
        <f aca="false">U56+V55</f>
        <v>4840614.4064</v>
      </c>
      <c r="W56" s="114" t="n">
        <f aca="false">V56+W55</f>
        <v>6263273.656</v>
      </c>
      <c r="X56" s="114" t="n">
        <f aca="false">W56+X55</f>
        <v>6263273.656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0.0242088281443017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-1155665</v>
      </c>
      <c r="E67" s="127" t="n">
        <f aca="false">$C$44/$E$16</f>
        <v>-1155665</v>
      </c>
      <c r="F67" s="127" t="n">
        <f aca="false">$C$44/$E$16</f>
        <v>-1155665</v>
      </c>
      <c r="G67" s="127" t="n">
        <f aca="false">$C$44/$E$16</f>
        <v>-1155665</v>
      </c>
      <c r="H67" s="127" t="n">
        <f aca="false">$C$44/$E$16</f>
        <v>-1155665</v>
      </c>
      <c r="I67" s="127" t="n">
        <f aca="false">$C$44/$E$16</f>
        <v>-1155665</v>
      </c>
      <c r="J67" s="127" t="n">
        <f aca="false">$C$44/$E$16</f>
        <v>-1155665</v>
      </c>
      <c r="K67" s="127" t="n">
        <f aca="false">$C$44/$E$16</f>
        <v>-1155665</v>
      </c>
      <c r="L67" s="127" t="n">
        <f aca="false">$C$44/$E$16</f>
        <v>-1155665</v>
      </c>
      <c r="M67" s="127" t="n">
        <f aca="false">$C$44/$E$16</f>
        <v>-1155665</v>
      </c>
      <c r="N67" s="127" t="n">
        <f aca="false">$C$44/$E$16</f>
        <v>-1155665</v>
      </c>
      <c r="O67" s="127" t="n">
        <f aca="false">$C$44/$E$16</f>
        <v>-1155665</v>
      </c>
      <c r="P67" s="127" t="n">
        <f aca="false">$C$44/$E$16</f>
        <v>-1155665</v>
      </c>
      <c r="Q67" s="127" t="n">
        <f aca="false">$C$44/$E$16</f>
        <v>-1155665</v>
      </c>
      <c r="R67" s="127" t="n">
        <f aca="false">$C$44/$E$16</f>
        <v>-1155665</v>
      </c>
      <c r="S67" s="127" t="n">
        <f aca="false">$C$44/$E$16</f>
        <v>-1155665</v>
      </c>
      <c r="T67" s="127" t="n">
        <f aca="false">$C$44/$E$16</f>
        <v>-1155665</v>
      </c>
      <c r="U67" s="127" t="n">
        <f aca="false">$C$44/$E$16</f>
        <v>-1155665</v>
      </c>
      <c r="V67" s="127" t="n">
        <f aca="false">$C$44/$E$16</f>
        <v>-1155665</v>
      </c>
      <c r="W67" s="127" t="n">
        <f aca="false">$C$44/$E$16</f>
        <v>-1155665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-473360.384</v>
      </c>
      <c r="E70" s="104" t="n">
        <f aca="false">-E109*$D25</f>
        <v>-441803.025066667</v>
      </c>
      <c r="F70" s="104" t="n">
        <f aca="false">-F109*$D25</f>
        <v>-410245.666133334</v>
      </c>
      <c r="G70" s="104" t="n">
        <f aca="false">-G109*$D25</f>
        <v>-378688.3072</v>
      </c>
      <c r="H70" s="104" t="n">
        <f aca="false">-H109*$D25</f>
        <v>-347130.948266667</v>
      </c>
      <c r="I70" s="104" t="n">
        <f aca="false">-I109*$D25</f>
        <v>-315573.589333334</v>
      </c>
      <c r="J70" s="104" t="n">
        <f aca="false">-J109*$D25</f>
        <v>-284016.230400001</v>
      </c>
      <c r="K70" s="104" t="n">
        <f aca="false">-K109*$D25</f>
        <v>-252458.871466667</v>
      </c>
      <c r="L70" s="104" t="n">
        <f aca="false">-L109*$D25</f>
        <v>-220901.512533334</v>
      </c>
      <c r="M70" s="104" t="n">
        <f aca="false">-M109*$D25</f>
        <v>-189344.153600001</v>
      </c>
      <c r="N70" s="104" t="n">
        <f aca="false">-N109*$D25</f>
        <v>-157786.794666668</v>
      </c>
      <c r="O70" s="104" t="n">
        <f aca="false">-O109*$D25</f>
        <v>-126229.435733334</v>
      </c>
      <c r="P70" s="104" t="n">
        <f aca="false">-P109*$D25</f>
        <v>-94672.076800001</v>
      </c>
      <c r="Q70" s="104" t="n">
        <f aca="false">-Q109*$D25</f>
        <v>-63114.7178666678</v>
      </c>
      <c r="R70" s="104" t="n">
        <f aca="false">-R109*$D25</f>
        <v>-31557.3589333345</v>
      </c>
      <c r="S70" s="104" t="n">
        <f aca="false">-S109*$D25</f>
        <v>-1.2516975402832E-009</v>
      </c>
      <c r="T70" s="104" t="n">
        <f aca="false">-T109*$D25</f>
        <v>-1.2516975402832E-009</v>
      </c>
      <c r="U70" s="104" t="n">
        <f aca="false">-U109*$D25</f>
        <v>-1.2516975402832E-009</v>
      </c>
      <c r="V70" s="104" t="n">
        <f aca="false">-V109*$D25</f>
        <v>-1.2516975402832E-009</v>
      </c>
      <c r="W70" s="104" t="n">
        <f aca="false">-W109*$D25</f>
        <v>-1.2516975402832E-009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-45790.5</v>
      </c>
      <c r="E72" s="104" t="n">
        <f aca="false">E49</f>
        <v>-45790.5</v>
      </c>
      <c r="F72" s="104" t="n">
        <f aca="false">F49</f>
        <v>-45790.5</v>
      </c>
      <c r="G72" s="104" t="n">
        <f aca="false">G49</f>
        <v>-45790.5</v>
      </c>
      <c r="H72" s="104" t="n">
        <f aca="false">H49</f>
        <v>-45790.5</v>
      </c>
      <c r="I72" s="104" t="n">
        <f aca="false">I49</f>
        <v>-45790.5</v>
      </c>
      <c r="J72" s="104" t="n">
        <f aca="false">J49</f>
        <v>-45790.5</v>
      </c>
      <c r="K72" s="104" t="n">
        <f aca="false">K49</f>
        <v>-45790.5</v>
      </c>
      <c r="L72" s="104" t="n">
        <f aca="false">L49</f>
        <v>-45790.5</v>
      </c>
      <c r="M72" s="104" t="n">
        <f aca="false">M49</f>
        <v>-45790.5</v>
      </c>
      <c r="N72" s="104" t="n">
        <f aca="false">N49</f>
        <v>-45790.5</v>
      </c>
      <c r="O72" s="104" t="n">
        <f aca="false">O49</f>
        <v>-45790.5</v>
      </c>
      <c r="P72" s="104" t="n">
        <f aca="false">P49</f>
        <v>-45790.5</v>
      </c>
      <c r="Q72" s="104" t="n">
        <f aca="false">Q49</f>
        <v>-45790.5</v>
      </c>
      <c r="R72" s="104" t="n">
        <f aca="false">R49</f>
        <v>-45790.5</v>
      </c>
      <c r="S72" s="104" t="n">
        <f aca="false">S49</f>
        <v>-45790.5</v>
      </c>
      <c r="T72" s="104" t="n">
        <f aca="false">T49</f>
        <v>-45790.5</v>
      </c>
      <c r="U72" s="104" t="n">
        <f aca="false">U49</f>
        <v>-45790.5</v>
      </c>
      <c r="V72" s="104" t="n">
        <f aca="false">V49</f>
        <v>-45790.5</v>
      </c>
      <c r="W72" s="104" t="n">
        <f aca="false">W49</f>
        <v>-45790.5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273262.036</v>
      </c>
      <c r="E76" s="109" t="n">
        <f aca="false">SUM(E64:E75)</f>
        <v>5866.36293333297</v>
      </c>
      <c r="F76" s="109" t="n">
        <f aca="false">SUM(F64:F75)</f>
        <v>28671.6898666666</v>
      </c>
      <c r="G76" s="109" t="n">
        <f aca="false">SUM(G64:G75)</f>
        <v>51477.0167999997</v>
      </c>
      <c r="H76" s="109" t="n">
        <f aca="false">SUM(H64:H75)</f>
        <v>74282.3437333329</v>
      </c>
      <c r="I76" s="109" t="n">
        <f aca="false">SUM(I64:I75)</f>
        <v>97087.670666666</v>
      </c>
      <c r="J76" s="109" t="n">
        <f aca="false">SUM(J64:J75)</f>
        <v>119892.9976</v>
      </c>
      <c r="K76" s="109" t="n">
        <f aca="false">SUM(K64:K75)</f>
        <v>142698.324533333</v>
      </c>
      <c r="L76" s="109" t="n">
        <f aca="false">SUM(L64:L75)</f>
        <v>165503.651466666</v>
      </c>
      <c r="M76" s="109" t="n">
        <f aca="false">SUM(M64:M75)</f>
        <v>188308.978399999</v>
      </c>
      <c r="N76" s="109" t="n">
        <f aca="false">SUM(N64:N75)</f>
        <v>254724.305333332</v>
      </c>
      <c r="O76" s="109" t="n">
        <f aca="false">SUM(O64:O75)</f>
        <v>277529.632266666</v>
      </c>
      <c r="P76" s="109" t="n">
        <f aca="false">SUM(P64:P75)</f>
        <v>300334.959199999</v>
      </c>
      <c r="Q76" s="109" t="n">
        <f aca="false">SUM(Q64:Q75)</f>
        <v>323140.286133332</v>
      </c>
      <c r="R76" s="109" t="n">
        <f aca="false">SUM(R64:R75)</f>
        <v>345945.613066665</v>
      </c>
      <c r="S76" s="109" t="n">
        <f aca="false">SUM(S64:S75)</f>
        <v>368750.939999999</v>
      </c>
      <c r="T76" s="109" t="n">
        <f aca="false">SUM(T64:T75)</f>
        <v>359998.907999999</v>
      </c>
      <c r="U76" s="109" t="n">
        <f aca="false">SUM(U64:U75)</f>
        <v>351246.875999999</v>
      </c>
      <c r="V76" s="109" t="n">
        <f aca="false">SUM(V64:V75)</f>
        <v>342494.843999999</v>
      </c>
      <c r="W76" s="109" t="n">
        <f aca="false">SUM(W64:W75)</f>
        <v>333742.811999999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-54652.4072</v>
      </c>
      <c r="E77" s="104" t="n">
        <f aca="false">-E76*0.2</f>
        <v>-1173.27258666659</v>
      </c>
      <c r="F77" s="104" t="n">
        <f aca="false">-F76*0.2</f>
        <v>-5734.33797333331</v>
      </c>
      <c r="G77" s="104" t="n">
        <f aca="false">-G76*0.2</f>
        <v>-10295.4033599999</v>
      </c>
      <c r="H77" s="104" t="n">
        <f aca="false">-H76*0.2</f>
        <v>-14856.4687466666</v>
      </c>
      <c r="I77" s="104" t="n">
        <f aca="false">-I76*0.2</f>
        <v>-19417.5341333332</v>
      </c>
      <c r="J77" s="104" t="n">
        <f aca="false">-J76*0.2</f>
        <v>-23978.5995199999</v>
      </c>
      <c r="K77" s="104" t="n">
        <f aca="false">-K76*0.2</f>
        <v>-28539.6649066665</v>
      </c>
      <c r="L77" s="104" t="n">
        <f aca="false">-L76*0.2</f>
        <v>-33100.7302933332</v>
      </c>
      <c r="M77" s="104" t="n">
        <f aca="false">-M76*0.2</f>
        <v>-37661.7956799998</v>
      </c>
      <c r="N77" s="104" t="n">
        <f aca="false">-N76*0.2</f>
        <v>-50944.8610666665</v>
      </c>
      <c r="O77" s="104" t="n">
        <f aca="false">-O76*0.2</f>
        <v>-55505.9264533331</v>
      </c>
      <c r="P77" s="104" t="n">
        <f aca="false">-P76*0.2</f>
        <v>-60066.9918399998</v>
      </c>
      <c r="Q77" s="104" t="n">
        <f aca="false">-Q76*0.2</f>
        <v>-64628.0572266664</v>
      </c>
      <c r="R77" s="104" t="n">
        <f aca="false">-R76*0.2</f>
        <v>-69189.1226133331</v>
      </c>
      <c r="S77" s="104" t="n">
        <f aca="false">-S76*0.2</f>
        <v>-73750.1879999997</v>
      </c>
      <c r="T77" s="104" t="n">
        <f aca="false">-T76*0.2</f>
        <v>-71999.7815999997</v>
      </c>
      <c r="U77" s="104" t="n">
        <f aca="false">-U76*0.2</f>
        <v>-70249.3751999997</v>
      </c>
      <c r="V77" s="104" t="n">
        <f aca="false">-V76*0.2</f>
        <v>-68498.9687999997</v>
      </c>
      <c r="W77" s="104" t="n">
        <f aca="false">-W76*0.2</f>
        <v>-66748.5623999997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218609.6288</v>
      </c>
      <c r="E78" s="104" t="n">
        <f aca="false">SUM(E76:E77)</f>
        <v>4693.09034666638</v>
      </c>
      <c r="F78" s="104" t="n">
        <f aca="false">SUM(F76:F77)</f>
        <v>22937.3518933333</v>
      </c>
      <c r="G78" s="104" t="n">
        <f aca="false">SUM(G76:G77)</f>
        <v>41181.6134399998</v>
      </c>
      <c r="H78" s="104" t="n">
        <f aca="false">SUM(H76:H77)</f>
        <v>59425.8749866663</v>
      </c>
      <c r="I78" s="104" t="n">
        <f aca="false">SUM(I76:I77)</f>
        <v>77670.1365333328</v>
      </c>
      <c r="J78" s="104" t="n">
        <f aca="false">SUM(J76:J77)</f>
        <v>95914.3980799997</v>
      </c>
      <c r="K78" s="104" t="n">
        <f aca="false">SUM(K76:K77)</f>
        <v>114158.659626666</v>
      </c>
      <c r="L78" s="104" t="n">
        <f aca="false">SUM(L76:L77)</f>
        <v>132402.921173333</v>
      </c>
      <c r="M78" s="104" t="n">
        <f aca="false">SUM(M76:M77)</f>
        <v>150647.182719999</v>
      </c>
      <c r="N78" s="104" t="n">
        <f aca="false">SUM(N76:N77)</f>
        <v>203779.444266666</v>
      </c>
      <c r="O78" s="104" t="n">
        <f aca="false">SUM(O76:O77)</f>
        <v>222023.705813333</v>
      </c>
      <c r="P78" s="104" t="n">
        <f aca="false">SUM(P76:P77)</f>
        <v>240267.967359999</v>
      </c>
      <c r="Q78" s="104" t="n">
        <f aca="false">SUM(Q76:Q77)</f>
        <v>258512.228906666</v>
      </c>
      <c r="R78" s="104" t="n">
        <f aca="false">SUM(R76:R77)</f>
        <v>276756.490453332</v>
      </c>
      <c r="S78" s="104" t="n">
        <f aca="false">SUM(S76:S77)</f>
        <v>295000.751999999</v>
      </c>
      <c r="T78" s="104" t="n">
        <f aca="false">SUM(T76:T77)</f>
        <v>287999.126399999</v>
      </c>
      <c r="U78" s="104" t="n">
        <f aca="false">SUM(U76:U77)</f>
        <v>280997.500799999</v>
      </c>
      <c r="V78" s="104" t="n">
        <f aca="false">SUM(V76:V77)</f>
        <v>273995.875199999</v>
      </c>
      <c r="W78" s="104" t="n">
        <f aca="false">SUM(W76:W77)</f>
        <v>266994.249599999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218609.6288</v>
      </c>
      <c r="E85" s="143" t="n">
        <f aca="false">E78</f>
        <v>4693.09034666638</v>
      </c>
      <c r="F85" s="143" t="n">
        <f aca="false">F78</f>
        <v>22937.3518933333</v>
      </c>
      <c r="G85" s="143" t="n">
        <f aca="false">G78</f>
        <v>41181.6134399998</v>
      </c>
      <c r="H85" s="143" t="n">
        <f aca="false">H78</f>
        <v>59425.8749866663</v>
      </c>
      <c r="I85" s="143" t="n">
        <f aca="false">I78</f>
        <v>77670.1365333328</v>
      </c>
      <c r="J85" s="143" t="n">
        <f aca="false">J78</f>
        <v>95914.3980799997</v>
      </c>
      <c r="K85" s="143" t="n">
        <f aca="false">K78</f>
        <v>114158.659626666</v>
      </c>
      <c r="L85" s="143" t="n">
        <f aca="false">L78</f>
        <v>132402.921173333</v>
      </c>
      <c r="M85" s="143" t="n">
        <f aca="false">M78</f>
        <v>150647.182719999</v>
      </c>
      <c r="N85" s="143" t="n">
        <f aca="false">N78</f>
        <v>203779.444266666</v>
      </c>
      <c r="O85" s="143" t="n">
        <f aca="false">O78</f>
        <v>222023.705813333</v>
      </c>
      <c r="P85" s="143" t="n">
        <f aca="false">P78</f>
        <v>240267.967359999</v>
      </c>
      <c r="Q85" s="143" t="n">
        <f aca="false">Q78</f>
        <v>258512.228906666</v>
      </c>
      <c r="R85" s="143" t="n">
        <f aca="false">R78</f>
        <v>276756.490453332</v>
      </c>
      <c r="S85" s="143" t="n">
        <f aca="false">S78</f>
        <v>295000.751999999</v>
      </c>
      <c r="T85" s="143" t="n">
        <f aca="false">T78</f>
        <v>287999.126399999</v>
      </c>
      <c r="U85" s="143" t="n">
        <f aca="false">U78</f>
        <v>280997.500799999</v>
      </c>
      <c r="V85" s="143" t="n">
        <f aca="false">V78</f>
        <v>273995.875199999</v>
      </c>
      <c r="W85" s="143" t="n">
        <f aca="false">W78</f>
        <v>266994.249599999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1155665</v>
      </c>
      <c r="E86" s="144" t="n">
        <f aca="false">-E67</f>
        <v>1155665</v>
      </c>
      <c r="F86" s="144" t="n">
        <f aca="false">-F67</f>
        <v>1155665</v>
      </c>
      <c r="G86" s="144" t="n">
        <f aca="false">-G67</f>
        <v>1155665</v>
      </c>
      <c r="H86" s="144" t="n">
        <f aca="false">-H67</f>
        <v>1155665</v>
      </c>
      <c r="I86" s="144" t="n">
        <f aca="false">-I67</f>
        <v>1155665</v>
      </c>
      <c r="J86" s="144" t="n">
        <f aca="false">-J67</f>
        <v>1155665</v>
      </c>
      <c r="K86" s="144" t="n">
        <f aca="false">-K67</f>
        <v>1155665</v>
      </c>
      <c r="L86" s="144" t="n">
        <f aca="false">-L67</f>
        <v>1155665</v>
      </c>
      <c r="M86" s="144" t="n">
        <f aca="false">-M67</f>
        <v>1155665</v>
      </c>
      <c r="N86" s="144" t="n">
        <f aca="false">-N67</f>
        <v>1155665</v>
      </c>
      <c r="O86" s="144" t="n">
        <f aca="false">-O67</f>
        <v>1155665</v>
      </c>
      <c r="P86" s="144" t="n">
        <f aca="false">-P67</f>
        <v>1155665</v>
      </c>
      <c r="Q86" s="144" t="n">
        <f aca="false">-Q67</f>
        <v>1155665</v>
      </c>
      <c r="R86" s="144" t="n">
        <f aca="false">-R67</f>
        <v>1155665</v>
      </c>
      <c r="S86" s="144" t="n">
        <f aca="false">-S67</f>
        <v>1155665</v>
      </c>
      <c r="T86" s="144" t="n">
        <f aca="false">-T67</f>
        <v>1155665</v>
      </c>
      <c r="U86" s="144" t="n">
        <f aca="false">-U67</f>
        <v>1155665</v>
      </c>
      <c r="V86" s="144" t="n">
        <f aca="false">-V67</f>
        <v>1155665</v>
      </c>
      <c r="W86" s="144" t="n">
        <f aca="false">-W67</f>
        <v>1155665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1374274.6288</v>
      </c>
      <c r="E87" s="146" t="n">
        <f aca="false">SUM(E85:E86)</f>
        <v>1160358.09034667</v>
      </c>
      <c r="F87" s="146" t="n">
        <f aca="false">SUM(F85:F86)</f>
        <v>1178602.35189333</v>
      </c>
      <c r="G87" s="146" t="n">
        <f aca="false">SUM(G85:G86)</f>
        <v>1196846.61344</v>
      </c>
      <c r="H87" s="146" t="n">
        <f aca="false">SUM(H85:H86)</f>
        <v>1215090.87498667</v>
      </c>
      <c r="I87" s="146" t="n">
        <f aca="false">SUM(I85:I86)</f>
        <v>1233335.13653333</v>
      </c>
      <c r="J87" s="146" t="n">
        <f aca="false">SUM(J85:J86)</f>
        <v>1251579.39808</v>
      </c>
      <c r="K87" s="146" t="n">
        <f aca="false">SUM(K85:K86)</f>
        <v>1269823.65962667</v>
      </c>
      <c r="L87" s="146" t="n">
        <f aca="false">SUM(L85:L86)</f>
        <v>1288067.92117333</v>
      </c>
      <c r="M87" s="146" t="n">
        <f aca="false">SUM(M85:M86)</f>
        <v>1306312.18272</v>
      </c>
      <c r="N87" s="146" t="n">
        <f aca="false">SUM(N85:N86)</f>
        <v>1359444.44426667</v>
      </c>
      <c r="O87" s="146" t="n">
        <f aca="false">SUM(O85:O86)</f>
        <v>1377688.70581333</v>
      </c>
      <c r="P87" s="146" t="n">
        <f aca="false">SUM(P85:P86)</f>
        <v>1395932.96736</v>
      </c>
      <c r="Q87" s="146" t="n">
        <f aca="false">SUM(Q85:Q86)</f>
        <v>1414177.22890667</v>
      </c>
      <c r="R87" s="146" t="n">
        <f aca="false">SUM(R85:R86)</f>
        <v>1432421.49045333</v>
      </c>
      <c r="S87" s="146" t="n">
        <f aca="false">SUM(S85:S86)</f>
        <v>1450665.752</v>
      </c>
      <c r="T87" s="146" t="n">
        <f aca="false">SUM(T85:T86)</f>
        <v>1443664.1264</v>
      </c>
      <c r="U87" s="146" t="n">
        <f aca="false">SUM(U85:U86)</f>
        <v>1436662.5008</v>
      </c>
      <c r="V87" s="146" t="n">
        <f aca="false">SUM(V85:V86)</f>
        <v>1429660.8752</v>
      </c>
      <c r="W87" s="146" t="n">
        <f aca="false">SUM(W85:W86)</f>
        <v>1422659.2496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-23113300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18490640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-1232709.33333333</v>
      </c>
      <c r="F93" s="152" t="n">
        <v>-1232709.33333333</v>
      </c>
      <c r="G93" s="152" t="n">
        <v>-1232709.33333333</v>
      </c>
      <c r="H93" s="152" t="n">
        <v>-1232709.33333333</v>
      </c>
      <c r="I93" s="152" t="n">
        <v>-1232709.33333333</v>
      </c>
      <c r="J93" s="152" t="n">
        <v>-1232709.33333333</v>
      </c>
      <c r="K93" s="152" t="n">
        <v>-1232709.33333333</v>
      </c>
      <c r="L93" s="152" t="n">
        <v>-1232709.33333333</v>
      </c>
      <c r="M93" s="152" t="n">
        <v>-1232709.33333333</v>
      </c>
      <c r="N93" s="152" t="n">
        <v>-1232709.33333333</v>
      </c>
      <c r="O93" s="152" t="n">
        <v>-1232709.33333333</v>
      </c>
      <c r="P93" s="152" t="n">
        <v>-1232709.33333333</v>
      </c>
      <c r="Q93" s="152" t="n">
        <v>-1232709.33333333</v>
      </c>
      <c r="R93" s="152" t="n">
        <v>-1232709.33333333</v>
      </c>
      <c r="S93" s="152" t="n">
        <v>-1232709.33333333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4622660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-196748.66592</v>
      </c>
      <c r="F95" s="153" t="n">
        <f aca="false">-E85*$D$33</f>
        <v>-4223.78131199974</v>
      </c>
      <c r="G95" s="153" t="n">
        <f aca="false">-F85*$D$33</f>
        <v>-20643.6167039999</v>
      </c>
      <c r="H95" s="153" t="n">
        <f aca="false">-G85*$D$33</f>
        <v>-37063.4520959998</v>
      </c>
      <c r="I95" s="153" t="n">
        <f aca="false">-H85*$D$33</f>
        <v>-53483.2874879997</v>
      </c>
      <c r="J95" s="153" t="n">
        <f aca="false">-I85*$D$33</f>
        <v>-69903.1228799995</v>
      </c>
      <c r="K95" s="153" t="n">
        <f aca="false">-J85*$D$33</f>
        <v>-86322.9582719997</v>
      </c>
      <c r="L95" s="153" t="n">
        <f aca="false">-K85*$D$33</f>
        <v>-102742.793664</v>
      </c>
      <c r="M95" s="153" t="n">
        <f aca="false">-L85*$D$33</f>
        <v>-119162.629055999</v>
      </c>
      <c r="N95" s="153" t="n">
        <f aca="false">-M85*$D$33</f>
        <v>-135582.464447999</v>
      </c>
      <c r="O95" s="153" t="n">
        <f aca="false">-N85*$D$33</f>
        <v>-183401.499839999</v>
      </c>
      <c r="P95" s="153" t="n">
        <f aca="false">-O85*$D$33</f>
        <v>-199821.335231999</v>
      </c>
      <c r="Q95" s="153" t="n">
        <f aca="false">-P85*$D$33</f>
        <v>-216241.170623999</v>
      </c>
      <c r="R95" s="153" t="n">
        <f aca="false">-Q85*$D$33</f>
        <v>-232661.006015999</v>
      </c>
      <c r="S95" s="153" t="n">
        <f aca="false">-R85*$D$33</f>
        <v>-249080.841407999</v>
      </c>
      <c r="T95" s="153" t="n">
        <f aca="false">-S85*$D$33</f>
        <v>-265500.676799999</v>
      </c>
      <c r="U95" s="153" t="n">
        <f aca="false">-T85*$D$33</f>
        <v>-259199.213759999</v>
      </c>
      <c r="V95" s="153" t="n">
        <f aca="false">-U85*$D$33</f>
        <v>-252897.750719999</v>
      </c>
      <c r="W95" s="153" t="n">
        <f aca="false">-V85*$D$33</f>
        <v>-246596.287679999</v>
      </c>
      <c r="X95" s="153" t="n">
        <f aca="false">-W85*$D$33</f>
        <v>-240294.824639999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-1155665</v>
      </c>
      <c r="U96" s="156" t="n">
        <v>-1155665</v>
      </c>
      <c r="V96" s="156" t="n">
        <v>-1155665</v>
      </c>
      <c r="W96" s="156" t="n">
        <v>-1155665</v>
      </c>
      <c r="X96" s="157" t="n">
        <f aca="false">-W101-X95</f>
        <v>-352396.819840047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1374274.6288</v>
      </c>
      <c r="E99" s="143" t="n">
        <f aca="false">SUM(E87:E96)</f>
        <v>-269099.908906664</v>
      </c>
      <c r="F99" s="143" t="n">
        <f aca="false">SUM(F87:F96)</f>
        <v>-58330.7627519965</v>
      </c>
      <c r="G99" s="143" t="n">
        <f aca="false">SUM(G87:G96)</f>
        <v>-56506.3365973302</v>
      </c>
      <c r="H99" s="143" t="n">
        <f aca="false">SUM(H87:H96)</f>
        <v>-54681.9104426635</v>
      </c>
      <c r="I99" s="143" t="n">
        <f aca="false">SUM(I87:I96)</f>
        <v>-52857.4842879969</v>
      </c>
      <c r="J99" s="143" t="n">
        <f aca="false">SUM(J87:J96)</f>
        <v>-51033.0581333298</v>
      </c>
      <c r="K99" s="143" t="n">
        <f aca="false">SUM(K87:K96)</f>
        <v>-49208.6319786635</v>
      </c>
      <c r="L99" s="143" t="n">
        <f aca="false">SUM(L87:L96)</f>
        <v>-47384.2058239968</v>
      </c>
      <c r="M99" s="143" t="n">
        <f aca="false">SUM(M87:M96)</f>
        <v>-45559.7796693299</v>
      </c>
      <c r="N99" s="143" t="n">
        <f aca="false">SUM(N87:N96)</f>
        <v>-8847.35351466347</v>
      </c>
      <c r="O99" s="143" t="n">
        <f aca="false">SUM(O87:O96)</f>
        <v>-38422.1273599968</v>
      </c>
      <c r="P99" s="143" t="n">
        <f aca="false">SUM(P87:P96)</f>
        <v>-36597.7012053301</v>
      </c>
      <c r="Q99" s="143" t="n">
        <f aca="false">SUM(Q87:Q96)</f>
        <v>-34773.2750506635</v>
      </c>
      <c r="R99" s="143" t="n">
        <f aca="false">SUM(R87:R96)</f>
        <v>-32948.848895997</v>
      </c>
      <c r="S99" s="143" t="n">
        <f aca="false">SUM(S87:S96)</f>
        <v>-31124.4227413301</v>
      </c>
      <c r="T99" s="143" t="n">
        <f aca="false">SUM(T87:T96)</f>
        <v>22498.4495999997</v>
      </c>
      <c r="U99" s="143" t="n">
        <f aca="false">SUM(U87:U96)</f>
        <v>21798.2870399999</v>
      </c>
      <c r="V99" s="143" t="n">
        <f aca="false">SUM(V87:V96)</f>
        <v>21098.1244799998</v>
      </c>
      <c r="W99" s="143" t="n">
        <f aca="false">SUM(W87:W96)</f>
        <v>20397.9619199999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1374274.6288</v>
      </c>
      <c r="F100" s="143" t="n">
        <f aca="false">E101</f>
        <v>1105174.71989334</v>
      </c>
      <c r="G100" s="143" t="n">
        <f aca="false">F101</f>
        <v>1046843.95714134</v>
      </c>
      <c r="H100" s="143" t="n">
        <f aca="false">G101</f>
        <v>990337.620544009</v>
      </c>
      <c r="I100" s="143" t="n">
        <f aca="false">H101</f>
        <v>935655.710101345</v>
      </c>
      <c r="J100" s="143" t="n">
        <f aca="false">I101</f>
        <v>882798.225813348</v>
      </c>
      <c r="K100" s="143" t="n">
        <f aca="false">J101</f>
        <v>831765.167680019</v>
      </c>
      <c r="L100" s="143" t="n">
        <f aca="false">K101</f>
        <v>782556.535701355</v>
      </c>
      <c r="M100" s="143" t="n">
        <f aca="false">L101</f>
        <v>735172.329877358</v>
      </c>
      <c r="N100" s="143" t="n">
        <f aca="false">M101</f>
        <v>689612.550208028</v>
      </c>
      <c r="O100" s="143" t="n">
        <f aca="false">N101</f>
        <v>680765.196693365</v>
      </c>
      <c r="P100" s="143" t="n">
        <f aca="false">O101</f>
        <v>642343.069333368</v>
      </c>
      <c r="Q100" s="143" t="n">
        <f aca="false">P101</f>
        <v>605745.368128038</v>
      </c>
      <c r="R100" s="143" t="n">
        <f aca="false">Q101</f>
        <v>570972.093077374</v>
      </c>
      <c r="S100" s="143" t="n">
        <f aca="false">R101</f>
        <v>538023.244181377</v>
      </c>
      <c r="T100" s="143" t="n">
        <f aca="false">S101</f>
        <v>506898.821440047</v>
      </c>
      <c r="U100" s="143" t="n">
        <f aca="false">T101</f>
        <v>529397.271040047</v>
      </c>
      <c r="V100" s="143" t="n">
        <f aca="false">U101</f>
        <v>551195.558080047</v>
      </c>
      <c r="W100" s="143" t="n">
        <f aca="false">V101</f>
        <v>572293.682560047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1374274.6288</v>
      </c>
      <c r="E101" s="143" t="n">
        <f aca="false">E99+E100</f>
        <v>1105174.71989334</v>
      </c>
      <c r="F101" s="143" t="n">
        <f aca="false">F99+F100</f>
        <v>1046843.95714134</v>
      </c>
      <c r="G101" s="143" t="n">
        <f aca="false">G99+G100</f>
        <v>990337.620544009</v>
      </c>
      <c r="H101" s="143" t="n">
        <f aca="false">H99+H100</f>
        <v>935655.710101345</v>
      </c>
      <c r="I101" s="143" t="n">
        <f aca="false">I99+I100</f>
        <v>882798.225813348</v>
      </c>
      <c r="J101" s="143" t="n">
        <f aca="false">J99+J100</f>
        <v>831765.167680019</v>
      </c>
      <c r="K101" s="143" t="n">
        <f aca="false">K99+K100</f>
        <v>782556.535701355</v>
      </c>
      <c r="L101" s="143" t="n">
        <f aca="false">L99+L100</f>
        <v>735172.329877358</v>
      </c>
      <c r="M101" s="143" t="n">
        <f aca="false">M99+M100</f>
        <v>689612.550208028</v>
      </c>
      <c r="N101" s="143" t="n">
        <f aca="false">N99+N100</f>
        <v>680765.196693365</v>
      </c>
      <c r="O101" s="143" t="n">
        <f aca="false">O99+O100</f>
        <v>642343.069333368</v>
      </c>
      <c r="P101" s="143" t="n">
        <f aca="false">P99+P100</f>
        <v>605745.368128038</v>
      </c>
      <c r="Q101" s="143" t="n">
        <f aca="false">Q99+Q100</f>
        <v>570972.093077374</v>
      </c>
      <c r="R101" s="143" t="n">
        <f aca="false">R99+R100</f>
        <v>538023.244181377</v>
      </c>
      <c r="S101" s="143" t="n">
        <f aca="false">S99+S100</f>
        <v>506898.821440047</v>
      </c>
      <c r="T101" s="143" t="n">
        <f aca="false">T99+T100</f>
        <v>529397.271040047</v>
      </c>
      <c r="U101" s="143" t="n">
        <f aca="false">U99+U100</f>
        <v>551195.558080047</v>
      </c>
      <c r="V101" s="143" t="n">
        <f aca="false">V99+V100</f>
        <v>572293.682560047</v>
      </c>
      <c r="W101" s="143" t="n">
        <f aca="false">W99+W100</f>
        <v>592691.644480047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-4622660</v>
      </c>
      <c r="E104" s="146" t="n">
        <f aca="false">-E95-E96</f>
        <v>196748.66592</v>
      </c>
      <c r="F104" s="146" t="n">
        <f aca="false">-F95-F96</f>
        <v>4223.78131199974</v>
      </c>
      <c r="G104" s="146" t="n">
        <f aca="false">-G95-G96</f>
        <v>20643.6167039999</v>
      </c>
      <c r="H104" s="146" t="n">
        <f aca="false">-H95-H96</f>
        <v>37063.4520959998</v>
      </c>
      <c r="I104" s="146" t="n">
        <f aca="false">-I95-I96</f>
        <v>53483.2874879997</v>
      </c>
      <c r="J104" s="146" t="n">
        <f aca="false">-J95-J96</f>
        <v>69903.1228799995</v>
      </c>
      <c r="K104" s="146" t="n">
        <f aca="false">-K95-K96</f>
        <v>86322.9582719997</v>
      </c>
      <c r="L104" s="146" t="n">
        <f aca="false">-L95-L96</f>
        <v>102742.793664</v>
      </c>
      <c r="M104" s="146" t="n">
        <f aca="false">-M95-M96</f>
        <v>119162.629055999</v>
      </c>
      <c r="N104" s="146" t="n">
        <f aca="false">-N95-N96</f>
        <v>135582.464447999</v>
      </c>
      <c r="O104" s="146" t="n">
        <f aca="false">-O95-O96</f>
        <v>183401.499839999</v>
      </c>
      <c r="P104" s="146" t="n">
        <f aca="false">-P95-P96</f>
        <v>199821.335231999</v>
      </c>
      <c r="Q104" s="146" t="n">
        <f aca="false">-Q95-Q96</f>
        <v>216241.170623999</v>
      </c>
      <c r="R104" s="146" t="n">
        <f aca="false">-R95-R96</f>
        <v>232661.006015999</v>
      </c>
      <c r="S104" s="146" t="n">
        <f aca="false">-S95-S96</f>
        <v>249080.841407999</v>
      </c>
      <c r="T104" s="146" t="n">
        <f aca="false">-T95-T96</f>
        <v>1421165.6768</v>
      </c>
      <c r="U104" s="146" t="n">
        <f aca="false">-U95-U96</f>
        <v>1414864.21376</v>
      </c>
      <c r="V104" s="146" t="n">
        <f aca="false">-V95-V96</f>
        <v>1408562.75072</v>
      </c>
      <c r="W104" s="146" t="n">
        <f aca="false">-W95-W96</f>
        <v>1402261.28768</v>
      </c>
      <c r="X104" s="146" t="n">
        <f aca="false">-X95-X96</f>
        <v>592691.644480047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0.0369619204678117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-4404050.3712</v>
      </c>
      <c r="E106" s="146" t="n">
        <f aca="false">E85</f>
        <v>4693.09034666638</v>
      </c>
      <c r="F106" s="146" t="n">
        <f aca="false">F85-F96</f>
        <v>22937.3518933333</v>
      </c>
      <c r="G106" s="146" t="n">
        <f aca="false">G85-G96</f>
        <v>41181.6134399998</v>
      </c>
      <c r="H106" s="146" t="n">
        <f aca="false">H85-H96</f>
        <v>59425.8749866663</v>
      </c>
      <c r="I106" s="146" t="n">
        <f aca="false">I85-I96</f>
        <v>77670.1365333328</v>
      </c>
      <c r="J106" s="146" t="n">
        <f aca="false">J85-J96</f>
        <v>95914.3980799997</v>
      </c>
      <c r="K106" s="146" t="n">
        <f aca="false">K85-K96</f>
        <v>114158.659626666</v>
      </c>
      <c r="L106" s="146" t="n">
        <f aca="false">L85-L96</f>
        <v>132402.921173333</v>
      </c>
      <c r="M106" s="146" t="n">
        <f aca="false">M85-M96</f>
        <v>150647.182719999</v>
      </c>
      <c r="N106" s="146" t="n">
        <f aca="false">N85-N96</f>
        <v>203779.444266666</v>
      </c>
      <c r="O106" s="146" t="n">
        <f aca="false">O85-O96</f>
        <v>222023.705813333</v>
      </c>
      <c r="P106" s="146" t="n">
        <f aca="false">P85-P96</f>
        <v>240267.967359999</v>
      </c>
      <c r="Q106" s="146" t="n">
        <f aca="false">Q85-Q96</f>
        <v>258512.228906666</v>
      </c>
      <c r="R106" s="146" t="n">
        <f aca="false">R85-R96</f>
        <v>276756.490453332</v>
      </c>
      <c r="S106" s="146" t="n">
        <f aca="false">S85-S96</f>
        <v>295000.751999999</v>
      </c>
      <c r="T106" s="146" t="n">
        <f aca="false">T85-T96</f>
        <v>1443664.1264</v>
      </c>
      <c r="U106" s="146" t="n">
        <f aca="false">U85-U96</f>
        <v>1436662.5008</v>
      </c>
      <c r="V106" s="146" t="n">
        <f aca="false">V85-V96</f>
        <v>1429660.8752</v>
      </c>
      <c r="W106" s="146" t="n">
        <f aca="false">W85-W96</f>
        <v>1422659.2496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0.039024354239358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18490640</v>
      </c>
      <c r="E109" s="143" t="n">
        <f aca="false">D109+E93</f>
        <v>17257930.6666667</v>
      </c>
      <c r="F109" s="143" t="n">
        <f aca="false">E109+F93</f>
        <v>16025221.3333333</v>
      </c>
      <c r="G109" s="143" t="n">
        <f aca="false">F109+G93</f>
        <v>14792512</v>
      </c>
      <c r="H109" s="143" t="n">
        <f aca="false">G109+H93</f>
        <v>13559802.6666667</v>
      </c>
      <c r="I109" s="143" t="n">
        <f aca="false">H109+I93</f>
        <v>12327093.3333334</v>
      </c>
      <c r="J109" s="143" t="n">
        <f aca="false">I109+J93</f>
        <v>11094384</v>
      </c>
      <c r="K109" s="143" t="n">
        <f aca="false">J109+K93</f>
        <v>9861674.66666669</v>
      </c>
      <c r="L109" s="143" t="n">
        <f aca="false">K109+L93</f>
        <v>8628965.33333336</v>
      </c>
      <c r="M109" s="143" t="n">
        <f aca="false">L109+M93</f>
        <v>7396256.00000003</v>
      </c>
      <c r="N109" s="143" t="n">
        <f aca="false">M109+N93</f>
        <v>6163546.6666667</v>
      </c>
      <c r="O109" s="143" t="n">
        <f aca="false">N109+O93</f>
        <v>4930837.33333337</v>
      </c>
      <c r="P109" s="143" t="n">
        <f aca="false">O109+P93</f>
        <v>3698128.00000004</v>
      </c>
      <c r="Q109" s="143" t="n">
        <f aca="false">P109+Q93</f>
        <v>2465418.66666671</v>
      </c>
      <c r="R109" s="143" t="n">
        <f aca="false">Q109+R93</f>
        <v>1232709.33333338</v>
      </c>
      <c r="S109" s="143" t="n">
        <f aca="false">R109+S93</f>
        <v>4.88944351673126E-008</v>
      </c>
      <c r="T109" s="143" t="n">
        <f aca="false">S109+T93</f>
        <v>4.88944351673126E-008</v>
      </c>
      <c r="U109" s="143" t="n">
        <f aca="false">T109+U93</f>
        <v>4.88944351673126E-008</v>
      </c>
      <c r="V109" s="143" t="n">
        <f aca="false">U109+V93</f>
        <v>4.88944351673126E-008</v>
      </c>
      <c r="W109" s="143" t="n">
        <f aca="false">V109+W93</f>
        <v>4.88944351673126E-008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152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153</v>
      </c>
    </row>
    <row r="8" customFormat="false" ht="22.5" hidden="false" customHeight="true" outlineLevel="0" collapsed="false">
      <c r="B8" s="16" t="s">
        <v>14</v>
      </c>
      <c r="E8" s="46"/>
      <c r="M8" s="1" t="s">
        <v>154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82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-21867300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-43173.9</v>
      </c>
      <c r="E49" s="104" t="n">
        <v>-43173.9</v>
      </c>
      <c r="F49" s="104" t="n">
        <v>-43173.9</v>
      </c>
      <c r="G49" s="104" t="n">
        <v>-43173.9</v>
      </c>
      <c r="H49" s="104" t="n">
        <v>-43173.9</v>
      </c>
      <c r="I49" s="104" t="n">
        <v>-43173.9</v>
      </c>
      <c r="J49" s="104" t="n">
        <v>-43173.9</v>
      </c>
      <c r="K49" s="104" t="n">
        <v>-43173.9</v>
      </c>
      <c r="L49" s="104" t="n">
        <v>-43173.9</v>
      </c>
      <c r="M49" s="104" t="n">
        <v>-43173.9</v>
      </c>
      <c r="N49" s="104" t="n">
        <v>-43173.9</v>
      </c>
      <c r="O49" s="104" t="n">
        <v>-43173.9</v>
      </c>
      <c r="P49" s="104" t="n">
        <v>-43173.9</v>
      </c>
      <c r="Q49" s="104" t="n">
        <v>-43173.9</v>
      </c>
      <c r="R49" s="104" t="n">
        <v>-43173.9</v>
      </c>
      <c r="S49" s="104" t="n">
        <v>-43173.9</v>
      </c>
      <c r="T49" s="104" t="n">
        <v>-43173.9</v>
      </c>
      <c r="U49" s="104" t="n">
        <v>-43173.9</v>
      </c>
      <c r="V49" s="104" t="n">
        <v>-43173.9</v>
      </c>
      <c r="W49" s="104" t="n">
        <v>-43173.9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-162307.804</v>
      </c>
      <c r="E54" s="104" t="n">
        <f aca="false">-(E64+E67+E68+E71+E72+E73+E74)*0.2</f>
        <v>-102517.1976</v>
      </c>
      <c r="F54" s="104" t="n">
        <f aca="false">-(F64+F67+F68+F71+F72+F73+F74)*0.2</f>
        <v>-100766.7912</v>
      </c>
      <c r="G54" s="104" t="n">
        <f aca="false">-(G64+G67+G68+G71+G72+G73+G74)*0.2</f>
        <v>-99016.3848</v>
      </c>
      <c r="H54" s="104" t="n">
        <f aca="false">-(H64+H67+H68+H71+H72+H73+H74)*0.2</f>
        <v>-97265.9783999999</v>
      </c>
      <c r="I54" s="104" t="n">
        <f aca="false">-(I64+I67+I68+I71+I72+I73+I74)*0.2</f>
        <v>-95515.5719999999</v>
      </c>
      <c r="J54" s="104" t="n">
        <f aca="false">-(J64+J67+J68+J71+J72+J73+J74)*0.2</f>
        <v>-93765.1656</v>
      </c>
      <c r="K54" s="104" t="n">
        <f aca="false">-(K64+K67+K68+K71+K72+K73+K74)*0.2</f>
        <v>-92014.7592</v>
      </c>
      <c r="L54" s="104" t="n">
        <f aca="false">-(L64+L67+L68+L71+L72+L73+L74)*0.2</f>
        <v>-90264.3527999999</v>
      </c>
      <c r="M54" s="104" t="n">
        <f aca="false">-(M64+M67+M68+M71+M72+M73+M74)*0.2</f>
        <v>-88513.9464</v>
      </c>
      <c r="N54" s="104" t="n">
        <f aca="false">-(N64+N67+N68+N71+N72+N73+N74)*0.2</f>
        <v>-95485.5399999999</v>
      </c>
      <c r="O54" s="104" t="n">
        <f aca="false">-(O64+O67+O68+O71+O72+O73+O74)*0.2</f>
        <v>-93735.1335999999</v>
      </c>
      <c r="P54" s="104" t="n">
        <f aca="false">-(P64+P67+P68+P71+P72+P73+P74)*0.2</f>
        <v>-91984.7271999999</v>
      </c>
      <c r="Q54" s="104" t="n">
        <f aca="false">-(Q64+Q67+Q68+Q71+Q72+Q73+Q74)*0.2</f>
        <v>-90234.3207999999</v>
      </c>
      <c r="R54" s="104" t="n">
        <f aca="false">-(R64+R67+R68+R71+R72+R73+R74)*0.2</f>
        <v>-88483.9143999999</v>
      </c>
      <c r="S54" s="104" t="n">
        <f aca="false">-(S64+S67+S68+S71+S72+S73+S74)*0.2</f>
        <v>-86733.5079999999</v>
      </c>
      <c r="T54" s="104" t="n">
        <f aca="false">-(T64+T67+T68+T71+T72+T73+T74)*0.2</f>
        <v>-84983.1015999999</v>
      </c>
      <c r="U54" s="104" t="n">
        <f aca="false">-(U64+U67+U68+U71+U72+U73+U74)*0.2</f>
        <v>-83232.6951999999</v>
      </c>
      <c r="V54" s="104" t="n">
        <f aca="false">-(V64+V67+V68+V71+V72+V73+V74)*0.2</f>
        <v>-81482.2887999999</v>
      </c>
      <c r="W54" s="104" t="n">
        <f aca="false">-(W64+W67+W68+W71+W72+W73+W74)*0.2</f>
        <v>-79731.8823999999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-21867300</v>
      </c>
      <c r="D55" s="109" t="n">
        <f aca="false">SUM(D41:D54)</f>
        <v>1452395.216</v>
      </c>
      <c r="E55" s="109" t="n">
        <f aca="false">SUM(E41:E54)</f>
        <v>1503433.7904</v>
      </c>
      <c r="F55" s="109" t="n">
        <f aca="false">SUM(F41:F54)</f>
        <v>1496432.1648</v>
      </c>
      <c r="G55" s="109" t="n">
        <f aca="false">SUM(G41:G54)</f>
        <v>1489430.5392</v>
      </c>
      <c r="H55" s="109" t="n">
        <f aca="false">SUM(H41:H54)</f>
        <v>1482428.9136</v>
      </c>
      <c r="I55" s="109" t="n">
        <f aca="false">SUM(I41:I54)</f>
        <v>1475427.288</v>
      </c>
      <c r="J55" s="109" t="n">
        <f aca="false">SUM(J41:J54)</f>
        <v>1468425.6624</v>
      </c>
      <c r="K55" s="109" t="n">
        <f aca="false">SUM(K41:K54)</f>
        <v>1461424.0368</v>
      </c>
      <c r="L55" s="109" t="n">
        <f aca="false">SUM(L41:L54)</f>
        <v>1454422.4112</v>
      </c>
      <c r="M55" s="109" t="n">
        <f aca="false">SUM(M41:M54)</f>
        <v>1447420.7856</v>
      </c>
      <c r="N55" s="109" t="n">
        <f aca="false">SUM(N41:N54)</f>
        <v>1475307.16</v>
      </c>
      <c r="O55" s="109" t="n">
        <f aca="false">SUM(O41:O54)</f>
        <v>1468305.5344</v>
      </c>
      <c r="P55" s="109" t="n">
        <f aca="false">SUM(P41:P54)</f>
        <v>1461303.9088</v>
      </c>
      <c r="Q55" s="109" t="n">
        <f aca="false">SUM(Q41:Q54)</f>
        <v>1454302.2832</v>
      </c>
      <c r="R55" s="109" t="n">
        <f aca="false">SUM(R41:R54)</f>
        <v>1447300.6576</v>
      </c>
      <c r="S55" s="109" t="n">
        <f aca="false">SUM(S41:S54)</f>
        <v>1440299.032</v>
      </c>
      <c r="T55" s="109" t="n">
        <f aca="false">SUM(T41:T54)</f>
        <v>1433297.4064</v>
      </c>
      <c r="U55" s="109" t="n">
        <f aca="false">SUM(U41:U54)</f>
        <v>1426295.7808</v>
      </c>
      <c r="V55" s="109" t="n">
        <f aca="false">SUM(V41:V54)</f>
        <v>1419294.1552</v>
      </c>
      <c r="W55" s="109" t="n">
        <f aca="false">SUM(W41:W54)</f>
        <v>1412292.5296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-20414904.784</v>
      </c>
      <c r="E56" s="114" t="n">
        <f aca="false">D56+E55</f>
        <v>-18911470.9936</v>
      </c>
      <c r="F56" s="114" t="n">
        <f aca="false">E56+F55</f>
        <v>-17415038.8288</v>
      </c>
      <c r="G56" s="114" t="n">
        <f aca="false">F56+G55</f>
        <v>-15925608.2896</v>
      </c>
      <c r="H56" s="114" t="n">
        <f aca="false">G56+H55</f>
        <v>-14443179.376</v>
      </c>
      <c r="I56" s="114" t="n">
        <f aca="false">H56+I55</f>
        <v>-12967752.088</v>
      </c>
      <c r="J56" s="114" t="n">
        <f aca="false">I56+J55</f>
        <v>-11499326.4256</v>
      </c>
      <c r="K56" s="114" t="n">
        <f aca="false">J56+K55</f>
        <v>-10037902.3888</v>
      </c>
      <c r="L56" s="114" t="n">
        <f aca="false">K56+L55</f>
        <v>-8583479.9776</v>
      </c>
      <c r="M56" s="114" t="n">
        <f aca="false">L56+M55</f>
        <v>-7136059.192</v>
      </c>
      <c r="N56" s="114" t="n">
        <f aca="false">M56+N55</f>
        <v>-5660752.032</v>
      </c>
      <c r="O56" s="114" t="n">
        <f aca="false">N56+O55</f>
        <v>-4192446.4976</v>
      </c>
      <c r="P56" s="114" t="n">
        <f aca="false">O56+P55</f>
        <v>-2731142.5888</v>
      </c>
      <c r="Q56" s="114" t="n">
        <f aca="false">P56+Q55</f>
        <v>-1276840.3056</v>
      </c>
      <c r="R56" s="114" t="n">
        <f aca="false">Q56+R55</f>
        <v>170460.351999998</v>
      </c>
      <c r="S56" s="114" t="n">
        <f aca="false">R56+S55</f>
        <v>1610759.384</v>
      </c>
      <c r="T56" s="114" t="n">
        <f aca="false">S56+T55</f>
        <v>3044056.7904</v>
      </c>
      <c r="U56" s="114" t="n">
        <f aca="false">T56+U55</f>
        <v>4470352.5712</v>
      </c>
      <c r="V56" s="114" t="n">
        <f aca="false">U56+V55</f>
        <v>5889646.7264</v>
      </c>
      <c r="W56" s="114" t="n">
        <f aca="false">V56+W55</f>
        <v>7301939.256</v>
      </c>
      <c r="X56" s="114" t="n">
        <f aca="false">W56+X55</f>
        <v>7301939.256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0.0294081119478283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-1093365</v>
      </c>
      <c r="E67" s="127" t="n">
        <f aca="false">$C$44/$E$16</f>
        <v>-1093365</v>
      </c>
      <c r="F67" s="127" t="n">
        <f aca="false">$C$44/$E$16</f>
        <v>-1093365</v>
      </c>
      <c r="G67" s="127" t="n">
        <f aca="false">$C$44/$E$16</f>
        <v>-1093365</v>
      </c>
      <c r="H67" s="127" t="n">
        <f aca="false">$C$44/$E$16</f>
        <v>-1093365</v>
      </c>
      <c r="I67" s="127" t="n">
        <f aca="false">$C$44/$E$16</f>
        <v>-1093365</v>
      </c>
      <c r="J67" s="127" t="n">
        <f aca="false">$C$44/$E$16</f>
        <v>-1093365</v>
      </c>
      <c r="K67" s="127" t="n">
        <f aca="false">$C$44/$E$16</f>
        <v>-1093365</v>
      </c>
      <c r="L67" s="127" t="n">
        <f aca="false">$C$44/$E$16</f>
        <v>-1093365</v>
      </c>
      <c r="M67" s="127" t="n">
        <f aca="false">$C$44/$E$16</f>
        <v>-1093365</v>
      </c>
      <c r="N67" s="127" t="n">
        <f aca="false">$C$44/$E$16</f>
        <v>-1093365</v>
      </c>
      <c r="O67" s="127" t="n">
        <f aca="false">$C$44/$E$16</f>
        <v>-1093365</v>
      </c>
      <c r="P67" s="127" t="n">
        <f aca="false">$C$44/$E$16</f>
        <v>-1093365</v>
      </c>
      <c r="Q67" s="127" t="n">
        <f aca="false">$C$44/$E$16</f>
        <v>-1093365</v>
      </c>
      <c r="R67" s="127" t="n">
        <f aca="false">$C$44/$E$16</f>
        <v>-1093365</v>
      </c>
      <c r="S67" s="127" t="n">
        <f aca="false">$C$44/$E$16</f>
        <v>-1093365</v>
      </c>
      <c r="T67" s="127" t="n">
        <f aca="false">$C$44/$E$16</f>
        <v>-1093365</v>
      </c>
      <c r="U67" s="127" t="n">
        <f aca="false">$C$44/$E$16</f>
        <v>-1093365</v>
      </c>
      <c r="V67" s="127" t="n">
        <f aca="false">$C$44/$E$16</f>
        <v>-1093365</v>
      </c>
      <c r="W67" s="127" t="n">
        <f aca="false">$C$44/$E$16</f>
        <v>-1093365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-447842.304</v>
      </c>
      <c r="E70" s="104" t="n">
        <f aca="false">-E109*$D25</f>
        <v>-417986.1504</v>
      </c>
      <c r="F70" s="104" t="n">
        <f aca="false">-F109*$D25</f>
        <v>-388129.9968</v>
      </c>
      <c r="G70" s="104" t="n">
        <f aca="false">-G109*$D25</f>
        <v>-358273.8432</v>
      </c>
      <c r="H70" s="104" t="n">
        <f aca="false">-H109*$D25</f>
        <v>-328417.6896</v>
      </c>
      <c r="I70" s="104" t="n">
        <f aca="false">-I109*$D25</f>
        <v>-298561.536</v>
      </c>
      <c r="J70" s="104" t="n">
        <f aca="false">-J109*$D25</f>
        <v>-268705.3824</v>
      </c>
      <c r="K70" s="104" t="n">
        <f aca="false">-K109*$D25</f>
        <v>-238849.2288</v>
      </c>
      <c r="L70" s="104" t="n">
        <f aca="false">-L109*$D25</f>
        <v>-208993.0752</v>
      </c>
      <c r="M70" s="104" t="n">
        <f aca="false">-M109*$D25</f>
        <v>-179136.9216</v>
      </c>
      <c r="N70" s="104" t="n">
        <f aca="false">-N109*$D25</f>
        <v>-149280.768</v>
      </c>
      <c r="O70" s="104" t="n">
        <f aca="false">-O109*$D25</f>
        <v>-119424.6144</v>
      </c>
      <c r="P70" s="104" t="n">
        <f aca="false">-P109*$D25</f>
        <v>-89568.4608000001</v>
      </c>
      <c r="Q70" s="104" t="n">
        <f aca="false">-Q109*$D25</f>
        <v>-59712.3072000001</v>
      </c>
      <c r="R70" s="104" t="n">
        <f aca="false">-R109*$D25</f>
        <v>-29856.1536000001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-43173.9</v>
      </c>
      <c r="E72" s="104" t="n">
        <f aca="false">E49</f>
        <v>-43173.9</v>
      </c>
      <c r="F72" s="104" t="n">
        <f aca="false">F49</f>
        <v>-43173.9</v>
      </c>
      <c r="G72" s="104" t="n">
        <f aca="false">G49</f>
        <v>-43173.9</v>
      </c>
      <c r="H72" s="104" t="n">
        <f aca="false">H49</f>
        <v>-43173.9</v>
      </c>
      <c r="I72" s="104" t="n">
        <f aca="false">I49</f>
        <v>-43173.9</v>
      </c>
      <c r="J72" s="104" t="n">
        <f aca="false">J49</f>
        <v>-43173.9</v>
      </c>
      <c r="K72" s="104" t="n">
        <f aca="false">K49</f>
        <v>-43173.9</v>
      </c>
      <c r="L72" s="104" t="n">
        <f aca="false">L49</f>
        <v>-43173.9</v>
      </c>
      <c r="M72" s="104" t="n">
        <f aca="false">M49</f>
        <v>-43173.9</v>
      </c>
      <c r="N72" s="104" t="n">
        <f aca="false">N49</f>
        <v>-43173.9</v>
      </c>
      <c r="O72" s="104" t="n">
        <f aca="false">O49</f>
        <v>-43173.9</v>
      </c>
      <c r="P72" s="104" t="n">
        <f aca="false">P49</f>
        <v>-43173.9</v>
      </c>
      <c r="Q72" s="104" t="n">
        <f aca="false">Q49</f>
        <v>-43173.9</v>
      </c>
      <c r="R72" s="104" t="n">
        <f aca="false">R49</f>
        <v>-43173.9</v>
      </c>
      <c r="S72" s="104" t="n">
        <f aca="false">S49</f>
        <v>-43173.9</v>
      </c>
      <c r="T72" s="104" t="n">
        <f aca="false">T49</f>
        <v>-43173.9</v>
      </c>
      <c r="U72" s="104" t="n">
        <f aca="false">U49</f>
        <v>-43173.9</v>
      </c>
      <c r="V72" s="104" t="n">
        <f aca="false">V49</f>
        <v>-43173.9</v>
      </c>
      <c r="W72" s="104" t="n">
        <f aca="false">W49</f>
        <v>-43173.9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363696.716</v>
      </c>
      <c r="E76" s="109" t="n">
        <f aca="false">SUM(E64:E75)</f>
        <v>94599.8375999995</v>
      </c>
      <c r="F76" s="109" t="n">
        <f aca="false">SUM(F64:F75)</f>
        <v>115703.9592</v>
      </c>
      <c r="G76" s="109" t="n">
        <f aca="false">SUM(G64:G75)</f>
        <v>136808.0808</v>
      </c>
      <c r="H76" s="109" t="n">
        <f aca="false">SUM(H64:H75)</f>
        <v>157912.2024</v>
      </c>
      <c r="I76" s="109" t="n">
        <f aca="false">SUM(I64:I75)</f>
        <v>179016.323999999</v>
      </c>
      <c r="J76" s="109" t="n">
        <f aca="false">SUM(J64:J75)</f>
        <v>200120.4456</v>
      </c>
      <c r="K76" s="109" t="n">
        <f aca="false">SUM(K64:K75)</f>
        <v>221224.5672</v>
      </c>
      <c r="L76" s="109" t="n">
        <f aca="false">SUM(L64:L75)</f>
        <v>242328.6888</v>
      </c>
      <c r="M76" s="109" t="n">
        <f aca="false">SUM(M64:M75)</f>
        <v>263432.8104</v>
      </c>
      <c r="N76" s="109" t="n">
        <f aca="false">SUM(N64:N75)</f>
        <v>328146.932</v>
      </c>
      <c r="O76" s="109" t="n">
        <f aca="false">SUM(O64:O75)</f>
        <v>349251.0536</v>
      </c>
      <c r="P76" s="109" t="n">
        <f aca="false">SUM(P64:P75)</f>
        <v>370355.1752</v>
      </c>
      <c r="Q76" s="109" t="n">
        <f aca="false">SUM(Q64:Q75)</f>
        <v>391459.2968</v>
      </c>
      <c r="R76" s="109" t="n">
        <f aca="false">SUM(R64:R75)</f>
        <v>412563.4184</v>
      </c>
      <c r="S76" s="109" t="n">
        <f aca="false">SUM(S64:S75)</f>
        <v>433667.54</v>
      </c>
      <c r="T76" s="109" t="n">
        <f aca="false">SUM(T64:T75)</f>
        <v>424915.508</v>
      </c>
      <c r="U76" s="109" t="n">
        <f aca="false">SUM(U64:U75)</f>
        <v>416163.476</v>
      </c>
      <c r="V76" s="109" t="n">
        <f aca="false">SUM(V64:V75)</f>
        <v>407411.444</v>
      </c>
      <c r="W76" s="109" t="n">
        <f aca="false">SUM(W64:W75)</f>
        <v>398659.412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-72739.3431999999</v>
      </c>
      <c r="E77" s="104" t="n">
        <f aca="false">-E76*0.2</f>
        <v>-18919.9675199999</v>
      </c>
      <c r="F77" s="104" t="n">
        <f aca="false">-F76*0.2</f>
        <v>-23140.79184</v>
      </c>
      <c r="G77" s="104" t="n">
        <f aca="false">-G76*0.2</f>
        <v>-27361.6161599999</v>
      </c>
      <c r="H77" s="104" t="n">
        <f aca="false">-H76*0.2</f>
        <v>-31582.4404799999</v>
      </c>
      <c r="I77" s="104" t="n">
        <f aca="false">-I76*0.2</f>
        <v>-35803.2647999999</v>
      </c>
      <c r="J77" s="104" t="n">
        <f aca="false">-J76*0.2</f>
        <v>-40024.08912</v>
      </c>
      <c r="K77" s="104" t="n">
        <f aca="false">-K76*0.2</f>
        <v>-44244.9134399999</v>
      </c>
      <c r="L77" s="104" t="n">
        <f aca="false">-L76*0.2</f>
        <v>-48465.7377599999</v>
      </c>
      <c r="M77" s="104" t="n">
        <f aca="false">-M76*0.2</f>
        <v>-52686.5620799999</v>
      </c>
      <c r="N77" s="104" t="n">
        <f aca="false">-N76*0.2</f>
        <v>-65629.3863999999</v>
      </c>
      <c r="O77" s="104" t="n">
        <f aca="false">-O76*0.2</f>
        <v>-69850.2107199999</v>
      </c>
      <c r="P77" s="104" t="n">
        <f aca="false">-P76*0.2</f>
        <v>-74071.0350399999</v>
      </c>
      <c r="Q77" s="104" t="n">
        <f aca="false">-Q76*0.2</f>
        <v>-78291.8593599999</v>
      </c>
      <c r="R77" s="104" t="n">
        <f aca="false">-R76*0.2</f>
        <v>-82512.6836799999</v>
      </c>
      <c r="S77" s="104" t="n">
        <f aca="false">-S76*0.2</f>
        <v>-86733.5079999999</v>
      </c>
      <c r="T77" s="104" t="n">
        <f aca="false">-T76*0.2</f>
        <v>-84983.1015999999</v>
      </c>
      <c r="U77" s="104" t="n">
        <f aca="false">-U76*0.2</f>
        <v>-83232.6951999999</v>
      </c>
      <c r="V77" s="104" t="n">
        <f aca="false">-V76*0.2</f>
        <v>-81482.2887999999</v>
      </c>
      <c r="W77" s="104" t="n">
        <f aca="false">-W76*0.2</f>
        <v>-79731.8823999999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290957.3728</v>
      </c>
      <c r="E78" s="104" t="n">
        <f aca="false">SUM(E76:E77)</f>
        <v>75679.8700799996</v>
      </c>
      <c r="F78" s="104" t="n">
        <f aca="false">SUM(F76:F77)</f>
        <v>92563.1673599998</v>
      </c>
      <c r="G78" s="104" t="n">
        <f aca="false">SUM(G76:G77)</f>
        <v>109446.46464</v>
      </c>
      <c r="H78" s="104" t="n">
        <f aca="false">SUM(H76:H77)</f>
        <v>126329.76192</v>
      </c>
      <c r="I78" s="104" t="n">
        <f aca="false">SUM(I76:I77)</f>
        <v>143213.0592</v>
      </c>
      <c r="J78" s="104" t="n">
        <f aca="false">SUM(J76:J77)</f>
        <v>160096.35648</v>
      </c>
      <c r="K78" s="104" t="n">
        <f aca="false">SUM(K76:K77)</f>
        <v>176979.65376</v>
      </c>
      <c r="L78" s="104" t="n">
        <f aca="false">SUM(L76:L77)</f>
        <v>193862.95104</v>
      </c>
      <c r="M78" s="104" t="n">
        <f aca="false">SUM(M76:M77)</f>
        <v>210746.24832</v>
      </c>
      <c r="N78" s="104" t="n">
        <f aca="false">SUM(N76:N77)</f>
        <v>262517.5456</v>
      </c>
      <c r="O78" s="104" t="n">
        <f aca="false">SUM(O76:O77)</f>
        <v>279400.84288</v>
      </c>
      <c r="P78" s="104" t="n">
        <f aca="false">SUM(P76:P77)</f>
        <v>296284.14016</v>
      </c>
      <c r="Q78" s="104" t="n">
        <f aca="false">SUM(Q76:Q77)</f>
        <v>313167.43744</v>
      </c>
      <c r="R78" s="104" t="n">
        <f aca="false">SUM(R76:R77)</f>
        <v>330050.73472</v>
      </c>
      <c r="S78" s="104" t="n">
        <f aca="false">SUM(S76:S77)</f>
        <v>346934.032</v>
      </c>
      <c r="T78" s="104" t="n">
        <f aca="false">SUM(T76:T77)</f>
        <v>339932.4064</v>
      </c>
      <c r="U78" s="104" t="n">
        <f aca="false">SUM(U76:U77)</f>
        <v>332930.7808</v>
      </c>
      <c r="V78" s="104" t="n">
        <f aca="false">SUM(V76:V77)</f>
        <v>325929.1552</v>
      </c>
      <c r="W78" s="104" t="n">
        <f aca="false">SUM(W76:W77)</f>
        <v>318927.5296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290957.3728</v>
      </c>
      <c r="E85" s="143" t="n">
        <f aca="false">E78</f>
        <v>75679.8700799996</v>
      </c>
      <c r="F85" s="143" t="n">
        <f aca="false">F78</f>
        <v>92563.1673599998</v>
      </c>
      <c r="G85" s="143" t="n">
        <f aca="false">G78</f>
        <v>109446.46464</v>
      </c>
      <c r="H85" s="143" t="n">
        <f aca="false">H78</f>
        <v>126329.76192</v>
      </c>
      <c r="I85" s="143" t="n">
        <f aca="false">I78</f>
        <v>143213.0592</v>
      </c>
      <c r="J85" s="143" t="n">
        <f aca="false">J78</f>
        <v>160096.35648</v>
      </c>
      <c r="K85" s="143" t="n">
        <f aca="false">K78</f>
        <v>176979.65376</v>
      </c>
      <c r="L85" s="143" t="n">
        <f aca="false">L78</f>
        <v>193862.95104</v>
      </c>
      <c r="M85" s="143" t="n">
        <f aca="false">M78</f>
        <v>210746.24832</v>
      </c>
      <c r="N85" s="143" t="n">
        <f aca="false">N78</f>
        <v>262517.5456</v>
      </c>
      <c r="O85" s="143" t="n">
        <f aca="false">O78</f>
        <v>279400.84288</v>
      </c>
      <c r="P85" s="143" t="n">
        <f aca="false">P78</f>
        <v>296284.14016</v>
      </c>
      <c r="Q85" s="143" t="n">
        <f aca="false">Q78</f>
        <v>313167.43744</v>
      </c>
      <c r="R85" s="143" t="n">
        <f aca="false">R78</f>
        <v>330050.73472</v>
      </c>
      <c r="S85" s="143" t="n">
        <f aca="false">S78</f>
        <v>346934.032</v>
      </c>
      <c r="T85" s="143" t="n">
        <f aca="false">T78</f>
        <v>339932.4064</v>
      </c>
      <c r="U85" s="143" t="n">
        <f aca="false">U78</f>
        <v>332930.7808</v>
      </c>
      <c r="V85" s="143" t="n">
        <f aca="false">V78</f>
        <v>325929.1552</v>
      </c>
      <c r="W85" s="143" t="n">
        <f aca="false">W78</f>
        <v>318927.5296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1093365</v>
      </c>
      <c r="E86" s="144" t="n">
        <f aca="false">-E67</f>
        <v>1093365</v>
      </c>
      <c r="F86" s="144" t="n">
        <f aca="false">-F67</f>
        <v>1093365</v>
      </c>
      <c r="G86" s="144" t="n">
        <f aca="false">-G67</f>
        <v>1093365</v>
      </c>
      <c r="H86" s="144" t="n">
        <f aca="false">-H67</f>
        <v>1093365</v>
      </c>
      <c r="I86" s="144" t="n">
        <f aca="false">-I67</f>
        <v>1093365</v>
      </c>
      <c r="J86" s="144" t="n">
        <f aca="false">-J67</f>
        <v>1093365</v>
      </c>
      <c r="K86" s="144" t="n">
        <f aca="false">-K67</f>
        <v>1093365</v>
      </c>
      <c r="L86" s="144" t="n">
        <f aca="false">-L67</f>
        <v>1093365</v>
      </c>
      <c r="M86" s="144" t="n">
        <f aca="false">-M67</f>
        <v>1093365</v>
      </c>
      <c r="N86" s="144" t="n">
        <f aca="false">-N67</f>
        <v>1093365</v>
      </c>
      <c r="O86" s="144" t="n">
        <f aca="false">-O67</f>
        <v>1093365</v>
      </c>
      <c r="P86" s="144" t="n">
        <f aca="false">-P67</f>
        <v>1093365</v>
      </c>
      <c r="Q86" s="144" t="n">
        <f aca="false">-Q67</f>
        <v>1093365</v>
      </c>
      <c r="R86" s="144" t="n">
        <f aca="false">-R67</f>
        <v>1093365</v>
      </c>
      <c r="S86" s="144" t="n">
        <f aca="false">-S67</f>
        <v>1093365</v>
      </c>
      <c r="T86" s="144" t="n">
        <f aca="false">-T67</f>
        <v>1093365</v>
      </c>
      <c r="U86" s="144" t="n">
        <f aca="false">-U67</f>
        <v>1093365</v>
      </c>
      <c r="V86" s="144" t="n">
        <f aca="false">-V67</f>
        <v>1093365</v>
      </c>
      <c r="W86" s="144" t="n">
        <f aca="false">-W67</f>
        <v>1093365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1384322.3728</v>
      </c>
      <c r="E87" s="146" t="n">
        <f aca="false">SUM(E85:E86)</f>
        <v>1169044.87008</v>
      </c>
      <c r="F87" s="146" t="n">
        <f aca="false">SUM(F85:F86)</f>
        <v>1185928.16736</v>
      </c>
      <c r="G87" s="146" t="n">
        <f aca="false">SUM(G85:G86)</f>
        <v>1202811.46464</v>
      </c>
      <c r="H87" s="146" t="n">
        <f aca="false">SUM(H85:H86)</f>
        <v>1219694.76192</v>
      </c>
      <c r="I87" s="146" t="n">
        <f aca="false">SUM(I85:I86)</f>
        <v>1236578.0592</v>
      </c>
      <c r="J87" s="146" t="n">
        <f aca="false">SUM(J85:J86)</f>
        <v>1253461.35648</v>
      </c>
      <c r="K87" s="146" t="n">
        <f aca="false">SUM(K85:K86)</f>
        <v>1270344.65376</v>
      </c>
      <c r="L87" s="146" t="n">
        <f aca="false">SUM(L85:L86)</f>
        <v>1287227.95104</v>
      </c>
      <c r="M87" s="146" t="n">
        <f aca="false">SUM(M85:M86)</f>
        <v>1304111.24832</v>
      </c>
      <c r="N87" s="146" t="n">
        <f aca="false">SUM(N85:N86)</f>
        <v>1355882.5456</v>
      </c>
      <c r="O87" s="146" t="n">
        <f aca="false">SUM(O85:O86)</f>
        <v>1372765.84288</v>
      </c>
      <c r="P87" s="146" t="n">
        <f aca="false">SUM(P85:P86)</f>
        <v>1389649.14016</v>
      </c>
      <c r="Q87" s="146" t="n">
        <f aca="false">SUM(Q85:Q86)</f>
        <v>1406532.43744</v>
      </c>
      <c r="R87" s="146" t="n">
        <f aca="false">SUM(R85:R86)</f>
        <v>1423415.73472</v>
      </c>
      <c r="S87" s="146" t="n">
        <f aca="false">SUM(S85:S86)</f>
        <v>1440299.032</v>
      </c>
      <c r="T87" s="146" t="n">
        <f aca="false">SUM(T85:T86)</f>
        <v>1433297.4064</v>
      </c>
      <c r="U87" s="146" t="n">
        <f aca="false">SUM(U85:U86)</f>
        <v>1426295.7808</v>
      </c>
      <c r="V87" s="146" t="n">
        <f aca="false">SUM(V85:V86)</f>
        <v>1419294.1552</v>
      </c>
      <c r="W87" s="146" t="n">
        <f aca="false">SUM(W85:W86)</f>
        <v>1412292.5296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-21867300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17493840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-1166256</v>
      </c>
      <c r="F93" s="152" t="n">
        <v>-1166256</v>
      </c>
      <c r="G93" s="152" t="n">
        <v>-1166256</v>
      </c>
      <c r="H93" s="152" t="n">
        <v>-1166256</v>
      </c>
      <c r="I93" s="152" t="n">
        <v>-1166256</v>
      </c>
      <c r="J93" s="152" t="n">
        <v>-1166256</v>
      </c>
      <c r="K93" s="152" t="n">
        <v>-1166256</v>
      </c>
      <c r="L93" s="152" t="n">
        <v>-1166256</v>
      </c>
      <c r="M93" s="152" t="n">
        <v>-1166256</v>
      </c>
      <c r="N93" s="152" t="n">
        <v>-1166256</v>
      </c>
      <c r="O93" s="152" t="n">
        <v>-1166256</v>
      </c>
      <c r="P93" s="152" t="n">
        <v>-1166256</v>
      </c>
      <c r="Q93" s="152" t="n">
        <v>-1166256</v>
      </c>
      <c r="R93" s="152" t="n">
        <v>-1166256</v>
      </c>
      <c r="S93" s="152" t="n">
        <v>-1166256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4373460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-261861.63552</v>
      </c>
      <c r="F95" s="153" t="n">
        <f aca="false">-E85*$D$33</f>
        <v>-68111.8830719996</v>
      </c>
      <c r="G95" s="153" t="n">
        <f aca="false">-F85*$D$33</f>
        <v>-83306.8506239998</v>
      </c>
      <c r="H95" s="153" t="n">
        <f aca="false">-G85*$D$33</f>
        <v>-98501.8181759998</v>
      </c>
      <c r="I95" s="153" t="n">
        <f aca="false">-H85*$D$33</f>
        <v>-113696.785728</v>
      </c>
      <c r="J95" s="153" t="n">
        <f aca="false">-I85*$D$33</f>
        <v>-128891.75328</v>
      </c>
      <c r="K95" s="153" t="n">
        <f aca="false">-J85*$D$33</f>
        <v>-144086.720832</v>
      </c>
      <c r="L95" s="153" t="n">
        <f aca="false">-K85*$D$33</f>
        <v>-159281.688384</v>
      </c>
      <c r="M95" s="153" t="n">
        <f aca="false">-L85*$D$33</f>
        <v>-174476.655936</v>
      </c>
      <c r="N95" s="153" t="n">
        <f aca="false">-M85*$D$33</f>
        <v>-189671.623488</v>
      </c>
      <c r="O95" s="153" t="n">
        <f aca="false">-N85*$D$33</f>
        <v>-236265.79104</v>
      </c>
      <c r="P95" s="153" t="n">
        <f aca="false">-O85*$D$33</f>
        <v>-251460.758592</v>
      </c>
      <c r="Q95" s="153" t="n">
        <f aca="false">-P85*$D$33</f>
        <v>-266655.726144</v>
      </c>
      <c r="R95" s="153" t="n">
        <f aca="false">-Q85*$D$33</f>
        <v>-281850.693696</v>
      </c>
      <c r="S95" s="153" t="n">
        <f aca="false">-R85*$D$33</f>
        <v>-297045.661248</v>
      </c>
      <c r="T95" s="153" t="n">
        <f aca="false">-S85*$D$33</f>
        <v>-312240.6288</v>
      </c>
      <c r="U95" s="153" t="n">
        <f aca="false">-T85*$D$33</f>
        <v>-305939.16576</v>
      </c>
      <c r="V95" s="153" t="n">
        <f aca="false">-U85*$D$33</f>
        <v>-299637.70272</v>
      </c>
      <c r="W95" s="153" t="n">
        <f aca="false">-V85*$D$33</f>
        <v>-293336.23968</v>
      </c>
      <c r="X95" s="153" t="n">
        <f aca="false">-W85*$D$33</f>
        <v>-287034.77664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-1093365</v>
      </c>
      <c r="U96" s="156" t="n">
        <v>-1093365</v>
      </c>
      <c r="V96" s="156" t="n">
        <v>-1093365</v>
      </c>
      <c r="W96" s="156" t="n">
        <v>-1093365</v>
      </c>
      <c r="X96" s="157" t="n">
        <f aca="false">-W101-X95</f>
        <v>-472594.951040004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1384322.3728</v>
      </c>
      <c r="E99" s="143" t="n">
        <f aca="false">SUM(E87:E96)</f>
        <v>-259072.76544</v>
      </c>
      <c r="F99" s="143" t="n">
        <f aca="false">SUM(F87:F96)</f>
        <v>-48439.7157119996</v>
      </c>
      <c r="G99" s="143" t="n">
        <f aca="false">SUM(G87:G96)</f>
        <v>-46751.3859839999</v>
      </c>
      <c r="H99" s="143" t="n">
        <f aca="false">SUM(H87:H96)</f>
        <v>-45063.0562559998</v>
      </c>
      <c r="I99" s="143" t="n">
        <f aca="false">SUM(I87:I96)</f>
        <v>-43374.7265279999</v>
      </c>
      <c r="J99" s="143" t="n">
        <f aca="false">SUM(J87:J96)</f>
        <v>-41686.3967999995</v>
      </c>
      <c r="K99" s="143" t="n">
        <f aca="false">SUM(K87:K96)</f>
        <v>-39998.067072</v>
      </c>
      <c r="L99" s="143" t="n">
        <f aca="false">SUM(L87:L96)</f>
        <v>-38309.7373439998</v>
      </c>
      <c r="M99" s="143" t="n">
        <f aca="false">SUM(M87:M96)</f>
        <v>-36621.4076159997</v>
      </c>
      <c r="N99" s="143" t="n">
        <f aca="false">SUM(N87:N96)</f>
        <v>-45.0778879998834</v>
      </c>
      <c r="O99" s="143" t="n">
        <f aca="false">SUM(O87:O96)</f>
        <v>-29755.9481599998</v>
      </c>
      <c r="P99" s="143" t="n">
        <f aca="false">SUM(P87:P96)</f>
        <v>-28067.6184319998</v>
      </c>
      <c r="Q99" s="143" t="n">
        <f aca="false">SUM(Q87:Q96)</f>
        <v>-26379.2887039997</v>
      </c>
      <c r="R99" s="143" t="n">
        <f aca="false">SUM(R87:R96)</f>
        <v>-24690.9589759999</v>
      </c>
      <c r="S99" s="143" t="n">
        <f aca="false">SUM(S87:S96)</f>
        <v>-23002.6292479995</v>
      </c>
      <c r="T99" s="143" t="n">
        <f aca="false">SUM(T87:T96)</f>
        <v>27691.7775999999</v>
      </c>
      <c r="U99" s="143" t="n">
        <f aca="false">SUM(U87:U96)</f>
        <v>26991.6150400001</v>
      </c>
      <c r="V99" s="143" t="n">
        <f aca="false">SUM(V87:V96)</f>
        <v>26291.4524800002</v>
      </c>
      <c r="W99" s="143" t="n">
        <f aca="false">SUM(W87:W96)</f>
        <v>25591.2899200004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1384322.3728</v>
      </c>
      <c r="F100" s="143" t="n">
        <f aca="false">E101</f>
        <v>1125249.60736</v>
      </c>
      <c r="G100" s="143" t="n">
        <f aca="false">F101</f>
        <v>1076809.891648</v>
      </c>
      <c r="H100" s="143" t="n">
        <f aca="false">G101</f>
        <v>1030058.505664</v>
      </c>
      <c r="I100" s="143" t="n">
        <f aca="false">H101</f>
        <v>984995.449408001</v>
      </c>
      <c r="J100" s="143" t="n">
        <f aca="false">I101</f>
        <v>941620.722880001</v>
      </c>
      <c r="K100" s="143" t="n">
        <f aca="false">J101</f>
        <v>899934.326080001</v>
      </c>
      <c r="L100" s="143" t="n">
        <f aca="false">K101</f>
        <v>859936.259008002</v>
      </c>
      <c r="M100" s="143" t="n">
        <f aca="false">L101</f>
        <v>821626.521664002</v>
      </c>
      <c r="N100" s="143" t="n">
        <f aca="false">M101</f>
        <v>785005.114048002</v>
      </c>
      <c r="O100" s="143" t="n">
        <f aca="false">N101</f>
        <v>784960.036160002</v>
      </c>
      <c r="P100" s="143" t="n">
        <f aca="false">O101</f>
        <v>755204.088000002</v>
      </c>
      <c r="Q100" s="143" t="n">
        <f aca="false">P101</f>
        <v>727136.469568003</v>
      </c>
      <c r="R100" s="143" t="n">
        <f aca="false">Q101</f>
        <v>700757.180864003</v>
      </c>
      <c r="S100" s="143" t="n">
        <f aca="false">R101</f>
        <v>676066.221888003</v>
      </c>
      <c r="T100" s="143" t="n">
        <f aca="false">S101</f>
        <v>653063.592640004</v>
      </c>
      <c r="U100" s="143" t="n">
        <f aca="false">T101</f>
        <v>680755.370240004</v>
      </c>
      <c r="V100" s="143" t="n">
        <f aca="false">U101</f>
        <v>707746.985280004</v>
      </c>
      <c r="W100" s="143" t="n">
        <f aca="false">V101</f>
        <v>734038.437760004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1384322.3728</v>
      </c>
      <c r="E101" s="143" t="n">
        <f aca="false">E99+E100</f>
        <v>1125249.60736</v>
      </c>
      <c r="F101" s="143" t="n">
        <f aca="false">F99+F100</f>
        <v>1076809.891648</v>
      </c>
      <c r="G101" s="143" t="n">
        <f aca="false">G99+G100</f>
        <v>1030058.505664</v>
      </c>
      <c r="H101" s="143" t="n">
        <f aca="false">H99+H100</f>
        <v>984995.449408001</v>
      </c>
      <c r="I101" s="143" t="n">
        <f aca="false">I99+I100</f>
        <v>941620.722880001</v>
      </c>
      <c r="J101" s="143" t="n">
        <f aca="false">J99+J100</f>
        <v>899934.326080001</v>
      </c>
      <c r="K101" s="143" t="n">
        <f aca="false">K99+K100</f>
        <v>859936.259008002</v>
      </c>
      <c r="L101" s="143" t="n">
        <f aca="false">L99+L100</f>
        <v>821626.521664002</v>
      </c>
      <c r="M101" s="143" t="n">
        <f aca="false">M99+M100</f>
        <v>785005.114048002</v>
      </c>
      <c r="N101" s="143" t="n">
        <f aca="false">N99+N100</f>
        <v>784960.036160002</v>
      </c>
      <c r="O101" s="143" t="n">
        <f aca="false">O99+O100</f>
        <v>755204.088000002</v>
      </c>
      <c r="P101" s="143" t="n">
        <f aca="false">P99+P100</f>
        <v>727136.469568003</v>
      </c>
      <c r="Q101" s="143" t="n">
        <f aca="false">Q99+Q100</f>
        <v>700757.180864003</v>
      </c>
      <c r="R101" s="143" t="n">
        <f aca="false">R99+R100</f>
        <v>676066.221888003</v>
      </c>
      <c r="S101" s="143" t="n">
        <f aca="false">S99+S100</f>
        <v>653063.592640004</v>
      </c>
      <c r="T101" s="143" t="n">
        <f aca="false">T99+T100</f>
        <v>680755.370240004</v>
      </c>
      <c r="U101" s="143" t="n">
        <f aca="false">U99+U100</f>
        <v>707746.985280004</v>
      </c>
      <c r="V101" s="143" t="n">
        <f aca="false">V99+V100</f>
        <v>734038.437760004</v>
      </c>
      <c r="W101" s="143" t="n">
        <f aca="false">W99+W100</f>
        <v>759629.727680004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-4373460</v>
      </c>
      <c r="E104" s="146" t="n">
        <f aca="false">-E95-E96</f>
        <v>261861.63552</v>
      </c>
      <c r="F104" s="146" t="n">
        <f aca="false">-F95-F96</f>
        <v>68111.8830719996</v>
      </c>
      <c r="G104" s="146" t="n">
        <f aca="false">-G95-G96</f>
        <v>83306.8506239998</v>
      </c>
      <c r="H104" s="146" t="n">
        <f aca="false">-H95-H96</f>
        <v>98501.8181759998</v>
      </c>
      <c r="I104" s="146" t="n">
        <f aca="false">-I95-I96</f>
        <v>113696.785728</v>
      </c>
      <c r="J104" s="146" t="n">
        <f aca="false">-J95-J96</f>
        <v>128891.75328</v>
      </c>
      <c r="K104" s="146" t="n">
        <f aca="false">-K95-K96</f>
        <v>144086.720832</v>
      </c>
      <c r="L104" s="146" t="n">
        <f aca="false">-L95-L96</f>
        <v>159281.688384</v>
      </c>
      <c r="M104" s="146" t="n">
        <f aca="false">-M95-M96</f>
        <v>174476.655936</v>
      </c>
      <c r="N104" s="146" t="n">
        <f aca="false">-N95-N96</f>
        <v>189671.623488</v>
      </c>
      <c r="O104" s="146" t="n">
        <f aca="false">-O95-O96</f>
        <v>236265.79104</v>
      </c>
      <c r="P104" s="146" t="n">
        <f aca="false">-P95-P96</f>
        <v>251460.758592</v>
      </c>
      <c r="Q104" s="146" t="n">
        <f aca="false">-Q95-Q96</f>
        <v>266655.726144</v>
      </c>
      <c r="R104" s="146" t="n">
        <f aca="false">-R95-R96</f>
        <v>281850.693696</v>
      </c>
      <c r="S104" s="146" t="n">
        <f aca="false">-S95-S96</f>
        <v>297045.661248</v>
      </c>
      <c r="T104" s="146" t="n">
        <f aca="false">-T95-T96</f>
        <v>1405605.6288</v>
      </c>
      <c r="U104" s="146" t="n">
        <f aca="false">-U95-U96</f>
        <v>1399304.16576</v>
      </c>
      <c r="V104" s="146" t="n">
        <f aca="false">-V95-V96</f>
        <v>1393002.70272</v>
      </c>
      <c r="W104" s="146" t="n">
        <f aca="false">-W95-W96</f>
        <v>1386701.23968</v>
      </c>
      <c r="X104" s="146" t="n">
        <f aca="false">-X95-X96</f>
        <v>759629.727680004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0.051509799411195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-4082502.6272</v>
      </c>
      <c r="E106" s="146" t="n">
        <f aca="false">E85</f>
        <v>75679.8700799996</v>
      </c>
      <c r="F106" s="146" t="n">
        <f aca="false">F85-F96</f>
        <v>92563.1673599998</v>
      </c>
      <c r="G106" s="146" t="n">
        <f aca="false">G85-G96</f>
        <v>109446.46464</v>
      </c>
      <c r="H106" s="146" t="n">
        <f aca="false">H85-H96</f>
        <v>126329.76192</v>
      </c>
      <c r="I106" s="146" t="n">
        <f aca="false">I85-I96</f>
        <v>143213.0592</v>
      </c>
      <c r="J106" s="146" t="n">
        <f aca="false">J85-J96</f>
        <v>160096.35648</v>
      </c>
      <c r="K106" s="146" t="n">
        <f aca="false">K85-K96</f>
        <v>176979.65376</v>
      </c>
      <c r="L106" s="146" t="n">
        <f aca="false">L85-L96</f>
        <v>193862.95104</v>
      </c>
      <c r="M106" s="146" t="n">
        <f aca="false">M85-M96</f>
        <v>210746.24832</v>
      </c>
      <c r="N106" s="146" t="n">
        <f aca="false">N85-N96</f>
        <v>262517.5456</v>
      </c>
      <c r="O106" s="146" t="n">
        <f aca="false">O85-O96</f>
        <v>279400.84288</v>
      </c>
      <c r="P106" s="146" t="n">
        <f aca="false">P85-P96</f>
        <v>296284.14016</v>
      </c>
      <c r="Q106" s="146" t="n">
        <f aca="false">Q85-Q96</f>
        <v>313167.43744</v>
      </c>
      <c r="R106" s="146" t="n">
        <f aca="false">R85-R96</f>
        <v>330050.73472</v>
      </c>
      <c r="S106" s="146" t="n">
        <f aca="false">S85-S96</f>
        <v>346934.032</v>
      </c>
      <c r="T106" s="146" t="n">
        <f aca="false">T85-T96</f>
        <v>1433297.4064</v>
      </c>
      <c r="U106" s="146" t="n">
        <f aca="false">U85-U96</f>
        <v>1426295.7808</v>
      </c>
      <c r="V106" s="146" t="n">
        <f aca="false">V85-V96</f>
        <v>1419294.1552</v>
      </c>
      <c r="W106" s="146" t="n">
        <f aca="false">W85-W96</f>
        <v>1412292.5296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0.0557246287937375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17493840</v>
      </c>
      <c r="E109" s="143" t="n">
        <f aca="false">D109+E93</f>
        <v>16327584</v>
      </c>
      <c r="F109" s="143" t="n">
        <f aca="false">E109+F93</f>
        <v>15161328</v>
      </c>
      <c r="G109" s="143" t="n">
        <f aca="false">F109+G93</f>
        <v>13995072</v>
      </c>
      <c r="H109" s="143" t="n">
        <f aca="false">G109+H93</f>
        <v>12828816</v>
      </c>
      <c r="I109" s="143" t="n">
        <f aca="false">H109+I93</f>
        <v>11662560</v>
      </c>
      <c r="J109" s="143" t="n">
        <f aca="false">I109+J93</f>
        <v>10496304</v>
      </c>
      <c r="K109" s="143" t="n">
        <f aca="false">J109+K93</f>
        <v>9330048</v>
      </c>
      <c r="L109" s="143" t="n">
        <f aca="false">K109+L93</f>
        <v>8163792</v>
      </c>
      <c r="M109" s="143" t="n">
        <f aca="false">L109+M93</f>
        <v>6997536</v>
      </c>
      <c r="N109" s="143" t="n">
        <f aca="false">M109+N93</f>
        <v>5831280</v>
      </c>
      <c r="O109" s="143" t="n">
        <f aca="false">N109+O93</f>
        <v>4665024</v>
      </c>
      <c r="P109" s="143" t="n">
        <f aca="false">O109+P93</f>
        <v>3498768</v>
      </c>
      <c r="Q109" s="143" t="n">
        <f aca="false">P109+Q93</f>
        <v>2332512</v>
      </c>
      <c r="R109" s="143" t="n">
        <f aca="false">Q109+R93</f>
        <v>1166256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155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156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157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158</v>
      </c>
    </row>
    <row r="8" customFormat="false" ht="22.5" hidden="false" customHeight="true" outlineLevel="0" collapsed="false">
      <c r="B8" s="16" t="s">
        <v>14</v>
      </c>
      <c r="E8" s="46"/>
      <c r="M8" s="1" t="s">
        <v>159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83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-20621300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-40557.3</v>
      </c>
      <c r="E49" s="104" t="n">
        <v>-40557.3</v>
      </c>
      <c r="F49" s="104" t="n">
        <v>-40557.3</v>
      </c>
      <c r="G49" s="104" t="n">
        <v>-40557.3</v>
      </c>
      <c r="H49" s="104" t="n">
        <v>-40557.3</v>
      </c>
      <c r="I49" s="104" t="n">
        <v>-40557.3</v>
      </c>
      <c r="J49" s="104" t="n">
        <v>-40557.3</v>
      </c>
      <c r="K49" s="104" t="n">
        <v>-40557.3</v>
      </c>
      <c r="L49" s="104" t="n">
        <v>-40557.3</v>
      </c>
      <c r="M49" s="104" t="n">
        <v>-40557.3</v>
      </c>
      <c r="N49" s="104" t="n">
        <v>-40557.3</v>
      </c>
      <c r="O49" s="104" t="n">
        <v>-40557.3</v>
      </c>
      <c r="P49" s="104" t="n">
        <v>-40557.3</v>
      </c>
      <c r="Q49" s="104" t="n">
        <v>-40557.3</v>
      </c>
      <c r="R49" s="104" t="n">
        <v>-40557.3</v>
      </c>
      <c r="S49" s="104" t="n">
        <v>-40557.3</v>
      </c>
      <c r="T49" s="104" t="n">
        <v>-40557.3</v>
      </c>
      <c r="U49" s="104" t="n">
        <v>-40557.3</v>
      </c>
      <c r="V49" s="104" t="n">
        <v>-40557.3</v>
      </c>
      <c r="W49" s="104" t="n">
        <v>-40557.3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-175291.124</v>
      </c>
      <c r="E54" s="104" t="n">
        <f aca="false">-(E64+E67+E68+E71+E72+E73+E74)*0.2</f>
        <v>-115500.5176</v>
      </c>
      <c r="F54" s="104" t="n">
        <f aca="false">-(F64+F67+F68+F71+F72+F73+F74)*0.2</f>
        <v>-113750.1112</v>
      </c>
      <c r="G54" s="104" t="n">
        <f aca="false">-(G64+G67+G68+G71+G72+G73+G74)*0.2</f>
        <v>-111999.7048</v>
      </c>
      <c r="H54" s="104" t="n">
        <f aca="false">-(H64+H67+H68+H71+H72+H73+H74)*0.2</f>
        <v>-110249.2984</v>
      </c>
      <c r="I54" s="104" t="n">
        <f aca="false">-(I64+I67+I68+I71+I72+I73+I74)*0.2</f>
        <v>-108498.892</v>
      </c>
      <c r="J54" s="104" t="n">
        <f aca="false">-(J64+J67+J68+J71+J72+J73+J74)*0.2</f>
        <v>-106748.4856</v>
      </c>
      <c r="K54" s="104" t="n">
        <f aca="false">-(K64+K67+K68+K71+K72+K73+K74)*0.2</f>
        <v>-104998.0792</v>
      </c>
      <c r="L54" s="104" t="n">
        <f aca="false">-(L64+L67+L68+L71+L72+L73+L74)*0.2</f>
        <v>-103247.6728</v>
      </c>
      <c r="M54" s="104" t="n">
        <f aca="false">-(M64+M67+M68+M71+M72+M73+M74)*0.2</f>
        <v>-101497.2664</v>
      </c>
      <c r="N54" s="104" t="n">
        <f aca="false">-(N64+N67+N68+N71+N72+N73+N74)*0.2</f>
        <v>-108468.86</v>
      </c>
      <c r="O54" s="104" t="n">
        <f aca="false">-(O64+O67+O68+O71+O72+O73+O74)*0.2</f>
        <v>-106718.4536</v>
      </c>
      <c r="P54" s="104" t="n">
        <f aca="false">-(P64+P67+P68+P71+P72+P73+P74)*0.2</f>
        <v>-104968.0472</v>
      </c>
      <c r="Q54" s="104" t="n">
        <f aca="false">-(Q64+Q67+Q68+Q71+Q72+Q73+Q74)*0.2</f>
        <v>-103217.6408</v>
      </c>
      <c r="R54" s="104" t="n">
        <f aca="false">-(R64+R67+R68+R71+R72+R73+R74)*0.2</f>
        <v>-101467.2344</v>
      </c>
      <c r="S54" s="104" t="n">
        <f aca="false">-(S64+S67+S68+S71+S72+S73+S74)*0.2</f>
        <v>-99716.828</v>
      </c>
      <c r="T54" s="104" t="n">
        <f aca="false">-(T64+T67+T68+T71+T72+T73+T74)*0.2</f>
        <v>-97966.4215999999</v>
      </c>
      <c r="U54" s="104" t="n">
        <f aca="false">-(U64+U67+U68+U71+U72+U73+U74)*0.2</f>
        <v>-96216.0152</v>
      </c>
      <c r="V54" s="104" t="n">
        <f aca="false">-(V64+V67+V68+V71+V72+V73+V74)*0.2</f>
        <v>-94465.6087999999</v>
      </c>
      <c r="W54" s="104" t="n">
        <f aca="false">-(W64+W67+W68+W71+W72+W73+W74)*0.2</f>
        <v>-92715.2024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-20621300</v>
      </c>
      <c r="D55" s="109" t="n">
        <f aca="false">SUM(D41:D54)</f>
        <v>1442028.496</v>
      </c>
      <c r="E55" s="109" t="n">
        <f aca="false">SUM(E41:E54)</f>
        <v>1493067.0704</v>
      </c>
      <c r="F55" s="109" t="n">
        <f aca="false">SUM(F41:F54)</f>
        <v>1486065.4448</v>
      </c>
      <c r="G55" s="109" t="n">
        <f aca="false">SUM(G41:G54)</f>
        <v>1479063.8192</v>
      </c>
      <c r="H55" s="109" t="n">
        <f aca="false">SUM(H41:H54)</f>
        <v>1472062.1936</v>
      </c>
      <c r="I55" s="109" t="n">
        <f aca="false">SUM(I41:I54)</f>
        <v>1465060.568</v>
      </c>
      <c r="J55" s="109" t="n">
        <f aca="false">SUM(J41:J54)</f>
        <v>1458058.9424</v>
      </c>
      <c r="K55" s="109" t="n">
        <f aca="false">SUM(K41:K54)</f>
        <v>1451057.3168</v>
      </c>
      <c r="L55" s="109" t="n">
        <f aca="false">SUM(L41:L54)</f>
        <v>1444055.6912</v>
      </c>
      <c r="M55" s="109" t="n">
        <f aca="false">SUM(M41:M54)</f>
        <v>1437054.0656</v>
      </c>
      <c r="N55" s="109" t="n">
        <f aca="false">SUM(N41:N54)</f>
        <v>1464940.44</v>
      </c>
      <c r="O55" s="109" t="n">
        <f aca="false">SUM(O41:O54)</f>
        <v>1457938.8144</v>
      </c>
      <c r="P55" s="109" t="n">
        <f aca="false">SUM(P41:P54)</f>
        <v>1450937.1888</v>
      </c>
      <c r="Q55" s="109" t="n">
        <f aca="false">SUM(Q41:Q54)</f>
        <v>1443935.5632</v>
      </c>
      <c r="R55" s="109" t="n">
        <f aca="false">SUM(R41:R54)</f>
        <v>1436933.9376</v>
      </c>
      <c r="S55" s="109" t="n">
        <f aca="false">SUM(S41:S54)</f>
        <v>1429932.312</v>
      </c>
      <c r="T55" s="109" t="n">
        <f aca="false">SUM(T41:T54)</f>
        <v>1422930.6864</v>
      </c>
      <c r="U55" s="109" t="n">
        <f aca="false">SUM(U41:U54)</f>
        <v>1415929.0608</v>
      </c>
      <c r="V55" s="109" t="n">
        <f aca="false">SUM(V41:V54)</f>
        <v>1408927.4352</v>
      </c>
      <c r="W55" s="109" t="n">
        <f aca="false">SUM(W41:W54)</f>
        <v>1401925.8096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-19179271.504</v>
      </c>
      <c r="E56" s="114" t="n">
        <f aca="false">D56+E55</f>
        <v>-17686204.4336</v>
      </c>
      <c r="F56" s="114" t="n">
        <f aca="false">E56+F55</f>
        <v>-16200138.9888</v>
      </c>
      <c r="G56" s="114" t="n">
        <f aca="false">F56+G55</f>
        <v>-14721075.1696</v>
      </c>
      <c r="H56" s="114" t="n">
        <f aca="false">G56+H55</f>
        <v>-13249012.976</v>
      </c>
      <c r="I56" s="114" t="n">
        <f aca="false">H56+I55</f>
        <v>-11783952.408</v>
      </c>
      <c r="J56" s="114" t="n">
        <f aca="false">I56+J55</f>
        <v>-10325893.4656</v>
      </c>
      <c r="K56" s="114" t="n">
        <f aca="false">J56+K55</f>
        <v>-8874836.1488</v>
      </c>
      <c r="L56" s="114" t="n">
        <f aca="false">K56+L55</f>
        <v>-7430780.4576</v>
      </c>
      <c r="M56" s="114" t="n">
        <f aca="false">L56+M55</f>
        <v>-5993726.392</v>
      </c>
      <c r="N56" s="114" t="n">
        <f aca="false">M56+N55</f>
        <v>-4528785.952</v>
      </c>
      <c r="O56" s="114" t="n">
        <f aca="false">N56+O55</f>
        <v>-3070847.1376</v>
      </c>
      <c r="P56" s="114" t="n">
        <f aca="false">O56+P55</f>
        <v>-1619909.9488</v>
      </c>
      <c r="Q56" s="114" t="n">
        <f aca="false">P56+Q55</f>
        <v>-175974.385600002</v>
      </c>
      <c r="R56" s="114" t="n">
        <f aca="false">Q56+R55</f>
        <v>1260959.552</v>
      </c>
      <c r="S56" s="114" t="n">
        <f aca="false">R56+S55</f>
        <v>2690891.864</v>
      </c>
      <c r="T56" s="114" t="n">
        <f aca="false">S56+T55</f>
        <v>4113822.5504</v>
      </c>
      <c r="U56" s="114" t="n">
        <f aca="false">T56+U55</f>
        <v>5529751.6112</v>
      </c>
      <c r="V56" s="114" t="n">
        <f aca="false">U56+V55</f>
        <v>6938679.0464</v>
      </c>
      <c r="W56" s="114" t="n">
        <f aca="false">V56+W55</f>
        <v>8340604.856</v>
      </c>
      <c r="X56" s="114" t="n">
        <f aca="false">W56+X55</f>
        <v>8340604.856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0.0350836535381685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-1031065</v>
      </c>
      <c r="E67" s="127" t="n">
        <f aca="false">$C$44/$E$16</f>
        <v>-1031065</v>
      </c>
      <c r="F67" s="127" t="n">
        <f aca="false">$C$44/$E$16</f>
        <v>-1031065</v>
      </c>
      <c r="G67" s="127" t="n">
        <f aca="false">$C$44/$E$16</f>
        <v>-1031065</v>
      </c>
      <c r="H67" s="127" t="n">
        <f aca="false">$C$44/$E$16</f>
        <v>-1031065</v>
      </c>
      <c r="I67" s="127" t="n">
        <f aca="false">$C$44/$E$16</f>
        <v>-1031065</v>
      </c>
      <c r="J67" s="127" t="n">
        <f aca="false">$C$44/$E$16</f>
        <v>-1031065</v>
      </c>
      <c r="K67" s="127" t="n">
        <f aca="false">$C$44/$E$16</f>
        <v>-1031065</v>
      </c>
      <c r="L67" s="127" t="n">
        <f aca="false">$C$44/$E$16</f>
        <v>-1031065</v>
      </c>
      <c r="M67" s="127" t="n">
        <f aca="false">$C$44/$E$16</f>
        <v>-1031065</v>
      </c>
      <c r="N67" s="127" t="n">
        <f aca="false">$C$44/$E$16</f>
        <v>-1031065</v>
      </c>
      <c r="O67" s="127" t="n">
        <f aca="false">$C$44/$E$16</f>
        <v>-1031065</v>
      </c>
      <c r="P67" s="127" t="n">
        <f aca="false">$C$44/$E$16</f>
        <v>-1031065</v>
      </c>
      <c r="Q67" s="127" t="n">
        <f aca="false">$C$44/$E$16</f>
        <v>-1031065</v>
      </c>
      <c r="R67" s="127" t="n">
        <f aca="false">$C$44/$E$16</f>
        <v>-1031065</v>
      </c>
      <c r="S67" s="127" t="n">
        <f aca="false">$C$44/$E$16</f>
        <v>-1031065</v>
      </c>
      <c r="T67" s="127" t="n">
        <f aca="false">$C$44/$E$16</f>
        <v>-1031065</v>
      </c>
      <c r="U67" s="127" t="n">
        <f aca="false">$C$44/$E$16</f>
        <v>-1031065</v>
      </c>
      <c r="V67" s="127" t="n">
        <f aca="false">$C$44/$E$16</f>
        <v>-1031065</v>
      </c>
      <c r="W67" s="127" t="n">
        <f aca="false">$C$44/$E$16</f>
        <v>-1031065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-422324.224</v>
      </c>
      <c r="E70" s="104" t="n">
        <f aca="false">-E109*$D25</f>
        <v>-394169.275733333</v>
      </c>
      <c r="F70" s="104" t="n">
        <f aca="false">-F109*$D25</f>
        <v>-366014.327466667</v>
      </c>
      <c r="G70" s="104" t="n">
        <f aca="false">-G109*$D25</f>
        <v>-337859.3792</v>
      </c>
      <c r="H70" s="104" t="n">
        <f aca="false">-H109*$D25</f>
        <v>-309704.430933333</v>
      </c>
      <c r="I70" s="104" t="n">
        <f aca="false">-I109*$D25</f>
        <v>-281549.482666666</v>
      </c>
      <c r="J70" s="104" t="n">
        <f aca="false">-J109*$D25</f>
        <v>-253394.5344</v>
      </c>
      <c r="K70" s="104" t="n">
        <f aca="false">-K109*$D25</f>
        <v>-225239.586133333</v>
      </c>
      <c r="L70" s="104" t="n">
        <f aca="false">-L109*$D25</f>
        <v>-197084.637866666</v>
      </c>
      <c r="M70" s="104" t="n">
        <f aca="false">-M109*$D25</f>
        <v>-168929.689599999</v>
      </c>
      <c r="N70" s="104" t="n">
        <f aca="false">-N109*$D25</f>
        <v>-140774.741333333</v>
      </c>
      <c r="O70" s="104" t="n">
        <f aca="false">-O109*$D25</f>
        <v>-112619.793066666</v>
      </c>
      <c r="P70" s="104" t="n">
        <f aca="false">-P109*$D25</f>
        <v>-84464.8447999992</v>
      </c>
      <c r="Q70" s="104" t="n">
        <f aca="false">-Q109*$D25</f>
        <v>-56309.8965333324</v>
      </c>
      <c r="R70" s="104" t="n">
        <f aca="false">-R109*$D25</f>
        <v>-28154.9482666656</v>
      </c>
      <c r="S70" s="104" t="n">
        <f aca="false">-S109*$D25</f>
        <v>1.10864639282227E-009</v>
      </c>
      <c r="T70" s="104" t="n">
        <f aca="false">-T109*$D25</f>
        <v>1.10864639282227E-009</v>
      </c>
      <c r="U70" s="104" t="n">
        <f aca="false">-U109*$D25</f>
        <v>1.10864639282227E-009</v>
      </c>
      <c r="V70" s="104" t="n">
        <f aca="false">-V109*$D25</f>
        <v>1.10864639282227E-009</v>
      </c>
      <c r="W70" s="104" t="n">
        <f aca="false">-W109*$D25</f>
        <v>1.10864639282227E-009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-40557.3</v>
      </c>
      <c r="E72" s="104" t="n">
        <f aca="false">E49</f>
        <v>-40557.3</v>
      </c>
      <c r="F72" s="104" t="n">
        <f aca="false">F49</f>
        <v>-40557.3</v>
      </c>
      <c r="G72" s="104" t="n">
        <f aca="false">G49</f>
        <v>-40557.3</v>
      </c>
      <c r="H72" s="104" t="n">
        <f aca="false">H49</f>
        <v>-40557.3</v>
      </c>
      <c r="I72" s="104" t="n">
        <f aca="false">I49</f>
        <v>-40557.3</v>
      </c>
      <c r="J72" s="104" t="n">
        <f aca="false">J49</f>
        <v>-40557.3</v>
      </c>
      <c r="K72" s="104" t="n">
        <f aca="false">K49</f>
        <v>-40557.3</v>
      </c>
      <c r="L72" s="104" t="n">
        <f aca="false">L49</f>
        <v>-40557.3</v>
      </c>
      <c r="M72" s="104" t="n">
        <f aca="false">M49</f>
        <v>-40557.3</v>
      </c>
      <c r="N72" s="104" t="n">
        <f aca="false">N49</f>
        <v>-40557.3</v>
      </c>
      <c r="O72" s="104" t="n">
        <f aca="false">O49</f>
        <v>-40557.3</v>
      </c>
      <c r="P72" s="104" t="n">
        <f aca="false">P49</f>
        <v>-40557.3</v>
      </c>
      <c r="Q72" s="104" t="n">
        <f aca="false">Q49</f>
        <v>-40557.3</v>
      </c>
      <c r="R72" s="104" t="n">
        <f aca="false">R49</f>
        <v>-40557.3</v>
      </c>
      <c r="S72" s="104" t="n">
        <f aca="false">S49</f>
        <v>-40557.3</v>
      </c>
      <c r="T72" s="104" t="n">
        <f aca="false">T49</f>
        <v>-40557.3</v>
      </c>
      <c r="U72" s="104" t="n">
        <f aca="false">U49</f>
        <v>-40557.3</v>
      </c>
      <c r="V72" s="104" t="n">
        <f aca="false">V49</f>
        <v>-40557.3</v>
      </c>
      <c r="W72" s="104" t="n">
        <f aca="false">W49</f>
        <v>-40557.3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454131.396</v>
      </c>
      <c r="E76" s="109" t="n">
        <f aca="false">SUM(E64:E75)</f>
        <v>183333.312266666</v>
      </c>
      <c r="F76" s="109" t="n">
        <f aca="false">SUM(F64:F75)</f>
        <v>202736.228533333</v>
      </c>
      <c r="G76" s="109" t="n">
        <f aca="false">SUM(G64:G75)</f>
        <v>222139.1448</v>
      </c>
      <c r="H76" s="109" t="n">
        <f aca="false">SUM(H64:H75)</f>
        <v>241542.061066667</v>
      </c>
      <c r="I76" s="109" t="n">
        <f aca="false">SUM(I64:I75)</f>
        <v>260944.977333333</v>
      </c>
      <c r="J76" s="109" t="n">
        <f aca="false">SUM(J64:J75)</f>
        <v>280347.8936</v>
      </c>
      <c r="K76" s="109" t="n">
        <f aca="false">SUM(K64:K75)</f>
        <v>299750.809866667</v>
      </c>
      <c r="L76" s="109" t="n">
        <f aca="false">SUM(L64:L75)</f>
        <v>319153.726133334</v>
      </c>
      <c r="M76" s="109" t="n">
        <f aca="false">SUM(M64:M75)</f>
        <v>338556.6424</v>
      </c>
      <c r="N76" s="109" t="n">
        <f aca="false">SUM(N64:N75)</f>
        <v>401569.558666667</v>
      </c>
      <c r="O76" s="109" t="n">
        <f aca="false">SUM(O64:O75)</f>
        <v>420972.474933334</v>
      </c>
      <c r="P76" s="109" t="n">
        <f aca="false">SUM(P64:P75)</f>
        <v>440375.391200001</v>
      </c>
      <c r="Q76" s="109" t="n">
        <f aca="false">SUM(Q64:Q75)</f>
        <v>459778.307466667</v>
      </c>
      <c r="R76" s="109" t="n">
        <f aca="false">SUM(R64:R75)</f>
        <v>479181.223733334</v>
      </c>
      <c r="S76" s="109" t="n">
        <f aca="false">SUM(S64:S75)</f>
        <v>498584.140000001</v>
      </c>
      <c r="T76" s="109" t="n">
        <f aca="false">SUM(T64:T75)</f>
        <v>489832.108000001</v>
      </c>
      <c r="U76" s="109" t="n">
        <f aca="false">SUM(U64:U75)</f>
        <v>481080.076000001</v>
      </c>
      <c r="V76" s="109" t="n">
        <f aca="false">SUM(V64:V75)</f>
        <v>472328.044000001</v>
      </c>
      <c r="W76" s="109" t="n">
        <f aca="false">SUM(W64:W75)</f>
        <v>463576.012000001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-90826.2791999999</v>
      </c>
      <c r="E77" s="104" t="n">
        <f aca="false">-E76*0.2</f>
        <v>-36666.6624533332</v>
      </c>
      <c r="F77" s="104" t="n">
        <f aca="false">-F76*0.2</f>
        <v>-40547.2457066667</v>
      </c>
      <c r="G77" s="104" t="n">
        <f aca="false">-G76*0.2</f>
        <v>-44427.82896</v>
      </c>
      <c r="H77" s="104" t="n">
        <f aca="false">-H76*0.2</f>
        <v>-48308.4122133333</v>
      </c>
      <c r="I77" s="104" t="n">
        <f aca="false">-I76*0.2</f>
        <v>-52188.9954666666</v>
      </c>
      <c r="J77" s="104" t="n">
        <f aca="false">-J76*0.2</f>
        <v>-56069.5787200001</v>
      </c>
      <c r="K77" s="104" t="n">
        <f aca="false">-K76*0.2</f>
        <v>-59950.1619733334</v>
      </c>
      <c r="L77" s="104" t="n">
        <f aca="false">-L76*0.2</f>
        <v>-63830.7452266667</v>
      </c>
      <c r="M77" s="104" t="n">
        <f aca="false">-M76*0.2</f>
        <v>-67711.3284800001</v>
      </c>
      <c r="N77" s="104" t="n">
        <f aca="false">-N76*0.2</f>
        <v>-80313.9117333334</v>
      </c>
      <c r="O77" s="104" t="n">
        <f aca="false">-O76*0.2</f>
        <v>-84194.4949866668</v>
      </c>
      <c r="P77" s="104" t="n">
        <f aca="false">-P76*0.2</f>
        <v>-88075.0782400001</v>
      </c>
      <c r="Q77" s="104" t="n">
        <f aca="false">-Q76*0.2</f>
        <v>-91955.6614933335</v>
      </c>
      <c r="R77" s="104" t="n">
        <f aca="false">-R76*0.2</f>
        <v>-95836.2447466668</v>
      </c>
      <c r="S77" s="104" t="n">
        <f aca="false">-S76*0.2</f>
        <v>-99716.8280000002</v>
      </c>
      <c r="T77" s="104" t="n">
        <f aca="false">-T76*0.2</f>
        <v>-97966.4216000002</v>
      </c>
      <c r="U77" s="104" t="n">
        <f aca="false">-U76*0.2</f>
        <v>-96216.0152000002</v>
      </c>
      <c r="V77" s="104" t="n">
        <f aca="false">-V76*0.2</f>
        <v>-94465.6088000002</v>
      </c>
      <c r="W77" s="104" t="n">
        <f aca="false">-W76*0.2</f>
        <v>-92715.2024000002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363305.1168</v>
      </c>
      <c r="E78" s="104" t="n">
        <f aca="false">SUM(E76:E77)</f>
        <v>146666.649813333</v>
      </c>
      <c r="F78" s="104" t="n">
        <f aca="false">SUM(F76:F77)</f>
        <v>162188.982826667</v>
      </c>
      <c r="G78" s="104" t="n">
        <f aca="false">SUM(G76:G77)</f>
        <v>177711.31584</v>
      </c>
      <c r="H78" s="104" t="n">
        <f aca="false">SUM(H76:H77)</f>
        <v>193233.648853333</v>
      </c>
      <c r="I78" s="104" t="n">
        <f aca="false">SUM(I76:I77)</f>
        <v>208755.981866667</v>
      </c>
      <c r="J78" s="104" t="n">
        <f aca="false">SUM(J76:J77)</f>
        <v>224278.31488</v>
      </c>
      <c r="K78" s="104" t="n">
        <f aca="false">SUM(K76:K77)</f>
        <v>239800.647893334</v>
      </c>
      <c r="L78" s="104" t="n">
        <f aca="false">SUM(L76:L77)</f>
        <v>255322.980906667</v>
      </c>
      <c r="M78" s="104" t="n">
        <f aca="false">SUM(M76:M77)</f>
        <v>270845.31392</v>
      </c>
      <c r="N78" s="104" t="n">
        <f aca="false">SUM(N76:N77)</f>
        <v>321255.646933334</v>
      </c>
      <c r="O78" s="104" t="n">
        <f aca="false">SUM(O76:O77)</f>
        <v>336777.979946667</v>
      </c>
      <c r="P78" s="104" t="n">
        <f aca="false">SUM(P76:P77)</f>
        <v>352300.31296</v>
      </c>
      <c r="Q78" s="104" t="n">
        <f aca="false">SUM(Q76:Q77)</f>
        <v>367822.645973334</v>
      </c>
      <c r="R78" s="104" t="n">
        <f aca="false">SUM(R76:R77)</f>
        <v>383344.978986667</v>
      </c>
      <c r="S78" s="104" t="n">
        <f aca="false">SUM(S76:S77)</f>
        <v>398867.312000001</v>
      </c>
      <c r="T78" s="104" t="n">
        <f aca="false">SUM(T76:T77)</f>
        <v>391865.686400001</v>
      </c>
      <c r="U78" s="104" t="n">
        <f aca="false">SUM(U76:U77)</f>
        <v>384864.060800001</v>
      </c>
      <c r="V78" s="104" t="n">
        <f aca="false">SUM(V76:V77)</f>
        <v>377862.435200001</v>
      </c>
      <c r="W78" s="104" t="n">
        <f aca="false">SUM(W76:W77)</f>
        <v>370860.809600001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363305.1168</v>
      </c>
      <c r="E85" s="143" t="n">
        <f aca="false">E78</f>
        <v>146666.649813333</v>
      </c>
      <c r="F85" s="143" t="n">
        <f aca="false">F78</f>
        <v>162188.982826667</v>
      </c>
      <c r="G85" s="143" t="n">
        <f aca="false">G78</f>
        <v>177711.31584</v>
      </c>
      <c r="H85" s="143" t="n">
        <f aca="false">H78</f>
        <v>193233.648853333</v>
      </c>
      <c r="I85" s="143" t="n">
        <f aca="false">I78</f>
        <v>208755.981866667</v>
      </c>
      <c r="J85" s="143" t="n">
        <f aca="false">J78</f>
        <v>224278.31488</v>
      </c>
      <c r="K85" s="143" t="n">
        <f aca="false">K78</f>
        <v>239800.647893334</v>
      </c>
      <c r="L85" s="143" t="n">
        <f aca="false">L78</f>
        <v>255322.980906667</v>
      </c>
      <c r="M85" s="143" t="n">
        <f aca="false">M78</f>
        <v>270845.31392</v>
      </c>
      <c r="N85" s="143" t="n">
        <f aca="false">N78</f>
        <v>321255.646933334</v>
      </c>
      <c r="O85" s="143" t="n">
        <f aca="false">O78</f>
        <v>336777.979946667</v>
      </c>
      <c r="P85" s="143" t="n">
        <f aca="false">P78</f>
        <v>352300.31296</v>
      </c>
      <c r="Q85" s="143" t="n">
        <f aca="false">Q78</f>
        <v>367822.645973334</v>
      </c>
      <c r="R85" s="143" t="n">
        <f aca="false">R78</f>
        <v>383344.978986667</v>
      </c>
      <c r="S85" s="143" t="n">
        <f aca="false">S78</f>
        <v>398867.312000001</v>
      </c>
      <c r="T85" s="143" t="n">
        <f aca="false">T78</f>
        <v>391865.686400001</v>
      </c>
      <c r="U85" s="143" t="n">
        <f aca="false">U78</f>
        <v>384864.060800001</v>
      </c>
      <c r="V85" s="143" t="n">
        <f aca="false">V78</f>
        <v>377862.435200001</v>
      </c>
      <c r="W85" s="143" t="n">
        <f aca="false">W78</f>
        <v>370860.809600001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1031065</v>
      </c>
      <c r="E86" s="144" t="n">
        <f aca="false">-E67</f>
        <v>1031065</v>
      </c>
      <c r="F86" s="144" t="n">
        <f aca="false">-F67</f>
        <v>1031065</v>
      </c>
      <c r="G86" s="144" t="n">
        <f aca="false">-G67</f>
        <v>1031065</v>
      </c>
      <c r="H86" s="144" t="n">
        <f aca="false">-H67</f>
        <v>1031065</v>
      </c>
      <c r="I86" s="144" t="n">
        <f aca="false">-I67</f>
        <v>1031065</v>
      </c>
      <c r="J86" s="144" t="n">
        <f aca="false">-J67</f>
        <v>1031065</v>
      </c>
      <c r="K86" s="144" t="n">
        <f aca="false">-K67</f>
        <v>1031065</v>
      </c>
      <c r="L86" s="144" t="n">
        <f aca="false">-L67</f>
        <v>1031065</v>
      </c>
      <c r="M86" s="144" t="n">
        <f aca="false">-M67</f>
        <v>1031065</v>
      </c>
      <c r="N86" s="144" t="n">
        <f aca="false">-N67</f>
        <v>1031065</v>
      </c>
      <c r="O86" s="144" t="n">
        <f aca="false">-O67</f>
        <v>1031065</v>
      </c>
      <c r="P86" s="144" t="n">
        <f aca="false">-P67</f>
        <v>1031065</v>
      </c>
      <c r="Q86" s="144" t="n">
        <f aca="false">-Q67</f>
        <v>1031065</v>
      </c>
      <c r="R86" s="144" t="n">
        <f aca="false">-R67</f>
        <v>1031065</v>
      </c>
      <c r="S86" s="144" t="n">
        <f aca="false">-S67</f>
        <v>1031065</v>
      </c>
      <c r="T86" s="144" t="n">
        <f aca="false">-T67</f>
        <v>1031065</v>
      </c>
      <c r="U86" s="144" t="n">
        <f aca="false">-U67</f>
        <v>1031065</v>
      </c>
      <c r="V86" s="144" t="n">
        <f aca="false">-V67</f>
        <v>1031065</v>
      </c>
      <c r="W86" s="144" t="n">
        <f aca="false">-W67</f>
        <v>1031065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1394370.1168</v>
      </c>
      <c r="E87" s="146" t="n">
        <f aca="false">SUM(E85:E86)</f>
        <v>1177731.64981333</v>
      </c>
      <c r="F87" s="146" t="n">
        <f aca="false">SUM(F85:F86)</f>
        <v>1193253.98282667</v>
      </c>
      <c r="G87" s="146" t="n">
        <f aca="false">SUM(G85:G86)</f>
        <v>1208776.31584</v>
      </c>
      <c r="H87" s="146" t="n">
        <f aca="false">SUM(H85:H86)</f>
        <v>1224298.64885333</v>
      </c>
      <c r="I87" s="146" t="n">
        <f aca="false">SUM(I85:I86)</f>
        <v>1239820.98186667</v>
      </c>
      <c r="J87" s="146" t="n">
        <f aca="false">SUM(J85:J86)</f>
        <v>1255343.31488</v>
      </c>
      <c r="K87" s="146" t="n">
        <f aca="false">SUM(K85:K86)</f>
        <v>1270865.64789333</v>
      </c>
      <c r="L87" s="146" t="n">
        <f aca="false">SUM(L85:L86)</f>
        <v>1286387.98090667</v>
      </c>
      <c r="M87" s="146" t="n">
        <f aca="false">SUM(M85:M86)</f>
        <v>1301910.31392</v>
      </c>
      <c r="N87" s="146" t="n">
        <f aca="false">SUM(N85:N86)</f>
        <v>1352320.64693333</v>
      </c>
      <c r="O87" s="146" t="n">
        <f aca="false">SUM(O85:O86)</f>
        <v>1367842.97994667</v>
      </c>
      <c r="P87" s="146" t="n">
        <f aca="false">SUM(P85:P86)</f>
        <v>1383365.31296</v>
      </c>
      <c r="Q87" s="146" t="n">
        <f aca="false">SUM(Q85:Q86)</f>
        <v>1398887.64597333</v>
      </c>
      <c r="R87" s="146" t="n">
        <f aca="false">SUM(R85:R86)</f>
        <v>1414409.97898667</v>
      </c>
      <c r="S87" s="146" t="n">
        <f aca="false">SUM(S85:S86)</f>
        <v>1429932.312</v>
      </c>
      <c r="T87" s="146" t="n">
        <f aca="false">SUM(T85:T86)</f>
        <v>1422930.6864</v>
      </c>
      <c r="U87" s="146" t="n">
        <f aca="false">SUM(U85:U86)</f>
        <v>1415929.0608</v>
      </c>
      <c r="V87" s="146" t="n">
        <f aca="false">SUM(V85:V86)</f>
        <v>1408927.4352</v>
      </c>
      <c r="W87" s="146" t="n">
        <f aca="false">SUM(W85:W86)</f>
        <v>1401925.8096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-20621300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16497040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-1099802.66666667</v>
      </c>
      <c r="F93" s="152" t="n">
        <v>-1099802.66666667</v>
      </c>
      <c r="G93" s="152" t="n">
        <v>-1099802.66666667</v>
      </c>
      <c r="H93" s="152" t="n">
        <v>-1099802.66666667</v>
      </c>
      <c r="I93" s="152" t="n">
        <v>-1099802.66666667</v>
      </c>
      <c r="J93" s="152" t="n">
        <v>-1099802.66666667</v>
      </c>
      <c r="K93" s="152" t="n">
        <v>-1099802.66666667</v>
      </c>
      <c r="L93" s="152" t="n">
        <v>-1099802.66666667</v>
      </c>
      <c r="M93" s="152" t="n">
        <v>-1099802.66666667</v>
      </c>
      <c r="N93" s="152" t="n">
        <v>-1099802.66666667</v>
      </c>
      <c r="O93" s="152" t="n">
        <v>-1099802.66666667</v>
      </c>
      <c r="P93" s="152" t="n">
        <v>-1099802.66666667</v>
      </c>
      <c r="Q93" s="152" t="n">
        <v>-1099802.66666667</v>
      </c>
      <c r="R93" s="152" t="n">
        <v>-1099802.66666667</v>
      </c>
      <c r="S93" s="152" t="n">
        <v>-1099802.66666667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4124260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-326974.60512</v>
      </c>
      <c r="F95" s="153" t="n">
        <f aca="false">-E85*$D$33</f>
        <v>-131999.984832</v>
      </c>
      <c r="G95" s="153" t="n">
        <f aca="false">-F85*$D$33</f>
        <v>-145970.084544</v>
      </c>
      <c r="H95" s="153" t="n">
        <f aca="false">-G85*$D$33</f>
        <v>-159940.184256</v>
      </c>
      <c r="I95" s="153" t="n">
        <f aca="false">-H85*$D$33</f>
        <v>-173910.283968</v>
      </c>
      <c r="J95" s="153" t="n">
        <f aca="false">-I85*$D$33</f>
        <v>-187880.38368</v>
      </c>
      <c r="K95" s="153" t="n">
        <f aca="false">-J85*$D$33</f>
        <v>-201850.483392</v>
      </c>
      <c r="L95" s="153" t="n">
        <f aca="false">-K85*$D$33</f>
        <v>-215820.583104</v>
      </c>
      <c r="M95" s="153" t="n">
        <f aca="false">-L85*$D$33</f>
        <v>-229790.682816</v>
      </c>
      <c r="N95" s="153" t="n">
        <f aca="false">-M85*$D$33</f>
        <v>-243760.782528</v>
      </c>
      <c r="O95" s="153" t="n">
        <f aca="false">-N85*$D$33</f>
        <v>-289130.08224</v>
      </c>
      <c r="P95" s="153" t="n">
        <f aca="false">-O85*$D$33</f>
        <v>-303100.181952</v>
      </c>
      <c r="Q95" s="153" t="n">
        <f aca="false">-P85*$D$33</f>
        <v>-317070.281664</v>
      </c>
      <c r="R95" s="153" t="n">
        <f aca="false">-Q85*$D$33</f>
        <v>-331040.381376</v>
      </c>
      <c r="S95" s="153" t="n">
        <f aca="false">-R85*$D$33</f>
        <v>-345010.481088</v>
      </c>
      <c r="T95" s="153" t="n">
        <f aca="false">-S85*$D$33</f>
        <v>-358980.580800001</v>
      </c>
      <c r="U95" s="153" t="n">
        <f aca="false">-T85*$D$33</f>
        <v>-352679.117760001</v>
      </c>
      <c r="V95" s="153" t="n">
        <f aca="false">-U85*$D$33</f>
        <v>-346377.654720001</v>
      </c>
      <c r="W95" s="153" t="n">
        <f aca="false">-V85*$D$33</f>
        <v>-340076.191680001</v>
      </c>
      <c r="X95" s="153" t="n">
        <f aca="false">-W85*$D$33</f>
        <v>-333774.728640001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-1031065</v>
      </c>
      <c r="U96" s="156" t="n">
        <v>-1031065</v>
      </c>
      <c r="V96" s="156" t="n">
        <v>-1031065</v>
      </c>
      <c r="W96" s="156" t="n">
        <v>-1031065</v>
      </c>
      <c r="X96" s="157" t="n">
        <f aca="false">-W101-X95</f>
        <v>-592793.082239955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1394370.1168</v>
      </c>
      <c r="E99" s="143" t="n">
        <f aca="false">SUM(E87:E96)</f>
        <v>-249045.621973336</v>
      </c>
      <c r="F99" s="143" t="n">
        <f aca="false">SUM(F87:F96)</f>
        <v>-38548.6686720028</v>
      </c>
      <c r="G99" s="143" t="n">
        <f aca="false">SUM(G87:G96)</f>
        <v>-36996.4353706697</v>
      </c>
      <c r="H99" s="143" t="n">
        <f aca="false">SUM(H87:H96)</f>
        <v>-35444.2020693366</v>
      </c>
      <c r="I99" s="143" t="n">
        <f aca="false">SUM(I87:I96)</f>
        <v>-33891.9687680031</v>
      </c>
      <c r="J99" s="143" t="n">
        <f aca="false">SUM(J87:J96)</f>
        <v>-32339.7354666695</v>
      </c>
      <c r="K99" s="143" t="n">
        <f aca="false">SUM(K87:K96)</f>
        <v>-30787.5021653364</v>
      </c>
      <c r="L99" s="143" t="n">
        <f aca="false">SUM(L87:L96)</f>
        <v>-29235.2688640032</v>
      </c>
      <c r="M99" s="143" t="n">
        <f aca="false">SUM(M87:M96)</f>
        <v>-27683.0355626696</v>
      </c>
      <c r="N99" s="143" t="n">
        <f aca="false">SUM(N87:N96)</f>
        <v>8757.1977386637</v>
      </c>
      <c r="O99" s="143" t="n">
        <f aca="false">SUM(O87:O96)</f>
        <v>-21089.7689600029</v>
      </c>
      <c r="P99" s="143" t="n">
        <f aca="false">SUM(P87:P96)</f>
        <v>-19537.5356586697</v>
      </c>
      <c r="Q99" s="143" t="n">
        <f aca="false">SUM(Q87:Q96)</f>
        <v>-17985.3023573363</v>
      </c>
      <c r="R99" s="143" t="n">
        <f aca="false">SUM(R87:R96)</f>
        <v>-16433.069056003</v>
      </c>
      <c r="S99" s="143" t="n">
        <f aca="false">SUM(S87:S96)</f>
        <v>-14880.8357546696</v>
      </c>
      <c r="T99" s="143" t="n">
        <f aca="false">SUM(T87:T96)</f>
        <v>32885.1056000004</v>
      </c>
      <c r="U99" s="143" t="n">
        <f aca="false">SUM(U87:U96)</f>
        <v>32184.9430400005</v>
      </c>
      <c r="V99" s="143" t="n">
        <f aca="false">SUM(V87:V96)</f>
        <v>31484.78048</v>
      </c>
      <c r="W99" s="143" t="n">
        <f aca="false">SUM(W87:W96)</f>
        <v>30784.6179200001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1394370.1168</v>
      </c>
      <c r="F100" s="143" t="n">
        <f aca="false">E101</f>
        <v>1145324.49482666</v>
      </c>
      <c r="G100" s="143" t="n">
        <f aca="false">F101</f>
        <v>1106775.82615466</v>
      </c>
      <c r="H100" s="143" t="n">
        <f aca="false">G101</f>
        <v>1069779.39078399</v>
      </c>
      <c r="I100" s="143" t="n">
        <f aca="false">H101</f>
        <v>1034335.18871465</v>
      </c>
      <c r="J100" s="143" t="n">
        <f aca="false">I101</f>
        <v>1000443.21994665</v>
      </c>
      <c r="K100" s="143" t="n">
        <f aca="false">J101</f>
        <v>968103.484479982</v>
      </c>
      <c r="L100" s="143" t="n">
        <f aca="false">K101</f>
        <v>937315.982314645</v>
      </c>
      <c r="M100" s="143" t="n">
        <f aca="false">L101</f>
        <v>908080.713450642</v>
      </c>
      <c r="N100" s="143" t="n">
        <f aca="false">M101</f>
        <v>880397.677887973</v>
      </c>
      <c r="O100" s="143" t="n">
        <f aca="false">N101</f>
        <v>889154.875626636</v>
      </c>
      <c r="P100" s="143" t="n">
        <f aca="false">O101</f>
        <v>868065.106666634</v>
      </c>
      <c r="Q100" s="143" t="n">
        <f aca="false">P101</f>
        <v>848527.571007964</v>
      </c>
      <c r="R100" s="143" t="n">
        <f aca="false">Q101</f>
        <v>830542.268650628</v>
      </c>
      <c r="S100" s="143" t="n">
        <f aca="false">R101</f>
        <v>814109.199594625</v>
      </c>
      <c r="T100" s="143" t="n">
        <f aca="false">S101</f>
        <v>799228.363839955</v>
      </c>
      <c r="U100" s="143" t="n">
        <f aca="false">T101</f>
        <v>832113.469439955</v>
      </c>
      <c r="V100" s="143" t="n">
        <f aca="false">U101</f>
        <v>864298.412479956</v>
      </c>
      <c r="W100" s="143" t="n">
        <f aca="false">V101</f>
        <v>895783.192959956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1394370.1168</v>
      </c>
      <c r="E101" s="143" t="n">
        <f aca="false">E99+E100</f>
        <v>1145324.49482666</v>
      </c>
      <c r="F101" s="143" t="n">
        <f aca="false">F99+F100</f>
        <v>1106775.82615466</v>
      </c>
      <c r="G101" s="143" t="n">
        <f aca="false">G99+G100</f>
        <v>1069779.39078399</v>
      </c>
      <c r="H101" s="143" t="n">
        <f aca="false">H99+H100</f>
        <v>1034335.18871465</v>
      </c>
      <c r="I101" s="143" t="n">
        <f aca="false">I99+I100</f>
        <v>1000443.21994665</v>
      </c>
      <c r="J101" s="143" t="n">
        <f aca="false">J99+J100</f>
        <v>968103.484479982</v>
      </c>
      <c r="K101" s="143" t="n">
        <f aca="false">K99+K100</f>
        <v>937315.982314645</v>
      </c>
      <c r="L101" s="143" t="n">
        <f aca="false">L99+L100</f>
        <v>908080.713450642</v>
      </c>
      <c r="M101" s="143" t="n">
        <f aca="false">M99+M100</f>
        <v>880397.677887973</v>
      </c>
      <c r="N101" s="143" t="n">
        <f aca="false">N99+N100</f>
        <v>889154.875626636</v>
      </c>
      <c r="O101" s="143" t="n">
        <f aca="false">O99+O100</f>
        <v>868065.106666634</v>
      </c>
      <c r="P101" s="143" t="n">
        <f aca="false">P99+P100</f>
        <v>848527.571007964</v>
      </c>
      <c r="Q101" s="143" t="n">
        <f aca="false">Q99+Q100</f>
        <v>830542.268650628</v>
      </c>
      <c r="R101" s="143" t="n">
        <f aca="false">R99+R100</f>
        <v>814109.199594625</v>
      </c>
      <c r="S101" s="143" t="n">
        <f aca="false">S99+S100</f>
        <v>799228.363839955</v>
      </c>
      <c r="T101" s="143" t="n">
        <f aca="false">T99+T100</f>
        <v>832113.469439955</v>
      </c>
      <c r="U101" s="143" t="n">
        <f aca="false">U99+U100</f>
        <v>864298.412479956</v>
      </c>
      <c r="V101" s="143" t="n">
        <f aca="false">V99+V100</f>
        <v>895783.192959956</v>
      </c>
      <c r="W101" s="143" t="n">
        <f aca="false">W99+W100</f>
        <v>926567.810879956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-4124260</v>
      </c>
      <c r="E104" s="146" t="n">
        <f aca="false">-E95-E96</f>
        <v>326974.60512</v>
      </c>
      <c r="F104" s="146" t="n">
        <f aca="false">-F95-F96</f>
        <v>131999.984832</v>
      </c>
      <c r="G104" s="146" t="n">
        <f aca="false">-G95-G96</f>
        <v>145970.084544</v>
      </c>
      <c r="H104" s="146" t="n">
        <f aca="false">-H95-H96</f>
        <v>159940.184256</v>
      </c>
      <c r="I104" s="146" t="n">
        <f aca="false">-I95-I96</f>
        <v>173910.283968</v>
      </c>
      <c r="J104" s="146" t="n">
        <f aca="false">-J95-J96</f>
        <v>187880.38368</v>
      </c>
      <c r="K104" s="146" t="n">
        <f aca="false">-K95-K96</f>
        <v>201850.483392</v>
      </c>
      <c r="L104" s="146" t="n">
        <f aca="false">-L95-L96</f>
        <v>215820.583104</v>
      </c>
      <c r="M104" s="146" t="n">
        <f aca="false">-M95-M96</f>
        <v>229790.682816</v>
      </c>
      <c r="N104" s="146" t="n">
        <f aca="false">-N95-N96</f>
        <v>243760.782528</v>
      </c>
      <c r="O104" s="146" t="n">
        <f aca="false">-O95-O96</f>
        <v>289130.08224</v>
      </c>
      <c r="P104" s="146" t="n">
        <f aca="false">-P95-P96</f>
        <v>303100.181952</v>
      </c>
      <c r="Q104" s="146" t="n">
        <f aca="false">-Q95-Q96</f>
        <v>317070.281664</v>
      </c>
      <c r="R104" s="146" t="n">
        <f aca="false">-R95-R96</f>
        <v>331040.381376</v>
      </c>
      <c r="S104" s="146" t="n">
        <f aca="false">-S95-S96</f>
        <v>345010.481088</v>
      </c>
      <c r="T104" s="146" t="n">
        <f aca="false">-T95-T96</f>
        <v>1390045.5808</v>
      </c>
      <c r="U104" s="146" t="n">
        <f aca="false">-U95-U96</f>
        <v>1383744.11776</v>
      </c>
      <c r="V104" s="146" t="n">
        <f aca="false">-V95-V96</f>
        <v>1377442.65472</v>
      </c>
      <c r="W104" s="146" t="n">
        <f aca="false">-W95-W96</f>
        <v>1371141.19168</v>
      </c>
      <c r="X104" s="146" t="n">
        <f aca="false">-X95-X96</f>
        <v>926567.810879956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0.067455490925945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-3760954.8832</v>
      </c>
      <c r="E106" s="146" t="n">
        <f aca="false">E85</f>
        <v>146666.649813333</v>
      </c>
      <c r="F106" s="146" t="n">
        <f aca="false">F85-F96</f>
        <v>162188.982826667</v>
      </c>
      <c r="G106" s="146" t="n">
        <f aca="false">G85-G96</f>
        <v>177711.31584</v>
      </c>
      <c r="H106" s="146" t="n">
        <f aca="false">H85-H96</f>
        <v>193233.648853333</v>
      </c>
      <c r="I106" s="146" t="n">
        <f aca="false">I85-I96</f>
        <v>208755.981866667</v>
      </c>
      <c r="J106" s="146" t="n">
        <f aca="false">J85-J96</f>
        <v>224278.31488</v>
      </c>
      <c r="K106" s="146" t="n">
        <f aca="false">K85-K96</f>
        <v>239800.647893334</v>
      </c>
      <c r="L106" s="146" t="n">
        <f aca="false">L85-L96</f>
        <v>255322.980906667</v>
      </c>
      <c r="M106" s="146" t="n">
        <f aca="false">M85-M96</f>
        <v>270845.31392</v>
      </c>
      <c r="N106" s="146" t="n">
        <f aca="false">N85-N96</f>
        <v>321255.646933334</v>
      </c>
      <c r="O106" s="146" t="n">
        <f aca="false">O85-O96</f>
        <v>336777.979946667</v>
      </c>
      <c r="P106" s="146" t="n">
        <f aca="false">P85-P96</f>
        <v>352300.31296</v>
      </c>
      <c r="Q106" s="146" t="n">
        <f aca="false">Q85-Q96</f>
        <v>367822.645973334</v>
      </c>
      <c r="R106" s="146" t="n">
        <f aca="false">R85-R96</f>
        <v>383344.978986667</v>
      </c>
      <c r="S106" s="146" t="n">
        <f aca="false">S85-S96</f>
        <v>398867.312000001</v>
      </c>
      <c r="T106" s="146" t="n">
        <f aca="false">T85-T96</f>
        <v>1422930.6864</v>
      </c>
      <c r="U106" s="146" t="n">
        <f aca="false">U85-U96</f>
        <v>1415929.0608</v>
      </c>
      <c r="V106" s="146" t="n">
        <f aca="false">V85-V96</f>
        <v>1408927.4352</v>
      </c>
      <c r="W106" s="146" t="n">
        <f aca="false">W85-W96</f>
        <v>1401925.8096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0.0749125116540286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16497040</v>
      </c>
      <c r="E109" s="143" t="n">
        <f aca="false">D109+E93</f>
        <v>15397237.3333333</v>
      </c>
      <c r="F109" s="143" t="n">
        <f aca="false">E109+F93</f>
        <v>14297434.6666667</v>
      </c>
      <c r="G109" s="143" t="n">
        <f aca="false">F109+G93</f>
        <v>13197632</v>
      </c>
      <c r="H109" s="143" t="n">
        <f aca="false">G109+H93</f>
        <v>12097829.3333333</v>
      </c>
      <c r="I109" s="143" t="n">
        <f aca="false">H109+I93</f>
        <v>10998026.6666667</v>
      </c>
      <c r="J109" s="143" t="n">
        <f aca="false">I109+J93</f>
        <v>9898223.99999999</v>
      </c>
      <c r="K109" s="143" t="n">
        <f aca="false">J109+K93</f>
        <v>8798421.33333332</v>
      </c>
      <c r="L109" s="143" t="n">
        <f aca="false">K109+L93</f>
        <v>7698618.66666665</v>
      </c>
      <c r="M109" s="143" t="n">
        <f aca="false">L109+M93</f>
        <v>6598815.99999998</v>
      </c>
      <c r="N109" s="143" t="n">
        <f aca="false">M109+N93</f>
        <v>5499013.33333331</v>
      </c>
      <c r="O109" s="143" t="n">
        <f aca="false">N109+O93</f>
        <v>4399210.66666664</v>
      </c>
      <c r="P109" s="143" t="n">
        <f aca="false">O109+P93</f>
        <v>3299407.99999997</v>
      </c>
      <c r="Q109" s="143" t="n">
        <f aca="false">P109+Q93</f>
        <v>2199605.3333333</v>
      </c>
      <c r="R109" s="143" t="n">
        <f aca="false">Q109+R93</f>
        <v>1099802.66666663</v>
      </c>
      <c r="S109" s="143" t="n">
        <f aca="false">R109+S93</f>
        <v>-4.33064997196198E-008</v>
      </c>
      <c r="T109" s="143" t="n">
        <f aca="false">S109+T93</f>
        <v>-4.33064997196198E-008</v>
      </c>
      <c r="U109" s="143" t="n">
        <f aca="false">T109+U93</f>
        <v>-4.33064997196198E-008</v>
      </c>
      <c r="V109" s="143" t="n">
        <f aca="false">U109+V93</f>
        <v>-4.33064997196198E-008</v>
      </c>
      <c r="W109" s="143" t="n">
        <f aca="false">V109+W93</f>
        <v>-4.33064997196198E-008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162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163</v>
      </c>
    </row>
    <row r="8" customFormat="false" ht="22.5" hidden="false" customHeight="true" outlineLevel="0" collapsed="false">
      <c r="B8" s="16" t="s">
        <v>14</v>
      </c>
      <c r="E8" s="46"/>
      <c r="M8" s="1" t="s">
        <v>164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84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29000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-19375300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-37940.7</v>
      </c>
      <c r="E49" s="104" t="n">
        <v>-37940.7</v>
      </c>
      <c r="F49" s="104" t="n">
        <v>-37940.7</v>
      </c>
      <c r="G49" s="104" t="n">
        <v>-37940.7</v>
      </c>
      <c r="H49" s="104" t="n">
        <v>-37940.7</v>
      </c>
      <c r="I49" s="104" t="n">
        <v>-37940.7</v>
      </c>
      <c r="J49" s="104" t="n">
        <v>-37940.7</v>
      </c>
      <c r="K49" s="104" t="n">
        <v>-37940.7</v>
      </c>
      <c r="L49" s="104" t="n">
        <v>-37940.7</v>
      </c>
      <c r="M49" s="104" t="n">
        <v>-37940.7</v>
      </c>
      <c r="N49" s="104" t="n">
        <v>-37940.7</v>
      </c>
      <c r="O49" s="104" t="n">
        <v>-37940.7</v>
      </c>
      <c r="P49" s="104" t="n">
        <v>-37940.7</v>
      </c>
      <c r="Q49" s="104" t="n">
        <v>-37940.7</v>
      </c>
      <c r="R49" s="104" t="n">
        <v>-37940.7</v>
      </c>
      <c r="S49" s="104" t="n">
        <v>-37940.7</v>
      </c>
      <c r="T49" s="104" t="n">
        <v>-37940.7</v>
      </c>
      <c r="U49" s="104" t="n">
        <v>-37940.7</v>
      </c>
      <c r="V49" s="104" t="n">
        <v>-37940.7</v>
      </c>
      <c r="W49" s="104" t="n">
        <v>-37940.7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-188274.444</v>
      </c>
      <c r="E54" s="104" t="n">
        <f aca="false">-(E64+E67+E68+E71+E72+E73+E74)*0.2</f>
        <v>-128483.8376</v>
      </c>
      <c r="F54" s="104" t="n">
        <f aca="false">-(F64+F67+F68+F71+F72+F73+F74)*0.2</f>
        <v>-126733.4312</v>
      </c>
      <c r="G54" s="104" t="n">
        <f aca="false">-(G64+G67+G68+G71+G72+G73+G74)*0.2</f>
        <v>-124983.0248</v>
      </c>
      <c r="H54" s="104" t="n">
        <f aca="false">-(H64+H67+H68+H71+H72+H73+H74)*0.2</f>
        <v>-123232.6184</v>
      </c>
      <c r="I54" s="104" t="n">
        <f aca="false">-(I64+I67+I68+I71+I72+I73+I74)*0.2</f>
        <v>-121482.212</v>
      </c>
      <c r="J54" s="104" t="n">
        <f aca="false">-(J64+J67+J68+J71+J72+J73+J74)*0.2</f>
        <v>-119731.8056</v>
      </c>
      <c r="K54" s="104" t="n">
        <f aca="false">-(K64+K67+K68+K71+K72+K73+K74)*0.2</f>
        <v>-117981.3992</v>
      </c>
      <c r="L54" s="104" t="n">
        <f aca="false">-(L64+L67+L68+L71+L72+L73+L74)*0.2</f>
        <v>-116230.9928</v>
      </c>
      <c r="M54" s="104" t="n">
        <f aca="false">-(M64+M67+M68+M71+M72+M73+M74)*0.2</f>
        <v>-114480.5864</v>
      </c>
      <c r="N54" s="104" t="n">
        <f aca="false">-(N64+N67+N68+N71+N72+N73+N74)*0.2</f>
        <v>-121452.18</v>
      </c>
      <c r="O54" s="104" t="n">
        <f aca="false">-(O64+O67+O68+O71+O72+O73+O74)*0.2</f>
        <v>-119701.7736</v>
      </c>
      <c r="P54" s="104" t="n">
        <f aca="false">-(P64+P67+P68+P71+P72+P73+P74)*0.2</f>
        <v>-117951.3672</v>
      </c>
      <c r="Q54" s="104" t="n">
        <f aca="false">-(Q64+Q67+Q68+Q71+Q72+Q73+Q74)*0.2</f>
        <v>-116200.9608</v>
      </c>
      <c r="R54" s="104" t="n">
        <f aca="false">-(R64+R67+R68+R71+R72+R73+R74)*0.2</f>
        <v>-114450.5544</v>
      </c>
      <c r="S54" s="104" t="n">
        <f aca="false">-(S64+S67+S68+S71+S72+S73+S74)*0.2</f>
        <v>-112700.148</v>
      </c>
      <c r="T54" s="104" t="n">
        <f aca="false">-(T64+T67+T68+T71+T72+T73+T74)*0.2</f>
        <v>-110949.7416</v>
      </c>
      <c r="U54" s="104" t="n">
        <f aca="false">-(U64+U67+U68+U71+U72+U73+U74)*0.2</f>
        <v>-109199.3352</v>
      </c>
      <c r="V54" s="104" t="n">
        <f aca="false">-(V64+V67+V68+V71+V72+V73+V74)*0.2</f>
        <v>-107448.9288</v>
      </c>
      <c r="W54" s="104" t="n">
        <f aca="false">-(W64+W67+W68+W71+W72+W73+W74)*0.2</f>
        <v>-105698.5224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-19375300</v>
      </c>
      <c r="D55" s="109" t="n">
        <f aca="false">SUM(D41:D54)</f>
        <v>1431661.776</v>
      </c>
      <c r="E55" s="109" t="n">
        <f aca="false">SUM(E41:E54)</f>
        <v>1482700.3504</v>
      </c>
      <c r="F55" s="109" t="n">
        <f aca="false">SUM(F41:F54)</f>
        <v>1475698.7248</v>
      </c>
      <c r="G55" s="109" t="n">
        <f aca="false">SUM(G41:G54)</f>
        <v>1468697.0992</v>
      </c>
      <c r="H55" s="109" t="n">
        <f aca="false">SUM(H41:H54)</f>
        <v>1461695.4736</v>
      </c>
      <c r="I55" s="109" t="n">
        <f aca="false">SUM(I41:I54)</f>
        <v>1454693.848</v>
      </c>
      <c r="J55" s="109" t="n">
        <f aca="false">SUM(J41:J54)</f>
        <v>1447692.2224</v>
      </c>
      <c r="K55" s="109" t="n">
        <f aca="false">SUM(K41:K54)</f>
        <v>1440690.5968</v>
      </c>
      <c r="L55" s="109" t="n">
        <f aca="false">SUM(L41:L54)</f>
        <v>1433688.9712</v>
      </c>
      <c r="M55" s="109" t="n">
        <f aca="false">SUM(M41:M54)</f>
        <v>1426687.3456</v>
      </c>
      <c r="N55" s="109" t="n">
        <f aca="false">SUM(N41:N54)</f>
        <v>1454573.72</v>
      </c>
      <c r="O55" s="109" t="n">
        <f aca="false">SUM(O41:O54)</f>
        <v>1447572.0944</v>
      </c>
      <c r="P55" s="109" t="n">
        <f aca="false">SUM(P41:P54)</f>
        <v>1440570.4688</v>
      </c>
      <c r="Q55" s="109" t="n">
        <f aca="false">SUM(Q41:Q54)</f>
        <v>1433568.8432</v>
      </c>
      <c r="R55" s="109" t="n">
        <f aca="false">SUM(R41:R54)</f>
        <v>1426567.2176</v>
      </c>
      <c r="S55" s="109" t="n">
        <f aca="false">SUM(S41:S54)</f>
        <v>1419565.592</v>
      </c>
      <c r="T55" s="109" t="n">
        <f aca="false">SUM(T41:T54)</f>
        <v>1412563.9664</v>
      </c>
      <c r="U55" s="109" t="n">
        <f aca="false">SUM(U41:U54)</f>
        <v>1405562.3408</v>
      </c>
      <c r="V55" s="109" t="n">
        <f aca="false">SUM(V41:V54)</f>
        <v>1398560.7152</v>
      </c>
      <c r="W55" s="109" t="n">
        <f aca="false">SUM(W41:W54)</f>
        <v>1391559.0896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-17943638.224</v>
      </c>
      <c r="E56" s="114" t="n">
        <f aca="false">D56+E55</f>
        <v>-16460937.8736</v>
      </c>
      <c r="F56" s="114" t="n">
        <f aca="false">E56+F55</f>
        <v>-14985239.1488</v>
      </c>
      <c r="G56" s="114" t="n">
        <f aca="false">F56+G55</f>
        <v>-13516542.0496</v>
      </c>
      <c r="H56" s="114" t="n">
        <f aca="false">G56+H55</f>
        <v>-12054846.576</v>
      </c>
      <c r="I56" s="114" t="n">
        <f aca="false">H56+I55</f>
        <v>-10600152.728</v>
      </c>
      <c r="J56" s="114" t="n">
        <f aca="false">I56+J55</f>
        <v>-9152460.5056</v>
      </c>
      <c r="K56" s="114" t="n">
        <f aca="false">J56+K55</f>
        <v>-7711769.9088</v>
      </c>
      <c r="L56" s="114" t="n">
        <f aca="false">K56+L55</f>
        <v>-6278080.9376</v>
      </c>
      <c r="M56" s="114" t="n">
        <f aca="false">L56+M55</f>
        <v>-4851393.592</v>
      </c>
      <c r="N56" s="114" t="n">
        <f aca="false">M56+N55</f>
        <v>-3396819.872</v>
      </c>
      <c r="O56" s="114" t="n">
        <f aca="false">N56+O55</f>
        <v>-1949247.7776</v>
      </c>
      <c r="P56" s="114" t="n">
        <f aca="false">O56+P55</f>
        <v>-508677.308800002</v>
      </c>
      <c r="Q56" s="114" t="n">
        <f aca="false">P56+Q55</f>
        <v>924891.534399998</v>
      </c>
      <c r="R56" s="114" t="n">
        <f aca="false">Q56+R55</f>
        <v>2351458.752</v>
      </c>
      <c r="S56" s="114" t="n">
        <f aca="false">R56+S55</f>
        <v>3771024.344</v>
      </c>
      <c r="T56" s="114" t="n">
        <f aca="false">S56+T55</f>
        <v>5183588.3104</v>
      </c>
      <c r="U56" s="114" t="n">
        <f aca="false">T56+U55</f>
        <v>6589150.6512</v>
      </c>
      <c r="V56" s="114" t="n">
        <f aca="false">U56+V55</f>
        <v>7987711.3664</v>
      </c>
      <c r="W56" s="114" t="n">
        <f aca="false">V56+W55</f>
        <v>9379270.456</v>
      </c>
      <c r="X56" s="114" t="n">
        <f aca="false">W56+X55</f>
        <v>9379270.456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0.0413151939163961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-968765</v>
      </c>
      <c r="E67" s="127" t="n">
        <f aca="false">$C$44/$E$16</f>
        <v>-968765</v>
      </c>
      <c r="F67" s="127" t="n">
        <f aca="false">$C$44/$E$16</f>
        <v>-968765</v>
      </c>
      <c r="G67" s="127" t="n">
        <f aca="false">$C$44/$E$16</f>
        <v>-968765</v>
      </c>
      <c r="H67" s="127" t="n">
        <f aca="false">$C$44/$E$16</f>
        <v>-968765</v>
      </c>
      <c r="I67" s="127" t="n">
        <f aca="false">$C$44/$E$16</f>
        <v>-968765</v>
      </c>
      <c r="J67" s="127" t="n">
        <f aca="false">$C$44/$E$16</f>
        <v>-968765</v>
      </c>
      <c r="K67" s="127" t="n">
        <f aca="false">$C$44/$E$16</f>
        <v>-968765</v>
      </c>
      <c r="L67" s="127" t="n">
        <f aca="false">$C$44/$E$16</f>
        <v>-968765</v>
      </c>
      <c r="M67" s="127" t="n">
        <f aca="false">$C$44/$E$16</f>
        <v>-968765</v>
      </c>
      <c r="N67" s="127" t="n">
        <f aca="false">$C$44/$E$16</f>
        <v>-968765</v>
      </c>
      <c r="O67" s="127" t="n">
        <f aca="false">$C$44/$E$16</f>
        <v>-968765</v>
      </c>
      <c r="P67" s="127" t="n">
        <f aca="false">$C$44/$E$16</f>
        <v>-968765</v>
      </c>
      <c r="Q67" s="127" t="n">
        <f aca="false">$C$44/$E$16</f>
        <v>-968765</v>
      </c>
      <c r="R67" s="127" t="n">
        <f aca="false">$C$44/$E$16</f>
        <v>-968765</v>
      </c>
      <c r="S67" s="127" t="n">
        <f aca="false">$C$44/$E$16</f>
        <v>-968765</v>
      </c>
      <c r="T67" s="127" t="n">
        <f aca="false">$C$44/$E$16</f>
        <v>-968765</v>
      </c>
      <c r="U67" s="127" t="n">
        <f aca="false">$C$44/$E$16</f>
        <v>-968765</v>
      </c>
      <c r="V67" s="127" t="n">
        <f aca="false">$C$44/$E$16</f>
        <v>-968765</v>
      </c>
      <c r="W67" s="127" t="n">
        <f aca="false">$C$44/$E$16</f>
        <v>-968765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-396806.144</v>
      </c>
      <c r="E70" s="104" t="n">
        <f aca="false">-E109*$D25</f>
        <v>-370352.401066667</v>
      </c>
      <c r="F70" s="104" t="n">
        <f aca="false">-F109*$D25</f>
        <v>-343898.658133334</v>
      </c>
      <c r="G70" s="104" t="n">
        <f aca="false">-G109*$D25</f>
        <v>-317444.9152</v>
      </c>
      <c r="H70" s="104" t="n">
        <f aca="false">-H109*$D25</f>
        <v>-290991.172266667</v>
      </c>
      <c r="I70" s="104" t="n">
        <f aca="false">-I109*$D25</f>
        <v>-264537.429333334</v>
      </c>
      <c r="J70" s="104" t="n">
        <f aca="false">-J109*$D25</f>
        <v>-238083.686400001</v>
      </c>
      <c r="K70" s="104" t="n">
        <f aca="false">-K109*$D25</f>
        <v>-211629.943466667</v>
      </c>
      <c r="L70" s="104" t="n">
        <f aca="false">-L109*$D25</f>
        <v>-185176.200533334</v>
      </c>
      <c r="M70" s="104" t="n">
        <f aca="false">-M109*$D25</f>
        <v>-158722.457600001</v>
      </c>
      <c r="N70" s="104" t="n">
        <f aca="false">-N109*$D25</f>
        <v>-132268.714666668</v>
      </c>
      <c r="O70" s="104" t="n">
        <f aca="false">-O109*$D25</f>
        <v>-105814.971733334</v>
      </c>
      <c r="P70" s="104" t="n">
        <f aca="false">-P109*$D25</f>
        <v>-79361.2288000011</v>
      </c>
      <c r="Q70" s="104" t="n">
        <f aca="false">-Q109*$D25</f>
        <v>-52907.4858666678</v>
      </c>
      <c r="R70" s="104" t="n">
        <f aca="false">-R109*$D25</f>
        <v>-26453.7429333346</v>
      </c>
      <c r="S70" s="104" t="n">
        <f aca="false">-S109*$D25</f>
        <v>-1.30534172058105E-009</v>
      </c>
      <c r="T70" s="104" t="n">
        <f aca="false">-T109*$D25</f>
        <v>-1.30534172058105E-009</v>
      </c>
      <c r="U70" s="104" t="n">
        <f aca="false">-U109*$D25</f>
        <v>-1.30534172058105E-009</v>
      </c>
      <c r="V70" s="104" t="n">
        <f aca="false">-V109*$D25</f>
        <v>-1.30534172058105E-009</v>
      </c>
      <c r="W70" s="104" t="n">
        <f aca="false">-W109*$D25</f>
        <v>-1.30534172058105E-009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-37940.7</v>
      </c>
      <c r="E72" s="104" t="n">
        <f aca="false">E49</f>
        <v>-37940.7</v>
      </c>
      <c r="F72" s="104" t="n">
        <f aca="false">F49</f>
        <v>-37940.7</v>
      </c>
      <c r="G72" s="104" t="n">
        <f aca="false">G49</f>
        <v>-37940.7</v>
      </c>
      <c r="H72" s="104" t="n">
        <f aca="false">H49</f>
        <v>-37940.7</v>
      </c>
      <c r="I72" s="104" t="n">
        <f aca="false">I49</f>
        <v>-37940.7</v>
      </c>
      <c r="J72" s="104" t="n">
        <f aca="false">J49</f>
        <v>-37940.7</v>
      </c>
      <c r="K72" s="104" t="n">
        <f aca="false">K49</f>
        <v>-37940.7</v>
      </c>
      <c r="L72" s="104" t="n">
        <f aca="false">L49</f>
        <v>-37940.7</v>
      </c>
      <c r="M72" s="104" t="n">
        <f aca="false">M49</f>
        <v>-37940.7</v>
      </c>
      <c r="N72" s="104" t="n">
        <f aca="false">N49</f>
        <v>-37940.7</v>
      </c>
      <c r="O72" s="104" t="n">
        <f aca="false">O49</f>
        <v>-37940.7</v>
      </c>
      <c r="P72" s="104" t="n">
        <f aca="false">P49</f>
        <v>-37940.7</v>
      </c>
      <c r="Q72" s="104" t="n">
        <f aca="false">Q49</f>
        <v>-37940.7</v>
      </c>
      <c r="R72" s="104" t="n">
        <f aca="false">R49</f>
        <v>-37940.7</v>
      </c>
      <c r="S72" s="104" t="n">
        <f aca="false">S49</f>
        <v>-37940.7</v>
      </c>
      <c r="T72" s="104" t="n">
        <f aca="false">T49</f>
        <v>-37940.7</v>
      </c>
      <c r="U72" s="104" t="n">
        <f aca="false">U49</f>
        <v>-37940.7</v>
      </c>
      <c r="V72" s="104" t="n">
        <f aca="false">V49</f>
        <v>-37940.7</v>
      </c>
      <c r="W72" s="104" t="n">
        <f aca="false">W49</f>
        <v>-37940.7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544566.076</v>
      </c>
      <c r="E76" s="109" t="n">
        <f aca="false">SUM(E64:E75)</f>
        <v>272066.786933333</v>
      </c>
      <c r="F76" s="109" t="n">
        <f aca="false">SUM(F64:F75)</f>
        <v>289768.497866666</v>
      </c>
      <c r="G76" s="109" t="n">
        <f aca="false">SUM(G64:G75)</f>
        <v>307470.208799999</v>
      </c>
      <c r="H76" s="109" t="n">
        <f aca="false">SUM(H64:H75)</f>
        <v>325171.919733333</v>
      </c>
      <c r="I76" s="109" t="n">
        <f aca="false">SUM(I64:I75)</f>
        <v>342873.630666666</v>
      </c>
      <c r="J76" s="109" t="n">
        <f aca="false">SUM(J64:J75)</f>
        <v>360575.341599999</v>
      </c>
      <c r="K76" s="109" t="n">
        <f aca="false">SUM(K64:K75)</f>
        <v>378277.052533332</v>
      </c>
      <c r="L76" s="109" t="n">
        <f aca="false">SUM(L64:L75)</f>
        <v>395978.763466666</v>
      </c>
      <c r="M76" s="109" t="n">
        <f aca="false">SUM(M64:M75)</f>
        <v>413680.474399999</v>
      </c>
      <c r="N76" s="109" t="n">
        <f aca="false">SUM(N64:N75)</f>
        <v>474992.185333332</v>
      </c>
      <c r="O76" s="109" t="n">
        <f aca="false">SUM(O64:O75)</f>
        <v>492693.896266665</v>
      </c>
      <c r="P76" s="109" t="n">
        <f aca="false">SUM(P64:P75)</f>
        <v>510395.607199999</v>
      </c>
      <c r="Q76" s="109" t="n">
        <f aca="false">SUM(Q64:Q75)</f>
        <v>528097.318133332</v>
      </c>
      <c r="R76" s="109" t="n">
        <f aca="false">SUM(R64:R75)</f>
        <v>545799.029066665</v>
      </c>
      <c r="S76" s="109" t="n">
        <f aca="false">SUM(S64:S75)</f>
        <v>563500.739999999</v>
      </c>
      <c r="T76" s="109" t="n">
        <f aca="false">SUM(T64:T75)</f>
        <v>554748.707999998</v>
      </c>
      <c r="U76" s="109" t="n">
        <f aca="false">SUM(U64:U75)</f>
        <v>545996.675999999</v>
      </c>
      <c r="V76" s="109" t="n">
        <f aca="false">SUM(V64:V75)</f>
        <v>537244.643999998</v>
      </c>
      <c r="W76" s="109" t="n">
        <f aca="false">SUM(W64:W75)</f>
        <v>528492.611999999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-108913.2152</v>
      </c>
      <c r="E77" s="104" t="n">
        <f aca="false">-E76*0.2</f>
        <v>-54413.3573866665</v>
      </c>
      <c r="F77" s="104" t="n">
        <f aca="false">-F76*0.2</f>
        <v>-57953.6995733333</v>
      </c>
      <c r="G77" s="104" t="n">
        <f aca="false">-G76*0.2</f>
        <v>-61494.0417599999</v>
      </c>
      <c r="H77" s="104" t="n">
        <f aca="false">-H76*0.2</f>
        <v>-65034.3839466665</v>
      </c>
      <c r="I77" s="104" t="n">
        <f aca="false">-I76*0.2</f>
        <v>-68574.7261333331</v>
      </c>
      <c r="J77" s="104" t="n">
        <f aca="false">-J76*0.2</f>
        <v>-72115.0683199999</v>
      </c>
      <c r="K77" s="104" t="n">
        <f aca="false">-K76*0.2</f>
        <v>-75655.4105066665</v>
      </c>
      <c r="L77" s="104" t="n">
        <f aca="false">-L76*0.2</f>
        <v>-79195.7526933331</v>
      </c>
      <c r="M77" s="104" t="n">
        <f aca="false">-M76*0.2</f>
        <v>-82736.0948799998</v>
      </c>
      <c r="N77" s="104" t="n">
        <f aca="false">-N76*0.2</f>
        <v>-94998.4370666664</v>
      </c>
      <c r="O77" s="104" t="n">
        <f aca="false">-O76*0.2</f>
        <v>-98538.7792533331</v>
      </c>
      <c r="P77" s="104" t="n">
        <f aca="false">-P76*0.2</f>
        <v>-102079.12144</v>
      </c>
      <c r="Q77" s="104" t="n">
        <f aca="false">-Q76*0.2</f>
        <v>-105619.463626666</v>
      </c>
      <c r="R77" s="104" t="n">
        <f aca="false">-R76*0.2</f>
        <v>-109159.805813333</v>
      </c>
      <c r="S77" s="104" t="n">
        <f aca="false">-S76*0.2</f>
        <v>-112700.148</v>
      </c>
      <c r="T77" s="104" t="n">
        <f aca="false">-T76*0.2</f>
        <v>-110949.7416</v>
      </c>
      <c r="U77" s="104" t="n">
        <f aca="false">-U76*0.2</f>
        <v>-109199.3352</v>
      </c>
      <c r="V77" s="104" t="n">
        <f aca="false">-V76*0.2</f>
        <v>-107448.9288</v>
      </c>
      <c r="W77" s="104" t="n">
        <f aca="false">-W76*0.2</f>
        <v>-105698.5224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435652.8608</v>
      </c>
      <c r="E78" s="104" t="n">
        <f aca="false">SUM(E76:E77)</f>
        <v>217653.429546666</v>
      </c>
      <c r="F78" s="104" t="n">
        <f aca="false">SUM(F76:F77)</f>
        <v>231814.798293333</v>
      </c>
      <c r="G78" s="104" t="n">
        <f aca="false">SUM(G76:G77)</f>
        <v>245976.16704</v>
      </c>
      <c r="H78" s="104" t="n">
        <f aca="false">SUM(H76:H77)</f>
        <v>260137.535786666</v>
      </c>
      <c r="I78" s="104" t="n">
        <f aca="false">SUM(I76:I77)</f>
        <v>274298.904533333</v>
      </c>
      <c r="J78" s="104" t="n">
        <f aca="false">SUM(J76:J77)</f>
        <v>288460.273279999</v>
      </c>
      <c r="K78" s="104" t="n">
        <f aca="false">SUM(K76:K77)</f>
        <v>302621.642026666</v>
      </c>
      <c r="L78" s="104" t="n">
        <f aca="false">SUM(L76:L77)</f>
        <v>316783.010773332</v>
      </c>
      <c r="M78" s="104" t="n">
        <f aca="false">SUM(M76:M77)</f>
        <v>330944.379519999</v>
      </c>
      <c r="N78" s="104" t="n">
        <f aca="false">SUM(N76:N77)</f>
        <v>379993.748266666</v>
      </c>
      <c r="O78" s="104" t="n">
        <f aca="false">SUM(O76:O77)</f>
        <v>394155.117013332</v>
      </c>
      <c r="P78" s="104" t="n">
        <f aca="false">SUM(P76:P77)</f>
        <v>408316.485759999</v>
      </c>
      <c r="Q78" s="104" t="n">
        <f aca="false">SUM(Q76:Q77)</f>
        <v>422477.854506666</v>
      </c>
      <c r="R78" s="104" t="n">
        <f aca="false">SUM(R76:R77)</f>
        <v>436639.223253332</v>
      </c>
      <c r="S78" s="104" t="n">
        <f aca="false">SUM(S76:S77)</f>
        <v>450800.591999999</v>
      </c>
      <c r="T78" s="104" t="n">
        <f aca="false">SUM(T76:T77)</f>
        <v>443798.966399999</v>
      </c>
      <c r="U78" s="104" t="n">
        <f aca="false">SUM(U76:U77)</f>
        <v>436797.340799999</v>
      </c>
      <c r="V78" s="104" t="n">
        <f aca="false">SUM(V76:V77)</f>
        <v>429795.715199999</v>
      </c>
      <c r="W78" s="104" t="n">
        <f aca="false">SUM(W76:W77)</f>
        <v>422794.089599999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435652.8608</v>
      </c>
      <c r="E85" s="143" t="n">
        <f aca="false">E78</f>
        <v>217653.429546666</v>
      </c>
      <c r="F85" s="143" t="n">
        <f aca="false">F78</f>
        <v>231814.798293333</v>
      </c>
      <c r="G85" s="143" t="n">
        <f aca="false">G78</f>
        <v>245976.16704</v>
      </c>
      <c r="H85" s="143" t="n">
        <f aca="false">H78</f>
        <v>260137.535786666</v>
      </c>
      <c r="I85" s="143" t="n">
        <f aca="false">I78</f>
        <v>274298.904533333</v>
      </c>
      <c r="J85" s="143" t="n">
        <f aca="false">J78</f>
        <v>288460.273279999</v>
      </c>
      <c r="K85" s="143" t="n">
        <f aca="false">K78</f>
        <v>302621.642026666</v>
      </c>
      <c r="L85" s="143" t="n">
        <f aca="false">L78</f>
        <v>316783.010773332</v>
      </c>
      <c r="M85" s="143" t="n">
        <f aca="false">M78</f>
        <v>330944.379519999</v>
      </c>
      <c r="N85" s="143" t="n">
        <f aca="false">N78</f>
        <v>379993.748266666</v>
      </c>
      <c r="O85" s="143" t="n">
        <f aca="false">O78</f>
        <v>394155.117013332</v>
      </c>
      <c r="P85" s="143" t="n">
        <f aca="false">P78</f>
        <v>408316.485759999</v>
      </c>
      <c r="Q85" s="143" t="n">
        <f aca="false">Q78</f>
        <v>422477.854506666</v>
      </c>
      <c r="R85" s="143" t="n">
        <f aca="false">R78</f>
        <v>436639.223253332</v>
      </c>
      <c r="S85" s="143" t="n">
        <f aca="false">S78</f>
        <v>450800.591999999</v>
      </c>
      <c r="T85" s="143" t="n">
        <f aca="false">T78</f>
        <v>443798.966399999</v>
      </c>
      <c r="U85" s="143" t="n">
        <f aca="false">U78</f>
        <v>436797.340799999</v>
      </c>
      <c r="V85" s="143" t="n">
        <f aca="false">V78</f>
        <v>429795.715199999</v>
      </c>
      <c r="W85" s="143" t="n">
        <f aca="false">W78</f>
        <v>422794.089599999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968765</v>
      </c>
      <c r="E86" s="144" t="n">
        <f aca="false">-E67</f>
        <v>968765</v>
      </c>
      <c r="F86" s="144" t="n">
        <f aca="false">-F67</f>
        <v>968765</v>
      </c>
      <c r="G86" s="144" t="n">
        <f aca="false">-G67</f>
        <v>968765</v>
      </c>
      <c r="H86" s="144" t="n">
        <f aca="false">-H67</f>
        <v>968765</v>
      </c>
      <c r="I86" s="144" t="n">
        <f aca="false">-I67</f>
        <v>968765</v>
      </c>
      <c r="J86" s="144" t="n">
        <f aca="false">-J67</f>
        <v>968765</v>
      </c>
      <c r="K86" s="144" t="n">
        <f aca="false">-K67</f>
        <v>968765</v>
      </c>
      <c r="L86" s="144" t="n">
        <f aca="false">-L67</f>
        <v>968765</v>
      </c>
      <c r="M86" s="144" t="n">
        <f aca="false">-M67</f>
        <v>968765</v>
      </c>
      <c r="N86" s="144" t="n">
        <f aca="false">-N67</f>
        <v>968765</v>
      </c>
      <c r="O86" s="144" t="n">
        <f aca="false">-O67</f>
        <v>968765</v>
      </c>
      <c r="P86" s="144" t="n">
        <f aca="false">-P67</f>
        <v>968765</v>
      </c>
      <c r="Q86" s="144" t="n">
        <f aca="false">-Q67</f>
        <v>968765</v>
      </c>
      <c r="R86" s="144" t="n">
        <f aca="false">-R67</f>
        <v>968765</v>
      </c>
      <c r="S86" s="144" t="n">
        <f aca="false">-S67</f>
        <v>968765</v>
      </c>
      <c r="T86" s="144" t="n">
        <f aca="false">-T67</f>
        <v>968765</v>
      </c>
      <c r="U86" s="144" t="n">
        <f aca="false">-U67</f>
        <v>968765</v>
      </c>
      <c r="V86" s="144" t="n">
        <f aca="false">-V67</f>
        <v>968765</v>
      </c>
      <c r="W86" s="144" t="n">
        <f aca="false">-W67</f>
        <v>968765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1404417.8608</v>
      </c>
      <c r="E87" s="146" t="n">
        <f aca="false">SUM(E85:E86)</f>
        <v>1186418.42954667</v>
      </c>
      <c r="F87" s="146" t="n">
        <f aca="false">SUM(F85:F86)</f>
        <v>1200579.79829333</v>
      </c>
      <c r="G87" s="146" t="n">
        <f aca="false">SUM(G85:G86)</f>
        <v>1214741.16704</v>
      </c>
      <c r="H87" s="146" t="n">
        <f aca="false">SUM(H85:H86)</f>
        <v>1228902.53578667</v>
      </c>
      <c r="I87" s="146" t="n">
        <f aca="false">SUM(I85:I86)</f>
        <v>1243063.90453333</v>
      </c>
      <c r="J87" s="146" t="n">
        <f aca="false">SUM(J85:J86)</f>
        <v>1257225.27328</v>
      </c>
      <c r="K87" s="146" t="n">
        <f aca="false">SUM(K85:K86)</f>
        <v>1271386.64202667</v>
      </c>
      <c r="L87" s="146" t="n">
        <f aca="false">SUM(L85:L86)</f>
        <v>1285548.01077333</v>
      </c>
      <c r="M87" s="146" t="n">
        <f aca="false">SUM(M85:M86)</f>
        <v>1299709.37952</v>
      </c>
      <c r="N87" s="146" t="n">
        <f aca="false">SUM(N85:N86)</f>
        <v>1348758.74826667</v>
      </c>
      <c r="O87" s="146" t="n">
        <f aca="false">SUM(O85:O86)</f>
        <v>1362920.11701333</v>
      </c>
      <c r="P87" s="146" t="n">
        <f aca="false">SUM(P85:P86)</f>
        <v>1377081.48576</v>
      </c>
      <c r="Q87" s="146" t="n">
        <f aca="false">SUM(Q85:Q86)</f>
        <v>1391242.85450667</v>
      </c>
      <c r="R87" s="146" t="n">
        <f aca="false">SUM(R85:R86)</f>
        <v>1405404.22325333</v>
      </c>
      <c r="S87" s="146" t="n">
        <f aca="false">SUM(S85:S86)</f>
        <v>1419565.592</v>
      </c>
      <c r="T87" s="146" t="n">
        <f aca="false">SUM(T85:T86)</f>
        <v>1412563.9664</v>
      </c>
      <c r="U87" s="146" t="n">
        <f aca="false">SUM(U85:U86)</f>
        <v>1405562.3408</v>
      </c>
      <c r="V87" s="146" t="n">
        <f aca="false">SUM(V85:V86)</f>
        <v>1398560.7152</v>
      </c>
      <c r="W87" s="146" t="n">
        <f aca="false">SUM(W85:W86)</f>
        <v>1391559.0896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-19375300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15500240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-1033349.33333333</v>
      </c>
      <c r="F93" s="152" t="n">
        <v>-1033349.33333333</v>
      </c>
      <c r="G93" s="152" t="n">
        <v>-1033349.33333333</v>
      </c>
      <c r="H93" s="152" t="n">
        <v>-1033349.33333333</v>
      </c>
      <c r="I93" s="152" t="n">
        <v>-1033349.33333333</v>
      </c>
      <c r="J93" s="152" t="n">
        <v>-1033349.33333333</v>
      </c>
      <c r="K93" s="152" t="n">
        <v>-1033349.33333333</v>
      </c>
      <c r="L93" s="152" t="n">
        <v>-1033349.33333333</v>
      </c>
      <c r="M93" s="152" t="n">
        <v>-1033349.33333333</v>
      </c>
      <c r="N93" s="152" t="n">
        <v>-1033349.33333333</v>
      </c>
      <c r="O93" s="152" t="n">
        <v>-1033349.33333333</v>
      </c>
      <c r="P93" s="152" t="n">
        <v>-1033349.33333333</v>
      </c>
      <c r="Q93" s="152" t="n">
        <v>-1033349.33333333</v>
      </c>
      <c r="R93" s="152" t="n">
        <v>-1033349.33333333</v>
      </c>
      <c r="S93" s="152" t="n">
        <v>-1033349.33333333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3875060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-392087.57472</v>
      </c>
      <c r="F95" s="153" t="n">
        <f aca="false">-E85*$D$33</f>
        <v>-195888.086592</v>
      </c>
      <c r="G95" s="153" t="n">
        <f aca="false">-F85*$D$33</f>
        <v>-208633.318464</v>
      </c>
      <c r="H95" s="153" t="n">
        <f aca="false">-G85*$D$33</f>
        <v>-221378.550336</v>
      </c>
      <c r="I95" s="153" t="n">
        <f aca="false">-H85*$D$33</f>
        <v>-234123.782207999</v>
      </c>
      <c r="J95" s="153" t="n">
        <f aca="false">-I85*$D$33</f>
        <v>-246869.014079999</v>
      </c>
      <c r="K95" s="153" t="n">
        <f aca="false">-J85*$D$33</f>
        <v>-259614.245952</v>
      </c>
      <c r="L95" s="153" t="n">
        <f aca="false">-K85*$D$33</f>
        <v>-272359.477823999</v>
      </c>
      <c r="M95" s="153" t="n">
        <f aca="false">-L85*$D$33</f>
        <v>-285104.709695999</v>
      </c>
      <c r="N95" s="153" t="n">
        <f aca="false">-M85*$D$33</f>
        <v>-297849.941567999</v>
      </c>
      <c r="O95" s="153" t="n">
        <f aca="false">-N85*$D$33</f>
        <v>-341994.373439999</v>
      </c>
      <c r="P95" s="153" t="n">
        <f aca="false">-O85*$D$33</f>
        <v>-354739.605311999</v>
      </c>
      <c r="Q95" s="153" t="n">
        <f aca="false">-P85*$D$33</f>
        <v>-367484.837183999</v>
      </c>
      <c r="R95" s="153" t="n">
        <f aca="false">-Q85*$D$33</f>
        <v>-380230.069055999</v>
      </c>
      <c r="S95" s="153" t="n">
        <f aca="false">-R85*$D$33</f>
        <v>-392975.300927999</v>
      </c>
      <c r="T95" s="153" t="n">
        <f aca="false">-S85*$D$33</f>
        <v>-405720.532799999</v>
      </c>
      <c r="U95" s="153" t="n">
        <f aca="false">-T85*$D$33</f>
        <v>-399419.069759999</v>
      </c>
      <c r="V95" s="153" t="n">
        <f aca="false">-U85*$D$33</f>
        <v>-393117.606719999</v>
      </c>
      <c r="W95" s="153" t="n">
        <f aca="false">-V85*$D$33</f>
        <v>-386816.143679999</v>
      </c>
      <c r="X95" s="153" t="n">
        <f aca="false">-W85*$D$33</f>
        <v>-380514.680639999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-968765</v>
      </c>
      <c r="U96" s="156" t="n">
        <v>-968765</v>
      </c>
      <c r="V96" s="156" t="n">
        <v>-968765</v>
      </c>
      <c r="W96" s="156" t="n">
        <v>-968765</v>
      </c>
      <c r="X96" s="157" t="n">
        <f aca="false">-W101-X95</f>
        <v>-712991.213440053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1404417.8608</v>
      </c>
      <c r="E99" s="143" t="n">
        <f aca="false">SUM(E87:E96)</f>
        <v>-239018.478506663</v>
      </c>
      <c r="F99" s="143" t="n">
        <f aca="false">SUM(F87:F96)</f>
        <v>-28657.6216319963</v>
      </c>
      <c r="G99" s="143" t="n">
        <f aca="false">SUM(G87:G96)</f>
        <v>-27241.48475733</v>
      </c>
      <c r="H99" s="143" t="n">
        <f aca="false">SUM(H87:H96)</f>
        <v>-25825.3478826634</v>
      </c>
      <c r="I99" s="143" t="n">
        <f aca="false">SUM(I87:I96)</f>
        <v>-24409.2110079968</v>
      </c>
      <c r="J99" s="143" t="n">
        <f aca="false">SUM(J87:J96)</f>
        <v>-22993.0741333297</v>
      </c>
      <c r="K99" s="143" t="n">
        <f aca="false">SUM(K87:K96)</f>
        <v>-21576.9372586634</v>
      </c>
      <c r="L99" s="143" t="n">
        <f aca="false">SUM(L87:L96)</f>
        <v>-20160.8003839966</v>
      </c>
      <c r="M99" s="143" t="n">
        <f aca="false">SUM(M87:M96)</f>
        <v>-18744.6635093297</v>
      </c>
      <c r="N99" s="143" t="n">
        <f aca="false">SUM(N87:N96)</f>
        <v>17559.4733653365</v>
      </c>
      <c r="O99" s="143" t="n">
        <f aca="false">SUM(O87:O96)</f>
        <v>-12423.5897599966</v>
      </c>
      <c r="P99" s="143" t="n">
        <f aca="false">SUM(P87:P96)</f>
        <v>-11007.45288533</v>
      </c>
      <c r="Q99" s="143" t="n">
        <f aca="false">SUM(Q87:Q96)</f>
        <v>-9591.31601066305</v>
      </c>
      <c r="R99" s="143" t="n">
        <f aca="false">SUM(R87:R96)</f>
        <v>-8175.17913599667</v>
      </c>
      <c r="S99" s="143" t="n">
        <f aca="false">SUM(S87:S96)</f>
        <v>-6759.04226132989</v>
      </c>
      <c r="T99" s="143" t="n">
        <f aca="false">SUM(T87:T96)</f>
        <v>38078.4335999999</v>
      </c>
      <c r="U99" s="143" t="n">
        <f aca="false">SUM(U87:U96)</f>
        <v>37378.2710400001</v>
      </c>
      <c r="V99" s="143" t="n">
        <f aca="false">SUM(V87:V96)</f>
        <v>36678.1084800002</v>
      </c>
      <c r="W99" s="143" t="n">
        <f aca="false">SUM(W87:W96)</f>
        <v>35977.9459200003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1404417.8608</v>
      </c>
      <c r="F100" s="143" t="n">
        <f aca="false">E101</f>
        <v>1165399.38229334</v>
      </c>
      <c r="G100" s="143" t="n">
        <f aca="false">F101</f>
        <v>1136741.76066134</v>
      </c>
      <c r="H100" s="143" t="n">
        <f aca="false">G101</f>
        <v>1109500.27590401</v>
      </c>
      <c r="I100" s="143" t="n">
        <f aca="false">H101</f>
        <v>1083674.92802135</v>
      </c>
      <c r="J100" s="143" t="n">
        <f aca="false">I101</f>
        <v>1059265.71701335</v>
      </c>
      <c r="K100" s="143" t="n">
        <f aca="false">J101</f>
        <v>1036272.64288002</v>
      </c>
      <c r="L100" s="143" t="n">
        <f aca="false">K101</f>
        <v>1014695.70562136</v>
      </c>
      <c r="M100" s="143" t="n">
        <f aca="false">L101</f>
        <v>994534.905237361</v>
      </c>
      <c r="N100" s="143" t="n">
        <f aca="false">M101</f>
        <v>975790.241728031</v>
      </c>
      <c r="O100" s="143" t="n">
        <f aca="false">N101</f>
        <v>993349.715093367</v>
      </c>
      <c r="P100" s="143" t="n">
        <f aca="false">O101</f>
        <v>980926.125333371</v>
      </c>
      <c r="Q100" s="143" t="n">
        <f aca="false">P101</f>
        <v>969918.672448041</v>
      </c>
      <c r="R100" s="143" t="n">
        <f aca="false">Q101</f>
        <v>960327.356437378</v>
      </c>
      <c r="S100" s="143" t="n">
        <f aca="false">R101</f>
        <v>952152.177301381</v>
      </c>
      <c r="T100" s="143" t="n">
        <f aca="false">S101</f>
        <v>945393.135040051</v>
      </c>
      <c r="U100" s="143" t="n">
        <f aca="false">T101</f>
        <v>983471.568640051</v>
      </c>
      <c r="V100" s="143" t="n">
        <f aca="false">U101</f>
        <v>1020849.83968005</v>
      </c>
      <c r="W100" s="143" t="n">
        <f aca="false">V101</f>
        <v>1057527.94816005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1404417.8608</v>
      </c>
      <c r="E101" s="143" t="n">
        <f aca="false">E99+E100</f>
        <v>1165399.38229334</v>
      </c>
      <c r="F101" s="143" t="n">
        <f aca="false">F99+F100</f>
        <v>1136741.76066134</v>
      </c>
      <c r="G101" s="143" t="n">
        <f aca="false">G99+G100</f>
        <v>1109500.27590401</v>
      </c>
      <c r="H101" s="143" t="n">
        <f aca="false">H99+H100</f>
        <v>1083674.92802135</v>
      </c>
      <c r="I101" s="143" t="n">
        <f aca="false">I99+I100</f>
        <v>1059265.71701335</v>
      </c>
      <c r="J101" s="143" t="n">
        <f aca="false">J99+J100</f>
        <v>1036272.64288002</v>
      </c>
      <c r="K101" s="143" t="n">
        <f aca="false">K99+K100</f>
        <v>1014695.70562136</v>
      </c>
      <c r="L101" s="143" t="n">
        <f aca="false">L99+L100</f>
        <v>994534.905237361</v>
      </c>
      <c r="M101" s="143" t="n">
        <f aca="false">M99+M100</f>
        <v>975790.241728031</v>
      </c>
      <c r="N101" s="143" t="n">
        <f aca="false">N99+N100</f>
        <v>993349.715093367</v>
      </c>
      <c r="O101" s="143" t="n">
        <f aca="false">O99+O100</f>
        <v>980926.125333371</v>
      </c>
      <c r="P101" s="143" t="n">
        <f aca="false">P99+P100</f>
        <v>969918.672448041</v>
      </c>
      <c r="Q101" s="143" t="n">
        <f aca="false">Q99+Q100</f>
        <v>960327.356437378</v>
      </c>
      <c r="R101" s="143" t="n">
        <f aca="false">R99+R100</f>
        <v>952152.177301381</v>
      </c>
      <c r="S101" s="143" t="n">
        <f aca="false">S99+S100</f>
        <v>945393.135040051</v>
      </c>
      <c r="T101" s="143" t="n">
        <f aca="false">T99+T100</f>
        <v>983471.568640051</v>
      </c>
      <c r="U101" s="143" t="n">
        <f aca="false">U99+U100</f>
        <v>1020849.83968005</v>
      </c>
      <c r="V101" s="143" t="n">
        <f aca="false">V99+V100</f>
        <v>1057527.94816005</v>
      </c>
      <c r="W101" s="143" t="n">
        <f aca="false">W99+W100</f>
        <v>1093505.89408005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-3875060</v>
      </c>
      <c r="E104" s="146" t="n">
        <f aca="false">-E95-E96</f>
        <v>392087.57472</v>
      </c>
      <c r="F104" s="146" t="n">
        <f aca="false">-F95-F96</f>
        <v>195888.086592</v>
      </c>
      <c r="G104" s="146" t="n">
        <f aca="false">-G95-G96</f>
        <v>208633.318464</v>
      </c>
      <c r="H104" s="146" t="n">
        <f aca="false">-H95-H96</f>
        <v>221378.550336</v>
      </c>
      <c r="I104" s="146" t="n">
        <f aca="false">-I95-I96</f>
        <v>234123.782207999</v>
      </c>
      <c r="J104" s="146" t="n">
        <f aca="false">-J95-J96</f>
        <v>246869.014079999</v>
      </c>
      <c r="K104" s="146" t="n">
        <f aca="false">-K95-K96</f>
        <v>259614.245952</v>
      </c>
      <c r="L104" s="146" t="n">
        <f aca="false">-L95-L96</f>
        <v>272359.477823999</v>
      </c>
      <c r="M104" s="146" t="n">
        <f aca="false">-M95-M96</f>
        <v>285104.709695999</v>
      </c>
      <c r="N104" s="146" t="n">
        <f aca="false">-N95-N96</f>
        <v>297849.941567999</v>
      </c>
      <c r="O104" s="146" t="n">
        <f aca="false">-O95-O96</f>
        <v>341994.373439999</v>
      </c>
      <c r="P104" s="146" t="n">
        <f aca="false">-P95-P96</f>
        <v>354739.605311999</v>
      </c>
      <c r="Q104" s="146" t="n">
        <f aca="false">-Q95-Q96</f>
        <v>367484.837183999</v>
      </c>
      <c r="R104" s="146" t="n">
        <f aca="false">-R95-R96</f>
        <v>380230.069055999</v>
      </c>
      <c r="S104" s="146" t="n">
        <f aca="false">-S95-S96</f>
        <v>392975.300927999</v>
      </c>
      <c r="T104" s="146" t="n">
        <f aca="false">-T95-T96</f>
        <v>1374485.5328</v>
      </c>
      <c r="U104" s="146" t="n">
        <f aca="false">-U95-U96</f>
        <v>1368184.06976</v>
      </c>
      <c r="V104" s="146" t="n">
        <f aca="false">-V95-V96</f>
        <v>1361882.60672</v>
      </c>
      <c r="W104" s="146" t="n">
        <f aca="false">-W95-W96</f>
        <v>1355581.14368</v>
      </c>
      <c r="X104" s="146" t="n">
        <f aca="false">-X95-X96</f>
        <v>1093505.89408005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0.0851598918964457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-3439407.1392</v>
      </c>
      <c r="E106" s="146" t="n">
        <f aca="false">E85</f>
        <v>217653.429546666</v>
      </c>
      <c r="F106" s="146" t="n">
        <f aca="false">F85-F96</f>
        <v>231814.798293333</v>
      </c>
      <c r="G106" s="146" t="n">
        <f aca="false">G85-G96</f>
        <v>245976.16704</v>
      </c>
      <c r="H106" s="146" t="n">
        <f aca="false">H85-H96</f>
        <v>260137.535786666</v>
      </c>
      <c r="I106" s="146" t="n">
        <f aca="false">I85-I96</f>
        <v>274298.904533333</v>
      </c>
      <c r="J106" s="146" t="n">
        <f aca="false">J85-J96</f>
        <v>288460.273279999</v>
      </c>
      <c r="K106" s="146" t="n">
        <f aca="false">K85-K96</f>
        <v>302621.642026666</v>
      </c>
      <c r="L106" s="146" t="n">
        <f aca="false">L85-L96</f>
        <v>316783.010773332</v>
      </c>
      <c r="M106" s="146" t="n">
        <f aca="false">M85-M96</f>
        <v>330944.379519999</v>
      </c>
      <c r="N106" s="146" t="n">
        <f aca="false">N85-N96</f>
        <v>379993.748266666</v>
      </c>
      <c r="O106" s="146" t="n">
        <f aca="false">O85-O96</f>
        <v>394155.117013332</v>
      </c>
      <c r="P106" s="146" t="n">
        <f aca="false">P85-P96</f>
        <v>408316.485759999</v>
      </c>
      <c r="Q106" s="146" t="n">
        <f aca="false">Q85-Q96</f>
        <v>422477.854506666</v>
      </c>
      <c r="R106" s="146" t="n">
        <f aca="false">R85-R96</f>
        <v>436639.223253332</v>
      </c>
      <c r="S106" s="146" t="n">
        <f aca="false">S85-S96</f>
        <v>450800.591999999</v>
      </c>
      <c r="T106" s="146" t="n">
        <f aca="false">T85-T96</f>
        <v>1412563.9664</v>
      </c>
      <c r="U106" s="146" t="n">
        <f aca="false">U85-U96</f>
        <v>1405562.3408</v>
      </c>
      <c r="V106" s="146" t="n">
        <f aca="false">V85-V96</f>
        <v>1398560.7152</v>
      </c>
      <c r="W106" s="146" t="n">
        <f aca="false">W85-W96</f>
        <v>1391559.0896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0.0973413974244092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15500240</v>
      </c>
      <c r="E109" s="143" t="n">
        <f aca="false">D109+E93</f>
        <v>14466890.6666667</v>
      </c>
      <c r="F109" s="143" t="n">
        <f aca="false">E109+F93</f>
        <v>13433541.3333333</v>
      </c>
      <c r="G109" s="143" t="n">
        <f aca="false">F109+G93</f>
        <v>12400192</v>
      </c>
      <c r="H109" s="143" t="n">
        <f aca="false">G109+H93</f>
        <v>11366842.6666667</v>
      </c>
      <c r="I109" s="143" t="n">
        <f aca="false">H109+I93</f>
        <v>10333493.3333334</v>
      </c>
      <c r="J109" s="143" t="n">
        <f aca="false">I109+J93</f>
        <v>9300144.00000002</v>
      </c>
      <c r="K109" s="143" t="n">
        <f aca="false">J109+K93</f>
        <v>8266794.66666669</v>
      </c>
      <c r="L109" s="143" t="n">
        <f aca="false">K109+L93</f>
        <v>7233445.33333336</v>
      </c>
      <c r="M109" s="143" t="n">
        <f aca="false">L109+M93</f>
        <v>6200096.00000003</v>
      </c>
      <c r="N109" s="143" t="n">
        <f aca="false">M109+N93</f>
        <v>5166746.6666667</v>
      </c>
      <c r="O109" s="143" t="n">
        <f aca="false">N109+O93</f>
        <v>4133397.33333337</v>
      </c>
      <c r="P109" s="143" t="n">
        <f aca="false">O109+P93</f>
        <v>3100048.00000004</v>
      </c>
      <c r="Q109" s="143" t="n">
        <f aca="false">P109+Q93</f>
        <v>2066698.66666671</v>
      </c>
      <c r="R109" s="143" t="n">
        <f aca="false">Q109+R93</f>
        <v>1033349.33333338</v>
      </c>
      <c r="S109" s="143" t="n">
        <f aca="false">R109+S93</f>
        <v>5.09899109601975E-008</v>
      </c>
      <c r="T109" s="143" t="n">
        <f aca="false">S109+T93</f>
        <v>5.09899109601975E-008</v>
      </c>
      <c r="U109" s="143" t="n">
        <f aca="false">T109+U93</f>
        <v>5.09899109601975E-008</v>
      </c>
      <c r="V109" s="143" t="n">
        <f aca="false">U109+V93</f>
        <v>5.09899109601975E-008</v>
      </c>
      <c r="W109" s="143" t="n">
        <f aca="false">V109+W93</f>
        <v>5.09899109601975E-008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165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166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167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168</v>
      </c>
    </row>
    <row r="8" customFormat="false" ht="22.5" hidden="false" customHeight="true" outlineLevel="0" collapsed="false">
      <c r="B8" s="16" t="s">
        <v>14</v>
      </c>
      <c r="E8" s="46"/>
      <c r="M8" s="1" t="s">
        <v>169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85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27000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-18129300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-35324.1</v>
      </c>
      <c r="E49" s="104" t="n">
        <v>-35324.1</v>
      </c>
      <c r="F49" s="104" t="n">
        <v>-35324.1</v>
      </c>
      <c r="G49" s="104" t="n">
        <v>-35324.1</v>
      </c>
      <c r="H49" s="104" t="n">
        <v>-35324.1</v>
      </c>
      <c r="I49" s="104" t="n">
        <v>-35324.1</v>
      </c>
      <c r="J49" s="104" t="n">
        <v>-35324.1</v>
      </c>
      <c r="K49" s="104" t="n">
        <v>-35324.1</v>
      </c>
      <c r="L49" s="104" t="n">
        <v>-35324.1</v>
      </c>
      <c r="M49" s="104" t="n">
        <v>-35324.1</v>
      </c>
      <c r="N49" s="104" t="n">
        <v>-35324.1</v>
      </c>
      <c r="O49" s="104" t="n">
        <v>-35324.1</v>
      </c>
      <c r="P49" s="104" t="n">
        <v>-35324.1</v>
      </c>
      <c r="Q49" s="104" t="n">
        <v>-35324.1</v>
      </c>
      <c r="R49" s="104" t="n">
        <v>-35324.1</v>
      </c>
      <c r="S49" s="104" t="n">
        <v>-35324.1</v>
      </c>
      <c r="T49" s="104" t="n">
        <v>-35324.1</v>
      </c>
      <c r="U49" s="104" t="n">
        <v>-35324.1</v>
      </c>
      <c r="V49" s="104" t="n">
        <v>-35324.1</v>
      </c>
      <c r="W49" s="104" t="n">
        <v>-35324.1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-201257.764</v>
      </c>
      <c r="E54" s="104" t="n">
        <f aca="false">-(E64+E67+E68+E71+E72+E73+E74)*0.2</f>
        <v>-141467.1576</v>
      </c>
      <c r="F54" s="104" t="n">
        <f aca="false">-(F64+F67+F68+F71+F72+F73+F74)*0.2</f>
        <v>-139716.7512</v>
      </c>
      <c r="G54" s="104" t="n">
        <f aca="false">-(G64+G67+G68+G71+G72+G73+G74)*0.2</f>
        <v>-137966.3448</v>
      </c>
      <c r="H54" s="104" t="n">
        <f aca="false">-(H64+H67+H68+H71+H72+H73+H74)*0.2</f>
        <v>-136215.9384</v>
      </c>
      <c r="I54" s="104" t="n">
        <f aca="false">-(I64+I67+I68+I71+I72+I73+I74)*0.2</f>
        <v>-134465.532</v>
      </c>
      <c r="J54" s="104" t="n">
        <f aca="false">-(J64+J67+J68+J71+J72+J73+J74)*0.2</f>
        <v>-132715.1256</v>
      </c>
      <c r="K54" s="104" t="n">
        <f aca="false">-(K64+K67+K68+K71+K72+K73+K74)*0.2</f>
        <v>-130964.7192</v>
      </c>
      <c r="L54" s="104" t="n">
        <f aca="false">-(L64+L67+L68+L71+L72+L73+L74)*0.2</f>
        <v>-129214.3128</v>
      </c>
      <c r="M54" s="104" t="n">
        <f aca="false">-(M64+M67+M68+M71+M72+M73+M74)*0.2</f>
        <v>-127463.9064</v>
      </c>
      <c r="N54" s="104" t="n">
        <f aca="false">-(N64+N67+N68+N71+N72+N73+N74)*0.2</f>
        <v>-134435.5</v>
      </c>
      <c r="O54" s="104" t="n">
        <f aca="false">-(O64+O67+O68+O71+O72+O73+O74)*0.2</f>
        <v>-132685.0936</v>
      </c>
      <c r="P54" s="104" t="n">
        <f aca="false">-(P64+P67+P68+P71+P72+P73+P74)*0.2</f>
        <v>-130934.6872</v>
      </c>
      <c r="Q54" s="104" t="n">
        <f aca="false">-(Q64+Q67+Q68+Q71+Q72+Q73+Q74)*0.2</f>
        <v>-129184.2808</v>
      </c>
      <c r="R54" s="104" t="n">
        <f aca="false">-(R64+R67+R68+R71+R72+R73+R74)*0.2</f>
        <v>-127433.8744</v>
      </c>
      <c r="S54" s="104" t="n">
        <f aca="false">-(S64+S67+S68+S71+S72+S73+S74)*0.2</f>
        <v>-125683.468</v>
      </c>
      <c r="T54" s="104" t="n">
        <f aca="false">-(T64+T67+T68+T71+T72+T73+T74)*0.2</f>
        <v>-123933.0616</v>
      </c>
      <c r="U54" s="104" t="n">
        <f aca="false">-(U64+U67+U68+U71+U72+U73+U74)*0.2</f>
        <v>-122182.6552</v>
      </c>
      <c r="V54" s="104" t="n">
        <f aca="false">-(V64+V67+V68+V71+V72+V73+V74)*0.2</f>
        <v>-120432.2488</v>
      </c>
      <c r="W54" s="104" t="n">
        <f aca="false">-(W64+W67+W68+W71+W72+W73+W74)*0.2</f>
        <v>-118681.8424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-18129300</v>
      </c>
      <c r="D55" s="109" t="n">
        <f aca="false">SUM(D41:D54)</f>
        <v>1421295.056</v>
      </c>
      <c r="E55" s="109" t="n">
        <f aca="false">SUM(E41:E54)</f>
        <v>1472333.6304</v>
      </c>
      <c r="F55" s="109" t="n">
        <f aca="false">SUM(F41:F54)</f>
        <v>1465332.0048</v>
      </c>
      <c r="G55" s="109" t="n">
        <f aca="false">SUM(G41:G54)</f>
        <v>1458330.3792</v>
      </c>
      <c r="H55" s="109" t="n">
        <f aca="false">SUM(H41:H54)</f>
        <v>1451328.7536</v>
      </c>
      <c r="I55" s="109" t="n">
        <f aca="false">SUM(I41:I54)</f>
        <v>1444327.128</v>
      </c>
      <c r="J55" s="109" t="n">
        <f aca="false">SUM(J41:J54)</f>
        <v>1437325.5024</v>
      </c>
      <c r="K55" s="109" t="n">
        <f aca="false">SUM(K41:K54)</f>
        <v>1430323.8768</v>
      </c>
      <c r="L55" s="109" t="n">
        <f aca="false">SUM(L41:L54)</f>
        <v>1423322.2512</v>
      </c>
      <c r="M55" s="109" t="n">
        <f aca="false">SUM(M41:M54)</f>
        <v>1416320.6256</v>
      </c>
      <c r="N55" s="109" t="n">
        <f aca="false">SUM(N41:N54)</f>
        <v>1444207</v>
      </c>
      <c r="O55" s="109" t="n">
        <f aca="false">SUM(O41:O54)</f>
        <v>1437205.3744</v>
      </c>
      <c r="P55" s="109" t="n">
        <f aca="false">SUM(P41:P54)</f>
        <v>1430203.7488</v>
      </c>
      <c r="Q55" s="109" t="n">
        <f aca="false">SUM(Q41:Q54)</f>
        <v>1423202.1232</v>
      </c>
      <c r="R55" s="109" t="n">
        <f aca="false">SUM(R41:R54)</f>
        <v>1416200.4976</v>
      </c>
      <c r="S55" s="109" t="n">
        <f aca="false">SUM(S41:S54)</f>
        <v>1409198.872</v>
      </c>
      <c r="T55" s="109" t="n">
        <f aca="false">SUM(T41:T54)</f>
        <v>1402197.2464</v>
      </c>
      <c r="U55" s="109" t="n">
        <f aca="false">SUM(U41:U54)</f>
        <v>1395195.6208</v>
      </c>
      <c r="V55" s="109" t="n">
        <f aca="false">SUM(V41:V54)</f>
        <v>1388193.9952</v>
      </c>
      <c r="W55" s="109" t="n">
        <f aca="false">SUM(W41:W54)</f>
        <v>1381192.3696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-16708004.944</v>
      </c>
      <c r="E56" s="114" t="n">
        <f aca="false">D56+E55</f>
        <v>-15235671.3136</v>
      </c>
      <c r="F56" s="114" t="n">
        <f aca="false">E56+F55</f>
        <v>-13770339.3088</v>
      </c>
      <c r="G56" s="114" t="n">
        <f aca="false">F56+G55</f>
        <v>-12312008.9296</v>
      </c>
      <c r="H56" s="114" t="n">
        <f aca="false">G56+H55</f>
        <v>-10860680.176</v>
      </c>
      <c r="I56" s="114" t="n">
        <f aca="false">H56+I55</f>
        <v>-9416353.048</v>
      </c>
      <c r="J56" s="114" t="n">
        <f aca="false">I56+J55</f>
        <v>-7979027.5456</v>
      </c>
      <c r="K56" s="114" t="n">
        <f aca="false">J56+K55</f>
        <v>-6548703.6688</v>
      </c>
      <c r="L56" s="114" t="n">
        <f aca="false">K56+L55</f>
        <v>-5125381.4176</v>
      </c>
      <c r="M56" s="114" t="n">
        <f aca="false">L56+M55</f>
        <v>-3709060.792</v>
      </c>
      <c r="N56" s="114" t="n">
        <f aca="false">M56+N55</f>
        <v>-2264853.792</v>
      </c>
      <c r="O56" s="114" t="n">
        <f aca="false">N56+O55</f>
        <v>-827648.417600001</v>
      </c>
      <c r="P56" s="114" t="n">
        <f aca="false">O56+P55</f>
        <v>602555.331199998</v>
      </c>
      <c r="Q56" s="114" t="n">
        <f aca="false">P56+Q55</f>
        <v>2025757.4544</v>
      </c>
      <c r="R56" s="114" t="n">
        <f aca="false">Q56+R55</f>
        <v>3441957.952</v>
      </c>
      <c r="S56" s="114" t="n">
        <f aca="false">R56+S55</f>
        <v>4851156.824</v>
      </c>
      <c r="T56" s="114" t="n">
        <f aca="false">S56+T55</f>
        <v>6253354.0704</v>
      </c>
      <c r="U56" s="114" t="n">
        <f aca="false">T56+U55</f>
        <v>7648549.6912</v>
      </c>
      <c r="V56" s="114" t="n">
        <f aca="false">U56+V55</f>
        <v>9036743.6864</v>
      </c>
      <c r="W56" s="114" t="n">
        <f aca="false">V56+W55</f>
        <v>10417936.056</v>
      </c>
      <c r="X56" s="114" t="n">
        <f aca="false">W56+X55</f>
        <v>10417936.056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0.0482028462703655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-906465</v>
      </c>
      <c r="E67" s="127" t="n">
        <f aca="false">$C$44/$E$16</f>
        <v>-906465</v>
      </c>
      <c r="F67" s="127" t="n">
        <f aca="false">$C$44/$E$16</f>
        <v>-906465</v>
      </c>
      <c r="G67" s="127" t="n">
        <f aca="false">$C$44/$E$16</f>
        <v>-906465</v>
      </c>
      <c r="H67" s="127" t="n">
        <f aca="false">$C$44/$E$16</f>
        <v>-906465</v>
      </c>
      <c r="I67" s="127" t="n">
        <f aca="false">$C$44/$E$16</f>
        <v>-906465</v>
      </c>
      <c r="J67" s="127" t="n">
        <f aca="false">$C$44/$E$16</f>
        <v>-906465</v>
      </c>
      <c r="K67" s="127" t="n">
        <f aca="false">$C$44/$E$16</f>
        <v>-906465</v>
      </c>
      <c r="L67" s="127" t="n">
        <f aca="false">$C$44/$E$16</f>
        <v>-906465</v>
      </c>
      <c r="M67" s="127" t="n">
        <f aca="false">$C$44/$E$16</f>
        <v>-906465</v>
      </c>
      <c r="N67" s="127" t="n">
        <f aca="false">$C$44/$E$16</f>
        <v>-906465</v>
      </c>
      <c r="O67" s="127" t="n">
        <f aca="false">$C$44/$E$16</f>
        <v>-906465</v>
      </c>
      <c r="P67" s="127" t="n">
        <f aca="false">$C$44/$E$16</f>
        <v>-906465</v>
      </c>
      <c r="Q67" s="127" t="n">
        <f aca="false">$C$44/$E$16</f>
        <v>-906465</v>
      </c>
      <c r="R67" s="127" t="n">
        <f aca="false">$C$44/$E$16</f>
        <v>-906465</v>
      </c>
      <c r="S67" s="127" t="n">
        <f aca="false">$C$44/$E$16</f>
        <v>-906465</v>
      </c>
      <c r="T67" s="127" t="n">
        <f aca="false">$C$44/$E$16</f>
        <v>-906465</v>
      </c>
      <c r="U67" s="127" t="n">
        <f aca="false">$C$44/$E$16</f>
        <v>-906465</v>
      </c>
      <c r="V67" s="127" t="n">
        <f aca="false">$C$44/$E$16</f>
        <v>-906465</v>
      </c>
      <c r="W67" s="127" t="n">
        <f aca="false">$C$44/$E$16</f>
        <v>-906465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-371288.064</v>
      </c>
      <c r="E70" s="104" t="n">
        <f aca="false">-E109*$D25</f>
        <v>-346535.5264</v>
      </c>
      <c r="F70" s="104" t="n">
        <f aca="false">-F109*$D25</f>
        <v>-321782.9888</v>
      </c>
      <c r="G70" s="104" t="n">
        <f aca="false">-G109*$D25</f>
        <v>-297030.4512</v>
      </c>
      <c r="H70" s="104" t="n">
        <f aca="false">-H109*$D25</f>
        <v>-272277.9136</v>
      </c>
      <c r="I70" s="104" t="n">
        <f aca="false">-I109*$D25</f>
        <v>-247525.376</v>
      </c>
      <c r="J70" s="104" t="n">
        <f aca="false">-J109*$D25</f>
        <v>-222772.8384</v>
      </c>
      <c r="K70" s="104" t="n">
        <f aca="false">-K109*$D25</f>
        <v>-198020.3008</v>
      </c>
      <c r="L70" s="104" t="n">
        <f aca="false">-L109*$D25</f>
        <v>-173267.7632</v>
      </c>
      <c r="M70" s="104" t="n">
        <f aca="false">-M109*$D25</f>
        <v>-148515.2256</v>
      </c>
      <c r="N70" s="104" t="n">
        <f aca="false">-N109*$D25</f>
        <v>-123762.688</v>
      </c>
      <c r="O70" s="104" t="n">
        <f aca="false">-O109*$D25</f>
        <v>-99010.1504</v>
      </c>
      <c r="P70" s="104" t="n">
        <f aca="false">-P109*$D25</f>
        <v>-74257.6128</v>
      </c>
      <c r="Q70" s="104" t="n">
        <f aca="false">-Q109*$D25</f>
        <v>-49505.0752</v>
      </c>
      <c r="R70" s="104" t="n">
        <f aca="false">-R109*$D25</f>
        <v>-24752.5376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-35324.1</v>
      </c>
      <c r="E72" s="104" t="n">
        <f aca="false">E49</f>
        <v>-35324.1</v>
      </c>
      <c r="F72" s="104" t="n">
        <f aca="false">F49</f>
        <v>-35324.1</v>
      </c>
      <c r="G72" s="104" t="n">
        <f aca="false">G49</f>
        <v>-35324.1</v>
      </c>
      <c r="H72" s="104" t="n">
        <f aca="false">H49</f>
        <v>-35324.1</v>
      </c>
      <c r="I72" s="104" t="n">
        <f aca="false">I49</f>
        <v>-35324.1</v>
      </c>
      <c r="J72" s="104" t="n">
        <f aca="false">J49</f>
        <v>-35324.1</v>
      </c>
      <c r="K72" s="104" t="n">
        <f aca="false">K49</f>
        <v>-35324.1</v>
      </c>
      <c r="L72" s="104" t="n">
        <f aca="false">L49</f>
        <v>-35324.1</v>
      </c>
      <c r="M72" s="104" t="n">
        <f aca="false">M49</f>
        <v>-35324.1</v>
      </c>
      <c r="N72" s="104" t="n">
        <f aca="false">N49</f>
        <v>-35324.1</v>
      </c>
      <c r="O72" s="104" t="n">
        <f aca="false">O49</f>
        <v>-35324.1</v>
      </c>
      <c r="P72" s="104" t="n">
        <f aca="false">P49</f>
        <v>-35324.1</v>
      </c>
      <c r="Q72" s="104" t="n">
        <f aca="false">Q49</f>
        <v>-35324.1</v>
      </c>
      <c r="R72" s="104" t="n">
        <f aca="false">R49</f>
        <v>-35324.1</v>
      </c>
      <c r="S72" s="104" t="n">
        <f aca="false">S49</f>
        <v>-35324.1</v>
      </c>
      <c r="T72" s="104" t="n">
        <f aca="false">T49</f>
        <v>-35324.1</v>
      </c>
      <c r="U72" s="104" t="n">
        <f aca="false">U49</f>
        <v>-35324.1</v>
      </c>
      <c r="V72" s="104" t="n">
        <f aca="false">V49</f>
        <v>-35324.1</v>
      </c>
      <c r="W72" s="104" t="n">
        <f aca="false">W49</f>
        <v>-35324.1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635000.756</v>
      </c>
      <c r="E76" s="109" t="n">
        <f aca="false">SUM(E64:E75)</f>
        <v>360800.2616</v>
      </c>
      <c r="F76" s="109" t="n">
        <f aca="false">SUM(F64:F75)</f>
        <v>376800.7672</v>
      </c>
      <c r="G76" s="109" t="n">
        <f aca="false">SUM(G64:G75)</f>
        <v>392801.2728</v>
      </c>
      <c r="H76" s="109" t="n">
        <f aca="false">SUM(H64:H75)</f>
        <v>408801.7784</v>
      </c>
      <c r="I76" s="109" t="n">
        <f aca="false">SUM(I64:I75)</f>
        <v>424802.284</v>
      </c>
      <c r="J76" s="109" t="n">
        <f aca="false">SUM(J64:J75)</f>
        <v>440802.7896</v>
      </c>
      <c r="K76" s="109" t="n">
        <f aca="false">SUM(K64:K75)</f>
        <v>456803.2952</v>
      </c>
      <c r="L76" s="109" t="n">
        <f aca="false">SUM(L64:L75)</f>
        <v>472803.8008</v>
      </c>
      <c r="M76" s="109" t="n">
        <f aca="false">SUM(M64:M75)</f>
        <v>488804.3064</v>
      </c>
      <c r="N76" s="109" t="n">
        <f aca="false">SUM(N64:N75)</f>
        <v>548414.812</v>
      </c>
      <c r="O76" s="109" t="n">
        <f aca="false">SUM(O64:O75)</f>
        <v>564415.3176</v>
      </c>
      <c r="P76" s="109" t="n">
        <f aca="false">SUM(P64:P75)</f>
        <v>580415.8232</v>
      </c>
      <c r="Q76" s="109" t="n">
        <f aca="false">SUM(Q64:Q75)</f>
        <v>596416.3288</v>
      </c>
      <c r="R76" s="109" t="n">
        <f aca="false">SUM(R64:R75)</f>
        <v>612416.8344</v>
      </c>
      <c r="S76" s="109" t="n">
        <f aca="false">SUM(S64:S75)</f>
        <v>628417.34</v>
      </c>
      <c r="T76" s="109" t="n">
        <f aca="false">SUM(T64:T75)</f>
        <v>619665.308</v>
      </c>
      <c r="U76" s="109" t="n">
        <f aca="false">SUM(U64:U75)</f>
        <v>610913.276</v>
      </c>
      <c r="V76" s="109" t="n">
        <f aca="false">SUM(V64:V75)</f>
        <v>602161.244</v>
      </c>
      <c r="W76" s="109" t="n">
        <f aca="false">SUM(W64:W75)</f>
        <v>593409.212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-127000.1512</v>
      </c>
      <c r="E77" s="104" t="n">
        <f aca="false">-E76*0.2</f>
        <v>-72160.05232</v>
      </c>
      <c r="F77" s="104" t="n">
        <f aca="false">-F76*0.2</f>
        <v>-75360.15344</v>
      </c>
      <c r="G77" s="104" t="n">
        <f aca="false">-G76*0.2</f>
        <v>-78560.25456</v>
      </c>
      <c r="H77" s="104" t="n">
        <f aca="false">-H76*0.2</f>
        <v>-81760.35568</v>
      </c>
      <c r="I77" s="104" t="n">
        <f aca="false">-I76*0.2</f>
        <v>-84960.4568</v>
      </c>
      <c r="J77" s="104" t="n">
        <f aca="false">-J76*0.2</f>
        <v>-88160.55792</v>
      </c>
      <c r="K77" s="104" t="n">
        <f aca="false">-K76*0.2</f>
        <v>-91360.65904</v>
      </c>
      <c r="L77" s="104" t="n">
        <f aca="false">-L76*0.2</f>
        <v>-94560.76016</v>
      </c>
      <c r="M77" s="104" t="n">
        <f aca="false">-M76*0.2</f>
        <v>-97760.86128</v>
      </c>
      <c r="N77" s="104" t="n">
        <f aca="false">-N76*0.2</f>
        <v>-109682.9624</v>
      </c>
      <c r="O77" s="104" t="n">
        <f aca="false">-O76*0.2</f>
        <v>-112883.06352</v>
      </c>
      <c r="P77" s="104" t="n">
        <f aca="false">-P76*0.2</f>
        <v>-116083.16464</v>
      </c>
      <c r="Q77" s="104" t="n">
        <f aca="false">-Q76*0.2</f>
        <v>-119283.26576</v>
      </c>
      <c r="R77" s="104" t="n">
        <f aca="false">-R76*0.2</f>
        <v>-122483.36688</v>
      </c>
      <c r="S77" s="104" t="n">
        <f aca="false">-S76*0.2</f>
        <v>-125683.468</v>
      </c>
      <c r="T77" s="104" t="n">
        <f aca="false">-T76*0.2</f>
        <v>-123933.0616</v>
      </c>
      <c r="U77" s="104" t="n">
        <f aca="false">-U76*0.2</f>
        <v>-122182.6552</v>
      </c>
      <c r="V77" s="104" t="n">
        <f aca="false">-V76*0.2</f>
        <v>-120432.2488</v>
      </c>
      <c r="W77" s="104" t="n">
        <f aca="false">-W76*0.2</f>
        <v>-118681.8424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508000.6048</v>
      </c>
      <c r="E78" s="104" t="n">
        <f aca="false">SUM(E76:E77)</f>
        <v>288640.20928</v>
      </c>
      <c r="F78" s="104" t="n">
        <f aca="false">SUM(F76:F77)</f>
        <v>301440.61376</v>
      </c>
      <c r="G78" s="104" t="n">
        <f aca="false">SUM(G76:G77)</f>
        <v>314241.01824</v>
      </c>
      <c r="H78" s="104" t="n">
        <f aca="false">SUM(H76:H77)</f>
        <v>327041.42272</v>
      </c>
      <c r="I78" s="104" t="n">
        <f aca="false">SUM(I76:I77)</f>
        <v>339841.8272</v>
      </c>
      <c r="J78" s="104" t="n">
        <f aca="false">SUM(J76:J77)</f>
        <v>352642.23168</v>
      </c>
      <c r="K78" s="104" t="n">
        <f aca="false">SUM(K76:K77)</f>
        <v>365442.63616</v>
      </c>
      <c r="L78" s="104" t="n">
        <f aca="false">SUM(L76:L77)</f>
        <v>378243.04064</v>
      </c>
      <c r="M78" s="104" t="n">
        <f aca="false">SUM(M76:M77)</f>
        <v>391043.44512</v>
      </c>
      <c r="N78" s="104" t="n">
        <f aca="false">SUM(N76:N77)</f>
        <v>438731.8496</v>
      </c>
      <c r="O78" s="104" t="n">
        <f aca="false">SUM(O76:O77)</f>
        <v>451532.25408</v>
      </c>
      <c r="P78" s="104" t="n">
        <f aca="false">SUM(P76:P77)</f>
        <v>464332.65856</v>
      </c>
      <c r="Q78" s="104" t="n">
        <f aca="false">SUM(Q76:Q77)</f>
        <v>477133.06304</v>
      </c>
      <c r="R78" s="104" t="n">
        <f aca="false">SUM(R76:R77)</f>
        <v>489933.46752</v>
      </c>
      <c r="S78" s="104" t="n">
        <f aca="false">SUM(S76:S77)</f>
        <v>502733.872</v>
      </c>
      <c r="T78" s="104" t="n">
        <f aca="false">SUM(T76:T77)</f>
        <v>495732.2464</v>
      </c>
      <c r="U78" s="104" t="n">
        <f aca="false">SUM(U76:U77)</f>
        <v>488730.6208</v>
      </c>
      <c r="V78" s="104" t="n">
        <f aca="false">SUM(V76:V77)</f>
        <v>481728.9952</v>
      </c>
      <c r="W78" s="104" t="n">
        <f aca="false">SUM(W76:W77)</f>
        <v>474727.3696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508000.6048</v>
      </c>
      <c r="E85" s="143" t="n">
        <f aca="false">E78</f>
        <v>288640.20928</v>
      </c>
      <c r="F85" s="143" t="n">
        <f aca="false">F78</f>
        <v>301440.61376</v>
      </c>
      <c r="G85" s="143" t="n">
        <f aca="false">G78</f>
        <v>314241.01824</v>
      </c>
      <c r="H85" s="143" t="n">
        <f aca="false">H78</f>
        <v>327041.42272</v>
      </c>
      <c r="I85" s="143" t="n">
        <f aca="false">I78</f>
        <v>339841.8272</v>
      </c>
      <c r="J85" s="143" t="n">
        <f aca="false">J78</f>
        <v>352642.23168</v>
      </c>
      <c r="K85" s="143" t="n">
        <f aca="false">K78</f>
        <v>365442.63616</v>
      </c>
      <c r="L85" s="143" t="n">
        <f aca="false">L78</f>
        <v>378243.04064</v>
      </c>
      <c r="M85" s="143" t="n">
        <f aca="false">M78</f>
        <v>391043.44512</v>
      </c>
      <c r="N85" s="143" t="n">
        <f aca="false">N78</f>
        <v>438731.8496</v>
      </c>
      <c r="O85" s="143" t="n">
        <f aca="false">O78</f>
        <v>451532.25408</v>
      </c>
      <c r="P85" s="143" t="n">
        <f aca="false">P78</f>
        <v>464332.65856</v>
      </c>
      <c r="Q85" s="143" t="n">
        <f aca="false">Q78</f>
        <v>477133.06304</v>
      </c>
      <c r="R85" s="143" t="n">
        <f aca="false">R78</f>
        <v>489933.46752</v>
      </c>
      <c r="S85" s="143" t="n">
        <f aca="false">S78</f>
        <v>502733.872</v>
      </c>
      <c r="T85" s="143" t="n">
        <f aca="false">T78</f>
        <v>495732.2464</v>
      </c>
      <c r="U85" s="143" t="n">
        <f aca="false">U78</f>
        <v>488730.6208</v>
      </c>
      <c r="V85" s="143" t="n">
        <f aca="false">V78</f>
        <v>481728.9952</v>
      </c>
      <c r="W85" s="143" t="n">
        <f aca="false">W78</f>
        <v>474727.3696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906465</v>
      </c>
      <c r="E86" s="144" t="n">
        <f aca="false">-E67</f>
        <v>906465</v>
      </c>
      <c r="F86" s="144" t="n">
        <f aca="false">-F67</f>
        <v>906465</v>
      </c>
      <c r="G86" s="144" t="n">
        <f aca="false">-G67</f>
        <v>906465</v>
      </c>
      <c r="H86" s="144" t="n">
        <f aca="false">-H67</f>
        <v>906465</v>
      </c>
      <c r="I86" s="144" t="n">
        <f aca="false">-I67</f>
        <v>906465</v>
      </c>
      <c r="J86" s="144" t="n">
        <f aca="false">-J67</f>
        <v>906465</v>
      </c>
      <c r="K86" s="144" t="n">
        <f aca="false">-K67</f>
        <v>906465</v>
      </c>
      <c r="L86" s="144" t="n">
        <f aca="false">-L67</f>
        <v>906465</v>
      </c>
      <c r="M86" s="144" t="n">
        <f aca="false">-M67</f>
        <v>906465</v>
      </c>
      <c r="N86" s="144" t="n">
        <f aca="false">-N67</f>
        <v>906465</v>
      </c>
      <c r="O86" s="144" t="n">
        <f aca="false">-O67</f>
        <v>906465</v>
      </c>
      <c r="P86" s="144" t="n">
        <f aca="false">-P67</f>
        <v>906465</v>
      </c>
      <c r="Q86" s="144" t="n">
        <f aca="false">-Q67</f>
        <v>906465</v>
      </c>
      <c r="R86" s="144" t="n">
        <f aca="false">-R67</f>
        <v>906465</v>
      </c>
      <c r="S86" s="144" t="n">
        <f aca="false">-S67</f>
        <v>906465</v>
      </c>
      <c r="T86" s="144" t="n">
        <f aca="false">-T67</f>
        <v>906465</v>
      </c>
      <c r="U86" s="144" t="n">
        <f aca="false">-U67</f>
        <v>906465</v>
      </c>
      <c r="V86" s="144" t="n">
        <f aca="false">-V67</f>
        <v>906465</v>
      </c>
      <c r="W86" s="144" t="n">
        <f aca="false">-W67</f>
        <v>906465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1414465.6048</v>
      </c>
      <c r="E87" s="146" t="n">
        <f aca="false">SUM(E85:E86)</f>
        <v>1195105.20928</v>
      </c>
      <c r="F87" s="146" t="n">
        <f aca="false">SUM(F85:F86)</f>
        <v>1207905.61376</v>
      </c>
      <c r="G87" s="146" t="n">
        <f aca="false">SUM(G85:G86)</f>
        <v>1220706.01824</v>
      </c>
      <c r="H87" s="146" t="n">
        <f aca="false">SUM(H85:H86)</f>
        <v>1233506.42272</v>
      </c>
      <c r="I87" s="146" t="n">
        <f aca="false">SUM(I85:I86)</f>
        <v>1246306.8272</v>
      </c>
      <c r="J87" s="146" t="n">
        <f aca="false">SUM(J85:J86)</f>
        <v>1259107.23168</v>
      </c>
      <c r="K87" s="146" t="n">
        <f aca="false">SUM(K85:K86)</f>
        <v>1271907.63616</v>
      </c>
      <c r="L87" s="146" t="n">
        <f aca="false">SUM(L85:L86)</f>
        <v>1284708.04064</v>
      </c>
      <c r="M87" s="146" t="n">
        <f aca="false">SUM(M85:M86)</f>
        <v>1297508.44512</v>
      </c>
      <c r="N87" s="146" t="n">
        <f aca="false">SUM(N85:N86)</f>
        <v>1345196.8496</v>
      </c>
      <c r="O87" s="146" t="n">
        <f aca="false">SUM(O85:O86)</f>
        <v>1357997.25408</v>
      </c>
      <c r="P87" s="146" t="n">
        <f aca="false">SUM(P85:P86)</f>
        <v>1370797.65856</v>
      </c>
      <c r="Q87" s="146" t="n">
        <f aca="false">SUM(Q85:Q86)</f>
        <v>1383598.06304</v>
      </c>
      <c r="R87" s="146" t="n">
        <f aca="false">SUM(R85:R86)</f>
        <v>1396398.46752</v>
      </c>
      <c r="S87" s="146" t="n">
        <f aca="false">SUM(S85:S86)</f>
        <v>1409198.872</v>
      </c>
      <c r="T87" s="146" t="n">
        <f aca="false">SUM(T85:T86)</f>
        <v>1402197.2464</v>
      </c>
      <c r="U87" s="146" t="n">
        <f aca="false">SUM(U85:U86)</f>
        <v>1395195.6208</v>
      </c>
      <c r="V87" s="146" t="n">
        <f aca="false">SUM(V85:V86)</f>
        <v>1388193.9952</v>
      </c>
      <c r="W87" s="146" t="n">
        <f aca="false">SUM(W85:W86)</f>
        <v>1381192.3696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-18129300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14503440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-966896</v>
      </c>
      <c r="F93" s="152" t="n">
        <v>-966896</v>
      </c>
      <c r="G93" s="152" t="n">
        <v>-966896</v>
      </c>
      <c r="H93" s="152" t="n">
        <v>-966896</v>
      </c>
      <c r="I93" s="152" t="n">
        <v>-966896</v>
      </c>
      <c r="J93" s="152" t="n">
        <v>-966896</v>
      </c>
      <c r="K93" s="152" t="n">
        <v>-966896</v>
      </c>
      <c r="L93" s="152" t="n">
        <v>-966896</v>
      </c>
      <c r="M93" s="152" t="n">
        <v>-966896</v>
      </c>
      <c r="N93" s="152" t="n">
        <v>-966896</v>
      </c>
      <c r="O93" s="152" t="n">
        <v>-966896</v>
      </c>
      <c r="P93" s="152" t="n">
        <v>-966896</v>
      </c>
      <c r="Q93" s="152" t="n">
        <v>-966896</v>
      </c>
      <c r="R93" s="152" t="n">
        <v>-966896</v>
      </c>
      <c r="S93" s="152" t="n">
        <v>-966896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3625860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-457200.54432</v>
      </c>
      <c r="F95" s="153" t="n">
        <f aca="false">-E85*$D$33</f>
        <v>-259776.188352</v>
      </c>
      <c r="G95" s="153" t="n">
        <f aca="false">-F85*$D$33</f>
        <v>-271296.552384</v>
      </c>
      <c r="H95" s="153" t="n">
        <f aca="false">-G85*$D$33</f>
        <v>-282816.916416</v>
      </c>
      <c r="I95" s="153" t="n">
        <f aca="false">-H85*$D$33</f>
        <v>-294337.280448</v>
      </c>
      <c r="J95" s="153" t="n">
        <f aca="false">-I85*$D$33</f>
        <v>-305857.64448</v>
      </c>
      <c r="K95" s="153" t="n">
        <f aca="false">-J85*$D$33</f>
        <v>-317378.008512</v>
      </c>
      <c r="L95" s="153" t="n">
        <f aca="false">-K85*$D$33</f>
        <v>-328898.372544</v>
      </c>
      <c r="M95" s="153" t="n">
        <f aca="false">-L85*$D$33</f>
        <v>-340418.736576</v>
      </c>
      <c r="N95" s="153" t="n">
        <f aca="false">-M85*$D$33</f>
        <v>-351939.100608</v>
      </c>
      <c r="O95" s="153" t="n">
        <f aca="false">-N85*$D$33</f>
        <v>-394858.66464</v>
      </c>
      <c r="P95" s="153" t="n">
        <f aca="false">-O85*$D$33</f>
        <v>-406379.028672</v>
      </c>
      <c r="Q95" s="153" t="n">
        <f aca="false">-P85*$D$33</f>
        <v>-417899.392704</v>
      </c>
      <c r="R95" s="153" t="n">
        <f aca="false">-Q85*$D$33</f>
        <v>-429419.756736</v>
      </c>
      <c r="S95" s="153" t="n">
        <f aca="false">-R85*$D$33</f>
        <v>-440940.120768</v>
      </c>
      <c r="T95" s="153" t="n">
        <f aca="false">-S85*$D$33</f>
        <v>-452460.4848</v>
      </c>
      <c r="U95" s="153" t="n">
        <f aca="false">-T85*$D$33</f>
        <v>-446159.02176</v>
      </c>
      <c r="V95" s="153" t="n">
        <f aca="false">-U85*$D$33</f>
        <v>-439857.55872</v>
      </c>
      <c r="W95" s="153" t="n">
        <f aca="false">-V85*$D$33</f>
        <v>-433556.09568</v>
      </c>
      <c r="X95" s="153" t="n">
        <f aca="false">-W85*$D$33</f>
        <v>-427254.63264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-906465</v>
      </c>
      <c r="U96" s="156" t="n">
        <v>-906465</v>
      </c>
      <c r="V96" s="156" t="n">
        <v>-906465</v>
      </c>
      <c r="W96" s="156" t="n">
        <v>-906465</v>
      </c>
      <c r="X96" s="157" t="n">
        <f aca="false">-W101-X95</f>
        <v>-833189.344639998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1414465.6048</v>
      </c>
      <c r="E99" s="143" t="n">
        <f aca="false">SUM(E87:E96)</f>
        <v>-228991.33504</v>
      </c>
      <c r="F99" s="143" t="n">
        <f aca="false">SUM(F87:F96)</f>
        <v>-18766.5745919998</v>
      </c>
      <c r="G99" s="143" t="n">
        <f aca="false">SUM(G87:G96)</f>
        <v>-17486.534144</v>
      </c>
      <c r="H99" s="143" t="n">
        <f aca="false">SUM(H87:H96)</f>
        <v>-16206.4936960001</v>
      </c>
      <c r="I99" s="143" t="n">
        <f aca="false">SUM(I87:I96)</f>
        <v>-14926.4532480002</v>
      </c>
      <c r="J99" s="143" t="n">
        <f aca="false">SUM(J87:J96)</f>
        <v>-13646.4127999996</v>
      </c>
      <c r="K99" s="143" t="n">
        <f aca="false">SUM(K87:K96)</f>
        <v>-12366.3723520001</v>
      </c>
      <c r="L99" s="143" t="n">
        <f aca="false">SUM(L87:L96)</f>
        <v>-11086.3319040002</v>
      </c>
      <c r="M99" s="143" t="n">
        <f aca="false">SUM(M87:M96)</f>
        <v>-9806.29145599989</v>
      </c>
      <c r="N99" s="143" t="n">
        <f aca="false">SUM(N87:N96)</f>
        <v>26361.7489919998</v>
      </c>
      <c r="O99" s="143" t="n">
        <f aca="false">SUM(O87:O96)</f>
        <v>-3757.41056000011</v>
      </c>
      <c r="P99" s="143" t="n">
        <f aca="false">SUM(P87:P96)</f>
        <v>-2477.37011200009</v>
      </c>
      <c r="Q99" s="143" t="n">
        <f aca="false">SUM(Q87:Q96)</f>
        <v>-1197.32966400002</v>
      </c>
      <c r="R99" s="143" t="n">
        <f aca="false">SUM(R87:R96)</f>
        <v>82.7107839998789</v>
      </c>
      <c r="S99" s="143" t="n">
        <f aca="false">SUM(S87:S96)</f>
        <v>1362.75123200013</v>
      </c>
      <c r="T99" s="143" t="n">
        <f aca="false">SUM(T87:T96)</f>
        <v>43271.7615999999</v>
      </c>
      <c r="U99" s="143" t="n">
        <f aca="false">SUM(U87:U96)</f>
        <v>42571.59904</v>
      </c>
      <c r="V99" s="143" t="n">
        <f aca="false">SUM(V87:V96)</f>
        <v>41871.4364799998</v>
      </c>
      <c r="W99" s="143" t="n">
        <f aca="false">SUM(W87:W96)</f>
        <v>41171.27392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1414465.6048</v>
      </c>
      <c r="F100" s="143" t="n">
        <f aca="false">E101</f>
        <v>1185474.26976</v>
      </c>
      <c r="G100" s="143" t="n">
        <f aca="false">F101</f>
        <v>1166707.695168</v>
      </c>
      <c r="H100" s="143" t="n">
        <f aca="false">G101</f>
        <v>1149221.161024</v>
      </c>
      <c r="I100" s="143" t="n">
        <f aca="false">H101</f>
        <v>1133014.667328</v>
      </c>
      <c r="J100" s="143" t="n">
        <f aca="false">I101</f>
        <v>1118088.21408</v>
      </c>
      <c r="K100" s="143" t="n">
        <f aca="false">J101</f>
        <v>1104441.80128</v>
      </c>
      <c r="L100" s="143" t="n">
        <f aca="false">K101</f>
        <v>1092075.428928</v>
      </c>
      <c r="M100" s="143" t="n">
        <f aca="false">L101</f>
        <v>1080989.097024</v>
      </c>
      <c r="N100" s="143" t="n">
        <f aca="false">M101</f>
        <v>1071182.805568</v>
      </c>
      <c r="O100" s="143" t="n">
        <f aca="false">N101</f>
        <v>1097544.55456</v>
      </c>
      <c r="P100" s="143" t="n">
        <f aca="false">O101</f>
        <v>1093787.144</v>
      </c>
      <c r="Q100" s="143" t="n">
        <f aca="false">P101</f>
        <v>1091309.773888</v>
      </c>
      <c r="R100" s="143" t="n">
        <f aca="false">Q101</f>
        <v>1090112.444224</v>
      </c>
      <c r="S100" s="143" t="n">
        <f aca="false">R101</f>
        <v>1090195.155008</v>
      </c>
      <c r="T100" s="143" t="n">
        <f aca="false">S101</f>
        <v>1091557.90624</v>
      </c>
      <c r="U100" s="143" t="n">
        <f aca="false">T101</f>
        <v>1134829.66784</v>
      </c>
      <c r="V100" s="143" t="n">
        <f aca="false">U101</f>
        <v>1177401.26688</v>
      </c>
      <c r="W100" s="143" t="n">
        <f aca="false">V101</f>
        <v>1219272.70336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1414465.6048</v>
      </c>
      <c r="E101" s="143" t="n">
        <f aca="false">E99+E100</f>
        <v>1185474.26976</v>
      </c>
      <c r="F101" s="143" t="n">
        <f aca="false">F99+F100</f>
        <v>1166707.695168</v>
      </c>
      <c r="G101" s="143" t="n">
        <f aca="false">G99+G100</f>
        <v>1149221.161024</v>
      </c>
      <c r="H101" s="143" t="n">
        <f aca="false">H99+H100</f>
        <v>1133014.667328</v>
      </c>
      <c r="I101" s="143" t="n">
        <f aca="false">I99+I100</f>
        <v>1118088.21408</v>
      </c>
      <c r="J101" s="143" t="n">
        <f aca="false">J99+J100</f>
        <v>1104441.80128</v>
      </c>
      <c r="K101" s="143" t="n">
        <f aca="false">K99+K100</f>
        <v>1092075.428928</v>
      </c>
      <c r="L101" s="143" t="n">
        <f aca="false">L99+L100</f>
        <v>1080989.097024</v>
      </c>
      <c r="M101" s="143" t="n">
        <f aca="false">M99+M100</f>
        <v>1071182.805568</v>
      </c>
      <c r="N101" s="143" t="n">
        <f aca="false">N99+N100</f>
        <v>1097544.55456</v>
      </c>
      <c r="O101" s="143" t="n">
        <f aca="false">O99+O100</f>
        <v>1093787.144</v>
      </c>
      <c r="P101" s="143" t="n">
        <f aca="false">P99+P100</f>
        <v>1091309.773888</v>
      </c>
      <c r="Q101" s="143" t="n">
        <f aca="false">Q99+Q100</f>
        <v>1090112.444224</v>
      </c>
      <c r="R101" s="143" t="n">
        <f aca="false">R99+R100</f>
        <v>1090195.155008</v>
      </c>
      <c r="S101" s="143" t="n">
        <f aca="false">S99+S100</f>
        <v>1091557.90624</v>
      </c>
      <c r="T101" s="143" t="n">
        <f aca="false">T99+T100</f>
        <v>1134829.66784</v>
      </c>
      <c r="U101" s="143" t="n">
        <f aca="false">U99+U100</f>
        <v>1177401.26688</v>
      </c>
      <c r="V101" s="143" t="n">
        <f aca="false">V99+V100</f>
        <v>1219272.70336</v>
      </c>
      <c r="W101" s="143" t="n">
        <f aca="false">W99+W100</f>
        <v>1260443.97728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-3625860</v>
      </c>
      <c r="E104" s="146" t="n">
        <f aca="false">-E95-E96</f>
        <v>457200.54432</v>
      </c>
      <c r="F104" s="146" t="n">
        <f aca="false">-F95-F96</f>
        <v>259776.188352</v>
      </c>
      <c r="G104" s="146" t="n">
        <f aca="false">-G95-G96</f>
        <v>271296.552384</v>
      </c>
      <c r="H104" s="146" t="n">
        <f aca="false">-H95-H96</f>
        <v>282816.916416</v>
      </c>
      <c r="I104" s="146" t="n">
        <f aca="false">-I95-I96</f>
        <v>294337.280448</v>
      </c>
      <c r="J104" s="146" t="n">
        <f aca="false">-J95-J96</f>
        <v>305857.64448</v>
      </c>
      <c r="K104" s="146" t="n">
        <f aca="false">-K95-K96</f>
        <v>317378.008512</v>
      </c>
      <c r="L104" s="146" t="n">
        <f aca="false">-L95-L96</f>
        <v>328898.372544</v>
      </c>
      <c r="M104" s="146" t="n">
        <f aca="false">-M95-M96</f>
        <v>340418.736576</v>
      </c>
      <c r="N104" s="146" t="n">
        <f aca="false">-N95-N96</f>
        <v>351939.100608</v>
      </c>
      <c r="O104" s="146" t="n">
        <f aca="false">-O95-O96</f>
        <v>394858.66464</v>
      </c>
      <c r="P104" s="146" t="n">
        <f aca="false">-P95-P96</f>
        <v>406379.028672</v>
      </c>
      <c r="Q104" s="146" t="n">
        <f aca="false">-Q95-Q96</f>
        <v>417899.392704</v>
      </c>
      <c r="R104" s="146" t="n">
        <f aca="false">-R95-R96</f>
        <v>429419.756736</v>
      </c>
      <c r="S104" s="146" t="n">
        <f aca="false">-S95-S96</f>
        <v>440940.120768</v>
      </c>
      <c r="T104" s="146" t="n">
        <f aca="false">-T95-T96</f>
        <v>1358925.4848</v>
      </c>
      <c r="U104" s="146" t="n">
        <f aca="false">-U95-U96</f>
        <v>1352624.02176</v>
      </c>
      <c r="V104" s="146" t="n">
        <f aca="false">-V95-V96</f>
        <v>1346322.55872</v>
      </c>
      <c r="W104" s="146" t="n">
        <f aca="false">-W95-W96</f>
        <v>1340021.09568</v>
      </c>
      <c r="X104" s="146" t="n">
        <f aca="false">-X95-X96</f>
        <v>1260443.97728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0.105102066107172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-3117859.3952</v>
      </c>
      <c r="E106" s="146" t="n">
        <f aca="false">E85</f>
        <v>288640.20928</v>
      </c>
      <c r="F106" s="146" t="n">
        <f aca="false">F85-F96</f>
        <v>301440.61376</v>
      </c>
      <c r="G106" s="146" t="n">
        <f aca="false">G85-G96</f>
        <v>314241.01824</v>
      </c>
      <c r="H106" s="146" t="n">
        <f aca="false">H85-H96</f>
        <v>327041.42272</v>
      </c>
      <c r="I106" s="146" t="n">
        <f aca="false">I85-I96</f>
        <v>339841.8272</v>
      </c>
      <c r="J106" s="146" t="n">
        <f aca="false">J85-J96</f>
        <v>352642.23168</v>
      </c>
      <c r="K106" s="146" t="n">
        <f aca="false">K85-K96</f>
        <v>365442.63616</v>
      </c>
      <c r="L106" s="146" t="n">
        <f aca="false">L85-L96</f>
        <v>378243.04064</v>
      </c>
      <c r="M106" s="146" t="n">
        <f aca="false">M85-M96</f>
        <v>391043.44512</v>
      </c>
      <c r="N106" s="146" t="n">
        <f aca="false">N85-N96</f>
        <v>438731.8496</v>
      </c>
      <c r="O106" s="146" t="n">
        <f aca="false">O85-O96</f>
        <v>451532.25408</v>
      </c>
      <c r="P106" s="146" t="n">
        <f aca="false">P85-P96</f>
        <v>464332.65856</v>
      </c>
      <c r="Q106" s="146" t="n">
        <f aca="false">Q85-Q96</f>
        <v>477133.06304</v>
      </c>
      <c r="R106" s="146" t="n">
        <f aca="false">R85-R96</f>
        <v>489933.46752</v>
      </c>
      <c r="S106" s="146" t="n">
        <f aca="false">S85-S96</f>
        <v>502733.872</v>
      </c>
      <c r="T106" s="146" t="n">
        <f aca="false">T85-T96</f>
        <v>1402197.2464</v>
      </c>
      <c r="U106" s="146" t="n">
        <f aca="false">U85-U96</f>
        <v>1395195.6208</v>
      </c>
      <c r="V106" s="146" t="n">
        <f aca="false">V85-V96</f>
        <v>1388193.9952</v>
      </c>
      <c r="W106" s="146" t="n">
        <f aca="false">W85-W96</f>
        <v>1381192.3696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0.124114860261635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14503440</v>
      </c>
      <c r="E109" s="143" t="n">
        <f aca="false">D109+E93</f>
        <v>13536544</v>
      </c>
      <c r="F109" s="143" t="n">
        <f aca="false">E109+F93</f>
        <v>12569648</v>
      </c>
      <c r="G109" s="143" t="n">
        <f aca="false">F109+G93</f>
        <v>11602752</v>
      </c>
      <c r="H109" s="143" t="n">
        <f aca="false">G109+H93</f>
        <v>10635856</v>
      </c>
      <c r="I109" s="143" t="n">
        <f aca="false">H109+I93</f>
        <v>9668960</v>
      </c>
      <c r="J109" s="143" t="n">
        <f aca="false">I109+J93</f>
        <v>8702064</v>
      </c>
      <c r="K109" s="143" t="n">
        <f aca="false">J109+K93</f>
        <v>7735168</v>
      </c>
      <c r="L109" s="143" t="n">
        <f aca="false">K109+L93</f>
        <v>6768272</v>
      </c>
      <c r="M109" s="143" t="n">
        <f aca="false">L109+M93</f>
        <v>5801376</v>
      </c>
      <c r="N109" s="143" t="n">
        <f aca="false">M109+N93</f>
        <v>4834480</v>
      </c>
      <c r="O109" s="143" t="n">
        <f aca="false">N109+O93</f>
        <v>3867584</v>
      </c>
      <c r="P109" s="143" t="n">
        <f aca="false">O109+P93</f>
        <v>2900688</v>
      </c>
      <c r="Q109" s="143" t="n">
        <f aca="false">P109+Q93</f>
        <v>1933792</v>
      </c>
      <c r="R109" s="143" t="n">
        <f aca="false">Q109+R93</f>
        <v>966896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170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171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172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173</v>
      </c>
    </row>
    <row r="8" customFormat="false" ht="22.5" hidden="false" customHeight="true" outlineLevel="0" collapsed="false">
      <c r="B8" s="16" t="s">
        <v>14</v>
      </c>
      <c r="E8" s="46"/>
      <c r="M8" s="1" t="s">
        <v>174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-16883300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-32707.5</v>
      </c>
      <c r="E49" s="104" t="n">
        <v>-32707.5</v>
      </c>
      <c r="F49" s="104" t="n">
        <v>-32707.5</v>
      </c>
      <c r="G49" s="104" t="n">
        <v>-32707.5</v>
      </c>
      <c r="H49" s="104" t="n">
        <v>-32707.5</v>
      </c>
      <c r="I49" s="104" t="n">
        <v>-32707.5</v>
      </c>
      <c r="J49" s="104" t="n">
        <v>-32707.5</v>
      </c>
      <c r="K49" s="104" t="n">
        <v>-32707.5</v>
      </c>
      <c r="L49" s="104" t="n">
        <v>-32707.5</v>
      </c>
      <c r="M49" s="104" t="n">
        <v>-32707.5</v>
      </c>
      <c r="N49" s="104" t="n">
        <v>-32707.5</v>
      </c>
      <c r="O49" s="104" t="n">
        <v>-32707.5</v>
      </c>
      <c r="P49" s="104" t="n">
        <v>-32707.5</v>
      </c>
      <c r="Q49" s="104" t="n">
        <v>-32707.5</v>
      </c>
      <c r="R49" s="104" t="n">
        <v>-32707.5</v>
      </c>
      <c r="S49" s="104" t="n">
        <v>-32707.5</v>
      </c>
      <c r="T49" s="104" t="n">
        <v>-32707.5</v>
      </c>
      <c r="U49" s="104" t="n">
        <v>-32707.5</v>
      </c>
      <c r="V49" s="104" t="n">
        <v>-32707.5</v>
      </c>
      <c r="W49" s="104" t="n">
        <v>-32707.5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-214241.084</v>
      </c>
      <c r="E54" s="104" t="n">
        <f aca="false">-(E64+E67+E68+E71+E72+E73+E74)*0.2</f>
        <v>-154450.4776</v>
      </c>
      <c r="F54" s="104" t="n">
        <f aca="false">-(F64+F67+F68+F71+F72+F73+F74)*0.2</f>
        <v>-152700.0712</v>
      </c>
      <c r="G54" s="104" t="n">
        <f aca="false">-(G64+G67+G68+G71+G72+G73+G74)*0.2</f>
        <v>-150949.6648</v>
      </c>
      <c r="H54" s="104" t="n">
        <f aca="false">-(H64+H67+H68+H71+H72+H73+H74)*0.2</f>
        <v>-149199.2584</v>
      </c>
      <c r="I54" s="104" t="n">
        <f aca="false">-(I64+I67+I68+I71+I72+I73+I74)*0.2</f>
        <v>-147448.852</v>
      </c>
      <c r="J54" s="104" t="n">
        <f aca="false">-(J64+J67+J68+J71+J72+J73+J74)*0.2</f>
        <v>-145698.4456</v>
      </c>
      <c r="K54" s="104" t="n">
        <f aca="false">-(K64+K67+K68+K71+K72+K73+K74)*0.2</f>
        <v>-143948.0392</v>
      </c>
      <c r="L54" s="104" t="n">
        <f aca="false">-(L64+L67+L68+L71+L72+L73+L74)*0.2</f>
        <v>-142197.6328</v>
      </c>
      <c r="M54" s="104" t="n">
        <f aca="false">-(M64+M67+M68+M71+M72+M73+M74)*0.2</f>
        <v>-140447.2264</v>
      </c>
      <c r="N54" s="104" t="n">
        <f aca="false">-(N64+N67+N68+N71+N72+N73+N74)*0.2</f>
        <v>-147418.82</v>
      </c>
      <c r="O54" s="104" t="n">
        <f aca="false">-(O64+O67+O68+O71+O72+O73+O74)*0.2</f>
        <v>-145668.4136</v>
      </c>
      <c r="P54" s="104" t="n">
        <f aca="false">-(P64+P67+P68+P71+P72+P73+P74)*0.2</f>
        <v>-143918.0072</v>
      </c>
      <c r="Q54" s="104" t="n">
        <f aca="false">-(Q64+Q67+Q68+Q71+Q72+Q73+Q74)*0.2</f>
        <v>-142167.6008</v>
      </c>
      <c r="R54" s="104" t="n">
        <f aca="false">-(R64+R67+R68+R71+R72+R73+R74)*0.2</f>
        <v>-140417.1944</v>
      </c>
      <c r="S54" s="104" t="n">
        <f aca="false">-(S64+S67+S68+S71+S72+S73+S74)*0.2</f>
        <v>-138666.788</v>
      </c>
      <c r="T54" s="104" t="n">
        <f aca="false">-(T64+T67+T68+T71+T72+T73+T74)*0.2</f>
        <v>-136916.3816</v>
      </c>
      <c r="U54" s="104" t="n">
        <f aca="false">-(U64+U67+U68+U71+U72+U73+U74)*0.2</f>
        <v>-135165.9752</v>
      </c>
      <c r="V54" s="104" t="n">
        <f aca="false">-(V64+V67+V68+V71+V72+V73+V74)*0.2</f>
        <v>-133415.5688</v>
      </c>
      <c r="W54" s="104" t="n">
        <f aca="false">-(W64+W67+W68+W71+W72+W73+W74)*0.2</f>
        <v>-131665.1624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-16883300</v>
      </c>
      <c r="D55" s="109" t="n">
        <f aca="false">SUM(D41:D54)</f>
        <v>1410928.336</v>
      </c>
      <c r="E55" s="109" t="n">
        <f aca="false">SUM(E41:E54)</f>
        <v>1461966.9104</v>
      </c>
      <c r="F55" s="109" t="n">
        <f aca="false">SUM(F41:F54)</f>
        <v>1454965.2848</v>
      </c>
      <c r="G55" s="109" t="n">
        <f aca="false">SUM(G41:G54)</f>
        <v>1447963.6592</v>
      </c>
      <c r="H55" s="109" t="n">
        <f aca="false">SUM(H41:H54)</f>
        <v>1440962.0336</v>
      </c>
      <c r="I55" s="109" t="n">
        <f aca="false">SUM(I41:I54)</f>
        <v>1433960.408</v>
      </c>
      <c r="J55" s="109" t="n">
        <f aca="false">SUM(J41:J54)</f>
        <v>1426958.7824</v>
      </c>
      <c r="K55" s="109" t="n">
        <f aca="false">SUM(K41:K54)</f>
        <v>1419957.1568</v>
      </c>
      <c r="L55" s="109" t="n">
        <f aca="false">SUM(L41:L54)</f>
        <v>1412955.5312</v>
      </c>
      <c r="M55" s="109" t="n">
        <f aca="false">SUM(M41:M54)</f>
        <v>1405953.9056</v>
      </c>
      <c r="N55" s="109" t="n">
        <f aca="false">SUM(N41:N54)</f>
        <v>1433840.28</v>
      </c>
      <c r="O55" s="109" t="n">
        <f aca="false">SUM(O41:O54)</f>
        <v>1426838.6544</v>
      </c>
      <c r="P55" s="109" t="n">
        <f aca="false">SUM(P41:P54)</f>
        <v>1419837.0288</v>
      </c>
      <c r="Q55" s="109" t="n">
        <f aca="false">SUM(Q41:Q54)</f>
        <v>1412835.4032</v>
      </c>
      <c r="R55" s="109" t="n">
        <f aca="false">SUM(R41:R54)</f>
        <v>1405833.7776</v>
      </c>
      <c r="S55" s="109" t="n">
        <f aca="false">SUM(S41:S54)</f>
        <v>1398832.152</v>
      </c>
      <c r="T55" s="109" t="n">
        <f aca="false">SUM(T41:T54)</f>
        <v>1391830.5264</v>
      </c>
      <c r="U55" s="109" t="n">
        <f aca="false">SUM(U41:U54)</f>
        <v>1384828.9008</v>
      </c>
      <c r="V55" s="109" t="n">
        <f aca="false">SUM(V41:V54)</f>
        <v>1377827.2752</v>
      </c>
      <c r="W55" s="109" t="n">
        <f aca="false">SUM(W41:W54)</f>
        <v>1370825.6496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-15472371.664</v>
      </c>
      <c r="E56" s="114" t="n">
        <f aca="false">D56+E55</f>
        <v>-14010404.7536</v>
      </c>
      <c r="F56" s="114" t="n">
        <f aca="false">E56+F55</f>
        <v>-12555439.4688</v>
      </c>
      <c r="G56" s="114" t="n">
        <f aca="false">F56+G55</f>
        <v>-11107475.8096</v>
      </c>
      <c r="H56" s="114" t="n">
        <f aca="false">G56+H55</f>
        <v>-9666513.776</v>
      </c>
      <c r="I56" s="114" t="n">
        <f aca="false">H56+I55</f>
        <v>-8232553.368</v>
      </c>
      <c r="J56" s="114" t="n">
        <f aca="false">I56+J55</f>
        <v>-6805594.5856</v>
      </c>
      <c r="K56" s="114" t="n">
        <f aca="false">J56+K55</f>
        <v>-5385637.42880001</v>
      </c>
      <c r="L56" s="114" t="n">
        <f aca="false">K56+L55</f>
        <v>-3972681.8976</v>
      </c>
      <c r="M56" s="114" t="n">
        <f aca="false">L56+M55</f>
        <v>-2566727.992</v>
      </c>
      <c r="N56" s="114" t="n">
        <f aca="false">M56+N55</f>
        <v>-1132887.712</v>
      </c>
      <c r="O56" s="114" t="n">
        <f aca="false">N56+O55</f>
        <v>293950.942399996</v>
      </c>
      <c r="P56" s="114" t="n">
        <f aca="false">O56+P55</f>
        <v>1713787.9712</v>
      </c>
      <c r="Q56" s="114" t="n">
        <f aca="false">P56+Q55</f>
        <v>3126623.3744</v>
      </c>
      <c r="R56" s="114" t="n">
        <f aca="false">Q56+R55</f>
        <v>4532457.152</v>
      </c>
      <c r="S56" s="114" t="n">
        <f aca="false">R56+S55</f>
        <v>5931289.304</v>
      </c>
      <c r="T56" s="114" t="n">
        <f aca="false">S56+T55</f>
        <v>7323119.8304</v>
      </c>
      <c r="U56" s="114" t="n">
        <f aca="false">T56+U55</f>
        <v>8707948.7312</v>
      </c>
      <c r="V56" s="114" t="n">
        <f aca="false">U56+V55</f>
        <v>10085776.0064</v>
      </c>
      <c r="W56" s="114" t="n">
        <f aca="false">V56+W55</f>
        <v>11456601.656</v>
      </c>
      <c r="X56" s="114" t="n">
        <f aca="false">W56+X55</f>
        <v>11456601.656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0.0558743473612539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-844165</v>
      </c>
      <c r="E67" s="127" t="n">
        <f aca="false">$C$44/$E$16</f>
        <v>-844165</v>
      </c>
      <c r="F67" s="127" t="n">
        <f aca="false">$C$44/$E$16</f>
        <v>-844165</v>
      </c>
      <c r="G67" s="127" t="n">
        <f aca="false">$C$44/$E$16</f>
        <v>-844165</v>
      </c>
      <c r="H67" s="127" t="n">
        <f aca="false">$C$44/$E$16</f>
        <v>-844165</v>
      </c>
      <c r="I67" s="127" t="n">
        <f aca="false">$C$44/$E$16</f>
        <v>-844165</v>
      </c>
      <c r="J67" s="127" t="n">
        <f aca="false">$C$44/$E$16</f>
        <v>-844165</v>
      </c>
      <c r="K67" s="127" t="n">
        <f aca="false">$C$44/$E$16</f>
        <v>-844165</v>
      </c>
      <c r="L67" s="127" t="n">
        <f aca="false">$C$44/$E$16</f>
        <v>-844165</v>
      </c>
      <c r="M67" s="127" t="n">
        <f aca="false">$C$44/$E$16</f>
        <v>-844165</v>
      </c>
      <c r="N67" s="127" t="n">
        <f aca="false">$C$44/$E$16</f>
        <v>-844165</v>
      </c>
      <c r="O67" s="127" t="n">
        <f aca="false">$C$44/$E$16</f>
        <v>-844165</v>
      </c>
      <c r="P67" s="127" t="n">
        <f aca="false">$C$44/$E$16</f>
        <v>-844165</v>
      </c>
      <c r="Q67" s="127" t="n">
        <f aca="false">$C$44/$E$16</f>
        <v>-844165</v>
      </c>
      <c r="R67" s="127" t="n">
        <f aca="false">$C$44/$E$16</f>
        <v>-844165</v>
      </c>
      <c r="S67" s="127" t="n">
        <f aca="false">$C$44/$E$16</f>
        <v>-844165</v>
      </c>
      <c r="T67" s="127" t="n">
        <f aca="false">$C$44/$E$16</f>
        <v>-844165</v>
      </c>
      <c r="U67" s="127" t="n">
        <f aca="false">$C$44/$E$16</f>
        <v>-844165</v>
      </c>
      <c r="V67" s="127" t="n">
        <f aca="false">$C$44/$E$16</f>
        <v>-844165</v>
      </c>
      <c r="W67" s="127" t="n">
        <f aca="false">$C$44/$E$16</f>
        <v>-844165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-345769.984</v>
      </c>
      <c r="E70" s="104" t="n">
        <f aca="false">-E109*$D25</f>
        <v>-322718.651733333</v>
      </c>
      <c r="F70" s="104" t="n">
        <f aca="false">-F109*$D25</f>
        <v>-299667.319466667</v>
      </c>
      <c r="G70" s="104" t="n">
        <f aca="false">-G109*$D25</f>
        <v>-276615.9872</v>
      </c>
      <c r="H70" s="104" t="n">
        <f aca="false">-H109*$D25</f>
        <v>-253564.654933333</v>
      </c>
      <c r="I70" s="104" t="n">
        <f aca="false">-I109*$D25</f>
        <v>-230513.322666667</v>
      </c>
      <c r="J70" s="104" t="n">
        <f aca="false">-J109*$D25</f>
        <v>-207461.9904</v>
      </c>
      <c r="K70" s="104" t="n">
        <f aca="false">-K109*$D25</f>
        <v>-184410.658133333</v>
      </c>
      <c r="L70" s="104" t="n">
        <f aca="false">-L109*$D25</f>
        <v>-161359.325866667</v>
      </c>
      <c r="M70" s="104" t="n">
        <f aca="false">-M109*$D25</f>
        <v>-138307.9936</v>
      </c>
      <c r="N70" s="104" t="n">
        <f aca="false">-N109*$D25</f>
        <v>-115256.661333333</v>
      </c>
      <c r="O70" s="104" t="n">
        <f aca="false">-O109*$D25</f>
        <v>-92205.3290666666</v>
      </c>
      <c r="P70" s="104" t="n">
        <f aca="false">-P109*$D25</f>
        <v>-69153.9967999999</v>
      </c>
      <c r="Q70" s="104" t="n">
        <f aca="false">-Q109*$D25</f>
        <v>-46102.6645333332</v>
      </c>
      <c r="R70" s="104" t="n">
        <f aca="false">-R109*$D25</f>
        <v>-23051.3322666665</v>
      </c>
      <c r="S70" s="104" t="n">
        <f aca="false">-S109*$D25</f>
        <v>1.43051147460938E-010</v>
      </c>
      <c r="T70" s="104" t="n">
        <f aca="false">-T109*$D25</f>
        <v>1.43051147460938E-010</v>
      </c>
      <c r="U70" s="104" t="n">
        <f aca="false">-U109*$D25</f>
        <v>1.43051147460938E-010</v>
      </c>
      <c r="V70" s="104" t="n">
        <f aca="false">-V109*$D25</f>
        <v>1.43051147460938E-010</v>
      </c>
      <c r="W70" s="104" t="n">
        <f aca="false">-W109*$D25</f>
        <v>1.43051147460938E-010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-32707.5</v>
      </c>
      <c r="E72" s="104" t="n">
        <f aca="false">E49</f>
        <v>-32707.5</v>
      </c>
      <c r="F72" s="104" t="n">
        <f aca="false">F49</f>
        <v>-32707.5</v>
      </c>
      <c r="G72" s="104" t="n">
        <f aca="false">G49</f>
        <v>-32707.5</v>
      </c>
      <c r="H72" s="104" t="n">
        <f aca="false">H49</f>
        <v>-32707.5</v>
      </c>
      <c r="I72" s="104" t="n">
        <f aca="false">I49</f>
        <v>-32707.5</v>
      </c>
      <c r="J72" s="104" t="n">
        <f aca="false">J49</f>
        <v>-32707.5</v>
      </c>
      <c r="K72" s="104" t="n">
        <f aca="false">K49</f>
        <v>-32707.5</v>
      </c>
      <c r="L72" s="104" t="n">
        <f aca="false">L49</f>
        <v>-32707.5</v>
      </c>
      <c r="M72" s="104" t="n">
        <f aca="false">M49</f>
        <v>-32707.5</v>
      </c>
      <c r="N72" s="104" t="n">
        <f aca="false">N49</f>
        <v>-32707.5</v>
      </c>
      <c r="O72" s="104" t="n">
        <f aca="false">O49</f>
        <v>-32707.5</v>
      </c>
      <c r="P72" s="104" t="n">
        <f aca="false">P49</f>
        <v>-32707.5</v>
      </c>
      <c r="Q72" s="104" t="n">
        <f aca="false">Q49</f>
        <v>-32707.5</v>
      </c>
      <c r="R72" s="104" t="n">
        <f aca="false">R49</f>
        <v>-32707.5</v>
      </c>
      <c r="S72" s="104" t="n">
        <f aca="false">S49</f>
        <v>-32707.5</v>
      </c>
      <c r="T72" s="104" t="n">
        <f aca="false">T49</f>
        <v>-32707.5</v>
      </c>
      <c r="U72" s="104" t="n">
        <f aca="false">U49</f>
        <v>-32707.5</v>
      </c>
      <c r="V72" s="104" t="n">
        <f aca="false">V49</f>
        <v>-32707.5</v>
      </c>
      <c r="W72" s="104" t="n">
        <f aca="false">W49</f>
        <v>-32707.5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725435.436</v>
      </c>
      <c r="E76" s="109" t="n">
        <f aca="false">SUM(E64:E75)</f>
        <v>449533.736266666</v>
      </c>
      <c r="F76" s="109" t="n">
        <f aca="false">SUM(F64:F75)</f>
        <v>463833.036533333</v>
      </c>
      <c r="G76" s="109" t="n">
        <f aca="false">SUM(G64:G75)</f>
        <v>478132.3368</v>
      </c>
      <c r="H76" s="109" t="n">
        <f aca="false">SUM(H64:H75)</f>
        <v>492431.637066666</v>
      </c>
      <c r="I76" s="109" t="n">
        <f aca="false">SUM(I64:I75)</f>
        <v>506730.937333333</v>
      </c>
      <c r="J76" s="109" t="n">
        <f aca="false">SUM(J64:J75)</f>
        <v>521030.2376</v>
      </c>
      <c r="K76" s="109" t="n">
        <f aca="false">SUM(K64:K75)</f>
        <v>535329.537866666</v>
      </c>
      <c r="L76" s="109" t="n">
        <f aca="false">SUM(L64:L75)</f>
        <v>549628.838133333</v>
      </c>
      <c r="M76" s="109" t="n">
        <f aca="false">SUM(M64:M75)</f>
        <v>563928.1384</v>
      </c>
      <c r="N76" s="109" t="n">
        <f aca="false">SUM(N64:N75)</f>
        <v>621837.438666666</v>
      </c>
      <c r="O76" s="109" t="n">
        <f aca="false">SUM(O64:O75)</f>
        <v>636136.738933333</v>
      </c>
      <c r="P76" s="109" t="n">
        <f aca="false">SUM(P64:P75)</f>
        <v>650436.0392</v>
      </c>
      <c r="Q76" s="109" t="n">
        <f aca="false">SUM(Q64:Q75)</f>
        <v>664735.339466667</v>
      </c>
      <c r="R76" s="109" t="n">
        <f aca="false">SUM(R64:R75)</f>
        <v>679034.639733333</v>
      </c>
      <c r="S76" s="109" t="n">
        <f aca="false">SUM(S64:S75)</f>
        <v>693333.94</v>
      </c>
      <c r="T76" s="109" t="n">
        <f aca="false">SUM(T64:T75)</f>
        <v>684581.908</v>
      </c>
      <c r="U76" s="109" t="n">
        <f aca="false">SUM(U64:U75)</f>
        <v>675829.876</v>
      </c>
      <c r="V76" s="109" t="n">
        <f aca="false">SUM(V64:V75)</f>
        <v>667077.844</v>
      </c>
      <c r="W76" s="109" t="n">
        <f aca="false">SUM(W64:W75)</f>
        <v>658325.812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-145087.0872</v>
      </c>
      <c r="E77" s="104" t="n">
        <f aca="false">-E76*0.2</f>
        <v>-89906.7472533332</v>
      </c>
      <c r="F77" s="104" t="n">
        <f aca="false">-F76*0.2</f>
        <v>-92766.6073066666</v>
      </c>
      <c r="G77" s="104" t="n">
        <f aca="false">-G76*0.2</f>
        <v>-95626.46736</v>
      </c>
      <c r="H77" s="104" t="n">
        <f aca="false">-H76*0.2</f>
        <v>-98486.3274133333</v>
      </c>
      <c r="I77" s="104" t="n">
        <f aca="false">-I76*0.2</f>
        <v>-101346.187466667</v>
      </c>
      <c r="J77" s="104" t="n">
        <f aca="false">-J76*0.2</f>
        <v>-104206.04752</v>
      </c>
      <c r="K77" s="104" t="n">
        <f aca="false">-K76*0.2</f>
        <v>-107065.907573333</v>
      </c>
      <c r="L77" s="104" t="n">
        <f aca="false">-L76*0.2</f>
        <v>-109925.767626667</v>
      </c>
      <c r="M77" s="104" t="n">
        <f aca="false">-M76*0.2</f>
        <v>-112785.62768</v>
      </c>
      <c r="N77" s="104" t="n">
        <f aca="false">-N76*0.2</f>
        <v>-124367.487733333</v>
      </c>
      <c r="O77" s="104" t="n">
        <f aca="false">-O76*0.2</f>
        <v>-127227.347786667</v>
      </c>
      <c r="P77" s="104" t="n">
        <f aca="false">-P76*0.2</f>
        <v>-130087.20784</v>
      </c>
      <c r="Q77" s="104" t="n">
        <f aca="false">-Q76*0.2</f>
        <v>-132947.067893333</v>
      </c>
      <c r="R77" s="104" t="n">
        <f aca="false">-R76*0.2</f>
        <v>-135806.927946667</v>
      </c>
      <c r="S77" s="104" t="n">
        <f aca="false">-S76*0.2</f>
        <v>-138666.788</v>
      </c>
      <c r="T77" s="104" t="n">
        <f aca="false">-T76*0.2</f>
        <v>-136916.3816</v>
      </c>
      <c r="U77" s="104" t="n">
        <f aca="false">-U76*0.2</f>
        <v>-135165.9752</v>
      </c>
      <c r="V77" s="104" t="n">
        <f aca="false">-V76*0.2</f>
        <v>-133415.5688</v>
      </c>
      <c r="W77" s="104" t="n">
        <f aca="false">-W76*0.2</f>
        <v>-131665.1624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580348.3488</v>
      </c>
      <c r="E78" s="104" t="n">
        <f aca="false">SUM(E76:E77)</f>
        <v>359626.989013333</v>
      </c>
      <c r="F78" s="104" t="n">
        <f aca="false">SUM(F76:F77)</f>
        <v>371066.429226667</v>
      </c>
      <c r="G78" s="104" t="n">
        <f aca="false">SUM(G76:G77)</f>
        <v>382505.86944</v>
      </c>
      <c r="H78" s="104" t="n">
        <f aca="false">SUM(H76:H77)</f>
        <v>393945.309653333</v>
      </c>
      <c r="I78" s="104" t="n">
        <f aca="false">SUM(I76:I77)</f>
        <v>405384.749866666</v>
      </c>
      <c r="J78" s="104" t="n">
        <f aca="false">SUM(J76:J77)</f>
        <v>416824.19008</v>
      </c>
      <c r="K78" s="104" t="n">
        <f aca="false">SUM(K76:K77)</f>
        <v>428263.630293333</v>
      </c>
      <c r="L78" s="104" t="n">
        <f aca="false">SUM(L76:L77)</f>
        <v>439703.070506666</v>
      </c>
      <c r="M78" s="104" t="n">
        <f aca="false">SUM(M76:M77)</f>
        <v>451142.51072</v>
      </c>
      <c r="N78" s="104" t="n">
        <f aca="false">SUM(N76:N77)</f>
        <v>497469.950933333</v>
      </c>
      <c r="O78" s="104" t="n">
        <f aca="false">SUM(O76:O77)</f>
        <v>508909.391146667</v>
      </c>
      <c r="P78" s="104" t="n">
        <f aca="false">SUM(P76:P77)</f>
        <v>520348.83136</v>
      </c>
      <c r="Q78" s="104" t="n">
        <f aca="false">SUM(Q76:Q77)</f>
        <v>531788.271573333</v>
      </c>
      <c r="R78" s="104" t="n">
        <f aca="false">SUM(R76:R77)</f>
        <v>543227.711786666</v>
      </c>
      <c r="S78" s="104" t="n">
        <f aca="false">SUM(S76:S77)</f>
        <v>554667.152</v>
      </c>
      <c r="T78" s="104" t="n">
        <f aca="false">SUM(T76:T77)</f>
        <v>547665.5264</v>
      </c>
      <c r="U78" s="104" t="n">
        <f aca="false">SUM(U76:U77)</f>
        <v>540663.9008</v>
      </c>
      <c r="V78" s="104" t="n">
        <f aca="false">SUM(V76:V77)</f>
        <v>533662.2752</v>
      </c>
      <c r="W78" s="104" t="n">
        <f aca="false">SUM(W76:W77)</f>
        <v>526660.6496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580348.3488</v>
      </c>
      <c r="E85" s="143" t="n">
        <f aca="false">E78</f>
        <v>359626.989013333</v>
      </c>
      <c r="F85" s="143" t="n">
        <f aca="false">F78</f>
        <v>371066.429226667</v>
      </c>
      <c r="G85" s="143" t="n">
        <f aca="false">G78</f>
        <v>382505.86944</v>
      </c>
      <c r="H85" s="143" t="n">
        <f aca="false">H78</f>
        <v>393945.309653333</v>
      </c>
      <c r="I85" s="143" t="n">
        <f aca="false">I78</f>
        <v>405384.749866666</v>
      </c>
      <c r="J85" s="143" t="n">
        <f aca="false">J78</f>
        <v>416824.19008</v>
      </c>
      <c r="K85" s="143" t="n">
        <f aca="false">K78</f>
        <v>428263.630293333</v>
      </c>
      <c r="L85" s="143" t="n">
        <f aca="false">L78</f>
        <v>439703.070506666</v>
      </c>
      <c r="M85" s="143" t="n">
        <f aca="false">M78</f>
        <v>451142.51072</v>
      </c>
      <c r="N85" s="143" t="n">
        <f aca="false">N78</f>
        <v>497469.950933333</v>
      </c>
      <c r="O85" s="143" t="n">
        <f aca="false">O78</f>
        <v>508909.391146667</v>
      </c>
      <c r="P85" s="143" t="n">
        <f aca="false">P78</f>
        <v>520348.83136</v>
      </c>
      <c r="Q85" s="143" t="n">
        <f aca="false">Q78</f>
        <v>531788.271573333</v>
      </c>
      <c r="R85" s="143" t="n">
        <f aca="false">R78</f>
        <v>543227.711786666</v>
      </c>
      <c r="S85" s="143" t="n">
        <f aca="false">S78</f>
        <v>554667.152</v>
      </c>
      <c r="T85" s="143" t="n">
        <f aca="false">T78</f>
        <v>547665.5264</v>
      </c>
      <c r="U85" s="143" t="n">
        <f aca="false">U78</f>
        <v>540663.9008</v>
      </c>
      <c r="V85" s="143" t="n">
        <f aca="false">V78</f>
        <v>533662.2752</v>
      </c>
      <c r="W85" s="143" t="n">
        <f aca="false">W78</f>
        <v>526660.6496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844165</v>
      </c>
      <c r="E86" s="144" t="n">
        <f aca="false">-E67</f>
        <v>844165</v>
      </c>
      <c r="F86" s="144" t="n">
        <f aca="false">-F67</f>
        <v>844165</v>
      </c>
      <c r="G86" s="144" t="n">
        <f aca="false">-G67</f>
        <v>844165</v>
      </c>
      <c r="H86" s="144" t="n">
        <f aca="false">-H67</f>
        <v>844165</v>
      </c>
      <c r="I86" s="144" t="n">
        <f aca="false">-I67</f>
        <v>844165</v>
      </c>
      <c r="J86" s="144" t="n">
        <f aca="false">-J67</f>
        <v>844165</v>
      </c>
      <c r="K86" s="144" t="n">
        <f aca="false">-K67</f>
        <v>844165</v>
      </c>
      <c r="L86" s="144" t="n">
        <f aca="false">-L67</f>
        <v>844165</v>
      </c>
      <c r="M86" s="144" t="n">
        <f aca="false">-M67</f>
        <v>844165</v>
      </c>
      <c r="N86" s="144" t="n">
        <f aca="false">-N67</f>
        <v>844165</v>
      </c>
      <c r="O86" s="144" t="n">
        <f aca="false">-O67</f>
        <v>844165</v>
      </c>
      <c r="P86" s="144" t="n">
        <f aca="false">-P67</f>
        <v>844165</v>
      </c>
      <c r="Q86" s="144" t="n">
        <f aca="false">-Q67</f>
        <v>844165</v>
      </c>
      <c r="R86" s="144" t="n">
        <f aca="false">-R67</f>
        <v>844165</v>
      </c>
      <c r="S86" s="144" t="n">
        <f aca="false">-S67</f>
        <v>844165</v>
      </c>
      <c r="T86" s="144" t="n">
        <f aca="false">-T67</f>
        <v>844165</v>
      </c>
      <c r="U86" s="144" t="n">
        <f aca="false">-U67</f>
        <v>844165</v>
      </c>
      <c r="V86" s="144" t="n">
        <f aca="false">-V67</f>
        <v>844165</v>
      </c>
      <c r="W86" s="144" t="n">
        <f aca="false">-W67</f>
        <v>844165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1424513.3488</v>
      </c>
      <c r="E87" s="146" t="n">
        <f aca="false">SUM(E85:E86)</f>
        <v>1203791.98901333</v>
      </c>
      <c r="F87" s="146" t="n">
        <f aca="false">SUM(F85:F86)</f>
        <v>1215231.42922667</v>
      </c>
      <c r="G87" s="146" t="n">
        <f aca="false">SUM(G85:G86)</f>
        <v>1226670.86944</v>
      </c>
      <c r="H87" s="146" t="n">
        <f aca="false">SUM(H85:H86)</f>
        <v>1238110.30965333</v>
      </c>
      <c r="I87" s="146" t="n">
        <f aca="false">SUM(I85:I86)</f>
        <v>1249549.74986667</v>
      </c>
      <c r="J87" s="146" t="n">
        <f aca="false">SUM(J85:J86)</f>
        <v>1260989.19008</v>
      </c>
      <c r="K87" s="146" t="n">
        <f aca="false">SUM(K85:K86)</f>
        <v>1272428.63029333</v>
      </c>
      <c r="L87" s="146" t="n">
        <f aca="false">SUM(L85:L86)</f>
        <v>1283868.07050667</v>
      </c>
      <c r="M87" s="146" t="n">
        <f aca="false">SUM(M85:M86)</f>
        <v>1295307.51072</v>
      </c>
      <c r="N87" s="146" t="n">
        <f aca="false">SUM(N85:N86)</f>
        <v>1341634.95093333</v>
      </c>
      <c r="O87" s="146" t="n">
        <f aca="false">SUM(O85:O86)</f>
        <v>1353074.39114667</v>
      </c>
      <c r="P87" s="146" t="n">
        <f aca="false">SUM(P85:P86)</f>
        <v>1364513.83136</v>
      </c>
      <c r="Q87" s="146" t="n">
        <f aca="false">SUM(Q85:Q86)</f>
        <v>1375953.27157333</v>
      </c>
      <c r="R87" s="146" t="n">
        <f aca="false">SUM(R85:R86)</f>
        <v>1387392.71178667</v>
      </c>
      <c r="S87" s="146" t="n">
        <f aca="false">SUM(S85:S86)</f>
        <v>1398832.152</v>
      </c>
      <c r="T87" s="146" t="n">
        <f aca="false">SUM(T85:T86)</f>
        <v>1391830.5264</v>
      </c>
      <c r="U87" s="146" t="n">
        <f aca="false">SUM(U85:U86)</f>
        <v>1384828.9008</v>
      </c>
      <c r="V87" s="146" t="n">
        <f aca="false">SUM(V85:V86)</f>
        <v>1377827.2752</v>
      </c>
      <c r="W87" s="146" t="n">
        <f aca="false">SUM(W85:W86)</f>
        <v>1370825.6496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-16883300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13506640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-900442.666666667</v>
      </c>
      <c r="F93" s="152" t="n">
        <v>-900442.666666667</v>
      </c>
      <c r="G93" s="152" t="n">
        <v>-900442.666666667</v>
      </c>
      <c r="H93" s="152" t="n">
        <v>-900442.666666667</v>
      </c>
      <c r="I93" s="152" t="n">
        <v>-900442.666666667</v>
      </c>
      <c r="J93" s="152" t="n">
        <v>-900442.666666667</v>
      </c>
      <c r="K93" s="152" t="n">
        <v>-900442.666666667</v>
      </c>
      <c r="L93" s="152" t="n">
        <v>-900442.666666667</v>
      </c>
      <c r="M93" s="152" t="n">
        <v>-900442.666666667</v>
      </c>
      <c r="N93" s="152" t="n">
        <v>-900442.666666667</v>
      </c>
      <c r="O93" s="152" t="n">
        <v>-900442.666666667</v>
      </c>
      <c r="P93" s="152" t="n">
        <v>-900442.666666667</v>
      </c>
      <c r="Q93" s="152" t="n">
        <v>-900442.666666667</v>
      </c>
      <c r="R93" s="152" t="n">
        <v>-900442.666666667</v>
      </c>
      <c r="S93" s="152" t="n">
        <v>-900442.666666667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3376660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-522313.51392</v>
      </c>
      <c r="F95" s="153" t="n">
        <f aca="false">-E85*$D$33</f>
        <v>-323664.290112</v>
      </c>
      <c r="G95" s="153" t="n">
        <f aca="false">-F85*$D$33</f>
        <v>-333959.786304</v>
      </c>
      <c r="H95" s="153" t="n">
        <f aca="false">-G85*$D$33</f>
        <v>-344255.282496</v>
      </c>
      <c r="I95" s="153" t="n">
        <f aca="false">-H85*$D$33</f>
        <v>-354550.778688</v>
      </c>
      <c r="J95" s="153" t="n">
        <f aca="false">-I85*$D$33</f>
        <v>-364846.27488</v>
      </c>
      <c r="K95" s="153" t="n">
        <f aca="false">-J85*$D$33</f>
        <v>-375141.771072</v>
      </c>
      <c r="L95" s="153" t="n">
        <f aca="false">-K85*$D$33</f>
        <v>-385437.267264</v>
      </c>
      <c r="M95" s="153" t="n">
        <f aca="false">-L85*$D$33</f>
        <v>-395732.763456</v>
      </c>
      <c r="N95" s="153" t="n">
        <f aca="false">-M85*$D$33</f>
        <v>-406028.259648</v>
      </c>
      <c r="O95" s="153" t="n">
        <f aca="false">-N85*$D$33</f>
        <v>-447722.95584</v>
      </c>
      <c r="P95" s="153" t="n">
        <f aca="false">-O85*$D$33</f>
        <v>-458018.452032</v>
      </c>
      <c r="Q95" s="153" t="n">
        <f aca="false">-P85*$D$33</f>
        <v>-468313.948224</v>
      </c>
      <c r="R95" s="153" t="n">
        <f aca="false">-Q85*$D$33</f>
        <v>-478609.444416</v>
      </c>
      <c r="S95" s="153" t="n">
        <f aca="false">-R85*$D$33</f>
        <v>-488904.940608</v>
      </c>
      <c r="T95" s="153" t="n">
        <f aca="false">-S85*$D$33</f>
        <v>-499200.4368</v>
      </c>
      <c r="U95" s="153" t="n">
        <f aca="false">-T85*$D$33</f>
        <v>-492898.97376</v>
      </c>
      <c r="V95" s="153" t="n">
        <f aca="false">-U85*$D$33</f>
        <v>-486597.51072</v>
      </c>
      <c r="W95" s="153" t="n">
        <f aca="false">-V85*$D$33</f>
        <v>-480296.04768</v>
      </c>
      <c r="X95" s="153" t="n">
        <f aca="false">-W85*$D$33</f>
        <v>-473994.58464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-844165</v>
      </c>
      <c r="U96" s="156" t="n">
        <v>-844165</v>
      </c>
      <c r="V96" s="156" t="n">
        <v>-844165</v>
      </c>
      <c r="W96" s="156" t="n">
        <v>-844165</v>
      </c>
      <c r="X96" s="157" t="n">
        <f aca="false">-W101-X95</f>
        <v>-953387.47584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1424513.3488</v>
      </c>
      <c r="E99" s="143" t="n">
        <f aca="false">SUM(E87:E96)</f>
        <v>-218964.191573334</v>
      </c>
      <c r="F99" s="143" t="n">
        <f aca="false">SUM(F87:F96)</f>
        <v>-8875.52755199996</v>
      </c>
      <c r="G99" s="143" t="n">
        <f aca="false">SUM(G87:G96)</f>
        <v>-7731.58353066689</v>
      </c>
      <c r="H99" s="143" t="n">
        <f aca="false">SUM(H87:H96)</f>
        <v>-6587.63950933341</v>
      </c>
      <c r="I99" s="143" t="n">
        <f aca="false">SUM(I87:I96)</f>
        <v>-5443.69548800006</v>
      </c>
      <c r="J99" s="143" t="n">
        <f aca="false">SUM(J87:J96)</f>
        <v>-4299.75146666664</v>
      </c>
      <c r="K99" s="143" t="n">
        <f aca="false">SUM(K87:K96)</f>
        <v>-3155.80744533346</v>
      </c>
      <c r="L99" s="143" t="n">
        <f aca="false">SUM(L87:L96)</f>
        <v>-2011.86342400004</v>
      </c>
      <c r="M99" s="143" t="n">
        <f aca="false">SUM(M87:M96)</f>
        <v>-867.919402666623</v>
      </c>
      <c r="N99" s="143" t="n">
        <f aca="false">SUM(N87:N96)</f>
        <v>35164.0246186666</v>
      </c>
      <c r="O99" s="143" t="n">
        <f aca="false">SUM(O87:O96)</f>
        <v>4908.76864000002</v>
      </c>
      <c r="P99" s="143" t="n">
        <f aca="false">SUM(P87:P96)</f>
        <v>6052.71266133332</v>
      </c>
      <c r="Q99" s="143" t="n">
        <f aca="false">SUM(Q87:Q96)</f>
        <v>7196.65668266668</v>
      </c>
      <c r="R99" s="143" t="n">
        <f aca="false">SUM(R87:R96)</f>
        <v>8340.60070399969</v>
      </c>
      <c r="S99" s="143" t="n">
        <f aca="false">SUM(S87:S96)</f>
        <v>9484.54472533346</v>
      </c>
      <c r="T99" s="143" t="n">
        <f aca="false">SUM(T87:T96)</f>
        <v>48465.0896</v>
      </c>
      <c r="U99" s="143" t="n">
        <f aca="false">SUM(U87:U96)</f>
        <v>47764.9270400002</v>
      </c>
      <c r="V99" s="143" t="n">
        <f aca="false">SUM(V87:V96)</f>
        <v>47064.7644800001</v>
      </c>
      <c r="W99" s="143" t="n">
        <f aca="false">SUM(W87:W96)</f>
        <v>46364.6019200003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1424513.3488</v>
      </c>
      <c r="F100" s="143" t="n">
        <f aca="false">E101</f>
        <v>1205549.15722667</v>
      </c>
      <c r="G100" s="143" t="n">
        <f aca="false">F101</f>
        <v>1196673.62967467</v>
      </c>
      <c r="H100" s="143" t="n">
        <f aca="false">G101</f>
        <v>1188942.046144</v>
      </c>
      <c r="I100" s="143" t="n">
        <f aca="false">H101</f>
        <v>1182354.40663467</v>
      </c>
      <c r="J100" s="143" t="n">
        <f aca="false">I101</f>
        <v>1176910.71114667</v>
      </c>
      <c r="K100" s="143" t="n">
        <f aca="false">J101</f>
        <v>1172610.95968</v>
      </c>
      <c r="L100" s="143" t="n">
        <f aca="false">K101</f>
        <v>1169455.15223467</v>
      </c>
      <c r="M100" s="143" t="n">
        <f aca="false">L101</f>
        <v>1167443.28881067</v>
      </c>
      <c r="N100" s="143" t="n">
        <f aca="false">M101</f>
        <v>1166575.369408</v>
      </c>
      <c r="O100" s="143" t="n">
        <f aca="false">N101</f>
        <v>1201739.39402667</v>
      </c>
      <c r="P100" s="143" t="n">
        <f aca="false">O101</f>
        <v>1206648.16266667</v>
      </c>
      <c r="Q100" s="143" t="n">
        <f aca="false">P101</f>
        <v>1212700.875328</v>
      </c>
      <c r="R100" s="143" t="n">
        <f aca="false">Q101</f>
        <v>1219897.53201067</v>
      </c>
      <c r="S100" s="143" t="n">
        <f aca="false">R101</f>
        <v>1228238.13271467</v>
      </c>
      <c r="T100" s="143" t="n">
        <f aca="false">S101</f>
        <v>1237722.67744</v>
      </c>
      <c r="U100" s="143" t="n">
        <f aca="false">T101</f>
        <v>1286187.76704</v>
      </c>
      <c r="V100" s="143" t="n">
        <f aca="false">U101</f>
        <v>1333952.69408</v>
      </c>
      <c r="W100" s="143" t="n">
        <f aca="false">V101</f>
        <v>1381017.45856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1424513.3488</v>
      </c>
      <c r="E101" s="143" t="n">
        <f aca="false">E99+E100</f>
        <v>1205549.15722667</v>
      </c>
      <c r="F101" s="143" t="n">
        <f aca="false">F99+F100</f>
        <v>1196673.62967467</v>
      </c>
      <c r="G101" s="143" t="n">
        <f aca="false">G99+G100</f>
        <v>1188942.046144</v>
      </c>
      <c r="H101" s="143" t="n">
        <f aca="false">H99+H100</f>
        <v>1182354.40663467</v>
      </c>
      <c r="I101" s="143" t="n">
        <f aca="false">I99+I100</f>
        <v>1176910.71114667</v>
      </c>
      <c r="J101" s="143" t="n">
        <f aca="false">J99+J100</f>
        <v>1172610.95968</v>
      </c>
      <c r="K101" s="143" t="n">
        <f aca="false">K99+K100</f>
        <v>1169455.15223467</v>
      </c>
      <c r="L101" s="143" t="n">
        <f aca="false">L99+L100</f>
        <v>1167443.28881067</v>
      </c>
      <c r="M101" s="143" t="n">
        <f aca="false">M99+M100</f>
        <v>1166575.369408</v>
      </c>
      <c r="N101" s="143" t="n">
        <f aca="false">N99+N100</f>
        <v>1201739.39402667</v>
      </c>
      <c r="O101" s="143" t="n">
        <f aca="false">O99+O100</f>
        <v>1206648.16266667</v>
      </c>
      <c r="P101" s="143" t="n">
        <f aca="false">P99+P100</f>
        <v>1212700.875328</v>
      </c>
      <c r="Q101" s="143" t="n">
        <f aca="false">Q99+Q100</f>
        <v>1219897.53201067</v>
      </c>
      <c r="R101" s="143" t="n">
        <f aca="false">R99+R100</f>
        <v>1228238.13271467</v>
      </c>
      <c r="S101" s="143" t="n">
        <f aca="false">S99+S100</f>
        <v>1237722.67744</v>
      </c>
      <c r="T101" s="143" t="n">
        <f aca="false">T99+T100</f>
        <v>1286187.76704</v>
      </c>
      <c r="U101" s="143" t="n">
        <f aca="false">U99+U100</f>
        <v>1333952.69408</v>
      </c>
      <c r="V101" s="143" t="n">
        <f aca="false">V99+V100</f>
        <v>1381017.45856</v>
      </c>
      <c r="W101" s="143" t="n">
        <f aca="false">W99+W100</f>
        <v>1427382.06048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-3376660</v>
      </c>
      <c r="E104" s="146" t="n">
        <f aca="false">-E95-E96</f>
        <v>522313.51392</v>
      </c>
      <c r="F104" s="146" t="n">
        <f aca="false">-F95-F96</f>
        <v>323664.290112</v>
      </c>
      <c r="G104" s="146" t="n">
        <f aca="false">-G95-G96</f>
        <v>333959.786304</v>
      </c>
      <c r="H104" s="146" t="n">
        <f aca="false">-H95-H96</f>
        <v>344255.282496</v>
      </c>
      <c r="I104" s="146" t="n">
        <f aca="false">-I95-I96</f>
        <v>354550.778688</v>
      </c>
      <c r="J104" s="146" t="n">
        <f aca="false">-J95-J96</f>
        <v>364846.27488</v>
      </c>
      <c r="K104" s="146" t="n">
        <f aca="false">-K95-K96</f>
        <v>375141.771072</v>
      </c>
      <c r="L104" s="146" t="n">
        <f aca="false">-L95-L96</f>
        <v>385437.267264</v>
      </c>
      <c r="M104" s="146" t="n">
        <f aca="false">-M95-M96</f>
        <v>395732.763456</v>
      </c>
      <c r="N104" s="146" t="n">
        <f aca="false">-N95-N96</f>
        <v>406028.259648</v>
      </c>
      <c r="O104" s="146" t="n">
        <f aca="false">-O95-O96</f>
        <v>447722.95584</v>
      </c>
      <c r="P104" s="146" t="n">
        <f aca="false">-P95-P96</f>
        <v>458018.452032</v>
      </c>
      <c r="Q104" s="146" t="n">
        <f aca="false">-Q95-Q96</f>
        <v>468313.948224</v>
      </c>
      <c r="R104" s="146" t="n">
        <f aca="false">-R95-R96</f>
        <v>478609.444416</v>
      </c>
      <c r="S104" s="146" t="n">
        <f aca="false">-S95-S96</f>
        <v>488904.940608</v>
      </c>
      <c r="T104" s="146" t="n">
        <f aca="false">-T95-T96</f>
        <v>1343365.4368</v>
      </c>
      <c r="U104" s="146" t="n">
        <f aca="false">-U95-U96</f>
        <v>1337063.97376</v>
      </c>
      <c r="V104" s="146" t="n">
        <f aca="false">-V95-V96</f>
        <v>1330762.51072</v>
      </c>
      <c r="W104" s="146" t="n">
        <f aca="false">-W95-W96</f>
        <v>1324461.04768</v>
      </c>
      <c r="X104" s="146" t="n">
        <f aca="false">-X95-X96</f>
        <v>1427382.06048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0.127929918066372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-2796311.6512</v>
      </c>
      <c r="E106" s="146" t="n">
        <f aca="false">E85</f>
        <v>359626.989013333</v>
      </c>
      <c r="F106" s="146" t="n">
        <f aca="false">F85-F96</f>
        <v>371066.429226667</v>
      </c>
      <c r="G106" s="146" t="n">
        <f aca="false">G85-G96</f>
        <v>382505.86944</v>
      </c>
      <c r="H106" s="146" t="n">
        <f aca="false">H85-H96</f>
        <v>393945.309653333</v>
      </c>
      <c r="I106" s="146" t="n">
        <f aca="false">I85-I96</f>
        <v>405384.749866666</v>
      </c>
      <c r="J106" s="146" t="n">
        <f aca="false">J85-J96</f>
        <v>416824.19008</v>
      </c>
      <c r="K106" s="146" t="n">
        <f aca="false">K85-K96</f>
        <v>428263.630293333</v>
      </c>
      <c r="L106" s="146" t="n">
        <f aca="false">L85-L96</f>
        <v>439703.070506666</v>
      </c>
      <c r="M106" s="146" t="n">
        <f aca="false">M85-M96</f>
        <v>451142.51072</v>
      </c>
      <c r="N106" s="146" t="n">
        <f aca="false">N85-N96</f>
        <v>497469.950933333</v>
      </c>
      <c r="O106" s="146" t="n">
        <f aca="false">O85-O96</f>
        <v>508909.391146667</v>
      </c>
      <c r="P106" s="146" t="n">
        <f aca="false">P85-P96</f>
        <v>520348.83136</v>
      </c>
      <c r="Q106" s="146" t="n">
        <f aca="false">Q85-Q96</f>
        <v>531788.271573333</v>
      </c>
      <c r="R106" s="146" t="n">
        <f aca="false">R85-R96</f>
        <v>543227.711786666</v>
      </c>
      <c r="S106" s="146" t="n">
        <f aca="false">S85-S96</f>
        <v>554667.152</v>
      </c>
      <c r="T106" s="146" t="n">
        <f aca="false">T85-T96</f>
        <v>1391830.5264</v>
      </c>
      <c r="U106" s="146" t="n">
        <f aca="false">U85-U96</f>
        <v>1384828.9008</v>
      </c>
      <c r="V106" s="146" t="n">
        <f aca="false">V85-V96</f>
        <v>1377827.2752</v>
      </c>
      <c r="W106" s="146" t="n">
        <f aca="false">W85-W96</f>
        <v>1370825.6496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0.156906965791222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13506640</v>
      </c>
      <c r="E109" s="143" t="n">
        <f aca="false">D109+E93</f>
        <v>12606197.3333333</v>
      </c>
      <c r="F109" s="143" t="n">
        <f aca="false">E109+F93</f>
        <v>11705754.6666667</v>
      </c>
      <c r="G109" s="143" t="n">
        <f aca="false">F109+G93</f>
        <v>10805312</v>
      </c>
      <c r="H109" s="143" t="n">
        <f aca="false">G109+H93</f>
        <v>9904869.33333333</v>
      </c>
      <c r="I109" s="143" t="n">
        <f aca="false">H109+I93</f>
        <v>9004426.66666666</v>
      </c>
      <c r="J109" s="143" t="n">
        <f aca="false">I109+J93</f>
        <v>8103984</v>
      </c>
      <c r="K109" s="143" t="n">
        <f aca="false">J109+K93</f>
        <v>7203541.33333333</v>
      </c>
      <c r="L109" s="143" t="n">
        <f aca="false">K109+L93</f>
        <v>6303098.66666666</v>
      </c>
      <c r="M109" s="143" t="n">
        <f aca="false">L109+M93</f>
        <v>5402656</v>
      </c>
      <c r="N109" s="143" t="n">
        <f aca="false">M109+N93</f>
        <v>4502213.33333333</v>
      </c>
      <c r="O109" s="143" t="n">
        <f aca="false">N109+O93</f>
        <v>3601770.66666666</v>
      </c>
      <c r="P109" s="143" t="n">
        <f aca="false">O109+P93</f>
        <v>2701328</v>
      </c>
      <c r="Q109" s="143" t="n">
        <f aca="false">P109+Q93</f>
        <v>1800885.33333333</v>
      </c>
      <c r="R109" s="143" t="n">
        <f aca="false">Q109+R93</f>
        <v>900442.666666661</v>
      </c>
      <c r="S109" s="143" t="n">
        <f aca="false">R109+S93</f>
        <v>-5.58793544769287E-009</v>
      </c>
      <c r="T109" s="143" t="n">
        <f aca="false">S109+T93</f>
        <v>-5.58793544769287E-009</v>
      </c>
      <c r="U109" s="143" t="n">
        <f aca="false">T109+U93</f>
        <v>-5.58793544769287E-009</v>
      </c>
      <c r="V109" s="143" t="n">
        <f aca="false">U109+V93</f>
        <v>-5.58793544769287E-009</v>
      </c>
      <c r="W109" s="143" t="n">
        <f aca="false">V109+W93</f>
        <v>-5.58793544769287E-009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175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176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177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178</v>
      </c>
    </row>
    <row r="8" customFormat="false" ht="22.5" hidden="false" customHeight="true" outlineLevel="0" collapsed="false">
      <c r="B8" s="16" t="s">
        <v>14</v>
      </c>
      <c r="E8" s="46"/>
      <c r="M8" s="1" t="s">
        <v>179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-15637300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-30090.9</v>
      </c>
      <c r="E49" s="104" t="n">
        <v>-30090.9</v>
      </c>
      <c r="F49" s="104" t="n">
        <v>-30090.9</v>
      </c>
      <c r="G49" s="104" t="n">
        <v>-30090.9</v>
      </c>
      <c r="H49" s="104" t="n">
        <v>-30090.9</v>
      </c>
      <c r="I49" s="104" t="n">
        <v>-30090.9</v>
      </c>
      <c r="J49" s="104" t="n">
        <v>-30090.9</v>
      </c>
      <c r="K49" s="104" t="n">
        <v>-30090.9</v>
      </c>
      <c r="L49" s="104" t="n">
        <v>-30090.9</v>
      </c>
      <c r="M49" s="104" t="n">
        <v>-30090.9</v>
      </c>
      <c r="N49" s="104" t="n">
        <v>-30090.9</v>
      </c>
      <c r="O49" s="104" t="n">
        <v>-30090.9</v>
      </c>
      <c r="P49" s="104" t="n">
        <v>-30090.9</v>
      </c>
      <c r="Q49" s="104" t="n">
        <v>-30090.9</v>
      </c>
      <c r="R49" s="104" t="n">
        <v>-30090.9</v>
      </c>
      <c r="S49" s="104" t="n">
        <v>-30090.9</v>
      </c>
      <c r="T49" s="104" t="n">
        <v>-30090.9</v>
      </c>
      <c r="U49" s="104" t="n">
        <v>-30090.9</v>
      </c>
      <c r="V49" s="104" t="n">
        <v>-30090.9</v>
      </c>
      <c r="W49" s="104" t="n">
        <v>-30090.9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-227224.404</v>
      </c>
      <c r="E54" s="104" t="n">
        <f aca="false">-(E64+E67+E68+E71+E72+E73+E74)*0.2</f>
        <v>-167433.7976</v>
      </c>
      <c r="F54" s="104" t="n">
        <f aca="false">-(F64+F67+F68+F71+F72+F73+F74)*0.2</f>
        <v>-165683.3912</v>
      </c>
      <c r="G54" s="104" t="n">
        <f aca="false">-(G64+G67+G68+G71+G72+G73+G74)*0.2</f>
        <v>-163932.9848</v>
      </c>
      <c r="H54" s="104" t="n">
        <f aca="false">-(H64+H67+H68+H71+H72+H73+H74)*0.2</f>
        <v>-162182.5784</v>
      </c>
      <c r="I54" s="104" t="n">
        <f aca="false">-(I64+I67+I68+I71+I72+I73+I74)*0.2</f>
        <v>-160432.172</v>
      </c>
      <c r="J54" s="104" t="n">
        <f aca="false">-(J64+J67+J68+J71+J72+J73+J74)*0.2</f>
        <v>-158681.7656</v>
      </c>
      <c r="K54" s="104" t="n">
        <f aca="false">-(K64+K67+K68+K71+K72+K73+K74)*0.2</f>
        <v>-156931.3592</v>
      </c>
      <c r="L54" s="104" t="n">
        <f aca="false">-(L64+L67+L68+L71+L72+L73+L74)*0.2</f>
        <v>-155180.9528</v>
      </c>
      <c r="M54" s="104" t="n">
        <f aca="false">-(M64+M67+M68+M71+M72+M73+M74)*0.2</f>
        <v>-153430.5464</v>
      </c>
      <c r="N54" s="104" t="n">
        <f aca="false">-(N64+N67+N68+N71+N72+N73+N74)*0.2</f>
        <v>-160402.14</v>
      </c>
      <c r="O54" s="104" t="n">
        <f aca="false">-(O64+O67+O68+O71+O72+O73+O74)*0.2</f>
        <v>-158651.7336</v>
      </c>
      <c r="P54" s="104" t="n">
        <f aca="false">-(P64+P67+P68+P71+P72+P73+P74)*0.2</f>
        <v>-156901.3272</v>
      </c>
      <c r="Q54" s="104" t="n">
        <f aca="false">-(Q64+Q67+Q68+Q71+Q72+Q73+Q74)*0.2</f>
        <v>-155150.9208</v>
      </c>
      <c r="R54" s="104" t="n">
        <f aca="false">-(R64+R67+R68+R71+R72+R73+R74)*0.2</f>
        <v>-153400.5144</v>
      </c>
      <c r="S54" s="104" t="n">
        <f aca="false">-(S64+S67+S68+S71+S72+S73+S74)*0.2</f>
        <v>-151650.108</v>
      </c>
      <c r="T54" s="104" t="n">
        <f aca="false">-(T64+T67+T68+T71+T72+T73+T74)*0.2</f>
        <v>-149899.7016</v>
      </c>
      <c r="U54" s="104" t="n">
        <f aca="false">-(U64+U67+U68+U71+U72+U73+U74)*0.2</f>
        <v>-148149.2952</v>
      </c>
      <c r="V54" s="104" t="n">
        <f aca="false">-(V64+V67+V68+V71+V72+V73+V74)*0.2</f>
        <v>-146398.8888</v>
      </c>
      <c r="W54" s="104" t="n">
        <f aca="false">-(W64+W67+W68+W71+W72+W73+W74)*0.2</f>
        <v>-144648.4824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-15637300</v>
      </c>
      <c r="D55" s="109" t="n">
        <f aca="false">SUM(D41:D54)</f>
        <v>1400561.616</v>
      </c>
      <c r="E55" s="109" t="n">
        <f aca="false">SUM(E41:E54)</f>
        <v>1451600.1904</v>
      </c>
      <c r="F55" s="109" t="n">
        <f aca="false">SUM(F41:F54)</f>
        <v>1444598.5648</v>
      </c>
      <c r="G55" s="109" t="n">
        <f aca="false">SUM(G41:G54)</f>
        <v>1437596.9392</v>
      </c>
      <c r="H55" s="109" t="n">
        <f aca="false">SUM(H41:H54)</f>
        <v>1430595.3136</v>
      </c>
      <c r="I55" s="109" t="n">
        <f aca="false">SUM(I41:I54)</f>
        <v>1423593.688</v>
      </c>
      <c r="J55" s="109" t="n">
        <f aca="false">SUM(J41:J54)</f>
        <v>1416592.0624</v>
      </c>
      <c r="K55" s="109" t="n">
        <f aca="false">SUM(K41:K54)</f>
        <v>1409590.4368</v>
      </c>
      <c r="L55" s="109" t="n">
        <f aca="false">SUM(L41:L54)</f>
        <v>1402588.8112</v>
      </c>
      <c r="M55" s="109" t="n">
        <f aca="false">SUM(M41:M54)</f>
        <v>1395587.1856</v>
      </c>
      <c r="N55" s="109" t="n">
        <f aca="false">SUM(N41:N54)</f>
        <v>1423473.56</v>
      </c>
      <c r="O55" s="109" t="n">
        <f aca="false">SUM(O41:O54)</f>
        <v>1416471.9344</v>
      </c>
      <c r="P55" s="109" t="n">
        <f aca="false">SUM(P41:P54)</f>
        <v>1409470.3088</v>
      </c>
      <c r="Q55" s="109" t="n">
        <f aca="false">SUM(Q41:Q54)</f>
        <v>1402468.6832</v>
      </c>
      <c r="R55" s="109" t="n">
        <f aca="false">SUM(R41:R54)</f>
        <v>1395467.0576</v>
      </c>
      <c r="S55" s="109" t="n">
        <f aca="false">SUM(S41:S54)</f>
        <v>1388465.432</v>
      </c>
      <c r="T55" s="109" t="n">
        <f aca="false">SUM(T41:T54)</f>
        <v>1381463.8064</v>
      </c>
      <c r="U55" s="109" t="n">
        <f aca="false">SUM(U41:U54)</f>
        <v>1374462.1808</v>
      </c>
      <c r="V55" s="109" t="n">
        <f aca="false">SUM(V41:V54)</f>
        <v>1367460.5552</v>
      </c>
      <c r="W55" s="109" t="n">
        <f aca="false">SUM(W41:W54)</f>
        <v>1360458.9296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-14236738.384</v>
      </c>
      <c r="E56" s="114" t="n">
        <f aca="false">D56+E55</f>
        <v>-12785138.1936</v>
      </c>
      <c r="F56" s="114" t="n">
        <f aca="false">E56+F55</f>
        <v>-11340539.6288</v>
      </c>
      <c r="G56" s="114" t="n">
        <f aca="false">F56+G55</f>
        <v>-9902942.6896</v>
      </c>
      <c r="H56" s="114" t="n">
        <f aca="false">G56+H55</f>
        <v>-8472347.376</v>
      </c>
      <c r="I56" s="114" t="n">
        <f aca="false">H56+I55</f>
        <v>-7048753.688</v>
      </c>
      <c r="J56" s="114" t="n">
        <f aca="false">I56+J55</f>
        <v>-5632161.6256</v>
      </c>
      <c r="K56" s="114" t="n">
        <f aca="false">J56+K55</f>
        <v>-4222571.1888</v>
      </c>
      <c r="L56" s="114" t="n">
        <f aca="false">K56+L55</f>
        <v>-2819982.3776</v>
      </c>
      <c r="M56" s="114" t="n">
        <f aca="false">L56+M55</f>
        <v>-1424395.192</v>
      </c>
      <c r="N56" s="114" t="n">
        <f aca="false">M56+N55</f>
        <v>-921.632000000915</v>
      </c>
      <c r="O56" s="114" t="n">
        <f aca="false">N56+O55</f>
        <v>1415550.3024</v>
      </c>
      <c r="P56" s="114" t="n">
        <f aca="false">O56+P55</f>
        <v>2825020.6112</v>
      </c>
      <c r="Q56" s="114" t="n">
        <f aca="false">P56+Q55</f>
        <v>4227489.2944</v>
      </c>
      <c r="R56" s="114" t="n">
        <f aca="false">Q56+R55</f>
        <v>5622956.352</v>
      </c>
      <c r="S56" s="114" t="n">
        <f aca="false">R56+S55</f>
        <v>7011421.784</v>
      </c>
      <c r="T56" s="114" t="n">
        <f aca="false">S56+T55</f>
        <v>8392885.5904</v>
      </c>
      <c r="U56" s="114" t="n">
        <f aca="false">T56+U55</f>
        <v>9767347.7712</v>
      </c>
      <c r="V56" s="114" t="n">
        <f aca="false">U56+V55</f>
        <v>11134808.3264</v>
      </c>
      <c r="W56" s="114" t="n">
        <f aca="false">V56+W55</f>
        <v>12495267.256</v>
      </c>
      <c r="X56" s="114" t="n">
        <f aca="false">W56+X55</f>
        <v>12495267.256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0.0644957276999963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-781865</v>
      </c>
      <c r="E67" s="127" t="n">
        <f aca="false">$C$44/$E$16</f>
        <v>-781865</v>
      </c>
      <c r="F67" s="127" t="n">
        <f aca="false">$C$44/$E$16</f>
        <v>-781865</v>
      </c>
      <c r="G67" s="127" t="n">
        <f aca="false">$C$44/$E$16</f>
        <v>-781865</v>
      </c>
      <c r="H67" s="127" t="n">
        <f aca="false">$C$44/$E$16</f>
        <v>-781865</v>
      </c>
      <c r="I67" s="127" t="n">
        <f aca="false">$C$44/$E$16</f>
        <v>-781865</v>
      </c>
      <c r="J67" s="127" t="n">
        <f aca="false">$C$44/$E$16</f>
        <v>-781865</v>
      </c>
      <c r="K67" s="127" t="n">
        <f aca="false">$C$44/$E$16</f>
        <v>-781865</v>
      </c>
      <c r="L67" s="127" t="n">
        <f aca="false">$C$44/$E$16</f>
        <v>-781865</v>
      </c>
      <c r="M67" s="127" t="n">
        <f aca="false">$C$44/$E$16</f>
        <v>-781865</v>
      </c>
      <c r="N67" s="127" t="n">
        <f aca="false">$C$44/$E$16</f>
        <v>-781865</v>
      </c>
      <c r="O67" s="127" t="n">
        <f aca="false">$C$44/$E$16</f>
        <v>-781865</v>
      </c>
      <c r="P67" s="127" t="n">
        <f aca="false">$C$44/$E$16</f>
        <v>-781865</v>
      </c>
      <c r="Q67" s="127" t="n">
        <f aca="false">$C$44/$E$16</f>
        <v>-781865</v>
      </c>
      <c r="R67" s="127" t="n">
        <f aca="false">$C$44/$E$16</f>
        <v>-781865</v>
      </c>
      <c r="S67" s="127" t="n">
        <f aca="false">$C$44/$E$16</f>
        <v>-781865</v>
      </c>
      <c r="T67" s="127" t="n">
        <f aca="false">$C$44/$E$16</f>
        <v>-781865</v>
      </c>
      <c r="U67" s="127" t="n">
        <f aca="false">$C$44/$E$16</f>
        <v>-781865</v>
      </c>
      <c r="V67" s="127" t="n">
        <f aca="false">$C$44/$E$16</f>
        <v>-781865</v>
      </c>
      <c r="W67" s="127" t="n">
        <f aca="false">$C$44/$E$16</f>
        <v>-781865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-320251.904</v>
      </c>
      <c r="E70" s="104" t="n">
        <f aca="false">-E109*$D25</f>
        <v>-298901.777066667</v>
      </c>
      <c r="F70" s="104" t="n">
        <f aca="false">-F109*$D25</f>
        <v>-277551.650133334</v>
      </c>
      <c r="G70" s="104" t="n">
        <f aca="false">-G109*$D25</f>
        <v>-256201.5232</v>
      </c>
      <c r="H70" s="104" t="n">
        <f aca="false">-H109*$D25</f>
        <v>-234851.396266667</v>
      </c>
      <c r="I70" s="104" t="n">
        <f aca="false">-I109*$D25</f>
        <v>-213501.269333334</v>
      </c>
      <c r="J70" s="104" t="n">
        <f aca="false">-J109*$D25</f>
        <v>-192151.1424</v>
      </c>
      <c r="K70" s="104" t="n">
        <f aca="false">-K109*$D25</f>
        <v>-170801.015466667</v>
      </c>
      <c r="L70" s="104" t="n">
        <f aca="false">-L109*$D25</f>
        <v>-149450.888533334</v>
      </c>
      <c r="M70" s="104" t="n">
        <f aca="false">-M109*$D25</f>
        <v>-128100.7616</v>
      </c>
      <c r="N70" s="104" t="n">
        <f aca="false">-N109*$D25</f>
        <v>-106750.634666667</v>
      </c>
      <c r="O70" s="104" t="n">
        <f aca="false">-O109*$D25</f>
        <v>-85400.5077333336</v>
      </c>
      <c r="P70" s="104" t="n">
        <f aca="false">-P109*$D25</f>
        <v>-64050.3808000003</v>
      </c>
      <c r="Q70" s="104" t="n">
        <f aca="false">-Q109*$D25</f>
        <v>-42700.253866667</v>
      </c>
      <c r="R70" s="104" t="n">
        <f aca="false">-R109*$D25</f>
        <v>-21350.1269333336</v>
      </c>
      <c r="S70" s="104" t="n">
        <f aca="false">-S109*$D25</f>
        <v>-3.09944152832031E-010</v>
      </c>
      <c r="T70" s="104" t="n">
        <f aca="false">-T109*$D25</f>
        <v>-3.09944152832031E-010</v>
      </c>
      <c r="U70" s="104" t="n">
        <f aca="false">-U109*$D25</f>
        <v>-3.09944152832031E-010</v>
      </c>
      <c r="V70" s="104" t="n">
        <f aca="false">-V109*$D25</f>
        <v>-3.09944152832031E-010</v>
      </c>
      <c r="W70" s="104" t="n">
        <f aca="false">-W109*$D25</f>
        <v>-3.09944152832031E-010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-30090.9</v>
      </c>
      <c r="E72" s="104" t="n">
        <f aca="false">E49</f>
        <v>-30090.9</v>
      </c>
      <c r="F72" s="104" t="n">
        <f aca="false">F49</f>
        <v>-30090.9</v>
      </c>
      <c r="G72" s="104" t="n">
        <f aca="false">G49</f>
        <v>-30090.9</v>
      </c>
      <c r="H72" s="104" t="n">
        <f aca="false">H49</f>
        <v>-30090.9</v>
      </c>
      <c r="I72" s="104" t="n">
        <f aca="false">I49</f>
        <v>-30090.9</v>
      </c>
      <c r="J72" s="104" t="n">
        <f aca="false">J49</f>
        <v>-30090.9</v>
      </c>
      <c r="K72" s="104" t="n">
        <f aca="false">K49</f>
        <v>-30090.9</v>
      </c>
      <c r="L72" s="104" t="n">
        <f aca="false">L49</f>
        <v>-30090.9</v>
      </c>
      <c r="M72" s="104" t="n">
        <f aca="false">M49</f>
        <v>-30090.9</v>
      </c>
      <c r="N72" s="104" t="n">
        <f aca="false">N49</f>
        <v>-30090.9</v>
      </c>
      <c r="O72" s="104" t="n">
        <f aca="false">O49</f>
        <v>-30090.9</v>
      </c>
      <c r="P72" s="104" t="n">
        <f aca="false">P49</f>
        <v>-30090.9</v>
      </c>
      <c r="Q72" s="104" t="n">
        <f aca="false">Q49</f>
        <v>-30090.9</v>
      </c>
      <c r="R72" s="104" t="n">
        <f aca="false">R49</f>
        <v>-30090.9</v>
      </c>
      <c r="S72" s="104" t="n">
        <f aca="false">S49</f>
        <v>-30090.9</v>
      </c>
      <c r="T72" s="104" t="n">
        <f aca="false">T49</f>
        <v>-30090.9</v>
      </c>
      <c r="U72" s="104" t="n">
        <f aca="false">U49</f>
        <v>-30090.9</v>
      </c>
      <c r="V72" s="104" t="n">
        <f aca="false">V49</f>
        <v>-30090.9</v>
      </c>
      <c r="W72" s="104" t="n">
        <f aca="false">W49</f>
        <v>-30090.9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815870.116</v>
      </c>
      <c r="E76" s="109" t="n">
        <f aca="false">SUM(E64:E75)</f>
        <v>538267.210933333</v>
      </c>
      <c r="F76" s="109" t="n">
        <f aca="false">SUM(F64:F75)</f>
        <v>550865.305866666</v>
      </c>
      <c r="G76" s="109" t="n">
        <f aca="false">SUM(G64:G75)</f>
        <v>563463.4008</v>
      </c>
      <c r="H76" s="109" t="n">
        <f aca="false">SUM(H64:H75)</f>
        <v>576061.495733333</v>
      </c>
      <c r="I76" s="109" t="n">
        <f aca="false">SUM(I64:I75)</f>
        <v>588659.590666666</v>
      </c>
      <c r="J76" s="109" t="n">
        <f aca="false">SUM(J64:J75)</f>
        <v>601257.6856</v>
      </c>
      <c r="K76" s="109" t="n">
        <f aca="false">SUM(K64:K75)</f>
        <v>613855.780533333</v>
      </c>
      <c r="L76" s="109" t="n">
        <f aca="false">SUM(L64:L75)</f>
        <v>626453.875466666</v>
      </c>
      <c r="M76" s="109" t="n">
        <f aca="false">SUM(M64:M75)</f>
        <v>639051.9704</v>
      </c>
      <c r="N76" s="109" t="n">
        <f aca="false">SUM(N64:N75)</f>
        <v>695260.065333333</v>
      </c>
      <c r="O76" s="109" t="n">
        <f aca="false">SUM(O64:O75)</f>
        <v>707858.160266666</v>
      </c>
      <c r="P76" s="109" t="n">
        <f aca="false">SUM(P64:P75)</f>
        <v>720456.255199999</v>
      </c>
      <c r="Q76" s="109" t="n">
        <f aca="false">SUM(Q64:Q75)</f>
        <v>733054.350133333</v>
      </c>
      <c r="R76" s="109" t="n">
        <f aca="false">SUM(R64:R75)</f>
        <v>745652.445066666</v>
      </c>
      <c r="S76" s="109" t="n">
        <f aca="false">SUM(S64:S75)</f>
        <v>758250.539999999</v>
      </c>
      <c r="T76" s="109" t="n">
        <f aca="false">SUM(T64:T75)</f>
        <v>749498.507999999</v>
      </c>
      <c r="U76" s="109" t="n">
        <f aca="false">SUM(U64:U75)</f>
        <v>740746.475999999</v>
      </c>
      <c r="V76" s="109" t="n">
        <f aca="false">SUM(V64:V75)</f>
        <v>731994.443999999</v>
      </c>
      <c r="W76" s="109" t="n">
        <f aca="false">SUM(W64:W75)</f>
        <v>723242.411999999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-163174.0232</v>
      </c>
      <c r="E77" s="104" t="n">
        <f aca="false">-E76*0.2</f>
        <v>-107653.442186667</v>
      </c>
      <c r="F77" s="104" t="n">
        <f aca="false">-F76*0.2</f>
        <v>-110173.061173333</v>
      </c>
      <c r="G77" s="104" t="n">
        <f aca="false">-G76*0.2</f>
        <v>-112692.68016</v>
      </c>
      <c r="H77" s="104" t="n">
        <f aca="false">-H76*0.2</f>
        <v>-115212.299146667</v>
      </c>
      <c r="I77" s="104" t="n">
        <f aca="false">-I76*0.2</f>
        <v>-117731.918133333</v>
      </c>
      <c r="J77" s="104" t="n">
        <f aca="false">-J76*0.2</f>
        <v>-120251.53712</v>
      </c>
      <c r="K77" s="104" t="n">
        <f aca="false">-K76*0.2</f>
        <v>-122771.156106667</v>
      </c>
      <c r="L77" s="104" t="n">
        <f aca="false">-L76*0.2</f>
        <v>-125290.775093333</v>
      </c>
      <c r="M77" s="104" t="n">
        <f aca="false">-M76*0.2</f>
        <v>-127810.39408</v>
      </c>
      <c r="N77" s="104" t="n">
        <f aca="false">-N76*0.2</f>
        <v>-139052.013066667</v>
      </c>
      <c r="O77" s="104" t="n">
        <f aca="false">-O76*0.2</f>
        <v>-141571.632053333</v>
      </c>
      <c r="P77" s="104" t="n">
        <f aca="false">-P76*0.2</f>
        <v>-144091.25104</v>
      </c>
      <c r="Q77" s="104" t="n">
        <f aca="false">-Q76*0.2</f>
        <v>-146610.870026667</v>
      </c>
      <c r="R77" s="104" t="n">
        <f aca="false">-R76*0.2</f>
        <v>-149130.489013333</v>
      </c>
      <c r="S77" s="104" t="n">
        <f aca="false">-S76*0.2</f>
        <v>-151650.108</v>
      </c>
      <c r="T77" s="104" t="n">
        <f aca="false">-T76*0.2</f>
        <v>-149899.7016</v>
      </c>
      <c r="U77" s="104" t="n">
        <f aca="false">-U76*0.2</f>
        <v>-148149.2952</v>
      </c>
      <c r="V77" s="104" t="n">
        <f aca="false">-V76*0.2</f>
        <v>-146398.8888</v>
      </c>
      <c r="W77" s="104" t="n">
        <f aca="false">-W76*0.2</f>
        <v>-144648.4824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652696.0928</v>
      </c>
      <c r="E78" s="104" t="n">
        <f aca="false">SUM(E76:E77)</f>
        <v>430613.768746666</v>
      </c>
      <c r="F78" s="104" t="n">
        <f aca="false">SUM(F76:F77)</f>
        <v>440692.244693333</v>
      </c>
      <c r="G78" s="104" t="n">
        <f aca="false">SUM(G76:G77)</f>
        <v>450770.72064</v>
      </c>
      <c r="H78" s="104" t="n">
        <f aca="false">SUM(H76:H77)</f>
        <v>460849.196586666</v>
      </c>
      <c r="I78" s="104" t="n">
        <f aca="false">SUM(I76:I77)</f>
        <v>470927.672533333</v>
      </c>
      <c r="J78" s="104" t="n">
        <f aca="false">SUM(J76:J77)</f>
        <v>481006.14848</v>
      </c>
      <c r="K78" s="104" t="n">
        <f aca="false">SUM(K76:K77)</f>
        <v>491084.624426666</v>
      </c>
      <c r="L78" s="104" t="n">
        <f aca="false">SUM(L76:L77)</f>
        <v>501163.100373333</v>
      </c>
      <c r="M78" s="104" t="n">
        <f aca="false">SUM(M76:M77)</f>
        <v>511241.57632</v>
      </c>
      <c r="N78" s="104" t="n">
        <f aca="false">SUM(N76:N77)</f>
        <v>556208.052266666</v>
      </c>
      <c r="O78" s="104" t="n">
        <f aca="false">SUM(O76:O77)</f>
        <v>566286.528213333</v>
      </c>
      <c r="P78" s="104" t="n">
        <f aca="false">SUM(P76:P77)</f>
        <v>576365.004159999</v>
      </c>
      <c r="Q78" s="104" t="n">
        <f aca="false">SUM(Q76:Q77)</f>
        <v>586443.480106666</v>
      </c>
      <c r="R78" s="104" t="n">
        <f aca="false">SUM(R76:R77)</f>
        <v>596521.956053333</v>
      </c>
      <c r="S78" s="104" t="n">
        <f aca="false">SUM(S76:S77)</f>
        <v>606600.431999999</v>
      </c>
      <c r="T78" s="104" t="n">
        <f aca="false">SUM(T76:T77)</f>
        <v>599598.806399999</v>
      </c>
      <c r="U78" s="104" t="n">
        <f aca="false">SUM(U76:U77)</f>
        <v>592597.1808</v>
      </c>
      <c r="V78" s="104" t="n">
        <f aca="false">SUM(V76:V77)</f>
        <v>585595.555199999</v>
      </c>
      <c r="W78" s="104" t="n">
        <f aca="false">SUM(W76:W77)</f>
        <v>578593.9296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652696.0928</v>
      </c>
      <c r="E85" s="143" t="n">
        <f aca="false">E78</f>
        <v>430613.768746666</v>
      </c>
      <c r="F85" s="143" t="n">
        <f aca="false">F78</f>
        <v>440692.244693333</v>
      </c>
      <c r="G85" s="143" t="n">
        <f aca="false">G78</f>
        <v>450770.72064</v>
      </c>
      <c r="H85" s="143" t="n">
        <f aca="false">H78</f>
        <v>460849.196586666</v>
      </c>
      <c r="I85" s="143" t="n">
        <f aca="false">I78</f>
        <v>470927.672533333</v>
      </c>
      <c r="J85" s="143" t="n">
        <f aca="false">J78</f>
        <v>481006.14848</v>
      </c>
      <c r="K85" s="143" t="n">
        <f aca="false">K78</f>
        <v>491084.624426666</v>
      </c>
      <c r="L85" s="143" t="n">
        <f aca="false">L78</f>
        <v>501163.100373333</v>
      </c>
      <c r="M85" s="143" t="n">
        <f aca="false">M78</f>
        <v>511241.57632</v>
      </c>
      <c r="N85" s="143" t="n">
        <f aca="false">N78</f>
        <v>556208.052266666</v>
      </c>
      <c r="O85" s="143" t="n">
        <f aca="false">O78</f>
        <v>566286.528213333</v>
      </c>
      <c r="P85" s="143" t="n">
        <f aca="false">P78</f>
        <v>576365.004159999</v>
      </c>
      <c r="Q85" s="143" t="n">
        <f aca="false">Q78</f>
        <v>586443.480106666</v>
      </c>
      <c r="R85" s="143" t="n">
        <f aca="false">R78</f>
        <v>596521.956053333</v>
      </c>
      <c r="S85" s="143" t="n">
        <f aca="false">S78</f>
        <v>606600.431999999</v>
      </c>
      <c r="T85" s="143" t="n">
        <f aca="false">T78</f>
        <v>599598.806399999</v>
      </c>
      <c r="U85" s="143" t="n">
        <f aca="false">U78</f>
        <v>592597.1808</v>
      </c>
      <c r="V85" s="143" t="n">
        <f aca="false">V78</f>
        <v>585595.555199999</v>
      </c>
      <c r="W85" s="143" t="n">
        <f aca="false">W78</f>
        <v>578593.9296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781865</v>
      </c>
      <c r="E86" s="144" t="n">
        <f aca="false">-E67</f>
        <v>781865</v>
      </c>
      <c r="F86" s="144" t="n">
        <f aca="false">-F67</f>
        <v>781865</v>
      </c>
      <c r="G86" s="144" t="n">
        <f aca="false">-G67</f>
        <v>781865</v>
      </c>
      <c r="H86" s="144" t="n">
        <f aca="false">-H67</f>
        <v>781865</v>
      </c>
      <c r="I86" s="144" t="n">
        <f aca="false">-I67</f>
        <v>781865</v>
      </c>
      <c r="J86" s="144" t="n">
        <f aca="false">-J67</f>
        <v>781865</v>
      </c>
      <c r="K86" s="144" t="n">
        <f aca="false">-K67</f>
        <v>781865</v>
      </c>
      <c r="L86" s="144" t="n">
        <f aca="false">-L67</f>
        <v>781865</v>
      </c>
      <c r="M86" s="144" t="n">
        <f aca="false">-M67</f>
        <v>781865</v>
      </c>
      <c r="N86" s="144" t="n">
        <f aca="false">-N67</f>
        <v>781865</v>
      </c>
      <c r="O86" s="144" t="n">
        <f aca="false">-O67</f>
        <v>781865</v>
      </c>
      <c r="P86" s="144" t="n">
        <f aca="false">-P67</f>
        <v>781865</v>
      </c>
      <c r="Q86" s="144" t="n">
        <f aca="false">-Q67</f>
        <v>781865</v>
      </c>
      <c r="R86" s="144" t="n">
        <f aca="false">-R67</f>
        <v>781865</v>
      </c>
      <c r="S86" s="144" t="n">
        <f aca="false">-S67</f>
        <v>781865</v>
      </c>
      <c r="T86" s="144" t="n">
        <f aca="false">-T67</f>
        <v>781865</v>
      </c>
      <c r="U86" s="144" t="n">
        <f aca="false">-U67</f>
        <v>781865</v>
      </c>
      <c r="V86" s="144" t="n">
        <f aca="false">-V67</f>
        <v>781865</v>
      </c>
      <c r="W86" s="144" t="n">
        <f aca="false">-W67</f>
        <v>781865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1434561.0928</v>
      </c>
      <c r="E87" s="146" t="n">
        <f aca="false">SUM(E85:E86)</f>
        <v>1212478.76874667</v>
      </c>
      <c r="F87" s="146" t="n">
        <f aca="false">SUM(F85:F86)</f>
        <v>1222557.24469333</v>
      </c>
      <c r="G87" s="146" t="n">
        <f aca="false">SUM(G85:G86)</f>
        <v>1232635.72064</v>
      </c>
      <c r="H87" s="146" t="n">
        <f aca="false">SUM(H85:H86)</f>
        <v>1242714.19658667</v>
      </c>
      <c r="I87" s="146" t="n">
        <f aca="false">SUM(I85:I86)</f>
        <v>1252792.67253333</v>
      </c>
      <c r="J87" s="146" t="n">
        <f aca="false">SUM(J85:J86)</f>
        <v>1262871.14848</v>
      </c>
      <c r="K87" s="146" t="n">
        <f aca="false">SUM(K85:K86)</f>
        <v>1272949.62442667</v>
      </c>
      <c r="L87" s="146" t="n">
        <f aca="false">SUM(L85:L86)</f>
        <v>1283028.10037333</v>
      </c>
      <c r="M87" s="146" t="n">
        <f aca="false">SUM(M85:M86)</f>
        <v>1293106.57632</v>
      </c>
      <c r="N87" s="146" t="n">
        <f aca="false">SUM(N85:N86)</f>
        <v>1338073.05226667</v>
      </c>
      <c r="O87" s="146" t="n">
        <f aca="false">SUM(O85:O86)</f>
        <v>1348151.52821333</v>
      </c>
      <c r="P87" s="146" t="n">
        <f aca="false">SUM(P85:P86)</f>
        <v>1358230.00416</v>
      </c>
      <c r="Q87" s="146" t="n">
        <f aca="false">SUM(Q85:Q86)</f>
        <v>1368308.48010667</v>
      </c>
      <c r="R87" s="146" t="n">
        <f aca="false">SUM(R85:R86)</f>
        <v>1378386.95605333</v>
      </c>
      <c r="S87" s="146" t="n">
        <f aca="false">SUM(S85:S86)</f>
        <v>1388465.432</v>
      </c>
      <c r="T87" s="146" t="n">
        <f aca="false">SUM(T85:T86)</f>
        <v>1381463.8064</v>
      </c>
      <c r="U87" s="146" t="n">
        <f aca="false">SUM(U85:U86)</f>
        <v>1374462.1808</v>
      </c>
      <c r="V87" s="146" t="n">
        <f aca="false">SUM(V85:V86)</f>
        <v>1367460.5552</v>
      </c>
      <c r="W87" s="146" t="n">
        <f aca="false">SUM(W85:W86)</f>
        <v>1360458.9296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-15637300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12509840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-833989.333333333</v>
      </c>
      <c r="F93" s="152" t="n">
        <v>-833989.333333333</v>
      </c>
      <c r="G93" s="152" t="n">
        <v>-833989.333333333</v>
      </c>
      <c r="H93" s="152" t="n">
        <v>-833989.333333333</v>
      </c>
      <c r="I93" s="152" t="n">
        <v>-833989.333333333</v>
      </c>
      <c r="J93" s="152" t="n">
        <v>-833989.333333333</v>
      </c>
      <c r="K93" s="152" t="n">
        <v>-833989.333333333</v>
      </c>
      <c r="L93" s="152" t="n">
        <v>-833989.333333333</v>
      </c>
      <c r="M93" s="152" t="n">
        <v>-833989.333333333</v>
      </c>
      <c r="N93" s="152" t="n">
        <v>-833989.333333333</v>
      </c>
      <c r="O93" s="152" t="n">
        <v>-833989.333333333</v>
      </c>
      <c r="P93" s="152" t="n">
        <v>-833989.333333333</v>
      </c>
      <c r="Q93" s="152" t="n">
        <v>-833989.333333333</v>
      </c>
      <c r="R93" s="152" t="n">
        <v>-833989.333333333</v>
      </c>
      <c r="S93" s="152" t="n">
        <v>-833989.333333333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3127460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-587426.48352</v>
      </c>
      <c r="F95" s="153" t="n">
        <f aca="false">-E85*$D$33</f>
        <v>-387552.391872</v>
      </c>
      <c r="G95" s="153" t="n">
        <f aca="false">-F85*$D$33</f>
        <v>-396623.020224</v>
      </c>
      <c r="H95" s="153" t="n">
        <f aca="false">-G85*$D$33</f>
        <v>-405693.648576</v>
      </c>
      <c r="I95" s="153" t="n">
        <f aca="false">-H85*$D$33</f>
        <v>-414764.276928</v>
      </c>
      <c r="J95" s="153" t="n">
        <f aca="false">-I85*$D$33</f>
        <v>-423834.90528</v>
      </c>
      <c r="K95" s="153" t="n">
        <f aca="false">-J85*$D$33</f>
        <v>-432905.533632</v>
      </c>
      <c r="L95" s="153" t="n">
        <f aca="false">-K85*$D$33</f>
        <v>-441976.161984</v>
      </c>
      <c r="M95" s="153" t="n">
        <f aca="false">-L85*$D$33</f>
        <v>-451046.790336</v>
      </c>
      <c r="N95" s="153" t="n">
        <f aca="false">-M85*$D$33</f>
        <v>-460117.418688</v>
      </c>
      <c r="O95" s="153" t="n">
        <f aca="false">-N85*$D$33</f>
        <v>-500587.247039999</v>
      </c>
      <c r="P95" s="153" t="n">
        <f aca="false">-O85*$D$33</f>
        <v>-509657.875392</v>
      </c>
      <c r="Q95" s="153" t="n">
        <f aca="false">-P85*$D$33</f>
        <v>-518728.503744</v>
      </c>
      <c r="R95" s="153" t="n">
        <f aca="false">-Q85*$D$33</f>
        <v>-527799.132096</v>
      </c>
      <c r="S95" s="153" t="n">
        <f aca="false">-R85*$D$33</f>
        <v>-536869.760448</v>
      </c>
      <c r="T95" s="153" t="n">
        <f aca="false">-S85*$D$33</f>
        <v>-545940.3888</v>
      </c>
      <c r="U95" s="153" t="n">
        <f aca="false">-T85*$D$33</f>
        <v>-539638.92576</v>
      </c>
      <c r="V95" s="153" t="n">
        <f aca="false">-U85*$D$33</f>
        <v>-533337.46272</v>
      </c>
      <c r="W95" s="153" t="n">
        <f aca="false">-V85*$D$33</f>
        <v>-527035.999679999</v>
      </c>
      <c r="X95" s="153" t="n">
        <f aca="false">-W85*$D$33</f>
        <v>-520734.53664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-781865</v>
      </c>
      <c r="U96" s="156" t="n">
        <v>-781865</v>
      </c>
      <c r="V96" s="156" t="n">
        <v>-781865</v>
      </c>
      <c r="W96" s="156" t="n">
        <v>-781865</v>
      </c>
      <c r="X96" s="157" t="n">
        <f aca="false">-W101-X95</f>
        <v>-1073585.60704001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1434561.0928</v>
      </c>
      <c r="E99" s="143" t="n">
        <f aca="false">SUM(E87:E96)</f>
        <v>-208937.048106666</v>
      </c>
      <c r="F99" s="143" t="n">
        <f aca="false">SUM(F87:F96)</f>
        <v>1015.5194880006</v>
      </c>
      <c r="G99" s="143" t="n">
        <f aca="false">SUM(G87:G96)</f>
        <v>2023.36708266713</v>
      </c>
      <c r="H99" s="143" t="n">
        <f aca="false">SUM(H87:H96)</f>
        <v>3031.21467733366</v>
      </c>
      <c r="I99" s="143" t="n">
        <f aca="false">SUM(I87:I96)</f>
        <v>4039.06227200024</v>
      </c>
      <c r="J99" s="143" t="n">
        <f aca="false">SUM(J87:J96)</f>
        <v>5046.90986666747</v>
      </c>
      <c r="K99" s="143" t="n">
        <f aca="false">SUM(K87:K96)</f>
        <v>6054.75746133388</v>
      </c>
      <c r="L99" s="143" t="n">
        <f aca="false">SUM(L87:L96)</f>
        <v>7062.60505600041</v>
      </c>
      <c r="M99" s="143" t="n">
        <f aca="false">SUM(M87:M96)</f>
        <v>8070.4526506674</v>
      </c>
      <c r="N99" s="143" t="n">
        <f aca="false">SUM(N87:N96)</f>
        <v>43966.3002453335</v>
      </c>
      <c r="O99" s="143" t="n">
        <f aca="false">SUM(O87:O96)</f>
        <v>13574.9478400006</v>
      </c>
      <c r="P99" s="143" t="n">
        <f aca="false">SUM(P87:P96)</f>
        <v>14582.7954346669</v>
      </c>
      <c r="Q99" s="143" t="n">
        <f aca="false">SUM(Q87:Q96)</f>
        <v>15590.6430293339</v>
      </c>
      <c r="R99" s="143" t="n">
        <f aca="false">SUM(R87:R96)</f>
        <v>16598.4906240002</v>
      </c>
      <c r="S99" s="143" t="n">
        <f aca="false">SUM(S87:S96)</f>
        <v>17606.3382186671</v>
      </c>
      <c r="T99" s="143" t="n">
        <f aca="false">SUM(T87:T96)</f>
        <v>53658.4176000002</v>
      </c>
      <c r="U99" s="143" t="n">
        <f aca="false">SUM(U87:U96)</f>
        <v>52958.2550400002</v>
      </c>
      <c r="V99" s="143" t="n">
        <f aca="false">SUM(V87:V96)</f>
        <v>52258.09248</v>
      </c>
      <c r="W99" s="143" t="n">
        <f aca="false">SUM(W87:W96)</f>
        <v>51557.9299200003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1434561.0928</v>
      </c>
      <c r="F100" s="143" t="n">
        <f aca="false">E101</f>
        <v>1225624.04469333</v>
      </c>
      <c r="G100" s="143" t="n">
        <f aca="false">F101</f>
        <v>1226639.56418133</v>
      </c>
      <c r="H100" s="143" t="n">
        <f aca="false">G101</f>
        <v>1228662.931264</v>
      </c>
      <c r="I100" s="143" t="n">
        <f aca="false">H101</f>
        <v>1231694.14594133</v>
      </c>
      <c r="J100" s="143" t="n">
        <f aca="false">I101</f>
        <v>1235733.20821334</v>
      </c>
      <c r="K100" s="143" t="n">
        <f aca="false">J101</f>
        <v>1240780.11808</v>
      </c>
      <c r="L100" s="143" t="n">
        <f aca="false">K101</f>
        <v>1246834.87554134</v>
      </c>
      <c r="M100" s="143" t="n">
        <f aca="false">L101</f>
        <v>1253897.48059734</v>
      </c>
      <c r="N100" s="143" t="n">
        <f aca="false">M101</f>
        <v>1261967.933248</v>
      </c>
      <c r="O100" s="143" t="n">
        <f aca="false">N101</f>
        <v>1305934.23349334</v>
      </c>
      <c r="P100" s="143" t="n">
        <f aca="false">O101</f>
        <v>1319509.18133334</v>
      </c>
      <c r="Q100" s="143" t="n">
        <f aca="false">P101</f>
        <v>1334091.976768</v>
      </c>
      <c r="R100" s="143" t="n">
        <f aca="false">Q101</f>
        <v>1349682.61979734</v>
      </c>
      <c r="S100" s="143" t="n">
        <f aca="false">R101</f>
        <v>1366281.11042134</v>
      </c>
      <c r="T100" s="143" t="n">
        <f aca="false">S101</f>
        <v>1383887.44864001</v>
      </c>
      <c r="U100" s="143" t="n">
        <f aca="false">T101</f>
        <v>1437545.86624001</v>
      </c>
      <c r="V100" s="143" t="n">
        <f aca="false">U101</f>
        <v>1490504.12128001</v>
      </c>
      <c r="W100" s="143" t="n">
        <f aca="false">V101</f>
        <v>1542762.21376001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1434561.0928</v>
      </c>
      <c r="E101" s="143" t="n">
        <f aca="false">E99+E100</f>
        <v>1225624.04469333</v>
      </c>
      <c r="F101" s="143" t="n">
        <f aca="false">F99+F100</f>
        <v>1226639.56418133</v>
      </c>
      <c r="G101" s="143" t="n">
        <f aca="false">G99+G100</f>
        <v>1228662.931264</v>
      </c>
      <c r="H101" s="143" t="n">
        <f aca="false">H99+H100</f>
        <v>1231694.14594133</v>
      </c>
      <c r="I101" s="143" t="n">
        <f aca="false">I99+I100</f>
        <v>1235733.20821334</v>
      </c>
      <c r="J101" s="143" t="n">
        <f aca="false">J99+J100</f>
        <v>1240780.11808</v>
      </c>
      <c r="K101" s="143" t="n">
        <f aca="false">K99+K100</f>
        <v>1246834.87554134</v>
      </c>
      <c r="L101" s="143" t="n">
        <f aca="false">L99+L100</f>
        <v>1253897.48059734</v>
      </c>
      <c r="M101" s="143" t="n">
        <f aca="false">M99+M100</f>
        <v>1261967.933248</v>
      </c>
      <c r="N101" s="143" t="n">
        <f aca="false">N99+N100</f>
        <v>1305934.23349334</v>
      </c>
      <c r="O101" s="143" t="n">
        <f aca="false">O99+O100</f>
        <v>1319509.18133334</v>
      </c>
      <c r="P101" s="143" t="n">
        <f aca="false">P99+P100</f>
        <v>1334091.976768</v>
      </c>
      <c r="Q101" s="143" t="n">
        <f aca="false">Q99+Q100</f>
        <v>1349682.61979734</v>
      </c>
      <c r="R101" s="143" t="n">
        <f aca="false">R99+R100</f>
        <v>1366281.11042134</v>
      </c>
      <c r="S101" s="143" t="n">
        <f aca="false">S99+S100</f>
        <v>1383887.44864001</v>
      </c>
      <c r="T101" s="143" t="n">
        <f aca="false">T99+T100</f>
        <v>1437545.86624001</v>
      </c>
      <c r="U101" s="143" t="n">
        <f aca="false">U99+U100</f>
        <v>1490504.12128001</v>
      </c>
      <c r="V101" s="143" t="n">
        <f aca="false">V99+V100</f>
        <v>1542762.21376001</v>
      </c>
      <c r="W101" s="143" t="n">
        <f aca="false">W99+W100</f>
        <v>1594320.14368001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-3127460</v>
      </c>
      <c r="E104" s="146" t="n">
        <f aca="false">-E95-E96</f>
        <v>587426.48352</v>
      </c>
      <c r="F104" s="146" t="n">
        <f aca="false">-F95-F96</f>
        <v>387552.391872</v>
      </c>
      <c r="G104" s="146" t="n">
        <f aca="false">-G95-G96</f>
        <v>396623.020224</v>
      </c>
      <c r="H104" s="146" t="n">
        <f aca="false">-H95-H96</f>
        <v>405693.648576</v>
      </c>
      <c r="I104" s="146" t="n">
        <f aca="false">-I95-I96</f>
        <v>414764.276928</v>
      </c>
      <c r="J104" s="146" t="n">
        <f aca="false">-J95-J96</f>
        <v>423834.90528</v>
      </c>
      <c r="K104" s="146" t="n">
        <f aca="false">-K95-K96</f>
        <v>432905.533632</v>
      </c>
      <c r="L104" s="146" t="n">
        <f aca="false">-L95-L96</f>
        <v>441976.161984</v>
      </c>
      <c r="M104" s="146" t="n">
        <f aca="false">-M95-M96</f>
        <v>451046.790336</v>
      </c>
      <c r="N104" s="146" t="n">
        <f aca="false">-N95-N96</f>
        <v>460117.418688</v>
      </c>
      <c r="O104" s="146" t="n">
        <f aca="false">-O95-O96</f>
        <v>500587.247039999</v>
      </c>
      <c r="P104" s="146" t="n">
        <f aca="false">-P95-P96</f>
        <v>509657.875392</v>
      </c>
      <c r="Q104" s="146" t="n">
        <f aca="false">-Q95-Q96</f>
        <v>518728.503744</v>
      </c>
      <c r="R104" s="146" t="n">
        <f aca="false">-R95-R96</f>
        <v>527799.132096</v>
      </c>
      <c r="S104" s="146" t="n">
        <f aca="false">-S95-S96</f>
        <v>536869.760448</v>
      </c>
      <c r="T104" s="146" t="n">
        <f aca="false">-T95-T96</f>
        <v>1327805.3888</v>
      </c>
      <c r="U104" s="146" t="n">
        <f aca="false">-U95-U96</f>
        <v>1321503.92576</v>
      </c>
      <c r="V104" s="146" t="n">
        <f aca="false">-V95-V96</f>
        <v>1315202.46272</v>
      </c>
      <c r="W104" s="146" t="n">
        <f aca="false">-W95-W96</f>
        <v>1308900.99968</v>
      </c>
      <c r="X104" s="146" t="n">
        <f aca="false">-X95-X96</f>
        <v>1594320.14368001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0.154534987059158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-2474763.9072</v>
      </c>
      <c r="E106" s="146" t="n">
        <f aca="false">E85</f>
        <v>430613.768746666</v>
      </c>
      <c r="F106" s="146" t="n">
        <f aca="false">F85-F96</f>
        <v>440692.244693333</v>
      </c>
      <c r="G106" s="146" t="n">
        <f aca="false">G85-G96</f>
        <v>450770.72064</v>
      </c>
      <c r="H106" s="146" t="n">
        <f aca="false">H85-H96</f>
        <v>460849.196586666</v>
      </c>
      <c r="I106" s="146" t="n">
        <f aca="false">I85-I96</f>
        <v>470927.672533333</v>
      </c>
      <c r="J106" s="146" t="n">
        <f aca="false">J85-J96</f>
        <v>481006.14848</v>
      </c>
      <c r="K106" s="146" t="n">
        <f aca="false">K85-K96</f>
        <v>491084.624426666</v>
      </c>
      <c r="L106" s="146" t="n">
        <f aca="false">L85-L96</f>
        <v>501163.100373333</v>
      </c>
      <c r="M106" s="146" t="n">
        <f aca="false">M85-M96</f>
        <v>511241.57632</v>
      </c>
      <c r="N106" s="146" t="n">
        <f aca="false">N85-N96</f>
        <v>556208.052266666</v>
      </c>
      <c r="O106" s="146" t="n">
        <f aca="false">O85-O96</f>
        <v>566286.528213333</v>
      </c>
      <c r="P106" s="146" t="n">
        <f aca="false">P85-P96</f>
        <v>576365.004159999</v>
      </c>
      <c r="Q106" s="146" t="n">
        <f aca="false">Q85-Q96</f>
        <v>586443.480106666</v>
      </c>
      <c r="R106" s="146" t="n">
        <f aca="false">R85-R96</f>
        <v>596521.956053333</v>
      </c>
      <c r="S106" s="146" t="n">
        <f aca="false">S85-S96</f>
        <v>606600.431999999</v>
      </c>
      <c r="T106" s="146" t="n">
        <f aca="false">T85-T96</f>
        <v>1381463.8064</v>
      </c>
      <c r="U106" s="146" t="n">
        <f aca="false">U85-U96</f>
        <v>1374462.1808</v>
      </c>
      <c r="V106" s="146" t="n">
        <f aca="false">V85-V96</f>
        <v>1367460.5552</v>
      </c>
      <c r="W106" s="146" t="n">
        <f aca="false">W85-W96</f>
        <v>1360458.9296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0.198356640571927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12509840</v>
      </c>
      <c r="E109" s="143" t="n">
        <f aca="false">D109+E93</f>
        <v>11675850.6666667</v>
      </c>
      <c r="F109" s="143" t="n">
        <f aca="false">E109+F93</f>
        <v>10841861.3333333</v>
      </c>
      <c r="G109" s="143" t="n">
        <f aca="false">F109+G93</f>
        <v>10007872</v>
      </c>
      <c r="H109" s="143" t="n">
        <f aca="false">G109+H93</f>
        <v>9173882.66666668</v>
      </c>
      <c r="I109" s="143" t="n">
        <f aca="false">H109+I93</f>
        <v>8339893.33333334</v>
      </c>
      <c r="J109" s="143" t="n">
        <f aca="false">I109+J93</f>
        <v>7505904.00000001</v>
      </c>
      <c r="K109" s="143" t="n">
        <f aca="false">J109+K93</f>
        <v>6671914.66666668</v>
      </c>
      <c r="L109" s="143" t="n">
        <f aca="false">K109+L93</f>
        <v>5837925.33333334</v>
      </c>
      <c r="M109" s="143" t="n">
        <f aca="false">L109+M93</f>
        <v>5003936.00000001</v>
      </c>
      <c r="N109" s="143" t="n">
        <f aca="false">M109+N93</f>
        <v>4169946.66666668</v>
      </c>
      <c r="O109" s="143" t="n">
        <f aca="false">N109+O93</f>
        <v>3335957.33333334</v>
      </c>
      <c r="P109" s="143" t="n">
        <f aca="false">O109+P93</f>
        <v>2501968.00000001</v>
      </c>
      <c r="Q109" s="143" t="n">
        <f aca="false">P109+Q93</f>
        <v>1667978.66666668</v>
      </c>
      <c r="R109" s="143" t="n">
        <f aca="false">Q109+R93</f>
        <v>833989.333333345</v>
      </c>
      <c r="S109" s="143" t="n">
        <f aca="false">R109+S93</f>
        <v>1.21071934700012E-008</v>
      </c>
      <c r="T109" s="143" t="n">
        <f aca="false">S109+T93</f>
        <v>1.21071934700012E-008</v>
      </c>
      <c r="U109" s="143" t="n">
        <f aca="false">T109+U93</f>
        <v>1.21071934700012E-008</v>
      </c>
      <c r="V109" s="143" t="n">
        <f aca="false">U109+V93</f>
        <v>1.21071934700012E-008</v>
      </c>
      <c r="W109" s="143" t="n">
        <f aca="false">V109+W93</f>
        <v>1.21071934700012E-008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180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181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182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183</v>
      </c>
    </row>
    <row r="8" customFormat="false" ht="22.5" hidden="false" customHeight="true" outlineLevel="0" collapsed="false">
      <c r="B8" s="16" t="s">
        <v>14</v>
      </c>
      <c r="E8" s="46"/>
      <c r="M8" s="1" t="s">
        <v>184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88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21000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-14391300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-27474.3</v>
      </c>
      <c r="E49" s="104" t="n">
        <v>-27474.3</v>
      </c>
      <c r="F49" s="104" t="n">
        <v>-27474.3</v>
      </c>
      <c r="G49" s="104" t="n">
        <v>-27474.3</v>
      </c>
      <c r="H49" s="104" t="n">
        <v>-27474.3</v>
      </c>
      <c r="I49" s="104" t="n">
        <v>-27474.3</v>
      </c>
      <c r="J49" s="104" t="n">
        <v>-27474.3</v>
      </c>
      <c r="K49" s="104" t="n">
        <v>-27474.3</v>
      </c>
      <c r="L49" s="104" t="n">
        <v>-27474.3</v>
      </c>
      <c r="M49" s="104" t="n">
        <v>-27474.3</v>
      </c>
      <c r="N49" s="104" t="n">
        <v>-27474.3</v>
      </c>
      <c r="O49" s="104" t="n">
        <v>-27474.3</v>
      </c>
      <c r="P49" s="104" t="n">
        <v>-27474.3</v>
      </c>
      <c r="Q49" s="104" t="n">
        <v>-27474.3</v>
      </c>
      <c r="R49" s="104" t="n">
        <v>-27474.3</v>
      </c>
      <c r="S49" s="104" t="n">
        <v>-27474.3</v>
      </c>
      <c r="T49" s="104" t="n">
        <v>-27474.3</v>
      </c>
      <c r="U49" s="104" t="n">
        <v>-27474.3</v>
      </c>
      <c r="V49" s="104" t="n">
        <v>-27474.3</v>
      </c>
      <c r="W49" s="104" t="n">
        <v>-27474.3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-240207.724</v>
      </c>
      <c r="E54" s="104" t="n">
        <f aca="false">-(E64+E67+E68+E71+E72+E73+E74)*0.2</f>
        <v>-180417.1176</v>
      </c>
      <c r="F54" s="104" t="n">
        <f aca="false">-(F64+F67+F68+F71+F72+F73+F74)*0.2</f>
        <v>-178666.7112</v>
      </c>
      <c r="G54" s="104" t="n">
        <f aca="false">-(G64+G67+G68+G71+G72+G73+G74)*0.2</f>
        <v>-176916.3048</v>
      </c>
      <c r="H54" s="104" t="n">
        <f aca="false">-(H64+H67+H68+H71+H72+H73+H74)*0.2</f>
        <v>-175165.8984</v>
      </c>
      <c r="I54" s="104" t="n">
        <f aca="false">-(I64+I67+I68+I71+I72+I73+I74)*0.2</f>
        <v>-173415.492</v>
      </c>
      <c r="J54" s="104" t="n">
        <f aca="false">-(J64+J67+J68+J71+J72+J73+J74)*0.2</f>
        <v>-171665.0856</v>
      </c>
      <c r="K54" s="104" t="n">
        <f aca="false">-(K64+K67+K68+K71+K72+K73+K74)*0.2</f>
        <v>-169914.6792</v>
      </c>
      <c r="L54" s="104" t="n">
        <f aca="false">-(L64+L67+L68+L71+L72+L73+L74)*0.2</f>
        <v>-168164.2728</v>
      </c>
      <c r="M54" s="104" t="n">
        <f aca="false">-(M64+M67+M68+M71+M72+M73+M74)*0.2</f>
        <v>-166413.8664</v>
      </c>
      <c r="N54" s="104" t="n">
        <f aca="false">-(N64+N67+N68+N71+N72+N73+N74)*0.2</f>
        <v>-173385.46</v>
      </c>
      <c r="O54" s="104" t="n">
        <f aca="false">-(O64+O67+O68+O71+O72+O73+O74)*0.2</f>
        <v>-171635.0536</v>
      </c>
      <c r="P54" s="104" t="n">
        <f aca="false">-(P64+P67+P68+P71+P72+P73+P74)*0.2</f>
        <v>-169884.6472</v>
      </c>
      <c r="Q54" s="104" t="n">
        <f aca="false">-(Q64+Q67+Q68+Q71+Q72+Q73+Q74)*0.2</f>
        <v>-168134.2408</v>
      </c>
      <c r="R54" s="104" t="n">
        <f aca="false">-(R64+R67+R68+R71+R72+R73+R74)*0.2</f>
        <v>-166383.8344</v>
      </c>
      <c r="S54" s="104" t="n">
        <f aca="false">-(S64+S67+S68+S71+S72+S73+S74)*0.2</f>
        <v>-164633.428</v>
      </c>
      <c r="T54" s="104" t="n">
        <f aca="false">-(T64+T67+T68+T71+T72+T73+T74)*0.2</f>
        <v>-162883.0216</v>
      </c>
      <c r="U54" s="104" t="n">
        <f aca="false">-(U64+U67+U68+U71+U72+U73+U74)*0.2</f>
        <v>-161132.6152</v>
      </c>
      <c r="V54" s="104" t="n">
        <f aca="false">-(V64+V67+V68+V71+V72+V73+V74)*0.2</f>
        <v>-159382.2088</v>
      </c>
      <c r="W54" s="104" t="n">
        <f aca="false">-(W64+W67+W68+W71+W72+W73+W74)*0.2</f>
        <v>-157631.8024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-14391300</v>
      </c>
      <c r="D55" s="109" t="n">
        <f aca="false">SUM(D41:D54)</f>
        <v>1390194.896</v>
      </c>
      <c r="E55" s="109" t="n">
        <f aca="false">SUM(E41:E54)</f>
        <v>1441233.4704</v>
      </c>
      <c r="F55" s="109" t="n">
        <f aca="false">SUM(F41:F54)</f>
        <v>1434231.8448</v>
      </c>
      <c r="G55" s="109" t="n">
        <f aca="false">SUM(G41:G54)</f>
        <v>1427230.2192</v>
      </c>
      <c r="H55" s="109" t="n">
        <f aca="false">SUM(H41:H54)</f>
        <v>1420228.5936</v>
      </c>
      <c r="I55" s="109" t="n">
        <f aca="false">SUM(I41:I54)</f>
        <v>1413226.968</v>
      </c>
      <c r="J55" s="109" t="n">
        <f aca="false">SUM(J41:J54)</f>
        <v>1406225.3424</v>
      </c>
      <c r="K55" s="109" t="n">
        <f aca="false">SUM(K41:K54)</f>
        <v>1399223.7168</v>
      </c>
      <c r="L55" s="109" t="n">
        <f aca="false">SUM(L41:L54)</f>
        <v>1392222.0912</v>
      </c>
      <c r="M55" s="109" t="n">
        <f aca="false">SUM(M41:M54)</f>
        <v>1385220.4656</v>
      </c>
      <c r="N55" s="109" t="n">
        <f aca="false">SUM(N41:N54)</f>
        <v>1413106.84</v>
      </c>
      <c r="O55" s="109" t="n">
        <f aca="false">SUM(O41:O54)</f>
        <v>1406105.2144</v>
      </c>
      <c r="P55" s="109" t="n">
        <f aca="false">SUM(P41:P54)</f>
        <v>1399103.5888</v>
      </c>
      <c r="Q55" s="109" t="n">
        <f aca="false">SUM(Q41:Q54)</f>
        <v>1392101.9632</v>
      </c>
      <c r="R55" s="109" t="n">
        <f aca="false">SUM(R41:R54)</f>
        <v>1385100.3376</v>
      </c>
      <c r="S55" s="109" t="n">
        <f aca="false">SUM(S41:S54)</f>
        <v>1378098.712</v>
      </c>
      <c r="T55" s="109" t="n">
        <f aca="false">SUM(T41:T54)</f>
        <v>1371097.0864</v>
      </c>
      <c r="U55" s="109" t="n">
        <f aca="false">SUM(U41:U54)</f>
        <v>1364095.4608</v>
      </c>
      <c r="V55" s="109" t="n">
        <f aca="false">SUM(V41:V54)</f>
        <v>1357093.8352</v>
      </c>
      <c r="W55" s="109" t="n">
        <f aca="false">SUM(W41:W54)</f>
        <v>1350092.2096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-13001105.104</v>
      </c>
      <c r="E56" s="114" t="n">
        <f aca="false">D56+E55</f>
        <v>-11559871.6336</v>
      </c>
      <c r="F56" s="114" t="n">
        <f aca="false">E56+F55</f>
        <v>-10125639.7888</v>
      </c>
      <c r="G56" s="114" t="n">
        <f aca="false">F56+G55</f>
        <v>-8698409.5696</v>
      </c>
      <c r="H56" s="114" t="n">
        <f aca="false">G56+H55</f>
        <v>-7278180.976</v>
      </c>
      <c r="I56" s="114" t="n">
        <f aca="false">H56+I55</f>
        <v>-5864954.008</v>
      </c>
      <c r="J56" s="114" t="n">
        <f aca="false">I56+J55</f>
        <v>-4458728.6656</v>
      </c>
      <c r="K56" s="114" t="n">
        <f aca="false">J56+K55</f>
        <v>-3059504.9488</v>
      </c>
      <c r="L56" s="114" t="n">
        <f aca="false">K56+L55</f>
        <v>-1667282.8576</v>
      </c>
      <c r="M56" s="114" t="n">
        <f aca="false">L56+M55</f>
        <v>-282062.392000002</v>
      </c>
      <c r="N56" s="114" t="n">
        <f aca="false">M56+N55</f>
        <v>1131044.448</v>
      </c>
      <c r="O56" s="114" t="n">
        <f aca="false">N56+O55</f>
        <v>2537149.6624</v>
      </c>
      <c r="P56" s="114" t="n">
        <f aca="false">O56+P55</f>
        <v>3936253.2512</v>
      </c>
      <c r="Q56" s="114" t="n">
        <f aca="false">P56+Q55</f>
        <v>5328355.2144</v>
      </c>
      <c r="R56" s="114" t="n">
        <f aca="false">Q56+R55</f>
        <v>6713455.552</v>
      </c>
      <c r="S56" s="114" t="n">
        <f aca="false">R56+S55</f>
        <v>8091554.264</v>
      </c>
      <c r="T56" s="114" t="n">
        <f aca="false">S56+T55</f>
        <v>9462651.3504</v>
      </c>
      <c r="U56" s="114" t="n">
        <f aca="false">T56+U55</f>
        <v>10826746.8112</v>
      </c>
      <c r="V56" s="114" t="n">
        <f aca="false">U56+V55</f>
        <v>12183840.6464</v>
      </c>
      <c r="W56" s="114" t="n">
        <f aca="false">V56+W55</f>
        <v>13533932.856</v>
      </c>
      <c r="X56" s="114" t="n">
        <f aca="false">W56+X55</f>
        <v>13533932.856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0.0742874721021663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-719565</v>
      </c>
      <c r="E67" s="127" t="n">
        <f aca="false">$C$44/$E$16</f>
        <v>-719565</v>
      </c>
      <c r="F67" s="127" t="n">
        <f aca="false">$C$44/$E$16</f>
        <v>-719565</v>
      </c>
      <c r="G67" s="127" t="n">
        <f aca="false">$C$44/$E$16</f>
        <v>-719565</v>
      </c>
      <c r="H67" s="127" t="n">
        <f aca="false">$C$44/$E$16</f>
        <v>-719565</v>
      </c>
      <c r="I67" s="127" t="n">
        <f aca="false">$C$44/$E$16</f>
        <v>-719565</v>
      </c>
      <c r="J67" s="127" t="n">
        <f aca="false">$C$44/$E$16</f>
        <v>-719565</v>
      </c>
      <c r="K67" s="127" t="n">
        <f aca="false">$C$44/$E$16</f>
        <v>-719565</v>
      </c>
      <c r="L67" s="127" t="n">
        <f aca="false">$C$44/$E$16</f>
        <v>-719565</v>
      </c>
      <c r="M67" s="127" t="n">
        <f aca="false">$C$44/$E$16</f>
        <v>-719565</v>
      </c>
      <c r="N67" s="127" t="n">
        <f aca="false">$C$44/$E$16</f>
        <v>-719565</v>
      </c>
      <c r="O67" s="127" t="n">
        <f aca="false">$C$44/$E$16</f>
        <v>-719565</v>
      </c>
      <c r="P67" s="127" t="n">
        <f aca="false">$C$44/$E$16</f>
        <v>-719565</v>
      </c>
      <c r="Q67" s="127" t="n">
        <f aca="false">$C$44/$E$16</f>
        <v>-719565</v>
      </c>
      <c r="R67" s="127" t="n">
        <f aca="false">$C$44/$E$16</f>
        <v>-719565</v>
      </c>
      <c r="S67" s="127" t="n">
        <f aca="false">$C$44/$E$16</f>
        <v>-719565</v>
      </c>
      <c r="T67" s="127" t="n">
        <f aca="false">$C$44/$E$16</f>
        <v>-719565</v>
      </c>
      <c r="U67" s="127" t="n">
        <f aca="false">$C$44/$E$16</f>
        <v>-719565</v>
      </c>
      <c r="V67" s="127" t="n">
        <f aca="false">$C$44/$E$16</f>
        <v>-719565</v>
      </c>
      <c r="W67" s="127" t="n">
        <f aca="false">$C$44/$E$16</f>
        <v>-719565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-294733.824</v>
      </c>
      <c r="E70" s="104" t="n">
        <f aca="false">-E109*$D25</f>
        <v>-275084.9024</v>
      </c>
      <c r="F70" s="104" t="n">
        <f aca="false">-F109*$D25</f>
        <v>-255435.9808</v>
      </c>
      <c r="G70" s="104" t="n">
        <f aca="false">-G109*$D25</f>
        <v>-235787.0592</v>
      </c>
      <c r="H70" s="104" t="n">
        <f aca="false">-H109*$D25</f>
        <v>-216138.1376</v>
      </c>
      <c r="I70" s="104" t="n">
        <f aca="false">-I109*$D25</f>
        <v>-196489.216</v>
      </c>
      <c r="J70" s="104" t="n">
        <f aca="false">-J109*$D25</f>
        <v>-176840.2944</v>
      </c>
      <c r="K70" s="104" t="n">
        <f aca="false">-K109*$D25</f>
        <v>-157191.3728</v>
      </c>
      <c r="L70" s="104" t="n">
        <f aca="false">-L109*$D25</f>
        <v>-137542.4512</v>
      </c>
      <c r="M70" s="104" t="n">
        <f aca="false">-M109*$D25</f>
        <v>-117893.5296</v>
      </c>
      <c r="N70" s="104" t="n">
        <f aca="false">-N109*$D25</f>
        <v>-98244.608</v>
      </c>
      <c r="O70" s="104" t="n">
        <f aca="false">-O109*$D25</f>
        <v>-78595.6864</v>
      </c>
      <c r="P70" s="104" t="n">
        <f aca="false">-P109*$D25</f>
        <v>-58946.7648</v>
      </c>
      <c r="Q70" s="104" t="n">
        <f aca="false">-Q109*$D25</f>
        <v>-39297.8432</v>
      </c>
      <c r="R70" s="104" t="n">
        <f aca="false">-R109*$D25</f>
        <v>-19648.9216</v>
      </c>
      <c r="S70" s="104" t="n">
        <f aca="false">-S109*$D25</f>
        <v>-0</v>
      </c>
      <c r="T70" s="104" t="n">
        <f aca="false">-T109*$D25</f>
        <v>-0</v>
      </c>
      <c r="U70" s="104" t="n">
        <f aca="false">-U109*$D25</f>
        <v>-0</v>
      </c>
      <c r="V70" s="104" t="n">
        <f aca="false">-V109*$D25</f>
        <v>-0</v>
      </c>
      <c r="W70" s="104" t="n">
        <f aca="false">-W109*$D25</f>
        <v>-0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-27474.3</v>
      </c>
      <c r="E72" s="104" t="n">
        <f aca="false">E49</f>
        <v>-27474.3</v>
      </c>
      <c r="F72" s="104" t="n">
        <f aca="false">F49</f>
        <v>-27474.3</v>
      </c>
      <c r="G72" s="104" t="n">
        <f aca="false">G49</f>
        <v>-27474.3</v>
      </c>
      <c r="H72" s="104" t="n">
        <f aca="false">H49</f>
        <v>-27474.3</v>
      </c>
      <c r="I72" s="104" t="n">
        <f aca="false">I49</f>
        <v>-27474.3</v>
      </c>
      <c r="J72" s="104" t="n">
        <f aca="false">J49</f>
        <v>-27474.3</v>
      </c>
      <c r="K72" s="104" t="n">
        <f aca="false">K49</f>
        <v>-27474.3</v>
      </c>
      <c r="L72" s="104" t="n">
        <f aca="false">L49</f>
        <v>-27474.3</v>
      </c>
      <c r="M72" s="104" t="n">
        <f aca="false">M49</f>
        <v>-27474.3</v>
      </c>
      <c r="N72" s="104" t="n">
        <f aca="false">N49</f>
        <v>-27474.3</v>
      </c>
      <c r="O72" s="104" t="n">
        <f aca="false">O49</f>
        <v>-27474.3</v>
      </c>
      <c r="P72" s="104" t="n">
        <f aca="false">P49</f>
        <v>-27474.3</v>
      </c>
      <c r="Q72" s="104" t="n">
        <f aca="false">Q49</f>
        <v>-27474.3</v>
      </c>
      <c r="R72" s="104" t="n">
        <f aca="false">R49</f>
        <v>-27474.3</v>
      </c>
      <c r="S72" s="104" t="n">
        <f aca="false">S49</f>
        <v>-27474.3</v>
      </c>
      <c r="T72" s="104" t="n">
        <f aca="false">T49</f>
        <v>-27474.3</v>
      </c>
      <c r="U72" s="104" t="n">
        <f aca="false">U49</f>
        <v>-27474.3</v>
      </c>
      <c r="V72" s="104" t="n">
        <f aca="false">V49</f>
        <v>-27474.3</v>
      </c>
      <c r="W72" s="104" t="n">
        <f aca="false">W49</f>
        <v>-27474.3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906304.796</v>
      </c>
      <c r="E76" s="109" t="n">
        <f aca="false">SUM(E64:E75)</f>
        <v>627000.6856</v>
      </c>
      <c r="F76" s="109" t="n">
        <f aca="false">SUM(F64:F75)</f>
        <v>637897.5752</v>
      </c>
      <c r="G76" s="109" t="n">
        <f aca="false">SUM(G64:G75)</f>
        <v>648794.4648</v>
      </c>
      <c r="H76" s="109" t="n">
        <f aca="false">SUM(H64:H75)</f>
        <v>659691.3544</v>
      </c>
      <c r="I76" s="109" t="n">
        <f aca="false">SUM(I64:I75)</f>
        <v>670588.244</v>
      </c>
      <c r="J76" s="109" t="n">
        <f aca="false">SUM(J64:J75)</f>
        <v>681485.1336</v>
      </c>
      <c r="K76" s="109" t="n">
        <f aca="false">SUM(K64:K75)</f>
        <v>692382.0232</v>
      </c>
      <c r="L76" s="109" t="n">
        <f aca="false">SUM(L64:L75)</f>
        <v>703278.9128</v>
      </c>
      <c r="M76" s="109" t="n">
        <f aca="false">SUM(M64:M75)</f>
        <v>714175.8024</v>
      </c>
      <c r="N76" s="109" t="n">
        <f aca="false">SUM(N64:N75)</f>
        <v>768682.692</v>
      </c>
      <c r="O76" s="109" t="n">
        <f aca="false">SUM(O64:O75)</f>
        <v>779579.5816</v>
      </c>
      <c r="P76" s="109" t="n">
        <f aca="false">SUM(P64:P75)</f>
        <v>790476.4712</v>
      </c>
      <c r="Q76" s="109" t="n">
        <f aca="false">SUM(Q64:Q75)</f>
        <v>801373.3608</v>
      </c>
      <c r="R76" s="109" t="n">
        <f aca="false">SUM(R64:R75)</f>
        <v>812270.2504</v>
      </c>
      <c r="S76" s="109" t="n">
        <f aca="false">SUM(S64:S75)</f>
        <v>823167.14</v>
      </c>
      <c r="T76" s="109" t="n">
        <f aca="false">SUM(T64:T75)</f>
        <v>814415.108</v>
      </c>
      <c r="U76" s="109" t="n">
        <f aca="false">SUM(U64:U75)</f>
        <v>805663.076</v>
      </c>
      <c r="V76" s="109" t="n">
        <f aca="false">SUM(V64:V75)</f>
        <v>796911.044</v>
      </c>
      <c r="W76" s="109" t="n">
        <f aca="false">SUM(W64:W75)</f>
        <v>788159.012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-181260.9592</v>
      </c>
      <c r="E77" s="104" t="n">
        <f aca="false">-E76*0.2</f>
        <v>-125400.13712</v>
      </c>
      <c r="F77" s="104" t="n">
        <f aca="false">-F76*0.2</f>
        <v>-127579.51504</v>
      </c>
      <c r="G77" s="104" t="n">
        <f aca="false">-G76*0.2</f>
        <v>-129758.89296</v>
      </c>
      <c r="H77" s="104" t="n">
        <f aca="false">-H76*0.2</f>
        <v>-131938.27088</v>
      </c>
      <c r="I77" s="104" t="n">
        <f aca="false">-I76*0.2</f>
        <v>-134117.6488</v>
      </c>
      <c r="J77" s="104" t="n">
        <f aca="false">-J76*0.2</f>
        <v>-136297.02672</v>
      </c>
      <c r="K77" s="104" t="n">
        <f aca="false">-K76*0.2</f>
        <v>-138476.40464</v>
      </c>
      <c r="L77" s="104" t="n">
        <f aca="false">-L76*0.2</f>
        <v>-140655.78256</v>
      </c>
      <c r="M77" s="104" t="n">
        <f aca="false">-M76*0.2</f>
        <v>-142835.16048</v>
      </c>
      <c r="N77" s="104" t="n">
        <f aca="false">-N76*0.2</f>
        <v>-153736.5384</v>
      </c>
      <c r="O77" s="104" t="n">
        <f aca="false">-O76*0.2</f>
        <v>-155915.91632</v>
      </c>
      <c r="P77" s="104" t="n">
        <f aca="false">-P76*0.2</f>
        <v>-158095.29424</v>
      </c>
      <c r="Q77" s="104" t="n">
        <f aca="false">-Q76*0.2</f>
        <v>-160274.67216</v>
      </c>
      <c r="R77" s="104" t="n">
        <f aca="false">-R76*0.2</f>
        <v>-162454.05008</v>
      </c>
      <c r="S77" s="104" t="n">
        <f aca="false">-S76*0.2</f>
        <v>-164633.428</v>
      </c>
      <c r="T77" s="104" t="n">
        <f aca="false">-T76*0.2</f>
        <v>-162883.0216</v>
      </c>
      <c r="U77" s="104" t="n">
        <f aca="false">-U76*0.2</f>
        <v>-161132.6152</v>
      </c>
      <c r="V77" s="104" t="n">
        <f aca="false">-V76*0.2</f>
        <v>-159382.2088</v>
      </c>
      <c r="W77" s="104" t="n">
        <f aca="false">-W76*0.2</f>
        <v>-157631.8024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725043.8368</v>
      </c>
      <c r="E78" s="104" t="n">
        <f aca="false">SUM(E76:E77)</f>
        <v>501600.54848</v>
      </c>
      <c r="F78" s="104" t="n">
        <f aca="false">SUM(F76:F77)</f>
        <v>510318.06016</v>
      </c>
      <c r="G78" s="104" t="n">
        <f aca="false">SUM(G76:G77)</f>
        <v>519035.57184</v>
      </c>
      <c r="H78" s="104" t="n">
        <f aca="false">SUM(H76:H77)</f>
        <v>527753.08352</v>
      </c>
      <c r="I78" s="104" t="n">
        <f aca="false">SUM(I76:I77)</f>
        <v>536470.5952</v>
      </c>
      <c r="J78" s="104" t="n">
        <f aca="false">SUM(J76:J77)</f>
        <v>545188.10688</v>
      </c>
      <c r="K78" s="104" t="n">
        <f aca="false">SUM(K76:K77)</f>
        <v>553905.61856</v>
      </c>
      <c r="L78" s="104" t="n">
        <f aca="false">SUM(L76:L77)</f>
        <v>562623.13024</v>
      </c>
      <c r="M78" s="104" t="n">
        <f aca="false">SUM(M76:M77)</f>
        <v>571340.64192</v>
      </c>
      <c r="N78" s="104" t="n">
        <f aca="false">SUM(N76:N77)</f>
        <v>614946.1536</v>
      </c>
      <c r="O78" s="104" t="n">
        <f aca="false">SUM(O76:O77)</f>
        <v>623663.66528</v>
      </c>
      <c r="P78" s="104" t="n">
        <f aca="false">SUM(P76:P77)</f>
        <v>632381.17696</v>
      </c>
      <c r="Q78" s="104" t="n">
        <f aca="false">SUM(Q76:Q77)</f>
        <v>641098.68864</v>
      </c>
      <c r="R78" s="104" t="n">
        <f aca="false">SUM(R76:R77)</f>
        <v>649816.20032</v>
      </c>
      <c r="S78" s="104" t="n">
        <f aca="false">SUM(S76:S77)</f>
        <v>658533.712</v>
      </c>
      <c r="T78" s="104" t="n">
        <f aca="false">SUM(T76:T77)</f>
        <v>651532.0864</v>
      </c>
      <c r="U78" s="104" t="n">
        <f aca="false">SUM(U76:U77)</f>
        <v>644530.4608</v>
      </c>
      <c r="V78" s="104" t="n">
        <f aca="false">SUM(V76:V77)</f>
        <v>637528.8352</v>
      </c>
      <c r="W78" s="104" t="n">
        <f aca="false">SUM(W76:W77)</f>
        <v>630527.2096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725043.8368</v>
      </c>
      <c r="E85" s="143" t="n">
        <f aca="false">E78</f>
        <v>501600.54848</v>
      </c>
      <c r="F85" s="143" t="n">
        <f aca="false">F78</f>
        <v>510318.06016</v>
      </c>
      <c r="G85" s="143" t="n">
        <f aca="false">G78</f>
        <v>519035.57184</v>
      </c>
      <c r="H85" s="143" t="n">
        <f aca="false">H78</f>
        <v>527753.08352</v>
      </c>
      <c r="I85" s="143" t="n">
        <f aca="false">I78</f>
        <v>536470.5952</v>
      </c>
      <c r="J85" s="143" t="n">
        <f aca="false">J78</f>
        <v>545188.10688</v>
      </c>
      <c r="K85" s="143" t="n">
        <f aca="false">K78</f>
        <v>553905.61856</v>
      </c>
      <c r="L85" s="143" t="n">
        <f aca="false">L78</f>
        <v>562623.13024</v>
      </c>
      <c r="M85" s="143" t="n">
        <f aca="false">M78</f>
        <v>571340.64192</v>
      </c>
      <c r="N85" s="143" t="n">
        <f aca="false">N78</f>
        <v>614946.1536</v>
      </c>
      <c r="O85" s="143" t="n">
        <f aca="false">O78</f>
        <v>623663.66528</v>
      </c>
      <c r="P85" s="143" t="n">
        <f aca="false">P78</f>
        <v>632381.17696</v>
      </c>
      <c r="Q85" s="143" t="n">
        <f aca="false">Q78</f>
        <v>641098.68864</v>
      </c>
      <c r="R85" s="143" t="n">
        <f aca="false">R78</f>
        <v>649816.20032</v>
      </c>
      <c r="S85" s="143" t="n">
        <f aca="false">S78</f>
        <v>658533.712</v>
      </c>
      <c r="T85" s="143" t="n">
        <f aca="false">T78</f>
        <v>651532.0864</v>
      </c>
      <c r="U85" s="143" t="n">
        <f aca="false">U78</f>
        <v>644530.4608</v>
      </c>
      <c r="V85" s="143" t="n">
        <f aca="false">V78</f>
        <v>637528.8352</v>
      </c>
      <c r="W85" s="143" t="n">
        <f aca="false">W78</f>
        <v>630527.2096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719565</v>
      </c>
      <c r="E86" s="144" t="n">
        <f aca="false">-E67</f>
        <v>719565</v>
      </c>
      <c r="F86" s="144" t="n">
        <f aca="false">-F67</f>
        <v>719565</v>
      </c>
      <c r="G86" s="144" t="n">
        <f aca="false">-G67</f>
        <v>719565</v>
      </c>
      <c r="H86" s="144" t="n">
        <f aca="false">-H67</f>
        <v>719565</v>
      </c>
      <c r="I86" s="144" t="n">
        <f aca="false">-I67</f>
        <v>719565</v>
      </c>
      <c r="J86" s="144" t="n">
        <f aca="false">-J67</f>
        <v>719565</v>
      </c>
      <c r="K86" s="144" t="n">
        <f aca="false">-K67</f>
        <v>719565</v>
      </c>
      <c r="L86" s="144" t="n">
        <f aca="false">-L67</f>
        <v>719565</v>
      </c>
      <c r="M86" s="144" t="n">
        <f aca="false">-M67</f>
        <v>719565</v>
      </c>
      <c r="N86" s="144" t="n">
        <f aca="false">-N67</f>
        <v>719565</v>
      </c>
      <c r="O86" s="144" t="n">
        <f aca="false">-O67</f>
        <v>719565</v>
      </c>
      <c r="P86" s="144" t="n">
        <f aca="false">-P67</f>
        <v>719565</v>
      </c>
      <c r="Q86" s="144" t="n">
        <f aca="false">-Q67</f>
        <v>719565</v>
      </c>
      <c r="R86" s="144" t="n">
        <f aca="false">-R67</f>
        <v>719565</v>
      </c>
      <c r="S86" s="144" t="n">
        <f aca="false">-S67</f>
        <v>719565</v>
      </c>
      <c r="T86" s="144" t="n">
        <f aca="false">-T67</f>
        <v>719565</v>
      </c>
      <c r="U86" s="144" t="n">
        <f aca="false">-U67</f>
        <v>719565</v>
      </c>
      <c r="V86" s="144" t="n">
        <f aca="false">-V67</f>
        <v>719565</v>
      </c>
      <c r="W86" s="144" t="n">
        <f aca="false">-W67</f>
        <v>719565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1444608.8368</v>
      </c>
      <c r="E87" s="146" t="n">
        <f aca="false">SUM(E85:E86)</f>
        <v>1221165.54848</v>
      </c>
      <c r="F87" s="146" t="n">
        <f aca="false">SUM(F85:F86)</f>
        <v>1229883.06016</v>
      </c>
      <c r="G87" s="146" t="n">
        <f aca="false">SUM(G85:G86)</f>
        <v>1238600.57184</v>
      </c>
      <c r="H87" s="146" t="n">
        <f aca="false">SUM(H85:H86)</f>
        <v>1247318.08352</v>
      </c>
      <c r="I87" s="146" t="n">
        <f aca="false">SUM(I85:I86)</f>
        <v>1256035.5952</v>
      </c>
      <c r="J87" s="146" t="n">
        <f aca="false">SUM(J85:J86)</f>
        <v>1264753.10688</v>
      </c>
      <c r="K87" s="146" t="n">
        <f aca="false">SUM(K85:K86)</f>
        <v>1273470.61856</v>
      </c>
      <c r="L87" s="146" t="n">
        <f aca="false">SUM(L85:L86)</f>
        <v>1282188.13024</v>
      </c>
      <c r="M87" s="146" t="n">
        <f aca="false">SUM(M85:M86)</f>
        <v>1290905.64192</v>
      </c>
      <c r="N87" s="146" t="n">
        <f aca="false">SUM(N85:N86)</f>
        <v>1334511.1536</v>
      </c>
      <c r="O87" s="146" t="n">
        <f aca="false">SUM(O85:O86)</f>
        <v>1343228.66528</v>
      </c>
      <c r="P87" s="146" t="n">
        <f aca="false">SUM(P85:P86)</f>
        <v>1351946.17696</v>
      </c>
      <c r="Q87" s="146" t="n">
        <f aca="false">SUM(Q85:Q86)</f>
        <v>1360663.68864</v>
      </c>
      <c r="R87" s="146" t="n">
        <f aca="false">SUM(R85:R86)</f>
        <v>1369381.20032</v>
      </c>
      <c r="S87" s="146" t="n">
        <f aca="false">SUM(S85:S86)</f>
        <v>1378098.712</v>
      </c>
      <c r="T87" s="146" t="n">
        <f aca="false">SUM(T85:T86)</f>
        <v>1371097.0864</v>
      </c>
      <c r="U87" s="146" t="n">
        <f aca="false">SUM(U85:U86)</f>
        <v>1364095.4608</v>
      </c>
      <c r="V87" s="146" t="n">
        <f aca="false">SUM(V85:V86)</f>
        <v>1357093.8352</v>
      </c>
      <c r="W87" s="146" t="n">
        <f aca="false">SUM(W85:W86)</f>
        <v>1350092.2096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-14391300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11513040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-767536</v>
      </c>
      <c r="F93" s="152" t="n">
        <v>-767536</v>
      </c>
      <c r="G93" s="152" t="n">
        <v>-767536</v>
      </c>
      <c r="H93" s="152" t="n">
        <v>-767536</v>
      </c>
      <c r="I93" s="152" t="n">
        <v>-767536</v>
      </c>
      <c r="J93" s="152" t="n">
        <v>-767536</v>
      </c>
      <c r="K93" s="152" t="n">
        <v>-767536</v>
      </c>
      <c r="L93" s="152" t="n">
        <v>-767536</v>
      </c>
      <c r="M93" s="152" t="n">
        <v>-767536</v>
      </c>
      <c r="N93" s="152" t="n">
        <v>-767536</v>
      </c>
      <c r="O93" s="152" t="n">
        <v>-767536</v>
      </c>
      <c r="P93" s="152" t="n">
        <v>-767536</v>
      </c>
      <c r="Q93" s="152" t="n">
        <v>-767536</v>
      </c>
      <c r="R93" s="152" t="n">
        <v>-767536</v>
      </c>
      <c r="S93" s="152" t="n">
        <v>-767536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2878260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-652539.45312</v>
      </c>
      <c r="F95" s="153" t="n">
        <f aca="false">-E85*$D$33</f>
        <v>-451440.493632</v>
      </c>
      <c r="G95" s="153" t="n">
        <f aca="false">-F85*$D$33</f>
        <v>-459286.254144</v>
      </c>
      <c r="H95" s="153" t="n">
        <f aca="false">-G85*$D$33</f>
        <v>-467132.014656</v>
      </c>
      <c r="I95" s="153" t="n">
        <f aca="false">-H85*$D$33</f>
        <v>-474977.775168</v>
      </c>
      <c r="J95" s="153" t="n">
        <f aca="false">-I85*$D$33</f>
        <v>-482823.53568</v>
      </c>
      <c r="K95" s="153" t="n">
        <f aca="false">-J85*$D$33</f>
        <v>-490669.296192</v>
      </c>
      <c r="L95" s="153" t="n">
        <f aca="false">-K85*$D$33</f>
        <v>-498515.056704</v>
      </c>
      <c r="M95" s="153" t="n">
        <f aca="false">-L85*$D$33</f>
        <v>-506360.817216</v>
      </c>
      <c r="N95" s="153" t="n">
        <f aca="false">-M85*$D$33</f>
        <v>-514206.577728</v>
      </c>
      <c r="O95" s="153" t="n">
        <f aca="false">-N85*$D$33</f>
        <v>-553451.53824</v>
      </c>
      <c r="P95" s="153" t="n">
        <f aca="false">-O85*$D$33</f>
        <v>-561297.298752</v>
      </c>
      <c r="Q95" s="153" t="n">
        <f aca="false">-P85*$D$33</f>
        <v>-569143.059264</v>
      </c>
      <c r="R95" s="153" t="n">
        <f aca="false">-Q85*$D$33</f>
        <v>-576988.819776</v>
      </c>
      <c r="S95" s="153" t="n">
        <f aca="false">-R85*$D$33</f>
        <v>-584834.580288</v>
      </c>
      <c r="T95" s="153" t="n">
        <f aca="false">-S85*$D$33</f>
        <v>-592680.3408</v>
      </c>
      <c r="U95" s="153" t="n">
        <f aca="false">-T85*$D$33</f>
        <v>-586378.87776</v>
      </c>
      <c r="V95" s="153" t="n">
        <f aca="false">-U85*$D$33</f>
        <v>-580077.41472</v>
      </c>
      <c r="W95" s="153" t="n">
        <f aca="false">-V85*$D$33</f>
        <v>-573775.95168</v>
      </c>
      <c r="X95" s="153" t="n">
        <f aca="false">-W85*$D$33</f>
        <v>-567474.48864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-719565</v>
      </c>
      <c r="U96" s="156" t="n">
        <v>-719565</v>
      </c>
      <c r="V96" s="156" t="n">
        <v>-719565</v>
      </c>
      <c r="W96" s="156" t="n">
        <v>-719565</v>
      </c>
      <c r="X96" s="157" t="n">
        <f aca="false">-W101-X95</f>
        <v>-1193783.73824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1444608.8368</v>
      </c>
      <c r="E99" s="143" t="n">
        <f aca="false">SUM(E87:E96)</f>
        <v>-198909.90464</v>
      </c>
      <c r="F99" s="143" t="n">
        <f aca="false">SUM(F87:F96)</f>
        <v>10906.5665280003</v>
      </c>
      <c r="G99" s="143" t="n">
        <f aca="false">SUM(G87:G96)</f>
        <v>11778.3176959998</v>
      </c>
      <c r="H99" s="143" t="n">
        <f aca="false">SUM(H87:H96)</f>
        <v>12650.0688639999</v>
      </c>
      <c r="I99" s="143" t="n">
        <f aca="false">SUM(I87:I96)</f>
        <v>13521.820032</v>
      </c>
      <c r="J99" s="143" t="n">
        <f aca="false">SUM(J87:J96)</f>
        <v>14393.5712000003</v>
      </c>
      <c r="K99" s="143" t="n">
        <f aca="false">SUM(K87:K96)</f>
        <v>15265.3223679998</v>
      </c>
      <c r="L99" s="143" t="n">
        <f aca="false">SUM(L87:L96)</f>
        <v>16137.0735359999</v>
      </c>
      <c r="M99" s="143" t="n">
        <f aca="false">SUM(M87:M96)</f>
        <v>17008.824704</v>
      </c>
      <c r="N99" s="143" t="n">
        <f aca="false">SUM(N87:N96)</f>
        <v>52768.5758719998</v>
      </c>
      <c r="O99" s="143" t="n">
        <f aca="false">SUM(O87:O96)</f>
        <v>22241.1270399999</v>
      </c>
      <c r="P99" s="143" t="n">
        <f aca="false">SUM(P87:P96)</f>
        <v>23112.8782079999</v>
      </c>
      <c r="Q99" s="143" t="n">
        <f aca="false">SUM(Q87:Q96)</f>
        <v>23984.6293759999</v>
      </c>
      <c r="R99" s="143" t="n">
        <f aca="false">SUM(R87:R96)</f>
        <v>24856.3805439998</v>
      </c>
      <c r="S99" s="143" t="n">
        <f aca="false">SUM(S87:S96)</f>
        <v>25728.131712</v>
      </c>
      <c r="T99" s="143" t="n">
        <f aca="false">SUM(T87:T96)</f>
        <v>58851.7455999999</v>
      </c>
      <c r="U99" s="143" t="n">
        <f aca="false">SUM(U87:U96)</f>
        <v>58151.5830400002</v>
      </c>
      <c r="V99" s="143" t="n">
        <f aca="false">SUM(V87:V96)</f>
        <v>57451.42048</v>
      </c>
      <c r="W99" s="143" t="n">
        <f aca="false">SUM(W87:W96)</f>
        <v>56751.25792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1444608.8368</v>
      </c>
      <c r="F100" s="143" t="n">
        <f aca="false">E101</f>
        <v>1245698.93216</v>
      </c>
      <c r="G100" s="143" t="n">
        <f aca="false">F101</f>
        <v>1256605.498688</v>
      </c>
      <c r="H100" s="143" t="n">
        <f aca="false">G101</f>
        <v>1268383.816384</v>
      </c>
      <c r="I100" s="143" t="n">
        <f aca="false">H101</f>
        <v>1281033.885248</v>
      </c>
      <c r="J100" s="143" t="n">
        <f aca="false">I101</f>
        <v>1294555.70528</v>
      </c>
      <c r="K100" s="143" t="n">
        <f aca="false">J101</f>
        <v>1308949.27648</v>
      </c>
      <c r="L100" s="143" t="n">
        <f aca="false">K101</f>
        <v>1324214.598848</v>
      </c>
      <c r="M100" s="143" t="n">
        <f aca="false">L101</f>
        <v>1340351.672384</v>
      </c>
      <c r="N100" s="143" t="n">
        <f aca="false">M101</f>
        <v>1357360.497088</v>
      </c>
      <c r="O100" s="143" t="n">
        <f aca="false">N101</f>
        <v>1410129.07296</v>
      </c>
      <c r="P100" s="143" t="n">
        <f aca="false">O101</f>
        <v>1432370.2</v>
      </c>
      <c r="Q100" s="143" t="n">
        <f aca="false">P101</f>
        <v>1455483.078208</v>
      </c>
      <c r="R100" s="143" t="n">
        <f aca="false">Q101</f>
        <v>1479467.707584</v>
      </c>
      <c r="S100" s="143" t="n">
        <f aca="false">R101</f>
        <v>1504324.088128</v>
      </c>
      <c r="T100" s="143" t="n">
        <f aca="false">S101</f>
        <v>1530052.21984</v>
      </c>
      <c r="U100" s="143" t="n">
        <f aca="false">T101</f>
        <v>1588903.96544</v>
      </c>
      <c r="V100" s="143" t="n">
        <f aca="false">U101</f>
        <v>1647055.54848</v>
      </c>
      <c r="W100" s="143" t="n">
        <f aca="false">V101</f>
        <v>1704506.96896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1444608.8368</v>
      </c>
      <c r="E101" s="143" t="n">
        <f aca="false">E99+E100</f>
        <v>1245698.93216</v>
      </c>
      <c r="F101" s="143" t="n">
        <f aca="false">F99+F100</f>
        <v>1256605.498688</v>
      </c>
      <c r="G101" s="143" t="n">
        <f aca="false">G99+G100</f>
        <v>1268383.816384</v>
      </c>
      <c r="H101" s="143" t="n">
        <f aca="false">H99+H100</f>
        <v>1281033.885248</v>
      </c>
      <c r="I101" s="143" t="n">
        <f aca="false">I99+I100</f>
        <v>1294555.70528</v>
      </c>
      <c r="J101" s="143" t="n">
        <f aca="false">J99+J100</f>
        <v>1308949.27648</v>
      </c>
      <c r="K101" s="143" t="n">
        <f aca="false">K99+K100</f>
        <v>1324214.598848</v>
      </c>
      <c r="L101" s="143" t="n">
        <f aca="false">L99+L100</f>
        <v>1340351.672384</v>
      </c>
      <c r="M101" s="143" t="n">
        <f aca="false">M99+M100</f>
        <v>1357360.497088</v>
      </c>
      <c r="N101" s="143" t="n">
        <f aca="false">N99+N100</f>
        <v>1410129.07296</v>
      </c>
      <c r="O101" s="143" t="n">
        <f aca="false">O99+O100</f>
        <v>1432370.2</v>
      </c>
      <c r="P101" s="143" t="n">
        <f aca="false">P99+P100</f>
        <v>1455483.078208</v>
      </c>
      <c r="Q101" s="143" t="n">
        <f aca="false">Q99+Q100</f>
        <v>1479467.707584</v>
      </c>
      <c r="R101" s="143" t="n">
        <f aca="false">R99+R100</f>
        <v>1504324.088128</v>
      </c>
      <c r="S101" s="143" t="n">
        <f aca="false">S99+S100</f>
        <v>1530052.21984</v>
      </c>
      <c r="T101" s="143" t="n">
        <f aca="false">T99+T100</f>
        <v>1588903.96544</v>
      </c>
      <c r="U101" s="143" t="n">
        <f aca="false">U99+U100</f>
        <v>1647055.54848</v>
      </c>
      <c r="V101" s="143" t="n">
        <f aca="false">V99+V100</f>
        <v>1704506.96896</v>
      </c>
      <c r="W101" s="143" t="n">
        <f aca="false">W99+W100</f>
        <v>1761258.22688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-2878260</v>
      </c>
      <c r="E104" s="146" t="n">
        <f aca="false">-E95-E96</f>
        <v>652539.45312</v>
      </c>
      <c r="F104" s="146" t="n">
        <f aca="false">-F95-F96</f>
        <v>451440.493632</v>
      </c>
      <c r="G104" s="146" t="n">
        <f aca="false">-G95-G96</f>
        <v>459286.254144</v>
      </c>
      <c r="H104" s="146" t="n">
        <f aca="false">-H95-H96</f>
        <v>467132.014656</v>
      </c>
      <c r="I104" s="146" t="n">
        <f aca="false">-I95-I96</f>
        <v>474977.775168</v>
      </c>
      <c r="J104" s="146" t="n">
        <f aca="false">-J95-J96</f>
        <v>482823.53568</v>
      </c>
      <c r="K104" s="146" t="n">
        <f aca="false">-K95-K96</f>
        <v>490669.296192</v>
      </c>
      <c r="L104" s="146" t="n">
        <f aca="false">-L95-L96</f>
        <v>498515.056704</v>
      </c>
      <c r="M104" s="146" t="n">
        <f aca="false">-M95-M96</f>
        <v>506360.817216</v>
      </c>
      <c r="N104" s="146" t="n">
        <f aca="false">-N95-N96</f>
        <v>514206.577728</v>
      </c>
      <c r="O104" s="146" t="n">
        <f aca="false">-O95-O96</f>
        <v>553451.53824</v>
      </c>
      <c r="P104" s="146" t="n">
        <f aca="false">-P95-P96</f>
        <v>561297.298752</v>
      </c>
      <c r="Q104" s="146" t="n">
        <f aca="false">-Q95-Q96</f>
        <v>569143.059264</v>
      </c>
      <c r="R104" s="146" t="n">
        <f aca="false">-R95-R96</f>
        <v>576988.819776</v>
      </c>
      <c r="S104" s="146" t="n">
        <f aca="false">-S95-S96</f>
        <v>584834.580288</v>
      </c>
      <c r="T104" s="146" t="n">
        <f aca="false">-T95-T96</f>
        <v>1312245.3408</v>
      </c>
      <c r="U104" s="146" t="n">
        <f aca="false">-U95-U96</f>
        <v>1305943.87776</v>
      </c>
      <c r="V104" s="146" t="n">
        <f aca="false">-V95-V96</f>
        <v>1299642.41472</v>
      </c>
      <c r="W104" s="146" t="n">
        <f aca="false">-W95-W96</f>
        <v>1293340.95168</v>
      </c>
      <c r="X104" s="146" t="n">
        <f aca="false">-X95-X96</f>
        <v>1761258.22688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0.186162722297663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-2153216.1632</v>
      </c>
      <c r="E106" s="146" t="n">
        <f aca="false">E85</f>
        <v>501600.54848</v>
      </c>
      <c r="F106" s="146" t="n">
        <f aca="false">F85-F96</f>
        <v>510318.06016</v>
      </c>
      <c r="G106" s="146" t="n">
        <f aca="false">G85-G96</f>
        <v>519035.57184</v>
      </c>
      <c r="H106" s="146" t="n">
        <f aca="false">H85-H96</f>
        <v>527753.08352</v>
      </c>
      <c r="I106" s="146" t="n">
        <f aca="false">I85-I96</f>
        <v>536470.5952</v>
      </c>
      <c r="J106" s="146" t="n">
        <f aca="false">J85-J96</f>
        <v>545188.10688</v>
      </c>
      <c r="K106" s="146" t="n">
        <f aca="false">K85-K96</f>
        <v>553905.61856</v>
      </c>
      <c r="L106" s="146" t="n">
        <f aca="false">L85-L96</f>
        <v>562623.13024</v>
      </c>
      <c r="M106" s="146" t="n">
        <f aca="false">M85-M96</f>
        <v>571340.64192</v>
      </c>
      <c r="N106" s="146" t="n">
        <f aca="false">N85-N96</f>
        <v>614946.1536</v>
      </c>
      <c r="O106" s="146" t="n">
        <f aca="false">O85-O96</f>
        <v>623663.66528</v>
      </c>
      <c r="P106" s="146" t="n">
        <f aca="false">P85-P96</f>
        <v>632381.17696</v>
      </c>
      <c r="Q106" s="146" t="n">
        <f aca="false">Q85-Q96</f>
        <v>641098.68864</v>
      </c>
      <c r="R106" s="146" t="n">
        <f aca="false">R85-R96</f>
        <v>649816.20032</v>
      </c>
      <c r="S106" s="146" t="n">
        <f aca="false">S85-S96</f>
        <v>658533.712</v>
      </c>
      <c r="T106" s="146" t="n">
        <f aca="false">T85-T96</f>
        <v>1371097.0864</v>
      </c>
      <c r="U106" s="146" t="n">
        <f aca="false">U85-U96</f>
        <v>1364095.4608</v>
      </c>
      <c r="V106" s="146" t="n">
        <f aca="false">V85-V96</f>
        <v>1357093.8352</v>
      </c>
      <c r="W106" s="146" t="n">
        <f aca="false">W85-W96</f>
        <v>1350092.2096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0.252801825494479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11513040</v>
      </c>
      <c r="E109" s="143" t="n">
        <f aca="false">D109+E93</f>
        <v>10745504</v>
      </c>
      <c r="F109" s="143" t="n">
        <f aca="false">E109+F93</f>
        <v>9977968</v>
      </c>
      <c r="G109" s="143" t="n">
        <f aca="false">F109+G93</f>
        <v>9210432</v>
      </c>
      <c r="H109" s="143" t="n">
        <f aca="false">G109+H93</f>
        <v>8442896</v>
      </c>
      <c r="I109" s="143" t="n">
        <f aca="false">H109+I93</f>
        <v>7675360</v>
      </c>
      <c r="J109" s="143" t="n">
        <f aca="false">I109+J93</f>
        <v>6907824</v>
      </c>
      <c r="K109" s="143" t="n">
        <f aca="false">J109+K93</f>
        <v>6140288</v>
      </c>
      <c r="L109" s="143" t="n">
        <f aca="false">K109+L93</f>
        <v>5372752</v>
      </c>
      <c r="M109" s="143" t="n">
        <f aca="false">L109+M93</f>
        <v>4605216</v>
      </c>
      <c r="N109" s="143" t="n">
        <f aca="false">M109+N93</f>
        <v>3837680</v>
      </c>
      <c r="O109" s="143" t="n">
        <f aca="false">N109+O93</f>
        <v>3070144</v>
      </c>
      <c r="P109" s="143" t="n">
        <f aca="false">O109+P93</f>
        <v>2302608</v>
      </c>
      <c r="Q109" s="143" t="n">
        <f aca="false">P109+Q93</f>
        <v>1535072</v>
      </c>
      <c r="R109" s="143" t="n">
        <f aca="false">Q109+R93</f>
        <v>767536</v>
      </c>
      <c r="S109" s="143" t="n">
        <f aca="false">R109+S93</f>
        <v>0</v>
      </c>
      <c r="T109" s="143" t="n">
        <f aca="false">S109+T93</f>
        <v>0</v>
      </c>
      <c r="U109" s="143" t="n">
        <f aca="false">T109+U93</f>
        <v>0</v>
      </c>
      <c r="V109" s="143" t="n">
        <f aca="false">U109+V93</f>
        <v>0</v>
      </c>
      <c r="W109" s="143" t="n">
        <f aca="false">V109+W93</f>
        <v>0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23" min="7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185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105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106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108</v>
      </c>
    </row>
    <row r="8" customFormat="false" ht="22.5" hidden="false" customHeight="true" outlineLevel="0" collapsed="false">
      <c r="B8" s="16" t="s">
        <v>14</v>
      </c>
      <c r="E8" s="46"/>
      <c r="M8" s="1" t="s">
        <v>109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186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-23113300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-45790.5</v>
      </c>
      <c r="E49" s="104" t="n">
        <v>-45790.5</v>
      </c>
      <c r="F49" s="104" t="n">
        <v>-45790.5</v>
      </c>
      <c r="G49" s="104" t="n">
        <v>-45790.5</v>
      </c>
      <c r="H49" s="104" t="n">
        <v>-45790.5</v>
      </c>
      <c r="I49" s="104" t="n">
        <v>-45790.5</v>
      </c>
      <c r="J49" s="104" t="n">
        <v>-45790.5</v>
      </c>
      <c r="K49" s="104" t="n">
        <v>-45790.5</v>
      </c>
      <c r="L49" s="104" t="n">
        <v>-45790.5</v>
      </c>
      <c r="M49" s="104" t="n">
        <v>-45790.5</v>
      </c>
      <c r="N49" s="104" t="n">
        <v>-45790.5</v>
      </c>
      <c r="O49" s="104" t="n">
        <v>-45790.5</v>
      </c>
      <c r="P49" s="104" t="n">
        <v>-45790.5</v>
      </c>
      <c r="Q49" s="104" t="n">
        <v>-45790.5</v>
      </c>
      <c r="R49" s="104" t="n">
        <v>-45790.5</v>
      </c>
      <c r="S49" s="104" t="n">
        <v>-45790.5</v>
      </c>
      <c r="T49" s="104" t="n">
        <v>-45790.5</v>
      </c>
      <c r="U49" s="104" t="n">
        <v>-45790.5</v>
      </c>
      <c r="V49" s="104" t="n">
        <v>-45790.5</v>
      </c>
      <c r="W49" s="104" t="n">
        <v>-45790.5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-149324.484</v>
      </c>
      <c r="E54" s="104" t="n">
        <f aca="false">-(E64+E67+E68+E71+E72+E73+E74)*0.2</f>
        <v>-89533.8776</v>
      </c>
      <c r="F54" s="104" t="n">
        <f aca="false">-(F64+F67+F68+F71+F72+F73+F74)*0.2</f>
        <v>-87783.4712</v>
      </c>
      <c r="G54" s="104" t="n">
        <f aca="false">-(G64+G67+G68+G71+G72+G73+G74)*0.2</f>
        <v>-86033.0648</v>
      </c>
      <c r="H54" s="104" t="n">
        <f aca="false">-(H64+H67+H68+H71+H72+H73+H74)*0.2</f>
        <v>-84282.6584</v>
      </c>
      <c r="I54" s="104" t="n">
        <f aca="false">-(I64+I67+I68+I71+I72+I73+I74)*0.2</f>
        <v>-82532.252</v>
      </c>
      <c r="J54" s="104" t="n">
        <f aca="false">-(J64+J67+J68+J71+J72+J73+J74)*0.2</f>
        <v>-80781.8456</v>
      </c>
      <c r="K54" s="104" t="n">
        <f aca="false">-(K64+K67+K68+K71+K72+K73+K74)*0.2</f>
        <v>-79031.4392</v>
      </c>
      <c r="L54" s="104" t="n">
        <f aca="false">-(L64+L67+L68+L71+L72+L73+L74)*0.2</f>
        <v>-77281.0328</v>
      </c>
      <c r="M54" s="104" t="n">
        <f aca="false">-(M64+M67+M68+M71+M72+M73+M74)*0.2</f>
        <v>-75530.6264</v>
      </c>
      <c r="N54" s="104" t="n">
        <f aca="false">-(N64+N67+N68+N71+N72+N73+N74)*0.2</f>
        <v>-82502.22</v>
      </c>
      <c r="O54" s="104" t="n">
        <f aca="false">-(O64+O67+O68+O71+O72+O73+O74)*0.2</f>
        <v>-80751.8136</v>
      </c>
      <c r="P54" s="104" t="n">
        <f aca="false">-(P64+P67+P68+P71+P72+P73+P74)*0.2</f>
        <v>-79001.4072</v>
      </c>
      <c r="Q54" s="104" t="n">
        <f aca="false">-(Q64+Q67+Q68+Q71+Q72+Q73+Q74)*0.2</f>
        <v>-77251.0008</v>
      </c>
      <c r="R54" s="104" t="n">
        <f aca="false">-(R64+R67+R68+R71+R72+R73+R74)*0.2</f>
        <v>-75500.5944</v>
      </c>
      <c r="S54" s="104" t="n">
        <f aca="false">-(S64+S67+S68+S71+S72+S73+S74)*0.2</f>
        <v>-73750.188</v>
      </c>
      <c r="T54" s="104" t="n">
        <f aca="false">-(T64+T67+T68+T71+T72+T73+T74)*0.2</f>
        <v>-71999.7816</v>
      </c>
      <c r="U54" s="104" t="n">
        <f aca="false">-(U64+U67+U68+U71+U72+U73+U74)*0.2</f>
        <v>-70249.3752</v>
      </c>
      <c r="V54" s="104" t="n">
        <f aca="false">-(V64+V67+V68+V71+V72+V73+V74)*0.2</f>
        <v>-68498.9688</v>
      </c>
      <c r="W54" s="104" t="n">
        <f aca="false">-(W64+W67+W68+W71+W72+W73+W74)*0.2</f>
        <v>-66748.5624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-23113300</v>
      </c>
      <c r="D55" s="109" t="n">
        <f aca="false">SUM(D41:D54)</f>
        <v>1462761.936</v>
      </c>
      <c r="E55" s="109" t="n">
        <f aca="false">SUM(E41:E54)</f>
        <v>1513800.5104</v>
      </c>
      <c r="F55" s="109" t="n">
        <f aca="false">SUM(F41:F54)</f>
        <v>1506798.8848</v>
      </c>
      <c r="G55" s="109" t="n">
        <f aca="false">SUM(G41:G54)</f>
        <v>1499797.2592</v>
      </c>
      <c r="H55" s="109" t="n">
        <f aca="false">SUM(H41:H54)</f>
        <v>1492795.6336</v>
      </c>
      <c r="I55" s="109" t="n">
        <f aca="false">SUM(I41:I54)</f>
        <v>1485794.008</v>
      </c>
      <c r="J55" s="109" t="n">
        <f aca="false">SUM(J41:J54)</f>
        <v>1478792.3824</v>
      </c>
      <c r="K55" s="109" t="n">
        <f aca="false">SUM(K41:K54)</f>
        <v>1471790.7568</v>
      </c>
      <c r="L55" s="109" t="n">
        <f aca="false">SUM(L41:L54)</f>
        <v>1464789.1312</v>
      </c>
      <c r="M55" s="109" t="n">
        <f aca="false">SUM(M41:M54)</f>
        <v>1457787.5056</v>
      </c>
      <c r="N55" s="109" t="n">
        <f aca="false">SUM(N41:N54)</f>
        <v>1485673.88</v>
      </c>
      <c r="O55" s="109" t="n">
        <f aca="false">SUM(O41:O54)</f>
        <v>1478672.2544</v>
      </c>
      <c r="P55" s="109" t="n">
        <f aca="false">SUM(P41:P54)</f>
        <v>1471670.6288</v>
      </c>
      <c r="Q55" s="109" t="n">
        <f aca="false">SUM(Q41:Q54)</f>
        <v>1464669.0032</v>
      </c>
      <c r="R55" s="109" t="n">
        <f aca="false">SUM(R41:R54)</f>
        <v>1457667.3776</v>
      </c>
      <c r="S55" s="109" t="n">
        <f aca="false">SUM(S41:S54)</f>
        <v>1450665.752</v>
      </c>
      <c r="T55" s="109" t="n">
        <f aca="false">SUM(T41:T54)</f>
        <v>1443664.1264</v>
      </c>
      <c r="U55" s="109" t="n">
        <f aca="false">SUM(U41:U54)</f>
        <v>1436662.5008</v>
      </c>
      <c r="V55" s="109" t="n">
        <f aca="false">SUM(V41:V54)</f>
        <v>1429660.8752</v>
      </c>
      <c r="W55" s="109" t="n">
        <f aca="false">SUM(W41:W54)</f>
        <v>1422659.2496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-21650538.064</v>
      </c>
      <c r="E56" s="114" t="n">
        <f aca="false">D56+E55</f>
        <v>-20136737.5536</v>
      </c>
      <c r="F56" s="114" t="n">
        <f aca="false">E56+F55</f>
        <v>-18629938.6688</v>
      </c>
      <c r="G56" s="114" t="n">
        <f aca="false">F56+G55</f>
        <v>-17130141.4096</v>
      </c>
      <c r="H56" s="114" t="n">
        <f aca="false">G56+H55</f>
        <v>-15637345.776</v>
      </c>
      <c r="I56" s="114" t="n">
        <f aca="false">H56+I55</f>
        <v>-14151551.768</v>
      </c>
      <c r="J56" s="114" t="n">
        <f aca="false">I56+J55</f>
        <v>-12672759.3856</v>
      </c>
      <c r="K56" s="114" t="n">
        <f aca="false">J56+K55</f>
        <v>-11200968.6288</v>
      </c>
      <c r="L56" s="114" t="n">
        <f aca="false">K56+L55</f>
        <v>-9736179.4976</v>
      </c>
      <c r="M56" s="114" t="n">
        <f aca="false">L56+M55</f>
        <v>-8278391.992</v>
      </c>
      <c r="N56" s="114" t="n">
        <f aca="false">M56+N55</f>
        <v>-6792718.112</v>
      </c>
      <c r="O56" s="114" t="n">
        <f aca="false">N56+O55</f>
        <v>-5314045.8576</v>
      </c>
      <c r="P56" s="114" t="n">
        <f aca="false">O56+P55</f>
        <v>-3842375.2288</v>
      </c>
      <c r="Q56" s="114" t="n">
        <f aca="false">P56+Q55</f>
        <v>-2377706.2256</v>
      </c>
      <c r="R56" s="114" t="n">
        <f aca="false">Q56+R55</f>
        <v>-920038.847999997</v>
      </c>
      <c r="S56" s="114" t="n">
        <f aca="false">R56+S55</f>
        <v>530626.904000003</v>
      </c>
      <c r="T56" s="114" t="n">
        <f aca="false">S56+T55</f>
        <v>1974291.0304</v>
      </c>
      <c r="U56" s="114" t="n">
        <f aca="false">T56+U55</f>
        <v>3410953.5312</v>
      </c>
      <c r="V56" s="114" t="n">
        <f aca="false">U56+V55</f>
        <v>4840614.4064</v>
      </c>
      <c r="W56" s="114" t="n">
        <f aca="false">V56+W55</f>
        <v>6263273.656</v>
      </c>
      <c r="X56" s="114" t="n">
        <f aca="false">W56+X55</f>
        <v>6263273.656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0.0242088281443017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-1155665</v>
      </c>
      <c r="E67" s="127" t="n">
        <f aca="false">$C$44/$E$16</f>
        <v>-1155665</v>
      </c>
      <c r="F67" s="127" t="n">
        <f aca="false">$C$44/$E$16</f>
        <v>-1155665</v>
      </c>
      <c r="G67" s="127" t="n">
        <f aca="false">$C$44/$E$16</f>
        <v>-1155665</v>
      </c>
      <c r="H67" s="127" t="n">
        <f aca="false">$C$44/$E$16</f>
        <v>-1155665</v>
      </c>
      <c r="I67" s="127" t="n">
        <f aca="false">$C$44/$E$16</f>
        <v>-1155665</v>
      </c>
      <c r="J67" s="127" t="n">
        <f aca="false">$C$44/$E$16</f>
        <v>-1155665</v>
      </c>
      <c r="K67" s="127" t="n">
        <f aca="false">$C$44/$E$16</f>
        <v>-1155665</v>
      </c>
      <c r="L67" s="127" t="n">
        <f aca="false">$C$44/$E$16</f>
        <v>-1155665</v>
      </c>
      <c r="M67" s="127" t="n">
        <f aca="false">$C$44/$E$16</f>
        <v>-1155665</v>
      </c>
      <c r="N67" s="127" t="n">
        <f aca="false">$C$44/$E$16</f>
        <v>-1155665</v>
      </c>
      <c r="O67" s="127" t="n">
        <f aca="false">$C$44/$E$16</f>
        <v>-1155665</v>
      </c>
      <c r="P67" s="127" t="n">
        <f aca="false">$C$44/$E$16</f>
        <v>-1155665</v>
      </c>
      <c r="Q67" s="127" t="n">
        <f aca="false">$C$44/$E$16</f>
        <v>-1155665</v>
      </c>
      <c r="R67" s="127" t="n">
        <f aca="false">$C$44/$E$16</f>
        <v>-1155665</v>
      </c>
      <c r="S67" s="127" t="n">
        <f aca="false">$C$44/$E$16</f>
        <v>-1155665</v>
      </c>
      <c r="T67" s="127" t="n">
        <f aca="false">$C$44/$E$16</f>
        <v>-1155665</v>
      </c>
      <c r="U67" s="127" t="n">
        <f aca="false">$C$44/$E$16</f>
        <v>-1155665</v>
      </c>
      <c r="V67" s="127" t="n">
        <f aca="false">$C$44/$E$16</f>
        <v>-1155665</v>
      </c>
      <c r="W67" s="127" t="n">
        <f aca="false">$C$44/$E$16</f>
        <v>-1155665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-473360.384</v>
      </c>
      <c r="E70" s="104" t="n">
        <f aca="false">-E109*$D25</f>
        <v>-441803.025066667</v>
      </c>
      <c r="F70" s="104" t="n">
        <f aca="false">-F109*$D25</f>
        <v>-410245.666133334</v>
      </c>
      <c r="G70" s="104" t="n">
        <f aca="false">-G109*$D25</f>
        <v>-378688.3072</v>
      </c>
      <c r="H70" s="104" t="n">
        <f aca="false">-H109*$D25</f>
        <v>-347130.948266667</v>
      </c>
      <c r="I70" s="104" t="n">
        <f aca="false">-I109*$D25</f>
        <v>-315573.589333334</v>
      </c>
      <c r="J70" s="104" t="n">
        <f aca="false">-J109*$D25</f>
        <v>-284016.230400001</v>
      </c>
      <c r="K70" s="104" t="n">
        <f aca="false">-K109*$D25</f>
        <v>-252458.871466667</v>
      </c>
      <c r="L70" s="104" t="n">
        <f aca="false">-L109*$D25</f>
        <v>-220901.512533334</v>
      </c>
      <c r="M70" s="104" t="n">
        <f aca="false">-M109*$D25</f>
        <v>-189344.153600001</v>
      </c>
      <c r="N70" s="104" t="n">
        <f aca="false">-N109*$D25</f>
        <v>-157786.794666668</v>
      </c>
      <c r="O70" s="104" t="n">
        <f aca="false">-O109*$D25</f>
        <v>-126229.435733334</v>
      </c>
      <c r="P70" s="104" t="n">
        <f aca="false">-P109*$D25</f>
        <v>-94672.076800001</v>
      </c>
      <c r="Q70" s="104" t="n">
        <f aca="false">-Q109*$D25</f>
        <v>-63114.7178666678</v>
      </c>
      <c r="R70" s="104" t="n">
        <f aca="false">-R109*$D25</f>
        <v>-31557.3589333345</v>
      </c>
      <c r="S70" s="104" t="n">
        <f aca="false">-S109*$D25</f>
        <v>-1.2516975402832E-009</v>
      </c>
      <c r="T70" s="104" t="n">
        <f aca="false">-T109*$D25</f>
        <v>-1.2516975402832E-009</v>
      </c>
      <c r="U70" s="104" t="n">
        <f aca="false">-U109*$D25</f>
        <v>-1.2516975402832E-009</v>
      </c>
      <c r="V70" s="104" t="n">
        <f aca="false">-V109*$D25</f>
        <v>-1.2516975402832E-009</v>
      </c>
      <c r="W70" s="104" t="n">
        <f aca="false">-W109*$D25</f>
        <v>-1.2516975402832E-009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-45790.5</v>
      </c>
      <c r="E72" s="104" t="n">
        <f aca="false">E49</f>
        <v>-45790.5</v>
      </c>
      <c r="F72" s="104" t="n">
        <f aca="false">F49</f>
        <v>-45790.5</v>
      </c>
      <c r="G72" s="104" t="n">
        <f aca="false">G49</f>
        <v>-45790.5</v>
      </c>
      <c r="H72" s="104" t="n">
        <f aca="false">H49</f>
        <v>-45790.5</v>
      </c>
      <c r="I72" s="104" t="n">
        <f aca="false">I49</f>
        <v>-45790.5</v>
      </c>
      <c r="J72" s="104" t="n">
        <f aca="false">J49</f>
        <v>-45790.5</v>
      </c>
      <c r="K72" s="104" t="n">
        <f aca="false">K49</f>
        <v>-45790.5</v>
      </c>
      <c r="L72" s="104" t="n">
        <f aca="false">L49</f>
        <v>-45790.5</v>
      </c>
      <c r="M72" s="104" t="n">
        <f aca="false">M49</f>
        <v>-45790.5</v>
      </c>
      <c r="N72" s="104" t="n">
        <f aca="false">N49</f>
        <v>-45790.5</v>
      </c>
      <c r="O72" s="104" t="n">
        <f aca="false">O49</f>
        <v>-45790.5</v>
      </c>
      <c r="P72" s="104" t="n">
        <f aca="false">P49</f>
        <v>-45790.5</v>
      </c>
      <c r="Q72" s="104" t="n">
        <f aca="false">Q49</f>
        <v>-45790.5</v>
      </c>
      <c r="R72" s="104" t="n">
        <f aca="false">R49</f>
        <v>-45790.5</v>
      </c>
      <c r="S72" s="104" t="n">
        <f aca="false">S49</f>
        <v>-45790.5</v>
      </c>
      <c r="T72" s="104" t="n">
        <f aca="false">T49</f>
        <v>-45790.5</v>
      </c>
      <c r="U72" s="104" t="n">
        <f aca="false">U49</f>
        <v>-45790.5</v>
      </c>
      <c r="V72" s="104" t="n">
        <f aca="false">V49</f>
        <v>-45790.5</v>
      </c>
      <c r="W72" s="104" t="n">
        <f aca="false">W49</f>
        <v>-45790.5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273262.036</v>
      </c>
      <c r="E76" s="109" t="n">
        <f aca="false">SUM(E64:E75)</f>
        <v>5866.36293333297</v>
      </c>
      <c r="F76" s="109" t="n">
        <f aca="false">SUM(F64:F75)</f>
        <v>28671.6898666666</v>
      </c>
      <c r="G76" s="109" t="n">
        <f aca="false">SUM(G64:G75)</f>
        <v>51477.0167999997</v>
      </c>
      <c r="H76" s="109" t="n">
        <f aca="false">SUM(H64:H75)</f>
        <v>74282.3437333329</v>
      </c>
      <c r="I76" s="109" t="n">
        <f aca="false">SUM(I64:I75)</f>
        <v>97087.670666666</v>
      </c>
      <c r="J76" s="109" t="n">
        <f aca="false">SUM(J64:J75)</f>
        <v>119892.9976</v>
      </c>
      <c r="K76" s="109" t="n">
        <f aca="false">SUM(K64:K75)</f>
        <v>142698.324533333</v>
      </c>
      <c r="L76" s="109" t="n">
        <f aca="false">SUM(L64:L75)</f>
        <v>165503.651466666</v>
      </c>
      <c r="M76" s="109" t="n">
        <f aca="false">SUM(M64:M75)</f>
        <v>188308.978399999</v>
      </c>
      <c r="N76" s="109" t="n">
        <f aca="false">SUM(N64:N75)</f>
        <v>254724.305333332</v>
      </c>
      <c r="O76" s="109" t="n">
        <f aca="false">SUM(O64:O75)</f>
        <v>277529.632266666</v>
      </c>
      <c r="P76" s="109" t="n">
        <f aca="false">SUM(P64:P75)</f>
        <v>300334.959199999</v>
      </c>
      <c r="Q76" s="109" t="n">
        <f aca="false">SUM(Q64:Q75)</f>
        <v>323140.286133332</v>
      </c>
      <c r="R76" s="109" t="n">
        <f aca="false">SUM(R64:R75)</f>
        <v>345945.613066665</v>
      </c>
      <c r="S76" s="109" t="n">
        <f aca="false">SUM(S64:S75)</f>
        <v>368750.939999999</v>
      </c>
      <c r="T76" s="109" t="n">
        <f aca="false">SUM(T64:T75)</f>
        <v>359998.907999999</v>
      </c>
      <c r="U76" s="109" t="n">
        <f aca="false">SUM(U64:U75)</f>
        <v>351246.875999999</v>
      </c>
      <c r="V76" s="109" t="n">
        <f aca="false">SUM(V64:V75)</f>
        <v>342494.843999999</v>
      </c>
      <c r="W76" s="109" t="n">
        <f aca="false">SUM(W64:W75)</f>
        <v>333742.811999999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-54652.4072</v>
      </c>
      <c r="E77" s="104" t="n">
        <f aca="false">-E76*0.2</f>
        <v>-1173.27258666659</v>
      </c>
      <c r="F77" s="104" t="n">
        <f aca="false">-F76*0.2</f>
        <v>-5734.33797333331</v>
      </c>
      <c r="G77" s="104" t="n">
        <f aca="false">-G76*0.2</f>
        <v>-10295.4033599999</v>
      </c>
      <c r="H77" s="104" t="n">
        <f aca="false">-H76*0.2</f>
        <v>-14856.4687466666</v>
      </c>
      <c r="I77" s="104" t="n">
        <f aca="false">-I76*0.2</f>
        <v>-19417.5341333332</v>
      </c>
      <c r="J77" s="104" t="n">
        <f aca="false">-J76*0.2</f>
        <v>-23978.5995199999</v>
      </c>
      <c r="K77" s="104" t="n">
        <f aca="false">-K76*0.2</f>
        <v>-28539.6649066665</v>
      </c>
      <c r="L77" s="104" t="n">
        <f aca="false">-L76*0.2</f>
        <v>-33100.7302933332</v>
      </c>
      <c r="M77" s="104" t="n">
        <f aca="false">-M76*0.2</f>
        <v>-37661.7956799998</v>
      </c>
      <c r="N77" s="104" t="n">
        <f aca="false">-N76*0.2</f>
        <v>-50944.8610666665</v>
      </c>
      <c r="O77" s="104" t="n">
        <f aca="false">-O76*0.2</f>
        <v>-55505.9264533331</v>
      </c>
      <c r="P77" s="104" t="n">
        <f aca="false">-P76*0.2</f>
        <v>-60066.9918399998</v>
      </c>
      <c r="Q77" s="104" t="n">
        <f aca="false">-Q76*0.2</f>
        <v>-64628.0572266664</v>
      </c>
      <c r="R77" s="104" t="n">
        <f aca="false">-R76*0.2</f>
        <v>-69189.1226133331</v>
      </c>
      <c r="S77" s="104" t="n">
        <f aca="false">-S76*0.2</f>
        <v>-73750.1879999997</v>
      </c>
      <c r="T77" s="104" t="n">
        <f aca="false">-T76*0.2</f>
        <v>-71999.7815999997</v>
      </c>
      <c r="U77" s="104" t="n">
        <f aca="false">-U76*0.2</f>
        <v>-70249.3751999997</v>
      </c>
      <c r="V77" s="104" t="n">
        <f aca="false">-V76*0.2</f>
        <v>-68498.9687999997</v>
      </c>
      <c r="W77" s="104" t="n">
        <f aca="false">-W76*0.2</f>
        <v>-66748.5623999997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218609.6288</v>
      </c>
      <c r="E78" s="104" t="n">
        <f aca="false">SUM(E76:E77)</f>
        <v>4693.09034666638</v>
      </c>
      <c r="F78" s="104" t="n">
        <f aca="false">SUM(F76:F77)</f>
        <v>22937.3518933333</v>
      </c>
      <c r="G78" s="104" t="n">
        <f aca="false">SUM(G76:G77)</f>
        <v>41181.6134399998</v>
      </c>
      <c r="H78" s="104" t="n">
        <f aca="false">SUM(H76:H77)</f>
        <v>59425.8749866663</v>
      </c>
      <c r="I78" s="104" t="n">
        <f aca="false">SUM(I76:I77)</f>
        <v>77670.1365333328</v>
      </c>
      <c r="J78" s="104" t="n">
        <f aca="false">SUM(J76:J77)</f>
        <v>95914.3980799997</v>
      </c>
      <c r="K78" s="104" t="n">
        <f aca="false">SUM(K76:K77)</f>
        <v>114158.659626666</v>
      </c>
      <c r="L78" s="104" t="n">
        <f aca="false">SUM(L76:L77)</f>
        <v>132402.921173333</v>
      </c>
      <c r="M78" s="104" t="n">
        <f aca="false">SUM(M76:M77)</f>
        <v>150647.182719999</v>
      </c>
      <c r="N78" s="104" t="n">
        <f aca="false">SUM(N76:N77)</f>
        <v>203779.444266666</v>
      </c>
      <c r="O78" s="104" t="n">
        <f aca="false">SUM(O76:O77)</f>
        <v>222023.705813333</v>
      </c>
      <c r="P78" s="104" t="n">
        <f aca="false">SUM(P76:P77)</f>
        <v>240267.967359999</v>
      </c>
      <c r="Q78" s="104" t="n">
        <f aca="false">SUM(Q76:Q77)</f>
        <v>258512.228906666</v>
      </c>
      <c r="R78" s="104" t="n">
        <f aca="false">SUM(R76:R77)</f>
        <v>276756.490453332</v>
      </c>
      <c r="S78" s="104" t="n">
        <f aca="false">SUM(S76:S77)</f>
        <v>295000.751999999</v>
      </c>
      <c r="T78" s="104" t="n">
        <f aca="false">SUM(T76:T77)</f>
        <v>287999.126399999</v>
      </c>
      <c r="U78" s="104" t="n">
        <f aca="false">SUM(U76:U77)</f>
        <v>280997.500799999</v>
      </c>
      <c r="V78" s="104" t="n">
        <f aca="false">SUM(V76:V77)</f>
        <v>273995.875199999</v>
      </c>
      <c r="W78" s="104" t="n">
        <f aca="false">SUM(W76:W77)</f>
        <v>266994.249599999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218609.6288</v>
      </c>
      <c r="E85" s="143" t="n">
        <f aca="false">E78</f>
        <v>4693.09034666638</v>
      </c>
      <c r="F85" s="143" t="n">
        <f aca="false">F78</f>
        <v>22937.3518933333</v>
      </c>
      <c r="G85" s="143" t="n">
        <f aca="false">G78</f>
        <v>41181.6134399998</v>
      </c>
      <c r="H85" s="143" t="n">
        <f aca="false">H78</f>
        <v>59425.8749866663</v>
      </c>
      <c r="I85" s="143" t="n">
        <f aca="false">I78</f>
        <v>77670.1365333328</v>
      </c>
      <c r="J85" s="143" t="n">
        <f aca="false">J78</f>
        <v>95914.3980799997</v>
      </c>
      <c r="K85" s="143" t="n">
        <f aca="false">K78</f>
        <v>114158.659626666</v>
      </c>
      <c r="L85" s="143" t="n">
        <f aca="false">L78</f>
        <v>132402.921173333</v>
      </c>
      <c r="M85" s="143" t="n">
        <f aca="false">M78</f>
        <v>150647.182719999</v>
      </c>
      <c r="N85" s="143" t="n">
        <f aca="false">N78</f>
        <v>203779.444266666</v>
      </c>
      <c r="O85" s="143" t="n">
        <f aca="false">O78</f>
        <v>222023.705813333</v>
      </c>
      <c r="P85" s="143" t="n">
        <f aca="false">P78</f>
        <v>240267.967359999</v>
      </c>
      <c r="Q85" s="143" t="n">
        <f aca="false">Q78</f>
        <v>258512.228906666</v>
      </c>
      <c r="R85" s="143" t="n">
        <f aca="false">R78</f>
        <v>276756.490453332</v>
      </c>
      <c r="S85" s="143" t="n">
        <f aca="false">S78</f>
        <v>295000.751999999</v>
      </c>
      <c r="T85" s="143" t="n">
        <f aca="false">T78</f>
        <v>287999.126399999</v>
      </c>
      <c r="U85" s="143" t="n">
        <f aca="false">U78</f>
        <v>280997.500799999</v>
      </c>
      <c r="V85" s="143" t="n">
        <f aca="false">V78</f>
        <v>273995.875199999</v>
      </c>
      <c r="W85" s="143" t="n">
        <f aca="false">W78</f>
        <v>266994.249599999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1155665</v>
      </c>
      <c r="E86" s="144" t="n">
        <f aca="false">-E67</f>
        <v>1155665</v>
      </c>
      <c r="F86" s="144" t="n">
        <f aca="false">-F67</f>
        <v>1155665</v>
      </c>
      <c r="G86" s="144" t="n">
        <f aca="false">-G67</f>
        <v>1155665</v>
      </c>
      <c r="H86" s="144" t="n">
        <f aca="false">-H67</f>
        <v>1155665</v>
      </c>
      <c r="I86" s="144" t="n">
        <f aca="false">-I67</f>
        <v>1155665</v>
      </c>
      <c r="J86" s="144" t="n">
        <f aca="false">-J67</f>
        <v>1155665</v>
      </c>
      <c r="K86" s="144" t="n">
        <f aca="false">-K67</f>
        <v>1155665</v>
      </c>
      <c r="L86" s="144" t="n">
        <f aca="false">-L67</f>
        <v>1155665</v>
      </c>
      <c r="M86" s="144" t="n">
        <f aca="false">-M67</f>
        <v>1155665</v>
      </c>
      <c r="N86" s="144" t="n">
        <f aca="false">-N67</f>
        <v>1155665</v>
      </c>
      <c r="O86" s="144" t="n">
        <f aca="false">-O67</f>
        <v>1155665</v>
      </c>
      <c r="P86" s="144" t="n">
        <f aca="false">-P67</f>
        <v>1155665</v>
      </c>
      <c r="Q86" s="144" t="n">
        <f aca="false">-Q67</f>
        <v>1155665</v>
      </c>
      <c r="R86" s="144" t="n">
        <f aca="false">-R67</f>
        <v>1155665</v>
      </c>
      <c r="S86" s="144" t="n">
        <f aca="false">-S67</f>
        <v>1155665</v>
      </c>
      <c r="T86" s="144" t="n">
        <f aca="false">-T67</f>
        <v>1155665</v>
      </c>
      <c r="U86" s="144" t="n">
        <f aca="false">-U67</f>
        <v>1155665</v>
      </c>
      <c r="V86" s="144" t="n">
        <f aca="false">-V67</f>
        <v>1155665</v>
      </c>
      <c r="W86" s="144" t="n">
        <f aca="false">-W67</f>
        <v>1155665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1374274.6288</v>
      </c>
      <c r="E87" s="146" t="n">
        <f aca="false">SUM(E85:E86)</f>
        <v>1160358.09034667</v>
      </c>
      <c r="F87" s="146" t="n">
        <f aca="false">SUM(F85:F86)</f>
        <v>1178602.35189333</v>
      </c>
      <c r="G87" s="146" t="n">
        <f aca="false">SUM(G85:G86)</f>
        <v>1196846.61344</v>
      </c>
      <c r="H87" s="146" t="n">
        <f aca="false">SUM(H85:H86)</f>
        <v>1215090.87498667</v>
      </c>
      <c r="I87" s="146" t="n">
        <f aca="false">SUM(I85:I86)</f>
        <v>1233335.13653333</v>
      </c>
      <c r="J87" s="146" t="n">
        <f aca="false">SUM(J85:J86)</f>
        <v>1251579.39808</v>
      </c>
      <c r="K87" s="146" t="n">
        <f aca="false">SUM(K85:K86)</f>
        <v>1269823.65962667</v>
      </c>
      <c r="L87" s="146" t="n">
        <f aca="false">SUM(L85:L86)</f>
        <v>1288067.92117333</v>
      </c>
      <c r="M87" s="146" t="n">
        <f aca="false">SUM(M85:M86)</f>
        <v>1306312.18272</v>
      </c>
      <c r="N87" s="146" t="n">
        <f aca="false">SUM(N85:N86)</f>
        <v>1359444.44426667</v>
      </c>
      <c r="O87" s="146" t="n">
        <f aca="false">SUM(O85:O86)</f>
        <v>1377688.70581333</v>
      </c>
      <c r="P87" s="146" t="n">
        <f aca="false">SUM(P85:P86)</f>
        <v>1395932.96736</v>
      </c>
      <c r="Q87" s="146" t="n">
        <f aca="false">SUM(Q85:Q86)</f>
        <v>1414177.22890667</v>
      </c>
      <c r="R87" s="146" t="n">
        <f aca="false">SUM(R85:R86)</f>
        <v>1432421.49045333</v>
      </c>
      <c r="S87" s="146" t="n">
        <f aca="false">SUM(S85:S86)</f>
        <v>1450665.752</v>
      </c>
      <c r="T87" s="146" t="n">
        <f aca="false">SUM(T85:T86)</f>
        <v>1443664.1264</v>
      </c>
      <c r="U87" s="146" t="n">
        <f aca="false">SUM(U85:U86)</f>
        <v>1436662.5008</v>
      </c>
      <c r="V87" s="146" t="n">
        <f aca="false">SUM(V85:V86)</f>
        <v>1429660.8752</v>
      </c>
      <c r="W87" s="146" t="n">
        <f aca="false">SUM(W85:W86)</f>
        <v>1422659.2496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-23113300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18490640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-1232709.33333333</v>
      </c>
      <c r="F93" s="152" t="n">
        <v>-1232709.33333333</v>
      </c>
      <c r="G93" s="152" t="n">
        <v>-1232709.33333333</v>
      </c>
      <c r="H93" s="152" t="n">
        <v>-1232709.33333333</v>
      </c>
      <c r="I93" s="152" t="n">
        <v>-1232709.33333333</v>
      </c>
      <c r="J93" s="152" t="n">
        <v>-1232709.33333333</v>
      </c>
      <c r="K93" s="152" t="n">
        <v>-1232709.33333333</v>
      </c>
      <c r="L93" s="152" t="n">
        <v>-1232709.33333333</v>
      </c>
      <c r="M93" s="152" t="n">
        <v>-1232709.33333333</v>
      </c>
      <c r="N93" s="152" t="n">
        <v>-1232709.33333333</v>
      </c>
      <c r="O93" s="152" t="n">
        <v>-1232709.33333333</v>
      </c>
      <c r="P93" s="152" t="n">
        <v>-1232709.33333333</v>
      </c>
      <c r="Q93" s="152" t="n">
        <v>-1232709.33333333</v>
      </c>
      <c r="R93" s="152" t="n">
        <v>-1232709.33333333</v>
      </c>
      <c r="S93" s="152" t="n">
        <v>-1232709.33333333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4622660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-196748.66592</v>
      </c>
      <c r="F95" s="153" t="n">
        <f aca="false">-E85*$D$33</f>
        <v>-4223.78131199974</v>
      </c>
      <c r="G95" s="153" t="n">
        <f aca="false">-F85*$D$33</f>
        <v>-20643.6167039999</v>
      </c>
      <c r="H95" s="153" t="n">
        <f aca="false">-G85*$D$33</f>
        <v>-37063.4520959998</v>
      </c>
      <c r="I95" s="153" t="n">
        <f aca="false">-H85*$D$33</f>
        <v>-53483.2874879997</v>
      </c>
      <c r="J95" s="153" t="n">
        <f aca="false">-I85*$D$33</f>
        <v>-69903.1228799995</v>
      </c>
      <c r="K95" s="153" t="n">
        <f aca="false">-J85*$D$33</f>
        <v>-86322.9582719997</v>
      </c>
      <c r="L95" s="153" t="n">
        <f aca="false">-K85*$D$33</f>
        <v>-102742.793664</v>
      </c>
      <c r="M95" s="153" t="n">
        <f aca="false">-L85*$D$33</f>
        <v>-119162.629055999</v>
      </c>
      <c r="N95" s="153" t="n">
        <f aca="false">-M85*$D$33</f>
        <v>-135582.464447999</v>
      </c>
      <c r="O95" s="153" t="n">
        <f aca="false">-N85*$D$33</f>
        <v>-183401.499839999</v>
      </c>
      <c r="P95" s="153" t="n">
        <f aca="false">-O85*$D$33</f>
        <v>-199821.335231999</v>
      </c>
      <c r="Q95" s="153" t="n">
        <f aca="false">-P85*$D$33</f>
        <v>-216241.170623999</v>
      </c>
      <c r="R95" s="153" t="n">
        <f aca="false">-Q85*$D$33</f>
        <v>-232661.006015999</v>
      </c>
      <c r="S95" s="153" t="n">
        <f aca="false">-R85*$D$33</f>
        <v>-249080.841407999</v>
      </c>
      <c r="T95" s="153" t="n">
        <f aca="false">-S85*$D$33</f>
        <v>-265500.676799999</v>
      </c>
      <c r="U95" s="153" t="n">
        <f aca="false">-T85*$D$33</f>
        <v>-259199.213759999</v>
      </c>
      <c r="V95" s="153" t="n">
        <f aca="false">-U85*$D$33</f>
        <v>-252897.750719999</v>
      </c>
      <c r="W95" s="153" t="n">
        <f aca="false">-V85*$D$33</f>
        <v>-246596.287679999</v>
      </c>
      <c r="X95" s="153" t="n">
        <f aca="false">-W85*$D$33</f>
        <v>-240294.824639999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-1155665</v>
      </c>
      <c r="U96" s="156" t="n">
        <v>-1155665</v>
      </c>
      <c r="V96" s="156" t="n">
        <v>-1155665</v>
      </c>
      <c r="W96" s="156" t="n">
        <v>-1155665</v>
      </c>
      <c r="X96" s="157" t="n">
        <f aca="false">-W101-X95</f>
        <v>-352396.819840047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1374274.6288</v>
      </c>
      <c r="E99" s="143" t="n">
        <f aca="false">SUM(E87:E96)</f>
        <v>-269099.908906664</v>
      </c>
      <c r="F99" s="143" t="n">
        <f aca="false">SUM(F87:F96)</f>
        <v>-58330.7627519965</v>
      </c>
      <c r="G99" s="143" t="n">
        <f aca="false">SUM(G87:G96)</f>
        <v>-56506.3365973302</v>
      </c>
      <c r="H99" s="143" t="n">
        <f aca="false">SUM(H87:H96)</f>
        <v>-54681.9104426635</v>
      </c>
      <c r="I99" s="143" t="n">
        <f aca="false">SUM(I87:I96)</f>
        <v>-52857.4842879969</v>
      </c>
      <c r="J99" s="143" t="n">
        <f aca="false">SUM(J87:J96)</f>
        <v>-51033.0581333298</v>
      </c>
      <c r="K99" s="143" t="n">
        <f aca="false">SUM(K87:K96)</f>
        <v>-49208.6319786635</v>
      </c>
      <c r="L99" s="143" t="n">
        <f aca="false">SUM(L87:L96)</f>
        <v>-47384.2058239968</v>
      </c>
      <c r="M99" s="143" t="n">
        <f aca="false">SUM(M87:M96)</f>
        <v>-45559.7796693299</v>
      </c>
      <c r="N99" s="143" t="n">
        <f aca="false">SUM(N87:N96)</f>
        <v>-8847.35351466347</v>
      </c>
      <c r="O99" s="143" t="n">
        <f aca="false">SUM(O87:O96)</f>
        <v>-38422.1273599968</v>
      </c>
      <c r="P99" s="143" t="n">
        <f aca="false">SUM(P87:P96)</f>
        <v>-36597.7012053301</v>
      </c>
      <c r="Q99" s="143" t="n">
        <f aca="false">SUM(Q87:Q96)</f>
        <v>-34773.2750506635</v>
      </c>
      <c r="R99" s="143" t="n">
        <f aca="false">SUM(R87:R96)</f>
        <v>-32948.848895997</v>
      </c>
      <c r="S99" s="143" t="n">
        <f aca="false">SUM(S87:S96)</f>
        <v>-31124.4227413301</v>
      </c>
      <c r="T99" s="143" t="n">
        <f aca="false">SUM(T87:T96)</f>
        <v>22498.4495999997</v>
      </c>
      <c r="U99" s="143" t="n">
        <f aca="false">SUM(U87:U96)</f>
        <v>21798.2870399999</v>
      </c>
      <c r="V99" s="143" t="n">
        <f aca="false">SUM(V87:V96)</f>
        <v>21098.1244799998</v>
      </c>
      <c r="W99" s="143" t="n">
        <f aca="false">SUM(W87:W96)</f>
        <v>20397.9619199999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1374274.6288</v>
      </c>
      <c r="F100" s="143" t="n">
        <f aca="false">E101</f>
        <v>1105174.71989334</v>
      </c>
      <c r="G100" s="143" t="n">
        <f aca="false">F101</f>
        <v>1046843.95714134</v>
      </c>
      <c r="H100" s="143" t="n">
        <f aca="false">G101</f>
        <v>990337.620544009</v>
      </c>
      <c r="I100" s="143" t="n">
        <f aca="false">H101</f>
        <v>935655.710101345</v>
      </c>
      <c r="J100" s="143" t="n">
        <f aca="false">I101</f>
        <v>882798.225813348</v>
      </c>
      <c r="K100" s="143" t="n">
        <f aca="false">J101</f>
        <v>831765.167680019</v>
      </c>
      <c r="L100" s="143" t="n">
        <f aca="false">K101</f>
        <v>782556.535701355</v>
      </c>
      <c r="M100" s="143" t="n">
        <f aca="false">L101</f>
        <v>735172.329877358</v>
      </c>
      <c r="N100" s="143" t="n">
        <f aca="false">M101</f>
        <v>689612.550208028</v>
      </c>
      <c r="O100" s="143" t="n">
        <f aca="false">N101</f>
        <v>680765.196693365</v>
      </c>
      <c r="P100" s="143" t="n">
        <f aca="false">O101</f>
        <v>642343.069333368</v>
      </c>
      <c r="Q100" s="143" t="n">
        <f aca="false">P101</f>
        <v>605745.368128038</v>
      </c>
      <c r="R100" s="143" t="n">
        <f aca="false">Q101</f>
        <v>570972.093077374</v>
      </c>
      <c r="S100" s="143" t="n">
        <f aca="false">R101</f>
        <v>538023.244181377</v>
      </c>
      <c r="T100" s="143" t="n">
        <f aca="false">S101</f>
        <v>506898.821440047</v>
      </c>
      <c r="U100" s="143" t="n">
        <f aca="false">T101</f>
        <v>529397.271040047</v>
      </c>
      <c r="V100" s="143" t="n">
        <f aca="false">U101</f>
        <v>551195.558080047</v>
      </c>
      <c r="W100" s="143" t="n">
        <f aca="false">V101</f>
        <v>572293.682560047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1374274.6288</v>
      </c>
      <c r="E101" s="143" t="n">
        <f aca="false">E99+E100</f>
        <v>1105174.71989334</v>
      </c>
      <c r="F101" s="143" t="n">
        <f aca="false">F99+F100</f>
        <v>1046843.95714134</v>
      </c>
      <c r="G101" s="143" t="n">
        <f aca="false">G99+G100</f>
        <v>990337.620544009</v>
      </c>
      <c r="H101" s="143" t="n">
        <f aca="false">H99+H100</f>
        <v>935655.710101345</v>
      </c>
      <c r="I101" s="143" t="n">
        <f aca="false">I99+I100</f>
        <v>882798.225813348</v>
      </c>
      <c r="J101" s="143" t="n">
        <f aca="false">J99+J100</f>
        <v>831765.167680019</v>
      </c>
      <c r="K101" s="143" t="n">
        <f aca="false">K99+K100</f>
        <v>782556.535701355</v>
      </c>
      <c r="L101" s="143" t="n">
        <f aca="false">L99+L100</f>
        <v>735172.329877358</v>
      </c>
      <c r="M101" s="143" t="n">
        <f aca="false">M99+M100</f>
        <v>689612.550208028</v>
      </c>
      <c r="N101" s="143" t="n">
        <f aca="false">N99+N100</f>
        <v>680765.196693365</v>
      </c>
      <c r="O101" s="143" t="n">
        <f aca="false">O99+O100</f>
        <v>642343.069333368</v>
      </c>
      <c r="P101" s="143" t="n">
        <f aca="false">P99+P100</f>
        <v>605745.368128038</v>
      </c>
      <c r="Q101" s="143" t="n">
        <f aca="false">Q99+Q100</f>
        <v>570972.093077374</v>
      </c>
      <c r="R101" s="143" t="n">
        <f aca="false">R99+R100</f>
        <v>538023.244181377</v>
      </c>
      <c r="S101" s="143" t="n">
        <f aca="false">S99+S100</f>
        <v>506898.821440047</v>
      </c>
      <c r="T101" s="143" t="n">
        <f aca="false">T99+T100</f>
        <v>529397.271040047</v>
      </c>
      <c r="U101" s="143" t="n">
        <f aca="false">U99+U100</f>
        <v>551195.558080047</v>
      </c>
      <c r="V101" s="143" t="n">
        <f aca="false">V99+V100</f>
        <v>572293.682560047</v>
      </c>
      <c r="W101" s="143" t="n">
        <f aca="false">W99+W100</f>
        <v>592691.644480047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-4622660</v>
      </c>
      <c r="E104" s="146" t="n">
        <f aca="false">-E95-E96</f>
        <v>196748.66592</v>
      </c>
      <c r="F104" s="146" t="n">
        <f aca="false">-F95-F96</f>
        <v>4223.78131199974</v>
      </c>
      <c r="G104" s="146" t="n">
        <f aca="false">-G95-G96</f>
        <v>20643.6167039999</v>
      </c>
      <c r="H104" s="146" t="n">
        <f aca="false">-H95-H96</f>
        <v>37063.4520959998</v>
      </c>
      <c r="I104" s="146" t="n">
        <f aca="false">-I95-I96</f>
        <v>53483.2874879997</v>
      </c>
      <c r="J104" s="146" t="n">
        <f aca="false">-J95-J96</f>
        <v>69903.1228799995</v>
      </c>
      <c r="K104" s="146" t="n">
        <f aca="false">-K95-K96</f>
        <v>86322.9582719997</v>
      </c>
      <c r="L104" s="146" t="n">
        <f aca="false">-L95-L96</f>
        <v>102742.793664</v>
      </c>
      <c r="M104" s="146" t="n">
        <f aca="false">-M95-M96</f>
        <v>119162.629055999</v>
      </c>
      <c r="N104" s="146" t="n">
        <f aca="false">-N95-N96</f>
        <v>135582.464447999</v>
      </c>
      <c r="O104" s="146" t="n">
        <f aca="false">-O95-O96</f>
        <v>183401.499839999</v>
      </c>
      <c r="P104" s="146" t="n">
        <f aca="false">-P95-P96</f>
        <v>199821.335231999</v>
      </c>
      <c r="Q104" s="146" t="n">
        <f aca="false">-Q95-Q96</f>
        <v>216241.170623999</v>
      </c>
      <c r="R104" s="146" t="n">
        <f aca="false">-R95-R96</f>
        <v>232661.006015999</v>
      </c>
      <c r="S104" s="146" t="n">
        <f aca="false">-S95-S96</f>
        <v>249080.841407999</v>
      </c>
      <c r="T104" s="146" t="n">
        <f aca="false">-T95-T96</f>
        <v>1421165.6768</v>
      </c>
      <c r="U104" s="146" t="n">
        <f aca="false">-U95-U96</f>
        <v>1414864.21376</v>
      </c>
      <c r="V104" s="146" t="n">
        <f aca="false">-V95-V96</f>
        <v>1408562.75072</v>
      </c>
      <c r="W104" s="146" t="n">
        <f aca="false">-W95-W96</f>
        <v>1402261.28768</v>
      </c>
      <c r="X104" s="146" t="n">
        <f aca="false">-X95-X96</f>
        <v>592691.644480047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0.0369619204678117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-4404050.3712</v>
      </c>
      <c r="E106" s="146" t="n">
        <f aca="false">E85</f>
        <v>4693.09034666638</v>
      </c>
      <c r="F106" s="146" t="n">
        <f aca="false">F85-F96</f>
        <v>22937.3518933333</v>
      </c>
      <c r="G106" s="146" t="n">
        <f aca="false">G85-G96</f>
        <v>41181.6134399998</v>
      </c>
      <c r="H106" s="146" t="n">
        <f aca="false">H85-H96</f>
        <v>59425.8749866663</v>
      </c>
      <c r="I106" s="146" t="n">
        <f aca="false">I85-I96</f>
        <v>77670.1365333328</v>
      </c>
      <c r="J106" s="146" t="n">
        <f aca="false">J85-J96</f>
        <v>95914.3980799997</v>
      </c>
      <c r="K106" s="146" t="n">
        <f aca="false">K85-K96</f>
        <v>114158.659626666</v>
      </c>
      <c r="L106" s="146" t="n">
        <f aca="false">L85-L96</f>
        <v>132402.921173333</v>
      </c>
      <c r="M106" s="146" t="n">
        <f aca="false">M85-M96</f>
        <v>150647.182719999</v>
      </c>
      <c r="N106" s="146" t="n">
        <f aca="false">N85-N96</f>
        <v>203779.444266666</v>
      </c>
      <c r="O106" s="146" t="n">
        <f aca="false">O85-O96</f>
        <v>222023.705813333</v>
      </c>
      <c r="P106" s="146" t="n">
        <f aca="false">P85-P96</f>
        <v>240267.967359999</v>
      </c>
      <c r="Q106" s="146" t="n">
        <f aca="false">Q85-Q96</f>
        <v>258512.228906666</v>
      </c>
      <c r="R106" s="146" t="n">
        <f aca="false">R85-R96</f>
        <v>276756.490453332</v>
      </c>
      <c r="S106" s="146" t="n">
        <f aca="false">S85-S96</f>
        <v>295000.751999999</v>
      </c>
      <c r="T106" s="146" t="n">
        <f aca="false">T85-T96</f>
        <v>1443664.1264</v>
      </c>
      <c r="U106" s="146" t="n">
        <f aca="false">U85-U96</f>
        <v>1436662.5008</v>
      </c>
      <c r="V106" s="146" t="n">
        <f aca="false">V85-V96</f>
        <v>1429660.8752</v>
      </c>
      <c r="W106" s="146" t="n">
        <f aca="false">W85-W96</f>
        <v>1422659.2496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0.039024354239358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18490640</v>
      </c>
      <c r="E109" s="143" t="n">
        <f aca="false">D109+E93</f>
        <v>17257930.6666667</v>
      </c>
      <c r="F109" s="143" t="n">
        <f aca="false">E109+F93</f>
        <v>16025221.3333333</v>
      </c>
      <c r="G109" s="143" t="n">
        <f aca="false">F109+G93</f>
        <v>14792512</v>
      </c>
      <c r="H109" s="143" t="n">
        <f aca="false">G109+H93</f>
        <v>13559802.6666667</v>
      </c>
      <c r="I109" s="143" t="n">
        <f aca="false">H109+I93</f>
        <v>12327093.3333334</v>
      </c>
      <c r="J109" s="143" t="n">
        <f aca="false">I109+J93</f>
        <v>11094384</v>
      </c>
      <c r="K109" s="143" t="n">
        <f aca="false">J109+K93</f>
        <v>9861674.66666669</v>
      </c>
      <c r="L109" s="143" t="n">
        <f aca="false">K109+L93</f>
        <v>8628965.33333336</v>
      </c>
      <c r="M109" s="143" t="n">
        <f aca="false">L109+M93</f>
        <v>7396256.00000003</v>
      </c>
      <c r="N109" s="143" t="n">
        <f aca="false">M109+N93</f>
        <v>6163546.6666667</v>
      </c>
      <c r="O109" s="143" t="n">
        <f aca="false">N109+O93</f>
        <v>4930837.33333337</v>
      </c>
      <c r="P109" s="143" t="n">
        <f aca="false">O109+P93</f>
        <v>3698128.00000004</v>
      </c>
      <c r="Q109" s="143" t="n">
        <f aca="false">P109+Q93</f>
        <v>2465418.66666671</v>
      </c>
      <c r="R109" s="143" t="n">
        <f aca="false">Q109+R93</f>
        <v>1232709.33333338</v>
      </c>
      <c r="S109" s="143" t="n">
        <f aca="false">R109+S93</f>
        <v>4.88944351673126E-008</v>
      </c>
      <c r="T109" s="143" t="n">
        <f aca="false">S109+T93</f>
        <v>4.88944351673126E-008</v>
      </c>
      <c r="U109" s="143" t="n">
        <f aca="false">T109+U93</f>
        <v>4.88944351673126E-008</v>
      </c>
      <c r="V109" s="143" t="n">
        <f aca="false">U109+V93</f>
        <v>4.88944351673126E-008</v>
      </c>
      <c r="W109" s="143" t="n">
        <f aca="false">V109+W93</f>
        <v>4.88944351673126E-008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187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188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189</v>
      </c>
    </row>
    <row r="8" customFormat="false" ht="22.5" hidden="false" customHeight="true" outlineLevel="0" collapsed="false">
      <c r="B8" s="16" t="s">
        <v>14</v>
      </c>
      <c r="E8" s="46"/>
      <c r="M8" s="1" t="s">
        <v>190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90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28000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-18752300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-36632.4</v>
      </c>
      <c r="E49" s="104" t="n">
        <v>-36632.4</v>
      </c>
      <c r="F49" s="104" t="n">
        <v>-36632.4</v>
      </c>
      <c r="G49" s="104" t="n">
        <v>-36632.4</v>
      </c>
      <c r="H49" s="104" t="n">
        <v>-36632.4</v>
      </c>
      <c r="I49" s="104" t="n">
        <v>-36632.4</v>
      </c>
      <c r="J49" s="104" t="n">
        <v>-36632.4</v>
      </c>
      <c r="K49" s="104" t="n">
        <v>-36632.4</v>
      </c>
      <c r="L49" s="104" t="n">
        <v>-36632.4</v>
      </c>
      <c r="M49" s="104" t="n">
        <v>-36632.4</v>
      </c>
      <c r="N49" s="104" t="n">
        <v>-36632.4</v>
      </c>
      <c r="O49" s="104" t="n">
        <v>-36632.4</v>
      </c>
      <c r="P49" s="104" t="n">
        <v>-36632.4</v>
      </c>
      <c r="Q49" s="104" t="n">
        <v>-36632.4</v>
      </c>
      <c r="R49" s="104" t="n">
        <v>-36632.4</v>
      </c>
      <c r="S49" s="104" t="n">
        <v>-36632.4</v>
      </c>
      <c r="T49" s="104" t="n">
        <v>-36632.4</v>
      </c>
      <c r="U49" s="104" t="n">
        <v>-36632.4</v>
      </c>
      <c r="V49" s="104" t="n">
        <v>-36632.4</v>
      </c>
      <c r="W49" s="104" t="n">
        <v>-36632.4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-194766.104</v>
      </c>
      <c r="E54" s="104" t="n">
        <f aca="false">-(E64+E67+E68+E71+E72+E73+E74)*0.2</f>
        <v>-134975.4976</v>
      </c>
      <c r="F54" s="104" t="n">
        <f aca="false">-(F64+F67+F68+F71+F72+F73+F74)*0.2</f>
        <v>-133225.0912</v>
      </c>
      <c r="G54" s="104" t="n">
        <f aca="false">-(G64+G67+G68+G71+G72+G73+G74)*0.2</f>
        <v>-131474.6848</v>
      </c>
      <c r="H54" s="104" t="n">
        <f aca="false">-(H64+H67+H68+H71+H72+H73+H74)*0.2</f>
        <v>-129724.2784</v>
      </c>
      <c r="I54" s="104" t="n">
        <f aca="false">-(I64+I67+I68+I71+I72+I73+I74)*0.2</f>
        <v>-127973.872</v>
      </c>
      <c r="J54" s="104" t="n">
        <f aca="false">-(J64+J67+J68+J71+J72+J73+J74)*0.2</f>
        <v>-126223.4656</v>
      </c>
      <c r="K54" s="104" t="n">
        <f aca="false">-(K64+K67+K68+K71+K72+K73+K74)*0.2</f>
        <v>-124473.0592</v>
      </c>
      <c r="L54" s="104" t="n">
        <f aca="false">-(L64+L67+L68+L71+L72+L73+L74)*0.2</f>
        <v>-122722.6528</v>
      </c>
      <c r="M54" s="104" t="n">
        <f aca="false">-(M64+M67+M68+M71+M72+M73+M74)*0.2</f>
        <v>-120972.2464</v>
      </c>
      <c r="N54" s="104" t="n">
        <f aca="false">-(N64+N67+N68+N71+N72+N73+N74)*0.2</f>
        <v>-127943.84</v>
      </c>
      <c r="O54" s="104" t="n">
        <f aca="false">-(O64+O67+O68+O71+O72+O73+O74)*0.2</f>
        <v>-126193.4336</v>
      </c>
      <c r="P54" s="104" t="n">
        <f aca="false">-(P64+P67+P68+P71+P72+P73+P74)*0.2</f>
        <v>-124443.0272</v>
      </c>
      <c r="Q54" s="104" t="n">
        <f aca="false">-(Q64+Q67+Q68+Q71+Q72+Q73+Q74)*0.2</f>
        <v>-122692.6208</v>
      </c>
      <c r="R54" s="104" t="n">
        <f aca="false">-(R64+R67+R68+R71+R72+R73+R74)*0.2</f>
        <v>-120942.2144</v>
      </c>
      <c r="S54" s="104" t="n">
        <f aca="false">-(S64+S67+S68+S71+S72+S73+S74)*0.2</f>
        <v>-119191.808</v>
      </c>
      <c r="T54" s="104" t="n">
        <f aca="false">-(T64+T67+T68+T71+T72+T73+T74)*0.2</f>
        <v>-117441.4016</v>
      </c>
      <c r="U54" s="104" t="n">
        <f aca="false">-(U64+U67+U68+U71+U72+U73+U74)*0.2</f>
        <v>-115690.9952</v>
      </c>
      <c r="V54" s="104" t="n">
        <f aca="false">-(V64+V67+V68+V71+V72+V73+V74)*0.2</f>
        <v>-113940.5888</v>
      </c>
      <c r="W54" s="104" t="n">
        <f aca="false">-(W64+W67+W68+W71+W72+W73+W74)*0.2</f>
        <v>-112190.1824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-18752300</v>
      </c>
      <c r="D55" s="109" t="n">
        <f aca="false">SUM(D41:D54)</f>
        <v>1426478.416</v>
      </c>
      <c r="E55" s="109" t="n">
        <f aca="false">SUM(E41:E54)</f>
        <v>1477516.9904</v>
      </c>
      <c r="F55" s="109" t="n">
        <f aca="false">SUM(F41:F54)</f>
        <v>1470515.3648</v>
      </c>
      <c r="G55" s="109" t="n">
        <f aca="false">SUM(G41:G54)</f>
        <v>1463513.7392</v>
      </c>
      <c r="H55" s="109" t="n">
        <f aca="false">SUM(H41:H54)</f>
        <v>1456512.1136</v>
      </c>
      <c r="I55" s="109" t="n">
        <f aca="false">SUM(I41:I54)</f>
        <v>1449510.488</v>
      </c>
      <c r="J55" s="109" t="n">
        <f aca="false">SUM(J41:J54)</f>
        <v>1442508.8624</v>
      </c>
      <c r="K55" s="109" t="n">
        <f aca="false">SUM(K41:K54)</f>
        <v>1435507.2368</v>
      </c>
      <c r="L55" s="109" t="n">
        <f aca="false">SUM(L41:L54)</f>
        <v>1428505.6112</v>
      </c>
      <c r="M55" s="109" t="n">
        <f aca="false">SUM(M41:M54)</f>
        <v>1421503.9856</v>
      </c>
      <c r="N55" s="109" t="n">
        <f aca="false">SUM(N41:N54)</f>
        <v>1449390.36</v>
      </c>
      <c r="O55" s="109" t="n">
        <f aca="false">SUM(O41:O54)</f>
        <v>1442388.7344</v>
      </c>
      <c r="P55" s="109" t="n">
        <f aca="false">SUM(P41:P54)</f>
        <v>1435387.1088</v>
      </c>
      <c r="Q55" s="109" t="n">
        <f aca="false">SUM(Q41:Q54)</f>
        <v>1428385.4832</v>
      </c>
      <c r="R55" s="109" t="n">
        <f aca="false">SUM(R41:R54)</f>
        <v>1421383.8576</v>
      </c>
      <c r="S55" s="109" t="n">
        <f aca="false">SUM(S41:S54)</f>
        <v>1414382.232</v>
      </c>
      <c r="T55" s="109" t="n">
        <f aca="false">SUM(T41:T54)</f>
        <v>1407380.6064</v>
      </c>
      <c r="U55" s="109" t="n">
        <f aca="false">SUM(U41:U54)</f>
        <v>1400378.9808</v>
      </c>
      <c r="V55" s="109" t="n">
        <f aca="false">SUM(V41:V54)</f>
        <v>1393377.3552</v>
      </c>
      <c r="W55" s="109" t="n">
        <f aca="false">SUM(W41:W54)</f>
        <v>1386375.7296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-17325821.584</v>
      </c>
      <c r="E56" s="114" t="n">
        <f aca="false">D56+E55</f>
        <v>-15848304.5936</v>
      </c>
      <c r="F56" s="114" t="n">
        <f aca="false">E56+F55</f>
        <v>-14377789.2288</v>
      </c>
      <c r="G56" s="114" t="n">
        <f aca="false">F56+G55</f>
        <v>-12914275.4896</v>
      </c>
      <c r="H56" s="114" t="n">
        <f aca="false">G56+H55</f>
        <v>-11457763.376</v>
      </c>
      <c r="I56" s="114" t="n">
        <f aca="false">H56+I55</f>
        <v>-10008252.888</v>
      </c>
      <c r="J56" s="114" t="n">
        <f aca="false">I56+J55</f>
        <v>-8565744.0256</v>
      </c>
      <c r="K56" s="114" t="n">
        <f aca="false">J56+K55</f>
        <v>-7130236.7888</v>
      </c>
      <c r="L56" s="114" t="n">
        <f aca="false">K56+L55</f>
        <v>-5701731.1776</v>
      </c>
      <c r="M56" s="114" t="n">
        <f aca="false">L56+M55</f>
        <v>-4280227.192</v>
      </c>
      <c r="N56" s="114" t="n">
        <f aca="false">M56+N55</f>
        <v>-2830836.832</v>
      </c>
      <c r="O56" s="114" t="n">
        <f aca="false">N56+O55</f>
        <v>-1388448.0976</v>
      </c>
      <c r="P56" s="114" t="n">
        <f aca="false">O56+P55</f>
        <v>46939.0112000029</v>
      </c>
      <c r="Q56" s="114" t="n">
        <f aca="false">P56+Q55</f>
        <v>1475324.4944</v>
      </c>
      <c r="R56" s="114" t="n">
        <f aca="false">Q56+R55</f>
        <v>2896708.352</v>
      </c>
      <c r="S56" s="114" t="n">
        <f aca="false">R56+S55</f>
        <v>4311090.584</v>
      </c>
      <c r="T56" s="114" t="n">
        <f aca="false">S56+T55</f>
        <v>5718471.1904</v>
      </c>
      <c r="U56" s="114" t="n">
        <f aca="false">T56+U55</f>
        <v>7118850.1712</v>
      </c>
      <c r="V56" s="114" t="n">
        <f aca="false">U56+V55</f>
        <v>8512227.5264</v>
      </c>
      <c r="W56" s="114" t="n">
        <f aca="false">V56+W55</f>
        <v>9898603.256</v>
      </c>
      <c r="X56" s="114" t="n">
        <f aca="false">W56+X55</f>
        <v>9898603.256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0.0446697744485586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-937615</v>
      </c>
      <c r="E67" s="127" t="n">
        <f aca="false">$C$44/$E$16</f>
        <v>-937615</v>
      </c>
      <c r="F67" s="127" t="n">
        <f aca="false">$C$44/$E$16</f>
        <v>-937615</v>
      </c>
      <c r="G67" s="127" t="n">
        <f aca="false">$C$44/$E$16</f>
        <v>-937615</v>
      </c>
      <c r="H67" s="127" t="n">
        <f aca="false">$C$44/$E$16</f>
        <v>-937615</v>
      </c>
      <c r="I67" s="127" t="n">
        <f aca="false">$C$44/$E$16</f>
        <v>-937615</v>
      </c>
      <c r="J67" s="127" t="n">
        <f aca="false">$C$44/$E$16</f>
        <v>-937615</v>
      </c>
      <c r="K67" s="127" t="n">
        <f aca="false">$C$44/$E$16</f>
        <v>-937615</v>
      </c>
      <c r="L67" s="127" t="n">
        <f aca="false">$C$44/$E$16</f>
        <v>-937615</v>
      </c>
      <c r="M67" s="127" t="n">
        <f aca="false">$C$44/$E$16</f>
        <v>-937615</v>
      </c>
      <c r="N67" s="127" t="n">
        <f aca="false">$C$44/$E$16</f>
        <v>-937615</v>
      </c>
      <c r="O67" s="127" t="n">
        <f aca="false">$C$44/$E$16</f>
        <v>-937615</v>
      </c>
      <c r="P67" s="127" t="n">
        <f aca="false">$C$44/$E$16</f>
        <v>-937615</v>
      </c>
      <c r="Q67" s="127" t="n">
        <f aca="false">$C$44/$E$16</f>
        <v>-937615</v>
      </c>
      <c r="R67" s="127" t="n">
        <f aca="false">$C$44/$E$16</f>
        <v>-937615</v>
      </c>
      <c r="S67" s="127" t="n">
        <f aca="false">$C$44/$E$16</f>
        <v>-937615</v>
      </c>
      <c r="T67" s="127" t="n">
        <f aca="false">$C$44/$E$16</f>
        <v>-937615</v>
      </c>
      <c r="U67" s="127" t="n">
        <f aca="false">$C$44/$E$16</f>
        <v>-937615</v>
      </c>
      <c r="V67" s="127" t="n">
        <f aca="false">$C$44/$E$16</f>
        <v>-937615</v>
      </c>
      <c r="W67" s="127" t="n">
        <f aca="false">$C$44/$E$16</f>
        <v>-937615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-384047.104</v>
      </c>
      <c r="E70" s="104" t="n">
        <f aca="false">-E109*$D25</f>
        <v>-358443.963733333</v>
      </c>
      <c r="F70" s="104" t="n">
        <f aca="false">-F109*$D25</f>
        <v>-332840.823466667</v>
      </c>
      <c r="G70" s="104" t="n">
        <f aca="false">-G109*$D25</f>
        <v>-307237.6832</v>
      </c>
      <c r="H70" s="104" t="n">
        <f aca="false">-H109*$D25</f>
        <v>-281634.542933333</v>
      </c>
      <c r="I70" s="104" t="n">
        <f aca="false">-I109*$D25</f>
        <v>-256031.402666666</v>
      </c>
      <c r="J70" s="104" t="n">
        <f aca="false">-J109*$D25</f>
        <v>-230428.2624</v>
      </c>
      <c r="K70" s="104" t="n">
        <f aca="false">-K109*$D25</f>
        <v>-204825.122133333</v>
      </c>
      <c r="L70" s="104" t="n">
        <f aca="false">-L109*$D25</f>
        <v>-179221.981866666</v>
      </c>
      <c r="M70" s="104" t="n">
        <f aca="false">-M109*$D25</f>
        <v>-153618.841599999</v>
      </c>
      <c r="N70" s="104" t="n">
        <f aca="false">-N109*$D25</f>
        <v>-128015.701333333</v>
      </c>
      <c r="O70" s="104" t="n">
        <f aca="false">-O109*$D25</f>
        <v>-102412.561066666</v>
      </c>
      <c r="P70" s="104" t="n">
        <f aca="false">-P109*$D25</f>
        <v>-76809.4207999991</v>
      </c>
      <c r="Q70" s="104" t="n">
        <f aca="false">-Q109*$D25</f>
        <v>-51206.2805333323</v>
      </c>
      <c r="R70" s="104" t="n">
        <f aca="false">-R109*$D25</f>
        <v>-25603.1402666655</v>
      </c>
      <c r="S70" s="104" t="n">
        <f aca="false">-S109*$D25</f>
        <v>1.20997428894043E-009</v>
      </c>
      <c r="T70" s="104" t="n">
        <f aca="false">-T109*$D25</f>
        <v>1.20997428894043E-009</v>
      </c>
      <c r="U70" s="104" t="n">
        <f aca="false">-U109*$D25</f>
        <v>1.20997428894043E-009</v>
      </c>
      <c r="V70" s="104" t="n">
        <f aca="false">-V109*$D25</f>
        <v>1.20997428894043E-009</v>
      </c>
      <c r="W70" s="104" t="n">
        <f aca="false">-W109*$D25</f>
        <v>1.20997428894043E-009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-36632.4</v>
      </c>
      <c r="E72" s="104" t="n">
        <f aca="false">E49</f>
        <v>-36632.4</v>
      </c>
      <c r="F72" s="104" t="n">
        <f aca="false">F49</f>
        <v>-36632.4</v>
      </c>
      <c r="G72" s="104" t="n">
        <f aca="false">G49</f>
        <v>-36632.4</v>
      </c>
      <c r="H72" s="104" t="n">
        <f aca="false">H49</f>
        <v>-36632.4</v>
      </c>
      <c r="I72" s="104" t="n">
        <f aca="false">I49</f>
        <v>-36632.4</v>
      </c>
      <c r="J72" s="104" t="n">
        <f aca="false">J49</f>
        <v>-36632.4</v>
      </c>
      <c r="K72" s="104" t="n">
        <f aca="false">K49</f>
        <v>-36632.4</v>
      </c>
      <c r="L72" s="104" t="n">
        <f aca="false">L49</f>
        <v>-36632.4</v>
      </c>
      <c r="M72" s="104" t="n">
        <f aca="false">M49</f>
        <v>-36632.4</v>
      </c>
      <c r="N72" s="104" t="n">
        <f aca="false">N49</f>
        <v>-36632.4</v>
      </c>
      <c r="O72" s="104" t="n">
        <f aca="false">O49</f>
        <v>-36632.4</v>
      </c>
      <c r="P72" s="104" t="n">
        <f aca="false">P49</f>
        <v>-36632.4</v>
      </c>
      <c r="Q72" s="104" t="n">
        <f aca="false">Q49</f>
        <v>-36632.4</v>
      </c>
      <c r="R72" s="104" t="n">
        <f aca="false">R49</f>
        <v>-36632.4</v>
      </c>
      <c r="S72" s="104" t="n">
        <f aca="false">S49</f>
        <v>-36632.4</v>
      </c>
      <c r="T72" s="104" t="n">
        <f aca="false">T49</f>
        <v>-36632.4</v>
      </c>
      <c r="U72" s="104" t="n">
        <f aca="false">U49</f>
        <v>-36632.4</v>
      </c>
      <c r="V72" s="104" t="n">
        <f aca="false">V49</f>
        <v>-36632.4</v>
      </c>
      <c r="W72" s="104" t="n">
        <f aca="false">W49</f>
        <v>-36632.4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589783.416</v>
      </c>
      <c r="E76" s="109" t="n">
        <f aca="false">SUM(E64:E75)</f>
        <v>316433.524266667</v>
      </c>
      <c r="F76" s="109" t="n">
        <f aca="false">SUM(F64:F75)</f>
        <v>333284.632533334</v>
      </c>
      <c r="G76" s="109" t="n">
        <f aca="false">SUM(G64:G75)</f>
        <v>350135.7408</v>
      </c>
      <c r="H76" s="109" t="n">
        <f aca="false">SUM(H64:H75)</f>
        <v>366986.849066667</v>
      </c>
      <c r="I76" s="109" t="n">
        <f aca="false">SUM(I64:I75)</f>
        <v>383837.957333334</v>
      </c>
      <c r="J76" s="109" t="n">
        <f aca="false">SUM(J64:J75)</f>
        <v>400689.065600001</v>
      </c>
      <c r="K76" s="109" t="n">
        <f aca="false">SUM(K64:K75)</f>
        <v>417540.173866667</v>
      </c>
      <c r="L76" s="109" t="n">
        <f aca="false">SUM(L64:L75)</f>
        <v>434391.282133334</v>
      </c>
      <c r="M76" s="109" t="n">
        <f aca="false">SUM(M64:M75)</f>
        <v>451242.390400001</v>
      </c>
      <c r="N76" s="109" t="n">
        <f aca="false">SUM(N64:N75)</f>
        <v>511703.498666667</v>
      </c>
      <c r="O76" s="109" t="n">
        <f aca="false">SUM(O64:O75)</f>
        <v>528554.606933334</v>
      </c>
      <c r="P76" s="109" t="n">
        <f aca="false">SUM(P64:P75)</f>
        <v>545405.715200001</v>
      </c>
      <c r="Q76" s="109" t="n">
        <f aca="false">SUM(Q64:Q75)</f>
        <v>562256.823466668</v>
      </c>
      <c r="R76" s="109" t="n">
        <f aca="false">SUM(R64:R75)</f>
        <v>579107.931733334</v>
      </c>
      <c r="S76" s="109" t="n">
        <f aca="false">SUM(S64:S75)</f>
        <v>595959.040000001</v>
      </c>
      <c r="T76" s="109" t="n">
        <f aca="false">SUM(T64:T75)</f>
        <v>587207.008000001</v>
      </c>
      <c r="U76" s="109" t="n">
        <f aca="false">SUM(U64:U75)</f>
        <v>578454.976000001</v>
      </c>
      <c r="V76" s="109" t="n">
        <f aca="false">SUM(V64:V75)</f>
        <v>569702.944000001</v>
      </c>
      <c r="W76" s="109" t="n">
        <f aca="false">SUM(W64:W75)</f>
        <v>560950.912000001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-117956.6832</v>
      </c>
      <c r="E77" s="104" t="n">
        <f aca="false">-E76*0.2</f>
        <v>-63286.7048533333</v>
      </c>
      <c r="F77" s="104" t="n">
        <f aca="false">-F76*0.2</f>
        <v>-66656.9265066667</v>
      </c>
      <c r="G77" s="104" t="n">
        <f aca="false">-G76*0.2</f>
        <v>-70027.14816</v>
      </c>
      <c r="H77" s="104" t="n">
        <f aca="false">-H76*0.2</f>
        <v>-73397.3698133334</v>
      </c>
      <c r="I77" s="104" t="n">
        <f aca="false">-I76*0.2</f>
        <v>-76767.5914666667</v>
      </c>
      <c r="J77" s="104" t="n">
        <f aca="false">-J76*0.2</f>
        <v>-80137.8131200001</v>
      </c>
      <c r="K77" s="104" t="n">
        <f aca="false">-K76*0.2</f>
        <v>-83508.0347733335</v>
      </c>
      <c r="L77" s="104" t="n">
        <f aca="false">-L76*0.2</f>
        <v>-86878.2564266668</v>
      </c>
      <c r="M77" s="104" t="n">
        <f aca="false">-M76*0.2</f>
        <v>-90248.4780800002</v>
      </c>
      <c r="N77" s="104" t="n">
        <f aca="false">-N76*0.2</f>
        <v>-102340.699733333</v>
      </c>
      <c r="O77" s="104" t="n">
        <f aca="false">-O76*0.2</f>
        <v>-105710.921386667</v>
      </c>
      <c r="P77" s="104" t="n">
        <f aca="false">-P76*0.2</f>
        <v>-109081.14304</v>
      </c>
      <c r="Q77" s="104" t="n">
        <f aca="false">-Q76*0.2</f>
        <v>-112451.364693334</v>
      </c>
      <c r="R77" s="104" t="n">
        <f aca="false">-R76*0.2</f>
        <v>-115821.586346667</v>
      </c>
      <c r="S77" s="104" t="n">
        <f aca="false">-S76*0.2</f>
        <v>-119191.808</v>
      </c>
      <c r="T77" s="104" t="n">
        <f aca="false">-T76*0.2</f>
        <v>-117441.4016</v>
      </c>
      <c r="U77" s="104" t="n">
        <f aca="false">-U76*0.2</f>
        <v>-115690.9952</v>
      </c>
      <c r="V77" s="104" t="n">
        <f aca="false">-V76*0.2</f>
        <v>-113940.5888</v>
      </c>
      <c r="W77" s="104" t="n">
        <f aca="false">-W76*0.2</f>
        <v>-112190.1824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471826.7328</v>
      </c>
      <c r="E78" s="104" t="n">
        <f aca="false">SUM(E76:E77)</f>
        <v>253146.819413333</v>
      </c>
      <c r="F78" s="104" t="n">
        <f aca="false">SUM(F76:F77)</f>
        <v>266627.706026667</v>
      </c>
      <c r="G78" s="104" t="n">
        <f aca="false">SUM(G76:G77)</f>
        <v>280108.59264</v>
      </c>
      <c r="H78" s="104" t="n">
        <f aca="false">SUM(H76:H77)</f>
        <v>293589.479253333</v>
      </c>
      <c r="I78" s="104" t="n">
        <f aca="false">SUM(I76:I77)</f>
        <v>307070.365866667</v>
      </c>
      <c r="J78" s="104" t="n">
        <f aca="false">SUM(J76:J77)</f>
        <v>320551.25248</v>
      </c>
      <c r="K78" s="104" t="n">
        <f aca="false">SUM(K76:K77)</f>
        <v>334032.139093334</v>
      </c>
      <c r="L78" s="104" t="n">
        <f aca="false">SUM(L76:L77)</f>
        <v>347513.025706667</v>
      </c>
      <c r="M78" s="104" t="n">
        <f aca="false">SUM(M76:M77)</f>
        <v>360993.912320001</v>
      </c>
      <c r="N78" s="104" t="n">
        <f aca="false">SUM(N76:N77)</f>
        <v>409362.798933334</v>
      </c>
      <c r="O78" s="104" t="n">
        <f aca="false">SUM(O76:O77)</f>
        <v>422843.685546667</v>
      </c>
      <c r="P78" s="104" t="n">
        <f aca="false">SUM(P76:P77)</f>
        <v>436324.572160001</v>
      </c>
      <c r="Q78" s="104" t="n">
        <f aca="false">SUM(Q76:Q77)</f>
        <v>449805.458773334</v>
      </c>
      <c r="R78" s="104" t="n">
        <f aca="false">SUM(R76:R77)</f>
        <v>463286.345386667</v>
      </c>
      <c r="S78" s="104" t="n">
        <f aca="false">SUM(S76:S77)</f>
        <v>476767.232000001</v>
      </c>
      <c r="T78" s="104" t="n">
        <f aca="false">SUM(T76:T77)</f>
        <v>469765.606400001</v>
      </c>
      <c r="U78" s="104" t="n">
        <f aca="false">SUM(U76:U77)</f>
        <v>462763.980800001</v>
      </c>
      <c r="V78" s="104" t="n">
        <f aca="false">SUM(V76:V77)</f>
        <v>455762.355200001</v>
      </c>
      <c r="W78" s="104" t="n">
        <f aca="false">SUM(W76:W77)</f>
        <v>448760.729600001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471826.7328</v>
      </c>
      <c r="E85" s="143" t="n">
        <f aca="false">E78</f>
        <v>253146.819413333</v>
      </c>
      <c r="F85" s="143" t="n">
        <f aca="false">F78</f>
        <v>266627.706026667</v>
      </c>
      <c r="G85" s="143" t="n">
        <f aca="false">G78</f>
        <v>280108.59264</v>
      </c>
      <c r="H85" s="143" t="n">
        <f aca="false">H78</f>
        <v>293589.479253333</v>
      </c>
      <c r="I85" s="143" t="n">
        <f aca="false">I78</f>
        <v>307070.365866667</v>
      </c>
      <c r="J85" s="143" t="n">
        <f aca="false">J78</f>
        <v>320551.25248</v>
      </c>
      <c r="K85" s="143" t="n">
        <f aca="false">K78</f>
        <v>334032.139093334</v>
      </c>
      <c r="L85" s="143" t="n">
        <f aca="false">L78</f>
        <v>347513.025706667</v>
      </c>
      <c r="M85" s="143" t="n">
        <f aca="false">M78</f>
        <v>360993.912320001</v>
      </c>
      <c r="N85" s="143" t="n">
        <f aca="false">N78</f>
        <v>409362.798933334</v>
      </c>
      <c r="O85" s="143" t="n">
        <f aca="false">O78</f>
        <v>422843.685546667</v>
      </c>
      <c r="P85" s="143" t="n">
        <f aca="false">P78</f>
        <v>436324.572160001</v>
      </c>
      <c r="Q85" s="143" t="n">
        <f aca="false">Q78</f>
        <v>449805.458773334</v>
      </c>
      <c r="R85" s="143" t="n">
        <f aca="false">R78</f>
        <v>463286.345386667</v>
      </c>
      <c r="S85" s="143" t="n">
        <f aca="false">S78</f>
        <v>476767.232000001</v>
      </c>
      <c r="T85" s="143" t="n">
        <f aca="false">T78</f>
        <v>469765.606400001</v>
      </c>
      <c r="U85" s="143" t="n">
        <f aca="false">U78</f>
        <v>462763.980800001</v>
      </c>
      <c r="V85" s="143" t="n">
        <f aca="false">V78</f>
        <v>455762.355200001</v>
      </c>
      <c r="W85" s="143" t="n">
        <f aca="false">W78</f>
        <v>448760.729600001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937615</v>
      </c>
      <c r="E86" s="144" t="n">
        <f aca="false">-E67</f>
        <v>937615</v>
      </c>
      <c r="F86" s="144" t="n">
        <f aca="false">-F67</f>
        <v>937615</v>
      </c>
      <c r="G86" s="144" t="n">
        <f aca="false">-G67</f>
        <v>937615</v>
      </c>
      <c r="H86" s="144" t="n">
        <f aca="false">-H67</f>
        <v>937615</v>
      </c>
      <c r="I86" s="144" t="n">
        <f aca="false">-I67</f>
        <v>937615</v>
      </c>
      <c r="J86" s="144" t="n">
        <f aca="false">-J67</f>
        <v>937615</v>
      </c>
      <c r="K86" s="144" t="n">
        <f aca="false">-K67</f>
        <v>937615</v>
      </c>
      <c r="L86" s="144" t="n">
        <f aca="false">-L67</f>
        <v>937615</v>
      </c>
      <c r="M86" s="144" t="n">
        <f aca="false">-M67</f>
        <v>937615</v>
      </c>
      <c r="N86" s="144" t="n">
        <f aca="false">-N67</f>
        <v>937615</v>
      </c>
      <c r="O86" s="144" t="n">
        <f aca="false">-O67</f>
        <v>937615</v>
      </c>
      <c r="P86" s="144" t="n">
        <f aca="false">-P67</f>
        <v>937615</v>
      </c>
      <c r="Q86" s="144" t="n">
        <f aca="false">-Q67</f>
        <v>937615</v>
      </c>
      <c r="R86" s="144" t="n">
        <f aca="false">-R67</f>
        <v>937615</v>
      </c>
      <c r="S86" s="144" t="n">
        <f aca="false">-S67</f>
        <v>937615</v>
      </c>
      <c r="T86" s="144" t="n">
        <f aca="false">-T67</f>
        <v>937615</v>
      </c>
      <c r="U86" s="144" t="n">
        <f aca="false">-U67</f>
        <v>937615</v>
      </c>
      <c r="V86" s="144" t="n">
        <f aca="false">-V67</f>
        <v>937615</v>
      </c>
      <c r="W86" s="144" t="n">
        <f aca="false">-W67</f>
        <v>937615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1409441.7328</v>
      </c>
      <c r="E87" s="146" t="n">
        <f aca="false">SUM(E85:E86)</f>
        <v>1190761.81941333</v>
      </c>
      <c r="F87" s="146" t="n">
        <f aca="false">SUM(F85:F86)</f>
        <v>1204242.70602667</v>
      </c>
      <c r="G87" s="146" t="n">
        <f aca="false">SUM(G85:G86)</f>
        <v>1217723.59264</v>
      </c>
      <c r="H87" s="146" t="n">
        <f aca="false">SUM(H85:H86)</f>
        <v>1231204.47925333</v>
      </c>
      <c r="I87" s="146" t="n">
        <f aca="false">SUM(I85:I86)</f>
        <v>1244685.36586667</v>
      </c>
      <c r="J87" s="146" t="n">
        <f aca="false">SUM(J85:J86)</f>
        <v>1258166.25248</v>
      </c>
      <c r="K87" s="146" t="n">
        <f aca="false">SUM(K85:K86)</f>
        <v>1271647.13909333</v>
      </c>
      <c r="L87" s="146" t="n">
        <f aca="false">SUM(L85:L86)</f>
        <v>1285128.02570667</v>
      </c>
      <c r="M87" s="146" t="n">
        <f aca="false">SUM(M85:M86)</f>
        <v>1298608.91232</v>
      </c>
      <c r="N87" s="146" t="n">
        <f aca="false">SUM(N85:N86)</f>
        <v>1346977.79893333</v>
      </c>
      <c r="O87" s="146" t="n">
        <f aca="false">SUM(O85:O86)</f>
        <v>1360458.68554667</v>
      </c>
      <c r="P87" s="146" t="n">
        <f aca="false">SUM(P85:P86)</f>
        <v>1373939.57216</v>
      </c>
      <c r="Q87" s="146" t="n">
        <f aca="false">SUM(Q85:Q86)</f>
        <v>1387420.45877333</v>
      </c>
      <c r="R87" s="146" t="n">
        <f aca="false">SUM(R85:R86)</f>
        <v>1400901.34538667</v>
      </c>
      <c r="S87" s="146" t="n">
        <f aca="false">SUM(S85:S86)</f>
        <v>1414382.232</v>
      </c>
      <c r="T87" s="146" t="n">
        <f aca="false">SUM(T85:T86)</f>
        <v>1407380.6064</v>
      </c>
      <c r="U87" s="146" t="n">
        <f aca="false">SUM(U85:U86)</f>
        <v>1400378.9808</v>
      </c>
      <c r="V87" s="146" t="n">
        <f aca="false">SUM(V85:V86)</f>
        <v>1393377.3552</v>
      </c>
      <c r="W87" s="146" t="n">
        <f aca="false">SUM(W85:W86)</f>
        <v>1386375.7296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-18752300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15001840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-1000122.66666667</v>
      </c>
      <c r="F93" s="152" t="n">
        <v>-1000122.66666667</v>
      </c>
      <c r="G93" s="152" t="n">
        <v>-1000122.66666667</v>
      </c>
      <c r="H93" s="152" t="n">
        <v>-1000122.66666667</v>
      </c>
      <c r="I93" s="152" t="n">
        <v>-1000122.66666667</v>
      </c>
      <c r="J93" s="152" t="n">
        <v>-1000122.66666667</v>
      </c>
      <c r="K93" s="152" t="n">
        <v>-1000122.66666667</v>
      </c>
      <c r="L93" s="152" t="n">
        <v>-1000122.66666667</v>
      </c>
      <c r="M93" s="152" t="n">
        <v>-1000122.66666667</v>
      </c>
      <c r="N93" s="152" t="n">
        <v>-1000122.66666667</v>
      </c>
      <c r="O93" s="152" t="n">
        <v>-1000122.66666667</v>
      </c>
      <c r="P93" s="152" t="n">
        <v>-1000122.66666667</v>
      </c>
      <c r="Q93" s="152" t="n">
        <v>-1000122.66666667</v>
      </c>
      <c r="R93" s="152" t="n">
        <v>-1000122.66666667</v>
      </c>
      <c r="S93" s="152" t="n">
        <v>-1000122.66666667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3750460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-424644.05952</v>
      </c>
      <c r="F95" s="153" t="n">
        <f aca="false">-E85*$D$33</f>
        <v>-227832.137472</v>
      </c>
      <c r="G95" s="153" t="n">
        <f aca="false">-F85*$D$33</f>
        <v>-239964.935424</v>
      </c>
      <c r="H95" s="153" t="n">
        <f aca="false">-G85*$D$33</f>
        <v>-252097.733376</v>
      </c>
      <c r="I95" s="153" t="n">
        <f aca="false">-H85*$D$33</f>
        <v>-264230.531328</v>
      </c>
      <c r="J95" s="153" t="n">
        <f aca="false">-I85*$D$33</f>
        <v>-276363.32928</v>
      </c>
      <c r="K95" s="153" t="n">
        <f aca="false">-J85*$D$33</f>
        <v>-288496.127232</v>
      </c>
      <c r="L95" s="153" t="n">
        <f aca="false">-K85*$D$33</f>
        <v>-300628.925184</v>
      </c>
      <c r="M95" s="153" t="n">
        <f aca="false">-L85*$D$33</f>
        <v>-312761.723136</v>
      </c>
      <c r="N95" s="153" t="n">
        <f aca="false">-M85*$D$33</f>
        <v>-324894.521088001</v>
      </c>
      <c r="O95" s="153" t="n">
        <f aca="false">-N85*$D$33</f>
        <v>-368426.51904</v>
      </c>
      <c r="P95" s="153" t="n">
        <f aca="false">-O85*$D$33</f>
        <v>-380559.316992001</v>
      </c>
      <c r="Q95" s="153" t="n">
        <f aca="false">-P85*$D$33</f>
        <v>-392692.114944001</v>
      </c>
      <c r="R95" s="153" t="n">
        <f aca="false">-Q85*$D$33</f>
        <v>-404824.912896001</v>
      </c>
      <c r="S95" s="153" t="n">
        <f aca="false">-R85*$D$33</f>
        <v>-416957.710848001</v>
      </c>
      <c r="T95" s="153" t="n">
        <f aca="false">-S85*$D$33</f>
        <v>-429090.508800001</v>
      </c>
      <c r="U95" s="153" t="n">
        <f aca="false">-T85*$D$33</f>
        <v>-422789.045760001</v>
      </c>
      <c r="V95" s="153" t="n">
        <f aca="false">-U85*$D$33</f>
        <v>-416487.582720001</v>
      </c>
      <c r="W95" s="153" t="n">
        <f aca="false">-V85*$D$33</f>
        <v>-410186.119680001</v>
      </c>
      <c r="X95" s="153" t="n">
        <f aca="false">-W85*$D$33</f>
        <v>-403884.656640001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-937615</v>
      </c>
      <c r="U96" s="156" t="n">
        <v>-937615</v>
      </c>
      <c r="V96" s="156" t="n">
        <v>-937615</v>
      </c>
      <c r="W96" s="156" t="n">
        <v>-937615</v>
      </c>
      <c r="X96" s="157" t="n">
        <f aca="false">-W101-X95</f>
        <v>-773090.279039949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1409441.7328</v>
      </c>
      <c r="E99" s="143" t="n">
        <f aca="false">SUM(E87:E96)</f>
        <v>-234004.906773337</v>
      </c>
      <c r="F99" s="143" t="n">
        <f aca="false">SUM(F87:F96)</f>
        <v>-23712.0981120031</v>
      </c>
      <c r="G99" s="143" t="n">
        <f aca="false">SUM(G87:G96)</f>
        <v>-22364.0094506701</v>
      </c>
      <c r="H99" s="143" t="n">
        <f aca="false">SUM(H87:H96)</f>
        <v>-21015.9207893366</v>
      </c>
      <c r="I99" s="143" t="n">
        <f aca="false">SUM(I87:I96)</f>
        <v>-19667.8321280035</v>
      </c>
      <c r="J99" s="143" t="n">
        <f aca="false">SUM(J87:J96)</f>
        <v>-18319.7434666696</v>
      </c>
      <c r="K99" s="143" t="n">
        <f aca="false">SUM(K87:K96)</f>
        <v>-16971.6548053366</v>
      </c>
      <c r="L99" s="143" t="n">
        <f aca="false">SUM(L87:L96)</f>
        <v>-15623.5661440034</v>
      </c>
      <c r="M99" s="143" t="n">
        <f aca="false">SUM(M87:M96)</f>
        <v>-14275.4774826698</v>
      </c>
      <c r="N99" s="143" t="n">
        <f aca="false">SUM(N87:N96)</f>
        <v>21960.6111786632</v>
      </c>
      <c r="O99" s="143" t="n">
        <f aca="false">SUM(O87:O96)</f>
        <v>-8090.50016000314</v>
      </c>
      <c r="P99" s="143" t="n">
        <f aca="false">SUM(P87:P96)</f>
        <v>-6742.41149866994</v>
      </c>
      <c r="Q99" s="143" t="n">
        <f aca="false">SUM(Q87:Q96)</f>
        <v>-5394.32283733651</v>
      </c>
      <c r="R99" s="143" t="n">
        <f aca="false">SUM(R87:R96)</f>
        <v>-4046.23417600337</v>
      </c>
      <c r="S99" s="143" t="n">
        <f aca="false">SUM(S87:S96)</f>
        <v>-2698.14551466994</v>
      </c>
      <c r="T99" s="143" t="n">
        <f aca="false">SUM(T87:T96)</f>
        <v>40675.0976</v>
      </c>
      <c r="U99" s="143" t="n">
        <f aca="false">SUM(U87:U96)</f>
        <v>39974.9350400002</v>
      </c>
      <c r="V99" s="143" t="n">
        <f aca="false">SUM(V87:V96)</f>
        <v>39274.77248</v>
      </c>
      <c r="W99" s="143" t="n">
        <f aca="false">SUM(W87:W96)</f>
        <v>38574.6099200002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1409441.7328</v>
      </c>
      <c r="F100" s="143" t="n">
        <f aca="false">E101</f>
        <v>1175436.82602666</v>
      </c>
      <c r="G100" s="143" t="n">
        <f aca="false">F101</f>
        <v>1151724.72791466</v>
      </c>
      <c r="H100" s="143" t="n">
        <f aca="false">G101</f>
        <v>1129360.71846399</v>
      </c>
      <c r="I100" s="143" t="n">
        <f aca="false">H101</f>
        <v>1108344.79767465</v>
      </c>
      <c r="J100" s="143" t="n">
        <f aca="false">I101</f>
        <v>1088676.96554665</v>
      </c>
      <c r="K100" s="143" t="n">
        <f aca="false">J101</f>
        <v>1070357.22207998</v>
      </c>
      <c r="L100" s="143" t="n">
        <f aca="false">K101</f>
        <v>1053385.56727464</v>
      </c>
      <c r="M100" s="143" t="n">
        <f aca="false">L101</f>
        <v>1037762.00113064</v>
      </c>
      <c r="N100" s="143" t="n">
        <f aca="false">M101</f>
        <v>1023486.52364797</v>
      </c>
      <c r="O100" s="143" t="n">
        <f aca="false">N101</f>
        <v>1045447.13482663</v>
      </c>
      <c r="P100" s="143" t="n">
        <f aca="false">O101</f>
        <v>1037356.63466663</v>
      </c>
      <c r="Q100" s="143" t="n">
        <f aca="false">P101</f>
        <v>1030614.22316796</v>
      </c>
      <c r="R100" s="143" t="n">
        <f aca="false">Q101</f>
        <v>1025219.90033062</v>
      </c>
      <c r="S100" s="143" t="n">
        <f aca="false">R101</f>
        <v>1021173.66615462</v>
      </c>
      <c r="T100" s="143" t="n">
        <f aca="false">S101</f>
        <v>1018475.52063995</v>
      </c>
      <c r="U100" s="143" t="n">
        <f aca="false">T101</f>
        <v>1059150.61823995</v>
      </c>
      <c r="V100" s="143" t="n">
        <f aca="false">U101</f>
        <v>1099125.55327995</v>
      </c>
      <c r="W100" s="143" t="n">
        <f aca="false">V101</f>
        <v>1138400.32575995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1409441.7328</v>
      </c>
      <c r="E101" s="143" t="n">
        <f aca="false">E99+E100</f>
        <v>1175436.82602666</v>
      </c>
      <c r="F101" s="143" t="n">
        <f aca="false">F99+F100</f>
        <v>1151724.72791466</v>
      </c>
      <c r="G101" s="143" t="n">
        <f aca="false">G99+G100</f>
        <v>1129360.71846399</v>
      </c>
      <c r="H101" s="143" t="n">
        <f aca="false">H99+H100</f>
        <v>1108344.79767465</v>
      </c>
      <c r="I101" s="143" t="n">
        <f aca="false">I99+I100</f>
        <v>1088676.96554665</v>
      </c>
      <c r="J101" s="143" t="n">
        <f aca="false">J99+J100</f>
        <v>1070357.22207998</v>
      </c>
      <c r="K101" s="143" t="n">
        <f aca="false">K99+K100</f>
        <v>1053385.56727464</v>
      </c>
      <c r="L101" s="143" t="n">
        <f aca="false">L99+L100</f>
        <v>1037762.00113064</v>
      </c>
      <c r="M101" s="143" t="n">
        <f aca="false">M99+M100</f>
        <v>1023486.52364797</v>
      </c>
      <c r="N101" s="143" t="n">
        <f aca="false">N99+N100</f>
        <v>1045447.13482663</v>
      </c>
      <c r="O101" s="143" t="n">
        <f aca="false">O99+O100</f>
        <v>1037356.63466663</v>
      </c>
      <c r="P101" s="143" t="n">
        <f aca="false">P99+P100</f>
        <v>1030614.22316796</v>
      </c>
      <c r="Q101" s="143" t="n">
        <f aca="false">Q99+Q100</f>
        <v>1025219.90033062</v>
      </c>
      <c r="R101" s="143" t="n">
        <f aca="false">R99+R100</f>
        <v>1021173.66615462</v>
      </c>
      <c r="S101" s="143" t="n">
        <f aca="false">S99+S100</f>
        <v>1018475.52063995</v>
      </c>
      <c r="T101" s="143" t="n">
        <f aca="false">T99+T100</f>
        <v>1059150.61823995</v>
      </c>
      <c r="U101" s="143" t="n">
        <f aca="false">U99+U100</f>
        <v>1099125.55327995</v>
      </c>
      <c r="V101" s="143" t="n">
        <f aca="false">V99+V100</f>
        <v>1138400.32575995</v>
      </c>
      <c r="W101" s="143" t="n">
        <f aca="false">W99+W100</f>
        <v>1176974.93567995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-3750460</v>
      </c>
      <c r="E104" s="146" t="n">
        <f aca="false">-E95-E96</f>
        <v>424644.05952</v>
      </c>
      <c r="F104" s="146" t="n">
        <f aca="false">-F95-F96</f>
        <v>227832.137472</v>
      </c>
      <c r="G104" s="146" t="n">
        <f aca="false">-G95-G96</f>
        <v>239964.935424</v>
      </c>
      <c r="H104" s="146" t="n">
        <f aca="false">-H95-H96</f>
        <v>252097.733376</v>
      </c>
      <c r="I104" s="146" t="n">
        <f aca="false">-I95-I96</f>
        <v>264230.531328</v>
      </c>
      <c r="J104" s="146" t="n">
        <f aca="false">-J95-J96</f>
        <v>276363.32928</v>
      </c>
      <c r="K104" s="146" t="n">
        <f aca="false">-K95-K96</f>
        <v>288496.127232</v>
      </c>
      <c r="L104" s="146" t="n">
        <f aca="false">-L95-L96</f>
        <v>300628.925184</v>
      </c>
      <c r="M104" s="146" t="n">
        <f aca="false">-M95-M96</f>
        <v>312761.723136</v>
      </c>
      <c r="N104" s="146" t="n">
        <f aca="false">-N95-N96</f>
        <v>324894.521088001</v>
      </c>
      <c r="O104" s="146" t="n">
        <f aca="false">-O95-O96</f>
        <v>368426.51904</v>
      </c>
      <c r="P104" s="146" t="n">
        <f aca="false">-P95-P96</f>
        <v>380559.316992001</v>
      </c>
      <c r="Q104" s="146" t="n">
        <f aca="false">-Q95-Q96</f>
        <v>392692.114944001</v>
      </c>
      <c r="R104" s="146" t="n">
        <f aca="false">-R95-R96</f>
        <v>404824.912896001</v>
      </c>
      <c r="S104" s="146" t="n">
        <f aca="false">-S95-S96</f>
        <v>416957.710848001</v>
      </c>
      <c r="T104" s="146" t="n">
        <f aca="false">-T95-T96</f>
        <v>1366705.5088</v>
      </c>
      <c r="U104" s="146" t="n">
        <f aca="false">-U95-U96</f>
        <v>1360404.04576</v>
      </c>
      <c r="V104" s="146" t="n">
        <f aca="false">-V95-V96</f>
        <v>1354102.58272</v>
      </c>
      <c r="W104" s="146" t="n">
        <f aca="false">-W95-W96</f>
        <v>1347801.11968</v>
      </c>
      <c r="X104" s="146" t="n">
        <f aca="false">-X95-X96</f>
        <v>1176974.93567995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0.0948154556260933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-3278633.2672</v>
      </c>
      <c r="E106" s="146" t="n">
        <f aca="false">E85</f>
        <v>253146.819413333</v>
      </c>
      <c r="F106" s="146" t="n">
        <f aca="false">F85-F96</f>
        <v>266627.706026667</v>
      </c>
      <c r="G106" s="146" t="n">
        <f aca="false">G85-G96</f>
        <v>280108.59264</v>
      </c>
      <c r="H106" s="146" t="n">
        <f aca="false">H85-H96</f>
        <v>293589.479253333</v>
      </c>
      <c r="I106" s="146" t="n">
        <f aca="false">I85-I96</f>
        <v>307070.365866667</v>
      </c>
      <c r="J106" s="146" t="n">
        <f aca="false">J85-J96</f>
        <v>320551.25248</v>
      </c>
      <c r="K106" s="146" t="n">
        <f aca="false">K85-K96</f>
        <v>334032.139093334</v>
      </c>
      <c r="L106" s="146" t="n">
        <f aca="false">L85-L96</f>
        <v>347513.025706667</v>
      </c>
      <c r="M106" s="146" t="n">
        <f aca="false">M85-M96</f>
        <v>360993.912320001</v>
      </c>
      <c r="N106" s="146" t="n">
        <f aca="false">N85-N96</f>
        <v>409362.798933334</v>
      </c>
      <c r="O106" s="146" t="n">
        <f aca="false">O85-O96</f>
        <v>422843.685546667</v>
      </c>
      <c r="P106" s="146" t="n">
        <f aca="false">P85-P96</f>
        <v>436324.572160001</v>
      </c>
      <c r="Q106" s="146" t="n">
        <f aca="false">Q85-Q96</f>
        <v>449805.458773334</v>
      </c>
      <c r="R106" s="146" t="n">
        <f aca="false">R85-R96</f>
        <v>463286.345386667</v>
      </c>
      <c r="S106" s="146" t="n">
        <f aca="false">S85-S96</f>
        <v>476767.232000001</v>
      </c>
      <c r="T106" s="146" t="n">
        <f aca="false">T85-T96</f>
        <v>1407380.6064</v>
      </c>
      <c r="U106" s="146" t="n">
        <f aca="false">U85-U96</f>
        <v>1400378.9808</v>
      </c>
      <c r="V106" s="146" t="n">
        <f aca="false">V85-V96</f>
        <v>1393377.3552</v>
      </c>
      <c r="W106" s="146" t="n">
        <f aca="false">W85-W96</f>
        <v>1386375.7296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0.110097291205262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15001840</v>
      </c>
      <c r="E109" s="143" t="n">
        <f aca="false">D109+E93</f>
        <v>14001717.3333333</v>
      </c>
      <c r="F109" s="143" t="n">
        <f aca="false">E109+F93</f>
        <v>13001594.6666667</v>
      </c>
      <c r="G109" s="143" t="n">
        <f aca="false">F109+G93</f>
        <v>12001472</v>
      </c>
      <c r="H109" s="143" t="n">
        <f aca="false">G109+H93</f>
        <v>11001349.3333333</v>
      </c>
      <c r="I109" s="143" t="n">
        <f aca="false">H109+I93</f>
        <v>10001226.6666667</v>
      </c>
      <c r="J109" s="143" t="n">
        <f aca="false">I109+J93</f>
        <v>9001103.99999998</v>
      </c>
      <c r="K109" s="143" t="n">
        <f aca="false">J109+K93</f>
        <v>8000981.33333331</v>
      </c>
      <c r="L109" s="143" t="n">
        <f aca="false">K109+L93</f>
        <v>7000858.66666664</v>
      </c>
      <c r="M109" s="143" t="n">
        <f aca="false">L109+M93</f>
        <v>6000735.99999997</v>
      </c>
      <c r="N109" s="143" t="n">
        <f aca="false">M109+N93</f>
        <v>5000613.3333333</v>
      </c>
      <c r="O109" s="143" t="n">
        <f aca="false">N109+O93</f>
        <v>4000490.66666663</v>
      </c>
      <c r="P109" s="143" t="n">
        <f aca="false">O109+P93</f>
        <v>3000367.99999996</v>
      </c>
      <c r="Q109" s="143" t="n">
        <f aca="false">P109+Q93</f>
        <v>2000245.33333329</v>
      </c>
      <c r="R109" s="143" t="n">
        <f aca="false">Q109+R93</f>
        <v>1000122.66666662</v>
      </c>
      <c r="S109" s="143" t="n">
        <f aca="false">R109+S93</f>
        <v>-4.72646206617355E-008</v>
      </c>
      <c r="T109" s="143" t="n">
        <f aca="false">S109+T93</f>
        <v>-4.72646206617355E-008</v>
      </c>
      <c r="U109" s="143" t="n">
        <f aca="false">T109+U93</f>
        <v>-4.72646206617355E-008</v>
      </c>
      <c r="V109" s="143" t="n">
        <f aca="false">U109+V93</f>
        <v>-4.72646206617355E-008</v>
      </c>
      <c r="W109" s="143" t="n">
        <f aca="false">V109+W93</f>
        <v>-4.72646206617355E-008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191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156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192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193</v>
      </c>
    </row>
    <row r="8" customFormat="false" ht="22.5" hidden="false" customHeight="true" outlineLevel="0" collapsed="false">
      <c r="B8" s="16" t="s">
        <v>14</v>
      </c>
      <c r="E8" s="46"/>
      <c r="M8" s="1" t="s">
        <v>194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91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22400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-15263500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-29305.92</v>
      </c>
      <c r="E49" s="104" t="n">
        <v>-29305.92</v>
      </c>
      <c r="F49" s="104" t="n">
        <v>-29305.92</v>
      </c>
      <c r="G49" s="104" t="n">
        <v>-29305.92</v>
      </c>
      <c r="H49" s="104" t="n">
        <v>-29305.92</v>
      </c>
      <c r="I49" s="104" t="n">
        <v>-29305.92</v>
      </c>
      <c r="J49" s="104" t="n">
        <v>-29305.92</v>
      </c>
      <c r="K49" s="104" t="n">
        <v>-29305.92</v>
      </c>
      <c r="L49" s="104" t="n">
        <v>-29305.92</v>
      </c>
      <c r="M49" s="104" t="n">
        <v>-29305.92</v>
      </c>
      <c r="N49" s="104" t="n">
        <v>-29305.92</v>
      </c>
      <c r="O49" s="104" t="n">
        <v>-29305.92</v>
      </c>
      <c r="P49" s="104" t="n">
        <v>-29305.92</v>
      </c>
      <c r="Q49" s="104" t="n">
        <v>-29305.92</v>
      </c>
      <c r="R49" s="104" t="n">
        <v>-29305.92</v>
      </c>
      <c r="S49" s="104" t="n">
        <v>-29305.92</v>
      </c>
      <c r="T49" s="104" t="n">
        <v>-29305.92</v>
      </c>
      <c r="U49" s="104" t="n">
        <v>-29305.92</v>
      </c>
      <c r="V49" s="104" t="n">
        <v>-29305.92</v>
      </c>
      <c r="W49" s="104" t="n">
        <v>-29305.92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-231119.4</v>
      </c>
      <c r="E54" s="104" t="n">
        <f aca="false">-(E64+E67+E68+E71+E72+E73+E74)*0.2</f>
        <v>-171328.7936</v>
      </c>
      <c r="F54" s="104" t="n">
        <f aca="false">-(F64+F67+F68+F71+F72+F73+F74)*0.2</f>
        <v>-169578.3872</v>
      </c>
      <c r="G54" s="104" t="n">
        <f aca="false">-(G64+G67+G68+G71+G72+G73+G74)*0.2</f>
        <v>-167827.9808</v>
      </c>
      <c r="H54" s="104" t="n">
        <f aca="false">-(H64+H67+H68+H71+H72+H73+H74)*0.2</f>
        <v>-166077.5744</v>
      </c>
      <c r="I54" s="104" t="n">
        <f aca="false">-(I64+I67+I68+I71+I72+I73+I74)*0.2</f>
        <v>-164327.168</v>
      </c>
      <c r="J54" s="104" t="n">
        <f aca="false">-(J64+J67+J68+J71+J72+J73+J74)*0.2</f>
        <v>-162576.7616</v>
      </c>
      <c r="K54" s="104" t="n">
        <f aca="false">-(K64+K67+K68+K71+K72+K73+K74)*0.2</f>
        <v>-160826.3552</v>
      </c>
      <c r="L54" s="104" t="n">
        <f aca="false">-(L64+L67+L68+L71+L72+L73+L74)*0.2</f>
        <v>-159075.9488</v>
      </c>
      <c r="M54" s="104" t="n">
        <f aca="false">-(M64+M67+M68+M71+M72+M73+M74)*0.2</f>
        <v>-157325.5424</v>
      </c>
      <c r="N54" s="104" t="n">
        <f aca="false">-(N64+N67+N68+N71+N72+N73+N74)*0.2</f>
        <v>-164297.136</v>
      </c>
      <c r="O54" s="104" t="n">
        <f aca="false">-(O64+O67+O68+O71+O72+O73+O74)*0.2</f>
        <v>-162546.7296</v>
      </c>
      <c r="P54" s="104" t="n">
        <f aca="false">-(P64+P67+P68+P71+P72+P73+P74)*0.2</f>
        <v>-160796.3232</v>
      </c>
      <c r="Q54" s="104" t="n">
        <f aca="false">-(Q64+Q67+Q68+Q71+Q72+Q73+Q74)*0.2</f>
        <v>-159045.9168</v>
      </c>
      <c r="R54" s="104" t="n">
        <f aca="false">-(R64+R67+R68+R71+R72+R73+R74)*0.2</f>
        <v>-157295.5104</v>
      </c>
      <c r="S54" s="104" t="n">
        <f aca="false">-(S64+S67+S68+S71+S72+S73+S74)*0.2</f>
        <v>-155545.104</v>
      </c>
      <c r="T54" s="104" t="n">
        <f aca="false">-(T64+T67+T68+T71+T72+T73+T74)*0.2</f>
        <v>-153794.6976</v>
      </c>
      <c r="U54" s="104" t="n">
        <f aca="false">-(U64+U67+U68+U71+U72+U73+U74)*0.2</f>
        <v>-152044.2912</v>
      </c>
      <c r="V54" s="104" t="n">
        <f aca="false">-(V64+V67+V68+V71+V72+V73+V74)*0.2</f>
        <v>-150293.8848</v>
      </c>
      <c r="W54" s="104" t="n">
        <f aca="false">-(W64+W67+W68+W71+W72+W73+W74)*0.2</f>
        <v>-148543.4784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-15263500</v>
      </c>
      <c r="D55" s="109" t="n">
        <f aca="false">SUM(D41:D54)</f>
        <v>1397451.6</v>
      </c>
      <c r="E55" s="109" t="n">
        <f aca="false">SUM(E41:E54)</f>
        <v>1448490.1744</v>
      </c>
      <c r="F55" s="109" t="n">
        <f aca="false">SUM(F41:F54)</f>
        <v>1441488.5488</v>
      </c>
      <c r="G55" s="109" t="n">
        <f aca="false">SUM(G41:G54)</f>
        <v>1434486.9232</v>
      </c>
      <c r="H55" s="109" t="n">
        <f aca="false">SUM(H41:H54)</f>
        <v>1427485.2976</v>
      </c>
      <c r="I55" s="109" t="n">
        <f aca="false">SUM(I41:I54)</f>
        <v>1420483.672</v>
      </c>
      <c r="J55" s="109" t="n">
        <f aca="false">SUM(J41:J54)</f>
        <v>1413482.0464</v>
      </c>
      <c r="K55" s="109" t="n">
        <f aca="false">SUM(K41:K54)</f>
        <v>1406480.4208</v>
      </c>
      <c r="L55" s="109" t="n">
        <f aca="false">SUM(L41:L54)</f>
        <v>1399478.7952</v>
      </c>
      <c r="M55" s="109" t="n">
        <f aca="false">SUM(M41:M54)</f>
        <v>1392477.1696</v>
      </c>
      <c r="N55" s="109" t="n">
        <f aca="false">SUM(N41:N54)</f>
        <v>1420363.544</v>
      </c>
      <c r="O55" s="109" t="n">
        <f aca="false">SUM(O41:O54)</f>
        <v>1413361.9184</v>
      </c>
      <c r="P55" s="109" t="n">
        <f aca="false">SUM(P41:P54)</f>
        <v>1406360.2928</v>
      </c>
      <c r="Q55" s="109" t="n">
        <f aca="false">SUM(Q41:Q54)</f>
        <v>1399358.6672</v>
      </c>
      <c r="R55" s="109" t="n">
        <f aca="false">SUM(R41:R54)</f>
        <v>1392357.0416</v>
      </c>
      <c r="S55" s="109" t="n">
        <f aca="false">SUM(S41:S54)</f>
        <v>1385355.416</v>
      </c>
      <c r="T55" s="109" t="n">
        <f aca="false">SUM(T41:T54)</f>
        <v>1378353.7904</v>
      </c>
      <c r="U55" s="109" t="n">
        <f aca="false">SUM(U41:U54)</f>
        <v>1371352.1648</v>
      </c>
      <c r="V55" s="109" t="n">
        <f aca="false">SUM(V41:V54)</f>
        <v>1364350.5392</v>
      </c>
      <c r="W55" s="109" t="n">
        <f aca="false">SUM(W41:W54)</f>
        <v>1357348.9136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-13866048.4</v>
      </c>
      <c r="E56" s="114" t="n">
        <f aca="false">D56+E55</f>
        <v>-12417558.2256</v>
      </c>
      <c r="F56" s="114" t="n">
        <f aca="false">E56+F55</f>
        <v>-10976069.6768</v>
      </c>
      <c r="G56" s="114" t="n">
        <f aca="false">F56+G55</f>
        <v>-9541582.7536</v>
      </c>
      <c r="H56" s="114" t="n">
        <f aca="false">G56+H55</f>
        <v>-8114097.456</v>
      </c>
      <c r="I56" s="114" t="n">
        <f aca="false">H56+I55</f>
        <v>-6693613.784</v>
      </c>
      <c r="J56" s="114" t="n">
        <f aca="false">I56+J55</f>
        <v>-5280131.7376</v>
      </c>
      <c r="K56" s="114" t="n">
        <f aca="false">J56+K55</f>
        <v>-3873651.3168</v>
      </c>
      <c r="L56" s="114" t="n">
        <f aca="false">K56+L55</f>
        <v>-2474172.5216</v>
      </c>
      <c r="M56" s="114" t="n">
        <f aca="false">L56+M55</f>
        <v>-1081695.352</v>
      </c>
      <c r="N56" s="114" t="n">
        <f aca="false">M56+N55</f>
        <v>338668.192000001</v>
      </c>
      <c r="O56" s="114" t="n">
        <f aca="false">N56+O55</f>
        <v>1752030.1104</v>
      </c>
      <c r="P56" s="114" t="n">
        <f aca="false">O56+P55</f>
        <v>3158390.4032</v>
      </c>
      <c r="Q56" s="114" t="n">
        <f aca="false">P56+Q55</f>
        <v>4557749.0704</v>
      </c>
      <c r="R56" s="114" t="n">
        <f aca="false">Q56+R55</f>
        <v>5950106.112</v>
      </c>
      <c r="S56" s="114" t="n">
        <f aca="false">R56+S55</f>
        <v>7335461.528</v>
      </c>
      <c r="T56" s="114" t="n">
        <f aca="false">S56+T55</f>
        <v>8713815.3184</v>
      </c>
      <c r="U56" s="114" t="n">
        <f aca="false">T56+U55</f>
        <v>10085167.4832</v>
      </c>
      <c r="V56" s="114" t="n">
        <f aca="false">U56+V55</f>
        <v>11449518.0224</v>
      </c>
      <c r="W56" s="114" t="n">
        <f aca="false">V56+W55</f>
        <v>12806866.936</v>
      </c>
      <c r="X56" s="114" t="n">
        <f aca="false">W56+X55</f>
        <v>12806866.936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0.0672985296236331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-763175</v>
      </c>
      <c r="E67" s="127" t="n">
        <f aca="false">$C$44/$E$16</f>
        <v>-763175</v>
      </c>
      <c r="F67" s="127" t="n">
        <f aca="false">$C$44/$E$16</f>
        <v>-763175</v>
      </c>
      <c r="G67" s="127" t="n">
        <f aca="false">$C$44/$E$16</f>
        <v>-763175</v>
      </c>
      <c r="H67" s="127" t="n">
        <f aca="false">$C$44/$E$16</f>
        <v>-763175</v>
      </c>
      <c r="I67" s="127" t="n">
        <f aca="false">$C$44/$E$16</f>
        <v>-763175</v>
      </c>
      <c r="J67" s="127" t="n">
        <f aca="false">$C$44/$E$16</f>
        <v>-763175</v>
      </c>
      <c r="K67" s="127" t="n">
        <f aca="false">$C$44/$E$16</f>
        <v>-763175</v>
      </c>
      <c r="L67" s="127" t="n">
        <f aca="false">$C$44/$E$16</f>
        <v>-763175</v>
      </c>
      <c r="M67" s="127" t="n">
        <f aca="false">$C$44/$E$16</f>
        <v>-763175</v>
      </c>
      <c r="N67" s="127" t="n">
        <f aca="false">$C$44/$E$16</f>
        <v>-763175</v>
      </c>
      <c r="O67" s="127" t="n">
        <f aca="false">$C$44/$E$16</f>
        <v>-763175</v>
      </c>
      <c r="P67" s="127" t="n">
        <f aca="false">$C$44/$E$16</f>
        <v>-763175</v>
      </c>
      <c r="Q67" s="127" t="n">
        <f aca="false">$C$44/$E$16</f>
        <v>-763175</v>
      </c>
      <c r="R67" s="127" t="n">
        <f aca="false">$C$44/$E$16</f>
        <v>-763175</v>
      </c>
      <c r="S67" s="127" t="n">
        <f aca="false">$C$44/$E$16</f>
        <v>-763175</v>
      </c>
      <c r="T67" s="127" t="n">
        <f aca="false">$C$44/$E$16</f>
        <v>-763175</v>
      </c>
      <c r="U67" s="127" t="n">
        <f aca="false">$C$44/$E$16</f>
        <v>-763175</v>
      </c>
      <c r="V67" s="127" t="n">
        <f aca="false">$C$44/$E$16</f>
        <v>-763175</v>
      </c>
      <c r="W67" s="127" t="n">
        <f aca="false">$C$44/$E$16</f>
        <v>-763175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-312596.48</v>
      </c>
      <c r="E70" s="104" t="n">
        <f aca="false">-E109*$D25</f>
        <v>-291756.714666667</v>
      </c>
      <c r="F70" s="104" t="n">
        <f aca="false">-F109*$D25</f>
        <v>-270916.949333333</v>
      </c>
      <c r="G70" s="104" t="n">
        <f aca="false">-G109*$D25</f>
        <v>-250077.184</v>
      </c>
      <c r="H70" s="104" t="n">
        <f aca="false">-H109*$D25</f>
        <v>-229237.418666667</v>
      </c>
      <c r="I70" s="104" t="n">
        <f aca="false">-I109*$D25</f>
        <v>-208397.653333333</v>
      </c>
      <c r="J70" s="104" t="n">
        <f aca="false">-J109*$D25</f>
        <v>-187557.888</v>
      </c>
      <c r="K70" s="104" t="n">
        <f aca="false">-K109*$D25</f>
        <v>-166718.122666667</v>
      </c>
      <c r="L70" s="104" t="n">
        <f aca="false">-L109*$D25</f>
        <v>-145878.357333334</v>
      </c>
      <c r="M70" s="104" t="n">
        <f aca="false">-M109*$D25</f>
        <v>-125038.592</v>
      </c>
      <c r="N70" s="104" t="n">
        <f aca="false">-N109*$D25</f>
        <v>-104198.826666667</v>
      </c>
      <c r="O70" s="104" t="n">
        <f aca="false">-O109*$D25</f>
        <v>-83359.0613333335</v>
      </c>
      <c r="P70" s="104" t="n">
        <f aca="false">-P109*$D25</f>
        <v>-62519.2960000002</v>
      </c>
      <c r="Q70" s="104" t="n">
        <f aca="false">-Q109*$D25</f>
        <v>-41679.5306666669</v>
      </c>
      <c r="R70" s="104" t="n">
        <f aca="false">-R109*$D25</f>
        <v>-20839.7653333335</v>
      </c>
      <c r="S70" s="104" t="n">
        <f aca="false">-S109*$D25</f>
        <v>-2.14576721191406E-010</v>
      </c>
      <c r="T70" s="104" t="n">
        <f aca="false">-T109*$D25</f>
        <v>-2.14576721191406E-010</v>
      </c>
      <c r="U70" s="104" t="n">
        <f aca="false">-U109*$D25</f>
        <v>-2.14576721191406E-010</v>
      </c>
      <c r="V70" s="104" t="n">
        <f aca="false">-V109*$D25</f>
        <v>-2.14576721191406E-010</v>
      </c>
      <c r="W70" s="104" t="n">
        <f aca="false">-W109*$D25</f>
        <v>-2.14576721191406E-010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-29305.92</v>
      </c>
      <c r="E72" s="104" t="n">
        <f aca="false">E49</f>
        <v>-29305.92</v>
      </c>
      <c r="F72" s="104" t="n">
        <f aca="false">F49</f>
        <v>-29305.92</v>
      </c>
      <c r="G72" s="104" t="n">
        <f aca="false">G49</f>
        <v>-29305.92</v>
      </c>
      <c r="H72" s="104" t="n">
        <f aca="false">H49</f>
        <v>-29305.92</v>
      </c>
      <c r="I72" s="104" t="n">
        <f aca="false">I49</f>
        <v>-29305.92</v>
      </c>
      <c r="J72" s="104" t="n">
        <f aca="false">J49</f>
        <v>-29305.92</v>
      </c>
      <c r="K72" s="104" t="n">
        <f aca="false">K49</f>
        <v>-29305.92</v>
      </c>
      <c r="L72" s="104" t="n">
        <f aca="false">L49</f>
        <v>-29305.92</v>
      </c>
      <c r="M72" s="104" t="n">
        <f aca="false">M49</f>
        <v>-29305.92</v>
      </c>
      <c r="N72" s="104" t="n">
        <f aca="false">N49</f>
        <v>-29305.92</v>
      </c>
      <c r="O72" s="104" t="n">
        <f aca="false">O49</f>
        <v>-29305.92</v>
      </c>
      <c r="P72" s="104" t="n">
        <f aca="false">P49</f>
        <v>-29305.92</v>
      </c>
      <c r="Q72" s="104" t="n">
        <f aca="false">Q49</f>
        <v>-29305.92</v>
      </c>
      <c r="R72" s="104" t="n">
        <f aca="false">R49</f>
        <v>-29305.92</v>
      </c>
      <c r="S72" s="104" t="n">
        <f aca="false">S49</f>
        <v>-29305.92</v>
      </c>
      <c r="T72" s="104" t="n">
        <f aca="false">T49</f>
        <v>-29305.92</v>
      </c>
      <c r="U72" s="104" t="n">
        <f aca="false">U49</f>
        <v>-29305.92</v>
      </c>
      <c r="V72" s="104" t="n">
        <f aca="false">V49</f>
        <v>-29305.92</v>
      </c>
      <c r="W72" s="104" t="n">
        <f aca="false">W49</f>
        <v>-29305.92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843000.52</v>
      </c>
      <c r="E76" s="109" t="n">
        <f aca="false">SUM(E64:E75)</f>
        <v>564887.253333333</v>
      </c>
      <c r="F76" s="109" t="n">
        <f aca="false">SUM(F64:F75)</f>
        <v>576974.986666667</v>
      </c>
      <c r="G76" s="109" t="n">
        <f aca="false">SUM(G64:G75)</f>
        <v>589062.72</v>
      </c>
      <c r="H76" s="109" t="n">
        <f aca="false">SUM(H64:H75)</f>
        <v>601150.453333333</v>
      </c>
      <c r="I76" s="109" t="n">
        <f aca="false">SUM(I64:I75)</f>
        <v>613238.186666666</v>
      </c>
      <c r="J76" s="109" t="n">
        <f aca="false">SUM(J64:J75)</f>
        <v>625325.92</v>
      </c>
      <c r="K76" s="109" t="n">
        <f aca="false">SUM(K64:K75)</f>
        <v>637413.653333333</v>
      </c>
      <c r="L76" s="109" t="n">
        <f aca="false">SUM(L64:L75)</f>
        <v>649501.386666666</v>
      </c>
      <c r="M76" s="109" t="n">
        <f aca="false">SUM(M64:M75)</f>
        <v>661589.12</v>
      </c>
      <c r="N76" s="109" t="n">
        <f aca="false">SUM(N64:N75)</f>
        <v>717286.853333333</v>
      </c>
      <c r="O76" s="109" t="n">
        <f aca="false">SUM(O64:O75)</f>
        <v>729374.586666666</v>
      </c>
      <c r="P76" s="109" t="n">
        <f aca="false">SUM(P64:P75)</f>
        <v>741462.32</v>
      </c>
      <c r="Q76" s="109" t="n">
        <f aca="false">SUM(Q64:Q75)</f>
        <v>753550.053333333</v>
      </c>
      <c r="R76" s="109" t="n">
        <f aca="false">SUM(R64:R75)</f>
        <v>765637.786666666</v>
      </c>
      <c r="S76" s="109" t="n">
        <f aca="false">SUM(S64:S75)</f>
        <v>777725.52</v>
      </c>
      <c r="T76" s="109" t="n">
        <f aca="false">SUM(T64:T75)</f>
        <v>768973.488</v>
      </c>
      <c r="U76" s="109" t="n">
        <f aca="false">SUM(U64:U75)</f>
        <v>760221.456</v>
      </c>
      <c r="V76" s="109" t="n">
        <f aca="false">SUM(V64:V75)</f>
        <v>751469.424</v>
      </c>
      <c r="W76" s="109" t="n">
        <f aca="false">SUM(W64:W75)</f>
        <v>742717.392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-168600.104</v>
      </c>
      <c r="E77" s="104" t="n">
        <f aca="false">-E76*0.2</f>
        <v>-112977.450666667</v>
      </c>
      <c r="F77" s="104" t="n">
        <f aca="false">-F76*0.2</f>
        <v>-115394.997333333</v>
      </c>
      <c r="G77" s="104" t="n">
        <f aca="false">-G76*0.2</f>
        <v>-117812.544</v>
      </c>
      <c r="H77" s="104" t="n">
        <f aca="false">-H76*0.2</f>
        <v>-120230.090666667</v>
      </c>
      <c r="I77" s="104" t="n">
        <f aca="false">-I76*0.2</f>
        <v>-122647.637333333</v>
      </c>
      <c r="J77" s="104" t="n">
        <f aca="false">-J76*0.2</f>
        <v>-125065.184</v>
      </c>
      <c r="K77" s="104" t="n">
        <f aca="false">-K76*0.2</f>
        <v>-127482.730666667</v>
      </c>
      <c r="L77" s="104" t="n">
        <f aca="false">-L76*0.2</f>
        <v>-129900.277333333</v>
      </c>
      <c r="M77" s="104" t="n">
        <f aca="false">-M76*0.2</f>
        <v>-132317.824</v>
      </c>
      <c r="N77" s="104" t="n">
        <f aca="false">-N76*0.2</f>
        <v>-143457.370666667</v>
      </c>
      <c r="O77" s="104" t="n">
        <f aca="false">-O76*0.2</f>
        <v>-145874.917333333</v>
      </c>
      <c r="P77" s="104" t="n">
        <f aca="false">-P76*0.2</f>
        <v>-148292.464</v>
      </c>
      <c r="Q77" s="104" t="n">
        <f aca="false">-Q76*0.2</f>
        <v>-150710.010666667</v>
      </c>
      <c r="R77" s="104" t="n">
        <f aca="false">-R76*0.2</f>
        <v>-153127.557333333</v>
      </c>
      <c r="S77" s="104" t="n">
        <f aca="false">-S76*0.2</f>
        <v>-155545.104</v>
      </c>
      <c r="T77" s="104" t="n">
        <f aca="false">-T76*0.2</f>
        <v>-153794.6976</v>
      </c>
      <c r="U77" s="104" t="n">
        <f aca="false">-U76*0.2</f>
        <v>-152044.2912</v>
      </c>
      <c r="V77" s="104" t="n">
        <f aca="false">-V76*0.2</f>
        <v>-150293.8848</v>
      </c>
      <c r="W77" s="104" t="n">
        <f aca="false">-W76*0.2</f>
        <v>-148543.4784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674400.416</v>
      </c>
      <c r="E78" s="104" t="n">
        <f aca="false">SUM(E76:E77)</f>
        <v>451909.802666666</v>
      </c>
      <c r="F78" s="104" t="n">
        <f aca="false">SUM(F76:F77)</f>
        <v>461579.989333333</v>
      </c>
      <c r="G78" s="104" t="n">
        <f aca="false">SUM(G76:G77)</f>
        <v>471250.176</v>
      </c>
      <c r="H78" s="104" t="n">
        <f aca="false">SUM(H76:H77)</f>
        <v>480920.362666667</v>
      </c>
      <c r="I78" s="104" t="n">
        <f aca="false">SUM(I76:I77)</f>
        <v>490590.549333333</v>
      </c>
      <c r="J78" s="104" t="n">
        <f aca="false">SUM(J76:J77)</f>
        <v>500260.736</v>
      </c>
      <c r="K78" s="104" t="n">
        <f aca="false">SUM(K76:K77)</f>
        <v>509930.922666667</v>
      </c>
      <c r="L78" s="104" t="n">
        <f aca="false">SUM(L76:L77)</f>
        <v>519601.109333333</v>
      </c>
      <c r="M78" s="104" t="n">
        <f aca="false">SUM(M76:M77)</f>
        <v>529271.296</v>
      </c>
      <c r="N78" s="104" t="n">
        <f aca="false">SUM(N76:N77)</f>
        <v>573829.482666666</v>
      </c>
      <c r="O78" s="104" t="n">
        <f aca="false">SUM(O76:O77)</f>
        <v>583499.669333333</v>
      </c>
      <c r="P78" s="104" t="n">
        <f aca="false">SUM(P76:P77)</f>
        <v>593169.856</v>
      </c>
      <c r="Q78" s="104" t="n">
        <f aca="false">SUM(Q76:Q77)</f>
        <v>602840.042666666</v>
      </c>
      <c r="R78" s="104" t="n">
        <f aca="false">SUM(R76:R77)</f>
        <v>612510.229333333</v>
      </c>
      <c r="S78" s="104" t="n">
        <f aca="false">SUM(S76:S77)</f>
        <v>622180.416</v>
      </c>
      <c r="T78" s="104" t="n">
        <f aca="false">SUM(T76:T77)</f>
        <v>615178.7904</v>
      </c>
      <c r="U78" s="104" t="n">
        <f aca="false">SUM(U76:U77)</f>
        <v>608177.1648</v>
      </c>
      <c r="V78" s="104" t="n">
        <f aca="false">SUM(V76:V77)</f>
        <v>601175.5392</v>
      </c>
      <c r="W78" s="104" t="n">
        <f aca="false">SUM(W76:W77)</f>
        <v>594173.9136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674400.416</v>
      </c>
      <c r="E85" s="143" t="n">
        <f aca="false">E78</f>
        <v>451909.802666666</v>
      </c>
      <c r="F85" s="143" t="n">
        <f aca="false">F78</f>
        <v>461579.989333333</v>
      </c>
      <c r="G85" s="143" t="n">
        <f aca="false">G78</f>
        <v>471250.176</v>
      </c>
      <c r="H85" s="143" t="n">
        <f aca="false">H78</f>
        <v>480920.362666667</v>
      </c>
      <c r="I85" s="143" t="n">
        <f aca="false">I78</f>
        <v>490590.549333333</v>
      </c>
      <c r="J85" s="143" t="n">
        <f aca="false">J78</f>
        <v>500260.736</v>
      </c>
      <c r="K85" s="143" t="n">
        <f aca="false">K78</f>
        <v>509930.922666667</v>
      </c>
      <c r="L85" s="143" t="n">
        <f aca="false">L78</f>
        <v>519601.109333333</v>
      </c>
      <c r="M85" s="143" t="n">
        <f aca="false">M78</f>
        <v>529271.296</v>
      </c>
      <c r="N85" s="143" t="n">
        <f aca="false">N78</f>
        <v>573829.482666666</v>
      </c>
      <c r="O85" s="143" t="n">
        <f aca="false">O78</f>
        <v>583499.669333333</v>
      </c>
      <c r="P85" s="143" t="n">
        <f aca="false">P78</f>
        <v>593169.856</v>
      </c>
      <c r="Q85" s="143" t="n">
        <f aca="false">Q78</f>
        <v>602840.042666666</v>
      </c>
      <c r="R85" s="143" t="n">
        <f aca="false">R78</f>
        <v>612510.229333333</v>
      </c>
      <c r="S85" s="143" t="n">
        <f aca="false">S78</f>
        <v>622180.416</v>
      </c>
      <c r="T85" s="143" t="n">
        <f aca="false">T78</f>
        <v>615178.7904</v>
      </c>
      <c r="U85" s="143" t="n">
        <f aca="false">U78</f>
        <v>608177.1648</v>
      </c>
      <c r="V85" s="143" t="n">
        <f aca="false">V78</f>
        <v>601175.5392</v>
      </c>
      <c r="W85" s="143" t="n">
        <f aca="false">W78</f>
        <v>594173.9136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763175</v>
      </c>
      <c r="E86" s="144" t="n">
        <f aca="false">-E67</f>
        <v>763175</v>
      </c>
      <c r="F86" s="144" t="n">
        <f aca="false">-F67</f>
        <v>763175</v>
      </c>
      <c r="G86" s="144" t="n">
        <f aca="false">-G67</f>
        <v>763175</v>
      </c>
      <c r="H86" s="144" t="n">
        <f aca="false">-H67</f>
        <v>763175</v>
      </c>
      <c r="I86" s="144" t="n">
        <f aca="false">-I67</f>
        <v>763175</v>
      </c>
      <c r="J86" s="144" t="n">
        <f aca="false">-J67</f>
        <v>763175</v>
      </c>
      <c r="K86" s="144" t="n">
        <f aca="false">-K67</f>
        <v>763175</v>
      </c>
      <c r="L86" s="144" t="n">
        <f aca="false">-L67</f>
        <v>763175</v>
      </c>
      <c r="M86" s="144" t="n">
        <f aca="false">-M67</f>
        <v>763175</v>
      </c>
      <c r="N86" s="144" t="n">
        <f aca="false">-N67</f>
        <v>763175</v>
      </c>
      <c r="O86" s="144" t="n">
        <f aca="false">-O67</f>
        <v>763175</v>
      </c>
      <c r="P86" s="144" t="n">
        <f aca="false">-P67</f>
        <v>763175</v>
      </c>
      <c r="Q86" s="144" t="n">
        <f aca="false">-Q67</f>
        <v>763175</v>
      </c>
      <c r="R86" s="144" t="n">
        <f aca="false">-R67</f>
        <v>763175</v>
      </c>
      <c r="S86" s="144" t="n">
        <f aca="false">-S67</f>
        <v>763175</v>
      </c>
      <c r="T86" s="144" t="n">
        <f aca="false">-T67</f>
        <v>763175</v>
      </c>
      <c r="U86" s="144" t="n">
        <f aca="false">-U67</f>
        <v>763175</v>
      </c>
      <c r="V86" s="144" t="n">
        <f aca="false">-V67</f>
        <v>763175</v>
      </c>
      <c r="W86" s="144" t="n">
        <f aca="false">-W67</f>
        <v>763175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1437575.416</v>
      </c>
      <c r="E87" s="146" t="n">
        <f aca="false">SUM(E85:E86)</f>
        <v>1215084.80266667</v>
      </c>
      <c r="F87" s="146" t="n">
        <f aca="false">SUM(F85:F86)</f>
        <v>1224754.98933333</v>
      </c>
      <c r="G87" s="146" t="n">
        <f aca="false">SUM(G85:G86)</f>
        <v>1234425.176</v>
      </c>
      <c r="H87" s="146" t="n">
        <f aca="false">SUM(H85:H86)</f>
        <v>1244095.36266667</v>
      </c>
      <c r="I87" s="146" t="n">
        <f aca="false">SUM(I85:I86)</f>
        <v>1253765.54933333</v>
      </c>
      <c r="J87" s="146" t="n">
        <f aca="false">SUM(J85:J86)</f>
        <v>1263435.736</v>
      </c>
      <c r="K87" s="146" t="n">
        <f aca="false">SUM(K85:K86)</f>
        <v>1273105.92266667</v>
      </c>
      <c r="L87" s="146" t="n">
        <f aca="false">SUM(L85:L86)</f>
        <v>1282776.10933333</v>
      </c>
      <c r="M87" s="146" t="n">
        <f aca="false">SUM(M85:M86)</f>
        <v>1292446.296</v>
      </c>
      <c r="N87" s="146" t="n">
        <f aca="false">SUM(N85:N86)</f>
        <v>1337004.48266667</v>
      </c>
      <c r="O87" s="146" t="n">
        <f aca="false">SUM(O85:O86)</f>
        <v>1346674.66933333</v>
      </c>
      <c r="P87" s="146" t="n">
        <f aca="false">SUM(P85:P86)</f>
        <v>1356344.856</v>
      </c>
      <c r="Q87" s="146" t="n">
        <f aca="false">SUM(Q85:Q86)</f>
        <v>1366015.04266667</v>
      </c>
      <c r="R87" s="146" t="n">
        <f aca="false">SUM(R85:R86)</f>
        <v>1375685.22933333</v>
      </c>
      <c r="S87" s="146" t="n">
        <f aca="false">SUM(S85:S86)</f>
        <v>1385355.416</v>
      </c>
      <c r="T87" s="146" t="n">
        <f aca="false">SUM(T85:T86)</f>
        <v>1378353.7904</v>
      </c>
      <c r="U87" s="146" t="n">
        <f aca="false">SUM(U85:U86)</f>
        <v>1371352.1648</v>
      </c>
      <c r="V87" s="146" t="n">
        <f aca="false">SUM(V85:V86)</f>
        <v>1364350.5392</v>
      </c>
      <c r="W87" s="146" t="n">
        <f aca="false">SUM(W85:W86)</f>
        <v>1357348.9136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-15263500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12210800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-814053.333333333</v>
      </c>
      <c r="F93" s="152" t="n">
        <v>-814053.333333333</v>
      </c>
      <c r="G93" s="152" t="n">
        <v>-814053.333333333</v>
      </c>
      <c r="H93" s="152" t="n">
        <v>-814053.333333333</v>
      </c>
      <c r="I93" s="152" t="n">
        <v>-814053.333333333</v>
      </c>
      <c r="J93" s="152" t="n">
        <v>-814053.333333333</v>
      </c>
      <c r="K93" s="152" t="n">
        <v>-814053.333333333</v>
      </c>
      <c r="L93" s="152" t="n">
        <v>-814053.333333333</v>
      </c>
      <c r="M93" s="152" t="n">
        <v>-814053.333333333</v>
      </c>
      <c r="N93" s="152" t="n">
        <v>-814053.333333333</v>
      </c>
      <c r="O93" s="152" t="n">
        <v>-814053.333333333</v>
      </c>
      <c r="P93" s="152" t="n">
        <v>-814053.333333333</v>
      </c>
      <c r="Q93" s="152" t="n">
        <v>-814053.333333333</v>
      </c>
      <c r="R93" s="152" t="n">
        <v>-814053.333333333</v>
      </c>
      <c r="S93" s="152" t="n">
        <v>-814053.333333333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3052700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-606960.3744</v>
      </c>
      <c r="F95" s="153" t="n">
        <f aca="false">-E85*$D$33</f>
        <v>-406718.8224</v>
      </c>
      <c r="G95" s="153" t="n">
        <f aca="false">-F85*$D$33</f>
        <v>-415421.9904</v>
      </c>
      <c r="H95" s="153" t="n">
        <f aca="false">-G85*$D$33</f>
        <v>-424125.1584</v>
      </c>
      <c r="I95" s="153" t="n">
        <f aca="false">-H85*$D$33</f>
        <v>-432828.3264</v>
      </c>
      <c r="J95" s="153" t="n">
        <f aca="false">-I85*$D$33</f>
        <v>-441531.4944</v>
      </c>
      <c r="K95" s="153" t="n">
        <f aca="false">-J85*$D$33</f>
        <v>-450234.6624</v>
      </c>
      <c r="L95" s="153" t="n">
        <f aca="false">-K85*$D$33</f>
        <v>-458937.8304</v>
      </c>
      <c r="M95" s="153" t="n">
        <f aca="false">-L85*$D$33</f>
        <v>-467640.9984</v>
      </c>
      <c r="N95" s="153" t="n">
        <f aca="false">-M85*$D$33</f>
        <v>-476344.1664</v>
      </c>
      <c r="O95" s="153" t="n">
        <f aca="false">-N85*$D$33</f>
        <v>-516446.5344</v>
      </c>
      <c r="P95" s="153" t="n">
        <f aca="false">-O85*$D$33</f>
        <v>-525149.7024</v>
      </c>
      <c r="Q95" s="153" t="n">
        <f aca="false">-P85*$D$33</f>
        <v>-533852.8704</v>
      </c>
      <c r="R95" s="153" t="n">
        <f aca="false">-Q85*$D$33</f>
        <v>-542556.0384</v>
      </c>
      <c r="S95" s="153" t="n">
        <f aca="false">-R85*$D$33</f>
        <v>-551259.2064</v>
      </c>
      <c r="T95" s="153" t="n">
        <f aca="false">-S85*$D$33</f>
        <v>-559962.3744</v>
      </c>
      <c r="U95" s="153" t="n">
        <f aca="false">-T85*$D$33</f>
        <v>-553660.91136</v>
      </c>
      <c r="V95" s="153" t="n">
        <f aca="false">-U85*$D$33</f>
        <v>-547359.44832</v>
      </c>
      <c r="W95" s="153" t="n">
        <f aca="false">-V85*$D$33</f>
        <v>-541057.98528</v>
      </c>
      <c r="X95" s="153" t="n">
        <f aca="false">-W85*$D$33</f>
        <v>-534756.52224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-763175</v>
      </c>
      <c r="U96" s="156" t="n">
        <v>-763175</v>
      </c>
      <c r="V96" s="156" t="n">
        <v>-763175</v>
      </c>
      <c r="W96" s="156" t="n">
        <v>-763175</v>
      </c>
      <c r="X96" s="157" t="n">
        <f aca="false">-W101-X95</f>
        <v>-1109645.0464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1437575.416</v>
      </c>
      <c r="E99" s="143" t="n">
        <f aca="false">SUM(E87:E96)</f>
        <v>-205928.905066667</v>
      </c>
      <c r="F99" s="143" t="n">
        <f aca="false">SUM(F87:F96)</f>
        <v>3982.83360000059</v>
      </c>
      <c r="G99" s="143" t="n">
        <f aca="false">SUM(G87:G96)</f>
        <v>4949.85226666695</v>
      </c>
      <c r="H99" s="143" t="n">
        <f aca="false">SUM(H87:H96)</f>
        <v>5916.87093333347</v>
      </c>
      <c r="I99" s="143" t="n">
        <f aca="false">SUM(I87:I96)</f>
        <v>6883.88960000017</v>
      </c>
      <c r="J99" s="143" t="n">
        <f aca="false">SUM(J87:J96)</f>
        <v>7850.90826666728</v>
      </c>
      <c r="K99" s="143" t="n">
        <f aca="false">SUM(K87:K96)</f>
        <v>8817.92693333363</v>
      </c>
      <c r="L99" s="143" t="n">
        <f aca="false">SUM(L87:L96)</f>
        <v>9784.94560000015</v>
      </c>
      <c r="M99" s="143" t="n">
        <f aca="false">SUM(M87:M96)</f>
        <v>10751.964266667</v>
      </c>
      <c r="N99" s="143" t="n">
        <f aca="false">SUM(N87:N96)</f>
        <v>46606.9829333335</v>
      </c>
      <c r="O99" s="143" t="n">
        <f aca="false">SUM(O87:O96)</f>
        <v>16174.8016000004</v>
      </c>
      <c r="P99" s="143" t="n">
        <f aca="false">SUM(P87:P96)</f>
        <v>17141.8202666668</v>
      </c>
      <c r="Q99" s="143" t="n">
        <f aca="false">SUM(Q87:Q96)</f>
        <v>18108.8389333336</v>
      </c>
      <c r="R99" s="143" t="n">
        <f aca="false">SUM(R87:R96)</f>
        <v>19075.8576000001</v>
      </c>
      <c r="S99" s="143" t="n">
        <f aca="false">SUM(S87:S96)</f>
        <v>20042.876266667</v>
      </c>
      <c r="T99" s="143" t="n">
        <f aca="false">SUM(T87:T96)</f>
        <v>55216.4159999999</v>
      </c>
      <c r="U99" s="143" t="n">
        <f aca="false">SUM(U87:U96)</f>
        <v>54516.25344</v>
      </c>
      <c r="V99" s="143" t="n">
        <f aca="false">SUM(V87:V96)</f>
        <v>53816.0908799998</v>
      </c>
      <c r="W99" s="143" t="n">
        <f aca="false">SUM(W87:W96)</f>
        <v>53115.92832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1437575.416</v>
      </c>
      <c r="F100" s="143" t="n">
        <f aca="false">E101</f>
        <v>1231646.51093333</v>
      </c>
      <c r="G100" s="143" t="n">
        <f aca="false">F101</f>
        <v>1235629.34453333</v>
      </c>
      <c r="H100" s="143" t="n">
        <f aca="false">G101</f>
        <v>1240579.1968</v>
      </c>
      <c r="I100" s="143" t="n">
        <f aca="false">H101</f>
        <v>1246496.06773333</v>
      </c>
      <c r="J100" s="143" t="n">
        <f aca="false">I101</f>
        <v>1253379.95733333</v>
      </c>
      <c r="K100" s="143" t="n">
        <f aca="false">J101</f>
        <v>1261230.8656</v>
      </c>
      <c r="L100" s="143" t="n">
        <f aca="false">K101</f>
        <v>1270048.79253333</v>
      </c>
      <c r="M100" s="143" t="n">
        <f aca="false">L101</f>
        <v>1279833.73813334</v>
      </c>
      <c r="N100" s="143" t="n">
        <f aca="false">M101</f>
        <v>1290585.7024</v>
      </c>
      <c r="O100" s="143" t="n">
        <f aca="false">N101</f>
        <v>1337192.68533334</v>
      </c>
      <c r="P100" s="143" t="n">
        <f aca="false">O101</f>
        <v>1353367.48693334</v>
      </c>
      <c r="Q100" s="143" t="n">
        <f aca="false">P101</f>
        <v>1370509.3072</v>
      </c>
      <c r="R100" s="143" t="n">
        <f aca="false">Q101</f>
        <v>1388618.14613334</v>
      </c>
      <c r="S100" s="143" t="n">
        <f aca="false">R101</f>
        <v>1407694.00373334</v>
      </c>
      <c r="T100" s="143" t="n">
        <f aca="false">S101</f>
        <v>1427736.88</v>
      </c>
      <c r="U100" s="143" t="n">
        <f aca="false">T101</f>
        <v>1482953.296</v>
      </c>
      <c r="V100" s="143" t="n">
        <f aca="false">U101</f>
        <v>1537469.54944</v>
      </c>
      <c r="W100" s="143" t="n">
        <f aca="false">V101</f>
        <v>1591285.64032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1437575.416</v>
      </c>
      <c r="E101" s="143" t="n">
        <f aca="false">E99+E100</f>
        <v>1231646.51093333</v>
      </c>
      <c r="F101" s="143" t="n">
        <f aca="false">F99+F100</f>
        <v>1235629.34453333</v>
      </c>
      <c r="G101" s="143" t="n">
        <f aca="false">G99+G100</f>
        <v>1240579.1968</v>
      </c>
      <c r="H101" s="143" t="n">
        <f aca="false">H99+H100</f>
        <v>1246496.06773333</v>
      </c>
      <c r="I101" s="143" t="n">
        <f aca="false">I99+I100</f>
        <v>1253379.95733333</v>
      </c>
      <c r="J101" s="143" t="n">
        <f aca="false">J99+J100</f>
        <v>1261230.8656</v>
      </c>
      <c r="K101" s="143" t="n">
        <f aca="false">K99+K100</f>
        <v>1270048.79253333</v>
      </c>
      <c r="L101" s="143" t="n">
        <f aca="false">L99+L100</f>
        <v>1279833.73813334</v>
      </c>
      <c r="M101" s="143" t="n">
        <f aca="false">M99+M100</f>
        <v>1290585.7024</v>
      </c>
      <c r="N101" s="143" t="n">
        <f aca="false">N99+N100</f>
        <v>1337192.68533334</v>
      </c>
      <c r="O101" s="143" t="n">
        <f aca="false">O99+O100</f>
        <v>1353367.48693334</v>
      </c>
      <c r="P101" s="143" t="n">
        <f aca="false">P99+P100</f>
        <v>1370509.3072</v>
      </c>
      <c r="Q101" s="143" t="n">
        <f aca="false">Q99+Q100</f>
        <v>1388618.14613334</v>
      </c>
      <c r="R101" s="143" t="n">
        <f aca="false">R99+R100</f>
        <v>1407694.00373334</v>
      </c>
      <c r="S101" s="143" t="n">
        <f aca="false">S99+S100</f>
        <v>1427736.88</v>
      </c>
      <c r="T101" s="143" t="n">
        <f aca="false">T99+T100</f>
        <v>1482953.296</v>
      </c>
      <c r="U101" s="143" t="n">
        <f aca="false">U99+U100</f>
        <v>1537469.54944</v>
      </c>
      <c r="V101" s="143" t="n">
        <f aca="false">V99+V100</f>
        <v>1591285.64032</v>
      </c>
      <c r="W101" s="143" t="n">
        <f aca="false">W99+W100</f>
        <v>1644401.56864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-3052700</v>
      </c>
      <c r="E104" s="146" t="n">
        <f aca="false">-E95-E96</f>
        <v>606960.3744</v>
      </c>
      <c r="F104" s="146" t="n">
        <f aca="false">-F95-F96</f>
        <v>406718.8224</v>
      </c>
      <c r="G104" s="146" t="n">
        <f aca="false">-G95-G96</f>
        <v>415421.9904</v>
      </c>
      <c r="H104" s="146" t="n">
        <f aca="false">-H95-H96</f>
        <v>424125.1584</v>
      </c>
      <c r="I104" s="146" t="n">
        <f aca="false">-I95-I96</f>
        <v>432828.3264</v>
      </c>
      <c r="J104" s="146" t="n">
        <f aca="false">-J95-J96</f>
        <v>441531.4944</v>
      </c>
      <c r="K104" s="146" t="n">
        <f aca="false">-K95-K96</f>
        <v>450234.6624</v>
      </c>
      <c r="L104" s="146" t="n">
        <f aca="false">-L95-L96</f>
        <v>458937.8304</v>
      </c>
      <c r="M104" s="146" t="n">
        <f aca="false">-M95-M96</f>
        <v>467640.9984</v>
      </c>
      <c r="N104" s="146" t="n">
        <f aca="false">-N95-N96</f>
        <v>476344.1664</v>
      </c>
      <c r="O104" s="146" t="n">
        <f aca="false">-O95-O96</f>
        <v>516446.5344</v>
      </c>
      <c r="P104" s="146" t="n">
        <f aca="false">-P95-P96</f>
        <v>525149.7024</v>
      </c>
      <c r="Q104" s="146" t="n">
        <f aca="false">-Q95-Q96</f>
        <v>533852.8704</v>
      </c>
      <c r="R104" s="146" t="n">
        <f aca="false">-R95-R96</f>
        <v>542556.0384</v>
      </c>
      <c r="S104" s="146" t="n">
        <f aca="false">-S95-S96</f>
        <v>551259.2064</v>
      </c>
      <c r="T104" s="146" t="n">
        <f aca="false">-T95-T96</f>
        <v>1323137.3744</v>
      </c>
      <c r="U104" s="146" t="n">
        <f aca="false">-U95-U96</f>
        <v>1316835.91136</v>
      </c>
      <c r="V104" s="146" t="n">
        <f aca="false">-V95-V96</f>
        <v>1310534.44832</v>
      </c>
      <c r="W104" s="146" t="n">
        <f aca="false">-W95-W96</f>
        <v>1304232.98528</v>
      </c>
      <c r="X104" s="146" t="n">
        <f aca="false">-X95-X96</f>
        <v>1644401.56864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0.163427519644931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-2378299.584</v>
      </c>
      <c r="E106" s="146" t="n">
        <f aca="false">E85</f>
        <v>451909.802666666</v>
      </c>
      <c r="F106" s="146" t="n">
        <f aca="false">F85-F96</f>
        <v>461579.989333333</v>
      </c>
      <c r="G106" s="146" t="n">
        <f aca="false">G85-G96</f>
        <v>471250.176</v>
      </c>
      <c r="H106" s="146" t="n">
        <f aca="false">H85-H96</f>
        <v>480920.362666667</v>
      </c>
      <c r="I106" s="146" t="n">
        <f aca="false">I85-I96</f>
        <v>490590.549333333</v>
      </c>
      <c r="J106" s="146" t="n">
        <f aca="false">J85-J96</f>
        <v>500260.736</v>
      </c>
      <c r="K106" s="146" t="n">
        <f aca="false">K85-K96</f>
        <v>509930.922666667</v>
      </c>
      <c r="L106" s="146" t="n">
        <f aca="false">L85-L96</f>
        <v>519601.109333333</v>
      </c>
      <c r="M106" s="146" t="n">
        <f aca="false">M85-M96</f>
        <v>529271.296</v>
      </c>
      <c r="N106" s="146" t="n">
        <f aca="false">N85-N96</f>
        <v>573829.482666666</v>
      </c>
      <c r="O106" s="146" t="n">
        <f aca="false">O85-O96</f>
        <v>583499.669333333</v>
      </c>
      <c r="P106" s="146" t="n">
        <f aca="false">P85-P96</f>
        <v>593169.856</v>
      </c>
      <c r="Q106" s="146" t="n">
        <f aca="false">Q85-Q96</f>
        <v>602840.042666666</v>
      </c>
      <c r="R106" s="146" t="n">
        <f aca="false">R85-R96</f>
        <v>612510.229333333</v>
      </c>
      <c r="S106" s="146" t="n">
        <f aca="false">S85-S96</f>
        <v>622180.416</v>
      </c>
      <c r="T106" s="146" t="n">
        <f aca="false">T85-T96</f>
        <v>1378353.7904</v>
      </c>
      <c r="U106" s="146" t="n">
        <f aca="false">U85-U96</f>
        <v>1371352.1648</v>
      </c>
      <c r="V106" s="146" t="n">
        <f aca="false">V85-V96</f>
        <v>1364350.5392</v>
      </c>
      <c r="W106" s="146" t="n">
        <f aca="false">W85-W96</f>
        <v>1357348.9136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0.213064244464301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12210800</v>
      </c>
      <c r="E109" s="143" t="n">
        <f aca="false">D109+E93</f>
        <v>11396746.6666667</v>
      </c>
      <c r="F109" s="143" t="n">
        <f aca="false">E109+F93</f>
        <v>10582693.3333333</v>
      </c>
      <c r="G109" s="143" t="n">
        <f aca="false">F109+G93</f>
        <v>9768640</v>
      </c>
      <c r="H109" s="143" t="n">
        <f aca="false">G109+H93</f>
        <v>8954586.66666667</v>
      </c>
      <c r="I109" s="143" t="n">
        <f aca="false">H109+I93</f>
        <v>8140533.33333334</v>
      </c>
      <c r="J109" s="143" t="n">
        <f aca="false">I109+J93</f>
        <v>7326480.00000001</v>
      </c>
      <c r="K109" s="143" t="n">
        <f aca="false">J109+K93</f>
        <v>6512426.66666667</v>
      </c>
      <c r="L109" s="143" t="n">
        <f aca="false">K109+L93</f>
        <v>5698373.33333334</v>
      </c>
      <c r="M109" s="143" t="n">
        <f aca="false">L109+M93</f>
        <v>4884320.00000001</v>
      </c>
      <c r="N109" s="143" t="n">
        <f aca="false">M109+N93</f>
        <v>4070266.66666667</v>
      </c>
      <c r="O109" s="143" t="n">
        <f aca="false">N109+O93</f>
        <v>3256213.33333334</v>
      </c>
      <c r="P109" s="143" t="n">
        <f aca="false">O109+P93</f>
        <v>2442160.00000001</v>
      </c>
      <c r="Q109" s="143" t="n">
        <f aca="false">P109+Q93</f>
        <v>1628106.66666667</v>
      </c>
      <c r="R109" s="143" t="n">
        <f aca="false">Q109+R93</f>
        <v>814053.333333341</v>
      </c>
      <c r="S109" s="143" t="n">
        <f aca="false">R109+S93</f>
        <v>8.38190317153931E-009</v>
      </c>
      <c r="T109" s="143" t="n">
        <f aca="false">S109+T93</f>
        <v>8.38190317153931E-009</v>
      </c>
      <c r="U109" s="143" t="n">
        <f aca="false">T109+U93</f>
        <v>8.38190317153931E-009</v>
      </c>
      <c r="V109" s="143" t="n">
        <f aca="false">U109+V93</f>
        <v>8.38190317153931E-009</v>
      </c>
      <c r="W109" s="143" t="n">
        <f aca="false">V109+W93</f>
        <v>8.38190317153931E-009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39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195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105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106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108</v>
      </c>
    </row>
    <row r="8" customFormat="false" ht="22.5" hidden="false" customHeight="true" outlineLevel="0" collapsed="false">
      <c r="B8" s="16" t="s">
        <v>14</v>
      </c>
      <c r="E8" s="46"/>
      <c r="M8" s="1" t="s">
        <v>109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196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35000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-23113300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-45790.5</v>
      </c>
      <c r="E49" s="104" t="n">
        <v>-45790.5</v>
      </c>
      <c r="F49" s="104" t="n">
        <v>-45790.5</v>
      </c>
      <c r="G49" s="104" t="n">
        <v>-45790.5</v>
      </c>
      <c r="H49" s="104" t="n">
        <v>-45790.5</v>
      </c>
      <c r="I49" s="104" t="n">
        <v>-45790.5</v>
      </c>
      <c r="J49" s="104" t="n">
        <v>-45790.5</v>
      </c>
      <c r="K49" s="104" t="n">
        <v>-45790.5</v>
      </c>
      <c r="L49" s="104" t="n">
        <v>-45790.5</v>
      </c>
      <c r="M49" s="104" t="n">
        <v>-45790.5</v>
      </c>
      <c r="N49" s="104" t="n">
        <v>-45790.5</v>
      </c>
      <c r="O49" s="104" t="n">
        <v>-45790.5</v>
      </c>
      <c r="P49" s="104" t="n">
        <v>-45790.5</v>
      </c>
      <c r="Q49" s="104" t="n">
        <v>-45790.5</v>
      </c>
      <c r="R49" s="104" t="n">
        <v>-45790.5</v>
      </c>
      <c r="S49" s="104" t="n">
        <v>-45790.5</v>
      </c>
      <c r="T49" s="104" t="n">
        <v>-45790.5</v>
      </c>
      <c r="U49" s="104" t="n">
        <v>-45790.5</v>
      </c>
      <c r="V49" s="104" t="n">
        <v>-45790.5</v>
      </c>
      <c r="W49" s="104" t="n">
        <v>-45790.5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-149324.484</v>
      </c>
      <c r="E54" s="104" t="n">
        <f aca="false">-(E64+E67+E68+E71+E72+E73+E74)*0.2</f>
        <v>-89533.8776</v>
      </c>
      <c r="F54" s="104" t="n">
        <f aca="false">-(F64+F67+F68+F71+F72+F73+F74)*0.2</f>
        <v>-87783.4712</v>
      </c>
      <c r="G54" s="104" t="n">
        <f aca="false">-(G64+G67+G68+G71+G72+G73+G74)*0.2</f>
        <v>-86033.0648</v>
      </c>
      <c r="H54" s="104" t="n">
        <f aca="false">-(H64+H67+H68+H71+H72+H73+H74)*0.2</f>
        <v>-84282.6584</v>
      </c>
      <c r="I54" s="104" t="n">
        <f aca="false">-(I64+I67+I68+I71+I72+I73+I74)*0.2</f>
        <v>-82532.252</v>
      </c>
      <c r="J54" s="104" t="n">
        <f aca="false">-(J64+J67+J68+J71+J72+J73+J74)*0.2</f>
        <v>-80781.8456</v>
      </c>
      <c r="K54" s="104" t="n">
        <f aca="false">-(K64+K67+K68+K71+K72+K73+K74)*0.2</f>
        <v>-79031.4392</v>
      </c>
      <c r="L54" s="104" t="n">
        <f aca="false">-(L64+L67+L68+L71+L72+L73+L74)*0.2</f>
        <v>-77281.0328</v>
      </c>
      <c r="M54" s="104" t="n">
        <f aca="false">-(M64+M67+M68+M71+M72+M73+M74)*0.2</f>
        <v>-75530.6264</v>
      </c>
      <c r="N54" s="104" t="n">
        <f aca="false">-(N64+N67+N68+N71+N72+N73+N74)*0.2</f>
        <v>-82502.22</v>
      </c>
      <c r="O54" s="104" t="n">
        <f aca="false">-(O64+O67+O68+O71+O72+O73+O74)*0.2</f>
        <v>-80751.8136</v>
      </c>
      <c r="P54" s="104" t="n">
        <f aca="false">-(P64+P67+P68+P71+P72+P73+P74)*0.2</f>
        <v>-79001.4072</v>
      </c>
      <c r="Q54" s="104" t="n">
        <f aca="false">-(Q64+Q67+Q68+Q71+Q72+Q73+Q74)*0.2</f>
        <v>-77251.0008</v>
      </c>
      <c r="R54" s="104" t="n">
        <f aca="false">-(R64+R67+R68+R71+R72+R73+R74)*0.2</f>
        <v>-75500.5944</v>
      </c>
      <c r="S54" s="104" t="n">
        <f aca="false">-(S64+S67+S68+S71+S72+S73+S74)*0.2</f>
        <v>-73750.188</v>
      </c>
      <c r="T54" s="104" t="n">
        <f aca="false">-(T64+T67+T68+T71+T72+T73+T74)*0.2</f>
        <v>-71999.7816</v>
      </c>
      <c r="U54" s="104" t="n">
        <f aca="false">-(U64+U67+U68+U71+U72+U73+U74)*0.2</f>
        <v>-70249.3752</v>
      </c>
      <c r="V54" s="104" t="n">
        <f aca="false">-(V64+V67+V68+V71+V72+V73+V74)*0.2</f>
        <v>-68498.9688</v>
      </c>
      <c r="W54" s="104" t="n">
        <f aca="false">-(W64+W67+W68+W71+W72+W73+W74)*0.2</f>
        <v>-66748.5624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-23113300</v>
      </c>
      <c r="D55" s="109" t="n">
        <f aca="false">SUM(D41:D54)</f>
        <v>1462761.936</v>
      </c>
      <c r="E55" s="109" t="n">
        <f aca="false">SUM(E41:E54)</f>
        <v>1513800.5104</v>
      </c>
      <c r="F55" s="109" t="n">
        <f aca="false">SUM(F41:F54)</f>
        <v>1506798.8848</v>
      </c>
      <c r="G55" s="109" t="n">
        <f aca="false">SUM(G41:G54)</f>
        <v>1499797.2592</v>
      </c>
      <c r="H55" s="109" t="n">
        <f aca="false">SUM(H41:H54)</f>
        <v>1492795.6336</v>
      </c>
      <c r="I55" s="109" t="n">
        <f aca="false">SUM(I41:I54)</f>
        <v>1485794.008</v>
      </c>
      <c r="J55" s="109" t="n">
        <f aca="false">SUM(J41:J54)</f>
        <v>1478792.3824</v>
      </c>
      <c r="K55" s="109" t="n">
        <f aca="false">SUM(K41:K54)</f>
        <v>1471790.7568</v>
      </c>
      <c r="L55" s="109" t="n">
        <f aca="false">SUM(L41:L54)</f>
        <v>1464789.1312</v>
      </c>
      <c r="M55" s="109" t="n">
        <f aca="false">SUM(M41:M54)</f>
        <v>1457787.5056</v>
      </c>
      <c r="N55" s="109" t="n">
        <f aca="false">SUM(N41:N54)</f>
        <v>1485673.88</v>
      </c>
      <c r="O55" s="109" t="n">
        <f aca="false">SUM(O41:O54)</f>
        <v>1478672.2544</v>
      </c>
      <c r="P55" s="109" t="n">
        <f aca="false">SUM(P41:P54)</f>
        <v>1471670.6288</v>
      </c>
      <c r="Q55" s="109" t="n">
        <f aca="false">SUM(Q41:Q54)</f>
        <v>1464669.0032</v>
      </c>
      <c r="R55" s="109" t="n">
        <f aca="false">SUM(R41:R54)</f>
        <v>1457667.3776</v>
      </c>
      <c r="S55" s="109" t="n">
        <f aca="false">SUM(S41:S54)</f>
        <v>1450665.752</v>
      </c>
      <c r="T55" s="109" t="n">
        <f aca="false">SUM(T41:T54)</f>
        <v>1443664.1264</v>
      </c>
      <c r="U55" s="109" t="n">
        <f aca="false">SUM(U41:U54)</f>
        <v>1436662.5008</v>
      </c>
      <c r="V55" s="109" t="n">
        <f aca="false">SUM(V41:V54)</f>
        <v>1429660.8752</v>
      </c>
      <c r="W55" s="109" t="n">
        <f aca="false">SUM(W41:W54)</f>
        <v>1422659.2496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-21650538.064</v>
      </c>
      <c r="E56" s="114" t="n">
        <f aca="false">D56+E55</f>
        <v>-20136737.5536</v>
      </c>
      <c r="F56" s="114" t="n">
        <f aca="false">E56+F55</f>
        <v>-18629938.6688</v>
      </c>
      <c r="G56" s="114" t="n">
        <f aca="false">F56+G55</f>
        <v>-17130141.4096</v>
      </c>
      <c r="H56" s="114" t="n">
        <f aca="false">G56+H55</f>
        <v>-15637345.776</v>
      </c>
      <c r="I56" s="114" t="n">
        <f aca="false">H56+I55</f>
        <v>-14151551.768</v>
      </c>
      <c r="J56" s="114" t="n">
        <f aca="false">I56+J55</f>
        <v>-12672759.3856</v>
      </c>
      <c r="K56" s="114" t="n">
        <f aca="false">J56+K55</f>
        <v>-11200968.6288</v>
      </c>
      <c r="L56" s="114" t="n">
        <f aca="false">K56+L55</f>
        <v>-9736179.4976</v>
      </c>
      <c r="M56" s="114" t="n">
        <f aca="false">L56+M55</f>
        <v>-8278391.992</v>
      </c>
      <c r="N56" s="114" t="n">
        <f aca="false">M56+N55</f>
        <v>-6792718.112</v>
      </c>
      <c r="O56" s="114" t="n">
        <f aca="false">N56+O55</f>
        <v>-5314045.8576</v>
      </c>
      <c r="P56" s="114" t="n">
        <f aca="false">O56+P55</f>
        <v>-3842375.2288</v>
      </c>
      <c r="Q56" s="114" t="n">
        <f aca="false">P56+Q55</f>
        <v>-2377706.2256</v>
      </c>
      <c r="R56" s="114" t="n">
        <f aca="false">Q56+R55</f>
        <v>-920038.847999997</v>
      </c>
      <c r="S56" s="114" t="n">
        <f aca="false">R56+S55</f>
        <v>530626.904000003</v>
      </c>
      <c r="T56" s="114" t="n">
        <f aca="false">S56+T55</f>
        <v>1974291.0304</v>
      </c>
      <c r="U56" s="114" t="n">
        <f aca="false">T56+U55</f>
        <v>3410953.5312</v>
      </c>
      <c r="V56" s="114" t="n">
        <f aca="false">U56+V55</f>
        <v>4840614.4064</v>
      </c>
      <c r="W56" s="114" t="n">
        <f aca="false">V56+W55</f>
        <v>6263273.656</v>
      </c>
      <c r="X56" s="114" t="n">
        <f aca="false">W56+X55</f>
        <v>6263273.656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0.0242088281443017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-1155665</v>
      </c>
      <c r="E67" s="127" t="n">
        <f aca="false">$C$44/$E$16</f>
        <v>-1155665</v>
      </c>
      <c r="F67" s="127" t="n">
        <f aca="false">$C$44/$E$16</f>
        <v>-1155665</v>
      </c>
      <c r="G67" s="127" t="n">
        <f aca="false">$C$44/$E$16</f>
        <v>-1155665</v>
      </c>
      <c r="H67" s="127" t="n">
        <f aca="false">$C$44/$E$16</f>
        <v>-1155665</v>
      </c>
      <c r="I67" s="127" t="n">
        <f aca="false">$C$44/$E$16</f>
        <v>-1155665</v>
      </c>
      <c r="J67" s="127" t="n">
        <f aca="false">$C$44/$E$16</f>
        <v>-1155665</v>
      </c>
      <c r="K67" s="127" t="n">
        <f aca="false">$C$44/$E$16</f>
        <v>-1155665</v>
      </c>
      <c r="L67" s="127" t="n">
        <f aca="false">$C$44/$E$16</f>
        <v>-1155665</v>
      </c>
      <c r="M67" s="127" t="n">
        <f aca="false">$C$44/$E$16</f>
        <v>-1155665</v>
      </c>
      <c r="N67" s="127" t="n">
        <f aca="false">$C$44/$E$16</f>
        <v>-1155665</v>
      </c>
      <c r="O67" s="127" t="n">
        <f aca="false">$C$44/$E$16</f>
        <v>-1155665</v>
      </c>
      <c r="P67" s="127" t="n">
        <f aca="false">$C$44/$E$16</f>
        <v>-1155665</v>
      </c>
      <c r="Q67" s="127" t="n">
        <f aca="false">$C$44/$E$16</f>
        <v>-1155665</v>
      </c>
      <c r="R67" s="127" t="n">
        <f aca="false">$C$44/$E$16</f>
        <v>-1155665</v>
      </c>
      <c r="S67" s="127" t="n">
        <f aca="false">$C$44/$E$16</f>
        <v>-1155665</v>
      </c>
      <c r="T67" s="127" t="n">
        <f aca="false">$C$44/$E$16</f>
        <v>-1155665</v>
      </c>
      <c r="U67" s="127" t="n">
        <f aca="false">$C$44/$E$16</f>
        <v>-1155665</v>
      </c>
      <c r="V67" s="127" t="n">
        <f aca="false">$C$44/$E$16</f>
        <v>-1155665</v>
      </c>
      <c r="W67" s="127" t="n">
        <f aca="false">$C$44/$E$16</f>
        <v>-1155665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-473360.384</v>
      </c>
      <c r="E70" s="104" t="n">
        <f aca="false">-E109*$D25</f>
        <v>-441803.025066667</v>
      </c>
      <c r="F70" s="104" t="n">
        <f aca="false">-F109*$D25</f>
        <v>-410245.666133334</v>
      </c>
      <c r="G70" s="104" t="n">
        <f aca="false">-G109*$D25</f>
        <v>-378688.3072</v>
      </c>
      <c r="H70" s="104" t="n">
        <f aca="false">-H109*$D25</f>
        <v>-347130.948266667</v>
      </c>
      <c r="I70" s="104" t="n">
        <f aca="false">-I109*$D25</f>
        <v>-315573.589333334</v>
      </c>
      <c r="J70" s="104" t="n">
        <f aca="false">-J109*$D25</f>
        <v>-284016.230400001</v>
      </c>
      <c r="K70" s="104" t="n">
        <f aca="false">-K109*$D25</f>
        <v>-252458.871466667</v>
      </c>
      <c r="L70" s="104" t="n">
        <f aca="false">-L109*$D25</f>
        <v>-220901.512533334</v>
      </c>
      <c r="M70" s="104" t="n">
        <f aca="false">-M109*$D25</f>
        <v>-189344.153600001</v>
      </c>
      <c r="N70" s="104" t="n">
        <f aca="false">-N109*$D25</f>
        <v>-157786.794666668</v>
      </c>
      <c r="O70" s="104" t="n">
        <f aca="false">-O109*$D25</f>
        <v>-126229.435733334</v>
      </c>
      <c r="P70" s="104" t="n">
        <f aca="false">-P109*$D25</f>
        <v>-94672.076800001</v>
      </c>
      <c r="Q70" s="104" t="n">
        <f aca="false">-Q109*$D25</f>
        <v>-63114.7178666678</v>
      </c>
      <c r="R70" s="104" t="n">
        <f aca="false">-R109*$D25</f>
        <v>-31557.3589333345</v>
      </c>
      <c r="S70" s="104" t="n">
        <f aca="false">-S109*$D25</f>
        <v>-1.2516975402832E-009</v>
      </c>
      <c r="T70" s="104" t="n">
        <f aca="false">-T109*$D25</f>
        <v>-1.2516975402832E-009</v>
      </c>
      <c r="U70" s="104" t="n">
        <f aca="false">-U109*$D25</f>
        <v>-1.2516975402832E-009</v>
      </c>
      <c r="V70" s="104" t="n">
        <f aca="false">-V109*$D25</f>
        <v>-1.2516975402832E-009</v>
      </c>
      <c r="W70" s="104" t="n">
        <f aca="false">-W109*$D25</f>
        <v>-1.2516975402832E-009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-45790.5</v>
      </c>
      <c r="E72" s="104" t="n">
        <f aca="false">E49</f>
        <v>-45790.5</v>
      </c>
      <c r="F72" s="104" t="n">
        <f aca="false">F49</f>
        <v>-45790.5</v>
      </c>
      <c r="G72" s="104" t="n">
        <f aca="false">G49</f>
        <v>-45790.5</v>
      </c>
      <c r="H72" s="104" t="n">
        <f aca="false">H49</f>
        <v>-45790.5</v>
      </c>
      <c r="I72" s="104" t="n">
        <f aca="false">I49</f>
        <v>-45790.5</v>
      </c>
      <c r="J72" s="104" t="n">
        <f aca="false">J49</f>
        <v>-45790.5</v>
      </c>
      <c r="K72" s="104" t="n">
        <f aca="false">K49</f>
        <v>-45790.5</v>
      </c>
      <c r="L72" s="104" t="n">
        <f aca="false">L49</f>
        <v>-45790.5</v>
      </c>
      <c r="M72" s="104" t="n">
        <f aca="false">M49</f>
        <v>-45790.5</v>
      </c>
      <c r="N72" s="104" t="n">
        <f aca="false">N49</f>
        <v>-45790.5</v>
      </c>
      <c r="O72" s="104" t="n">
        <f aca="false">O49</f>
        <v>-45790.5</v>
      </c>
      <c r="P72" s="104" t="n">
        <f aca="false">P49</f>
        <v>-45790.5</v>
      </c>
      <c r="Q72" s="104" t="n">
        <f aca="false">Q49</f>
        <v>-45790.5</v>
      </c>
      <c r="R72" s="104" t="n">
        <f aca="false">R49</f>
        <v>-45790.5</v>
      </c>
      <c r="S72" s="104" t="n">
        <f aca="false">S49</f>
        <v>-45790.5</v>
      </c>
      <c r="T72" s="104" t="n">
        <f aca="false">T49</f>
        <v>-45790.5</v>
      </c>
      <c r="U72" s="104" t="n">
        <f aca="false">U49</f>
        <v>-45790.5</v>
      </c>
      <c r="V72" s="104" t="n">
        <f aca="false">V49</f>
        <v>-45790.5</v>
      </c>
      <c r="W72" s="104" t="n">
        <f aca="false">W49</f>
        <v>-45790.5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273262.036</v>
      </c>
      <c r="E76" s="109" t="n">
        <f aca="false">SUM(E64:E75)</f>
        <v>5866.36293333297</v>
      </c>
      <c r="F76" s="109" t="n">
        <f aca="false">SUM(F64:F75)</f>
        <v>28671.6898666666</v>
      </c>
      <c r="G76" s="109" t="n">
        <f aca="false">SUM(G64:G75)</f>
        <v>51477.0167999997</v>
      </c>
      <c r="H76" s="109" t="n">
        <f aca="false">SUM(H64:H75)</f>
        <v>74282.3437333329</v>
      </c>
      <c r="I76" s="109" t="n">
        <f aca="false">SUM(I64:I75)</f>
        <v>97087.670666666</v>
      </c>
      <c r="J76" s="109" t="n">
        <f aca="false">SUM(J64:J75)</f>
        <v>119892.9976</v>
      </c>
      <c r="K76" s="109" t="n">
        <f aca="false">SUM(K64:K75)</f>
        <v>142698.324533333</v>
      </c>
      <c r="L76" s="109" t="n">
        <f aca="false">SUM(L64:L75)</f>
        <v>165503.651466666</v>
      </c>
      <c r="M76" s="109" t="n">
        <f aca="false">SUM(M64:M75)</f>
        <v>188308.978399999</v>
      </c>
      <c r="N76" s="109" t="n">
        <f aca="false">SUM(N64:N75)</f>
        <v>254724.305333332</v>
      </c>
      <c r="O76" s="109" t="n">
        <f aca="false">SUM(O64:O75)</f>
        <v>277529.632266666</v>
      </c>
      <c r="P76" s="109" t="n">
        <f aca="false">SUM(P64:P75)</f>
        <v>300334.959199999</v>
      </c>
      <c r="Q76" s="109" t="n">
        <f aca="false">SUM(Q64:Q75)</f>
        <v>323140.286133332</v>
      </c>
      <c r="R76" s="109" t="n">
        <f aca="false">SUM(R64:R75)</f>
        <v>345945.613066665</v>
      </c>
      <c r="S76" s="109" t="n">
        <f aca="false">SUM(S64:S75)</f>
        <v>368750.939999999</v>
      </c>
      <c r="T76" s="109" t="n">
        <f aca="false">SUM(T64:T75)</f>
        <v>359998.907999999</v>
      </c>
      <c r="U76" s="109" t="n">
        <f aca="false">SUM(U64:U75)</f>
        <v>351246.875999999</v>
      </c>
      <c r="V76" s="109" t="n">
        <f aca="false">SUM(V64:V75)</f>
        <v>342494.843999999</v>
      </c>
      <c r="W76" s="109" t="n">
        <f aca="false">SUM(W64:W75)</f>
        <v>333742.811999999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-54652.4072</v>
      </c>
      <c r="E77" s="104" t="n">
        <f aca="false">-E76*0.2</f>
        <v>-1173.27258666659</v>
      </c>
      <c r="F77" s="104" t="n">
        <f aca="false">-F76*0.2</f>
        <v>-5734.33797333331</v>
      </c>
      <c r="G77" s="104" t="n">
        <f aca="false">-G76*0.2</f>
        <v>-10295.4033599999</v>
      </c>
      <c r="H77" s="104" t="n">
        <f aca="false">-H76*0.2</f>
        <v>-14856.4687466666</v>
      </c>
      <c r="I77" s="104" t="n">
        <f aca="false">-I76*0.2</f>
        <v>-19417.5341333332</v>
      </c>
      <c r="J77" s="104" t="n">
        <f aca="false">-J76*0.2</f>
        <v>-23978.5995199999</v>
      </c>
      <c r="K77" s="104" t="n">
        <f aca="false">-K76*0.2</f>
        <v>-28539.6649066665</v>
      </c>
      <c r="L77" s="104" t="n">
        <f aca="false">-L76*0.2</f>
        <v>-33100.7302933332</v>
      </c>
      <c r="M77" s="104" t="n">
        <f aca="false">-M76*0.2</f>
        <v>-37661.7956799998</v>
      </c>
      <c r="N77" s="104" t="n">
        <f aca="false">-N76*0.2</f>
        <v>-50944.8610666665</v>
      </c>
      <c r="O77" s="104" t="n">
        <f aca="false">-O76*0.2</f>
        <v>-55505.9264533331</v>
      </c>
      <c r="P77" s="104" t="n">
        <f aca="false">-P76*0.2</f>
        <v>-60066.9918399998</v>
      </c>
      <c r="Q77" s="104" t="n">
        <f aca="false">-Q76*0.2</f>
        <v>-64628.0572266664</v>
      </c>
      <c r="R77" s="104" t="n">
        <f aca="false">-R76*0.2</f>
        <v>-69189.1226133331</v>
      </c>
      <c r="S77" s="104" t="n">
        <f aca="false">-S76*0.2</f>
        <v>-73750.1879999997</v>
      </c>
      <c r="T77" s="104" t="n">
        <f aca="false">-T76*0.2</f>
        <v>-71999.7815999997</v>
      </c>
      <c r="U77" s="104" t="n">
        <f aca="false">-U76*0.2</f>
        <v>-70249.3751999997</v>
      </c>
      <c r="V77" s="104" t="n">
        <f aca="false">-V76*0.2</f>
        <v>-68498.9687999997</v>
      </c>
      <c r="W77" s="104" t="n">
        <f aca="false">-W76*0.2</f>
        <v>-66748.5623999997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218609.6288</v>
      </c>
      <c r="E78" s="104" t="n">
        <f aca="false">SUM(E76:E77)</f>
        <v>4693.09034666638</v>
      </c>
      <c r="F78" s="104" t="n">
        <f aca="false">SUM(F76:F77)</f>
        <v>22937.3518933333</v>
      </c>
      <c r="G78" s="104" t="n">
        <f aca="false">SUM(G76:G77)</f>
        <v>41181.6134399998</v>
      </c>
      <c r="H78" s="104" t="n">
        <f aca="false">SUM(H76:H77)</f>
        <v>59425.8749866663</v>
      </c>
      <c r="I78" s="104" t="n">
        <f aca="false">SUM(I76:I77)</f>
        <v>77670.1365333328</v>
      </c>
      <c r="J78" s="104" t="n">
        <f aca="false">SUM(J76:J77)</f>
        <v>95914.3980799997</v>
      </c>
      <c r="K78" s="104" t="n">
        <f aca="false">SUM(K76:K77)</f>
        <v>114158.659626666</v>
      </c>
      <c r="L78" s="104" t="n">
        <f aca="false">SUM(L76:L77)</f>
        <v>132402.921173333</v>
      </c>
      <c r="M78" s="104" t="n">
        <f aca="false">SUM(M76:M77)</f>
        <v>150647.182719999</v>
      </c>
      <c r="N78" s="104" t="n">
        <f aca="false">SUM(N76:N77)</f>
        <v>203779.444266666</v>
      </c>
      <c r="O78" s="104" t="n">
        <f aca="false">SUM(O76:O77)</f>
        <v>222023.705813333</v>
      </c>
      <c r="P78" s="104" t="n">
        <f aca="false">SUM(P76:P77)</f>
        <v>240267.967359999</v>
      </c>
      <c r="Q78" s="104" t="n">
        <f aca="false">SUM(Q76:Q77)</f>
        <v>258512.228906666</v>
      </c>
      <c r="R78" s="104" t="n">
        <f aca="false">SUM(R76:R77)</f>
        <v>276756.490453332</v>
      </c>
      <c r="S78" s="104" t="n">
        <f aca="false">SUM(S76:S77)</f>
        <v>295000.751999999</v>
      </c>
      <c r="T78" s="104" t="n">
        <f aca="false">SUM(T76:T77)</f>
        <v>287999.126399999</v>
      </c>
      <c r="U78" s="104" t="n">
        <f aca="false">SUM(U76:U77)</f>
        <v>280997.500799999</v>
      </c>
      <c r="V78" s="104" t="n">
        <f aca="false">SUM(V76:V77)</f>
        <v>273995.875199999</v>
      </c>
      <c r="W78" s="104" t="n">
        <f aca="false">SUM(W76:W77)</f>
        <v>266994.249599999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218609.6288</v>
      </c>
      <c r="E85" s="143" t="n">
        <f aca="false">E78</f>
        <v>4693.09034666638</v>
      </c>
      <c r="F85" s="143" t="n">
        <f aca="false">F78</f>
        <v>22937.3518933333</v>
      </c>
      <c r="G85" s="143" t="n">
        <f aca="false">G78</f>
        <v>41181.6134399998</v>
      </c>
      <c r="H85" s="143" t="n">
        <f aca="false">H78</f>
        <v>59425.8749866663</v>
      </c>
      <c r="I85" s="143" t="n">
        <f aca="false">I78</f>
        <v>77670.1365333328</v>
      </c>
      <c r="J85" s="143" t="n">
        <f aca="false">J78</f>
        <v>95914.3980799997</v>
      </c>
      <c r="K85" s="143" t="n">
        <f aca="false">K78</f>
        <v>114158.659626666</v>
      </c>
      <c r="L85" s="143" t="n">
        <f aca="false">L78</f>
        <v>132402.921173333</v>
      </c>
      <c r="M85" s="143" t="n">
        <f aca="false">M78</f>
        <v>150647.182719999</v>
      </c>
      <c r="N85" s="143" t="n">
        <f aca="false">N78</f>
        <v>203779.444266666</v>
      </c>
      <c r="O85" s="143" t="n">
        <f aca="false">O78</f>
        <v>222023.705813333</v>
      </c>
      <c r="P85" s="143" t="n">
        <f aca="false">P78</f>
        <v>240267.967359999</v>
      </c>
      <c r="Q85" s="143" t="n">
        <f aca="false">Q78</f>
        <v>258512.228906666</v>
      </c>
      <c r="R85" s="143" t="n">
        <f aca="false">R78</f>
        <v>276756.490453332</v>
      </c>
      <c r="S85" s="143" t="n">
        <f aca="false">S78</f>
        <v>295000.751999999</v>
      </c>
      <c r="T85" s="143" t="n">
        <f aca="false">T78</f>
        <v>287999.126399999</v>
      </c>
      <c r="U85" s="143" t="n">
        <f aca="false">U78</f>
        <v>280997.500799999</v>
      </c>
      <c r="V85" s="143" t="n">
        <f aca="false">V78</f>
        <v>273995.875199999</v>
      </c>
      <c r="W85" s="143" t="n">
        <f aca="false">W78</f>
        <v>266994.249599999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1155665</v>
      </c>
      <c r="E86" s="144" t="n">
        <f aca="false">-E67</f>
        <v>1155665</v>
      </c>
      <c r="F86" s="144" t="n">
        <f aca="false">-F67</f>
        <v>1155665</v>
      </c>
      <c r="G86" s="144" t="n">
        <f aca="false">-G67</f>
        <v>1155665</v>
      </c>
      <c r="H86" s="144" t="n">
        <f aca="false">-H67</f>
        <v>1155665</v>
      </c>
      <c r="I86" s="144" t="n">
        <f aca="false">-I67</f>
        <v>1155665</v>
      </c>
      <c r="J86" s="144" t="n">
        <f aca="false">-J67</f>
        <v>1155665</v>
      </c>
      <c r="K86" s="144" t="n">
        <f aca="false">-K67</f>
        <v>1155665</v>
      </c>
      <c r="L86" s="144" t="n">
        <f aca="false">-L67</f>
        <v>1155665</v>
      </c>
      <c r="M86" s="144" t="n">
        <f aca="false">-M67</f>
        <v>1155665</v>
      </c>
      <c r="N86" s="144" t="n">
        <f aca="false">-N67</f>
        <v>1155665</v>
      </c>
      <c r="O86" s="144" t="n">
        <f aca="false">-O67</f>
        <v>1155665</v>
      </c>
      <c r="P86" s="144" t="n">
        <f aca="false">-P67</f>
        <v>1155665</v>
      </c>
      <c r="Q86" s="144" t="n">
        <f aca="false">-Q67</f>
        <v>1155665</v>
      </c>
      <c r="R86" s="144" t="n">
        <f aca="false">-R67</f>
        <v>1155665</v>
      </c>
      <c r="S86" s="144" t="n">
        <f aca="false">-S67</f>
        <v>1155665</v>
      </c>
      <c r="T86" s="144" t="n">
        <f aca="false">-T67</f>
        <v>1155665</v>
      </c>
      <c r="U86" s="144" t="n">
        <f aca="false">-U67</f>
        <v>1155665</v>
      </c>
      <c r="V86" s="144" t="n">
        <f aca="false">-V67</f>
        <v>1155665</v>
      </c>
      <c r="W86" s="144" t="n">
        <f aca="false">-W67</f>
        <v>1155665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1374274.6288</v>
      </c>
      <c r="E87" s="146" t="n">
        <f aca="false">SUM(E85:E86)</f>
        <v>1160358.09034667</v>
      </c>
      <c r="F87" s="146" t="n">
        <f aca="false">SUM(F85:F86)</f>
        <v>1178602.35189333</v>
      </c>
      <c r="G87" s="146" t="n">
        <f aca="false">SUM(G85:G86)</f>
        <v>1196846.61344</v>
      </c>
      <c r="H87" s="146" t="n">
        <f aca="false">SUM(H85:H86)</f>
        <v>1215090.87498667</v>
      </c>
      <c r="I87" s="146" t="n">
        <f aca="false">SUM(I85:I86)</f>
        <v>1233335.13653333</v>
      </c>
      <c r="J87" s="146" t="n">
        <f aca="false">SUM(J85:J86)</f>
        <v>1251579.39808</v>
      </c>
      <c r="K87" s="146" t="n">
        <f aca="false">SUM(K85:K86)</f>
        <v>1269823.65962667</v>
      </c>
      <c r="L87" s="146" t="n">
        <f aca="false">SUM(L85:L86)</f>
        <v>1288067.92117333</v>
      </c>
      <c r="M87" s="146" t="n">
        <f aca="false">SUM(M85:M86)</f>
        <v>1306312.18272</v>
      </c>
      <c r="N87" s="146" t="n">
        <f aca="false">SUM(N85:N86)</f>
        <v>1359444.44426667</v>
      </c>
      <c r="O87" s="146" t="n">
        <f aca="false">SUM(O85:O86)</f>
        <v>1377688.70581333</v>
      </c>
      <c r="P87" s="146" t="n">
        <f aca="false">SUM(P85:P86)</f>
        <v>1395932.96736</v>
      </c>
      <c r="Q87" s="146" t="n">
        <f aca="false">SUM(Q85:Q86)</f>
        <v>1414177.22890667</v>
      </c>
      <c r="R87" s="146" t="n">
        <f aca="false">SUM(R85:R86)</f>
        <v>1432421.49045333</v>
      </c>
      <c r="S87" s="146" t="n">
        <f aca="false">SUM(S85:S86)</f>
        <v>1450665.752</v>
      </c>
      <c r="T87" s="146" t="n">
        <f aca="false">SUM(T85:T86)</f>
        <v>1443664.1264</v>
      </c>
      <c r="U87" s="146" t="n">
        <f aca="false">SUM(U85:U86)</f>
        <v>1436662.5008</v>
      </c>
      <c r="V87" s="146" t="n">
        <f aca="false">SUM(V85:V86)</f>
        <v>1429660.8752</v>
      </c>
      <c r="W87" s="146" t="n">
        <f aca="false">SUM(W85:W86)</f>
        <v>1422659.2496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-23113300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18490640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-1232709.33333333</v>
      </c>
      <c r="F93" s="152" t="n">
        <v>-1232709.33333333</v>
      </c>
      <c r="G93" s="152" t="n">
        <v>-1232709.33333333</v>
      </c>
      <c r="H93" s="152" t="n">
        <v>-1232709.33333333</v>
      </c>
      <c r="I93" s="152" t="n">
        <v>-1232709.33333333</v>
      </c>
      <c r="J93" s="152" t="n">
        <v>-1232709.33333333</v>
      </c>
      <c r="K93" s="152" t="n">
        <v>-1232709.33333333</v>
      </c>
      <c r="L93" s="152" t="n">
        <v>-1232709.33333333</v>
      </c>
      <c r="M93" s="152" t="n">
        <v>-1232709.33333333</v>
      </c>
      <c r="N93" s="152" t="n">
        <v>-1232709.33333333</v>
      </c>
      <c r="O93" s="152" t="n">
        <v>-1232709.33333333</v>
      </c>
      <c r="P93" s="152" t="n">
        <v>-1232709.33333333</v>
      </c>
      <c r="Q93" s="152" t="n">
        <v>-1232709.33333333</v>
      </c>
      <c r="R93" s="152" t="n">
        <v>-1232709.33333333</v>
      </c>
      <c r="S93" s="152" t="n">
        <v>-1232709.33333333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4622660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-196748.66592</v>
      </c>
      <c r="F95" s="153" t="n">
        <f aca="false">-E85*$D$33</f>
        <v>-4223.78131199974</v>
      </c>
      <c r="G95" s="153" t="n">
        <f aca="false">-F85*$D$33</f>
        <v>-20643.6167039999</v>
      </c>
      <c r="H95" s="153" t="n">
        <f aca="false">-G85*$D$33</f>
        <v>-37063.4520959998</v>
      </c>
      <c r="I95" s="153" t="n">
        <f aca="false">-H85*$D$33</f>
        <v>-53483.2874879997</v>
      </c>
      <c r="J95" s="153" t="n">
        <f aca="false">-I85*$D$33</f>
        <v>-69903.1228799995</v>
      </c>
      <c r="K95" s="153" t="n">
        <f aca="false">-J85*$D$33</f>
        <v>-86322.9582719997</v>
      </c>
      <c r="L95" s="153" t="n">
        <f aca="false">-K85*$D$33</f>
        <v>-102742.793664</v>
      </c>
      <c r="M95" s="153" t="n">
        <f aca="false">-L85*$D$33</f>
        <v>-119162.629055999</v>
      </c>
      <c r="N95" s="153" t="n">
        <f aca="false">-M85*$D$33</f>
        <v>-135582.464447999</v>
      </c>
      <c r="O95" s="153" t="n">
        <f aca="false">-N85*$D$33</f>
        <v>-183401.499839999</v>
      </c>
      <c r="P95" s="153" t="n">
        <f aca="false">-O85*$D$33</f>
        <v>-199821.335231999</v>
      </c>
      <c r="Q95" s="153" t="n">
        <f aca="false">-P85*$D$33</f>
        <v>-216241.170623999</v>
      </c>
      <c r="R95" s="153" t="n">
        <f aca="false">-Q85*$D$33</f>
        <v>-232661.006015999</v>
      </c>
      <c r="S95" s="153" t="n">
        <f aca="false">-R85*$D$33</f>
        <v>-249080.841407999</v>
      </c>
      <c r="T95" s="153" t="n">
        <f aca="false">-S85*$D$33</f>
        <v>-265500.676799999</v>
      </c>
      <c r="U95" s="153" t="n">
        <f aca="false">-T85*$D$33</f>
        <v>-259199.213759999</v>
      </c>
      <c r="V95" s="153" t="n">
        <f aca="false">-U85*$D$33</f>
        <v>-252897.750719999</v>
      </c>
      <c r="W95" s="153" t="n">
        <f aca="false">-V85*$D$33</f>
        <v>-246596.287679999</v>
      </c>
      <c r="X95" s="153" t="n">
        <f aca="false">-W85*$D$33</f>
        <v>-240294.824639999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-1155665</v>
      </c>
      <c r="U96" s="156" t="n">
        <v>-1155665</v>
      </c>
      <c r="V96" s="156" t="n">
        <v>-1155665</v>
      </c>
      <c r="W96" s="156" t="n">
        <v>-1155665</v>
      </c>
      <c r="X96" s="157" t="n">
        <f aca="false">-W101-X95</f>
        <v>-352396.819840047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1374274.6288</v>
      </c>
      <c r="E99" s="143" t="n">
        <f aca="false">SUM(E87:E96)</f>
        <v>-269099.908906664</v>
      </c>
      <c r="F99" s="143" t="n">
        <f aca="false">SUM(F87:F96)</f>
        <v>-58330.7627519965</v>
      </c>
      <c r="G99" s="143" t="n">
        <f aca="false">SUM(G87:G96)</f>
        <v>-56506.3365973302</v>
      </c>
      <c r="H99" s="143" t="n">
        <f aca="false">SUM(H87:H96)</f>
        <v>-54681.9104426635</v>
      </c>
      <c r="I99" s="143" t="n">
        <f aca="false">SUM(I87:I96)</f>
        <v>-52857.4842879969</v>
      </c>
      <c r="J99" s="143" t="n">
        <f aca="false">SUM(J87:J96)</f>
        <v>-51033.0581333298</v>
      </c>
      <c r="K99" s="143" t="n">
        <f aca="false">SUM(K87:K96)</f>
        <v>-49208.6319786635</v>
      </c>
      <c r="L99" s="143" t="n">
        <f aca="false">SUM(L87:L96)</f>
        <v>-47384.2058239968</v>
      </c>
      <c r="M99" s="143" t="n">
        <f aca="false">SUM(M87:M96)</f>
        <v>-45559.7796693299</v>
      </c>
      <c r="N99" s="143" t="n">
        <f aca="false">SUM(N87:N96)</f>
        <v>-8847.35351466347</v>
      </c>
      <c r="O99" s="143" t="n">
        <f aca="false">SUM(O87:O96)</f>
        <v>-38422.1273599968</v>
      </c>
      <c r="P99" s="143" t="n">
        <f aca="false">SUM(P87:P96)</f>
        <v>-36597.7012053301</v>
      </c>
      <c r="Q99" s="143" t="n">
        <f aca="false">SUM(Q87:Q96)</f>
        <v>-34773.2750506635</v>
      </c>
      <c r="R99" s="143" t="n">
        <f aca="false">SUM(R87:R96)</f>
        <v>-32948.848895997</v>
      </c>
      <c r="S99" s="143" t="n">
        <f aca="false">SUM(S87:S96)</f>
        <v>-31124.4227413301</v>
      </c>
      <c r="T99" s="143" t="n">
        <f aca="false">SUM(T87:T96)</f>
        <v>22498.4495999997</v>
      </c>
      <c r="U99" s="143" t="n">
        <f aca="false">SUM(U87:U96)</f>
        <v>21798.2870399999</v>
      </c>
      <c r="V99" s="143" t="n">
        <f aca="false">SUM(V87:V96)</f>
        <v>21098.1244799998</v>
      </c>
      <c r="W99" s="143" t="n">
        <f aca="false">SUM(W87:W96)</f>
        <v>20397.9619199999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1374274.6288</v>
      </c>
      <c r="F100" s="143" t="n">
        <f aca="false">E101</f>
        <v>1105174.71989334</v>
      </c>
      <c r="G100" s="143" t="n">
        <f aca="false">F101</f>
        <v>1046843.95714134</v>
      </c>
      <c r="H100" s="143" t="n">
        <f aca="false">G101</f>
        <v>990337.620544009</v>
      </c>
      <c r="I100" s="143" t="n">
        <f aca="false">H101</f>
        <v>935655.710101345</v>
      </c>
      <c r="J100" s="143" t="n">
        <f aca="false">I101</f>
        <v>882798.225813348</v>
      </c>
      <c r="K100" s="143" t="n">
        <f aca="false">J101</f>
        <v>831765.167680019</v>
      </c>
      <c r="L100" s="143" t="n">
        <f aca="false">K101</f>
        <v>782556.535701355</v>
      </c>
      <c r="M100" s="143" t="n">
        <f aca="false">L101</f>
        <v>735172.329877358</v>
      </c>
      <c r="N100" s="143" t="n">
        <f aca="false">M101</f>
        <v>689612.550208028</v>
      </c>
      <c r="O100" s="143" t="n">
        <f aca="false">N101</f>
        <v>680765.196693365</v>
      </c>
      <c r="P100" s="143" t="n">
        <f aca="false">O101</f>
        <v>642343.069333368</v>
      </c>
      <c r="Q100" s="143" t="n">
        <f aca="false">P101</f>
        <v>605745.368128038</v>
      </c>
      <c r="R100" s="143" t="n">
        <f aca="false">Q101</f>
        <v>570972.093077374</v>
      </c>
      <c r="S100" s="143" t="n">
        <f aca="false">R101</f>
        <v>538023.244181377</v>
      </c>
      <c r="T100" s="143" t="n">
        <f aca="false">S101</f>
        <v>506898.821440047</v>
      </c>
      <c r="U100" s="143" t="n">
        <f aca="false">T101</f>
        <v>529397.271040047</v>
      </c>
      <c r="V100" s="143" t="n">
        <f aca="false">U101</f>
        <v>551195.558080047</v>
      </c>
      <c r="W100" s="143" t="n">
        <f aca="false">V101</f>
        <v>572293.682560047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1374274.6288</v>
      </c>
      <c r="E101" s="143" t="n">
        <f aca="false">E99+E100</f>
        <v>1105174.71989334</v>
      </c>
      <c r="F101" s="143" t="n">
        <f aca="false">F99+F100</f>
        <v>1046843.95714134</v>
      </c>
      <c r="G101" s="143" t="n">
        <f aca="false">G99+G100</f>
        <v>990337.620544009</v>
      </c>
      <c r="H101" s="143" t="n">
        <f aca="false">H99+H100</f>
        <v>935655.710101345</v>
      </c>
      <c r="I101" s="143" t="n">
        <f aca="false">I99+I100</f>
        <v>882798.225813348</v>
      </c>
      <c r="J101" s="143" t="n">
        <f aca="false">J99+J100</f>
        <v>831765.167680019</v>
      </c>
      <c r="K101" s="143" t="n">
        <f aca="false">K99+K100</f>
        <v>782556.535701355</v>
      </c>
      <c r="L101" s="143" t="n">
        <f aca="false">L99+L100</f>
        <v>735172.329877358</v>
      </c>
      <c r="M101" s="143" t="n">
        <f aca="false">M99+M100</f>
        <v>689612.550208028</v>
      </c>
      <c r="N101" s="143" t="n">
        <f aca="false">N99+N100</f>
        <v>680765.196693365</v>
      </c>
      <c r="O101" s="143" t="n">
        <f aca="false">O99+O100</f>
        <v>642343.069333368</v>
      </c>
      <c r="P101" s="143" t="n">
        <f aca="false">P99+P100</f>
        <v>605745.368128038</v>
      </c>
      <c r="Q101" s="143" t="n">
        <f aca="false">Q99+Q100</f>
        <v>570972.093077374</v>
      </c>
      <c r="R101" s="143" t="n">
        <f aca="false">R99+R100</f>
        <v>538023.244181377</v>
      </c>
      <c r="S101" s="143" t="n">
        <f aca="false">S99+S100</f>
        <v>506898.821440047</v>
      </c>
      <c r="T101" s="143" t="n">
        <f aca="false">T99+T100</f>
        <v>529397.271040047</v>
      </c>
      <c r="U101" s="143" t="n">
        <f aca="false">U99+U100</f>
        <v>551195.558080047</v>
      </c>
      <c r="V101" s="143" t="n">
        <f aca="false">V99+V100</f>
        <v>572293.682560047</v>
      </c>
      <c r="W101" s="143" t="n">
        <f aca="false">W99+W100</f>
        <v>592691.644480047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-4622660</v>
      </c>
      <c r="E104" s="146" t="n">
        <f aca="false">-E95-E96</f>
        <v>196748.66592</v>
      </c>
      <c r="F104" s="146" t="n">
        <f aca="false">-F95-F96</f>
        <v>4223.78131199974</v>
      </c>
      <c r="G104" s="146" t="n">
        <f aca="false">-G95-G96</f>
        <v>20643.6167039999</v>
      </c>
      <c r="H104" s="146" t="n">
        <f aca="false">-H95-H96</f>
        <v>37063.4520959998</v>
      </c>
      <c r="I104" s="146" t="n">
        <f aca="false">-I95-I96</f>
        <v>53483.2874879997</v>
      </c>
      <c r="J104" s="146" t="n">
        <f aca="false">-J95-J96</f>
        <v>69903.1228799995</v>
      </c>
      <c r="K104" s="146" t="n">
        <f aca="false">-K95-K96</f>
        <v>86322.9582719997</v>
      </c>
      <c r="L104" s="146" t="n">
        <f aca="false">-L95-L96</f>
        <v>102742.793664</v>
      </c>
      <c r="M104" s="146" t="n">
        <f aca="false">-M95-M96</f>
        <v>119162.629055999</v>
      </c>
      <c r="N104" s="146" t="n">
        <f aca="false">-N95-N96</f>
        <v>135582.464447999</v>
      </c>
      <c r="O104" s="146" t="n">
        <f aca="false">-O95-O96</f>
        <v>183401.499839999</v>
      </c>
      <c r="P104" s="146" t="n">
        <f aca="false">-P95-P96</f>
        <v>199821.335231999</v>
      </c>
      <c r="Q104" s="146" t="n">
        <f aca="false">-Q95-Q96</f>
        <v>216241.170623999</v>
      </c>
      <c r="R104" s="146" t="n">
        <f aca="false">-R95-R96</f>
        <v>232661.006015999</v>
      </c>
      <c r="S104" s="146" t="n">
        <f aca="false">-S95-S96</f>
        <v>249080.841407999</v>
      </c>
      <c r="T104" s="146" t="n">
        <f aca="false">-T95-T96</f>
        <v>1421165.6768</v>
      </c>
      <c r="U104" s="146" t="n">
        <f aca="false">-U95-U96</f>
        <v>1414864.21376</v>
      </c>
      <c r="V104" s="146" t="n">
        <f aca="false">-V95-V96</f>
        <v>1408562.75072</v>
      </c>
      <c r="W104" s="146" t="n">
        <f aca="false">-W95-W96</f>
        <v>1402261.28768</v>
      </c>
      <c r="X104" s="146" t="n">
        <f aca="false">-X95-X96</f>
        <v>592691.644480047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0.0369619204678117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-4404050.3712</v>
      </c>
      <c r="E106" s="146" t="n">
        <f aca="false">E85</f>
        <v>4693.09034666638</v>
      </c>
      <c r="F106" s="146" t="n">
        <f aca="false">F85-F96</f>
        <v>22937.3518933333</v>
      </c>
      <c r="G106" s="146" t="n">
        <f aca="false">G85-G96</f>
        <v>41181.6134399998</v>
      </c>
      <c r="H106" s="146" t="n">
        <f aca="false">H85-H96</f>
        <v>59425.8749866663</v>
      </c>
      <c r="I106" s="146" t="n">
        <f aca="false">I85-I96</f>
        <v>77670.1365333328</v>
      </c>
      <c r="J106" s="146" t="n">
        <f aca="false">J85-J96</f>
        <v>95914.3980799997</v>
      </c>
      <c r="K106" s="146" t="n">
        <f aca="false">K85-K96</f>
        <v>114158.659626666</v>
      </c>
      <c r="L106" s="146" t="n">
        <f aca="false">L85-L96</f>
        <v>132402.921173333</v>
      </c>
      <c r="M106" s="146" t="n">
        <f aca="false">M85-M96</f>
        <v>150647.182719999</v>
      </c>
      <c r="N106" s="146" t="n">
        <f aca="false">N85-N96</f>
        <v>203779.444266666</v>
      </c>
      <c r="O106" s="146" t="n">
        <f aca="false">O85-O96</f>
        <v>222023.705813333</v>
      </c>
      <c r="P106" s="146" t="n">
        <f aca="false">P85-P96</f>
        <v>240267.967359999</v>
      </c>
      <c r="Q106" s="146" t="n">
        <f aca="false">Q85-Q96</f>
        <v>258512.228906666</v>
      </c>
      <c r="R106" s="146" t="n">
        <f aca="false">R85-R96</f>
        <v>276756.490453332</v>
      </c>
      <c r="S106" s="146" t="n">
        <f aca="false">S85-S96</f>
        <v>295000.751999999</v>
      </c>
      <c r="T106" s="146" t="n">
        <f aca="false">T85-T96</f>
        <v>1443664.1264</v>
      </c>
      <c r="U106" s="146" t="n">
        <f aca="false">U85-U96</f>
        <v>1436662.5008</v>
      </c>
      <c r="V106" s="146" t="n">
        <f aca="false">V85-V96</f>
        <v>1429660.8752</v>
      </c>
      <c r="W106" s="146" t="n">
        <f aca="false">W85-W96</f>
        <v>1422659.2496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0.039024354239358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18490640</v>
      </c>
      <c r="E109" s="143" t="n">
        <f aca="false">D109+E93</f>
        <v>17257930.6666667</v>
      </c>
      <c r="F109" s="143" t="n">
        <f aca="false">E109+F93</f>
        <v>16025221.3333333</v>
      </c>
      <c r="G109" s="143" t="n">
        <f aca="false">F109+G93</f>
        <v>14792512</v>
      </c>
      <c r="H109" s="143" t="n">
        <f aca="false">G109+H93</f>
        <v>13559802.6666667</v>
      </c>
      <c r="I109" s="143" t="n">
        <f aca="false">H109+I93</f>
        <v>12327093.3333334</v>
      </c>
      <c r="J109" s="143" t="n">
        <f aca="false">I109+J93</f>
        <v>11094384</v>
      </c>
      <c r="K109" s="143" t="n">
        <f aca="false">J109+K93</f>
        <v>9861674.66666669</v>
      </c>
      <c r="L109" s="143" t="n">
        <f aca="false">K109+L93</f>
        <v>8628965.33333336</v>
      </c>
      <c r="M109" s="143" t="n">
        <f aca="false">L109+M93</f>
        <v>7396256.00000003</v>
      </c>
      <c r="N109" s="143" t="n">
        <f aca="false">M109+N93</f>
        <v>6163546.6666667</v>
      </c>
      <c r="O109" s="143" t="n">
        <f aca="false">N109+O93</f>
        <v>4930837.33333337</v>
      </c>
      <c r="P109" s="143" t="n">
        <f aca="false">O109+P93</f>
        <v>3698128.00000004</v>
      </c>
      <c r="Q109" s="143" t="n">
        <f aca="false">P109+Q93</f>
        <v>2465418.66666671</v>
      </c>
      <c r="R109" s="143" t="n">
        <f aca="false">Q109+R93</f>
        <v>1232709.33333338</v>
      </c>
      <c r="S109" s="143" t="n">
        <f aca="false">R109+S93</f>
        <v>4.88944351673126E-008</v>
      </c>
      <c r="T109" s="143" t="n">
        <f aca="false">S109+T93</f>
        <v>4.88944351673126E-008</v>
      </c>
      <c r="U109" s="143" t="n">
        <f aca="false">T109+U93</f>
        <v>4.88944351673126E-008</v>
      </c>
      <c r="V109" s="143" t="n">
        <f aca="false">U109+V93</f>
        <v>4.88944351673126E-008</v>
      </c>
      <c r="W109" s="143" t="n">
        <f aca="false">V109+W93</f>
        <v>4.88944351673126E-008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197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198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199</v>
      </c>
    </row>
    <row r="8" customFormat="false" ht="22.5" hidden="false" customHeight="true" outlineLevel="0" collapsed="false">
      <c r="B8" s="16" t="s">
        <v>14</v>
      </c>
      <c r="E8" s="46"/>
      <c r="M8" s="1" t="s">
        <v>200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93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33500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-22178800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-43828.05</v>
      </c>
      <c r="E49" s="104" t="n">
        <v>-43828.05</v>
      </c>
      <c r="F49" s="104" t="n">
        <v>-43828.05</v>
      </c>
      <c r="G49" s="104" t="n">
        <v>-43828.05</v>
      </c>
      <c r="H49" s="104" t="n">
        <v>-43828.05</v>
      </c>
      <c r="I49" s="104" t="n">
        <v>-43828.05</v>
      </c>
      <c r="J49" s="104" t="n">
        <v>-43828.05</v>
      </c>
      <c r="K49" s="104" t="n">
        <v>-43828.05</v>
      </c>
      <c r="L49" s="104" t="n">
        <v>-43828.05</v>
      </c>
      <c r="M49" s="104" t="n">
        <v>-43828.05</v>
      </c>
      <c r="N49" s="104" t="n">
        <v>-43828.05</v>
      </c>
      <c r="O49" s="104" t="n">
        <v>-43828.05</v>
      </c>
      <c r="P49" s="104" t="n">
        <v>-43828.05</v>
      </c>
      <c r="Q49" s="104" t="n">
        <v>-43828.05</v>
      </c>
      <c r="R49" s="104" t="n">
        <v>-43828.05</v>
      </c>
      <c r="S49" s="104" t="n">
        <v>-43828.05</v>
      </c>
      <c r="T49" s="104" t="n">
        <v>-43828.05</v>
      </c>
      <c r="U49" s="104" t="n">
        <v>-43828.05</v>
      </c>
      <c r="V49" s="104" t="n">
        <v>-43828.05</v>
      </c>
      <c r="W49" s="104" t="n">
        <v>-43828.05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-159061.974</v>
      </c>
      <c r="E54" s="104" t="n">
        <f aca="false">-(E64+E67+E68+E71+E72+E73+E74)*0.2</f>
        <v>-99271.3675999999</v>
      </c>
      <c r="F54" s="104" t="n">
        <f aca="false">-(F64+F67+F68+F71+F72+F73+F74)*0.2</f>
        <v>-97520.9612</v>
      </c>
      <c r="G54" s="104" t="n">
        <f aca="false">-(G64+G67+G68+G71+G72+G73+G74)*0.2</f>
        <v>-95770.5548</v>
      </c>
      <c r="H54" s="104" t="n">
        <f aca="false">-(H64+H67+H68+H71+H72+H73+H74)*0.2</f>
        <v>-94020.1484</v>
      </c>
      <c r="I54" s="104" t="n">
        <f aca="false">-(I64+I67+I68+I71+I72+I73+I74)*0.2</f>
        <v>-92269.7419999999</v>
      </c>
      <c r="J54" s="104" t="n">
        <f aca="false">-(J64+J67+J68+J71+J72+J73+J74)*0.2</f>
        <v>-90519.3356</v>
      </c>
      <c r="K54" s="104" t="n">
        <f aca="false">-(K64+K67+K68+K71+K72+K73+K74)*0.2</f>
        <v>-88768.9292</v>
      </c>
      <c r="L54" s="104" t="n">
        <f aca="false">-(L64+L67+L68+L71+L72+L73+L74)*0.2</f>
        <v>-87018.5227999999</v>
      </c>
      <c r="M54" s="104" t="n">
        <f aca="false">-(M64+M67+M68+M71+M72+M73+M74)*0.2</f>
        <v>-85268.1164</v>
      </c>
      <c r="N54" s="104" t="n">
        <f aca="false">-(N64+N67+N68+N71+N72+N73+N74)*0.2</f>
        <v>-92239.7099999999</v>
      </c>
      <c r="O54" s="104" t="n">
        <f aca="false">-(O64+O67+O68+O71+O72+O73+O74)*0.2</f>
        <v>-90489.3036</v>
      </c>
      <c r="P54" s="104" t="n">
        <f aca="false">-(P64+P67+P68+P71+P72+P73+P74)*0.2</f>
        <v>-88738.8971999999</v>
      </c>
      <c r="Q54" s="104" t="n">
        <f aca="false">-(Q64+Q67+Q68+Q71+Q72+Q73+Q74)*0.2</f>
        <v>-86988.4908</v>
      </c>
      <c r="R54" s="104" t="n">
        <f aca="false">-(R64+R67+R68+R71+R72+R73+R74)*0.2</f>
        <v>-85238.0843999999</v>
      </c>
      <c r="S54" s="104" t="n">
        <f aca="false">-(S64+S67+S68+S71+S72+S73+S74)*0.2</f>
        <v>-83487.678</v>
      </c>
      <c r="T54" s="104" t="n">
        <f aca="false">-(T64+T67+T68+T71+T72+T73+T74)*0.2</f>
        <v>-81737.2715999999</v>
      </c>
      <c r="U54" s="104" t="n">
        <f aca="false">-(U64+U67+U68+U71+U72+U73+U74)*0.2</f>
        <v>-79986.8651999999</v>
      </c>
      <c r="V54" s="104" t="n">
        <f aca="false">-(V64+V67+V68+V71+V72+V73+V74)*0.2</f>
        <v>-78236.4587999999</v>
      </c>
      <c r="W54" s="104" t="n">
        <f aca="false">-(W64+W67+W68+W71+W72+W73+W74)*0.2</f>
        <v>-76486.0523999999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-22178800</v>
      </c>
      <c r="D55" s="109" t="n">
        <f aca="false">SUM(D41:D54)</f>
        <v>1454986.896</v>
      </c>
      <c r="E55" s="109" t="n">
        <f aca="false">SUM(E41:E54)</f>
        <v>1506025.4704</v>
      </c>
      <c r="F55" s="109" t="n">
        <f aca="false">SUM(F41:F54)</f>
        <v>1499023.8448</v>
      </c>
      <c r="G55" s="109" t="n">
        <f aca="false">SUM(G41:G54)</f>
        <v>1492022.2192</v>
      </c>
      <c r="H55" s="109" t="n">
        <f aca="false">SUM(H41:H54)</f>
        <v>1485020.5936</v>
      </c>
      <c r="I55" s="109" t="n">
        <f aca="false">SUM(I41:I54)</f>
        <v>1478018.968</v>
      </c>
      <c r="J55" s="109" t="n">
        <f aca="false">SUM(J41:J54)</f>
        <v>1471017.3424</v>
      </c>
      <c r="K55" s="109" t="n">
        <f aca="false">SUM(K41:K54)</f>
        <v>1464015.7168</v>
      </c>
      <c r="L55" s="109" t="n">
        <f aca="false">SUM(L41:L54)</f>
        <v>1457014.0912</v>
      </c>
      <c r="M55" s="109" t="n">
        <f aca="false">SUM(M41:M54)</f>
        <v>1450012.4656</v>
      </c>
      <c r="N55" s="109" t="n">
        <f aca="false">SUM(N41:N54)</f>
        <v>1477898.84</v>
      </c>
      <c r="O55" s="109" t="n">
        <f aca="false">SUM(O41:O54)</f>
        <v>1470897.2144</v>
      </c>
      <c r="P55" s="109" t="n">
        <f aca="false">SUM(P41:P54)</f>
        <v>1463895.5888</v>
      </c>
      <c r="Q55" s="109" t="n">
        <f aca="false">SUM(Q41:Q54)</f>
        <v>1456893.9632</v>
      </c>
      <c r="R55" s="109" t="n">
        <f aca="false">SUM(R41:R54)</f>
        <v>1449892.3376</v>
      </c>
      <c r="S55" s="109" t="n">
        <f aca="false">SUM(S41:S54)</f>
        <v>1442890.712</v>
      </c>
      <c r="T55" s="109" t="n">
        <f aca="false">SUM(T41:T54)</f>
        <v>1435889.0864</v>
      </c>
      <c r="U55" s="109" t="n">
        <f aca="false">SUM(U41:U54)</f>
        <v>1428887.4608</v>
      </c>
      <c r="V55" s="109" t="n">
        <f aca="false">SUM(V41:V54)</f>
        <v>1421885.8352</v>
      </c>
      <c r="W55" s="109" t="n">
        <f aca="false">SUM(W41:W54)</f>
        <v>1414884.2096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-20723813.104</v>
      </c>
      <c r="E56" s="114" t="n">
        <f aca="false">D56+E55</f>
        <v>-19217787.6336</v>
      </c>
      <c r="F56" s="114" t="n">
        <f aca="false">E56+F55</f>
        <v>-17718763.7888</v>
      </c>
      <c r="G56" s="114" t="n">
        <f aca="false">F56+G55</f>
        <v>-16226741.5696</v>
      </c>
      <c r="H56" s="114" t="n">
        <f aca="false">G56+H55</f>
        <v>-14741720.976</v>
      </c>
      <c r="I56" s="114" t="n">
        <f aca="false">H56+I55</f>
        <v>-13263702.008</v>
      </c>
      <c r="J56" s="114" t="n">
        <f aca="false">I56+J55</f>
        <v>-11792684.6656</v>
      </c>
      <c r="K56" s="114" t="n">
        <f aca="false">J56+K55</f>
        <v>-10328668.9488</v>
      </c>
      <c r="L56" s="114" t="n">
        <f aca="false">K56+L55</f>
        <v>-8871654.85760001</v>
      </c>
      <c r="M56" s="114" t="n">
        <f aca="false">L56+M55</f>
        <v>-7421642.39200001</v>
      </c>
      <c r="N56" s="114" t="n">
        <f aca="false">M56+N55</f>
        <v>-5943743.55200001</v>
      </c>
      <c r="O56" s="114" t="n">
        <f aca="false">N56+O55</f>
        <v>-4472846.33760001</v>
      </c>
      <c r="P56" s="114" t="n">
        <f aca="false">O56+P55</f>
        <v>-3008950.74880001</v>
      </c>
      <c r="Q56" s="114" t="n">
        <f aca="false">P56+Q55</f>
        <v>-1552056.78560001</v>
      </c>
      <c r="R56" s="114" t="n">
        <f aca="false">Q56+R55</f>
        <v>-102164.448000006</v>
      </c>
      <c r="S56" s="114" t="n">
        <f aca="false">R56+S55</f>
        <v>1340726.26399999</v>
      </c>
      <c r="T56" s="114" t="n">
        <f aca="false">S56+T55</f>
        <v>2776615.35039999</v>
      </c>
      <c r="U56" s="114" t="n">
        <f aca="false">T56+U55</f>
        <v>4205502.81119999</v>
      </c>
      <c r="V56" s="114" t="n">
        <f aca="false">U56+V55</f>
        <v>5627388.64639999</v>
      </c>
      <c r="W56" s="114" t="n">
        <f aca="false">V56+W55</f>
        <v>7042272.85599999</v>
      </c>
      <c r="X56" s="114" t="n">
        <f aca="false">W56+X55</f>
        <v>7042272.85599999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未回收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0.028066388239063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-1108940</v>
      </c>
      <c r="E67" s="127" t="n">
        <f aca="false">$C$44/$E$16</f>
        <v>-1108940</v>
      </c>
      <c r="F67" s="127" t="n">
        <f aca="false">$C$44/$E$16</f>
        <v>-1108940</v>
      </c>
      <c r="G67" s="127" t="n">
        <f aca="false">$C$44/$E$16</f>
        <v>-1108940</v>
      </c>
      <c r="H67" s="127" t="n">
        <f aca="false">$C$44/$E$16</f>
        <v>-1108940</v>
      </c>
      <c r="I67" s="127" t="n">
        <f aca="false">$C$44/$E$16</f>
        <v>-1108940</v>
      </c>
      <c r="J67" s="127" t="n">
        <f aca="false">$C$44/$E$16</f>
        <v>-1108940</v>
      </c>
      <c r="K67" s="127" t="n">
        <f aca="false">$C$44/$E$16</f>
        <v>-1108940</v>
      </c>
      <c r="L67" s="127" t="n">
        <f aca="false">$C$44/$E$16</f>
        <v>-1108940</v>
      </c>
      <c r="M67" s="127" t="n">
        <f aca="false">$C$44/$E$16</f>
        <v>-1108940</v>
      </c>
      <c r="N67" s="127" t="n">
        <f aca="false">$C$44/$E$16</f>
        <v>-1108940</v>
      </c>
      <c r="O67" s="127" t="n">
        <f aca="false">$C$44/$E$16</f>
        <v>-1108940</v>
      </c>
      <c r="P67" s="127" t="n">
        <f aca="false">$C$44/$E$16</f>
        <v>-1108940</v>
      </c>
      <c r="Q67" s="127" t="n">
        <f aca="false">$C$44/$E$16</f>
        <v>-1108940</v>
      </c>
      <c r="R67" s="127" t="n">
        <f aca="false">$C$44/$E$16</f>
        <v>-1108940</v>
      </c>
      <c r="S67" s="127" t="n">
        <f aca="false">$C$44/$E$16</f>
        <v>-1108940</v>
      </c>
      <c r="T67" s="127" t="n">
        <f aca="false">$C$44/$E$16</f>
        <v>-1108940</v>
      </c>
      <c r="U67" s="127" t="n">
        <f aca="false">$C$44/$E$16</f>
        <v>-1108940</v>
      </c>
      <c r="V67" s="127" t="n">
        <f aca="false">$C$44/$E$16</f>
        <v>-1108940</v>
      </c>
      <c r="W67" s="127" t="n">
        <f aca="false">$C$44/$E$16</f>
        <v>-1108940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-454221.824</v>
      </c>
      <c r="E70" s="104" t="n">
        <f aca="false">-E109*$D25</f>
        <v>-423940.369066667</v>
      </c>
      <c r="F70" s="104" t="n">
        <f aca="false">-F109*$D25</f>
        <v>-393658.914133334</v>
      </c>
      <c r="G70" s="104" t="n">
        <f aca="false">-G109*$D25</f>
        <v>-363377.4592</v>
      </c>
      <c r="H70" s="104" t="n">
        <f aca="false">-H109*$D25</f>
        <v>-333096.004266667</v>
      </c>
      <c r="I70" s="104" t="n">
        <f aca="false">-I109*$D25</f>
        <v>-302814.549333334</v>
      </c>
      <c r="J70" s="104" t="n">
        <f aca="false">-J109*$D25</f>
        <v>-272533.094400001</v>
      </c>
      <c r="K70" s="104" t="n">
        <f aca="false">-K109*$D25</f>
        <v>-242251.639466667</v>
      </c>
      <c r="L70" s="104" t="n">
        <f aca="false">-L109*$D25</f>
        <v>-211970.184533334</v>
      </c>
      <c r="M70" s="104" t="n">
        <f aca="false">-M109*$D25</f>
        <v>-181688.729600001</v>
      </c>
      <c r="N70" s="104" t="n">
        <f aca="false">-N109*$D25</f>
        <v>-151407.274666668</v>
      </c>
      <c r="O70" s="104" t="n">
        <f aca="false">-O109*$D25</f>
        <v>-121125.819733334</v>
      </c>
      <c r="P70" s="104" t="n">
        <f aca="false">-P109*$D25</f>
        <v>-90844.3648000011</v>
      </c>
      <c r="Q70" s="104" t="n">
        <f aca="false">-Q109*$D25</f>
        <v>-60562.9098666678</v>
      </c>
      <c r="R70" s="104" t="n">
        <f aca="false">-R109*$D25</f>
        <v>-30281.4549333346</v>
      </c>
      <c r="S70" s="104" t="n">
        <f aca="false">-S109*$D25</f>
        <v>-1.29938125610352E-009</v>
      </c>
      <c r="T70" s="104" t="n">
        <f aca="false">-T109*$D25</f>
        <v>-1.29938125610352E-009</v>
      </c>
      <c r="U70" s="104" t="n">
        <f aca="false">-U109*$D25</f>
        <v>-1.29938125610352E-009</v>
      </c>
      <c r="V70" s="104" t="n">
        <f aca="false">-V109*$D25</f>
        <v>-1.29938125610352E-009</v>
      </c>
      <c r="W70" s="104" t="n">
        <f aca="false">-W109*$D25</f>
        <v>-1.29938125610352E-009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-43828.05</v>
      </c>
      <c r="E72" s="104" t="n">
        <f aca="false">E49</f>
        <v>-43828.05</v>
      </c>
      <c r="F72" s="104" t="n">
        <f aca="false">F49</f>
        <v>-43828.05</v>
      </c>
      <c r="G72" s="104" t="n">
        <f aca="false">G49</f>
        <v>-43828.05</v>
      </c>
      <c r="H72" s="104" t="n">
        <f aca="false">H49</f>
        <v>-43828.05</v>
      </c>
      <c r="I72" s="104" t="n">
        <f aca="false">I49</f>
        <v>-43828.05</v>
      </c>
      <c r="J72" s="104" t="n">
        <f aca="false">J49</f>
        <v>-43828.05</v>
      </c>
      <c r="K72" s="104" t="n">
        <f aca="false">K49</f>
        <v>-43828.05</v>
      </c>
      <c r="L72" s="104" t="n">
        <f aca="false">L49</f>
        <v>-43828.05</v>
      </c>
      <c r="M72" s="104" t="n">
        <f aca="false">M49</f>
        <v>-43828.05</v>
      </c>
      <c r="N72" s="104" t="n">
        <f aca="false">N49</f>
        <v>-43828.05</v>
      </c>
      <c r="O72" s="104" t="n">
        <f aca="false">O49</f>
        <v>-43828.05</v>
      </c>
      <c r="P72" s="104" t="n">
        <f aca="false">P49</f>
        <v>-43828.05</v>
      </c>
      <c r="Q72" s="104" t="n">
        <f aca="false">Q49</f>
        <v>-43828.05</v>
      </c>
      <c r="R72" s="104" t="n">
        <f aca="false">R49</f>
        <v>-43828.05</v>
      </c>
      <c r="S72" s="104" t="n">
        <f aca="false">S49</f>
        <v>-43828.05</v>
      </c>
      <c r="T72" s="104" t="n">
        <f aca="false">T49</f>
        <v>-43828.05</v>
      </c>
      <c r="U72" s="104" t="n">
        <f aca="false">U49</f>
        <v>-43828.05</v>
      </c>
      <c r="V72" s="104" t="n">
        <f aca="false">V49</f>
        <v>-43828.05</v>
      </c>
      <c r="W72" s="104" t="n">
        <f aca="false">W49</f>
        <v>-43828.05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341088.046</v>
      </c>
      <c r="E76" s="109" t="n">
        <f aca="false">SUM(E64:E75)</f>
        <v>72416.4689333327</v>
      </c>
      <c r="F76" s="109" t="n">
        <f aca="false">SUM(F64:F75)</f>
        <v>93945.8918666663</v>
      </c>
      <c r="G76" s="109" t="n">
        <f aca="false">SUM(G64:G75)</f>
        <v>115475.314799999</v>
      </c>
      <c r="H76" s="109" t="n">
        <f aca="false">SUM(H64:H75)</f>
        <v>137004.737733333</v>
      </c>
      <c r="I76" s="109" t="n">
        <f aca="false">SUM(I64:I75)</f>
        <v>158534.160666666</v>
      </c>
      <c r="J76" s="109" t="n">
        <f aca="false">SUM(J64:J75)</f>
        <v>180063.583599999</v>
      </c>
      <c r="K76" s="109" t="n">
        <f aca="false">SUM(K64:K75)</f>
        <v>201593.006533332</v>
      </c>
      <c r="L76" s="109" t="n">
        <f aca="false">SUM(L64:L75)</f>
        <v>223122.429466666</v>
      </c>
      <c r="M76" s="109" t="n">
        <f aca="false">SUM(M64:M75)</f>
        <v>244651.852399999</v>
      </c>
      <c r="N76" s="109" t="n">
        <f aca="false">SUM(N64:N75)</f>
        <v>309791.275333332</v>
      </c>
      <c r="O76" s="109" t="n">
        <f aca="false">SUM(O64:O75)</f>
        <v>331320.698266665</v>
      </c>
      <c r="P76" s="109" t="n">
        <f aca="false">SUM(P64:P75)</f>
        <v>352850.121199999</v>
      </c>
      <c r="Q76" s="109" t="n">
        <f aca="false">SUM(Q64:Q75)</f>
        <v>374379.544133332</v>
      </c>
      <c r="R76" s="109" t="n">
        <f aca="false">SUM(R64:R75)</f>
        <v>395908.967066665</v>
      </c>
      <c r="S76" s="109" t="n">
        <f aca="false">SUM(S64:S75)</f>
        <v>417438.389999998</v>
      </c>
      <c r="T76" s="109" t="n">
        <f aca="false">SUM(T64:T75)</f>
        <v>408686.357999998</v>
      </c>
      <c r="U76" s="109" t="n">
        <f aca="false">SUM(U64:U75)</f>
        <v>399934.325999998</v>
      </c>
      <c r="V76" s="109" t="n">
        <f aca="false">SUM(V64:V75)</f>
        <v>391182.293999998</v>
      </c>
      <c r="W76" s="109" t="n">
        <f aca="false">SUM(W64:W75)</f>
        <v>382430.261999998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-68217.6091999999</v>
      </c>
      <c r="E77" s="104" t="n">
        <f aca="false">-E76*0.2</f>
        <v>-14483.2937866665</v>
      </c>
      <c r="F77" s="104" t="n">
        <f aca="false">-F76*0.2</f>
        <v>-18789.1783733333</v>
      </c>
      <c r="G77" s="104" t="n">
        <f aca="false">-G76*0.2</f>
        <v>-23095.0629599999</v>
      </c>
      <c r="H77" s="104" t="n">
        <f aca="false">-H76*0.2</f>
        <v>-27400.9475466665</v>
      </c>
      <c r="I77" s="104" t="n">
        <f aca="false">-I76*0.2</f>
        <v>-31706.8321333331</v>
      </c>
      <c r="J77" s="104" t="n">
        <f aca="false">-J76*0.2</f>
        <v>-36012.7167199999</v>
      </c>
      <c r="K77" s="104" t="n">
        <f aca="false">-K76*0.2</f>
        <v>-40318.6013066665</v>
      </c>
      <c r="L77" s="104" t="n">
        <f aca="false">-L76*0.2</f>
        <v>-44624.4858933331</v>
      </c>
      <c r="M77" s="104" t="n">
        <f aca="false">-M76*0.2</f>
        <v>-48930.3704799998</v>
      </c>
      <c r="N77" s="104" t="n">
        <f aca="false">-N76*0.2</f>
        <v>-61958.2550666664</v>
      </c>
      <c r="O77" s="104" t="n">
        <f aca="false">-O76*0.2</f>
        <v>-66264.1396533331</v>
      </c>
      <c r="P77" s="104" t="n">
        <f aca="false">-P76*0.2</f>
        <v>-70570.0242399997</v>
      </c>
      <c r="Q77" s="104" t="n">
        <f aca="false">-Q76*0.2</f>
        <v>-74875.9088266664</v>
      </c>
      <c r="R77" s="104" t="n">
        <f aca="false">-R76*0.2</f>
        <v>-79181.793413333</v>
      </c>
      <c r="S77" s="104" t="n">
        <f aca="false">-S76*0.2</f>
        <v>-83487.6779999997</v>
      </c>
      <c r="T77" s="104" t="n">
        <f aca="false">-T76*0.2</f>
        <v>-81737.2715999997</v>
      </c>
      <c r="U77" s="104" t="n">
        <f aca="false">-U76*0.2</f>
        <v>-79986.8651999997</v>
      </c>
      <c r="V77" s="104" t="n">
        <f aca="false">-V76*0.2</f>
        <v>-78236.4587999997</v>
      </c>
      <c r="W77" s="104" t="n">
        <f aca="false">-W76*0.2</f>
        <v>-76486.0523999997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272870.4368</v>
      </c>
      <c r="E78" s="104" t="n">
        <f aca="false">SUM(E76:E77)</f>
        <v>57933.1751466662</v>
      </c>
      <c r="F78" s="104" t="n">
        <f aca="false">SUM(F76:F77)</f>
        <v>75156.7134933331</v>
      </c>
      <c r="G78" s="104" t="n">
        <f aca="false">SUM(G76:G77)</f>
        <v>92380.2518399996</v>
      </c>
      <c r="H78" s="104" t="n">
        <f aca="false">SUM(H76:H77)</f>
        <v>109603.790186666</v>
      </c>
      <c r="I78" s="104" t="n">
        <f aca="false">SUM(I76:I77)</f>
        <v>126827.328533333</v>
      </c>
      <c r="J78" s="104" t="n">
        <f aca="false">SUM(J76:J77)</f>
        <v>144050.866879999</v>
      </c>
      <c r="K78" s="104" t="n">
        <f aca="false">SUM(K76:K77)</f>
        <v>161274.405226666</v>
      </c>
      <c r="L78" s="104" t="n">
        <f aca="false">SUM(L76:L77)</f>
        <v>178497.943573332</v>
      </c>
      <c r="M78" s="104" t="n">
        <f aca="false">SUM(M76:M77)</f>
        <v>195721.481919999</v>
      </c>
      <c r="N78" s="104" t="n">
        <f aca="false">SUM(N76:N77)</f>
        <v>247833.020266666</v>
      </c>
      <c r="O78" s="104" t="n">
        <f aca="false">SUM(O76:O77)</f>
        <v>265056.558613332</v>
      </c>
      <c r="P78" s="104" t="n">
        <f aca="false">SUM(P76:P77)</f>
        <v>282280.096959999</v>
      </c>
      <c r="Q78" s="104" t="n">
        <f aca="false">SUM(Q76:Q77)</f>
        <v>299503.635306666</v>
      </c>
      <c r="R78" s="104" t="n">
        <f aca="false">SUM(R76:R77)</f>
        <v>316727.173653332</v>
      </c>
      <c r="S78" s="104" t="n">
        <f aca="false">SUM(S76:S77)</f>
        <v>333950.711999999</v>
      </c>
      <c r="T78" s="104" t="n">
        <f aca="false">SUM(T76:T77)</f>
        <v>326949.086399999</v>
      </c>
      <c r="U78" s="104" t="n">
        <f aca="false">SUM(U76:U77)</f>
        <v>319947.460799999</v>
      </c>
      <c r="V78" s="104" t="n">
        <f aca="false">SUM(V76:V77)</f>
        <v>312945.835199999</v>
      </c>
      <c r="W78" s="104" t="n">
        <f aca="false">SUM(W76:W77)</f>
        <v>305944.209599999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272870.4368</v>
      </c>
      <c r="E85" s="143" t="n">
        <f aca="false">E78</f>
        <v>57933.1751466662</v>
      </c>
      <c r="F85" s="143" t="n">
        <f aca="false">F78</f>
        <v>75156.7134933331</v>
      </c>
      <c r="G85" s="143" t="n">
        <f aca="false">G78</f>
        <v>92380.2518399996</v>
      </c>
      <c r="H85" s="143" t="n">
        <f aca="false">H78</f>
        <v>109603.790186666</v>
      </c>
      <c r="I85" s="143" t="n">
        <f aca="false">I78</f>
        <v>126827.328533333</v>
      </c>
      <c r="J85" s="143" t="n">
        <f aca="false">J78</f>
        <v>144050.866879999</v>
      </c>
      <c r="K85" s="143" t="n">
        <f aca="false">K78</f>
        <v>161274.405226666</v>
      </c>
      <c r="L85" s="143" t="n">
        <f aca="false">L78</f>
        <v>178497.943573332</v>
      </c>
      <c r="M85" s="143" t="n">
        <f aca="false">M78</f>
        <v>195721.481919999</v>
      </c>
      <c r="N85" s="143" t="n">
        <f aca="false">N78</f>
        <v>247833.020266666</v>
      </c>
      <c r="O85" s="143" t="n">
        <f aca="false">O78</f>
        <v>265056.558613332</v>
      </c>
      <c r="P85" s="143" t="n">
        <f aca="false">P78</f>
        <v>282280.096959999</v>
      </c>
      <c r="Q85" s="143" t="n">
        <f aca="false">Q78</f>
        <v>299503.635306666</v>
      </c>
      <c r="R85" s="143" t="n">
        <f aca="false">R78</f>
        <v>316727.173653332</v>
      </c>
      <c r="S85" s="143" t="n">
        <f aca="false">S78</f>
        <v>333950.711999999</v>
      </c>
      <c r="T85" s="143" t="n">
        <f aca="false">T78</f>
        <v>326949.086399999</v>
      </c>
      <c r="U85" s="143" t="n">
        <f aca="false">U78</f>
        <v>319947.460799999</v>
      </c>
      <c r="V85" s="143" t="n">
        <f aca="false">V78</f>
        <v>312945.835199999</v>
      </c>
      <c r="W85" s="143" t="n">
        <f aca="false">W78</f>
        <v>305944.209599999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1108940</v>
      </c>
      <c r="E86" s="144" t="n">
        <f aca="false">-E67</f>
        <v>1108940</v>
      </c>
      <c r="F86" s="144" t="n">
        <f aca="false">-F67</f>
        <v>1108940</v>
      </c>
      <c r="G86" s="144" t="n">
        <f aca="false">-G67</f>
        <v>1108940</v>
      </c>
      <c r="H86" s="144" t="n">
        <f aca="false">-H67</f>
        <v>1108940</v>
      </c>
      <c r="I86" s="144" t="n">
        <f aca="false">-I67</f>
        <v>1108940</v>
      </c>
      <c r="J86" s="144" t="n">
        <f aca="false">-J67</f>
        <v>1108940</v>
      </c>
      <c r="K86" s="144" t="n">
        <f aca="false">-K67</f>
        <v>1108940</v>
      </c>
      <c r="L86" s="144" t="n">
        <f aca="false">-L67</f>
        <v>1108940</v>
      </c>
      <c r="M86" s="144" t="n">
        <f aca="false">-M67</f>
        <v>1108940</v>
      </c>
      <c r="N86" s="144" t="n">
        <f aca="false">-N67</f>
        <v>1108940</v>
      </c>
      <c r="O86" s="144" t="n">
        <f aca="false">-O67</f>
        <v>1108940</v>
      </c>
      <c r="P86" s="144" t="n">
        <f aca="false">-P67</f>
        <v>1108940</v>
      </c>
      <c r="Q86" s="144" t="n">
        <f aca="false">-Q67</f>
        <v>1108940</v>
      </c>
      <c r="R86" s="144" t="n">
        <f aca="false">-R67</f>
        <v>1108940</v>
      </c>
      <c r="S86" s="144" t="n">
        <f aca="false">-S67</f>
        <v>1108940</v>
      </c>
      <c r="T86" s="144" t="n">
        <f aca="false">-T67</f>
        <v>1108940</v>
      </c>
      <c r="U86" s="144" t="n">
        <f aca="false">-U67</f>
        <v>1108940</v>
      </c>
      <c r="V86" s="144" t="n">
        <f aca="false">-V67</f>
        <v>1108940</v>
      </c>
      <c r="W86" s="144" t="n">
        <f aca="false">-W67</f>
        <v>1108940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1381810.4368</v>
      </c>
      <c r="E87" s="146" t="n">
        <f aca="false">SUM(E85:E86)</f>
        <v>1166873.17514667</v>
      </c>
      <c r="F87" s="146" t="n">
        <f aca="false">SUM(F85:F86)</f>
        <v>1184096.71349333</v>
      </c>
      <c r="G87" s="146" t="n">
        <f aca="false">SUM(G85:G86)</f>
        <v>1201320.25184</v>
      </c>
      <c r="H87" s="146" t="n">
        <f aca="false">SUM(H85:H86)</f>
        <v>1218543.79018667</v>
      </c>
      <c r="I87" s="146" t="n">
        <f aca="false">SUM(I85:I86)</f>
        <v>1235767.32853333</v>
      </c>
      <c r="J87" s="146" t="n">
        <f aca="false">SUM(J85:J86)</f>
        <v>1252990.86688</v>
      </c>
      <c r="K87" s="146" t="n">
        <f aca="false">SUM(K85:K86)</f>
        <v>1270214.40522667</v>
      </c>
      <c r="L87" s="146" t="n">
        <f aca="false">SUM(L85:L86)</f>
        <v>1287437.94357333</v>
      </c>
      <c r="M87" s="146" t="n">
        <f aca="false">SUM(M85:M86)</f>
        <v>1304661.48192</v>
      </c>
      <c r="N87" s="146" t="n">
        <f aca="false">SUM(N85:N86)</f>
        <v>1356773.02026667</v>
      </c>
      <c r="O87" s="146" t="n">
        <f aca="false">SUM(O85:O86)</f>
        <v>1373996.55861333</v>
      </c>
      <c r="P87" s="146" t="n">
        <f aca="false">SUM(P85:P86)</f>
        <v>1391220.09696</v>
      </c>
      <c r="Q87" s="146" t="n">
        <f aca="false">SUM(Q85:Q86)</f>
        <v>1408443.63530667</v>
      </c>
      <c r="R87" s="146" t="n">
        <f aca="false">SUM(R85:R86)</f>
        <v>1425667.17365333</v>
      </c>
      <c r="S87" s="146" t="n">
        <f aca="false">SUM(S85:S86)</f>
        <v>1442890.712</v>
      </c>
      <c r="T87" s="146" t="n">
        <f aca="false">SUM(T85:T86)</f>
        <v>1435889.0864</v>
      </c>
      <c r="U87" s="146" t="n">
        <f aca="false">SUM(U85:U86)</f>
        <v>1428887.4608</v>
      </c>
      <c r="V87" s="146" t="n">
        <f aca="false">SUM(V85:V86)</f>
        <v>1421885.8352</v>
      </c>
      <c r="W87" s="146" t="n">
        <f aca="false">SUM(W85:W86)</f>
        <v>1414884.2096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-22178800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17743040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-1182869.33333333</v>
      </c>
      <c r="F93" s="152" t="n">
        <v>-1182869.33333333</v>
      </c>
      <c r="G93" s="152" t="n">
        <v>-1182869.33333333</v>
      </c>
      <c r="H93" s="152" t="n">
        <v>-1182869.33333333</v>
      </c>
      <c r="I93" s="152" t="n">
        <v>-1182869.33333333</v>
      </c>
      <c r="J93" s="152" t="n">
        <v>-1182869.33333333</v>
      </c>
      <c r="K93" s="152" t="n">
        <v>-1182869.33333333</v>
      </c>
      <c r="L93" s="152" t="n">
        <v>-1182869.33333333</v>
      </c>
      <c r="M93" s="152" t="n">
        <v>-1182869.33333333</v>
      </c>
      <c r="N93" s="152" t="n">
        <v>-1182869.33333333</v>
      </c>
      <c r="O93" s="152" t="n">
        <v>-1182869.33333333</v>
      </c>
      <c r="P93" s="152" t="n">
        <v>-1182869.33333333</v>
      </c>
      <c r="Q93" s="152" t="n">
        <v>-1182869.33333333</v>
      </c>
      <c r="R93" s="152" t="n">
        <v>-1182869.33333333</v>
      </c>
      <c r="S93" s="152" t="n">
        <v>-1182869.33333333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4435760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-245583.39312</v>
      </c>
      <c r="F95" s="153" t="n">
        <f aca="false">-E85*$D$33</f>
        <v>-52139.8576319995</v>
      </c>
      <c r="G95" s="153" t="n">
        <f aca="false">-F85*$D$33</f>
        <v>-67641.0421439997</v>
      </c>
      <c r="H95" s="153" t="n">
        <f aca="false">-G85*$D$33</f>
        <v>-83142.2266559996</v>
      </c>
      <c r="I95" s="153" t="n">
        <f aca="false">-H85*$D$33</f>
        <v>-98643.4111679994</v>
      </c>
      <c r="J95" s="153" t="n">
        <f aca="false">-I85*$D$33</f>
        <v>-114144.595679999</v>
      </c>
      <c r="K95" s="153" t="n">
        <f aca="false">-J85*$D$33</f>
        <v>-129645.780192</v>
      </c>
      <c r="L95" s="153" t="n">
        <f aca="false">-K85*$D$33</f>
        <v>-145146.964703999</v>
      </c>
      <c r="M95" s="153" t="n">
        <f aca="false">-L85*$D$33</f>
        <v>-160648.149215999</v>
      </c>
      <c r="N95" s="153" t="n">
        <f aca="false">-M85*$D$33</f>
        <v>-176149.333727999</v>
      </c>
      <c r="O95" s="153" t="n">
        <f aca="false">-N85*$D$33</f>
        <v>-223049.718239999</v>
      </c>
      <c r="P95" s="153" t="n">
        <f aca="false">-O85*$D$33</f>
        <v>-238550.902751999</v>
      </c>
      <c r="Q95" s="153" t="n">
        <f aca="false">-P85*$D$33</f>
        <v>-254052.087263999</v>
      </c>
      <c r="R95" s="153" t="n">
        <f aca="false">-Q85*$D$33</f>
        <v>-269553.271775999</v>
      </c>
      <c r="S95" s="153" t="n">
        <f aca="false">-R85*$D$33</f>
        <v>-285054.456287999</v>
      </c>
      <c r="T95" s="153" t="n">
        <f aca="false">-S85*$D$33</f>
        <v>-300555.640799999</v>
      </c>
      <c r="U95" s="153" t="n">
        <f aca="false">-T85*$D$33</f>
        <v>-294254.177759999</v>
      </c>
      <c r="V95" s="153" t="n">
        <f aca="false">-U85*$D$33</f>
        <v>-287952.714719999</v>
      </c>
      <c r="W95" s="153" t="n">
        <f aca="false">-V85*$D$33</f>
        <v>-281651.251679999</v>
      </c>
      <c r="X95" s="153" t="n">
        <f aca="false">-W85*$D$33</f>
        <v>-275349.788639999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-1108940</v>
      </c>
      <c r="U96" s="156" t="n">
        <v>-1108940</v>
      </c>
      <c r="V96" s="156" t="n">
        <v>-1108940</v>
      </c>
      <c r="W96" s="156" t="n">
        <v>-1108940</v>
      </c>
      <c r="X96" s="157" t="n">
        <f aca="false">-W101-X95</f>
        <v>-442545.418240053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1381810.4368</v>
      </c>
      <c r="E99" s="143" t="n">
        <f aca="false">SUM(E87:E96)</f>
        <v>-261579.551306663</v>
      </c>
      <c r="F99" s="143" t="n">
        <f aca="false">SUM(F87:F96)</f>
        <v>-50912.4774719963</v>
      </c>
      <c r="G99" s="143" t="n">
        <f aca="false">SUM(G87:G96)</f>
        <v>-49190.1236373299</v>
      </c>
      <c r="H99" s="143" t="n">
        <f aca="false">SUM(H87:H96)</f>
        <v>-47467.7698026634</v>
      </c>
      <c r="I99" s="143" t="n">
        <f aca="false">SUM(I87:I96)</f>
        <v>-45745.4159679966</v>
      </c>
      <c r="J99" s="143" t="n">
        <f aca="false">SUM(J87:J96)</f>
        <v>-44023.0621333297</v>
      </c>
      <c r="K99" s="143" t="n">
        <f aca="false">SUM(K87:K96)</f>
        <v>-42300.7082986633</v>
      </c>
      <c r="L99" s="143" t="n">
        <f aca="false">SUM(L87:L96)</f>
        <v>-40578.3544639967</v>
      </c>
      <c r="M99" s="143" t="n">
        <f aca="false">SUM(M87:M96)</f>
        <v>-38856.0006293297</v>
      </c>
      <c r="N99" s="143" t="n">
        <f aca="false">SUM(N87:N96)</f>
        <v>-2245.64679466339</v>
      </c>
      <c r="O99" s="143" t="n">
        <f aca="false">SUM(O87:O96)</f>
        <v>-31922.4929599967</v>
      </c>
      <c r="P99" s="143" t="n">
        <f aca="false">SUM(P87:P96)</f>
        <v>-30200.1391253301</v>
      </c>
      <c r="Q99" s="143" t="n">
        <f aca="false">SUM(Q87:Q96)</f>
        <v>-28477.7852906633</v>
      </c>
      <c r="R99" s="143" t="n">
        <f aca="false">SUM(R87:R96)</f>
        <v>-26755.4314559967</v>
      </c>
      <c r="S99" s="143" t="n">
        <f aca="false">SUM(S87:S96)</f>
        <v>-25033.07762133</v>
      </c>
      <c r="T99" s="143" t="n">
        <f aca="false">SUM(T87:T96)</f>
        <v>26393.4456000002</v>
      </c>
      <c r="U99" s="143" t="n">
        <f aca="false">SUM(U87:U96)</f>
        <v>25693.2830400004</v>
      </c>
      <c r="V99" s="143" t="n">
        <f aca="false">SUM(V87:V96)</f>
        <v>24993.12048</v>
      </c>
      <c r="W99" s="143" t="n">
        <f aca="false">SUM(W87:W96)</f>
        <v>24292.9579200002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1381810.4368</v>
      </c>
      <c r="F100" s="143" t="n">
        <f aca="false">E101</f>
        <v>1120230.88549334</v>
      </c>
      <c r="G100" s="143" t="n">
        <f aca="false">F101</f>
        <v>1069318.40802134</v>
      </c>
      <c r="H100" s="143" t="n">
        <f aca="false">G101</f>
        <v>1020128.28438401</v>
      </c>
      <c r="I100" s="143" t="n">
        <f aca="false">H101</f>
        <v>972660.514581347</v>
      </c>
      <c r="J100" s="143" t="n">
        <f aca="false">I101</f>
        <v>926915.09861335</v>
      </c>
      <c r="K100" s="143" t="n">
        <f aca="false">J101</f>
        <v>882892.036480021</v>
      </c>
      <c r="L100" s="143" t="n">
        <f aca="false">K101</f>
        <v>840591.328181357</v>
      </c>
      <c r="M100" s="143" t="n">
        <f aca="false">L101</f>
        <v>800012.973717361</v>
      </c>
      <c r="N100" s="143" t="n">
        <f aca="false">M101</f>
        <v>761156.973088031</v>
      </c>
      <c r="O100" s="143" t="n">
        <f aca="false">N101</f>
        <v>758911.326293367</v>
      </c>
      <c r="P100" s="143" t="n">
        <f aca="false">O101</f>
        <v>726988.833333371</v>
      </c>
      <c r="Q100" s="143" t="n">
        <f aca="false">P101</f>
        <v>696788.694208041</v>
      </c>
      <c r="R100" s="143" t="n">
        <f aca="false">Q101</f>
        <v>668310.908917377</v>
      </c>
      <c r="S100" s="143" t="n">
        <f aca="false">R101</f>
        <v>641555.477461381</v>
      </c>
      <c r="T100" s="143" t="n">
        <f aca="false">S101</f>
        <v>616522.399840051</v>
      </c>
      <c r="U100" s="143" t="n">
        <f aca="false">T101</f>
        <v>642915.845440051</v>
      </c>
      <c r="V100" s="143" t="n">
        <f aca="false">U101</f>
        <v>668609.128480051</v>
      </c>
      <c r="W100" s="143" t="n">
        <f aca="false">V101</f>
        <v>693602.248960051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1381810.4368</v>
      </c>
      <c r="E101" s="143" t="n">
        <f aca="false">E99+E100</f>
        <v>1120230.88549334</v>
      </c>
      <c r="F101" s="143" t="n">
        <f aca="false">F99+F100</f>
        <v>1069318.40802134</v>
      </c>
      <c r="G101" s="143" t="n">
        <f aca="false">G99+G100</f>
        <v>1020128.28438401</v>
      </c>
      <c r="H101" s="143" t="n">
        <f aca="false">H99+H100</f>
        <v>972660.514581347</v>
      </c>
      <c r="I101" s="143" t="n">
        <f aca="false">I99+I100</f>
        <v>926915.09861335</v>
      </c>
      <c r="J101" s="143" t="n">
        <f aca="false">J99+J100</f>
        <v>882892.036480021</v>
      </c>
      <c r="K101" s="143" t="n">
        <f aca="false">K99+K100</f>
        <v>840591.328181357</v>
      </c>
      <c r="L101" s="143" t="n">
        <f aca="false">L99+L100</f>
        <v>800012.973717361</v>
      </c>
      <c r="M101" s="143" t="n">
        <f aca="false">M99+M100</f>
        <v>761156.973088031</v>
      </c>
      <c r="N101" s="143" t="n">
        <f aca="false">N99+N100</f>
        <v>758911.326293367</v>
      </c>
      <c r="O101" s="143" t="n">
        <f aca="false">O99+O100</f>
        <v>726988.833333371</v>
      </c>
      <c r="P101" s="143" t="n">
        <f aca="false">P99+P100</f>
        <v>696788.694208041</v>
      </c>
      <c r="Q101" s="143" t="n">
        <f aca="false">Q99+Q100</f>
        <v>668310.908917377</v>
      </c>
      <c r="R101" s="143" t="n">
        <f aca="false">R99+R100</f>
        <v>641555.477461381</v>
      </c>
      <c r="S101" s="143" t="n">
        <f aca="false">S99+S100</f>
        <v>616522.399840051</v>
      </c>
      <c r="T101" s="143" t="n">
        <f aca="false">T99+T100</f>
        <v>642915.845440051</v>
      </c>
      <c r="U101" s="143" t="n">
        <f aca="false">U99+U100</f>
        <v>668609.128480051</v>
      </c>
      <c r="V101" s="143" t="n">
        <f aca="false">V99+V100</f>
        <v>693602.248960051</v>
      </c>
      <c r="W101" s="143" t="n">
        <f aca="false">W99+W100</f>
        <v>717895.206880051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-4435760</v>
      </c>
      <c r="E104" s="146" t="n">
        <f aca="false">-E95-E96</f>
        <v>245583.39312</v>
      </c>
      <c r="F104" s="146" t="n">
        <f aca="false">-F95-F96</f>
        <v>52139.8576319995</v>
      </c>
      <c r="G104" s="146" t="n">
        <f aca="false">-G95-G96</f>
        <v>67641.0421439997</v>
      </c>
      <c r="H104" s="146" t="n">
        <f aca="false">-H95-H96</f>
        <v>83142.2266559996</v>
      </c>
      <c r="I104" s="146" t="n">
        <f aca="false">-I95-I96</f>
        <v>98643.4111679994</v>
      </c>
      <c r="J104" s="146" t="n">
        <f aca="false">-J95-J96</f>
        <v>114144.595679999</v>
      </c>
      <c r="K104" s="146" t="n">
        <f aca="false">-K95-K96</f>
        <v>129645.780192</v>
      </c>
      <c r="L104" s="146" t="n">
        <f aca="false">-L95-L96</f>
        <v>145146.964703999</v>
      </c>
      <c r="M104" s="146" t="n">
        <f aca="false">-M95-M96</f>
        <v>160648.149215999</v>
      </c>
      <c r="N104" s="146" t="n">
        <f aca="false">-N95-N96</f>
        <v>176149.333727999</v>
      </c>
      <c r="O104" s="146" t="n">
        <f aca="false">-O95-O96</f>
        <v>223049.718239999</v>
      </c>
      <c r="P104" s="146" t="n">
        <f aca="false">-P95-P96</f>
        <v>238550.902751999</v>
      </c>
      <c r="Q104" s="146" t="n">
        <f aca="false">-Q95-Q96</f>
        <v>254052.087263999</v>
      </c>
      <c r="R104" s="146" t="n">
        <f aca="false">-R95-R96</f>
        <v>269553.271775999</v>
      </c>
      <c r="S104" s="146" t="n">
        <f aca="false">-S95-S96</f>
        <v>285054.456287999</v>
      </c>
      <c r="T104" s="146" t="n">
        <f aca="false">-T95-T96</f>
        <v>1409495.6408</v>
      </c>
      <c r="U104" s="146" t="n">
        <f aca="false">-U95-U96</f>
        <v>1403194.17776</v>
      </c>
      <c r="V104" s="146" t="n">
        <f aca="false">-V95-V96</f>
        <v>1396892.71472</v>
      </c>
      <c r="W104" s="146" t="n">
        <f aca="false">-W95-W96</f>
        <v>1390591.25168</v>
      </c>
      <c r="X104" s="146" t="n">
        <f aca="false">-X95-X96</f>
        <v>717895.206880051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0.0477538305573375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-4162889.5632</v>
      </c>
      <c r="E106" s="146" t="n">
        <f aca="false">E85</f>
        <v>57933.1751466662</v>
      </c>
      <c r="F106" s="146" t="n">
        <f aca="false">F85-F96</f>
        <v>75156.7134933331</v>
      </c>
      <c r="G106" s="146" t="n">
        <f aca="false">G85-G96</f>
        <v>92380.2518399996</v>
      </c>
      <c r="H106" s="146" t="n">
        <f aca="false">H85-H96</f>
        <v>109603.790186666</v>
      </c>
      <c r="I106" s="146" t="n">
        <f aca="false">I85-I96</f>
        <v>126827.328533333</v>
      </c>
      <c r="J106" s="146" t="n">
        <f aca="false">J85-J96</f>
        <v>144050.866879999</v>
      </c>
      <c r="K106" s="146" t="n">
        <f aca="false">K85-K96</f>
        <v>161274.405226666</v>
      </c>
      <c r="L106" s="146" t="n">
        <f aca="false">L85-L96</f>
        <v>178497.943573332</v>
      </c>
      <c r="M106" s="146" t="n">
        <f aca="false">M85-M96</f>
        <v>195721.481919999</v>
      </c>
      <c r="N106" s="146" t="n">
        <f aca="false">N85-N96</f>
        <v>247833.020266666</v>
      </c>
      <c r="O106" s="146" t="n">
        <f aca="false">O85-O96</f>
        <v>265056.558613332</v>
      </c>
      <c r="P106" s="146" t="n">
        <f aca="false">P85-P96</f>
        <v>282280.096959999</v>
      </c>
      <c r="Q106" s="146" t="n">
        <f aca="false">Q85-Q96</f>
        <v>299503.635306666</v>
      </c>
      <c r="R106" s="146" t="n">
        <f aca="false">R85-R96</f>
        <v>316727.173653332</v>
      </c>
      <c r="S106" s="146" t="n">
        <f aca="false">S85-S96</f>
        <v>333950.711999999</v>
      </c>
      <c r="T106" s="146" t="n">
        <f aca="false">T85-T96</f>
        <v>1435889.0864</v>
      </c>
      <c r="U106" s="146" t="n">
        <f aca="false">U85-U96</f>
        <v>1428887.4608</v>
      </c>
      <c r="V106" s="146" t="n">
        <f aca="false">V85-V96</f>
        <v>1421885.8352</v>
      </c>
      <c r="W106" s="146" t="n">
        <f aca="false">W85-W96</f>
        <v>1414884.2096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0.0513401629344174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17743040</v>
      </c>
      <c r="E109" s="143" t="n">
        <f aca="false">D109+E93</f>
        <v>16560170.6666667</v>
      </c>
      <c r="F109" s="143" t="n">
        <f aca="false">E109+F93</f>
        <v>15377301.3333333</v>
      </c>
      <c r="G109" s="143" t="n">
        <f aca="false">F109+G93</f>
        <v>14194432</v>
      </c>
      <c r="H109" s="143" t="n">
        <f aca="false">G109+H93</f>
        <v>13011562.6666667</v>
      </c>
      <c r="I109" s="143" t="n">
        <f aca="false">H109+I93</f>
        <v>11828693.3333334</v>
      </c>
      <c r="J109" s="143" t="n">
        <f aca="false">I109+J93</f>
        <v>10645824</v>
      </c>
      <c r="K109" s="143" t="n">
        <f aca="false">J109+K93</f>
        <v>9462954.66666669</v>
      </c>
      <c r="L109" s="143" t="n">
        <f aca="false">K109+L93</f>
        <v>8280085.33333336</v>
      </c>
      <c r="M109" s="143" t="n">
        <f aca="false">L109+M93</f>
        <v>7097216.00000003</v>
      </c>
      <c r="N109" s="143" t="n">
        <f aca="false">M109+N93</f>
        <v>5914346.6666667</v>
      </c>
      <c r="O109" s="143" t="n">
        <f aca="false">N109+O93</f>
        <v>4731477.33333337</v>
      </c>
      <c r="P109" s="143" t="n">
        <f aca="false">O109+P93</f>
        <v>3548608.00000004</v>
      </c>
      <c r="Q109" s="143" t="n">
        <f aca="false">P109+Q93</f>
        <v>2365738.66666671</v>
      </c>
      <c r="R109" s="143" t="n">
        <f aca="false">Q109+R93</f>
        <v>1182869.33333338</v>
      </c>
      <c r="S109" s="143" t="n">
        <f aca="false">R109+S93</f>
        <v>5.07570803165436E-008</v>
      </c>
      <c r="T109" s="143" t="n">
        <f aca="false">S109+T93</f>
        <v>5.07570803165436E-008</v>
      </c>
      <c r="U109" s="143" t="n">
        <f aca="false">T109+U93</f>
        <v>5.07570803165436E-008</v>
      </c>
      <c r="V109" s="143" t="n">
        <f aca="false">U109+V93</f>
        <v>5.07570803165436E-008</v>
      </c>
      <c r="W109" s="143" t="n">
        <f aca="false">V109+W93</f>
        <v>5.07570803165436E-008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201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156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202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203</v>
      </c>
    </row>
    <row r="8" customFormat="false" ht="22.5" hidden="false" customHeight="true" outlineLevel="0" collapsed="false">
      <c r="B8" s="16" t="s">
        <v>14</v>
      </c>
      <c r="E8" s="46"/>
      <c r="M8" s="1" t="s">
        <v>204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94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32000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-21244300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-41865.6</v>
      </c>
      <c r="E49" s="104" t="n">
        <v>-41865.6</v>
      </c>
      <c r="F49" s="104" t="n">
        <v>-41865.6</v>
      </c>
      <c r="G49" s="104" t="n">
        <v>-41865.6</v>
      </c>
      <c r="H49" s="104" t="n">
        <v>-41865.6</v>
      </c>
      <c r="I49" s="104" t="n">
        <v>-41865.6</v>
      </c>
      <c r="J49" s="104" t="n">
        <v>-41865.6</v>
      </c>
      <c r="K49" s="104" t="n">
        <v>-41865.6</v>
      </c>
      <c r="L49" s="104" t="n">
        <v>-41865.6</v>
      </c>
      <c r="M49" s="104" t="n">
        <v>-41865.6</v>
      </c>
      <c r="N49" s="104" t="n">
        <v>-41865.6</v>
      </c>
      <c r="O49" s="104" t="n">
        <v>-41865.6</v>
      </c>
      <c r="P49" s="104" t="n">
        <v>-41865.6</v>
      </c>
      <c r="Q49" s="104" t="n">
        <v>-41865.6</v>
      </c>
      <c r="R49" s="104" t="n">
        <v>-41865.6</v>
      </c>
      <c r="S49" s="104" t="n">
        <v>-41865.6</v>
      </c>
      <c r="T49" s="104" t="n">
        <v>-41865.6</v>
      </c>
      <c r="U49" s="104" t="n">
        <v>-41865.6</v>
      </c>
      <c r="V49" s="104" t="n">
        <v>-41865.6</v>
      </c>
      <c r="W49" s="104" t="n">
        <v>-41865.6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-168799.464</v>
      </c>
      <c r="E54" s="104" t="n">
        <f aca="false">-(E64+E67+E68+E71+E72+E73+E74)*0.2</f>
        <v>-109008.8576</v>
      </c>
      <c r="F54" s="104" t="n">
        <f aca="false">-(F64+F67+F68+F71+F72+F73+F74)*0.2</f>
        <v>-107258.4512</v>
      </c>
      <c r="G54" s="104" t="n">
        <f aca="false">-(G64+G67+G68+G71+G72+G73+G74)*0.2</f>
        <v>-105508.0448</v>
      </c>
      <c r="H54" s="104" t="n">
        <f aca="false">-(H64+H67+H68+H71+H72+H73+H74)*0.2</f>
        <v>-103757.6384</v>
      </c>
      <c r="I54" s="104" t="n">
        <f aca="false">-(I64+I67+I68+I71+I72+I73+I74)*0.2</f>
        <v>-102007.232</v>
      </c>
      <c r="J54" s="104" t="n">
        <f aca="false">-(J64+J67+J68+J71+J72+J73+J74)*0.2</f>
        <v>-100256.8256</v>
      </c>
      <c r="K54" s="104" t="n">
        <f aca="false">-(K64+K67+K68+K71+K72+K73+K74)*0.2</f>
        <v>-98506.4192</v>
      </c>
      <c r="L54" s="104" t="n">
        <f aca="false">-(L64+L67+L68+L71+L72+L73+L74)*0.2</f>
        <v>-96756.0127999999</v>
      </c>
      <c r="M54" s="104" t="n">
        <f aca="false">-(M64+M67+M68+M71+M72+M73+M74)*0.2</f>
        <v>-95005.6064</v>
      </c>
      <c r="N54" s="104" t="n">
        <f aca="false">-(N64+N67+N68+N71+N72+N73+N74)*0.2</f>
        <v>-101977.2</v>
      </c>
      <c r="O54" s="104" t="n">
        <f aca="false">-(O64+O67+O68+O71+O72+O73+O74)*0.2</f>
        <v>-100226.7936</v>
      </c>
      <c r="P54" s="104" t="n">
        <f aca="false">-(P64+P67+P68+P71+P72+P73+P74)*0.2</f>
        <v>-98476.3871999999</v>
      </c>
      <c r="Q54" s="104" t="n">
        <f aca="false">-(Q64+Q67+Q68+Q71+Q72+Q73+Q74)*0.2</f>
        <v>-96725.9808</v>
      </c>
      <c r="R54" s="104" t="n">
        <f aca="false">-(R64+R67+R68+R71+R72+R73+R74)*0.2</f>
        <v>-94975.5743999999</v>
      </c>
      <c r="S54" s="104" t="n">
        <f aca="false">-(S64+S67+S68+S71+S72+S73+S74)*0.2</f>
        <v>-93225.168</v>
      </c>
      <c r="T54" s="104" t="n">
        <f aca="false">-(T64+T67+T68+T71+T72+T73+T74)*0.2</f>
        <v>-91474.7615999999</v>
      </c>
      <c r="U54" s="104" t="n">
        <f aca="false">-(U64+U67+U68+U71+U72+U73+U74)*0.2</f>
        <v>-89724.3552</v>
      </c>
      <c r="V54" s="104" t="n">
        <f aca="false">-(V64+V67+V68+V71+V72+V73+V74)*0.2</f>
        <v>-87973.9487999999</v>
      </c>
      <c r="W54" s="104" t="n">
        <f aca="false">-(W64+W67+W68+W71+W72+W73+W74)*0.2</f>
        <v>-86223.5424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-21244300</v>
      </c>
      <c r="D55" s="109" t="n">
        <f aca="false">SUM(D41:D54)</f>
        <v>1447211.856</v>
      </c>
      <c r="E55" s="109" t="n">
        <f aca="false">SUM(E41:E54)</f>
        <v>1498250.4304</v>
      </c>
      <c r="F55" s="109" t="n">
        <f aca="false">SUM(F41:F54)</f>
        <v>1491248.8048</v>
      </c>
      <c r="G55" s="109" t="n">
        <f aca="false">SUM(G41:G54)</f>
        <v>1484247.1792</v>
      </c>
      <c r="H55" s="109" t="n">
        <f aca="false">SUM(H41:H54)</f>
        <v>1477245.5536</v>
      </c>
      <c r="I55" s="109" t="n">
        <f aca="false">SUM(I41:I54)</f>
        <v>1470243.928</v>
      </c>
      <c r="J55" s="109" t="n">
        <f aca="false">SUM(J41:J54)</f>
        <v>1463242.3024</v>
      </c>
      <c r="K55" s="109" t="n">
        <f aca="false">SUM(K41:K54)</f>
        <v>1456240.6768</v>
      </c>
      <c r="L55" s="109" t="n">
        <f aca="false">SUM(L41:L54)</f>
        <v>1449239.0512</v>
      </c>
      <c r="M55" s="109" t="n">
        <f aca="false">SUM(M41:M54)</f>
        <v>1442237.4256</v>
      </c>
      <c r="N55" s="109" t="n">
        <f aca="false">SUM(N41:N54)</f>
        <v>1470123.8</v>
      </c>
      <c r="O55" s="109" t="n">
        <f aca="false">SUM(O41:O54)</f>
        <v>1463122.1744</v>
      </c>
      <c r="P55" s="109" t="n">
        <f aca="false">SUM(P41:P54)</f>
        <v>1456120.5488</v>
      </c>
      <c r="Q55" s="109" t="n">
        <f aca="false">SUM(Q41:Q54)</f>
        <v>1449118.9232</v>
      </c>
      <c r="R55" s="109" t="n">
        <f aca="false">SUM(R41:R54)</f>
        <v>1442117.2976</v>
      </c>
      <c r="S55" s="109" t="n">
        <f aca="false">SUM(S41:S54)</f>
        <v>1435115.672</v>
      </c>
      <c r="T55" s="109" t="n">
        <f aca="false">SUM(T41:T54)</f>
        <v>1428114.0464</v>
      </c>
      <c r="U55" s="109" t="n">
        <f aca="false">SUM(U41:U54)</f>
        <v>1421112.4208</v>
      </c>
      <c r="V55" s="109" t="n">
        <f aca="false">SUM(V41:V54)</f>
        <v>1414110.7952</v>
      </c>
      <c r="W55" s="109" t="n">
        <f aca="false">SUM(W41:W54)</f>
        <v>1407109.1696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-19797088.144</v>
      </c>
      <c r="E56" s="114" t="n">
        <f aca="false">D56+E55</f>
        <v>-18298837.7136</v>
      </c>
      <c r="F56" s="114" t="n">
        <f aca="false">E56+F55</f>
        <v>-16807588.9088</v>
      </c>
      <c r="G56" s="114" t="n">
        <f aca="false">F56+G55</f>
        <v>-15323341.7296</v>
      </c>
      <c r="H56" s="114" t="n">
        <f aca="false">G56+H55</f>
        <v>-13846096.176</v>
      </c>
      <c r="I56" s="114" t="n">
        <f aca="false">H56+I55</f>
        <v>-12375852.248</v>
      </c>
      <c r="J56" s="114" t="n">
        <f aca="false">I56+J55</f>
        <v>-10912609.9456</v>
      </c>
      <c r="K56" s="114" t="n">
        <f aca="false">J56+K55</f>
        <v>-9456369.26880001</v>
      </c>
      <c r="L56" s="114" t="n">
        <f aca="false">K56+L55</f>
        <v>-8007130.21760001</v>
      </c>
      <c r="M56" s="114" t="n">
        <f aca="false">L56+M55</f>
        <v>-6564892.79200001</v>
      </c>
      <c r="N56" s="114" t="n">
        <f aca="false">M56+N55</f>
        <v>-5094768.99200001</v>
      </c>
      <c r="O56" s="114" t="n">
        <f aca="false">N56+O55</f>
        <v>-3631646.81760001</v>
      </c>
      <c r="P56" s="114" t="n">
        <f aca="false">O56+P55</f>
        <v>-2175526.26880001</v>
      </c>
      <c r="Q56" s="114" t="n">
        <f aca="false">P56+Q55</f>
        <v>-726407.345600008</v>
      </c>
      <c r="R56" s="114" t="n">
        <f aca="false">Q56+R55</f>
        <v>715709.951999991</v>
      </c>
      <c r="S56" s="114" t="n">
        <f aca="false">R56+S55</f>
        <v>2150825.62399999</v>
      </c>
      <c r="T56" s="114" t="n">
        <f aca="false">S56+T55</f>
        <v>3578939.67039999</v>
      </c>
      <c r="U56" s="114" t="n">
        <f aca="false">T56+U55</f>
        <v>5000052.09119999</v>
      </c>
      <c r="V56" s="114" t="n">
        <f aca="false">U56+V55</f>
        <v>6414162.88639999</v>
      </c>
      <c r="W56" s="114" t="n">
        <f aca="false">V56+W55</f>
        <v>7821272.05599999</v>
      </c>
      <c r="X56" s="114" t="n">
        <f aca="false">W56+X55</f>
        <v>7821272.05599999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未回收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0.0321817764184796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-1062215</v>
      </c>
      <c r="E67" s="127" t="n">
        <f aca="false">$C$44/$E$16</f>
        <v>-1062215</v>
      </c>
      <c r="F67" s="127" t="n">
        <f aca="false">$C$44/$E$16</f>
        <v>-1062215</v>
      </c>
      <c r="G67" s="127" t="n">
        <f aca="false">$C$44/$E$16</f>
        <v>-1062215</v>
      </c>
      <c r="H67" s="127" t="n">
        <f aca="false">$C$44/$E$16</f>
        <v>-1062215</v>
      </c>
      <c r="I67" s="127" t="n">
        <f aca="false">$C$44/$E$16</f>
        <v>-1062215</v>
      </c>
      <c r="J67" s="127" t="n">
        <f aca="false">$C$44/$E$16</f>
        <v>-1062215</v>
      </c>
      <c r="K67" s="127" t="n">
        <f aca="false">$C$44/$E$16</f>
        <v>-1062215</v>
      </c>
      <c r="L67" s="127" t="n">
        <f aca="false">$C$44/$E$16</f>
        <v>-1062215</v>
      </c>
      <c r="M67" s="127" t="n">
        <f aca="false">$C$44/$E$16</f>
        <v>-1062215</v>
      </c>
      <c r="N67" s="127" t="n">
        <f aca="false">$C$44/$E$16</f>
        <v>-1062215</v>
      </c>
      <c r="O67" s="127" t="n">
        <f aca="false">$C$44/$E$16</f>
        <v>-1062215</v>
      </c>
      <c r="P67" s="127" t="n">
        <f aca="false">$C$44/$E$16</f>
        <v>-1062215</v>
      </c>
      <c r="Q67" s="127" t="n">
        <f aca="false">$C$44/$E$16</f>
        <v>-1062215</v>
      </c>
      <c r="R67" s="127" t="n">
        <f aca="false">$C$44/$E$16</f>
        <v>-1062215</v>
      </c>
      <c r="S67" s="127" t="n">
        <f aca="false">$C$44/$E$16</f>
        <v>-1062215</v>
      </c>
      <c r="T67" s="127" t="n">
        <f aca="false">$C$44/$E$16</f>
        <v>-1062215</v>
      </c>
      <c r="U67" s="127" t="n">
        <f aca="false">$C$44/$E$16</f>
        <v>-1062215</v>
      </c>
      <c r="V67" s="127" t="n">
        <f aca="false">$C$44/$E$16</f>
        <v>-1062215</v>
      </c>
      <c r="W67" s="127" t="n">
        <f aca="false">$C$44/$E$16</f>
        <v>-1062215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-435083.264</v>
      </c>
      <c r="E70" s="104" t="n">
        <f aca="false">-E109*$D25</f>
        <v>-406077.713066667</v>
      </c>
      <c r="F70" s="104" t="n">
        <f aca="false">-F109*$D25</f>
        <v>-377072.162133334</v>
      </c>
      <c r="G70" s="104" t="n">
        <f aca="false">-G109*$D25</f>
        <v>-348066.6112</v>
      </c>
      <c r="H70" s="104" t="n">
        <f aca="false">-H109*$D25</f>
        <v>-319061.060266667</v>
      </c>
      <c r="I70" s="104" t="n">
        <f aca="false">-I109*$D25</f>
        <v>-290055.509333334</v>
      </c>
      <c r="J70" s="104" t="n">
        <f aca="false">-J109*$D25</f>
        <v>-261049.958400001</v>
      </c>
      <c r="K70" s="104" t="n">
        <f aca="false">-K109*$D25</f>
        <v>-232044.407466667</v>
      </c>
      <c r="L70" s="104" t="n">
        <f aca="false">-L109*$D25</f>
        <v>-203038.856533334</v>
      </c>
      <c r="M70" s="104" t="n">
        <f aca="false">-M109*$D25</f>
        <v>-174033.305600001</v>
      </c>
      <c r="N70" s="104" t="n">
        <f aca="false">-N109*$D25</f>
        <v>-145027.754666668</v>
      </c>
      <c r="O70" s="104" t="n">
        <f aca="false">-O109*$D25</f>
        <v>-116022.203733334</v>
      </c>
      <c r="P70" s="104" t="n">
        <f aca="false">-P109*$D25</f>
        <v>-87016.6528000011</v>
      </c>
      <c r="Q70" s="104" t="n">
        <f aca="false">-Q109*$D25</f>
        <v>-58011.1018666678</v>
      </c>
      <c r="R70" s="104" t="n">
        <f aca="false">-R109*$D25</f>
        <v>-29005.5509333345</v>
      </c>
      <c r="S70" s="104" t="n">
        <f aca="false">-S109*$D25</f>
        <v>-1.29938125610352E-009</v>
      </c>
      <c r="T70" s="104" t="n">
        <f aca="false">-T109*$D25</f>
        <v>-1.29938125610352E-009</v>
      </c>
      <c r="U70" s="104" t="n">
        <f aca="false">-U109*$D25</f>
        <v>-1.29938125610352E-009</v>
      </c>
      <c r="V70" s="104" t="n">
        <f aca="false">-V109*$D25</f>
        <v>-1.29938125610352E-009</v>
      </c>
      <c r="W70" s="104" t="n">
        <f aca="false">-W109*$D25</f>
        <v>-1.29938125610352E-009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-41865.6</v>
      </c>
      <c r="E72" s="104" t="n">
        <f aca="false">E49</f>
        <v>-41865.6</v>
      </c>
      <c r="F72" s="104" t="n">
        <f aca="false">F49</f>
        <v>-41865.6</v>
      </c>
      <c r="G72" s="104" t="n">
        <f aca="false">G49</f>
        <v>-41865.6</v>
      </c>
      <c r="H72" s="104" t="n">
        <f aca="false">H49</f>
        <v>-41865.6</v>
      </c>
      <c r="I72" s="104" t="n">
        <f aca="false">I49</f>
        <v>-41865.6</v>
      </c>
      <c r="J72" s="104" t="n">
        <f aca="false">J49</f>
        <v>-41865.6</v>
      </c>
      <c r="K72" s="104" t="n">
        <f aca="false">K49</f>
        <v>-41865.6</v>
      </c>
      <c r="L72" s="104" t="n">
        <f aca="false">L49</f>
        <v>-41865.6</v>
      </c>
      <c r="M72" s="104" t="n">
        <f aca="false">M49</f>
        <v>-41865.6</v>
      </c>
      <c r="N72" s="104" t="n">
        <f aca="false">N49</f>
        <v>-41865.6</v>
      </c>
      <c r="O72" s="104" t="n">
        <f aca="false">O49</f>
        <v>-41865.6</v>
      </c>
      <c r="P72" s="104" t="n">
        <f aca="false">P49</f>
        <v>-41865.6</v>
      </c>
      <c r="Q72" s="104" t="n">
        <f aca="false">Q49</f>
        <v>-41865.6</v>
      </c>
      <c r="R72" s="104" t="n">
        <f aca="false">R49</f>
        <v>-41865.6</v>
      </c>
      <c r="S72" s="104" t="n">
        <f aca="false">S49</f>
        <v>-41865.6</v>
      </c>
      <c r="T72" s="104" t="n">
        <f aca="false">T49</f>
        <v>-41865.6</v>
      </c>
      <c r="U72" s="104" t="n">
        <f aca="false">U49</f>
        <v>-41865.6</v>
      </c>
      <c r="V72" s="104" t="n">
        <f aca="false">V49</f>
        <v>-41865.6</v>
      </c>
      <c r="W72" s="104" t="n">
        <f aca="false">W49</f>
        <v>-41865.6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408914.056</v>
      </c>
      <c r="E76" s="109" t="n">
        <f aca="false">SUM(E64:E75)</f>
        <v>138966.574933333</v>
      </c>
      <c r="F76" s="109" t="n">
        <f aca="false">SUM(F64:F75)</f>
        <v>159220.093866666</v>
      </c>
      <c r="G76" s="109" t="n">
        <f aca="false">SUM(G64:G75)</f>
        <v>179473.612799999</v>
      </c>
      <c r="H76" s="109" t="n">
        <f aca="false">SUM(H64:H75)</f>
        <v>199727.131733333</v>
      </c>
      <c r="I76" s="109" t="n">
        <f aca="false">SUM(I64:I75)</f>
        <v>219980.650666666</v>
      </c>
      <c r="J76" s="109" t="n">
        <f aca="false">SUM(J64:J75)</f>
        <v>240234.169599999</v>
      </c>
      <c r="K76" s="109" t="n">
        <f aca="false">SUM(K64:K75)</f>
        <v>260487.688533332</v>
      </c>
      <c r="L76" s="109" t="n">
        <f aca="false">SUM(L64:L75)</f>
        <v>280741.207466666</v>
      </c>
      <c r="M76" s="109" t="n">
        <f aca="false">SUM(M64:M75)</f>
        <v>300994.726399999</v>
      </c>
      <c r="N76" s="109" t="n">
        <f aca="false">SUM(N64:N75)</f>
        <v>364858.245333332</v>
      </c>
      <c r="O76" s="109" t="n">
        <f aca="false">SUM(O64:O75)</f>
        <v>385111.764266665</v>
      </c>
      <c r="P76" s="109" t="n">
        <f aca="false">SUM(P64:P75)</f>
        <v>405365.283199999</v>
      </c>
      <c r="Q76" s="109" t="n">
        <f aca="false">SUM(Q64:Q75)</f>
        <v>425618.802133332</v>
      </c>
      <c r="R76" s="109" t="n">
        <f aca="false">SUM(R64:R75)</f>
        <v>445872.321066665</v>
      </c>
      <c r="S76" s="109" t="n">
        <f aca="false">SUM(S64:S75)</f>
        <v>466125.839999998</v>
      </c>
      <c r="T76" s="109" t="n">
        <f aca="false">SUM(T64:T75)</f>
        <v>457373.807999998</v>
      </c>
      <c r="U76" s="109" t="n">
        <f aca="false">SUM(U64:U75)</f>
        <v>448621.775999998</v>
      </c>
      <c r="V76" s="109" t="n">
        <f aca="false">SUM(V64:V75)</f>
        <v>439869.743999998</v>
      </c>
      <c r="W76" s="109" t="n">
        <f aca="false">SUM(W64:W75)</f>
        <v>431117.711999998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-81782.8111999999</v>
      </c>
      <c r="E77" s="104" t="n">
        <f aca="false">-E76*0.2</f>
        <v>-27793.3149866665</v>
      </c>
      <c r="F77" s="104" t="n">
        <f aca="false">-F76*0.2</f>
        <v>-31844.0187733333</v>
      </c>
      <c r="G77" s="104" t="n">
        <f aca="false">-G76*0.2</f>
        <v>-35894.7225599999</v>
      </c>
      <c r="H77" s="104" t="n">
        <f aca="false">-H76*0.2</f>
        <v>-39945.4263466665</v>
      </c>
      <c r="I77" s="104" t="n">
        <f aca="false">-I76*0.2</f>
        <v>-43996.1301333332</v>
      </c>
      <c r="J77" s="104" t="n">
        <f aca="false">-J76*0.2</f>
        <v>-48046.8339199999</v>
      </c>
      <c r="K77" s="104" t="n">
        <f aca="false">-K76*0.2</f>
        <v>-52097.5377066665</v>
      </c>
      <c r="L77" s="104" t="n">
        <f aca="false">-L76*0.2</f>
        <v>-56148.2414933331</v>
      </c>
      <c r="M77" s="104" t="n">
        <f aca="false">-M76*0.2</f>
        <v>-60198.9452799998</v>
      </c>
      <c r="N77" s="104" t="n">
        <f aca="false">-N76*0.2</f>
        <v>-72971.6490666664</v>
      </c>
      <c r="O77" s="104" t="n">
        <f aca="false">-O76*0.2</f>
        <v>-77022.3528533331</v>
      </c>
      <c r="P77" s="104" t="n">
        <f aca="false">-P76*0.2</f>
        <v>-81073.0566399997</v>
      </c>
      <c r="Q77" s="104" t="n">
        <f aca="false">-Q76*0.2</f>
        <v>-85123.7604266664</v>
      </c>
      <c r="R77" s="104" t="n">
        <f aca="false">-R76*0.2</f>
        <v>-89174.464213333</v>
      </c>
      <c r="S77" s="104" t="n">
        <f aca="false">-S76*0.2</f>
        <v>-93225.1679999997</v>
      </c>
      <c r="T77" s="104" t="n">
        <f aca="false">-T76*0.2</f>
        <v>-91474.7615999997</v>
      </c>
      <c r="U77" s="104" t="n">
        <f aca="false">-U76*0.2</f>
        <v>-89724.3551999997</v>
      </c>
      <c r="V77" s="104" t="n">
        <f aca="false">-V76*0.2</f>
        <v>-87973.9487999997</v>
      </c>
      <c r="W77" s="104" t="n">
        <f aca="false">-W76*0.2</f>
        <v>-86223.5423999997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327131.2448</v>
      </c>
      <c r="E78" s="104" t="n">
        <f aca="false">SUM(E76:E77)</f>
        <v>111173.259946666</v>
      </c>
      <c r="F78" s="104" t="n">
        <f aca="false">SUM(F76:F77)</f>
        <v>127376.075093333</v>
      </c>
      <c r="G78" s="104" t="n">
        <f aca="false">SUM(G76:G77)</f>
        <v>143578.89024</v>
      </c>
      <c r="H78" s="104" t="n">
        <f aca="false">SUM(H76:H77)</f>
        <v>159781.705386666</v>
      </c>
      <c r="I78" s="104" t="n">
        <f aca="false">SUM(I76:I77)</f>
        <v>175984.520533333</v>
      </c>
      <c r="J78" s="104" t="n">
        <f aca="false">SUM(J76:J77)</f>
        <v>192187.335679999</v>
      </c>
      <c r="K78" s="104" t="n">
        <f aca="false">SUM(K76:K77)</f>
        <v>208390.150826666</v>
      </c>
      <c r="L78" s="104" t="n">
        <f aca="false">SUM(L76:L77)</f>
        <v>224592.965973332</v>
      </c>
      <c r="M78" s="104" t="n">
        <f aca="false">SUM(M76:M77)</f>
        <v>240795.781119999</v>
      </c>
      <c r="N78" s="104" t="n">
        <f aca="false">SUM(N76:N77)</f>
        <v>291886.596266666</v>
      </c>
      <c r="O78" s="104" t="n">
        <f aca="false">SUM(O76:O77)</f>
        <v>308089.411413332</v>
      </c>
      <c r="P78" s="104" t="n">
        <f aca="false">SUM(P76:P77)</f>
        <v>324292.226559999</v>
      </c>
      <c r="Q78" s="104" t="n">
        <f aca="false">SUM(Q76:Q77)</f>
        <v>340495.041706666</v>
      </c>
      <c r="R78" s="104" t="n">
        <f aca="false">SUM(R76:R77)</f>
        <v>356697.856853332</v>
      </c>
      <c r="S78" s="104" t="n">
        <f aca="false">SUM(S76:S77)</f>
        <v>372900.671999999</v>
      </c>
      <c r="T78" s="104" t="n">
        <f aca="false">SUM(T76:T77)</f>
        <v>365899.046399999</v>
      </c>
      <c r="U78" s="104" t="n">
        <f aca="false">SUM(U76:U77)</f>
        <v>358897.420799999</v>
      </c>
      <c r="V78" s="104" t="n">
        <f aca="false">SUM(V76:V77)</f>
        <v>351895.795199999</v>
      </c>
      <c r="W78" s="104" t="n">
        <f aca="false">SUM(W76:W77)</f>
        <v>344894.169599999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327131.2448</v>
      </c>
      <c r="E85" s="143" t="n">
        <f aca="false">E78</f>
        <v>111173.259946666</v>
      </c>
      <c r="F85" s="143" t="n">
        <f aca="false">F78</f>
        <v>127376.075093333</v>
      </c>
      <c r="G85" s="143" t="n">
        <f aca="false">G78</f>
        <v>143578.89024</v>
      </c>
      <c r="H85" s="143" t="n">
        <f aca="false">H78</f>
        <v>159781.705386666</v>
      </c>
      <c r="I85" s="143" t="n">
        <f aca="false">I78</f>
        <v>175984.520533333</v>
      </c>
      <c r="J85" s="143" t="n">
        <f aca="false">J78</f>
        <v>192187.335679999</v>
      </c>
      <c r="K85" s="143" t="n">
        <f aca="false">K78</f>
        <v>208390.150826666</v>
      </c>
      <c r="L85" s="143" t="n">
        <f aca="false">L78</f>
        <v>224592.965973332</v>
      </c>
      <c r="M85" s="143" t="n">
        <f aca="false">M78</f>
        <v>240795.781119999</v>
      </c>
      <c r="N85" s="143" t="n">
        <f aca="false">N78</f>
        <v>291886.596266666</v>
      </c>
      <c r="O85" s="143" t="n">
        <f aca="false">O78</f>
        <v>308089.411413332</v>
      </c>
      <c r="P85" s="143" t="n">
        <f aca="false">P78</f>
        <v>324292.226559999</v>
      </c>
      <c r="Q85" s="143" t="n">
        <f aca="false">Q78</f>
        <v>340495.041706666</v>
      </c>
      <c r="R85" s="143" t="n">
        <f aca="false">R78</f>
        <v>356697.856853332</v>
      </c>
      <c r="S85" s="143" t="n">
        <f aca="false">S78</f>
        <v>372900.671999999</v>
      </c>
      <c r="T85" s="143" t="n">
        <f aca="false">T78</f>
        <v>365899.046399999</v>
      </c>
      <c r="U85" s="143" t="n">
        <f aca="false">U78</f>
        <v>358897.420799999</v>
      </c>
      <c r="V85" s="143" t="n">
        <f aca="false">V78</f>
        <v>351895.795199999</v>
      </c>
      <c r="W85" s="143" t="n">
        <f aca="false">W78</f>
        <v>344894.169599999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1062215</v>
      </c>
      <c r="E86" s="144" t="n">
        <f aca="false">-E67</f>
        <v>1062215</v>
      </c>
      <c r="F86" s="144" t="n">
        <f aca="false">-F67</f>
        <v>1062215</v>
      </c>
      <c r="G86" s="144" t="n">
        <f aca="false">-G67</f>
        <v>1062215</v>
      </c>
      <c r="H86" s="144" t="n">
        <f aca="false">-H67</f>
        <v>1062215</v>
      </c>
      <c r="I86" s="144" t="n">
        <f aca="false">-I67</f>
        <v>1062215</v>
      </c>
      <c r="J86" s="144" t="n">
        <f aca="false">-J67</f>
        <v>1062215</v>
      </c>
      <c r="K86" s="144" t="n">
        <f aca="false">-K67</f>
        <v>1062215</v>
      </c>
      <c r="L86" s="144" t="n">
        <f aca="false">-L67</f>
        <v>1062215</v>
      </c>
      <c r="M86" s="144" t="n">
        <f aca="false">-M67</f>
        <v>1062215</v>
      </c>
      <c r="N86" s="144" t="n">
        <f aca="false">-N67</f>
        <v>1062215</v>
      </c>
      <c r="O86" s="144" t="n">
        <f aca="false">-O67</f>
        <v>1062215</v>
      </c>
      <c r="P86" s="144" t="n">
        <f aca="false">-P67</f>
        <v>1062215</v>
      </c>
      <c r="Q86" s="144" t="n">
        <f aca="false">-Q67</f>
        <v>1062215</v>
      </c>
      <c r="R86" s="144" t="n">
        <f aca="false">-R67</f>
        <v>1062215</v>
      </c>
      <c r="S86" s="144" t="n">
        <f aca="false">-S67</f>
        <v>1062215</v>
      </c>
      <c r="T86" s="144" t="n">
        <f aca="false">-T67</f>
        <v>1062215</v>
      </c>
      <c r="U86" s="144" t="n">
        <f aca="false">-U67</f>
        <v>1062215</v>
      </c>
      <c r="V86" s="144" t="n">
        <f aca="false">-V67</f>
        <v>1062215</v>
      </c>
      <c r="W86" s="144" t="n">
        <f aca="false">-W67</f>
        <v>1062215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1389346.2448</v>
      </c>
      <c r="E87" s="146" t="n">
        <f aca="false">SUM(E85:E86)</f>
        <v>1173388.25994667</v>
      </c>
      <c r="F87" s="146" t="n">
        <f aca="false">SUM(F85:F86)</f>
        <v>1189591.07509333</v>
      </c>
      <c r="G87" s="146" t="n">
        <f aca="false">SUM(G85:G86)</f>
        <v>1205793.89024</v>
      </c>
      <c r="H87" s="146" t="n">
        <f aca="false">SUM(H85:H86)</f>
        <v>1221996.70538667</v>
      </c>
      <c r="I87" s="146" t="n">
        <f aca="false">SUM(I85:I86)</f>
        <v>1238199.52053333</v>
      </c>
      <c r="J87" s="146" t="n">
        <f aca="false">SUM(J85:J86)</f>
        <v>1254402.33568</v>
      </c>
      <c r="K87" s="146" t="n">
        <f aca="false">SUM(K85:K86)</f>
        <v>1270605.15082667</v>
      </c>
      <c r="L87" s="146" t="n">
        <f aca="false">SUM(L85:L86)</f>
        <v>1286807.96597333</v>
      </c>
      <c r="M87" s="146" t="n">
        <f aca="false">SUM(M85:M86)</f>
        <v>1303010.78112</v>
      </c>
      <c r="N87" s="146" t="n">
        <f aca="false">SUM(N85:N86)</f>
        <v>1354101.59626667</v>
      </c>
      <c r="O87" s="146" t="n">
        <f aca="false">SUM(O85:O86)</f>
        <v>1370304.41141333</v>
      </c>
      <c r="P87" s="146" t="n">
        <f aca="false">SUM(P85:P86)</f>
        <v>1386507.22656</v>
      </c>
      <c r="Q87" s="146" t="n">
        <f aca="false">SUM(Q85:Q86)</f>
        <v>1402710.04170667</v>
      </c>
      <c r="R87" s="146" t="n">
        <f aca="false">SUM(R85:R86)</f>
        <v>1418912.85685333</v>
      </c>
      <c r="S87" s="146" t="n">
        <f aca="false">SUM(S85:S86)</f>
        <v>1435115.672</v>
      </c>
      <c r="T87" s="146" t="n">
        <f aca="false">SUM(T85:T86)</f>
        <v>1428114.0464</v>
      </c>
      <c r="U87" s="146" t="n">
        <f aca="false">SUM(U85:U86)</f>
        <v>1421112.4208</v>
      </c>
      <c r="V87" s="146" t="n">
        <f aca="false">SUM(V85:V86)</f>
        <v>1414110.7952</v>
      </c>
      <c r="W87" s="146" t="n">
        <f aca="false">SUM(W85:W86)</f>
        <v>1407109.1696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-21244300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16995440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-1133029.33333333</v>
      </c>
      <c r="F93" s="152" t="n">
        <v>-1133029.33333333</v>
      </c>
      <c r="G93" s="152" t="n">
        <v>-1133029.33333333</v>
      </c>
      <c r="H93" s="152" t="n">
        <v>-1133029.33333333</v>
      </c>
      <c r="I93" s="152" t="n">
        <v>-1133029.33333333</v>
      </c>
      <c r="J93" s="152" t="n">
        <v>-1133029.33333333</v>
      </c>
      <c r="K93" s="152" t="n">
        <v>-1133029.33333333</v>
      </c>
      <c r="L93" s="152" t="n">
        <v>-1133029.33333333</v>
      </c>
      <c r="M93" s="152" t="n">
        <v>-1133029.33333333</v>
      </c>
      <c r="N93" s="152" t="n">
        <v>-1133029.33333333</v>
      </c>
      <c r="O93" s="152" t="n">
        <v>-1133029.33333333</v>
      </c>
      <c r="P93" s="152" t="n">
        <v>-1133029.33333333</v>
      </c>
      <c r="Q93" s="152" t="n">
        <v>-1133029.33333333</v>
      </c>
      <c r="R93" s="152" t="n">
        <v>-1133029.33333333</v>
      </c>
      <c r="S93" s="152" t="n">
        <v>-1133029.33333333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4248860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-294418.12032</v>
      </c>
      <c r="F95" s="153" t="n">
        <f aca="false">-E85*$D$33</f>
        <v>-100055.933952</v>
      </c>
      <c r="G95" s="153" t="n">
        <f aca="false">-F85*$D$33</f>
        <v>-114638.467584</v>
      </c>
      <c r="H95" s="153" t="n">
        <f aca="false">-G85*$D$33</f>
        <v>-129221.001216</v>
      </c>
      <c r="I95" s="153" t="n">
        <f aca="false">-H85*$D$33</f>
        <v>-143803.534847999</v>
      </c>
      <c r="J95" s="153" t="n">
        <f aca="false">-I85*$D$33</f>
        <v>-158386.068479999</v>
      </c>
      <c r="K95" s="153" t="n">
        <f aca="false">-J85*$D$33</f>
        <v>-172968.602112</v>
      </c>
      <c r="L95" s="153" t="n">
        <f aca="false">-K85*$D$33</f>
        <v>-187551.135743999</v>
      </c>
      <c r="M95" s="153" t="n">
        <f aca="false">-L85*$D$33</f>
        <v>-202133.669375999</v>
      </c>
      <c r="N95" s="153" t="n">
        <f aca="false">-M85*$D$33</f>
        <v>-216716.203007999</v>
      </c>
      <c r="O95" s="153" t="n">
        <f aca="false">-N85*$D$33</f>
        <v>-262697.936639999</v>
      </c>
      <c r="P95" s="153" t="n">
        <f aca="false">-O85*$D$33</f>
        <v>-277280.470271999</v>
      </c>
      <c r="Q95" s="153" t="n">
        <f aca="false">-P85*$D$33</f>
        <v>-291863.003903999</v>
      </c>
      <c r="R95" s="153" t="n">
        <f aca="false">-Q85*$D$33</f>
        <v>-306445.537535999</v>
      </c>
      <c r="S95" s="153" t="n">
        <f aca="false">-R85*$D$33</f>
        <v>-321028.071167999</v>
      </c>
      <c r="T95" s="153" t="n">
        <f aca="false">-S85*$D$33</f>
        <v>-335610.604799999</v>
      </c>
      <c r="U95" s="153" t="n">
        <f aca="false">-T85*$D$33</f>
        <v>-329309.141759999</v>
      </c>
      <c r="V95" s="153" t="n">
        <f aca="false">-U85*$D$33</f>
        <v>-323007.678719999</v>
      </c>
      <c r="W95" s="153" t="n">
        <f aca="false">-V85*$D$33</f>
        <v>-316706.215679999</v>
      </c>
      <c r="X95" s="153" t="n">
        <f aca="false">-W85*$D$33</f>
        <v>-310404.752639999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-1062215</v>
      </c>
      <c r="U96" s="156" t="n">
        <v>-1062215</v>
      </c>
      <c r="V96" s="156" t="n">
        <v>-1062215</v>
      </c>
      <c r="W96" s="156" t="n">
        <v>-1062215</v>
      </c>
      <c r="X96" s="157" t="n">
        <f aca="false">-W101-X95</f>
        <v>-532694.016640053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1389346.2448</v>
      </c>
      <c r="E99" s="143" t="n">
        <f aca="false">SUM(E87:E96)</f>
        <v>-254059.193706663</v>
      </c>
      <c r="F99" s="143" t="n">
        <f aca="false">SUM(F87:F96)</f>
        <v>-43494.1921919964</v>
      </c>
      <c r="G99" s="143" t="n">
        <f aca="false">SUM(G87:G96)</f>
        <v>-41873.9106773299</v>
      </c>
      <c r="H99" s="143" t="n">
        <f aca="false">SUM(H87:H96)</f>
        <v>-40253.6291626633</v>
      </c>
      <c r="I99" s="143" t="n">
        <f aca="false">SUM(I87:I96)</f>
        <v>-38633.3476479966</v>
      </c>
      <c r="J99" s="143" t="n">
        <f aca="false">SUM(J87:J96)</f>
        <v>-37013.0661333296</v>
      </c>
      <c r="K99" s="143" t="n">
        <f aca="false">SUM(K87:K96)</f>
        <v>-35392.7846186633</v>
      </c>
      <c r="L99" s="143" t="n">
        <f aca="false">SUM(L87:L96)</f>
        <v>-33772.5031039966</v>
      </c>
      <c r="M99" s="143" t="n">
        <f aca="false">SUM(M87:M96)</f>
        <v>-32152.2215893297</v>
      </c>
      <c r="N99" s="143" t="n">
        <f aca="false">SUM(N87:N96)</f>
        <v>4356.05992533671</v>
      </c>
      <c r="O99" s="143" t="n">
        <f aca="false">SUM(O87:O96)</f>
        <v>-25422.8585599966</v>
      </c>
      <c r="P99" s="143" t="n">
        <f aca="false">SUM(P87:P96)</f>
        <v>-23802.5770453302</v>
      </c>
      <c r="Q99" s="143" t="n">
        <f aca="false">SUM(Q87:Q96)</f>
        <v>-22182.295530663</v>
      </c>
      <c r="R99" s="143" t="n">
        <f aca="false">SUM(R87:R96)</f>
        <v>-20562.0140159966</v>
      </c>
      <c r="S99" s="143" t="n">
        <f aca="false">SUM(S87:S96)</f>
        <v>-18941.73250133</v>
      </c>
      <c r="T99" s="143" t="n">
        <f aca="false">SUM(T87:T96)</f>
        <v>30288.4416</v>
      </c>
      <c r="U99" s="143" t="n">
        <f aca="false">SUM(U87:U96)</f>
        <v>29588.2790400002</v>
      </c>
      <c r="V99" s="143" t="n">
        <f aca="false">SUM(V87:V96)</f>
        <v>28888.1164800001</v>
      </c>
      <c r="W99" s="143" t="n">
        <f aca="false">SUM(W87:W96)</f>
        <v>28187.9539200002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1389346.2448</v>
      </c>
      <c r="F100" s="143" t="n">
        <f aca="false">E101</f>
        <v>1135287.05109334</v>
      </c>
      <c r="G100" s="143" t="n">
        <f aca="false">F101</f>
        <v>1091792.85890134</v>
      </c>
      <c r="H100" s="143" t="n">
        <f aca="false">G101</f>
        <v>1049918.94822401</v>
      </c>
      <c r="I100" s="143" t="n">
        <f aca="false">H101</f>
        <v>1009665.31906135</v>
      </c>
      <c r="J100" s="143" t="n">
        <f aca="false">I101</f>
        <v>971031.971413351</v>
      </c>
      <c r="K100" s="143" t="n">
        <f aca="false">J101</f>
        <v>934018.905280021</v>
      </c>
      <c r="L100" s="143" t="n">
        <f aca="false">K101</f>
        <v>898626.120661358</v>
      </c>
      <c r="M100" s="143" t="n">
        <f aca="false">L101</f>
        <v>864853.617557361</v>
      </c>
      <c r="N100" s="143" t="n">
        <f aca="false">M101</f>
        <v>832701.395968031</v>
      </c>
      <c r="O100" s="143" t="n">
        <f aca="false">N101</f>
        <v>837057.455893368</v>
      </c>
      <c r="P100" s="143" t="n">
        <f aca="false">O101</f>
        <v>811634.597333371</v>
      </c>
      <c r="Q100" s="143" t="n">
        <f aca="false">P101</f>
        <v>787832.020288041</v>
      </c>
      <c r="R100" s="143" t="n">
        <f aca="false">Q101</f>
        <v>765649.724757378</v>
      </c>
      <c r="S100" s="143" t="n">
        <f aca="false">R101</f>
        <v>745087.710741382</v>
      </c>
      <c r="T100" s="143" t="n">
        <f aca="false">S101</f>
        <v>726145.978240052</v>
      </c>
      <c r="U100" s="143" t="n">
        <f aca="false">T101</f>
        <v>756434.419840052</v>
      </c>
      <c r="V100" s="143" t="n">
        <f aca="false">U101</f>
        <v>786022.698880052</v>
      </c>
      <c r="W100" s="143" t="n">
        <f aca="false">V101</f>
        <v>814910.815360052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1389346.2448</v>
      </c>
      <c r="E101" s="143" t="n">
        <f aca="false">E99+E100</f>
        <v>1135287.05109334</v>
      </c>
      <c r="F101" s="143" t="n">
        <f aca="false">F99+F100</f>
        <v>1091792.85890134</v>
      </c>
      <c r="G101" s="143" t="n">
        <f aca="false">G99+G100</f>
        <v>1049918.94822401</v>
      </c>
      <c r="H101" s="143" t="n">
        <f aca="false">H99+H100</f>
        <v>1009665.31906135</v>
      </c>
      <c r="I101" s="143" t="n">
        <f aca="false">I99+I100</f>
        <v>971031.971413351</v>
      </c>
      <c r="J101" s="143" t="n">
        <f aca="false">J99+J100</f>
        <v>934018.905280021</v>
      </c>
      <c r="K101" s="143" t="n">
        <f aca="false">K99+K100</f>
        <v>898626.120661358</v>
      </c>
      <c r="L101" s="143" t="n">
        <f aca="false">L99+L100</f>
        <v>864853.617557361</v>
      </c>
      <c r="M101" s="143" t="n">
        <f aca="false">M99+M100</f>
        <v>832701.395968031</v>
      </c>
      <c r="N101" s="143" t="n">
        <f aca="false">N99+N100</f>
        <v>837057.455893368</v>
      </c>
      <c r="O101" s="143" t="n">
        <f aca="false">O99+O100</f>
        <v>811634.597333371</v>
      </c>
      <c r="P101" s="143" t="n">
        <f aca="false">P99+P100</f>
        <v>787832.020288041</v>
      </c>
      <c r="Q101" s="143" t="n">
        <f aca="false">Q99+Q100</f>
        <v>765649.724757378</v>
      </c>
      <c r="R101" s="143" t="n">
        <f aca="false">R99+R100</f>
        <v>745087.710741382</v>
      </c>
      <c r="S101" s="143" t="n">
        <f aca="false">S99+S100</f>
        <v>726145.978240052</v>
      </c>
      <c r="T101" s="143" t="n">
        <f aca="false">T99+T100</f>
        <v>756434.419840052</v>
      </c>
      <c r="U101" s="143" t="n">
        <f aca="false">U99+U100</f>
        <v>786022.698880052</v>
      </c>
      <c r="V101" s="143" t="n">
        <f aca="false">V99+V100</f>
        <v>814910.815360052</v>
      </c>
      <c r="W101" s="143" t="n">
        <f aca="false">W99+W100</f>
        <v>843098.769280052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-4248860</v>
      </c>
      <c r="E104" s="146" t="n">
        <f aca="false">-E95-E96</f>
        <v>294418.12032</v>
      </c>
      <c r="F104" s="146" t="n">
        <f aca="false">-F95-F96</f>
        <v>100055.933952</v>
      </c>
      <c r="G104" s="146" t="n">
        <f aca="false">-G95-G96</f>
        <v>114638.467584</v>
      </c>
      <c r="H104" s="146" t="n">
        <f aca="false">-H95-H96</f>
        <v>129221.001216</v>
      </c>
      <c r="I104" s="146" t="n">
        <f aca="false">-I95-I96</f>
        <v>143803.534847999</v>
      </c>
      <c r="J104" s="146" t="n">
        <f aca="false">-J95-J96</f>
        <v>158386.068479999</v>
      </c>
      <c r="K104" s="146" t="n">
        <f aca="false">-K95-K96</f>
        <v>172968.602112</v>
      </c>
      <c r="L104" s="146" t="n">
        <f aca="false">-L95-L96</f>
        <v>187551.135743999</v>
      </c>
      <c r="M104" s="146" t="n">
        <f aca="false">-M95-M96</f>
        <v>202133.669375999</v>
      </c>
      <c r="N104" s="146" t="n">
        <f aca="false">-N95-N96</f>
        <v>216716.203007999</v>
      </c>
      <c r="O104" s="146" t="n">
        <f aca="false">-O95-O96</f>
        <v>262697.936639999</v>
      </c>
      <c r="P104" s="146" t="n">
        <f aca="false">-P95-P96</f>
        <v>277280.470271999</v>
      </c>
      <c r="Q104" s="146" t="n">
        <f aca="false">-Q95-Q96</f>
        <v>291863.003903999</v>
      </c>
      <c r="R104" s="146" t="n">
        <f aca="false">-R95-R96</f>
        <v>306445.537535999</v>
      </c>
      <c r="S104" s="146" t="n">
        <f aca="false">-S95-S96</f>
        <v>321028.071167999</v>
      </c>
      <c r="T104" s="146" t="n">
        <f aca="false">-T95-T96</f>
        <v>1397825.6048</v>
      </c>
      <c r="U104" s="146" t="n">
        <f aca="false">-U95-U96</f>
        <v>1391524.14176</v>
      </c>
      <c r="V104" s="146" t="n">
        <f aca="false">-V95-V96</f>
        <v>1385222.67872</v>
      </c>
      <c r="W104" s="146" t="n">
        <f aca="false">-W95-W96</f>
        <v>1378921.21568</v>
      </c>
      <c r="X104" s="146" t="n">
        <f aca="false">-X95-X96</f>
        <v>843098.769280052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0.0592876642388986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-3921728.7552</v>
      </c>
      <c r="E106" s="146" t="n">
        <f aca="false">E85</f>
        <v>111173.259946666</v>
      </c>
      <c r="F106" s="146" t="n">
        <f aca="false">F85-F96</f>
        <v>127376.075093333</v>
      </c>
      <c r="G106" s="146" t="n">
        <f aca="false">G85-G96</f>
        <v>143578.89024</v>
      </c>
      <c r="H106" s="146" t="n">
        <f aca="false">H85-H96</f>
        <v>159781.705386666</v>
      </c>
      <c r="I106" s="146" t="n">
        <f aca="false">I85-I96</f>
        <v>175984.520533333</v>
      </c>
      <c r="J106" s="146" t="n">
        <f aca="false">J85-J96</f>
        <v>192187.335679999</v>
      </c>
      <c r="K106" s="146" t="n">
        <f aca="false">K85-K96</f>
        <v>208390.150826666</v>
      </c>
      <c r="L106" s="146" t="n">
        <f aca="false">L85-L96</f>
        <v>224592.965973332</v>
      </c>
      <c r="M106" s="146" t="n">
        <f aca="false">M85-M96</f>
        <v>240795.781119999</v>
      </c>
      <c r="N106" s="146" t="n">
        <f aca="false">N85-N96</f>
        <v>291886.596266666</v>
      </c>
      <c r="O106" s="146" t="n">
        <f aca="false">O85-O96</f>
        <v>308089.411413332</v>
      </c>
      <c r="P106" s="146" t="n">
        <f aca="false">P85-P96</f>
        <v>324292.226559999</v>
      </c>
      <c r="Q106" s="146" t="n">
        <f aca="false">Q85-Q96</f>
        <v>340495.041706666</v>
      </c>
      <c r="R106" s="146" t="n">
        <f aca="false">R85-R96</f>
        <v>356697.856853332</v>
      </c>
      <c r="S106" s="146" t="n">
        <f aca="false">S85-S96</f>
        <v>372900.671999999</v>
      </c>
      <c r="T106" s="146" t="n">
        <f aca="false">T85-T96</f>
        <v>1428114.0464</v>
      </c>
      <c r="U106" s="146" t="n">
        <f aca="false">U85-U96</f>
        <v>1421112.4208</v>
      </c>
      <c r="V106" s="146" t="n">
        <f aca="false">V85-V96</f>
        <v>1414110.7952</v>
      </c>
      <c r="W106" s="146" t="n">
        <f aca="false">W85-W96</f>
        <v>1407109.1696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0.064966921614561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16995440</v>
      </c>
      <c r="E109" s="143" t="n">
        <f aca="false">D109+E93</f>
        <v>15862410.6666667</v>
      </c>
      <c r="F109" s="143" t="n">
        <f aca="false">E109+F93</f>
        <v>14729381.3333333</v>
      </c>
      <c r="G109" s="143" t="n">
        <f aca="false">F109+G93</f>
        <v>13596352</v>
      </c>
      <c r="H109" s="143" t="n">
        <f aca="false">G109+H93</f>
        <v>12463322.6666667</v>
      </c>
      <c r="I109" s="143" t="n">
        <f aca="false">H109+I93</f>
        <v>11330293.3333334</v>
      </c>
      <c r="J109" s="143" t="n">
        <f aca="false">I109+J93</f>
        <v>10197264</v>
      </c>
      <c r="K109" s="143" t="n">
        <f aca="false">J109+K93</f>
        <v>9064234.66666669</v>
      </c>
      <c r="L109" s="143" t="n">
        <f aca="false">K109+L93</f>
        <v>7931205.33333336</v>
      </c>
      <c r="M109" s="143" t="n">
        <f aca="false">L109+M93</f>
        <v>6798176.00000003</v>
      </c>
      <c r="N109" s="143" t="n">
        <f aca="false">M109+N93</f>
        <v>5665146.6666667</v>
      </c>
      <c r="O109" s="143" t="n">
        <f aca="false">N109+O93</f>
        <v>4532117.33333337</v>
      </c>
      <c r="P109" s="143" t="n">
        <f aca="false">O109+P93</f>
        <v>3399088.00000004</v>
      </c>
      <c r="Q109" s="143" t="n">
        <f aca="false">P109+Q93</f>
        <v>2266058.66666671</v>
      </c>
      <c r="R109" s="143" t="n">
        <f aca="false">Q109+R93</f>
        <v>1133029.33333338</v>
      </c>
      <c r="S109" s="143" t="n">
        <f aca="false">R109+S93</f>
        <v>5.07570803165436E-008</v>
      </c>
      <c r="T109" s="143" t="n">
        <f aca="false">S109+T93</f>
        <v>5.07570803165436E-008</v>
      </c>
      <c r="U109" s="143" t="n">
        <f aca="false">T109+U93</f>
        <v>5.07570803165436E-008</v>
      </c>
      <c r="V109" s="143" t="n">
        <f aca="false">U109+V93</f>
        <v>5.07570803165436E-008</v>
      </c>
      <c r="W109" s="143" t="n">
        <f aca="false">V109+W93</f>
        <v>5.07570803165436E-008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205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206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207</v>
      </c>
    </row>
    <row r="8" customFormat="false" ht="22.5" hidden="false" customHeight="true" outlineLevel="0" collapsed="false">
      <c r="B8" s="16" t="s">
        <v>14</v>
      </c>
      <c r="E8" s="46"/>
      <c r="M8" s="1" t="s">
        <v>208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95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30500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-20309800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-39903.15</v>
      </c>
      <c r="E49" s="104" t="n">
        <v>-39903.15</v>
      </c>
      <c r="F49" s="104" t="n">
        <v>-39903.15</v>
      </c>
      <c r="G49" s="104" t="n">
        <v>-39903.15</v>
      </c>
      <c r="H49" s="104" t="n">
        <v>-39903.15</v>
      </c>
      <c r="I49" s="104" t="n">
        <v>-39903.15</v>
      </c>
      <c r="J49" s="104" t="n">
        <v>-39903.15</v>
      </c>
      <c r="K49" s="104" t="n">
        <v>-39903.15</v>
      </c>
      <c r="L49" s="104" t="n">
        <v>-39903.15</v>
      </c>
      <c r="M49" s="104" t="n">
        <v>-39903.15</v>
      </c>
      <c r="N49" s="104" t="n">
        <v>-39903.15</v>
      </c>
      <c r="O49" s="104" t="n">
        <v>-39903.15</v>
      </c>
      <c r="P49" s="104" t="n">
        <v>-39903.15</v>
      </c>
      <c r="Q49" s="104" t="n">
        <v>-39903.15</v>
      </c>
      <c r="R49" s="104" t="n">
        <v>-39903.15</v>
      </c>
      <c r="S49" s="104" t="n">
        <v>-39903.15</v>
      </c>
      <c r="T49" s="104" t="n">
        <v>-39903.15</v>
      </c>
      <c r="U49" s="104" t="n">
        <v>-39903.15</v>
      </c>
      <c r="V49" s="104" t="n">
        <v>-39903.15</v>
      </c>
      <c r="W49" s="104" t="n">
        <v>-39903.15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-178536.954</v>
      </c>
      <c r="E54" s="104" t="n">
        <f aca="false">-(E64+E67+E68+E71+E72+E73+E74)*0.2</f>
        <v>-118746.3476</v>
      </c>
      <c r="F54" s="104" t="n">
        <f aca="false">-(F64+F67+F68+F71+F72+F73+F74)*0.2</f>
        <v>-116995.9412</v>
      </c>
      <c r="G54" s="104" t="n">
        <f aca="false">-(G64+G67+G68+G71+G72+G73+G74)*0.2</f>
        <v>-115245.5348</v>
      </c>
      <c r="H54" s="104" t="n">
        <f aca="false">-(H64+H67+H68+H71+H72+H73+H74)*0.2</f>
        <v>-113495.1284</v>
      </c>
      <c r="I54" s="104" t="n">
        <f aca="false">-(I64+I67+I68+I71+I72+I73+I74)*0.2</f>
        <v>-111744.722</v>
      </c>
      <c r="J54" s="104" t="n">
        <f aca="false">-(J64+J67+J68+J71+J72+J73+J74)*0.2</f>
        <v>-109994.3156</v>
      </c>
      <c r="K54" s="104" t="n">
        <f aca="false">-(K64+K67+K68+K71+K72+K73+K74)*0.2</f>
        <v>-108243.9092</v>
      </c>
      <c r="L54" s="104" t="n">
        <f aca="false">-(L64+L67+L68+L71+L72+L73+L74)*0.2</f>
        <v>-106493.5028</v>
      </c>
      <c r="M54" s="104" t="n">
        <f aca="false">-(M64+M67+M68+M71+M72+M73+M74)*0.2</f>
        <v>-104743.0964</v>
      </c>
      <c r="N54" s="104" t="n">
        <f aca="false">-(N64+N67+N68+N71+N72+N73+N74)*0.2</f>
        <v>-111714.69</v>
      </c>
      <c r="O54" s="104" t="n">
        <f aca="false">-(O64+O67+O68+O71+O72+O73+O74)*0.2</f>
        <v>-109964.2836</v>
      </c>
      <c r="P54" s="104" t="n">
        <f aca="false">-(P64+P67+P68+P71+P72+P73+P74)*0.2</f>
        <v>-108213.8772</v>
      </c>
      <c r="Q54" s="104" t="n">
        <f aca="false">-(Q64+Q67+Q68+Q71+Q72+Q73+Q74)*0.2</f>
        <v>-106463.4708</v>
      </c>
      <c r="R54" s="104" t="n">
        <f aca="false">-(R64+R67+R68+R71+R72+R73+R74)*0.2</f>
        <v>-104713.0644</v>
      </c>
      <c r="S54" s="104" t="n">
        <f aca="false">-(S64+S67+S68+S71+S72+S73+S74)*0.2</f>
        <v>-102962.658</v>
      </c>
      <c r="T54" s="104" t="n">
        <f aca="false">-(T64+T67+T68+T71+T72+T73+T74)*0.2</f>
        <v>-101212.2516</v>
      </c>
      <c r="U54" s="104" t="n">
        <f aca="false">-(U64+U67+U68+U71+U72+U73+U74)*0.2</f>
        <v>-99461.8452</v>
      </c>
      <c r="V54" s="104" t="n">
        <f aca="false">-(V64+V67+V68+V71+V72+V73+V74)*0.2</f>
        <v>-97711.4388</v>
      </c>
      <c r="W54" s="104" t="n">
        <f aca="false">-(W64+W67+W68+W71+W72+W73+W74)*0.2</f>
        <v>-95961.0324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-20309800</v>
      </c>
      <c r="D55" s="109" t="n">
        <f aca="false">SUM(D41:D54)</f>
        <v>1439436.816</v>
      </c>
      <c r="E55" s="109" t="n">
        <f aca="false">SUM(E41:E54)</f>
        <v>1490475.3904</v>
      </c>
      <c r="F55" s="109" t="n">
        <f aca="false">SUM(F41:F54)</f>
        <v>1483473.7648</v>
      </c>
      <c r="G55" s="109" t="n">
        <f aca="false">SUM(G41:G54)</f>
        <v>1476472.1392</v>
      </c>
      <c r="H55" s="109" t="n">
        <f aca="false">SUM(H41:H54)</f>
        <v>1469470.5136</v>
      </c>
      <c r="I55" s="109" t="n">
        <f aca="false">SUM(I41:I54)</f>
        <v>1462468.888</v>
      </c>
      <c r="J55" s="109" t="n">
        <f aca="false">SUM(J41:J54)</f>
        <v>1455467.2624</v>
      </c>
      <c r="K55" s="109" t="n">
        <f aca="false">SUM(K41:K54)</f>
        <v>1448465.6368</v>
      </c>
      <c r="L55" s="109" t="n">
        <f aca="false">SUM(L41:L54)</f>
        <v>1441464.0112</v>
      </c>
      <c r="M55" s="109" t="n">
        <f aca="false">SUM(M41:M54)</f>
        <v>1434462.3856</v>
      </c>
      <c r="N55" s="109" t="n">
        <f aca="false">SUM(N41:N54)</f>
        <v>1462348.76</v>
      </c>
      <c r="O55" s="109" t="n">
        <f aca="false">SUM(O41:O54)</f>
        <v>1455347.1344</v>
      </c>
      <c r="P55" s="109" t="n">
        <f aca="false">SUM(P41:P54)</f>
        <v>1448345.5088</v>
      </c>
      <c r="Q55" s="109" t="n">
        <f aca="false">SUM(Q41:Q54)</f>
        <v>1441343.8832</v>
      </c>
      <c r="R55" s="109" t="n">
        <f aca="false">SUM(R41:R54)</f>
        <v>1434342.2576</v>
      </c>
      <c r="S55" s="109" t="n">
        <f aca="false">SUM(S41:S54)</f>
        <v>1427340.632</v>
      </c>
      <c r="T55" s="109" t="n">
        <f aca="false">SUM(T41:T54)</f>
        <v>1420339.0064</v>
      </c>
      <c r="U55" s="109" t="n">
        <f aca="false">SUM(U41:U54)</f>
        <v>1413337.3808</v>
      </c>
      <c r="V55" s="109" t="n">
        <f aca="false">SUM(V41:V54)</f>
        <v>1406335.7552</v>
      </c>
      <c r="W55" s="109" t="n">
        <f aca="false">SUM(W41:W54)</f>
        <v>1399334.1296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-18870363.184</v>
      </c>
      <c r="E56" s="114" t="n">
        <f aca="false">D56+E55</f>
        <v>-17379887.7936</v>
      </c>
      <c r="F56" s="114" t="n">
        <f aca="false">E56+F55</f>
        <v>-15896414.0288</v>
      </c>
      <c r="G56" s="114" t="n">
        <f aca="false">F56+G55</f>
        <v>-14419941.8896</v>
      </c>
      <c r="H56" s="114" t="n">
        <f aca="false">G56+H55</f>
        <v>-12950471.376</v>
      </c>
      <c r="I56" s="114" t="n">
        <f aca="false">H56+I55</f>
        <v>-11488002.488</v>
      </c>
      <c r="J56" s="114" t="n">
        <f aca="false">I56+J55</f>
        <v>-10032535.2256</v>
      </c>
      <c r="K56" s="114" t="n">
        <f aca="false">J56+K55</f>
        <v>-8584069.5888</v>
      </c>
      <c r="L56" s="114" t="n">
        <f aca="false">K56+L55</f>
        <v>-7142605.5776</v>
      </c>
      <c r="M56" s="114" t="n">
        <f aca="false">L56+M55</f>
        <v>-5708143.192</v>
      </c>
      <c r="N56" s="114" t="n">
        <f aca="false">M56+N55</f>
        <v>-4245794.432</v>
      </c>
      <c r="O56" s="114" t="n">
        <f aca="false">N56+O55</f>
        <v>-2790447.2976</v>
      </c>
      <c r="P56" s="114" t="n">
        <f aca="false">O56+P55</f>
        <v>-1342101.7888</v>
      </c>
      <c r="Q56" s="114" t="n">
        <f aca="false">P56+Q55</f>
        <v>99242.0943999998</v>
      </c>
      <c r="R56" s="114" t="n">
        <f aca="false">Q56+R55</f>
        <v>1533584.352</v>
      </c>
      <c r="S56" s="114" t="n">
        <f aca="false">R56+S55</f>
        <v>2960924.984</v>
      </c>
      <c r="T56" s="114" t="n">
        <f aca="false">S56+T55</f>
        <v>4381263.9904</v>
      </c>
      <c r="U56" s="114" t="n">
        <f aca="false">T56+U55</f>
        <v>5794601.3712</v>
      </c>
      <c r="V56" s="114" t="n">
        <f aca="false">U56+V55</f>
        <v>7200937.1264</v>
      </c>
      <c r="W56" s="114" t="n">
        <f aca="false">V56+W55</f>
        <v>8600271.256</v>
      </c>
      <c r="X56" s="114" t="n">
        <f aca="false">W56+X55</f>
        <v>8600271.256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0.0365858977151269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-1015490</v>
      </c>
      <c r="E67" s="127" t="n">
        <f aca="false">$C$44/$E$16</f>
        <v>-1015490</v>
      </c>
      <c r="F67" s="127" t="n">
        <f aca="false">$C$44/$E$16</f>
        <v>-1015490</v>
      </c>
      <c r="G67" s="127" t="n">
        <f aca="false">$C$44/$E$16</f>
        <v>-1015490</v>
      </c>
      <c r="H67" s="127" t="n">
        <f aca="false">$C$44/$E$16</f>
        <v>-1015490</v>
      </c>
      <c r="I67" s="127" t="n">
        <f aca="false">$C$44/$E$16</f>
        <v>-1015490</v>
      </c>
      <c r="J67" s="127" t="n">
        <f aca="false">$C$44/$E$16</f>
        <v>-1015490</v>
      </c>
      <c r="K67" s="127" t="n">
        <f aca="false">$C$44/$E$16</f>
        <v>-1015490</v>
      </c>
      <c r="L67" s="127" t="n">
        <f aca="false">$C$44/$E$16</f>
        <v>-1015490</v>
      </c>
      <c r="M67" s="127" t="n">
        <f aca="false">$C$44/$E$16</f>
        <v>-1015490</v>
      </c>
      <c r="N67" s="127" t="n">
        <f aca="false">$C$44/$E$16</f>
        <v>-1015490</v>
      </c>
      <c r="O67" s="127" t="n">
        <f aca="false">$C$44/$E$16</f>
        <v>-1015490</v>
      </c>
      <c r="P67" s="127" t="n">
        <f aca="false">$C$44/$E$16</f>
        <v>-1015490</v>
      </c>
      <c r="Q67" s="127" t="n">
        <f aca="false">$C$44/$E$16</f>
        <v>-1015490</v>
      </c>
      <c r="R67" s="127" t="n">
        <f aca="false">$C$44/$E$16</f>
        <v>-1015490</v>
      </c>
      <c r="S67" s="127" t="n">
        <f aca="false">$C$44/$E$16</f>
        <v>-1015490</v>
      </c>
      <c r="T67" s="127" t="n">
        <f aca="false">$C$44/$E$16</f>
        <v>-1015490</v>
      </c>
      <c r="U67" s="127" t="n">
        <f aca="false">$C$44/$E$16</f>
        <v>-1015490</v>
      </c>
      <c r="V67" s="127" t="n">
        <f aca="false">$C$44/$E$16</f>
        <v>-1015490</v>
      </c>
      <c r="W67" s="127" t="n">
        <f aca="false">$C$44/$E$16</f>
        <v>-1015490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-415944.704</v>
      </c>
      <c r="E70" s="104" t="n">
        <f aca="false">-E109*$D25</f>
        <v>-388215.057066667</v>
      </c>
      <c r="F70" s="104" t="n">
        <f aca="false">-F109*$D25</f>
        <v>-360485.410133334</v>
      </c>
      <c r="G70" s="104" t="n">
        <f aca="false">-G109*$D25</f>
        <v>-332755.7632</v>
      </c>
      <c r="H70" s="104" t="n">
        <f aca="false">-H109*$D25</f>
        <v>-305026.116266667</v>
      </c>
      <c r="I70" s="104" t="n">
        <f aca="false">-I109*$D25</f>
        <v>-277296.469333334</v>
      </c>
      <c r="J70" s="104" t="n">
        <f aca="false">-J109*$D25</f>
        <v>-249566.822400001</v>
      </c>
      <c r="K70" s="104" t="n">
        <f aca="false">-K109*$D25</f>
        <v>-221837.175466667</v>
      </c>
      <c r="L70" s="104" t="n">
        <f aca="false">-L109*$D25</f>
        <v>-194107.528533334</v>
      </c>
      <c r="M70" s="104" t="n">
        <f aca="false">-M109*$D25</f>
        <v>-166377.881600001</v>
      </c>
      <c r="N70" s="104" t="n">
        <f aca="false">-N109*$D25</f>
        <v>-138648.234666667</v>
      </c>
      <c r="O70" s="104" t="n">
        <f aca="false">-O109*$D25</f>
        <v>-110918.587733334</v>
      </c>
      <c r="P70" s="104" t="n">
        <f aca="false">-P109*$D25</f>
        <v>-83188.940800001</v>
      </c>
      <c r="Q70" s="104" t="n">
        <f aca="false">-Q109*$D25</f>
        <v>-55459.2938666677</v>
      </c>
      <c r="R70" s="104" t="n">
        <f aca="false">-R109*$D25</f>
        <v>-27729.6469333345</v>
      </c>
      <c r="S70" s="104" t="n">
        <f aca="false">-S109*$D25</f>
        <v>-1.20401382446289E-009</v>
      </c>
      <c r="T70" s="104" t="n">
        <f aca="false">-T109*$D25</f>
        <v>-1.20401382446289E-009</v>
      </c>
      <c r="U70" s="104" t="n">
        <f aca="false">-U109*$D25</f>
        <v>-1.20401382446289E-009</v>
      </c>
      <c r="V70" s="104" t="n">
        <f aca="false">-V109*$D25</f>
        <v>-1.20401382446289E-009</v>
      </c>
      <c r="W70" s="104" t="n">
        <f aca="false">-W109*$D25</f>
        <v>-1.20401382446289E-009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-39903.15</v>
      </c>
      <c r="E72" s="104" t="n">
        <f aca="false">E49</f>
        <v>-39903.15</v>
      </c>
      <c r="F72" s="104" t="n">
        <f aca="false">F49</f>
        <v>-39903.15</v>
      </c>
      <c r="G72" s="104" t="n">
        <f aca="false">G49</f>
        <v>-39903.15</v>
      </c>
      <c r="H72" s="104" t="n">
        <f aca="false">H49</f>
        <v>-39903.15</v>
      </c>
      <c r="I72" s="104" t="n">
        <f aca="false">I49</f>
        <v>-39903.15</v>
      </c>
      <c r="J72" s="104" t="n">
        <f aca="false">J49</f>
        <v>-39903.15</v>
      </c>
      <c r="K72" s="104" t="n">
        <f aca="false">K49</f>
        <v>-39903.15</v>
      </c>
      <c r="L72" s="104" t="n">
        <f aca="false">L49</f>
        <v>-39903.15</v>
      </c>
      <c r="M72" s="104" t="n">
        <f aca="false">M49</f>
        <v>-39903.15</v>
      </c>
      <c r="N72" s="104" t="n">
        <f aca="false">N49</f>
        <v>-39903.15</v>
      </c>
      <c r="O72" s="104" t="n">
        <f aca="false">O49</f>
        <v>-39903.15</v>
      </c>
      <c r="P72" s="104" t="n">
        <f aca="false">P49</f>
        <v>-39903.15</v>
      </c>
      <c r="Q72" s="104" t="n">
        <f aca="false">Q49</f>
        <v>-39903.15</v>
      </c>
      <c r="R72" s="104" t="n">
        <f aca="false">R49</f>
        <v>-39903.15</v>
      </c>
      <c r="S72" s="104" t="n">
        <f aca="false">S49</f>
        <v>-39903.15</v>
      </c>
      <c r="T72" s="104" t="n">
        <f aca="false">T49</f>
        <v>-39903.15</v>
      </c>
      <c r="U72" s="104" t="n">
        <f aca="false">U49</f>
        <v>-39903.15</v>
      </c>
      <c r="V72" s="104" t="n">
        <f aca="false">V49</f>
        <v>-39903.15</v>
      </c>
      <c r="W72" s="104" t="n">
        <f aca="false">W49</f>
        <v>-39903.15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476740.066</v>
      </c>
      <c r="E76" s="109" t="n">
        <f aca="false">SUM(E64:E75)</f>
        <v>205516.680933333</v>
      </c>
      <c r="F76" s="109" t="n">
        <f aca="false">SUM(F64:F75)</f>
        <v>224494.295866667</v>
      </c>
      <c r="G76" s="109" t="n">
        <f aca="false">SUM(G64:G75)</f>
        <v>243471.9108</v>
      </c>
      <c r="H76" s="109" t="n">
        <f aca="false">SUM(H64:H75)</f>
        <v>262449.525733333</v>
      </c>
      <c r="I76" s="109" t="n">
        <f aca="false">SUM(I64:I75)</f>
        <v>281427.140666666</v>
      </c>
      <c r="J76" s="109" t="n">
        <f aca="false">SUM(J64:J75)</f>
        <v>300404.7556</v>
      </c>
      <c r="K76" s="109" t="n">
        <f aca="false">SUM(K64:K75)</f>
        <v>319382.370533333</v>
      </c>
      <c r="L76" s="109" t="n">
        <f aca="false">SUM(L64:L75)</f>
        <v>338359.985466666</v>
      </c>
      <c r="M76" s="109" t="n">
        <f aca="false">SUM(M64:M75)</f>
        <v>357337.600399999</v>
      </c>
      <c r="N76" s="109" t="n">
        <f aca="false">SUM(N64:N75)</f>
        <v>419925.215333332</v>
      </c>
      <c r="O76" s="109" t="n">
        <f aca="false">SUM(O64:O75)</f>
        <v>438902.830266666</v>
      </c>
      <c r="P76" s="109" t="n">
        <f aca="false">SUM(P64:P75)</f>
        <v>457880.445199999</v>
      </c>
      <c r="Q76" s="109" t="n">
        <f aca="false">SUM(Q64:Q75)</f>
        <v>476858.060133332</v>
      </c>
      <c r="R76" s="109" t="n">
        <f aca="false">SUM(R64:R75)</f>
        <v>495835.675066665</v>
      </c>
      <c r="S76" s="109" t="n">
        <f aca="false">SUM(S64:S75)</f>
        <v>514813.289999999</v>
      </c>
      <c r="T76" s="109" t="n">
        <f aca="false">SUM(T64:T75)</f>
        <v>506061.257999999</v>
      </c>
      <c r="U76" s="109" t="n">
        <f aca="false">SUM(U64:U75)</f>
        <v>497309.225999999</v>
      </c>
      <c r="V76" s="109" t="n">
        <f aca="false">SUM(V64:V75)</f>
        <v>488557.193999999</v>
      </c>
      <c r="W76" s="109" t="n">
        <f aca="false">SUM(W64:W75)</f>
        <v>479805.161999999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-95348.0132</v>
      </c>
      <c r="E77" s="104" t="n">
        <f aca="false">-E76*0.2</f>
        <v>-41103.3361866666</v>
      </c>
      <c r="F77" s="104" t="n">
        <f aca="false">-F76*0.2</f>
        <v>-44898.8591733333</v>
      </c>
      <c r="G77" s="104" t="n">
        <f aca="false">-G76*0.2</f>
        <v>-48694.38216</v>
      </c>
      <c r="H77" s="104" t="n">
        <f aca="false">-H76*0.2</f>
        <v>-52489.9051466666</v>
      </c>
      <c r="I77" s="104" t="n">
        <f aca="false">-I76*0.2</f>
        <v>-56285.4281333332</v>
      </c>
      <c r="J77" s="104" t="n">
        <f aca="false">-J76*0.2</f>
        <v>-60080.9511199999</v>
      </c>
      <c r="K77" s="104" t="n">
        <f aca="false">-K76*0.2</f>
        <v>-63876.4741066666</v>
      </c>
      <c r="L77" s="104" t="n">
        <f aca="false">-L76*0.2</f>
        <v>-67671.9970933332</v>
      </c>
      <c r="M77" s="104" t="n">
        <f aca="false">-M76*0.2</f>
        <v>-71467.5200799999</v>
      </c>
      <c r="N77" s="104" t="n">
        <f aca="false">-N76*0.2</f>
        <v>-83985.0430666665</v>
      </c>
      <c r="O77" s="104" t="n">
        <f aca="false">-O76*0.2</f>
        <v>-87780.5660533332</v>
      </c>
      <c r="P77" s="104" t="n">
        <f aca="false">-P76*0.2</f>
        <v>-91576.0890399998</v>
      </c>
      <c r="Q77" s="104" t="n">
        <f aca="false">-Q76*0.2</f>
        <v>-95371.6120266665</v>
      </c>
      <c r="R77" s="104" t="n">
        <f aca="false">-R76*0.2</f>
        <v>-99167.1350133331</v>
      </c>
      <c r="S77" s="104" t="n">
        <f aca="false">-S76*0.2</f>
        <v>-102962.658</v>
      </c>
      <c r="T77" s="104" t="n">
        <f aca="false">-T76*0.2</f>
        <v>-101212.2516</v>
      </c>
      <c r="U77" s="104" t="n">
        <f aca="false">-U76*0.2</f>
        <v>-99461.8451999998</v>
      </c>
      <c r="V77" s="104" t="n">
        <f aca="false">-V76*0.2</f>
        <v>-97711.4387999997</v>
      </c>
      <c r="W77" s="104" t="n">
        <f aca="false">-W76*0.2</f>
        <v>-95961.0323999997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381392.0528</v>
      </c>
      <c r="E78" s="104" t="n">
        <f aca="false">SUM(E76:E77)</f>
        <v>164413.344746666</v>
      </c>
      <c r="F78" s="104" t="n">
        <f aca="false">SUM(F76:F77)</f>
        <v>179595.436693333</v>
      </c>
      <c r="G78" s="104" t="n">
        <f aca="false">SUM(G76:G77)</f>
        <v>194777.52864</v>
      </c>
      <c r="H78" s="104" t="n">
        <f aca="false">SUM(H76:H77)</f>
        <v>209959.620586666</v>
      </c>
      <c r="I78" s="104" t="n">
        <f aca="false">SUM(I76:I77)</f>
        <v>225141.712533333</v>
      </c>
      <c r="J78" s="104" t="n">
        <f aca="false">SUM(J76:J77)</f>
        <v>240323.80448</v>
      </c>
      <c r="K78" s="104" t="n">
        <f aca="false">SUM(K76:K77)</f>
        <v>255505.896426666</v>
      </c>
      <c r="L78" s="104" t="n">
        <f aca="false">SUM(L76:L77)</f>
        <v>270687.988373333</v>
      </c>
      <c r="M78" s="104" t="n">
        <f aca="false">SUM(M76:M77)</f>
        <v>285870.080319999</v>
      </c>
      <c r="N78" s="104" t="n">
        <f aca="false">SUM(N76:N77)</f>
        <v>335940.172266666</v>
      </c>
      <c r="O78" s="104" t="n">
        <f aca="false">SUM(O76:O77)</f>
        <v>351122.264213333</v>
      </c>
      <c r="P78" s="104" t="n">
        <f aca="false">SUM(P76:P77)</f>
        <v>366304.356159999</v>
      </c>
      <c r="Q78" s="104" t="n">
        <f aca="false">SUM(Q76:Q77)</f>
        <v>381486.448106666</v>
      </c>
      <c r="R78" s="104" t="n">
        <f aca="false">SUM(R76:R77)</f>
        <v>396668.540053332</v>
      </c>
      <c r="S78" s="104" t="n">
        <f aca="false">SUM(S76:S77)</f>
        <v>411850.631999999</v>
      </c>
      <c r="T78" s="104" t="n">
        <f aca="false">SUM(T76:T77)</f>
        <v>404849.006399999</v>
      </c>
      <c r="U78" s="104" t="n">
        <f aca="false">SUM(U76:U77)</f>
        <v>397847.380799999</v>
      </c>
      <c r="V78" s="104" t="n">
        <f aca="false">SUM(V76:V77)</f>
        <v>390845.755199999</v>
      </c>
      <c r="W78" s="104" t="n">
        <f aca="false">SUM(W76:W77)</f>
        <v>383844.129599999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381392.0528</v>
      </c>
      <c r="E85" s="143" t="n">
        <f aca="false">E78</f>
        <v>164413.344746666</v>
      </c>
      <c r="F85" s="143" t="n">
        <f aca="false">F78</f>
        <v>179595.436693333</v>
      </c>
      <c r="G85" s="143" t="n">
        <f aca="false">G78</f>
        <v>194777.52864</v>
      </c>
      <c r="H85" s="143" t="n">
        <f aca="false">H78</f>
        <v>209959.620586666</v>
      </c>
      <c r="I85" s="143" t="n">
        <f aca="false">I78</f>
        <v>225141.712533333</v>
      </c>
      <c r="J85" s="143" t="n">
        <f aca="false">J78</f>
        <v>240323.80448</v>
      </c>
      <c r="K85" s="143" t="n">
        <f aca="false">K78</f>
        <v>255505.896426666</v>
      </c>
      <c r="L85" s="143" t="n">
        <f aca="false">L78</f>
        <v>270687.988373333</v>
      </c>
      <c r="M85" s="143" t="n">
        <f aca="false">M78</f>
        <v>285870.080319999</v>
      </c>
      <c r="N85" s="143" t="n">
        <f aca="false">N78</f>
        <v>335940.172266666</v>
      </c>
      <c r="O85" s="143" t="n">
        <f aca="false">O78</f>
        <v>351122.264213333</v>
      </c>
      <c r="P85" s="143" t="n">
        <f aca="false">P78</f>
        <v>366304.356159999</v>
      </c>
      <c r="Q85" s="143" t="n">
        <f aca="false">Q78</f>
        <v>381486.448106666</v>
      </c>
      <c r="R85" s="143" t="n">
        <f aca="false">R78</f>
        <v>396668.540053332</v>
      </c>
      <c r="S85" s="143" t="n">
        <f aca="false">S78</f>
        <v>411850.631999999</v>
      </c>
      <c r="T85" s="143" t="n">
        <f aca="false">T78</f>
        <v>404849.006399999</v>
      </c>
      <c r="U85" s="143" t="n">
        <f aca="false">U78</f>
        <v>397847.380799999</v>
      </c>
      <c r="V85" s="143" t="n">
        <f aca="false">V78</f>
        <v>390845.755199999</v>
      </c>
      <c r="W85" s="143" t="n">
        <f aca="false">W78</f>
        <v>383844.129599999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1015490</v>
      </c>
      <c r="E86" s="144" t="n">
        <f aca="false">-E67</f>
        <v>1015490</v>
      </c>
      <c r="F86" s="144" t="n">
        <f aca="false">-F67</f>
        <v>1015490</v>
      </c>
      <c r="G86" s="144" t="n">
        <f aca="false">-G67</f>
        <v>1015490</v>
      </c>
      <c r="H86" s="144" t="n">
        <f aca="false">-H67</f>
        <v>1015490</v>
      </c>
      <c r="I86" s="144" t="n">
        <f aca="false">-I67</f>
        <v>1015490</v>
      </c>
      <c r="J86" s="144" t="n">
        <f aca="false">-J67</f>
        <v>1015490</v>
      </c>
      <c r="K86" s="144" t="n">
        <f aca="false">-K67</f>
        <v>1015490</v>
      </c>
      <c r="L86" s="144" t="n">
        <f aca="false">-L67</f>
        <v>1015490</v>
      </c>
      <c r="M86" s="144" t="n">
        <f aca="false">-M67</f>
        <v>1015490</v>
      </c>
      <c r="N86" s="144" t="n">
        <f aca="false">-N67</f>
        <v>1015490</v>
      </c>
      <c r="O86" s="144" t="n">
        <f aca="false">-O67</f>
        <v>1015490</v>
      </c>
      <c r="P86" s="144" t="n">
        <f aca="false">-P67</f>
        <v>1015490</v>
      </c>
      <c r="Q86" s="144" t="n">
        <f aca="false">-Q67</f>
        <v>1015490</v>
      </c>
      <c r="R86" s="144" t="n">
        <f aca="false">-R67</f>
        <v>1015490</v>
      </c>
      <c r="S86" s="144" t="n">
        <f aca="false">-S67</f>
        <v>1015490</v>
      </c>
      <c r="T86" s="144" t="n">
        <f aca="false">-T67</f>
        <v>1015490</v>
      </c>
      <c r="U86" s="144" t="n">
        <f aca="false">-U67</f>
        <v>1015490</v>
      </c>
      <c r="V86" s="144" t="n">
        <f aca="false">-V67</f>
        <v>1015490</v>
      </c>
      <c r="W86" s="144" t="n">
        <f aca="false">-W67</f>
        <v>1015490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1396882.0528</v>
      </c>
      <c r="E87" s="146" t="n">
        <f aca="false">SUM(E85:E86)</f>
        <v>1179903.34474667</v>
      </c>
      <c r="F87" s="146" t="n">
        <f aca="false">SUM(F85:F86)</f>
        <v>1195085.43669333</v>
      </c>
      <c r="G87" s="146" t="n">
        <f aca="false">SUM(G85:G86)</f>
        <v>1210267.52864</v>
      </c>
      <c r="H87" s="146" t="n">
        <f aca="false">SUM(H85:H86)</f>
        <v>1225449.62058667</v>
      </c>
      <c r="I87" s="146" t="n">
        <f aca="false">SUM(I85:I86)</f>
        <v>1240631.71253333</v>
      </c>
      <c r="J87" s="146" t="n">
        <f aca="false">SUM(J85:J86)</f>
        <v>1255813.80448</v>
      </c>
      <c r="K87" s="146" t="n">
        <f aca="false">SUM(K85:K86)</f>
        <v>1270995.89642667</v>
      </c>
      <c r="L87" s="146" t="n">
        <f aca="false">SUM(L85:L86)</f>
        <v>1286177.98837333</v>
      </c>
      <c r="M87" s="146" t="n">
        <f aca="false">SUM(M85:M86)</f>
        <v>1301360.08032</v>
      </c>
      <c r="N87" s="146" t="n">
        <f aca="false">SUM(N85:N86)</f>
        <v>1351430.17226667</v>
      </c>
      <c r="O87" s="146" t="n">
        <f aca="false">SUM(O85:O86)</f>
        <v>1366612.26421333</v>
      </c>
      <c r="P87" s="146" t="n">
        <f aca="false">SUM(P85:P86)</f>
        <v>1381794.35616</v>
      </c>
      <c r="Q87" s="146" t="n">
        <f aca="false">SUM(Q85:Q86)</f>
        <v>1396976.44810667</v>
      </c>
      <c r="R87" s="146" t="n">
        <f aca="false">SUM(R85:R86)</f>
        <v>1412158.54005333</v>
      </c>
      <c r="S87" s="146" t="n">
        <f aca="false">SUM(S85:S86)</f>
        <v>1427340.632</v>
      </c>
      <c r="T87" s="146" t="n">
        <f aca="false">SUM(T85:T86)</f>
        <v>1420339.0064</v>
      </c>
      <c r="U87" s="146" t="n">
        <f aca="false">SUM(U85:U86)</f>
        <v>1413337.3808</v>
      </c>
      <c r="V87" s="146" t="n">
        <f aca="false">SUM(V85:V86)</f>
        <v>1406335.7552</v>
      </c>
      <c r="W87" s="146" t="n">
        <f aca="false">SUM(W85:W86)</f>
        <v>1399334.1296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-20309800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16247840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-1083189.33333333</v>
      </c>
      <c r="F93" s="152" t="n">
        <v>-1083189.33333333</v>
      </c>
      <c r="G93" s="152" t="n">
        <v>-1083189.33333333</v>
      </c>
      <c r="H93" s="152" t="n">
        <v>-1083189.33333333</v>
      </c>
      <c r="I93" s="152" t="n">
        <v>-1083189.33333333</v>
      </c>
      <c r="J93" s="152" t="n">
        <v>-1083189.33333333</v>
      </c>
      <c r="K93" s="152" t="n">
        <v>-1083189.33333333</v>
      </c>
      <c r="L93" s="152" t="n">
        <v>-1083189.33333333</v>
      </c>
      <c r="M93" s="152" t="n">
        <v>-1083189.33333333</v>
      </c>
      <c r="N93" s="152" t="n">
        <v>-1083189.33333333</v>
      </c>
      <c r="O93" s="152" t="n">
        <v>-1083189.33333333</v>
      </c>
      <c r="P93" s="152" t="n">
        <v>-1083189.33333333</v>
      </c>
      <c r="Q93" s="152" t="n">
        <v>-1083189.33333333</v>
      </c>
      <c r="R93" s="152" t="n">
        <v>-1083189.33333333</v>
      </c>
      <c r="S93" s="152" t="n">
        <v>-1083189.33333333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4061960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-343252.84752</v>
      </c>
      <c r="F95" s="153" t="n">
        <f aca="false">-E85*$D$33</f>
        <v>-147972.010272</v>
      </c>
      <c r="G95" s="153" t="n">
        <f aca="false">-F85*$D$33</f>
        <v>-161635.893024</v>
      </c>
      <c r="H95" s="153" t="n">
        <f aca="false">-G85*$D$33</f>
        <v>-175299.775776</v>
      </c>
      <c r="I95" s="153" t="n">
        <f aca="false">-H85*$D$33</f>
        <v>-188963.658528</v>
      </c>
      <c r="J95" s="153" t="n">
        <f aca="false">-I85*$D$33</f>
        <v>-202627.54128</v>
      </c>
      <c r="K95" s="153" t="n">
        <f aca="false">-J85*$D$33</f>
        <v>-216291.424032</v>
      </c>
      <c r="L95" s="153" t="n">
        <f aca="false">-K85*$D$33</f>
        <v>-229955.306784</v>
      </c>
      <c r="M95" s="153" t="n">
        <f aca="false">-L85*$D$33</f>
        <v>-243619.189535999</v>
      </c>
      <c r="N95" s="153" t="n">
        <f aca="false">-M85*$D$33</f>
        <v>-257283.072287999</v>
      </c>
      <c r="O95" s="153" t="n">
        <f aca="false">-N85*$D$33</f>
        <v>-302346.155039999</v>
      </c>
      <c r="P95" s="153" t="n">
        <f aca="false">-O85*$D$33</f>
        <v>-316010.037791999</v>
      </c>
      <c r="Q95" s="153" t="n">
        <f aca="false">-P85*$D$33</f>
        <v>-329673.920543999</v>
      </c>
      <c r="R95" s="153" t="n">
        <f aca="false">-Q85*$D$33</f>
        <v>-343337.803295999</v>
      </c>
      <c r="S95" s="153" t="n">
        <f aca="false">-R85*$D$33</f>
        <v>-357001.686047999</v>
      </c>
      <c r="T95" s="153" t="n">
        <f aca="false">-S85*$D$33</f>
        <v>-370665.568799999</v>
      </c>
      <c r="U95" s="153" t="n">
        <f aca="false">-T85*$D$33</f>
        <v>-364364.105759999</v>
      </c>
      <c r="V95" s="153" t="n">
        <f aca="false">-U85*$D$33</f>
        <v>-358062.642719999</v>
      </c>
      <c r="W95" s="153" t="n">
        <f aca="false">-V85*$D$33</f>
        <v>-351761.179679999</v>
      </c>
      <c r="X95" s="153" t="n">
        <f aca="false">-W85*$D$33</f>
        <v>-345459.716639999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-1015490</v>
      </c>
      <c r="U96" s="156" t="n">
        <v>-1015490</v>
      </c>
      <c r="V96" s="156" t="n">
        <v>-1015490</v>
      </c>
      <c r="W96" s="156" t="n">
        <v>-1015490</v>
      </c>
      <c r="X96" s="157" t="n">
        <f aca="false">-W101-X95</f>
        <v>-622842.615040047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1396882.0528</v>
      </c>
      <c r="E99" s="143" t="n">
        <f aca="false">SUM(E87:E96)</f>
        <v>-246538.836106663</v>
      </c>
      <c r="F99" s="143" t="n">
        <f aca="false">SUM(F87:F96)</f>
        <v>-36075.9069119965</v>
      </c>
      <c r="G99" s="143" t="n">
        <f aca="false">SUM(G87:G96)</f>
        <v>-34557.6977173302</v>
      </c>
      <c r="H99" s="143" t="n">
        <f aca="false">SUM(H87:H96)</f>
        <v>-33039.4885226635</v>
      </c>
      <c r="I99" s="143" t="n">
        <f aca="false">SUM(I87:I96)</f>
        <v>-31521.2793279968</v>
      </c>
      <c r="J99" s="143" t="n">
        <f aca="false">SUM(J87:J96)</f>
        <v>-30003.0701333298</v>
      </c>
      <c r="K99" s="143" t="n">
        <f aca="false">SUM(K87:K96)</f>
        <v>-28484.8609386635</v>
      </c>
      <c r="L99" s="143" t="n">
        <f aca="false">SUM(L87:L96)</f>
        <v>-26966.6517439969</v>
      </c>
      <c r="M99" s="143" t="n">
        <f aca="false">SUM(M87:M96)</f>
        <v>-25448.4425493302</v>
      </c>
      <c r="N99" s="143" t="n">
        <f aca="false">SUM(N87:N96)</f>
        <v>10957.7666453364</v>
      </c>
      <c r="O99" s="143" t="n">
        <f aca="false">SUM(O87:O96)</f>
        <v>-18923.2241599969</v>
      </c>
      <c r="P99" s="143" t="n">
        <f aca="false">SUM(P87:P96)</f>
        <v>-17405.0149653303</v>
      </c>
      <c r="Q99" s="143" t="n">
        <f aca="false">SUM(Q87:Q96)</f>
        <v>-15886.8057706635</v>
      </c>
      <c r="R99" s="143" t="n">
        <f aca="false">SUM(R87:R96)</f>
        <v>-14368.596575997</v>
      </c>
      <c r="S99" s="143" t="n">
        <f aca="false">SUM(S87:S96)</f>
        <v>-12850.3873813301</v>
      </c>
      <c r="T99" s="143" t="n">
        <f aca="false">SUM(T87:T96)</f>
        <v>34183.4375999998</v>
      </c>
      <c r="U99" s="143" t="n">
        <f aca="false">SUM(U87:U96)</f>
        <v>33483.27504</v>
      </c>
      <c r="V99" s="143" t="n">
        <f aca="false">SUM(V87:V96)</f>
        <v>32783.1124799997</v>
      </c>
      <c r="W99" s="143" t="n">
        <f aca="false">SUM(W87:W96)</f>
        <v>32082.9499199999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1396882.0528</v>
      </c>
      <c r="F100" s="143" t="n">
        <f aca="false">E101</f>
        <v>1150343.21669334</v>
      </c>
      <c r="G100" s="143" t="n">
        <f aca="false">F101</f>
        <v>1114267.30978134</v>
      </c>
      <c r="H100" s="143" t="n">
        <f aca="false">G101</f>
        <v>1079709.61206401</v>
      </c>
      <c r="I100" s="143" t="n">
        <f aca="false">H101</f>
        <v>1046670.12354135</v>
      </c>
      <c r="J100" s="143" t="n">
        <f aca="false">I101</f>
        <v>1015148.84421335</v>
      </c>
      <c r="K100" s="143" t="n">
        <f aca="false">J101</f>
        <v>985145.774080019</v>
      </c>
      <c r="L100" s="143" t="n">
        <f aca="false">K101</f>
        <v>956660.913141355</v>
      </c>
      <c r="M100" s="143" t="n">
        <f aca="false">L101</f>
        <v>929694.261397358</v>
      </c>
      <c r="N100" s="143" t="n">
        <f aca="false">M101</f>
        <v>904245.818848028</v>
      </c>
      <c r="O100" s="143" t="n">
        <f aca="false">N101</f>
        <v>915203.585493365</v>
      </c>
      <c r="P100" s="143" t="n">
        <f aca="false">O101</f>
        <v>896280.361333368</v>
      </c>
      <c r="Q100" s="143" t="n">
        <f aca="false">P101</f>
        <v>878875.346368037</v>
      </c>
      <c r="R100" s="143" t="n">
        <f aca="false">Q101</f>
        <v>862988.540597374</v>
      </c>
      <c r="S100" s="143" t="n">
        <f aca="false">R101</f>
        <v>848619.944021377</v>
      </c>
      <c r="T100" s="143" t="n">
        <f aca="false">S101</f>
        <v>835769.556640047</v>
      </c>
      <c r="U100" s="143" t="n">
        <f aca="false">T101</f>
        <v>869952.994240047</v>
      </c>
      <c r="V100" s="143" t="n">
        <f aca="false">U101</f>
        <v>903436.269280047</v>
      </c>
      <c r="W100" s="143" t="n">
        <f aca="false">V101</f>
        <v>936219.381760046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1396882.0528</v>
      </c>
      <c r="E101" s="143" t="n">
        <f aca="false">E99+E100</f>
        <v>1150343.21669334</v>
      </c>
      <c r="F101" s="143" t="n">
        <f aca="false">F99+F100</f>
        <v>1114267.30978134</v>
      </c>
      <c r="G101" s="143" t="n">
        <f aca="false">G99+G100</f>
        <v>1079709.61206401</v>
      </c>
      <c r="H101" s="143" t="n">
        <f aca="false">H99+H100</f>
        <v>1046670.12354135</v>
      </c>
      <c r="I101" s="143" t="n">
        <f aca="false">I99+I100</f>
        <v>1015148.84421335</v>
      </c>
      <c r="J101" s="143" t="n">
        <f aca="false">J99+J100</f>
        <v>985145.774080019</v>
      </c>
      <c r="K101" s="143" t="n">
        <f aca="false">K99+K100</f>
        <v>956660.913141355</v>
      </c>
      <c r="L101" s="143" t="n">
        <f aca="false">L99+L100</f>
        <v>929694.261397358</v>
      </c>
      <c r="M101" s="143" t="n">
        <f aca="false">M99+M100</f>
        <v>904245.818848028</v>
      </c>
      <c r="N101" s="143" t="n">
        <f aca="false">N99+N100</f>
        <v>915203.585493365</v>
      </c>
      <c r="O101" s="143" t="n">
        <f aca="false">O99+O100</f>
        <v>896280.361333368</v>
      </c>
      <c r="P101" s="143" t="n">
        <f aca="false">P99+P100</f>
        <v>878875.346368037</v>
      </c>
      <c r="Q101" s="143" t="n">
        <f aca="false">Q99+Q100</f>
        <v>862988.540597374</v>
      </c>
      <c r="R101" s="143" t="n">
        <f aca="false">R99+R100</f>
        <v>848619.944021377</v>
      </c>
      <c r="S101" s="143" t="n">
        <f aca="false">S99+S100</f>
        <v>835769.556640047</v>
      </c>
      <c r="T101" s="143" t="n">
        <f aca="false">T99+T100</f>
        <v>869952.994240047</v>
      </c>
      <c r="U101" s="143" t="n">
        <f aca="false">U99+U100</f>
        <v>903436.269280047</v>
      </c>
      <c r="V101" s="143" t="n">
        <f aca="false">V99+V100</f>
        <v>936219.381760046</v>
      </c>
      <c r="W101" s="143" t="n">
        <f aca="false">W99+W100</f>
        <v>968302.331680046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-4061960</v>
      </c>
      <c r="E104" s="146" t="n">
        <f aca="false">-E95-E96</f>
        <v>343252.84752</v>
      </c>
      <c r="F104" s="146" t="n">
        <f aca="false">-F95-F96</f>
        <v>147972.010272</v>
      </c>
      <c r="G104" s="146" t="n">
        <f aca="false">-G95-G96</f>
        <v>161635.893024</v>
      </c>
      <c r="H104" s="146" t="n">
        <f aca="false">-H95-H96</f>
        <v>175299.775776</v>
      </c>
      <c r="I104" s="146" t="n">
        <f aca="false">-I95-I96</f>
        <v>188963.658528</v>
      </c>
      <c r="J104" s="146" t="n">
        <f aca="false">-J95-J96</f>
        <v>202627.54128</v>
      </c>
      <c r="K104" s="146" t="n">
        <f aca="false">-K95-K96</f>
        <v>216291.424032</v>
      </c>
      <c r="L104" s="146" t="n">
        <f aca="false">-L95-L96</f>
        <v>229955.306784</v>
      </c>
      <c r="M104" s="146" t="n">
        <f aca="false">-M95-M96</f>
        <v>243619.189535999</v>
      </c>
      <c r="N104" s="146" t="n">
        <f aca="false">-N95-N96</f>
        <v>257283.072287999</v>
      </c>
      <c r="O104" s="146" t="n">
        <f aca="false">-O95-O96</f>
        <v>302346.155039999</v>
      </c>
      <c r="P104" s="146" t="n">
        <f aca="false">-P95-P96</f>
        <v>316010.037791999</v>
      </c>
      <c r="Q104" s="146" t="n">
        <f aca="false">-Q95-Q96</f>
        <v>329673.920543999</v>
      </c>
      <c r="R104" s="146" t="n">
        <f aca="false">-R95-R96</f>
        <v>343337.803295999</v>
      </c>
      <c r="S104" s="146" t="n">
        <f aca="false">-S95-S96</f>
        <v>357001.686047999</v>
      </c>
      <c r="T104" s="146" t="n">
        <f aca="false">-T95-T96</f>
        <v>1386155.5688</v>
      </c>
      <c r="U104" s="146" t="n">
        <f aca="false">-U95-U96</f>
        <v>1379854.10576</v>
      </c>
      <c r="V104" s="146" t="n">
        <f aca="false">-V95-V96</f>
        <v>1373552.64272</v>
      </c>
      <c r="W104" s="146" t="n">
        <f aca="false">-W95-W96</f>
        <v>1367251.17968</v>
      </c>
      <c r="X104" s="146" t="n">
        <f aca="false">-X95-X96</f>
        <v>968302.331680046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0.0717003401380117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-3680567.9472</v>
      </c>
      <c r="E106" s="146" t="n">
        <f aca="false">E85</f>
        <v>164413.344746666</v>
      </c>
      <c r="F106" s="146" t="n">
        <f aca="false">F85-F96</f>
        <v>179595.436693333</v>
      </c>
      <c r="G106" s="146" t="n">
        <f aca="false">G85-G96</f>
        <v>194777.52864</v>
      </c>
      <c r="H106" s="146" t="n">
        <f aca="false">H85-H96</f>
        <v>209959.620586666</v>
      </c>
      <c r="I106" s="146" t="n">
        <f aca="false">I85-I96</f>
        <v>225141.712533333</v>
      </c>
      <c r="J106" s="146" t="n">
        <f aca="false">J85-J96</f>
        <v>240323.80448</v>
      </c>
      <c r="K106" s="146" t="n">
        <f aca="false">K85-K96</f>
        <v>255505.896426666</v>
      </c>
      <c r="L106" s="146" t="n">
        <f aca="false">L85-L96</f>
        <v>270687.988373333</v>
      </c>
      <c r="M106" s="146" t="n">
        <f aca="false">M85-M96</f>
        <v>285870.080319999</v>
      </c>
      <c r="N106" s="146" t="n">
        <f aca="false">N85-N96</f>
        <v>335940.172266666</v>
      </c>
      <c r="O106" s="146" t="n">
        <f aca="false">O85-O96</f>
        <v>351122.264213333</v>
      </c>
      <c r="P106" s="146" t="n">
        <f aca="false">P85-P96</f>
        <v>366304.356159999</v>
      </c>
      <c r="Q106" s="146" t="n">
        <f aca="false">Q85-Q96</f>
        <v>381486.448106666</v>
      </c>
      <c r="R106" s="146" t="n">
        <f aca="false">R85-R96</f>
        <v>396668.540053332</v>
      </c>
      <c r="S106" s="146" t="n">
        <f aca="false">S85-S96</f>
        <v>411850.631999999</v>
      </c>
      <c r="T106" s="146" t="n">
        <f aca="false">T85-T96</f>
        <v>1420339.0064</v>
      </c>
      <c r="U106" s="146" t="n">
        <f aca="false">U85-U96</f>
        <v>1413337.3808</v>
      </c>
      <c r="V106" s="146" t="n">
        <f aca="false">V85-V96</f>
        <v>1406335.7552</v>
      </c>
      <c r="W106" s="146" t="n">
        <f aca="false">W85-W96</f>
        <v>1399334.1296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0.0801800400580379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16247840</v>
      </c>
      <c r="E109" s="143" t="n">
        <f aca="false">D109+E93</f>
        <v>15164650.6666667</v>
      </c>
      <c r="F109" s="143" t="n">
        <f aca="false">E109+F93</f>
        <v>14081461.3333333</v>
      </c>
      <c r="G109" s="143" t="n">
        <f aca="false">F109+G93</f>
        <v>12998272</v>
      </c>
      <c r="H109" s="143" t="n">
        <f aca="false">G109+H93</f>
        <v>11915082.6666667</v>
      </c>
      <c r="I109" s="143" t="n">
        <f aca="false">H109+I93</f>
        <v>10831893.3333333</v>
      </c>
      <c r="J109" s="143" t="n">
        <f aca="false">I109+J93</f>
        <v>9748704.00000002</v>
      </c>
      <c r="K109" s="143" t="n">
        <f aca="false">J109+K93</f>
        <v>8665514.66666669</v>
      </c>
      <c r="L109" s="143" t="n">
        <f aca="false">K109+L93</f>
        <v>7582325.33333336</v>
      </c>
      <c r="M109" s="143" t="n">
        <f aca="false">L109+M93</f>
        <v>6499136.00000003</v>
      </c>
      <c r="N109" s="143" t="n">
        <f aca="false">M109+N93</f>
        <v>5415946.6666667</v>
      </c>
      <c r="O109" s="143" t="n">
        <f aca="false">N109+O93</f>
        <v>4332757.33333337</v>
      </c>
      <c r="P109" s="143" t="n">
        <f aca="false">O109+P93</f>
        <v>3249568.00000004</v>
      </c>
      <c r="Q109" s="143" t="n">
        <f aca="false">P109+Q93</f>
        <v>2166378.66666671</v>
      </c>
      <c r="R109" s="143" t="n">
        <f aca="false">Q109+R93</f>
        <v>1083189.33333338</v>
      </c>
      <c r="S109" s="143" t="n">
        <f aca="false">R109+S93</f>
        <v>4.70317900180817E-008</v>
      </c>
      <c r="T109" s="143" t="n">
        <f aca="false">S109+T93</f>
        <v>4.70317900180817E-008</v>
      </c>
      <c r="U109" s="143" t="n">
        <f aca="false">T109+U93</f>
        <v>4.70317900180817E-008</v>
      </c>
      <c r="V109" s="143" t="n">
        <f aca="false">U109+V93</f>
        <v>4.70317900180817E-008</v>
      </c>
      <c r="W109" s="143" t="n">
        <f aca="false">V109+W93</f>
        <v>4.70317900180817E-008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209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166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162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163</v>
      </c>
    </row>
    <row r="8" customFormat="false" ht="22.5" hidden="false" customHeight="true" outlineLevel="0" collapsed="false">
      <c r="B8" s="16" t="s">
        <v>14</v>
      </c>
      <c r="E8" s="46"/>
      <c r="M8" s="1" t="s">
        <v>164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96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29000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-19375300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-37940.7</v>
      </c>
      <c r="E49" s="104" t="n">
        <v>-37940.7</v>
      </c>
      <c r="F49" s="104" t="n">
        <v>-37940.7</v>
      </c>
      <c r="G49" s="104" t="n">
        <v>-37940.7</v>
      </c>
      <c r="H49" s="104" t="n">
        <v>-37940.7</v>
      </c>
      <c r="I49" s="104" t="n">
        <v>-37940.7</v>
      </c>
      <c r="J49" s="104" t="n">
        <v>-37940.7</v>
      </c>
      <c r="K49" s="104" t="n">
        <v>-37940.7</v>
      </c>
      <c r="L49" s="104" t="n">
        <v>-37940.7</v>
      </c>
      <c r="M49" s="104" t="n">
        <v>-37940.7</v>
      </c>
      <c r="N49" s="104" t="n">
        <v>-37940.7</v>
      </c>
      <c r="O49" s="104" t="n">
        <v>-37940.7</v>
      </c>
      <c r="P49" s="104" t="n">
        <v>-37940.7</v>
      </c>
      <c r="Q49" s="104" t="n">
        <v>-37940.7</v>
      </c>
      <c r="R49" s="104" t="n">
        <v>-37940.7</v>
      </c>
      <c r="S49" s="104" t="n">
        <v>-37940.7</v>
      </c>
      <c r="T49" s="104" t="n">
        <v>-37940.7</v>
      </c>
      <c r="U49" s="104" t="n">
        <v>-37940.7</v>
      </c>
      <c r="V49" s="104" t="n">
        <v>-37940.7</v>
      </c>
      <c r="W49" s="104" t="n">
        <v>-37940.7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-188274.444</v>
      </c>
      <c r="E54" s="104" t="n">
        <f aca="false">-(E64+E67+E68+E71+E72+E73+E74)*0.2</f>
        <v>-128483.8376</v>
      </c>
      <c r="F54" s="104" t="n">
        <f aca="false">-(F64+F67+F68+F71+F72+F73+F74)*0.2</f>
        <v>-126733.4312</v>
      </c>
      <c r="G54" s="104" t="n">
        <f aca="false">-(G64+G67+G68+G71+G72+G73+G74)*0.2</f>
        <v>-124983.0248</v>
      </c>
      <c r="H54" s="104" t="n">
        <f aca="false">-(H64+H67+H68+H71+H72+H73+H74)*0.2</f>
        <v>-123232.6184</v>
      </c>
      <c r="I54" s="104" t="n">
        <f aca="false">-(I64+I67+I68+I71+I72+I73+I74)*0.2</f>
        <v>-121482.212</v>
      </c>
      <c r="J54" s="104" t="n">
        <f aca="false">-(J64+J67+J68+J71+J72+J73+J74)*0.2</f>
        <v>-119731.8056</v>
      </c>
      <c r="K54" s="104" t="n">
        <f aca="false">-(K64+K67+K68+K71+K72+K73+K74)*0.2</f>
        <v>-117981.3992</v>
      </c>
      <c r="L54" s="104" t="n">
        <f aca="false">-(L64+L67+L68+L71+L72+L73+L74)*0.2</f>
        <v>-116230.9928</v>
      </c>
      <c r="M54" s="104" t="n">
        <f aca="false">-(M64+M67+M68+M71+M72+M73+M74)*0.2</f>
        <v>-114480.5864</v>
      </c>
      <c r="N54" s="104" t="n">
        <f aca="false">-(N64+N67+N68+N71+N72+N73+N74)*0.2</f>
        <v>-121452.18</v>
      </c>
      <c r="O54" s="104" t="n">
        <f aca="false">-(O64+O67+O68+O71+O72+O73+O74)*0.2</f>
        <v>-119701.7736</v>
      </c>
      <c r="P54" s="104" t="n">
        <f aca="false">-(P64+P67+P68+P71+P72+P73+P74)*0.2</f>
        <v>-117951.3672</v>
      </c>
      <c r="Q54" s="104" t="n">
        <f aca="false">-(Q64+Q67+Q68+Q71+Q72+Q73+Q74)*0.2</f>
        <v>-116200.9608</v>
      </c>
      <c r="R54" s="104" t="n">
        <f aca="false">-(R64+R67+R68+R71+R72+R73+R74)*0.2</f>
        <v>-114450.5544</v>
      </c>
      <c r="S54" s="104" t="n">
        <f aca="false">-(S64+S67+S68+S71+S72+S73+S74)*0.2</f>
        <v>-112700.148</v>
      </c>
      <c r="T54" s="104" t="n">
        <f aca="false">-(T64+T67+T68+T71+T72+T73+T74)*0.2</f>
        <v>-110949.7416</v>
      </c>
      <c r="U54" s="104" t="n">
        <f aca="false">-(U64+U67+U68+U71+U72+U73+U74)*0.2</f>
        <v>-109199.3352</v>
      </c>
      <c r="V54" s="104" t="n">
        <f aca="false">-(V64+V67+V68+V71+V72+V73+V74)*0.2</f>
        <v>-107448.9288</v>
      </c>
      <c r="W54" s="104" t="n">
        <f aca="false">-(W64+W67+W68+W71+W72+W73+W74)*0.2</f>
        <v>-105698.5224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-19375300</v>
      </c>
      <c r="D55" s="109" t="n">
        <f aca="false">SUM(D41:D54)</f>
        <v>1431661.776</v>
      </c>
      <c r="E55" s="109" t="n">
        <f aca="false">SUM(E41:E54)</f>
        <v>1482700.3504</v>
      </c>
      <c r="F55" s="109" t="n">
        <f aca="false">SUM(F41:F54)</f>
        <v>1475698.7248</v>
      </c>
      <c r="G55" s="109" t="n">
        <f aca="false">SUM(G41:G54)</f>
        <v>1468697.0992</v>
      </c>
      <c r="H55" s="109" t="n">
        <f aca="false">SUM(H41:H54)</f>
        <v>1461695.4736</v>
      </c>
      <c r="I55" s="109" t="n">
        <f aca="false">SUM(I41:I54)</f>
        <v>1454693.848</v>
      </c>
      <c r="J55" s="109" t="n">
        <f aca="false">SUM(J41:J54)</f>
        <v>1447692.2224</v>
      </c>
      <c r="K55" s="109" t="n">
        <f aca="false">SUM(K41:K54)</f>
        <v>1440690.5968</v>
      </c>
      <c r="L55" s="109" t="n">
        <f aca="false">SUM(L41:L54)</f>
        <v>1433688.9712</v>
      </c>
      <c r="M55" s="109" t="n">
        <f aca="false">SUM(M41:M54)</f>
        <v>1426687.3456</v>
      </c>
      <c r="N55" s="109" t="n">
        <f aca="false">SUM(N41:N54)</f>
        <v>1454573.72</v>
      </c>
      <c r="O55" s="109" t="n">
        <f aca="false">SUM(O41:O54)</f>
        <v>1447572.0944</v>
      </c>
      <c r="P55" s="109" t="n">
        <f aca="false">SUM(P41:P54)</f>
        <v>1440570.4688</v>
      </c>
      <c r="Q55" s="109" t="n">
        <f aca="false">SUM(Q41:Q54)</f>
        <v>1433568.8432</v>
      </c>
      <c r="R55" s="109" t="n">
        <f aca="false">SUM(R41:R54)</f>
        <v>1426567.2176</v>
      </c>
      <c r="S55" s="109" t="n">
        <f aca="false">SUM(S41:S54)</f>
        <v>1419565.592</v>
      </c>
      <c r="T55" s="109" t="n">
        <f aca="false">SUM(T41:T54)</f>
        <v>1412563.9664</v>
      </c>
      <c r="U55" s="109" t="n">
        <f aca="false">SUM(U41:U54)</f>
        <v>1405562.3408</v>
      </c>
      <c r="V55" s="109" t="n">
        <f aca="false">SUM(V41:V54)</f>
        <v>1398560.7152</v>
      </c>
      <c r="W55" s="109" t="n">
        <f aca="false">SUM(W41:W54)</f>
        <v>1391559.0896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-17943638.224</v>
      </c>
      <c r="E56" s="114" t="n">
        <f aca="false">D56+E55</f>
        <v>-16460937.8736</v>
      </c>
      <c r="F56" s="114" t="n">
        <f aca="false">E56+F55</f>
        <v>-14985239.1488</v>
      </c>
      <c r="G56" s="114" t="n">
        <f aca="false">F56+G55</f>
        <v>-13516542.0496</v>
      </c>
      <c r="H56" s="114" t="n">
        <f aca="false">G56+H55</f>
        <v>-12054846.576</v>
      </c>
      <c r="I56" s="114" t="n">
        <f aca="false">H56+I55</f>
        <v>-10600152.728</v>
      </c>
      <c r="J56" s="114" t="n">
        <f aca="false">I56+J55</f>
        <v>-9152460.5056</v>
      </c>
      <c r="K56" s="114" t="n">
        <f aca="false">J56+K55</f>
        <v>-7711769.9088</v>
      </c>
      <c r="L56" s="114" t="n">
        <f aca="false">K56+L55</f>
        <v>-6278080.9376</v>
      </c>
      <c r="M56" s="114" t="n">
        <f aca="false">L56+M55</f>
        <v>-4851393.592</v>
      </c>
      <c r="N56" s="114" t="n">
        <f aca="false">M56+N55</f>
        <v>-3396819.872</v>
      </c>
      <c r="O56" s="114" t="n">
        <f aca="false">N56+O55</f>
        <v>-1949247.7776</v>
      </c>
      <c r="P56" s="114" t="n">
        <f aca="false">O56+P55</f>
        <v>-508677.308800002</v>
      </c>
      <c r="Q56" s="114" t="n">
        <f aca="false">P56+Q55</f>
        <v>924891.534399998</v>
      </c>
      <c r="R56" s="114" t="n">
        <f aca="false">Q56+R55</f>
        <v>2351458.752</v>
      </c>
      <c r="S56" s="114" t="n">
        <f aca="false">R56+S55</f>
        <v>3771024.344</v>
      </c>
      <c r="T56" s="114" t="n">
        <f aca="false">S56+T55</f>
        <v>5183588.3104</v>
      </c>
      <c r="U56" s="114" t="n">
        <f aca="false">T56+U55</f>
        <v>6589150.6512</v>
      </c>
      <c r="V56" s="114" t="n">
        <f aca="false">U56+V55</f>
        <v>7987711.3664</v>
      </c>
      <c r="W56" s="114" t="n">
        <f aca="false">V56+W55</f>
        <v>9379270.456</v>
      </c>
      <c r="X56" s="114" t="n">
        <f aca="false">W56+X55</f>
        <v>9379270.456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未回收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0.0413151939163961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-968765</v>
      </c>
      <c r="E67" s="127" t="n">
        <f aca="false">$C$44/$E$16</f>
        <v>-968765</v>
      </c>
      <c r="F67" s="127" t="n">
        <f aca="false">$C$44/$E$16</f>
        <v>-968765</v>
      </c>
      <c r="G67" s="127" t="n">
        <f aca="false">$C$44/$E$16</f>
        <v>-968765</v>
      </c>
      <c r="H67" s="127" t="n">
        <f aca="false">$C$44/$E$16</f>
        <v>-968765</v>
      </c>
      <c r="I67" s="127" t="n">
        <f aca="false">$C$44/$E$16</f>
        <v>-968765</v>
      </c>
      <c r="J67" s="127" t="n">
        <f aca="false">$C$44/$E$16</f>
        <v>-968765</v>
      </c>
      <c r="K67" s="127" t="n">
        <f aca="false">$C$44/$E$16</f>
        <v>-968765</v>
      </c>
      <c r="L67" s="127" t="n">
        <f aca="false">$C$44/$E$16</f>
        <v>-968765</v>
      </c>
      <c r="M67" s="127" t="n">
        <f aca="false">$C$44/$E$16</f>
        <v>-968765</v>
      </c>
      <c r="N67" s="127" t="n">
        <f aca="false">$C$44/$E$16</f>
        <v>-968765</v>
      </c>
      <c r="O67" s="127" t="n">
        <f aca="false">$C$44/$E$16</f>
        <v>-968765</v>
      </c>
      <c r="P67" s="127" t="n">
        <f aca="false">$C$44/$E$16</f>
        <v>-968765</v>
      </c>
      <c r="Q67" s="127" t="n">
        <f aca="false">$C$44/$E$16</f>
        <v>-968765</v>
      </c>
      <c r="R67" s="127" t="n">
        <f aca="false">$C$44/$E$16</f>
        <v>-968765</v>
      </c>
      <c r="S67" s="127" t="n">
        <f aca="false">$C$44/$E$16</f>
        <v>-968765</v>
      </c>
      <c r="T67" s="127" t="n">
        <f aca="false">$C$44/$E$16</f>
        <v>-968765</v>
      </c>
      <c r="U67" s="127" t="n">
        <f aca="false">$C$44/$E$16</f>
        <v>-968765</v>
      </c>
      <c r="V67" s="127" t="n">
        <f aca="false">$C$44/$E$16</f>
        <v>-968765</v>
      </c>
      <c r="W67" s="127" t="n">
        <f aca="false">$C$44/$E$16</f>
        <v>-968765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-396806.144</v>
      </c>
      <c r="E70" s="104" t="n">
        <f aca="false">-E109*$D25</f>
        <v>-370352.401066667</v>
      </c>
      <c r="F70" s="104" t="n">
        <f aca="false">-F109*$D25</f>
        <v>-343898.658133334</v>
      </c>
      <c r="G70" s="104" t="n">
        <f aca="false">-G109*$D25</f>
        <v>-317444.9152</v>
      </c>
      <c r="H70" s="104" t="n">
        <f aca="false">-H109*$D25</f>
        <v>-290991.172266667</v>
      </c>
      <c r="I70" s="104" t="n">
        <f aca="false">-I109*$D25</f>
        <v>-264537.429333334</v>
      </c>
      <c r="J70" s="104" t="n">
        <f aca="false">-J109*$D25</f>
        <v>-238083.686400001</v>
      </c>
      <c r="K70" s="104" t="n">
        <f aca="false">-K109*$D25</f>
        <v>-211629.943466667</v>
      </c>
      <c r="L70" s="104" t="n">
        <f aca="false">-L109*$D25</f>
        <v>-185176.200533334</v>
      </c>
      <c r="M70" s="104" t="n">
        <f aca="false">-M109*$D25</f>
        <v>-158722.457600001</v>
      </c>
      <c r="N70" s="104" t="n">
        <f aca="false">-N109*$D25</f>
        <v>-132268.714666668</v>
      </c>
      <c r="O70" s="104" t="n">
        <f aca="false">-O109*$D25</f>
        <v>-105814.971733334</v>
      </c>
      <c r="P70" s="104" t="n">
        <f aca="false">-P109*$D25</f>
        <v>-79361.2288000011</v>
      </c>
      <c r="Q70" s="104" t="n">
        <f aca="false">-Q109*$D25</f>
        <v>-52907.4858666678</v>
      </c>
      <c r="R70" s="104" t="n">
        <f aca="false">-R109*$D25</f>
        <v>-26453.7429333346</v>
      </c>
      <c r="S70" s="104" t="n">
        <f aca="false">-S109*$D25</f>
        <v>-1.30534172058105E-009</v>
      </c>
      <c r="T70" s="104" t="n">
        <f aca="false">-T109*$D25</f>
        <v>-1.30534172058105E-009</v>
      </c>
      <c r="U70" s="104" t="n">
        <f aca="false">-U109*$D25</f>
        <v>-1.30534172058105E-009</v>
      </c>
      <c r="V70" s="104" t="n">
        <f aca="false">-V109*$D25</f>
        <v>-1.30534172058105E-009</v>
      </c>
      <c r="W70" s="104" t="n">
        <f aca="false">-W109*$D25</f>
        <v>-1.30534172058105E-009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-37940.7</v>
      </c>
      <c r="E72" s="104" t="n">
        <f aca="false">E49</f>
        <v>-37940.7</v>
      </c>
      <c r="F72" s="104" t="n">
        <f aca="false">F49</f>
        <v>-37940.7</v>
      </c>
      <c r="G72" s="104" t="n">
        <f aca="false">G49</f>
        <v>-37940.7</v>
      </c>
      <c r="H72" s="104" t="n">
        <f aca="false">H49</f>
        <v>-37940.7</v>
      </c>
      <c r="I72" s="104" t="n">
        <f aca="false">I49</f>
        <v>-37940.7</v>
      </c>
      <c r="J72" s="104" t="n">
        <f aca="false">J49</f>
        <v>-37940.7</v>
      </c>
      <c r="K72" s="104" t="n">
        <f aca="false">K49</f>
        <v>-37940.7</v>
      </c>
      <c r="L72" s="104" t="n">
        <f aca="false">L49</f>
        <v>-37940.7</v>
      </c>
      <c r="M72" s="104" t="n">
        <f aca="false">M49</f>
        <v>-37940.7</v>
      </c>
      <c r="N72" s="104" t="n">
        <f aca="false">N49</f>
        <v>-37940.7</v>
      </c>
      <c r="O72" s="104" t="n">
        <f aca="false">O49</f>
        <v>-37940.7</v>
      </c>
      <c r="P72" s="104" t="n">
        <f aca="false">P49</f>
        <v>-37940.7</v>
      </c>
      <c r="Q72" s="104" t="n">
        <f aca="false">Q49</f>
        <v>-37940.7</v>
      </c>
      <c r="R72" s="104" t="n">
        <f aca="false">R49</f>
        <v>-37940.7</v>
      </c>
      <c r="S72" s="104" t="n">
        <f aca="false">S49</f>
        <v>-37940.7</v>
      </c>
      <c r="T72" s="104" t="n">
        <f aca="false">T49</f>
        <v>-37940.7</v>
      </c>
      <c r="U72" s="104" t="n">
        <f aca="false">U49</f>
        <v>-37940.7</v>
      </c>
      <c r="V72" s="104" t="n">
        <f aca="false">V49</f>
        <v>-37940.7</v>
      </c>
      <c r="W72" s="104" t="n">
        <f aca="false">W49</f>
        <v>-37940.7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544566.076</v>
      </c>
      <c r="E76" s="109" t="n">
        <f aca="false">SUM(E64:E75)</f>
        <v>272066.786933333</v>
      </c>
      <c r="F76" s="109" t="n">
        <f aca="false">SUM(F64:F75)</f>
        <v>289768.497866666</v>
      </c>
      <c r="G76" s="109" t="n">
        <f aca="false">SUM(G64:G75)</f>
        <v>307470.208799999</v>
      </c>
      <c r="H76" s="109" t="n">
        <f aca="false">SUM(H64:H75)</f>
        <v>325171.919733333</v>
      </c>
      <c r="I76" s="109" t="n">
        <f aca="false">SUM(I64:I75)</f>
        <v>342873.630666666</v>
      </c>
      <c r="J76" s="109" t="n">
        <f aca="false">SUM(J64:J75)</f>
        <v>360575.341599999</v>
      </c>
      <c r="K76" s="109" t="n">
        <f aca="false">SUM(K64:K75)</f>
        <v>378277.052533332</v>
      </c>
      <c r="L76" s="109" t="n">
        <f aca="false">SUM(L64:L75)</f>
        <v>395978.763466666</v>
      </c>
      <c r="M76" s="109" t="n">
        <f aca="false">SUM(M64:M75)</f>
        <v>413680.474399999</v>
      </c>
      <c r="N76" s="109" t="n">
        <f aca="false">SUM(N64:N75)</f>
        <v>474992.185333332</v>
      </c>
      <c r="O76" s="109" t="n">
        <f aca="false">SUM(O64:O75)</f>
        <v>492693.896266665</v>
      </c>
      <c r="P76" s="109" t="n">
        <f aca="false">SUM(P64:P75)</f>
        <v>510395.607199999</v>
      </c>
      <c r="Q76" s="109" t="n">
        <f aca="false">SUM(Q64:Q75)</f>
        <v>528097.318133332</v>
      </c>
      <c r="R76" s="109" t="n">
        <f aca="false">SUM(R64:R75)</f>
        <v>545799.029066665</v>
      </c>
      <c r="S76" s="109" t="n">
        <f aca="false">SUM(S64:S75)</f>
        <v>563500.739999999</v>
      </c>
      <c r="T76" s="109" t="n">
        <f aca="false">SUM(T64:T75)</f>
        <v>554748.707999998</v>
      </c>
      <c r="U76" s="109" t="n">
        <f aca="false">SUM(U64:U75)</f>
        <v>545996.675999999</v>
      </c>
      <c r="V76" s="109" t="n">
        <f aca="false">SUM(V64:V75)</f>
        <v>537244.643999998</v>
      </c>
      <c r="W76" s="109" t="n">
        <f aca="false">SUM(W64:W75)</f>
        <v>528492.611999999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-108913.2152</v>
      </c>
      <c r="E77" s="104" t="n">
        <f aca="false">-E76*0.2</f>
        <v>-54413.3573866665</v>
      </c>
      <c r="F77" s="104" t="n">
        <f aca="false">-F76*0.2</f>
        <v>-57953.6995733333</v>
      </c>
      <c r="G77" s="104" t="n">
        <f aca="false">-G76*0.2</f>
        <v>-61494.0417599999</v>
      </c>
      <c r="H77" s="104" t="n">
        <f aca="false">-H76*0.2</f>
        <v>-65034.3839466665</v>
      </c>
      <c r="I77" s="104" t="n">
        <f aca="false">-I76*0.2</f>
        <v>-68574.7261333331</v>
      </c>
      <c r="J77" s="104" t="n">
        <f aca="false">-J76*0.2</f>
        <v>-72115.0683199999</v>
      </c>
      <c r="K77" s="104" t="n">
        <f aca="false">-K76*0.2</f>
        <v>-75655.4105066665</v>
      </c>
      <c r="L77" s="104" t="n">
        <f aca="false">-L76*0.2</f>
        <v>-79195.7526933331</v>
      </c>
      <c r="M77" s="104" t="n">
        <f aca="false">-M76*0.2</f>
        <v>-82736.0948799998</v>
      </c>
      <c r="N77" s="104" t="n">
        <f aca="false">-N76*0.2</f>
        <v>-94998.4370666664</v>
      </c>
      <c r="O77" s="104" t="n">
        <f aca="false">-O76*0.2</f>
        <v>-98538.7792533331</v>
      </c>
      <c r="P77" s="104" t="n">
        <f aca="false">-P76*0.2</f>
        <v>-102079.12144</v>
      </c>
      <c r="Q77" s="104" t="n">
        <f aca="false">-Q76*0.2</f>
        <v>-105619.463626666</v>
      </c>
      <c r="R77" s="104" t="n">
        <f aca="false">-R76*0.2</f>
        <v>-109159.805813333</v>
      </c>
      <c r="S77" s="104" t="n">
        <f aca="false">-S76*0.2</f>
        <v>-112700.148</v>
      </c>
      <c r="T77" s="104" t="n">
        <f aca="false">-T76*0.2</f>
        <v>-110949.7416</v>
      </c>
      <c r="U77" s="104" t="n">
        <f aca="false">-U76*0.2</f>
        <v>-109199.3352</v>
      </c>
      <c r="V77" s="104" t="n">
        <f aca="false">-V76*0.2</f>
        <v>-107448.9288</v>
      </c>
      <c r="W77" s="104" t="n">
        <f aca="false">-W76*0.2</f>
        <v>-105698.5224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435652.8608</v>
      </c>
      <c r="E78" s="104" t="n">
        <f aca="false">SUM(E76:E77)</f>
        <v>217653.429546666</v>
      </c>
      <c r="F78" s="104" t="n">
        <f aca="false">SUM(F76:F77)</f>
        <v>231814.798293333</v>
      </c>
      <c r="G78" s="104" t="n">
        <f aca="false">SUM(G76:G77)</f>
        <v>245976.16704</v>
      </c>
      <c r="H78" s="104" t="n">
        <f aca="false">SUM(H76:H77)</f>
        <v>260137.535786666</v>
      </c>
      <c r="I78" s="104" t="n">
        <f aca="false">SUM(I76:I77)</f>
        <v>274298.904533333</v>
      </c>
      <c r="J78" s="104" t="n">
        <f aca="false">SUM(J76:J77)</f>
        <v>288460.273279999</v>
      </c>
      <c r="K78" s="104" t="n">
        <f aca="false">SUM(K76:K77)</f>
        <v>302621.642026666</v>
      </c>
      <c r="L78" s="104" t="n">
        <f aca="false">SUM(L76:L77)</f>
        <v>316783.010773332</v>
      </c>
      <c r="M78" s="104" t="n">
        <f aca="false">SUM(M76:M77)</f>
        <v>330944.379519999</v>
      </c>
      <c r="N78" s="104" t="n">
        <f aca="false">SUM(N76:N77)</f>
        <v>379993.748266666</v>
      </c>
      <c r="O78" s="104" t="n">
        <f aca="false">SUM(O76:O77)</f>
        <v>394155.117013332</v>
      </c>
      <c r="P78" s="104" t="n">
        <f aca="false">SUM(P76:P77)</f>
        <v>408316.485759999</v>
      </c>
      <c r="Q78" s="104" t="n">
        <f aca="false">SUM(Q76:Q77)</f>
        <v>422477.854506666</v>
      </c>
      <c r="R78" s="104" t="n">
        <f aca="false">SUM(R76:R77)</f>
        <v>436639.223253332</v>
      </c>
      <c r="S78" s="104" t="n">
        <f aca="false">SUM(S76:S77)</f>
        <v>450800.591999999</v>
      </c>
      <c r="T78" s="104" t="n">
        <f aca="false">SUM(T76:T77)</f>
        <v>443798.966399999</v>
      </c>
      <c r="U78" s="104" t="n">
        <f aca="false">SUM(U76:U77)</f>
        <v>436797.340799999</v>
      </c>
      <c r="V78" s="104" t="n">
        <f aca="false">SUM(V76:V77)</f>
        <v>429795.715199999</v>
      </c>
      <c r="W78" s="104" t="n">
        <f aca="false">SUM(W76:W77)</f>
        <v>422794.089599999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435652.8608</v>
      </c>
      <c r="E85" s="143" t="n">
        <f aca="false">E78</f>
        <v>217653.429546666</v>
      </c>
      <c r="F85" s="143" t="n">
        <f aca="false">F78</f>
        <v>231814.798293333</v>
      </c>
      <c r="G85" s="143" t="n">
        <f aca="false">G78</f>
        <v>245976.16704</v>
      </c>
      <c r="H85" s="143" t="n">
        <f aca="false">H78</f>
        <v>260137.535786666</v>
      </c>
      <c r="I85" s="143" t="n">
        <f aca="false">I78</f>
        <v>274298.904533333</v>
      </c>
      <c r="J85" s="143" t="n">
        <f aca="false">J78</f>
        <v>288460.273279999</v>
      </c>
      <c r="K85" s="143" t="n">
        <f aca="false">K78</f>
        <v>302621.642026666</v>
      </c>
      <c r="L85" s="143" t="n">
        <f aca="false">L78</f>
        <v>316783.010773332</v>
      </c>
      <c r="M85" s="143" t="n">
        <f aca="false">M78</f>
        <v>330944.379519999</v>
      </c>
      <c r="N85" s="143" t="n">
        <f aca="false">N78</f>
        <v>379993.748266666</v>
      </c>
      <c r="O85" s="143" t="n">
        <f aca="false">O78</f>
        <v>394155.117013332</v>
      </c>
      <c r="P85" s="143" t="n">
        <f aca="false">P78</f>
        <v>408316.485759999</v>
      </c>
      <c r="Q85" s="143" t="n">
        <f aca="false">Q78</f>
        <v>422477.854506666</v>
      </c>
      <c r="R85" s="143" t="n">
        <f aca="false">R78</f>
        <v>436639.223253332</v>
      </c>
      <c r="S85" s="143" t="n">
        <f aca="false">S78</f>
        <v>450800.591999999</v>
      </c>
      <c r="T85" s="143" t="n">
        <f aca="false">T78</f>
        <v>443798.966399999</v>
      </c>
      <c r="U85" s="143" t="n">
        <f aca="false">U78</f>
        <v>436797.340799999</v>
      </c>
      <c r="V85" s="143" t="n">
        <f aca="false">V78</f>
        <v>429795.715199999</v>
      </c>
      <c r="W85" s="143" t="n">
        <f aca="false">W78</f>
        <v>422794.089599999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968765</v>
      </c>
      <c r="E86" s="144" t="n">
        <f aca="false">-E67</f>
        <v>968765</v>
      </c>
      <c r="F86" s="144" t="n">
        <f aca="false">-F67</f>
        <v>968765</v>
      </c>
      <c r="G86" s="144" t="n">
        <f aca="false">-G67</f>
        <v>968765</v>
      </c>
      <c r="H86" s="144" t="n">
        <f aca="false">-H67</f>
        <v>968765</v>
      </c>
      <c r="I86" s="144" t="n">
        <f aca="false">-I67</f>
        <v>968765</v>
      </c>
      <c r="J86" s="144" t="n">
        <f aca="false">-J67</f>
        <v>968765</v>
      </c>
      <c r="K86" s="144" t="n">
        <f aca="false">-K67</f>
        <v>968765</v>
      </c>
      <c r="L86" s="144" t="n">
        <f aca="false">-L67</f>
        <v>968765</v>
      </c>
      <c r="M86" s="144" t="n">
        <f aca="false">-M67</f>
        <v>968765</v>
      </c>
      <c r="N86" s="144" t="n">
        <f aca="false">-N67</f>
        <v>968765</v>
      </c>
      <c r="O86" s="144" t="n">
        <f aca="false">-O67</f>
        <v>968765</v>
      </c>
      <c r="P86" s="144" t="n">
        <f aca="false">-P67</f>
        <v>968765</v>
      </c>
      <c r="Q86" s="144" t="n">
        <f aca="false">-Q67</f>
        <v>968765</v>
      </c>
      <c r="R86" s="144" t="n">
        <f aca="false">-R67</f>
        <v>968765</v>
      </c>
      <c r="S86" s="144" t="n">
        <f aca="false">-S67</f>
        <v>968765</v>
      </c>
      <c r="T86" s="144" t="n">
        <f aca="false">-T67</f>
        <v>968765</v>
      </c>
      <c r="U86" s="144" t="n">
        <f aca="false">-U67</f>
        <v>968765</v>
      </c>
      <c r="V86" s="144" t="n">
        <f aca="false">-V67</f>
        <v>968765</v>
      </c>
      <c r="W86" s="144" t="n">
        <f aca="false">-W67</f>
        <v>968765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1404417.8608</v>
      </c>
      <c r="E87" s="146" t="n">
        <f aca="false">SUM(E85:E86)</f>
        <v>1186418.42954667</v>
      </c>
      <c r="F87" s="146" t="n">
        <f aca="false">SUM(F85:F86)</f>
        <v>1200579.79829333</v>
      </c>
      <c r="G87" s="146" t="n">
        <f aca="false">SUM(G85:G86)</f>
        <v>1214741.16704</v>
      </c>
      <c r="H87" s="146" t="n">
        <f aca="false">SUM(H85:H86)</f>
        <v>1228902.53578667</v>
      </c>
      <c r="I87" s="146" t="n">
        <f aca="false">SUM(I85:I86)</f>
        <v>1243063.90453333</v>
      </c>
      <c r="J87" s="146" t="n">
        <f aca="false">SUM(J85:J86)</f>
        <v>1257225.27328</v>
      </c>
      <c r="K87" s="146" t="n">
        <f aca="false">SUM(K85:K86)</f>
        <v>1271386.64202667</v>
      </c>
      <c r="L87" s="146" t="n">
        <f aca="false">SUM(L85:L86)</f>
        <v>1285548.01077333</v>
      </c>
      <c r="M87" s="146" t="n">
        <f aca="false">SUM(M85:M86)</f>
        <v>1299709.37952</v>
      </c>
      <c r="N87" s="146" t="n">
        <f aca="false">SUM(N85:N86)</f>
        <v>1348758.74826667</v>
      </c>
      <c r="O87" s="146" t="n">
        <f aca="false">SUM(O85:O86)</f>
        <v>1362920.11701333</v>
      </c>
      <c r="P87" s="146" t="n">
        <f aca="false">SUM(P85:P86)</f>
        <v>1377081.48576</v>
      </c>
      <c r="Q87" s="146" t="n">
        <f aca="false">SUM(Q85:Q86)</f>
        <v>1391242.85450667</v>
      </c>
      <c r="R87" s="146" t="n">
        <f aca="false">SUM(R85:R86)</f>
        <v>1405404.22325333</v>
      </c>
      <c r="S87" s="146" t="n">
        <f aca="false">SUM(S85:S86)</f>
        <v>1419565.592</v>
      </c>
      <c r="T87" s="146" t="n">
        <f aca="false">SUM(T85:T86)</f>
        <v>1412563.9664</v>
      </c>
      <c r="U87" s="146" t="n">
        <f aca="false">SUM(U85:U86)</f>
        <v>1405562.3408</v>
      </c>
      <c r="V87" s="146" t="n">
        <f aca="false">SUM(V85:V86)</f>
        <v>1398560.7152</v>
      </c>
      <c r="W87" s="146" t="n">
        <f aca="false">SUM(W85:W86)</f>
        <v>1391559.0896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-19375300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15500240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-1033349.33333333</v>
      </c>
      <c r="F93" s="152" t="n">
        <v>-1033349.33333333</v>
      </c>
      <c r="G93" s="152" t="n">
        <v>-1033349.33333333</v>
      </c>
      <c r="H93" s="152" t="n">
        <v>-1033349.33333333</v>
      </c>
      <c r="I93" s="152" t="n">
        <v>-1033349.33333333</v>
      </c>
      <c r="J93" s="152" t="n">
        <v>-1033349.33333333</v>
      </c>
      <c r="K93" s="152" t="n">
        <v>-1033349.33333333</v>
      </c>
      <c r="L93" s="152" t="n">
        <v>-1033349.33333333</v>
      </c>
      <c r="M93" s="152" t="n">
        <v>-1033349.33333333</v>
      </c>
      <c r="N93" s="152" t="n">
        <v>-1033349.33333333</v>
      </c>
      <c r="O93" s="152" t="n">
        <v>-1033349.33333333</v>
      </c>
      <c r="P93" s="152" t="n">
        <v>-1033349.33333333</v>
      </c>
      <c r="Q93" s="152" t="n">
        <v>-1033349.33333333</v>
      </c>
      <c r="R93" s="152" t="n">
        <v>-1033349.33333333</v>
      </c>
      <c r="S93" s="152" t="n">
        <v>-1033349.33333333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3875060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-392087.57472</v>
      </c>
      <c r="F95" s="153" t="n">
        <f aca="false">-E85*$D$33</f>
        <v>-195888.086592</v>
      </c>
      <c r="G95" s="153" t="n">
        <f aca="false">-F85*$D$33</f>
        <v>-208633.318464</v>
      </c>
      <c r="H95" s="153" t="n">
        <f aca="false">-G85*$D$33</f>
        <v>-221378.550336</v>
      </c>
      <c r="I95" s="153" t="n">
        <f aca="false">-H85*$D$33</f>
        <v>-234123.782207999</v>
      </c>
      <c r="J95" s="153" t="n">
        <f aca="false">-I85*$D$33</f>
        <v>-246869.014079999</v>
      </c>
      <c r="K95" s="153" t="n">
        <f aca="false">-J85*$D$33</f>
        <v>-259614.245952</v>
      </c>
      <c r="L95" s="153" t="n">
        <f aca="false">-K85*$D$33</f>
        <v>-272359.477823999</v>
      </c>
      <c r="M95" s="153" t="n">
        <f aca="false">-L85*$D$33</f>
        <v>-285104.709695999</v>
      </c>
      <c r="N95" s="153" t="n">
        <f aca="false">-M85*$D$33</f>
        <v>-297849.941567999</v>
      </c>
      <c r="O95" s="153" t="n">
        <f aca="false">-N85*$D$33</f>
        <v>-341994.373439999</v>
      </c>
      <c r="P95" s="153" t="n">
        <f aca="false">-O85*$D$33</f>
        <v>-354739.605311999</v>
      </c>
      <c r="Q95" s="153" t="n">
        <f aca="false">-P85*$D$33</f>
        <v>-367484.837183999</v>
      </c>
      <c r="R95" s="153" t="n">
        <f aca="false">-Q85*$D$33</f>
        <v>-380230.069055999</v>
      </c>
      <c r="S95" s="153" t="n">
        <f aca="false">-R85*$D$33</f>
        <v>-392975.300927999</v>
      </c>
      <c r="T95" s="153" t="n">
        <f aca="false">-S85*$D$33</f>
        <v>-405720.532799999</v>
      </c>
      <c r="U95" s="153" t="n">
        <f aca="false">-T85*$D$33</f>
        <v>-399419.069759999</v>
      </c>
      <c r="V95" s="153" t="n">
        <f aca="false">-U85*$D$33</f>
        <v>-393117.606719999</v>
      </c>
      <c r="W95" s="153" t="n">
        <f aca="false">-V85*$D$33</f>
        <v>-386816.143679999</v>
      </c>
      <c r="X95" s="153" t="n">
        <f aca="false">-W85*$D$33</f>
        <v>-380514.680639999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-968765</v>
      </c>
      <c r="U96" s="156" t="n">
        <v>-968765</v>
      </c>
      <c r="V96" s="156" t="n">
        <v>-968765</v>
      </c>
      <c r="W96" s="156" t="n">
        <v>-968765</v>
      </c>
      <c r="X96" s="157" t="n">
        <f aca="false">-W101-X95</f>
        <v>-712991.213440053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1404417.8608</v>
      </c>
      <c r="E99" s="143" t="n">
        <f aca="false">SUM(E87:E96)</f>
        <v>-239018.478506663</v>
      </c>
      <c r="F99" s="143" t="n">
        <f aca="false">SUM(F87:F96)</f>
        <v>-28657.6216319963</v>
      </c>
      <c r="G99" s="143" t="n">
        <f aca="false">SUM(G87:G96)</f>
        <v>-27241.48475733</v>
      </c>
      <c r="H99" s="143" t="n">
        <f aca="false">SUM(H87:H96)</f>
        <v>-25825.3478826634</v>
      </c>
      <c r="I99" s="143" t="n">
        <f aca="false">SUM(I87:I96)</f>
        <v>-24409.2110079968</v>
      </c>
      <c r="J99" s="143" t="n">
        <f aca="false">SUM(J87:J96)</f>
        <v>-22993.0741333297</v>
      </c>
      <c r="K99" s="143" t="n">
        <f aca="false">SUM(K87:K96)</f>
        <v>-21576.9372586634</v>
      </c>
      <c r="L99" s="143" t="n">
        <f aca="false">SUM(L87:L96)</f>
        <v>-20160.8003839966</v>
      </c>
      <c r="M99" s="143" t="n">
        <f aca="false">SUM(M87:M96)</f>
        <v>-18744.6635093297</v>
      </c>
      <c r="N99" s="143" t="n">
        <f aca="false">SUM(N87:N96)</f>
        <v>17559.4733653365</v>
      </c>
      <c r="O99" s="143" t="n">
        <f aca="false">SUM(O87:O96)</f>
        <v>-12423.5897599966</v>
      </c>
      <c r="P99" s="143" t="n">
        <f aca="false">SUM(P87:P96)</f>
        <v>-11007.45288533</v>
      </c>
      <c r="Q99" s="143" t="n">
        <f aca="false">SUM(Q87:Q96)</f>
        <v>-9591.31601066305</v>
      </c>
      <c r="R99" s="143" t="n">
        <f aca="false">SUM(R87:R96)</f>
        <v>-8175.17913599667</v>
      </c>
      <c r="S99" s="143" t="n">
        <f aca="false">SUM(S87:S96)</f>
        <v>-6759.04226132989</v>
      </c>
      <c r="T99" s="143" t="n">
        <f aca="false">SUM(T87:T96)</f>
        <v>38078.4335999999</v>
      </c>
      <c r="U99" s="143" t="n">
        <f aca="false">SUM(U87:U96)</f>
        <v>37378.2710400001</v>
      </c>
      <c r="V99" s="143" t="n">
        <f aca="false">SUM(V87:V96)</f>
        <v>36678.1084800002</v>
      </c>
      <c r="W99" s="143" t="n">
        <f aca="false">SUM(W87:W96)</f>
        <v>35977.9459200003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1404417.8608</v>
      </c>
      <c r="F100" s="143" t="n">
        <f aca="false">E101</f>
        <v>1165399.38229334</v>
      </c>
      <c r="G100" s="143" t="n">
        <f aca="false">F101</f>
        <v>1136741.76066134</v>
      </c>
      <c r="H100" s="143" t="n">
        <f aca="false">G101</f>
        <v>1109500.27590401</v>
      </c>
      <c r="I100" s="143" t="n">
        <f aca="false">H101</f>
        <v>1083674.92802135</v>
      </c>
      <c r="J100" s="143" t="n">
        <f aca="false">I101</f>
        <v>1059265.71701335</v>
      </c>
      <c r="K100" s="143" t="n">
        <f aca="false">J101</f>
        <v>1036272.64288002</v>
      </c>
      <c r="L100" s="143" t="n">
        <f aca="false">K101</f>
        <v>1014695.70562136</v>
      </c>
      <c r="M100" s="143" t="n">
        <f aca="false">L101</f>
        <v>994534.905237361</v>
      </c>
      <c r="N100" s="143" t="n">
        <f aca="false">M101</f>
        <v>975790.241728031</v>
      </c>
      <c r="O100" s="143" t="n">
        <f aca="false">N101</f>
        <v>993349.715093367</v>
      </c>
      <c r="P100" s="143" t="n">
        <f aca="false">O101</f>
        <v>980926.125333371</v>
      </c>
      <c r="Q100" s="143" t="n">
        <f aca="false">P101</f>
        <v>969918.672448041</v>
      </c>
      <c r="R100" s="143" t="n">
        <f aca="false">Q101</f>
        <v>960327.356437378</v>
      </c>
      <c r="S100" s="143" t="n">
        <f aca="false">R101</f>
        <v>952152.177301381</v>
      </c>
      <c r="T100" s="143" t="n">
        <f aca="false">S101</f>
        <v>945393.135040051</v>
      </c>
      <c r="U100" s="143" t="n">
        <f aca="false">T101</f>
        <v>983471.568640051</v>
      </c>
      <c r="V100" s="143" t="n">
        <f aca="false">U101</f>
        <v>1020849.83968005</v>
      </c>
      <c r="W100" s="143" t="n">
        <f aca="false">V101</f>
        <v>1057527.94816005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1404417.8608</v>
      </c>
      <c r="E101" s="143" t="n">
        <f aca="false">E99+E100</f>
        <v>1165399.38229334</v>
      </c>
      <c r="F101" s="143" t="n">
        <f aca="false">F99+F100</f>
        <v>1136741.76066134</v>
      </c>
      <c r="G101" s="143" t="n">
        <f aca="false">G99+G100</f>
        <v>1109500.27590401</v>
      </c>
      <c r="H101" s="143" t="n">
        <f aca="false">H99+H100</f>
        <v>1083674.92802135</v>
      </c>
      <c r="I101" s="143" t="n">
        <f aca="false">I99+I100</f>
        <v>1059265.71701335</v>
      </c>
      <c r="J101" s="143" t="n">
        <f aca="false">J99+J100</f>
        <v>1036272.64288002</v>
      </c>
      <c r="K101" s="143" t="n">
        <f aca="false">K99+K100</f>
        <v>1014695.70562136</v>
      </c>
      <c r="L101" s="143" t="n">
        <f aca="false">L99+L100</f>
        <v>994534.905237361</v>
      </c>
      <c r="M101" s="143" t="n">
        <f aca="false">M99+M100</f>
        <v>975790.241728031</v>
      </c>
      <c r="N101" s="143" t="n">
        <f aca="false">N99+N100</f>
        <v>993349.715093367</v>
      </c>
      <c r="O101" s="143" t="n">
        <f aca="false">O99+O100</f>
        <v>980926.125333371</v>
      </c>
      <c r="P101" s="143" t="n">
        <f aca="false">P99+P100</f>
        <v>969918.672448041</v>
      </c>
      <c r="Q101" s="143" t="n">
        <f aca="false">Q99+Q100</f>
        <v>960327.356437378</v>
      </c>
      <c r="R101" s="143" t="n">
        <f aca="false">R99+R100</f>
        <v>952152.177301381</v>
      </c>
      <c r="S101" s="143" t="n">
        <f aca="false">S99+S100</f>
        <v>945393.135040051</v>
      </c>
      <c r="T101" s="143" t="n">
        <f aca="false">T99+T100</f>
        <v>983471.568640051</v>
      </c>
      <c r="U101" s="143" t="n">
        <f aca="false">U99+U100</f>
        <v>1020849.83968005</v>
      </c>
      <c r="V101" s="143" t="n">
        <f aca="false">V99+V100</f>
        <v>1057527.94816005</v>
      </c>
      <c r="W101" s="143" t="n">
        <f aca="false">W99+W100</f>
        <v>1093505.89408005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-3875060</v>
      </c>
      <c r="E104" s="146" t="n">
        <f aca="false">-E95-E96</f>
        <v>392087.57472</v>
      </c>
      <c r="F104" s="146" t="n">
        <f aca="false">-F95-F96</f>
        <v>195888.086592</v>
      </c>
      <c r="G104" s="146" t="n">
        <f aca="false">-G95-G96</f>
        <v>208633.318464</v>
      </c>
      <c r="H104" s="146" t="n">
        <f aca="false">-H95-H96</f>
        <v>221378.550336</v>
      </c>
      <c r="I104" s="146" t="n">
        <f aca="false">-I95-I96</f>
        <v>234123.782207999</v>
      </c>
      <c r="J104" s="146" t="n">
        <f aca="false">-J95-J96</f>
        <v>246869.014079999</v>
      </c>
      <c r="K104" s="146" t="n">
        <f aca="false">-K95-K96</f>
        <v>259614.245952</v>
      </c>
      <c r="L104" s="146" t="n">
        <f aca="false">-L95-L96</f>
        <v>272359.477823999</v>
      </c>
      <c r="M104" s="146" t="n">
        <f aca="false">-M95-M96</f>
        <v>285104.709695999</v>
      </c>
      <c r="N104" s="146" t="n">
        <f aca="false">-N95-N96</f>
        <v>297849.941567999</v>
      </c>
      <c r="O104" s="146" t="n">
        <f aca="false">-O95-O96</f>
        <v>341994.373439999</v>
      </c>
      <c r="P104" s="146" t="n">
        <f aca="false">-P95-P96</f>
        <v>354739.605311999</v>
      </c>
      <c r="Q104" s="146" t="n">
        <f aca="false">-Q95-Q96</f>
        <v>367484.837183999</v>
      </c>
      <c r="R104" s="146" t="n">
        <f aca="false">-R95-R96</f>
        <v>380230.069055999</v>
      </c>
      <c r="S104" s="146" t="n">
        <f aca="false">-S95-S96</f>
        <v>392975.300927999</v>
      </c>
      <c r="T104" s="146" t="n">
        <f aca="false">-T95-T96</f>
        <v>1374485.5328</v>
      </c>
      <c r="U104" s="146" t="n">
        <f aca="false">-U95-U96</f>
        <v>1368184.06976</v>
      </c>
      <c r="V104" s="146" t="n">
        <f aca="false">-V95-V96</f>
        <v>1361882.60672</v>
      </c>
      <c r="W104" s="146" t="n">
        <f aca="false">-W95-W96</f>
        <v>1355581.14368</v>
      </c>
      <c r="X104" s="146" t="n">
        <f aca="false">-X95-X96</f>
        <v>1093505.89408005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0.0851598918964457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-3439407.1392</v>
      </c>
      <c r="E106" s="146" t="n">
        <f aca="false">E85</f>
        <v>217653.429546666</v>
      </c>
      <c r="F106" s="146" t="n">
        <f aca="false">F85-F96</f>
        <v>231814.798293333</v>
      </c>
      <c r="G106" s="146" t="n">
        <f aca="false">G85-G96</f>
        <v>245976.16704</v>
      </c>
      <c r="H106" s="146" t="n">
        <f aca="false">H85-H96</f>
        <v>260137.535786666</v>
      </c>
      <c r="I106" s="146" t="n">
        <f aca="false">I85-I96</f>
        <v>274298.904533333</v>
      </c>
      <c r="J106" s="146" t="n">
        <f aca="false">J85-J96</f>
        <v>288460.273279999</v>
      </c>
      <c r="K106" s="146" t="n">
        <f aca="false">K85-K96</f>
        <v>302621.642026666</v>
      </c>
      <c r="L106" s="146" t="n">
        <f aca="false">L85-L96</f>
        <v>316783.010773332</v>
      </c>
      <c r="M106" s="146" t="n">
        <f aca="false">M85-M96</f>
        <v>330944.379519999</v>
      </c>
      <c r="N106" s="146" t="n">
        <f aca="false">N85-N96</f>
        <v>379993.748266666</v>
      </c>
      <c r="O106" s="146" t="n">
        <f aca="false">O85-O96</f>
        <v>394155.117013332</v>
      </c>
      <c r="P106" s="146" t="n">
        <f aca="false">P85-P96</f>
        <v>408316.485759999</v>
      </c>
      <c r="Q106" s="146" t="n">
        <f aca="false">Q85-Q96</f>
        <v>422477.854506666</v>
      </c>
      <c r="R106" s="146" t="n">
        <f aca="false">R85-R96</f>
        <v>436639.223253332</v>
      </c>
      <c r="S106" s="146" t="n">
        <f aca="false">S85-S96</f>
        <v>450800.591999999</v>
      </c>
      <c r="T106" s="146" t="n">
        <f aca="false">T85-T96</f>
        <v>1412563.9664</v>
      </c>
      <c r="U106" s="146" t="n">
        <f aca="false">U85-U96</f>
        <v>1405562.3408</v>
      </c>
      <c r="V106" s="146" t="n">
        <f aca="false">V85-V96</f>
        <v>1398560.7152</v>
      </c>
      <c r="W106" s="146" t="n">
        <f aca="false">W85-W96</f>
        <v>1391559.0896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0.0973413974244092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15500240</v>
      </c>
      <c r="E109" s="143" t="n">
        <f aca="false">D109+E93</f>
        <v>14466890.6666667</v>
      </c>
      <c r="F109" s="143" t="n">
        <f aca="false">E109+F93</f>
        <v>13433541.3333333</v>
      </c>
      <c r="G109" s="143" t="n">
        <f aca="false">F109+G93</f>
        <v>12400192</v>
      </c>
      <c r="H109" s="143" t="n">
        <f aca="false">G109+H93</f>
        <v>11366842.6666667</v>
      </c>
      <c r="I109" s="143" t="n">
        <f aca="false">H109+I93</f>
        <v>10333493.3333334</v>
      </c>
      <c r="J109" s="143" t="n">
        <f aca="false">I109+J93</f>
        <v>9300144.00000002</v>
      </c>
      <c r="K109" s="143" t="n">
        <f aca="false">J109+K93</f>
        <v>8266794.66666669</v>
      </c>
      <c r="L109" s="143" t="n">
        <f aca="false">K109+L93</f>
        <v>7233445.33333336</v>
      </c>
      <c r="M109" s="143" t="n">
        <f aca="false">L109+M93</f>
        <v>6200096.00000003</v>
      </c>
      <c r="N109" s="143" t="n">
        <f aca="false">M109+N93</f>
        <v>5166746.6666667</v>
      </c>
      <c r="O109" s="143" t="n">
        <f aca="false">N109+O93</f>
        <v>4133397.33333337</v>
      </c>
      <c r="P109" s="143" t="n">
        <f aca="false">O109+P93</f>
        <v>3100048.00000004</v>
      </c>
      <c r="Q109" s="143" t="n">
        <f aca="false">P109+Q93</f>
        <v>2066698.66666671</v>
      </c>
      <c r="R109" s="143" t="n">
        <f aca="false">Q109+R93</f>
        <v>1033349.33333338</v>
      </c>
      <c r="S109" s="143" t="n">
        <f aca="false">R109+S93</f>
        <v>5.09899109601975E-008</v>
      </c>
      <c r="T109" s="143" t="n">
        <f aca="false">S109+T93</f>
        <v>5.09899109601975E-008</v>
      </c>
      <c r="U109" s="143" t="n">
        <f aca="false">T109+U93</f>
        <v>5.09899109601975E-008</v>
      </c>
      <c r="V109" s="143" t="n">
        <f aca="false">U109+V93</f>
        <v>5.09899109601975E-008</v>
      </c>
      <c r="W109" s="143" t="n">
        <f aca="false">V109+W93</f>
        <v>5.09899109601975E-008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210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171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211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212</v>
      </c>
    </row>
    <row r="8" customFormat="false" ht="22.5" hidden="false" customHeight="true" outlineLevel="0" collapsed="false">
      <c r="B8" s="16" t="s">
        <v>14</v>
      </c>
      <c r="E8" s="46"/>
      <c r="M8" s="1" t="s">
        <v>213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97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27500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-18440800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-35978.25</v>
      </c>
      <c r="E49" s="104" t="n">
        <v>-35978.25</v>
      </c>
      <c r="F49" s="104" t="n">
        <v>-35978.25</v>
      </c>
      <c r="G49" s="104" t="n">
        <v>-35978.25</v>
      </c>
      <c r="H49" s="104" t="n">
        <v>-35978.25</v>
      </c>
      <c r="I49" s="104" t="n">
        <v>-35978.25</v>
      </c>
      <c r="J49" s="104" t="n">
        <v>-35978.25</v>
      </c>
      <c r="K49" s="104" t="n">
        <v>-35978.25</v>
      </c>
      <c r="L49" s="104" t="n">
        <v>-35978.25</v>
      </c>
      <c r="M49" s="104" t="n">
        <v>-35978.25</v>
      </c>
      <c r="N49" s="104" t="n">
        <v>-35978.25</v>
      </c>
      <c r="O49" s="104" t="n">
        <v>-35978.25</v>
      </c>
      <c r="P49" s="104" t="n">
        <v>-35978.25</v>
      </c>
      <c r="Q49" s="104" t="n">
        <v>-35978.25</v>
      </c>
      <c r="R49" s="104" t="n">
        <v>-35978.25</v>
      </c>
      <c r="S49" s="104" t="n">
        <v>-35978.25</v>
      </c>
      <c r="T49" s="104" t="n">
        <v>-35978.25</v>
      </c>
      <c r="U49" s="104" t="n">
        <v>-35978.25</v>
      </c>
      <c r="V49" s="104" t="n">
        <v>-35978.25</v>
      </c>
      <c r="W49" s="104" t="n">
        <v>-35978.25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-198011.934</v>
      </c>
      <c r="E54" s="104" t="n">
        <f aca="false">-(E64+E67+E68+E71+E72+E73+E74)*0.2</f>
        <v>-138221.3276</v>
      </c>
      <c r="F54" s="104" t="n">
        <f aca="false">-(F64+F67+F68+F71+F72+F73+F74)*0.2</f>
        <v>-136470.9212</v>
      </c>
      <c r="G54" s="104" t="n">
        <f aca="false">-(G64+G67+G68+G71+G72+G73+G74)*0.2</f>
        <v>-134720.5148</v>
      </c>
      <c r="H54" s="104" t="n">
        <f aca="false">-(H64+H67+H68+H71+H72+H73+H74)*0.2</f>
        <v>-132970.1084</v>
      </c>
      <c r="I54" s="104" t="n">
        <f aca="false">-(I64+I67+I68+I71+I72+I73+I74)*0.2</f>
        <v>-131219.702</v>
      </c>
      <c r="J54" s="104" t="n">
        <f aca="false">-(J64+J67+J68+J71+J72+J73+J74)*0.2</f>
        <v>-129469.2956</v>
      </c>
      <c r="K54" s="104" t="n">
        <f aca="false">-(K64+K67+K68+K71+K72+K73+K74)*0.2</f>
        <v>-127718.8892</v>
      </c>
      <c r="L54" s="104" t="n">
        <f aca="false">-(L64+L67+L68+L71+L72+L73+L74)*0.2</f>
        <v>-125968.4828</v>
      </c>
      <c r="M54" s="104" t="n">
        <f aca="false">-(M64+M67+M68+M71+M72+M73+M74)*0.2</f>
        <v>-124218.0764</v>
      </c>
      <c r="N54" s="104" t="n">
        <f aca="false">-(N64+N67+N68+N71+N72+N73+N74)*0.2</f>
        <v>-131189.67</v>
      </c>
      <c r="O54" s="104" t="n">
        <f aca="false">-(O64+O67+O68+O71+O72+O73+O74)*0.2</f>
        <v>-129439.2636</v>
      </c>
      <c r="P54" s="104" t="n">
        <f aca="false">-(P64+P67+P68+P71+P72+P73+P74)*0.2</f>
        <v>-127688.8572</v>
      </c>
      <c r="Q54" s="104" t="n">
        <f aca="false">-(Q64+Q67+Q68+Q71+Q72+Q73+Q74)*0.2</f>
        <v>-125938.4508</v>
      </c>
      <c r="R54" s="104" t="n">
        <f aca="false">-(R64+R67+R68+R71+R72+R73+R74)*0.2</f>
        <v>-124188.0444</v>
      </c>
      <c r="S54" s="104" t="n">
        <f aca="false">-(S64+S67+S68+S71+S72+S73+S74)*0.2</f>
        <v>-122437.638</v>
      </c>
      <c r="T54" s="104" t="n">
        <f aca="false">-(T64+T67+T68+T71+T72+T73+T74)*0.2</f>
        <v>-120687.2316</v>
      </c>
      <c r="U54" s="104" t="n">
        <f aca="false">-(U64+U67+U68+U71+U72+U73+U74)*0.2</f>
        <v>-118936.8252</v>
      </c>
      <c r="V54" s="104" t="n">
        <f aca="false">-(V64+V67+V68+V71+V72+V73+V74)*0.2</f>
        <v>-117186.4188</v>
      </c>
      <c r="W54" s="104" t="n">
        <f aca="false">-(W64+W67+W68+W71+W72+W73+W74)*0.2</f>
        <v>-115436.0124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-18440800</v>
      </c>
      <c r="D55" s="109" t="n">
        <f aca="false">SUM(D41:D54)</f>
        <v>1423886.736</v>
      </c>
      <c r="E55" s="109" t="n">
        <f aca="false">SUM(E41:E54)</f>
        <v>1474925.3104</v>
      </c>
      <c r="F55" s="109" t="n">
        <f aca="false">SUM(F41:F54)</f>
        <v>1467923.6848</v>
      </c>
      <c r="G55" s="109" t="n">
        <f aca="false">SUM(G41:G54)</f>
        <v>1460922.0592</v>
      </c>
      <c r="H55" s="109" t="n">
        <f aca="false">SUM(H41:H54)</f>
        <v>1453920.4336</v>
      </c>
      <c r="I55" s="109" t="n">
        <f aca="false">SUM(I41:I54)</f>
        <v>1446918.808</v>
      </c>
      <c r="J55" s="109" t="n">
        <f aca="false">SUM(J41:J54)</f>
        <v>1439917.1824</v>
      </c>
      <c r="K55" s="109" t="n">
        <f aca="false">SUM(K41:K54)</f>
        <v>1432915.5568</v>
      </c>
      <c r="L55" s="109" t="n">
        <f aca="false">SUM(L41:L54)</f>
        <v>1425913.9312</v>
      </c>
      <c r="M55" s="109" t="n">
        <f aca="false">SUM(M41:M54)</f>
        <v>1418912.3056</v>
      </c>
      <c r="N55" s="109" t="n">
        <f aca="false">SUM(N41:N54)</f>
        <v>1446798.68</v>
      </c>
      <c r="O55" s="109" t="n">
        <f aca="false">SUM(O41:O54)</f>
        <v>1439797.0544</v>
      </c>
      <c r="P55" s="109" t="n">
        <f aca="false">SUM(P41:P54)</f>
        <v>1432795.4288</v>
      </c>
      <c r="Q55" s="109" t="n">
        <f aca="false">SUM(Q41:Q54)</f>
        <v>1425793.8032</v>
      </c>
      <c r="R55" s="109" t="n">
        <f aca="false">SUM(R41:R54)</f>
        <v>1418792.1776</v>
      </c>
      <c r="S55" s="109" t="n">
        <f aca="false">SUM(S41:S54)</f>
        <v>1411790.552</v>
      </c>
      <c r="T55" s="109" t="n">
        <f aca="false">SUM(T41:T54)</f>
        <v>1404788.9264</v>
      </c>
      <c r="U55" s="109" t="n">
        <f aca="false">SUM(U41:U54)</f>
        <v>1397787.3008</v>
      </c>
      <c r="V55" s="109" t="n">
        <f aca="false">SUM(V41:V54)</f>
        <v>1390785.6752</v>
      </c>
      <c r="W55" s="109" t="n">
        <f aca="false">SUM(W41:W54)</f>
        <v>1383784.0496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-17016913.264</v>
      </c>
      <c r="E56" s="114" t="n">
        <f aca="false">D56+E55</f>
        <v>-15541987.9536</v>
      </c>
      <c r="F56" s="114" t="n">
        <f aca="false">E56+F55</f>
        <v>-14074064.2688</v>
      </c>
      <c r="G56" s="114" t="n">
        <f aca="false">F56+G55</f>
        <v>-12613142.2096</v>
      </c>
      <c r="H56" s="114" t="n">
        <f aca="false">G56+H55</f>
        <v>-11159221.776</v>
      </c>
      <c r="I56" s="114" t="n">
        <f aca="false">H56+I55</f>
        <v>-9712302.968</v>
      </c>
      <c r="J56" s="114" t="n">
        <f aca="false">I56+J55</f>
        <v>-8272385.7856</v>
      </c>
      <c r="K56" s="114" t="n">
        <f aca="false">J56+K55</f>
        <v>-6839470.2288</v>
      </c>
      <c r="L56" s="114" t="n">
        <f aca="false">K56+L55</f>
        <v>-5413556.2976</v>
      </c>
      <c r="M56" s="114" t="n">
        <f aca="false">L56+M55</f>
        <v>-3994643.992</v>
      </c>
      <c r="N56" s="114" t="n">
        <f aca="false">M56+N55</f>
        <v>-2547845.312</v>
      </c>
      <c r="O56" s="114" t="n">
        <f aca="false">N56+O55</f>
        <v>-1108048.2576</v>
      </c>
      <c r="P56" s="114" t="n">
        <f aca="false">O56+P55</f>
        <v>324747.171199999</v>
      </c>
      <c r="Q56" s="114" t="n">
        <f aca="false">P56+Q55</f>
        <v>1750540.9744</v>
      </c>
      <c r="R56" s="114" t="n">
        <f aca="false">Q56+R55</f>
        <v>3169333.152</v>
      </c>
      <c r="S56" s="114" t="n">
        <f aca="false">R56+S55</f>
        <v>4581123.704</v>
      </c>
      <c r="T56" s="114" t="n">
        <f aca="false">S56+T55</f>
        <v>5985912.6304</v>
      </c>
      <c r="U56" s="114" t="n">
        <f aca="false">T56+U55</f>
        <v>7383699.9312</v>
      </c>
      <c r="V56" s="114" t="n">
        <f aca="false">U56+V55</f>
        <v>8774485.6064</v>
      </c>
      <c r="W56" s="114" t="n">
        <f aca="false">V56+W55</f>
        <v>10158269.656</v>
      </c>
      <c r="X56" s="114" t="n">
        <f aca="false">W56+X55</f>
        <v>10158269.656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0.0464129943571096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-922040</v>
      </c>
      <c r="E67" s="127" t="n">
        <f aca="false">$C$44/$E$16</f>
        <v>-922040</v>
      </c>
      <c r="F67" s="127" t="n">
        <f aca="false">$C$44/$E$16</f>
        <v>-922040</v>
      </c>
      <c r="G67" s="127" t="n">
        <f aca="false">$C$44/$E$16</f>
        <v>-922040</v>
      </c>
      <c r="H67" s="127" t="n">
        <f aca="false">$C$44/$E$16</f>
        <v>-922040</v>
      </c>
      <c r="I67" s="127" t="n">
        <f aca="false">$C$44/$E$16</f>
        <v>-922040</v>
      </c>
      <c r="J67" s="127" t="n">
        <f aca="false">$C$44/$E$16</f>
        <v>-922040</v>
      </c>
      <c r="K67" s="127" t="n">
        <f aca="false">$C$44/$E$16</f>
        <v>-922040</v>
      </c>
      <c r="L67" s="127" t="n">
        <f aca="false">$C$44/$E$16</f>
        <v>-922040</v>
      </c>
      <c r="M67" s="127" t="n">
        <f aca="false">$C$44/$E$16</f>
        <v>-922040</v>
      </c>
      <c r="N67" s="127" t="n">
        <f aca="false">$C$44/$E$16</f>
        <v>-922040</v>
      </c>
      <c r="O67" s="127" t="n">
        <f aca="false">$C$44/$E$16</f>
        <v>-922040</v>
      </c>
      <c r="P67" s="127" t="n">
        <f aca="false">$C$44/$E$16</f>
        <v>-922040</v>
      </c>
      <c r="Q67" s="127" t="n">
        <f aca="false">$C$44/$E$16</f>
        <v>-922040</v>
      </c>
      <c r="R67" s="127" t="n">
        <f aca="false">$C$44/$E$16</f>
        <v>-922040</v>
      </c>
      <c r="S67" s="127" t="n">
        <f aca="false">$C$44/$E$16</f>
        <v>-922040</v>
      </c>
      <c r="T67" s="127" t="n">
        <f aca="false">$C$44/$E$16</f>
        <v>-922040</v>
      </c>
      <c r="U67" s="127" t="n">
        <f aca="false">$C$44/$E$16</f>
        <v>-922040</v>
      </c>
      <c r="V67" s="127" t="n">
        <f aca="false">$C$44/$E$16</f>
        <v>-922040</v>
      </c>
      <c r="W67" s="127" t="n">
        <f aca="false">$C$44/$E$16</f>
        <v>-922040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-377667.584</v>
      </c>
      <c r="E70" s="104" t="n">
        <f aca="false">-E109*$D25</f>
        <v>-352489.745066667</v>
      </c>
      <c r="F70" s="104" t="n">
        <f aca="false">-F109*$D25</f>
        <v>-327311.906133334</v>
      </c>
      <c r="G70" s="104" t="n">
        <f aca="false">-G109*$D25</f>
        <v>-302134.0672</v>
      </c>
      <c r="H70" s="104" t="n">
        <f aca="false">-H109*$D25</f>
        <v>-276956.228266667</v>
      </c>
      <c r="I70" s="104" t="n">
        <f aca="false">-I109*$D25</f>
        <v>-251778.389333334</v>
      </c>
      <c r="J70" s="104" t="n">
        <f aca="false">-J109*$D25</f>
        <v>-226600.5504</v>
      </c>
      <c r="K70" s="104" t="n">
        <f aca="false">-K109*$D25</f>
        <v>-201422.711466667</v>
      </c>
      <c r="L70" s="104" t="n">
        <f aca="false">-L109*$D25</f>
        <v>-176244.872533334</v>
      </c>
      <c r="M70" s="104" t="n">
        <f aca="false">-M109*$D25</f>
        <v>-151067.0336</v>
      </c>
      <c r="N70" s="104" t="n">
        <f aca="false">-N109*$D25</f>
        <v>-125889.194666667</v>
      </c>
      <c r="O70" s="104" t="n">
        <f aca="false">-O109*$D25</f>
        <v>-100711.355733334</v>
      </c>
      <c r="P70" s="104" t="n">
        <f aca="false">-P109*$D25</f>
        <v>-75533.5168000003</v>
      </c>
      <c r="Q70" s="104" t="n">
        <f aca="false">-Q109*$D25</f>
        <v>-50355.677866667</v>
      </c>
      <c r="R70" s="104" t="n">
        <f aca="false">-R109*$D25</f>
        <v>-25177.8389333337</v>
      </c>
      <c r="S70" s="104" t="n">
        <f aca="false">-S109*$D25</f>
        <v>-3.57627868652344E-010</v>
      </c>
      <c r="T70" s="104" t="n">
        <f aca="false">-T109*$D25</f>
        <v>-3.57627868652344E-010</v>
      </c>
      <c r="U70" s="104" t="n">
        <f aca="false">-U109*$D25</f>
        <v>-3.57627868652344E-010</v>
      </c>
      <c r="V70" s="104" t="n">
        <f aca="false">-V109*$D25</f>
        <v>-3.57627868652344E-010</v>
      </c>
      <c r="W70" s="104" t="n">
        <f aca="false">-W109*$D25</f>
        <v>-3.57627868652344E-010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-35978.25</v>
      </c>
      <c r="E72" s="104" t="n">
        <f aca="false">E49</f>
        <v>-35978.25</v>
      </c>
      <c r="F72" s="104" t="n">
        <f aca="false">F49</f>
        <v>-35978.25</v>
      </c>
      <c r="G72" s="104" t="n">
        <f aca="false">G49</f>
        <v>-35978.25</v>
      </c>
      <c r="H72" s="104" t="n">
        <f aca="false">H49</f>
        <v>-35978.25</v>
      </c>
      <c r="I72" s="104" t="n">
        <f aca="false">I49</f>
        <v>-35978.25</v>
      </c>
      <c r="J72" s="104" t="n">
        <f aca="false">J49</f>
        <v>-35978.25</v>
      </c>
      <c r="K72" s="104" t="n">
        <f aca="false">K49</f>
        <v>-35978.25</v>
      </c>
      <c r="L72" s="104" t="n">
        <f aca="false">L49</f>
        <v>-35978.25</v>
      </c>
      <c r="M72" s="104" t="n">
        <f aca="false">M49</f>
        <v>-35978.25</v>
      </c>
      <c r="N72" s="104" t="n">
        <f aca="false">N49</f>
        <v>-35978.25</v>
      </c>
      <c r="O72" s="104" t="n">
        <f aca="false">O49</f>
        <v>-35978.25</v>
      </c>
      <c r="P72" s="104" t="n">
        <f aca="false">P49</f>
        <v>-35978.25</v>
      </c>
      <c r="Q72" s="104" t="n">
        <f aca="false">Q49</f>
        <v>-35978.25</v>
      </c>
      <c r="R72" s="104" t="n">
        <f aca="false">R49</f>
        <v>-35978.25</v>
      </c>
      <c r="S72" s="104" t="n">
        <f aca="false">S49</f>
        <v>-35978.25</v>
      </c>
      <c r="T72" s="104" t="n">
        <f aca="false">T49</f>
        <v>-35978.25</v>
      </c>
      <c r="U72" s="104" t="n">
        <f aca="false">U49</f>
        <v>-35978.25</v>
      </c>
      <c r="V72" s="104" t="n">
        <f aca="false">V49</f>
        <v>-35978.25</v>
      </c>
      <c r="W72" s="104" t="n">
        <f aca="false">W49</f>
        <v>-35978.25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612392.086</v>
      </c>
      <c r="E76" s="109" t="n">
        <f aca="false">SUM(E64:E75)</f>
        <v>338616.892933333</v>
      </c>
      <c r="F76" s="109" t="n">
        <f aca="false">SUM(F64:F75)</f>
        <v>355042.699866666</v>
      </c>
      <c r="G76" s="109" t="n">
        <f aca="false">SUM(G64:G75)</f>
        <v>371468.5068</v>
      </c>
      <c r="H76" s="109" t="n">
        <f aca="false">SUM(H64:H75)</f>
        <v>387894.313733333</v>
      </c>
      <c r="I76" s="109" t="n">
        <f aca="false">SUM(I64:I75)</f>
        <v>404320.120666666</v>
      </c>
      <c r="J76" s="109" t="n">
        <f aca="false">SUM(J64:J75)</f>
        <v>420745.9276</v>
      </c>
      <c r="K76" s="109" t="n">
        <f aca="false">SUM(K64:K75)</f>
        <v>437171.734533333</v>
      </c>
      <c r="L76" s="109" t="n">
        <f aca="false">SUM(L64:L75)</f>
        <v>453597.541466666</v>
      </c>
      <c r="M76" s="109" t="n">
        <f aca="false">SUM(M64:M75)</f>
        <v>470023.348399999</v>
      </c>
      <c r="N76" s="109" t="n">
        <f aca="false">SUM(N64:N75)</f>
        <v>530059.155333333</v>
      </c>
      <c r="O76" s="109" t="n">
        <f aca="false">SUM(O64:O75)</f>
        <v>546484.962266666</v>
      </c>
      <c r="P76" s="109" t="n">
        <f aca="false">SUM(P64:P75)</f>
        <v>562910.769199999</v>
      </c>
      <c r="Q76" s="109" t="n">
        <f aca="false">SUM(Q64:Q75)</f>
        <v>579336.576133333</v>
      </c>
      <c r="R76" s="109" t="n">
        <f aca="false">SUM(R64:R75)</f>
        <v>595762.383066666</v>
      </c>
      <c r="S76" s="109" t="n">
        <f aca="false">SUM(S64:S75)</f>
        <v>612188.189999999</v>
      </c>
      <c r="T76" s="109" t="n">
        <f aca="false">SUM(T64:T75)</f>
        <v>603436.157999999</v>
      </c>
      <c r="U76" s="109" t="n">
        <f aca="false">SUM(U64:U75)</f>
        <v>594684.125999999</v>
      </c>
      <c r="V76" s="109" t="n">
        <f aca="false">SUM(V64:V75)</f>
        <v>585932.093999999</v>
      </c>
      <c r="W76" s="109" t="n">
        <f aca="false">SUM(W64:W75)</f>
        <v>577180.061999999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-122478.4172</v>
      </c>
      <c r="E77" s="104" t="n">
        <f aca="false">-E76*0.2</f>
        <v>-67723.3785866666</v>
      </c>
      <c r="F77" s="104" t="n">
        <f aca="false">-F76*0.2</f>
        <v>-71008.5399733333</v>
      </c>
      <c r="G77" s="104" t="n">
        <f aca="false">-G76*0.2</f>
        <v>-74293.7013599999</v>
      </c>
      <c r="H77" s="104" t="n">
        <f aca="false">-H76*0.2</f>
        <v>-77578.8627466666</v>
      </c>
      <c r="I77" s="104" t="n">
        <f aca="false">-I76*0.2</f>
        <v>-80864.0241333332</v>
      </c>
      <c r="J77" s="104" t="n">
        <f aca="false">-J76*0.2</f>
        <v>-84149.1855199999</v>
      </c>
      <c r="K77" s="104" t="n">
        <f aca="false">-K76*0.2</f>
        <v>-87434.3469066666</v>
      </c>
      <c r="L77" s="104" t="n">
        <f aca="false">-L76*0.2</f>
        <v>-90719.5082933332</v>
      </c>
      <c r="M77" s="104" t="n">
        <f aca="false">-M76*0.2</f>
        <v>-94004.6696799999</v>
      </c>
      <c r="N77" s="104" t="n">
        <f aca="false">-N76*0.2</f>
        <v>-106011.831066667</v>
      </c>
      <c r="O77" s="104" t="n">
        <f aca="false">-O76*0.2</f>
        <v>-109296.992453333</v>
      </c>
      <c r="P77" s="104" t="n">
        <f aca="false">-P76*0.2</f>
        <v>-112582.15384</v>
      </c>
      <c r="Q77" s="104" t="n">
        <f aca="false">-Q76*0.2</f>
        <v>-115867.315226667</v>
      </c>
      <c r="R77" s="104" t="n">
        <f aca="false">-R76*0.2</f>
        <v>-119152.476613333</v>
      </c>
      <c r="S77" s="104" t="n">
        <f aca="false">-S76*0.2</f>
        <v>-122437.638</v>
      </c>
      <c r="T77" s="104" t="n">
        <f aca="false">-T76*0.2</f>
        <v>-120687.2316</v>
      </c>
      <c r="U77" s="104" t="n">
        <f aca="false">-U76*0.2</f>
        <v>-118936.8252</v>
      </c>
      <c r="V77" s="104" t="n">
        <f aca="false">-V76*0.2</f>
        <v>-117186.4188</v>
      </c>
      <c r="W77" s="104" t="n">
        <f aca="false">-W76*0.2</f>
        <v>-115436.0124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489913.6688</v>
      </c>
      <c r="E78" s="104" t="n">
        <f aca="false">SUM(E76:E77)</f>
        <v>270893.514346666</v>
      </c>
      <c r="F78" s="104" t="n">
        <f aca="false">SUM(F76:F77)</f>
        <v>284034.159893333</v>
      </c>
      <c r="G78" s="104" t="n">
        <f aca="false">SUM(G76:G77)</f>
        <v>297174.80544</v>
      </c>
      <c r="H78" s="104" t="n">
        <f aca="false">SUM(H76:H77)</f>
        <v>310315.450986666</v>
      </c>
      <c r="I78" s="104" t="n">
        <f aca="false">SUM(I76:I77)</f>
        <v>323456.096533333</v>
      </c>
      <c r="J78" s="104" t="n">
        <f aca="false">SUM(J76:J77)</f>
        <v>336596.74208</v>
      </c>
      <c r="K78" s="104" t="n">
        <f aca="false">SUM(K76:K77)</f>
        <v>349737.387626666</v>
      </c>
      <c r="L78" s="104" t="n">
        <f aca="false">SUM(L76:L77)</f>
        <v>362878.033173333</v>
      </c>
      <c r="M78" s="104" t="n">
        <f aca="false">SUM(M76:M77)</f>
        <v>376018.67872</v>
      </c>
      <c r="N78" s="104" t="n">
        <f aca="false">SUM(N76:N77)</f>
        <v>424047.324266666</v>
      </c>
      <c r="O78" s="104" t="n">
        <f aca="false">SUM(O76:O77)</f>
        <v>437187.969813333</v>
      </c>
      <c r="P78" s="104" t="n">
        <f aca="false">SUM(P76:P77)</f>
        <v>450328.615359999</v>
      </c>
      <c r="Q78" s="104" t="n">
        <f aca="false">SUM(Q76:Q77)</f>
        <v>463469.260906666</v>
      </c>
      <c r="R78" s="104" t="n">
        <f aca="false">SUM(R76:R77)</f>
        <v>476609.906453333</v>
      </c>
      <c r="S78" s="104" t="n">
        <f aca="false">SUM(S76:S77)</f>
        <v>489750.552</v>
      </c>
      <c r="T78" s="104" t="n">
        <f aca="false">SUM(T76:T77)</f>
        <v>482748.926399999</v>
      </c>
      <c r="U78" s="104" t="n">
        <f aca="false">SUM(U76:U77)</f>
        <v>475747.3008</v>
      </c>
      <c r="V78" s="104" t="n">
        <f aca="false">SUM(V76:V77)</f>
        <v>468745.675199999</v>
      </c>
      <c r="W78" s="104" t="n">
        <f aca="false">SUM(W76:W77)</f>
        <v>461744.049599999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489913.6688</v>
      </c>
      <c r="E85" s="143" t="n">
        <f aca="false">E78</f>
        <v>270893.514346666</v>
      </c>
      <c r="F85" s="143" t="n">
        <f aca="false">F78</f>
        <v>284034.159893333</v>
      </c>
      <c r="G85" s="143" t="n">
        <f aca="false">G78</f>
        <v>297174.80544</v>
      </c>
      <c r="H85" s="143" t="n">
        <f aca="false">H78</f>
        <v>310315.450986666</v>
      </c>
      <c r="I85" s="143" t="n">
        <f aca="false">I78</f>
        <v>323456.096533333</v>
      </c>
      <c r="J85" s="143" t="n">
        <f aca="false">J78</f>
        <v>336596.74208</v>
      </c>
      <c r="K85" s="143" t="n">
        <f aca="false">K78</f>
        <v>349737.387626666</v>
      </c>
      <c r="L85" s="143" t="n">
        <f aca="false">L78</f>
        <v>362878.033173333</v>
      </c>
      <c r="M85" s="143" t="n">
        <f aca="false">M78</f>
        <v>376018.67872</v>
      </c>
      <c r="N85" s="143" t="n">
        <f aca="false">N78</f>
        <v>424047.324266666</v>
      </c>
      <c r="O85" s="143" t="n">
        <f aca="false">O78</f>
        <v>437187.969813333</v>
      </c>
      <c r="P85" s="143" t="n">
        <f aca="false">P78</f>
        <v>450328.615359999</v>
      </c>
      <c r="Q85" s="143" t="n">
        <f aca="false">Q78</f>
        <v>463469.260906666</v>
      </c>
      <c r="R85" s="143" t="n">
        <f aca="false">R78</f>
        <v>476609.906453333</v>
      </c>
      <c r="S85" s="143" t="n">
        <f aca="false">S78</f>
        <v>489750.552</v>
      </c>
      <c r="T85" s="143" t="n">
        <f aca="false">T78</f>
        <v>482748.926399999</v>
      </c>
      <c r="U85" s="143" t="n">
        <f aca="false">U78</f>
        <v>475747.3008</v>
      </c>
      <c r="V85" s="143" t="n">
        <f aca="false">V78</f>
        <v>468745.675199999</v>
      </c>
      <c r="W85" s="143" t="n">
        <f aca="false">W78</f>
        <v>461744.049599999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922040</v>
      </c>
      <c r="E86" s="144" t="n">
        <f aca="false">-E67</f>
        <v>922040</v>
      </c>
      <c r="F86" s="144" t="n">
        <f aca="false">-F67</f>
        <v>922040</v>
      </c>
      <c r="G86" s="144" t="n">
        <f aca="false">-G67</f>
        <v>922040</v>
      </c>
      <c r="H86" s="144" t="n">
        <f aca="false">-H67</f>
        <v>922040</v>
      </c>
      <c r="I86" s="144" t="n">
        <f aca="false">-I67</f>
        <v>922040</v>
      </c>
      <c r="J86" s="144" t="n">
        <f aca="false">-J67</f>
        <v>922040</v>
      </c>
      <c r="K86" s="144" t="n">
        <f aca="false">-K67</f>
        <v>922040</v>
      </c>
      <c r="L86" s="144" t="n">
        <f aca="false">-L67</f>
        <v>922040</v>
      </c>
      <c r="M86" s="144" t="n">
        <f aca="false">-M67</f>
        <v>922040</v>
      </c>
      <c r="N86" s="144" t="n">
        <f aca="false">-N67</f>
        <v>922040</v>
      </c>
      <c r="O86" s="144" t="n">
        <f aca="false">-O67</f>
        <v>922040</v>
      </c>
      <c r="P86" s="144" t="n">
        <f aca="false">-P67</f>
        <v>922040</v>
      </c>
      <c r="Q86" s="144" t="n">
        <f aca="false">-Q67</f>
        <v>922040</v>
      </c>
      <c r="R86" s="144" t="n">
        <f aca="false">-R67</f>
        <v>922040</v>
      </c>
      <c r="S86" s="144" t="n">
        <f aca="false">-S67</f>
        <v>922040</v>
      </c>
      <c r="T86" s="144" t="n">
        <f aca="false">-T67</f>
        <v>922040</v>
      </c>
      <c r="U86" s="144" t="n">
        <f aca="false">-U67</f>
        <v>922040</v>
      </c>
      <c r="V86" s="144" t="n">
        <f aca="false">-V67</f>
        <v>922040</v>
      </c>
      <c r="W86" s="144" t="n">
        <f aca="false">-W67</f>
        <v>922040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1411953.6688</v>
      </c>
      <c r="E87" s="146" t="n">
        <f aca="false">SUM(E85:E86)</f>
        <v>1192933.51434667</v>
      </c>
      <c r="F87" s="146" t="n">
        <f aca="false">SUM(F85:F86)</f>
        <v>1206074.15989333</v>
      </c>
      <c r="G87" s="146" t="n">
        <f aca="false">SUM(G85:G86)</f>
        <v>1219214.80544</v>
      </c>
      <c r="H87" s="146" t="n">
        <f aca="false">SUM(H85:H86)</f>
        <v>1232355.45098667</v>
      </c>
      <c r="I87" s="146" t="n">
        <f aca="false">SUM(I85:I86)</f>
        <v>1245496.09653333</v>
      </c>
      <c r="J87" s="146" t="n">
        <f aca="false">SUM(J85:J86)</f>
        <v>1258636.74208</v>
      </c>
      <c r="K87" s="146" t="n">
        <f aca="false">SUM(K85:K86)</f>
        <v>1271777.38762667</v>
      </c>
      <c r="L87" s="146" t="n">
        <f aca="false">SUM(L85:L86)</f>
        <v>1284918.03317333</v>
      </c>
      <c r="M87" s="146" t="n">
        <f aca="false">SUM(M85:M86)</f>
        <v>1298058.67872</v>
      </c>
      <c r="N87" s="146" t="n">
        <f aca="false">SUM(N85:N86)</f>
        <v>1346087.32426667</v>
      </c>
      <c r="O87" s="146" t="n">
        <f aca="false">SUM(O85:O86)</f>
        <v>1359227.96981333</v>
      </c>
      <c r="P87" s="146" t="n">
        <f aca="false">SUM(P85:P86)</f>
        <v>1372368.61536</v>
      </c>
      <c r="Q87" s="146" t="n">
        <f aca="false">SUM(Q85:Q86)</f>
        <v>1385509.26090667</v>
      </c>
      <c r="R87" s="146" t="n">
        <f aca="false">SUM(R85:R86)</f>
        <v>1398649.90645333</v>
      </c>
      <c r="S87" s="146" t="n">
        <f aca="false">SUM(S85:S86)</f>
        <v>1411790.552</v>
      </c>
      <c r="T87" s="146" t="n">
        <f aca="false">SUM(T85:T86)</f>
        <v>1404788.9264</v>
      </c>
      <c r="U87" s="146" t="n">
        <f aca="false">SUM(U85:U86)</f>
        <v>1397787.3008</v>
      </c>
      <c r="V87" s="146" t="n">
        <f aca="false">SUM(V85:V86)</f>
        <v>1390785.6752</v>
      </c>
      <c r="W87" s="146" t="n">
        <f aca="false">SUM(W85:W86)</f>
        <v>1383784.0496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-18440800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14752640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-983509.333333333</v>
      </c>
      <c r="F93" s="152" t="n">
        <v>-983509.333333333</v>
      </c>
      <c r="G93" s="152" t="n">
        <v>-983509.333333333</v>
      </c>
      <c r="H93" s="152" t="n">
        <v>-983509.333333333</v>
      </c>
      <c r="I93" s="152" t="n">
        <v>-983509.333333333</v>
      </c>
      <c r="J93" s="152" t="n">
        <v>-983509.333333333</v>
      </c>
      <c r="K93" s="152" t="n">
        <v>-983509.333333333</v>
      </c>
      <c r="L93" s="152" t="n">
        <v>-983509.333333333</v>
      </c>
      <c r="M93" s="152" t="n">
        <v>-983509.333333333</v>
      </c>
      <c r="N93" s="152" t="n">
        <v>-983509.333333333</v>
      </c>
      <c r="O93" s="152" t="n">
        <v>-983509.333333333</v>
      </c>
      <c r="P93" s="152" t="n">
        <v>-983509.333333333</v>
      </c>
      <c r="Q93" s="152" t="n">
        <v>-983509.333333333</v>
      </c>
      <c r="R93" s="152" t="n">
        <v>-983509.333333333</v>
      </c>
      <c r="S93" s="152" t="n">
        <v>-983509.333333333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3688160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-440922.30192</v>
      </c>
      <c r="F95" s="153" t="n">
        <f aca="false">-E85*$D$33</f>
        <v>-243804.162912</v>
      </c>
      <c r="G95" s="153" t="n">
        <f aca="false">-F85*$D$33</f>
        <v>-255630.743904</v>
      </c>
      <c r="H95" s="153" t="n">
        <f aca="false">-G85*$D$33</f>
        <v>-267457.324896</v>
      </c>
      <c r="I95" s="153" t="n">
        <f aca="false">-H85*$D$33</f>
        <v>-279283.905888</v>
      </c>
      <c r="J95" s="153" t="n">
        <f aca="false">-I85*$D$33</f>
        <v>-291110.48688</v>
      </c>
      <c r="K95" s="153" t="n">
        <f aca="false">-J85*$D$33</f>
        <v>-302937.067872</v>
      </c>
      <c r="L95" s="153" t="n">
        <f aca="false">-K85*$D$33</f>
        <v>-314763.648864</v>
      </c>
      <c r="M95" s="153" t="n">
        <f aca="false">-L85*$D$33</f>
        <v>-326590.229856</v>
      </c>
      <c r="N95" s="153" t="n">
        <f aca="false">-M85*$D$33</f>
        <v>-338416.810848</v>
      </c>
      <c r="O95" s="153" t="n">
        <f aca="false">-N85*$D$33</f>
        <v>-381642.59184</v>
      </c>
      <c r="P95" s="153" t="n">
        <f aca="false">-O85*$D$33</f>
        <v>-393469.172832</v>
      </c>
      <c r="Q95" s="153" t="n">
        <f aca="false">-P85*$D$33</f>
        <v>-405295.753824</v>
      </c>
      <c r="R95" s="153" t="n">
        <f aca="false">-Q85*$D$33</f>
        <v>-417122.334816</v>
      </c>
      <c r="S95" s="153" t="n">
        <f aca="false">-R85*$D$33</f>
        <v>-428948.915808</v>
      </c>
      <c r="T95" s="153" t="n">
        <f aca="false">-S85*$D$33</f>
        <v>-440775.4968</v>
      </c>
      <c r="U95" s="153" t="n">
        <f aca="false">-T85*$D$33</f>
        <v>-434474.03376</v>
      </c>
      <c r="V95" s="153" t="n">
        <f aca="false">-U85*$D$33</f>
        <v>-428172.57072</v>
      </c>
      <c r="W95" s="153" t="n">
        <f aca="false">-V85*$D$33</f>
        <v>-421871.107679999</v>
      </c>
      <c r="X95" s="153" t="n">
        <f aca="false">-W85*$D$33</f>
        <v>-415569.64464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-922040</v>
      </c>
      <c r="U96" s="156" t="n">
        <v>-922040</v>
      </c>
      <c r="V96" s="156" t="n">
        <v>-922040</v>
      </c>
      <c r="W96" s="156" t="n">
        <v>-922040</v>
      </c>
      <c r="X96" s="157" t="n">
        <f aca="false">-W101-X95</f>
        <v>-803139.811840008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1411953.6688</v>
      </c>
      <c r="E99" s="143" t="n">
        <f aca="false">SUM(E87:E96)</f>
        <v>-231498.120906666</v>
      </c>
      <c r="F99" s="143" t="n">
        <f aca="false">SUM(F87:F96)</f>
        <v>-21239.3363519992</v>
      </c>
      <c r="G99" s="143" t="n">
        <f aca="false">SUM(G87:G96)</f>
        <v>-19925.271797333</v>
      </c>
      <c r="H99" s="143" t="n">
        <f aca="false">SUM(H87:H96)</f>
        <v>-18611.2072426662</v>
      </c>
      <c r="I99" s="143" t="n">
        <f aca="false">SUM(I87:I96)</f>
        <v>-17297.1426879997</v>
      </c>
      <c r="J99" s="143" t="n">
        <f aca="false">SUM(J87:J96)</f>
        <v>-15983.0781333328</v>
      </c>
      <c r="K99" s="143" t="n">
        <f aca="false">SUM(K87:K96)</f>
        <v>-14669.0135786661</v>
      </c>
      <c r="L99" s="143" t="n">
        <f aca="false">SUM(L87:L96)</f>
        <v>-13354.9490239997</v>
      </c>
      <c r="M99" s="143" t="n">
        <f aca="false">SUM(M87:M96)</f>
        <v>-12040.8844693328</v>
      </c>
      <c r="N99" s="143" t="n">
        <f aca="false">SUM(N87:N96)</f>
        <v>24161.1800853337</v>
      </c>
      <c r="O99" s="143" t="n">
        <f aca="false">SUM(O87:O96)</f>
        <v>-5923.95535999938</v>
      </c>
      <c r="P99" s="143" t="n">
        <f aca="false">SUM(P87:P96)</f>
        <v>-4609.89080533292</v>
      </c>
      <c r="Q99" s="143" t="n">
        <f aca="false">SUM(Q87:Q96)</f>
        <v>-3295.826250666</v>
      </c>
      <c r="R99" s="143" t="n">
        <f aca="false">SUM(R87:R96)</f>
        <v>-1981.76169599971</v>
      </c>
      <c r="S99" s="143" t="n">
        <f aca="false">SUM(S87:S96)</f>
        <v>-667.697141332843</v>
      </c>
      <c r="T99" s="143" t="n">
        <f aca="false">SUM(T87:T96)</f>
        <v>41973.4296000002</v>
      </c>
      <c r="U99" s="143" t="n">
        <f aca="false">SUM(U87:U96)</f>
        <v>41273.2670400003</v>
      </c>
      <c r="V99" s="143" t="n">
        <f aca="false">SUM(V87:V96)</f>
        <v>40573.10448</v>
      </c>
      <c r="W99" s="143" t="n">
        <f aca="false">SUM(W87:W96)</f>
        <v>39872.9419200001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1411953.6688</v>
      </c>
      <c r="F100" s="143" t="n">
        <f aca="false">E101</f>
        <v>1180455.54789333</v>
      </c>
      <c r="G100" s="143" t="n">
        <f aca="false">F101</f>
        <v>1159216.21154133</v>
      </c>
      <c r="H100" s="143" t="n">
        <f aca="false">G101</f>
        <v>1139290.939744</v>
      </c>
      <c r="I100" s="143" t="n">
        <f aca="false">H101</f>
        <v>1120679.73250134</v>
      </c>
      <c r="J100" s="143" t="n">
        <f aca="false">I101</f>
        <v>1103382.58981334</v>
      </c>
      <c r="K100" s="143" t="n">
        <f aca="false">J101</f>
        <v>1087399.51168</v>
      </c>
      <c r="L100" s="143" t="n">
        <f aca="false">K101</f>
        <v>1072730.49810134</v>
      </c>
      <c r="M100" s="143" t="n">
        <f aca="false">L101</f>
        <v>1059375.54907734</v>
      </c>
      <c r="N100" s="143" t="n">
        <f aca="false">M101</f>
        <v>1047334.664608</v>
      </c>
      <c r="O100" s="143" t="n">
        <f aca="false">N101</f>
        <v>1071495.84469334</v>
      </c>
      <c r="P100" s="143" t="n">
        <f aca="false">O101</f>
        <v>1065571.88933334</v>
      </c>
      <c r="Q100" s="143" t="n">
        <f aca="false">P101</f>
        <v>1060961.99852801</v>
      </c>
      <c r="R100" s="143" t="n">
        <f aca="false">Q101</f>
        <v>1057666.17227734</v>
      </c>
      <c r="S100" s="143" t="n">
        <f aca="false">R101</f>
        <v>1055684.41058134</v>
      </c>
      <c r="T100" s="143" t="n">
        <f aca="false">S101</f>
        <v>1055016.71344001</v>
      </c>
      <c r="U100" s="143" t="n">
        <f aca="false">T101</f>
        <v>1096990.14304001</v>
      </c>
      <c r="V100" s="143" t="n">
        <f aca="false">U101</f>
        <v>1138263.41008001</v>
      </c>
      <c r="W100" s="143" t="n">
        <f aca="false">V101</f>
        <v>1178836.51456001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1411953.6688</v>
      </c>
      <c r="E101" s="143" t="n">
        <f aca="false">E99+E100</f>
        <v>1180455.54789333</v>
      </c>
      <c r="F101" s="143" t="n">
        <f aca="false">F99+F100</f>
        <v>1159216.21154133</v>
      </c>
      <c r="G101" s="143" t="n">
        <f aca="false">G99+G100</f>
        <v>1139290.939744</v>
      </c>
      <c r="H101" s="143" t="n">
        <f aca="false">H99+H100</f>
        <v>1120679.73250134</v>
      </c>
      <c r="I101" s="143" t="n">
        <f aca="false">I99+I100</f>
        <v>1103382.58981334</v>
      </c>
      <c r="J101" s="143" t="n">
        <f aca="false">J99+J100</f>
        <v>1087399.51168</v>
      </c>
      <c r="K101" s="143" t="n">
        <f aca="false">K99+K100</f>
        <v>1072730.49810134</v>
      </c>
      <c r="L101" s="143" t="n">
        <f aca="false">L99+L100</f>
        <v>1059375.54907734</v>
      </c>
      <c r="M101" s="143" t="n">
        <f aca="false">M99+M100</f>
        <v>1047334.664608</v>
      </c>
      <c r="N101" s="143" t="n">
        <f aca="false">N99+N100</f>
        <v>1071495.84469334</v>
      </c>
      <c r="O101" s="143" t="n">
        <f aca="false">O99+O100</f>
        <v>1065571.88933334</v>
      </c>
      <c r="P101" s="143" t="n">
        <f aca="false">P99+P100</f>
        <v>1060961.99852801</v>
      </c>
      <c r="Q101" s="143" t="n">
        <f aca="false">Q99+Q100</f>
        <v>1057666.17227734</v>
      </c>
      <c r="R101" s="143" t="n">
        <f aca="false">R99+R100</f>
        <v>1055684.41058134</v>
      </c>
      <c r="S101" s="143" t="n">
        <f aca="false">S99+S100</f>
        <v>1055016.71344001</v>
      </c>
      <c r="T101" s="143" t="n">
        <f aca="false">T99+T100</f>
        <v>1096990.14304001</v>
      </c>
      <c r="U101" s="143" t="n">
        <f aca="false">U99+U100</f>
        <v>1138263.41008001</v>
      </c>
      <c r="V101" s="143" t="n">
        <f aca="false">V99+V100</f>
        <v>1178836.51456001</v>
      </c>
      <c r="W101" s="143" t="n">
        <f aca="false">W99+W100</f>
        <v>1218709.45648001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-3688160</v>
      </c>
      <c r="E104" s="146" t="n">
        <f aca="false">-E95-E96</f>
        <v>440922.30192</v>
      </c>
      <c r="F104" s="146" t="n">
        <f aca="false">-F95-F96</f>
        <v>243804.162912</v>
      </c>
      <c r="G104" s="146" t="n">
        <f aca="false">-G95-G96</f>
        <v>255630.743904</v>
      </c>
      <c r="H104" s="146" t="n">
        <f aca="false">-H95-H96</f>
        <v>267457.324896</v>
      </c>
      <c r="I104" s="146" t="n">
        <f aca="false">-I95-I96</f>
        <v>279283.905888</v>
      </c>
      <c r="J104" s="146" t="n">
        <f aca="false">-J95-J96</f>
        <v>291110.48688</v>
      </c>
      <c r="K104" s="146" t="n">
        <f aca="false">-K95-K96</f>
        <v>302937.067872</v>
      </c>
      <c r="L104" s="146" t="n">
        <f aca="false">-L95-L96</f>
        <v>314763.648864</v>
      </c>
      <c r="M104" s="146" t="n">
        <f aca="false">-M95-M96</f>
        <v>326590.229856</v>
      </c>
      <c r="N104" s="146" t="n">
        <f aca="false">-N95-N96</f>
        <v>338416.810848</v>
      </c>
      <c r="O104" s="146" t="n">
        <f aca="false">-O95-O96</f>
        <v>381642.59184</v>
      </c>
      <c r="P104" s="146" t="n">
        <f aca="false">-P95-P96</f>
        <v>393469.172832</v>
      </c>
      <c r="Q104" s="146" t="n">
        <f aca="false">-Q95-Q96</f>
        <v>405295.753824</v>
      </c>
      <c r="R104" s="146" t="n">
        <f aca="false">-R95-R96</f>
        <v>417122.334816</v>
      </c>
      <c r="S104" s="146" t="n">
        <f aca="false">-S95-S96</f>
        <v>428948.915808</v>
      </c>
      <c r="T104" s="146" t="n">
        <f aca="false">-T95-T96</f>
        <v>1362815.4968</v>
      </c>
      <c r="U104" s="146" t="n">
        <f aca="false">-U95-U96</f>
        <v>1356514.03376</v>
      </c>
      <c r="V104" s="146" t="n">
        <f aca="false">-V95-V96</f>
        <v>1350212.57072</v>
      </c>
      <c r="W104" s="146" t="n">
        <f aca="false">-W95-W96</f>
        <v>1343911.10768</v>
      </c>
      <c r="X104" s="146" t="n">
        <f aca="false">-X95-X96</f>
        <v>1218709.45648001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0.0998747840299292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-3198246.3312</v>
      </c>
      <c r="E106" s="146" t="n">
        <f aca="false">E85</f>
        <v>270893.514346666</v>
      </c>
      <c r="F106" s="146" t="n">
        <f aca="false">F85-F96</f>
        <v>284034.159893333</v>
      </c>
      <c r="G106" s="146" t="n">
        <f aca="false">G85-G96</f>
        <v>297174.80544</v>
      </c>
      <c r="H106" s="146" t="n">
        <f aca="false">H85-H96</f>
        <v>310315.450986666</v>
      </c>
      <c r="I106" s="146" t="n">
        <f aca="false">I85-I96</f>
        <v>323456.096533333</v>
      </c>
      <c r="J106" s="146" t="n">
        <f aca="false">J85-J96</f>
        <v>336596.74208</v>
      </c>
      <c r="K106" s="146" t="n">
        <f aca="false">K85-K96</f>
        <v>349737.387626666</v>
      </c>
      <c r="L106" s="146" t="n">
        <f aca="false">L85-L96</f>
        <v>362878.033173333</v>
      </c>
      <c r="M106" s="146" t="n">
        <f aca="false">M85-M96</f>
        <v>376018.67872</v>
      </c>
      <c r="N106" s="146" t="n">
        <f aca="false">N85-N96</f>
        <v>424047.324266666</v>
      </c>
      <c r="O106" s="146" t="n">
        <f aca="false">O85-O96</f>
        <v>437187.969813333</v>
      </c>
      <c r="P106" s="146" t="n">
        <f aca="false">P85-P96</f>
        <v>450328.615359999</v>
      </c>
      <c r="Q106" s="146" t="n">
        <f aca="false">Q85-Q96</f>
        <v>463469.260906666</v>
      </c>
      <c r="R106" s="146" t="n">
        <f aca="false">R85-R96</f>
        <v>476609.906453333</v>
      </c>
      <c r="S106" s="146" t="n">
        <f aca="false">S85-S96</f>
        <v>489750.552</v>
      </c>
      <c r="T106" s="146" t="n">
        <f aca="false">T85-T96</f>
        <v>1404788.9264</v>
      </c>
      <c r="U106" s="146" t="n">
        <f aca="false">U85-U96</f>
        <v>1397787.3008</v>
      </c>
      <c r="V106" s="146" t="n">
        <f aca="false">V85-V96</f>
        <v>1390785.6752</v>
      </c>
      <c r="W106" s="146" t="n">
        <f aca="false">W85-W96</f>
        <v>1383784.0496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0.11693526228927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14752640</v>
      </c>
      <c r="E109" s="143" t="n">
        <f aca="false">D109+E93</f>
        <v>13769130.6666667</v>
      </c>
      <c r="F109" s="143" t="n">
        <f aca="false">E109+F93</f>
        <v>12785621.3333333</v>
      </c>
      <c r="G109" s="143" t="n">
        <f aca="false">F109+G93</f>
        <v>11802112</v>
      </c>
      <c r="H109" s="143" t="n">
        <f aca="false">G109+H93</f>
        <v>10818602.6666667</v>
      </c>
      <c r="I109" s="143" t="n">
        <f aca="false">H109+I93</f>
        <v>9835093.33333334</v>
      </c>
      <c r="J109" s="143" t="n">
        <f aca="false">I109+J93</f>
        <v>8851584.00000001</v>
      </c>
      <c r="K109" s="143" t="n">
        <f aca="false">J109+K93</f>
        <v>7868074.66666668</v>
      </c>
      <c r="L109" s="143" t="n">
        <f aca="false">K109+L93</f>
        <v>6884565.33333335</v>
      </c>
      <c r="M109" s="143" t="n">
        <f aca="false">L109+M93</f>
        <v>5901056.00000001</v>
      </c>
      <c r="N109" s="143" t="n">
        <f aca="false">M109+N93</f>
        <v>4917546.66666668</v>
      </c>
      <c r="O109" s="143" t="n">
        <f aca="false">N109+O93</f>
        <v>3934037.33333335</v>
      </c>
      <c r="P109" s="143" t="n">
        <f aca="false">O109+P93</f>
        <v>2950528.00000001</v>
      </c>
      <c r="Q109" s="143" t="n">
        <f aca="false">P109+Q93</f>
        <v>1967018.66666668</v>
      </c>
      <c r="R109" s="143" t="n">
        <f aca="false">Q109+R93</f>
        <v>983509.333333347</v>
      </c>
      <c r="S109" s="143" t="n">
        <f aca="false">R109+S93</f>
        <v>1.39698386192322E-008</v>
      </c>
      <c r="T109" s="143" t="n">
        <f aca="false">S109+T93</f>
        <v>1.39698386192322E-008</v>
      </c>
      <c r="U109" s="143" t="n">
        <f aca="false">T109+U93</f>
        <v>1.39698386192322E-008</v>
      </c>
      <c r="V109" s="143" t="n">
        <f aca="false">U109+V93</f>
        <v>1.39698386192322E-008</v>
      </c>
      <c r="W109" s="143" t="n">
        <f aca="false">V109+W93</f>
        <v>1.39698386192322E-008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214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176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215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216</v>
      </c>
    </row>
    <row r="8" customFormat="false" ht="22.5" hidden="false" customHeight="true" outlineLevel="0" collapsed="false">
      <c r="B8" s="16" t="s">
        <v>14</v>
      </c>
      <c r="E8" s="46"/>
      <c r="M8" s="1" t="s">
        <v>217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98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26000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-17506300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-34015.8</v>
      </c>
      <c r="E49" s="104" t="n">
        <v>-34015.8</v>
      </c>
      <c r="F49" s="104" t="n">
        <v>-34015.8</v>
      </c>
      <c r="G49" s="104" t="n">
        <v>-34015.8</v>
      </c>
      <c r="H49" s="104" t="n">
        <v>-34015.8</v>
      </c>
      <c r="I49" s="104" t="n">
        <v>-34015.8</v>
      </c>
      <c r="J49" s="104" t="n">
        <v>-34015.8</v>
      </c>
      <c r="K49" s="104" t="n">
        <v>-34015.8</v>
      </c>
      <c r="L49" s="104" t="n">
        <v>-34015.8</v>
      </c>
      <c r="M49" s="104" t="n">
        <v>-34015.8</v>
      </c>
      <c r="N49" s="104" t="n">
        <v>-34015.8</v>
      </c>
      <c r="O49" s="104" t="n">
        <v>-34015.8</v>
      </c>
      <c r="P49" s="104" t="n">
        <v>-34015.8</v>
      </c>
      <c r="Q49" s="104" t="n">
        <v>-34015.8</v>
      </c>
      <c r="R49" s="104" t="n">
        <v>-34015.8</v>
      </c>
      <c r="S49" s="104" t="n">
        <v>-34015.8</v>
      </c>
      <c r="T49" s="104" t="n">
        <v>-34015.8</v>
      </c>
      <c r="U49" s="104" t="n">
        <v>-34015.8</v>
      </c>
      <c r="V49" s="104" t="n">
        <v>-34015.8</v>
      </c>
      <c r="W49" s="104" t="n">
        <v>-34015.8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-207749.424</v>
      </c>
      <c r="E54" s="104" t="n">
        <f aca="false">-(E64+E67+E68+E71+E72+E73+E74)*0.2</f>
        <v>-147958.8176</v>
      </c>
      <c r="F54" s="104" t="n">
        <f aca="false">-(F64+F67+F68+F71+F72+F73+F74)*0.2</f>
        <v>-146208.4112</v>
      </c>
      <c r="G54" s="104" t="n">
        <f aca="false">-(G64+G67+G68+G71+G72+G73+G74)*0.2</f>
        <v>-144458.0048</v>
      </c>
      <c r="H54" s="104" t="n">
        <f aca="false">-(H64+H67+H68+H71+H72+H73+H74)*0.2</f>
        <v>-142707.5984</v>
      </c>
      <c r="I54" s="104" t="n">
        <f aca="false">-(I64+I67+I68+I71+I72+I73+I74)*0.2</f>
        <v>-140957.192</v>
      </c>
      <c r="J54" s="104" t="n">
        <f aca="false">-(J64+J67+J68+J71+J72+J73+J74)*0.2</f>
        <v>-139206.7856</v>
      </c>
      <c r="K54" s="104" t="n">
        <f aca="false">-(K64+K67+K68+K71+K72+K73+K74)*0.2</f>
        <v>-137456.3792</v>
      </c>
      <c r="L54" s="104" t="n">
        <f aca="false">-(L64+L67+L68+L71+L72+L73+L74)*0.2</f>
        <v>-135705.9728</v>
      </c>
      <c r="M54" s="104" t="n">
        <f aca="false">-(M64+M67+M68+M71+M72+M73+M74)*0.2</f>
        <v>-133955.5664</v>
      </c>
      <c r="N54" s="104" t="n">
        <f aca="false">-(N64+N67+N68+N71+N72+N73+N74)*0.2</f>
        <v>-140927.16</v>
      </c>
      <c r="O54" s="104" t="n">
        <f aca="false">-(O64+O67+O68+O71+O72+O73+O74)*0.2</f>
        <v>-139176.7536</v>
      </c>
      <c r="P54" s="104" t="n">
        <f aca="false">-(P64+P67+P68+P71+P72+P73+P74)*0.2</f>
        <v>-137426.3472</v>
      </c>
      <c r="Q54" s="104" t="n">
        <f aca="false">-(Q64+Q67+Q68+Q71+Q72+Q73+Q74)*0.2</f>
        <v>-135675.9408</v>
      </c>
      <c r="R54" s="104" t="n">
        <f aca="false">-(R64+R67+R68+R71+R72+R73+R74)*0.2</f>
        <v>-133925.5344</v>
      </c>
      <c r="S54" s="104" t="n">
        <f aca="false">-(S64+S67+S68+S71+S72+S73+S74)*0.2</f>
        <v>-132175.128</v>
      </c>
      <c r="T54" s="104" t="n">
        <f aca="false">-(T64+T67+T68+T71+T72+T73+T74)*0.2</f>
        <v>-130424.7216</v>
      </c>
      <c r="U54" s="104" t="n">
        <f aca="false">-(U64+U67+U68+U71+U72+U73+U74)*0.2</f>
        <v>-128674.3152</v>
      </c>
      <c r="V54" s="104" t="n">
        <f aca="false">-(V64+V67+V68+V71+V72+V73+V74)*0.2</f>
        <v>-126923.9088</v>
      </c>
      <c r="W54" s="104" t="n">
        <f aca="false">-(W64+W67+W68+W71+W72+W73+W74)*0.2</f>
        <v>-125173.5024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-17506300</v>
      </c>
      <c r="D55" s="109" t="n">
        <f aca="false">SUM(D41:D54)</f>
        <v>1416111.696</v>
      </c>
      <c r="E55" s="109" t="n">
        <f aca="false">SUM(E41:E54)</f>
        <v>1467150.2704</v>
      </c>
      <c r="F55" s="109" t="n">
        <f aca="false">SUM(F41:F54)</f>
        <v>1460148.6448</v>
      </c>
      <c r="G55" s="109" t="n">
        <f aca="false">SUM(G41:G54)</f>
        <v>1453147.0192</v>
      </c>
      <c r="H55" s="109" t="n">
        <f aca="false">SUM(H41:H54)</f>
        <v>1446145.3936</v>
      </c>
      <c r="I55" s="109" t="n">
        <f aca="false">SUM(I41:I54)</f>
        <v>1439143.768</v>
      </c>
      <c r="J55" s="109" t="n">
        <f aca="false">SUM(J41:J54)</f>
        <v>1432142.1424</v>
      </c>
      <c r="K55" s="109" t="n">
        <f aca="false">SUM(K41:K54)</f>
        <v>1425140.5168</v>
      </c>
      <c r="L55" s="109" t="n">
        <f aca="false">SUM(L41:L54)</f>
        <v>1418138.8912</v>
      </c>
      <c r="M55" s="109" t="n">
        <f aca="false">SUM(M41:M54)</f>
        <v>1411137.2656</v>
      </c>
      <c r="N55" s="109" t="n">
        <f aca="false">SUM(N41:N54)</f>
        <v>1439023.64</v>
      </c>
      <c r="O55" s="109" t="n">
        <f aca="false">SUM(O41:O54)</f>
        <v>1432022.0144</v>
      </c>
      <c r="P55" s="109" t="n">
        <f aca="false">SUM(P41:P54)</f>
        <v>1425020.3888</v>
      </c>
      <c r="Q55" s="109" t="n">
        <f aca="false">SUM(Q41:Q54)</f>
        <v>1418018.7632</v>
      </c>
      <c r="R55" s="109" t="n">
        <f aca="false">SUM(R41:R54)</f>
        <v>1411017.1376</v>
      </c>
      <c r="S55" s="109" t="n">
        <f aca="false">SUM(S41:S54)</f>
        <v>1404015.512</v>
      </c>
      <c r="T55" s="109" t="n">
        <f aca="false">SUM(T41:T54)</f>
        <v>1397013.8864</v>
      </c>
      <c r="U55" s="109" t="n">
        <f aca="false">SUM(U41:U54)</f>
        <v>1390012.2608</v>
      </c>
      <c r="V55" s="109" t="n">
        <f aca="false">SUM(V41:V54)</f>
        <v>1383010.6352</v>
      </c>
      <c r="W55" s="109" t="n">
        <f aca="false">SUM(W41:W54)</f>
        <v>1376009.0096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-16090188.304</v>
      </c>
      <c r="E56" s="114" t="n">
        <f aca="false">D56+E55</f>
        <v>-14623038.0336</v>
      </c>
      <c r="F56" s="114" t="n">
        <f aca="false">E56+F55</f>
        <v>-13162889.3888</v>
      </c>
      <c r="G56" s="114" t="n">
        <f aca="false">F56+G55</f>
        <v>-11709742.3696</v>
      </c>
      <c r="H56" s="114" t="n">
        <f aca="false">G56+H55</f>
        <v>-10263596.976</v>
      </c>
      <c r="I56" s="114" t="n">
        <f aca="false">H56+I55</f>
        <v>-8824453.208</v>
      </c>
      <c r="J56" s="114" t="n">
        <f aca="false">I56+J55</f>
        <v>-7392311.0656</v>
      </c>
      <c r="K56" s="114" t="n">
        <f aca="false">J56+K55</f>
        <v>-5967170.5488</v>
      </c>
      <c r="L56" s="114" t="n">
        <f aca="false">K56+L55</f>
        <v>-4549031.6576</v>
      </c>
      <c r="M56" s="114" t="n">
        <f aca="false">L56+M55</f>
        <v>-3137894.392</v>
      </c>
      <c r="N56" s="114" t="n">
        <f aca="false">M56+N55</f>
        <v>-1698870.752</v>
      </c>
      <c r="O56" s="114" t="n">
        <f aca="false">N56+O55</f>
        <v>-266848.737599999</v>
      </c>
      <c r="P56" s="114" t="n">
        <f aca="false">O56+P55</f>
        <v>1158171.6512</v>
      </c>
      <c r="Q56" s="114" t="n">
        <f aca="false">P56+Q55</f>
        <v>2576190.4144</v>
      </c>
      <c r="R56" s="114" t="n">
        <f aca="false">Q56+R55</f>
        <v>3987207.552</v>
      </c>
      <c r="S56" s="114" t="n">
        <f aca="false">R56+S55</f>
        <v>5391223.064</v>
      </c>
      <c r="T56" s="114" t="n">
        <f aca="false">S56+T55</f>
        <v>6788236.9504</v>
      </c>
      <c r="U56" s="114" t="n">
        <f aca="false">T56+U55</f>
        <v>8178249.2112</v>
      </c>
      <c r="V56" s="114" t="n">
        <f aca="false">U56+V55</f>
        <v>9561259.8464</v>
      </c>
      <c r="W56" s="114" t="n">
        <f aca="false">V56+W55</f>
        <v>10937268.856</v>
      </c>
      <c r="X56" s="114" t="n">
        <f aca="false">W56+X55</f>
        <v>10937268.856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未回收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0.0519312922131939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-875315</v>
      </c>
      <c r="E67" s="127" t="n">
        <f aca="false">$C$44/$E$16</f>
        <v>-875315</v>
      </c>
      <c r="F67" s="127" t="n">
        <f aca="false">$C$44/$E$16</f>
        <v>-875315</v>
      </c>
      <c r="G67" s="127" t="n">
        <f aca="false">$C$44/$E$16</f>
        <v>-875315</v>
      </c>
      <c r="H67" s="127" t="n">
        <f aca="false">$C$44/$E$16</f>
        <v>-875315</v>
      </c>
      <c r="I67" s="127" t="n">
        <f aca="false">$C$44/$E$16</f>
        <v>-875315</v>
      </c>
      <c r="J67" s="127" t="n">
        <f aca="false">$C$44/$E$16</f>
        <v>-875315</v>
      </c>
      <c r="K67" s="127" t="n">
        <f aca="false">$C$44/$E$16</f>
        <v>-875315</v>
      </c>
      <c r="L67" s="127" t="n">
        <f aca="false">$C$44/$E$16</f>
        <v>-875315</v>
      </c>
      <c r="M67" s="127" t="n">
        <f aca="false">$C$44/$E$16</f>
        <v>-875315</v>
      </c>
      <c r="N67" s="127" t="n">
        <f aca="false">$C$44/$E$16</f>
        <v>-875315</v>
      </c>
      <c r="O67" s="127" t="n">
        <f aca="false">$C$44/$E$16</f>
        <v>-875315</v>
      </c>
      <c r="P67" s="127" t="n">
        <f aca="false">$C$44/$E$16</f>
        <v>-875315</v>
      </c>
      <c r="Q67" s="127" t="n">
        <f aca="false">$C$44/$E$16</f>
        <v>-875315</v>
      </c>
      <c r="R67" s="127" t="n">
        <f aca="false">$C$44/$E$16</f>
        <v>-875315</v>
      </c>
      <c r="S67" s="127" t="n">
        <f aca="false">$C$44/$E$16</f>
        <v>-875315</v>
      </c>
      <c r="T67" s="127" t="n">
        <f aca="false">$C$44/$E$16</f>
        <v>-875315</v>
      </c>
      <c r="U67" s="127" t="n">
        <f aca="false">$C$44/$E$16</f>
        <v>-875315</v>
      </c>
      <c r="V67" s="127" t="n">
        <f aca="false">$C$44/$E$16</f>
        <v>-875315</v>
      </c>
      <c r="W67" s="127" t="n">
        <f aca="false">$C$44/$E$16</f>
        <v>-875315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-358529.024</v>
      </c>
      <c r="E70" s="104" t="n">
        <f aca="false">-E109*$D25</f>
        <v>-334627.089066667</v>
      </c>
      <c r="F70" s="104" t="n">
        <f aca="false">-F109*$D25</f>
        <v>-310725.154133333</v>
      </c>
      <c r="G70" s="104" t="n">
        <f aca="false">-G109*$D25</f>
        <v>-286823.2192</v>
      </c>
      <c r="H70" s="104" t="n">
        <f aca="false">-H109*$D25</f>
        <v>-262921.284266667</v>
      </c>
      <c r="I70" s="104" t="n">
        <f aca="false">-I109*$D25</f>
        <v>-239019.349333334</v>
      </c>
      <c r="J70" s="104" t="n">
        <f aca="false">-J109*$D25</f>
        <v>-215117.4144</v>
      </c>
      <c r="K70" s="104" t="n">
        <f aca="false">-K109*$D25</f>
        <v>-191215.479466667</v>
      </c>
      <c r="L70" s="104" t="n">
        <f aca="false">-L109*$D25</f>
        <v>-167313.544533334</v>
      </c>
      <c r="M70" s="104" t="n">
        <f aca="false">-M109*$D25</f>
        <v>-143411.6096</v>
      </c>
      <c r="N70" s="104" t="n">
        <f aca="false">-N109*$D25</f>
        <v>-119509.674666667</v>
      </c>
      <c r="O70" s="104" t="n">
        <f aca="false">-O109*$D25</f>
        <v>-95607.7397333336</v>
      </c>
      <c r="P70" s="104" t="n">
        <f aca="false">-P109*$D25</f>
        <v>-71705.8048000003</v>
      </c>
      <c r="Q70" s="104" t="n">
        <f aca="false">-Q109*$D25</f>
        <v>-47803.8698666669</v>
      </c>
      <c r="R70" s="104" t="n">
        <f aca="false">-R109*$D25</f>
        <v>-23901.9349333336</v>
      </c>
      <c r="S70" s="104" t="n">
        <f aca="false">-S109*$D25</f>
        <v>-2.62260437011719E-010</v>
      </c>
      <c r="T70" s="104" t="n">
        <f aca="false">-T109*$D25</f>
        <v>-2.62260437011719E-010</v>
      </c>
      <c r="U70" s="104" t="n">
        <f aca="false">-U109*$D25</f>
        <v>-2.62260437011719E-010</v>
      </c>
      <c r="V70" s="104" t="n">
        <f aca="false">-V109*$D25</f>
        <v>-2.62260437011719E-010</v>
      </c>
      <c r="W70" s="104" t="n">
        <f aca="false">-W109*$D25</f>
        <v>-2.62260437011719E-010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-34015.8</v>
      </c>
      <c r="E72" s="104" t="n">
        <f aca="false">E49</f>
        <v>-34015.8</v>
      </c>
      <c r="F72" s="104" t="n">
        <f aca="false">F49</f>
        <v>-34015.8</v>
      </c>
      <c r="G72" s="104" t="n">
        <f aca="false">G49</f>
        <v>-34015.8</v>
      </c>
      <c r="H72" s="104" t="n">
        <f aca="false">H49</f>
        <v>-34015.8</v>
      </c>
      <c r="I72" s="104" t="n">
        <f aca="false">I49</f>
        <v>-34015.8</v>
      </c>
      <c r="J72" s="104" t="n">
        <f aca="false">J49</f>
        <v>-34015.8</v>
      </c>
      <c r="K72" s="104" t="n">
        <f aca="false">K49</f>
        <v>-34015.8</v>
      </c>
      <c r="L72" s="104" t="n">
        <f aca="false">L49</f>
        <v>-34015.8</v>
      </c>
      <c r="M72" s="104" t="n">
        <f aca="false">M49</f>
        <v>-34015.8</v>
      </c>
      <c r="N72" s="104" t="n">
        <f aca="false">N49</f>
        <v>-34015.8</v>
      </c>
      <c r="O72" s="104" t="n">
        <f aca="false">O49</f>
        <v>-34015.8</v>
      </c>
      <c r="P72" s="104" t="n">
        <f aca="false">P49</f>
        <v>-34015.8</v>
      </c>
      <c r="Q72" s="104" t="n">
        <f aca="false">Q49</f>
        <v>-34015.8</v>
      </c>
      <c r="R72" s="104" t="n">
        <f aca="false">R49</f>
        <v>-34015.8</v>
      </c>
      <c r="S72" s="104" t="n">
        <f aca="false">S49</f>
        <v>-34015.8</v>
      </c>
      <c r="T72" s="104" t="n">
        <f aca="false">T49</f>
        <v>-34015.8</v>
      </c>
      <c r="U72" s="104" t="n">
        <f aca="false">U49</f>
        <v>-34015.8</v>
      </c>
      <c r="V72" s="104" t="n">
        <f aca="false">V49</f>
        <v>-34015.8</v>
      </c>
      <c r="W72" s="104" t="n">
        <f aca="false">W49</f>
        <v>-34015.8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680218.096</v>
      </c>
      <c r="E76" s="109" t="n">
        <f aca="false">SUM(E64:E75)</f>
        <v>405166.998933333</v>
      </c>
      <c r="F76" s="109" t="n">
        <f aca="false">SUM(F64:F75)</f>
        <v>420316.901866667</v>
      </c>
      <c r="G76" s="109" t="n">
        <f aca="false">SUM(G64:G75)</f>
        <v>435466.8048</v>
      </c>
      <c r="H76" s="109" t="n">
        <f aca="false">SUM(H64:H75)</f>
        <v>450616.707733333</v>
      </c>
      <c r="I76" s="109" t="n">
        <f aca="false">SUM(I64:I75)</f>
        <v>465766.610666666</v>
      </c>
      <c r="J76" s="109" t="n">
        <f aca="false">SUM(J64:J75)</f>
        <v>480916.5136</v>
      </c>
      <c r="K76" s="109" t="n">
        <f aca="false">SUM(K64:K75)</f>
        <v>496066.416533333</v>
      </c>
      <c r="L76" s="109" t="n">
        <f aca="false">SUM(L64:L75)</f>
        <v>511216.319466666</v>
      </c>
      <c r="M76" s="109" t="n">
        <f aca="false">SUM(M64:M75)</f>
        <v>526366.2224</v>
      </c>
      <c r="N76" s="109" t="n">
        <f aca="false">SUM(N64:N75)</f>
        <v>585126.125333333</v>
      </c>
      <c r="O76" s="109" t="n">
        <f aca="false">SUM(O64:O75)</f>
        <v>600276.028266666</v>
      </c>
      <c r="P76" s="109" t="n">
        <f aca="false">SUM(P64:P75)</f>
        <v>615425.9312</v>
      </c>
      <c r="Q76" s="109" t="n">
        <f aca="false">SUM(Q64:Q75)</f>
        <v>630575.834133333</v>
      </c>
      <c r="R76" s="109" t="n">
        <f aca="false">SUM(R64:R75)</f>
        <v>645725.737066666</v>
      </c>
      <c r="S76" s="109" t="n">
        <f aca="false">SUM(S64:S75)</f>
        <v>660875.64</v>
      </c>
      <c r="T76" s="109" t="n">
        <f aca="false">SUM(T64:T75)</f>
        <v>652123.608</v>
      </c>
      <c r="U76" s="109" t="n">
        <f aca="false">SUM(U64:U75)</f>
        <v>643371.576</v>
      </c>
      <c r="V76" s="109" t="n">
        <f aca="false">SUM(V64:V75)</f>
        <v>634619.544</v>
      </c>
      <c r="W76" s="109" t="n">
        <f aca="false">SUM(W64:W75)</f>
        <v>625867.512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-136043.6192</v>
      </c>
      <c r="E77" s="104" t="n">
        <f aca="false">-E76*0.2</f>
        <v>-81033.3997866666</v>
      </c>
      <c r="F77" s="104" t="n">
        <f aca="false">-F76*0.2</f>
        <v>-84063.3803733334</v>
      </c>
      <c r="G77" s="104" t="n">
        <f aca="false">-G76*0.2</f>
        <v>-87093.36096</v>
      </c>
      <c r="H77" s="104" t="n">
        <f aca="false">-H76*0.2</f>
        <v>-90123.3415466666</v>
      </c>
      <c r="I77" s="104" t="n">
        <f aca="false">-I76*0.2</f>
        <v>-93153.3221333333</v>
      </c>
      <c r="J77" s="104" t="n">
        <f aca="false">-J76*0.2</f>
        <v>-96183.30272</v>
      </c>
      <c r="K77" s="104" t="n">
        <f aca="false">-K76*0.2</f>
        <v>-99213.2833066666</v>
      </c>
      <c r="L77" s="104" t="n">
        <f aca="false">-L76*0.2</f>
        <v>-102243.263893333</v>
      </c>
      <c r="M77" s="104" t="n">
        <f aca="false">-M76*0.2</f>
        <v>-105273.24448</v>
      </c>
      <c r="N77" s="104" t="n">
        <f aca="false">-N76*0.2</f>
        <v>-117025.225066667</v>
      </c>
      <c r="O77" s="104" t="n">
        <f aca="false">-O76*0.2</f>
        <v>-120055.205653333</v>
      </c>
      <c r="P77" s="104" t="n">
        <f aca="false">-P76*0.2</f>
        <v>-123085.18624</v>
      </c>
      <c r="Q77" s="104" t="n">
        <f aca="false">-Q76*0.2</f>
        <v>-126115.166826667</v>
      </c>
      <c r="R77" s="104" t="n">
        <f aca="false">-R76*0.2</f>
        <v>-129145.147413333</v>
      </c>
      <c r="S77" s="104" t="n">
        <f aca="false">-S76*0.2</f>
        <v>-132175.128</v>
      </c>
      <c r="T77" s="104" t="n">
        <f aca="false">-T76*0.2</f>
        <v>-130424.7216</v>
      </c>
      <c r="U77" s="104" t="n">
        <f aca="false">-U76*0.2</f>
        <v>-128674.3152</v>
      </c>
      <c r="V77" s="104" t="n">
        <f aca="false">-V76*0.2</f>
        <v>-126923.9088</v>
      </c>
      <c r="W77" s="104" t="n">
        <f aca="false">-W76*0.2</f>
        <v>-125173.5024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544174.4768</v>
      </c>
      <c r="E78" s="104" t="n">
        <f aca="false">SUM(E76:E77)</f>
        <v>324133.599146667</v>
      </c>
      <c r="F78" s="104" t="n">
        <f aca="false">SUM(F76:F77)</f>
        <v>336253.521493333</v>
      </c>
      <c r="G78" s="104" t="n">
        <f aca="false">SUM(G76:G77)</f>
        <v>348373.44384</v>
      </c>
      <c r="H78" s="104" t="n">
        <f aca="false">SUM(H76:H77)</f>
        <v>360493.366186667</v>
      </c>
      <c r="I78" s="104" t="n">
        <f aca="false">SUM(I76:I77)</f>
        <v>372613.288533333</v>
      </c>
      <c r="J78" s="104" t="n">
        <f aca="false">SUM(J76:J77)</f>
        <v>384733.21088</v>
      </c>
      <c r="K78" s="104" t="n">
        <f aca="false">SUM(K76:K77)</f>
        <v>396853.133226667</v>
      </c>
      <c r="L78" s="104" t="n">
        <f aca="false">SUM(L76:L77)</f>
        <v>408973.055573333</v>
      </c>
      <c r="M78" s="104" t="n">
        <f aca="false">SUM(M76:M77)</f>
        <v>421092.97792</v>
      </c>
      <c r="N78" s="104" t="n">
        <f aca="false">SUM(N76:N77)</f>
        <v>468100.900266666</v>
      </c>
      <c r="O78" s="104" t="n">
        <f aca="false">SUM(O76:O77)</f>
        <v>480220.822613333</v>
      </c>
      <c r="P78" s="104" t="n">
        <f aca="false">SUM(P76:P77)</f>
        <v>492340.74496</v>
      </c>
      <c r="Q78" s="104" t="n">
        <f aca="false">SUM(Q76:Q77)</f>
        <v>504460.667306666</v>
      </c>
      <c r="R78" s="104" t="n">
        <f aca="false">SUM(R76:R77)</f>
        <v>516580.589653333</v>
      </c>
      <c r="S78" s="104" t="n">
        <f aca="false">SUM(S76:S77)</f>
        <v>528700.512</v>
      </c>
      <c r="T78" s="104" t="n">
        <f aca="false">SUM(T76:T77)</f>
        <v>521698.8864</v>
      </c>
      <c r="U78" s="104" t="n">
        <f aca="false">SUM(U76:U77)</f>
        <v>514697.2608</v>
      </c>
      <c r="V78" s="104" t="n">
        <f aca="false">SUM(V76:V77)</f>
        <v>507695.6352</v>
      </c>
      <c r="W78" s="104" t="n">
        <f aca="false">SUM(W76:W77)</f>
        <v>500694.0096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544174.4768</v>
      </c>
      <c r="E85" s="143" t="n">
        <f aca="false">E78</f>
        <v>324133.599146667</v>
      </c>
      <c r="F85" s="143" t="n">
        <f aca="false">F78</f>
        <v>336253.521493333</v>
      </c>
      <c r="G85" s="143" t="n">
        <f aca="false">G78</f>
        <v>348373.44384</v>
      </c>
      <c r="H85" s="143" t="n">
        <f aca="false">H78</f>
        <v>360493.366186667</v>
      </c>
      <c r="I85" s="143" t="n">
        <f aca="false">I78</f>
        <v>372613.288533333</v>
      </c>
      <c r="J85" s="143" t="n">
        <f aca="false">J78</f>
        <v>384733.21088</v>
      </c>
      <c r="K85" s="143" t="n">
        <f aca="false">K78</f>
        <v>396853.133226667</v>
      </c>
      <c r="L85" s="143" t="n">
        <f aca="false">L78</f>
        <v>408973.055573333</v>
      </c>
      <c r="M85" s="143" t="n">
        <f aca="false">M78</f>
        <v>421092.97792</v>
      </c>
      <c r="N85" s="143" t="n">
        <f aca="false">N78</f>
        <v>468100.900266666</v>
      </c>
      <c r="O85" s="143" t="n">
        <f aca="false">O78</f>
        <v>480220.822613333</v>
      </c>
      <c r="P85" s="143" t="n">
        <f aca="false">P78</f>
        <v>492340.74496</v>
      </c>
      <c r="Q85" s="143" t="n">
        <f aca="false">Q78</f>
        <v>504460.667306666</v>
      </c>
      <c r="R85" s="143" t="n">
        <f aca="false">R78</f>
        <v>516580.589653333</v>
      </c>
      <c r="S85" s="143" t="n">
        <f aca="false">S78</f>
        <v>528700.512</v>
      </c>
      <c r="T85" s="143" t="n">
        <f aca="false">T78</f>
        <v>521698.8864</v>
      </c>
      <c r="U85" s="143" t="n">
        <f aca="false">U78</f>
        <v>514697.2608</v>
      </c>
      <c r="V85" s="143" t="n">
        <f aca="false">V78</f>
        <v>507695.6352</v>
      </c>
      <c r="W85" s="143" t="n">
        <f aca="false">W78</f>
        <v>500694.0096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875315</v>
      </c>
      <c r="E86" s="144" t="n">
        <f aca="false">-E67</f>
        <v>875315</v>
      </c>
      <c r="F86" s="144" t="n">
        <f aca="false">-F67</f>
        <v>875315</v>
      </c>
      <c r="G86" s="144" t="n">
        <f aca="false">-G67</f>
        <v>875315</v>
      </c>
      <c r="H86" s="144" t="n">
        <f aca="false">-H67</f>
        <v>875315</v>
      </c>
      <c r="I86" s="144" t="n">
        <f aca="false">-I67</f>
        <v>875315</v>
      </c>
      <c r="J86" s="144" t="n">
        <f aca="false">-J67</f>
        <v>875315</v>
      </c>
      <c r="K86" s="144" t="n">
        <f aca="false">-K67</f>
        <v>875315</v>
      </c>
      <c r="L86" s="144" t="n">
        <f aca="false">-L67</f>
        <v>875315</v>
      </c>
      <c r="M86" s="144" t="n">
        <f aca="false">-M67</f>
        <v>875315</v>
      </c>
      <c r="N86" s="144" t="n">
        <f aca="false">-N67</f>
        <v>875315</v>
      </c>
      <c r="O86" s="144" t="n">
        <f aca="false">-O67</f>
        <v>875315</v>
      </c>
      <c r="P86" s="144" t="n">
        <f aca="false">-P67</f>
        <v>875315</v>
      </c>
      <c r="Q86" s="144" t="n">
        <f aca="false">-Q67</f>
        <v>875315</v>
      </c>
      <c r="R86" s="144" t="n">
        <f aca="false">-R67</f>
        <v>875315</v>
      </c>
      <c r="S86" s="144" t="n">
        <f aca="false">-S67</f>
        <v>875315</v>
      </c>
      <c r="T86" s="144" t="n">
        <f aca="false">-T67</f>
        <v>875315</v>
      </c>
      <c r="U86" s="144" t="n">
        <f aca="false">-U67</f>
        <v>875315</v>
      </c>
      <c r="V86" s="144" t="n">
        <f aca="false">-V67</f>
        <v>875315</v>
      </c>
      <c r="W86" s="144" t="n">
        <f aca="false">-W67</f>
        <v>875315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1419489.4768</v>
      </c>
      <c r="E87" s="146" t="n">
        <f aca="false">SUM(E85:E86)</f>
        <v>1199448.59914667</v>
      </c>
      <c r="F87" s="146" t="n">
        <f aca="false">SUM(F85:F86)</f>
        <v>1211568.52149333</v>
      </c>
      <c r="G87" s="146" t="n">
        <f aca="false">SUM(G85:G86)</f>
        <v>1223688.44384</v>
      </c>
      <c r="H87" s="146" t="n">
        <f aca="false">SUM(H85:H86)</f>
        <v>1235808.36618667</v>
      </c>
      <c r="I87" s="146" t="n">
        <f aca="false">SUM(I85:I86)</f>
        <v>1247928.28853333</v>
      </c>
      <c r="J87" s="146" t="n">
        <f aca="false">SUM(J85:J86)</f>
        <v>1260048.21088</v>
      </c>
      <c r="K87" s="146" t="n">
        <f aca="false">SUM(K85:K86)</f>
        <v>1272168.13322667</v>
      </c>
      <c r="L87" s="146" t="n">
        <f aca="false">SUM(L85:L86)</f>
        <v>1284288.05557333</v>
      </c>
      <c r="M87" s="146" t="n">
        <f aca="false">SUM(M85:M86)</f>
        <v>1296407.97792</v>
      </c>
      <c r="N87" s="146" t="n">
        <f aca="false">SUM(N85:N86)</f>
        <v>1343415.90026667</v>
      </c>
      <c r="O87" s="146" t="n">
        <f aca="false">SUM(O85:O86)</f>
        <v>1355535.82261333</v>
      </c>
      <c r="P87" s="146" t="n">
        <f aca="false">SUM(P85:P86)</f>
        <v>1367655.74496</v>
      </c>
      <c r="Q87" s="146" t="n">
        <f aca="false">SUM(Q85:Q86)</f>
        <v>1379775.66730667</v>
      </c>
      <c r="R87" s="146" t="n">
        <f aca="false">SUM(R85:R86)</f>
        <v>1391895.58965333</v>
      </c>
      <c r="S87" s="146" t="n">
        <f aca="false">SUM(S85:S86)</f>
        <v>1404015.512</v>
      </c>
      <c r="T87" s="146" t="n">
        <f aca="false">SUM(T85:T86)</f>
        <v>1397013.8864</v>
      </c>
      <c r="U87" s="146" t="n">
        <f aca="false">SUM(U85:U86)</f>
        <v>1390012.2608</v>
      </c>
      <c r="V87" s="146" t="n">
        <f aca="false">SUM(V85:V86)</f>
        <v>1383010.6352</v>
      </c>
      <c r="W87" s="146" t="n">
        <f aca="false">SUM(W85:W86)</f>
        <v>1376009.0096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-17506300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14005040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-933669.333333333</v>
      </c>
      <c r="F93" s="152" t="n">
        <v>-933669.333333333</v>
      </c>
      <c r="G93" s="152" t="n">
        <v>-933669.333333333</v>
      </c>
      <c r="H93" s="152" t="n">
        <v>-933669.333333333</v>
      </c>
      <c r="I93" s="152" t="n">
        <v>-933669.333333333</v>
      </c>
      <c r="J93" s="152" t="n">
        <v>-933669.333333333</v>
      </c>
      <c r="K93" s="152" t="n">
        <v>-933669.333333333</v>
      </c>
      <c r="L93" s="152" t="n">
        <v>-933669.333333333</v>
      </c>
      <c r="M93" s="152" t="n">
        <v>-933669.333333333</v>
      </c>
      <c r="N93" s="152" t="n">
        <v>-933669.333333333</v>
      </c>
      <c r="O93" s="152" t="n">
        <v>-933669.333333333</v>
      </c>
      <c r="P93" s="152" t="n">
        <v>-933669.333333333</v>
      </c>
      <c r="Q93" s="152" t="n">
        <v>-933669.333333333</v>
      </c>
      <c r="R93" s="152" t="n">
        <v>-933669.333333333</v>
      </c>
      <c r="S93" s="152" t="n">
        <v>-933669.333333333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3501260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-489757.02912</v>
      </c>
      <c r="F95" s="153" t="n">
        <f aca="false">-E85*$D$33</f>
        <v>-291720.239232</v>
      </c>
      <c r="G95" s="153" t="n">
        <f aca="false">-F85*$D$33</f>
        <v>-302628.169344</v>
      </c>
      <c r="H95" s="153" t="n">
        <f aca="false">-G85*$D$33</f>
        <v>-313536.099456</v>
      </c>
      <c r="I95" s="153" t="n">
        <f aca="false">-H85*$D$33</f>
        <v>-324444.029568</v>
      </c>
      <c r="J95" s="153" t="n">
        <f aca="false">-I85*$D$33</f>
        <v>-335351.95968</v>
      </c>
      <c r="K95" s="153" t="n">
        <f aca="false">-J85*$D$33</f>
        <v>-346259.889792</v>
      </c>
      <c r="L95" s="153" t="n">
        <f aca="false">-K85*$D$33</f>
        <v>-357167.819904</v>
      </c>
      <c r="M95" s="153" t="n">
        <f aca="false">-L85*$D$33</f>
        <v>-368075.750016</v>
      </c>
      <c r="N95" s="153" t="n">
        <f aca="false">-M85*$D$33</f>
        <v>-378983.680128</v>
      </c>
      <c r="O95" s="153" t="n">
        <f aca="false">-N85*$D$33</f>
        <v>-421290.81024</v>
      </c>
      <c r="P95" s="153" t="n">
        <f aca="false">-O85*$D$33</f>
        <v>-432198.740352</v>
      </c>
      <c r="Q95" s="153" t="n">
        <f aca="false">-P85*$D$33</f>
        <v>-443106.670464</v>
      </c>
      <c r="R95" s="153" t="n">
        <f aca="false">-Q85*$D$33</f>
        <v>-454014.600576</v>
      </c>
      <c r="S95" s="153" t="n">
        <f aca="false">-R85*$D$33</f>
        <v>-464922.530688</v>
      </c>
      <c r="T95" s="153" t="n">
        <f aca="false">-S85*$D$33</f>
        <v>-475830.4608</v>
      </c>
      <c r="U95" s="153" t="n">
        <f aca="false">-T85*$D$33</f>
        <v>-469528.99776</v>
      </c>
      <c r="V95" s="153" t="n">
        <f aca="false">-U85*$D$33</f>
        <v>-463227.53472</v>
      </c>
      <c r="W95" s="153" t="n">
        <f aca="false">-V85*$D$33</f>
        <v>-456926.07168</v>
      </c>
      <c r="X95" s="153" t="n">
        <f aca="false">-W85*$D$33</f>
        <v>-450624.60864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-875315</v>
      </c>
      <c r="U96" s="156" t="n">
        <v>-875315</v>
      </c>
      <c r="V96" s="156" t="n">
        <v>-875315</v>
      </c>
      <c r="W96" s="156" t="n">
        <v>-875315</v>
      </c>
      <c r="X96" s="157" t="n">
        <f aca="false">-W101-X95</f>
        <v>-893288.410240003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1419489.4768</v>
      </c>
      <c r="E99" s="143" t="n">
        <f aca="false">SUM(E87:E96)</f>
        <v>-223977.763306667</v>
      </c>
      <c r="F99" s="143" t="n">
        <f aca="false">SUM(F87:F96)</f>
        <v>-13821.0510719995</v>
      </c>
      <c r="G99" s="143" t="n">
        <f aca="false">SUM(G87:G96)</f>
        <v>-12609.0588373332</v>
      </c>
      <c r="H99" s="143" t="n">
        <f aca="false">SUM(H87:H96)</f>
        <v>-11397.0666026665</v>
      </c>
      <c r="I99" s="143" t="n">
        <f aca="false">SUM(I87:I96)</f>
        <v>-10185.0743679999</v>
      </c>
      <c r="J99" s="143" t="n">
        <f aca="false">SUM(J87:J96)</f>
        <v>-8973.08213333285</v>
      </c>
      <c r="K99" s="143" t="n">
        <f aca="false">SUM(K87:K96)</f>
        <v>-7761.08989866643</v>
      </c>
      <c r="L99" s="143" t="n">
        <f aca="false">SUM(L87:L96)</f>
        <v>-6549.09766399983</v>
      </c>
      <c r="M99" s="143" t="n">
        <f aca="false">SUM(M87:M96)</f>
        <v>-5337.10542933305</v>
      </c>
      <c r="N99" s="143" t="n">
        <f aca="false">SUM(N87:N96)</f>
        <v>30762.8868053336</v>
      </c>
      <c r="O99" s="143" t="n">
        <f aca="false">SUM(O87:O96)</f>
        <v>575.679040000425</v>
      </c>
      <c r="P99" s="143" t="n">
        <f aca="false">SUM(P87:P96)</f>
        <v>1787.67127466679</v>
      </c>
      <c r="Q99" s="143" t="n">
        <f aca="false">SUM(Q87:Q96)</f>
        <v>2999.66350933356</v>
      </c>
      <c r="R99" s="143" t="n">
        <f aca="false">SUM(R87:R96)</f>
        <v>4211.65574400016</v>
      </c>
      <c r="S99" s="143" t="n">
        <f aca="false">SUM(S87:S96)</f>
        <v>5423.64797866688</v>
      </c>
      <c r="T99" s="143" t="n">
        <f aca="false">SUM(T87:T96)</f>
        <v>45868.4256</v>
      </c>
      <c r="U99" s="143" t="n">
        <f aca="false">SUM(U87:U96)</f>
        <v>45168.2630400001</v>
      </c>
      <c r="V99" s="143" t="n">
        <f aca="false">SUM(V87:V96)</f>
        <v>44468.1004799999</v>
      </c>
      <c r="W99" s="143" t="n">
        <f aca="false">SUM(W87:W96)</f>
        <v>43767.9379200002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1419489.4768</v>
      </c>
      <c r="F100" s="143" t="n">
        <f aca="false">E101</f>
        <v>1195511.71349333</v>
      </c>
      <c r="G100" s="143" t="n">
        <f aca="false">F101</f>
        <v>1181690.66242133</v>
      </c>
      <c r="H100" s="143" t="n">
        <f aca="false">G101</f>
        <v>1169081.603584</v>
      </c>
      <c r="I100" s="143" t="n">
        <f aca="false">H101</f>
        <v>1157684.53698133</v>
      </c>
      <c r="J100" s="143" t="n">
        <f aca="false">I101</f>
        <v>1147499.46261333</v>
      </c>
      <c r="K100" s="143" t="n">
        <f aca="false">J101</f>
        <v>1138526.38048</v>
      </c>
      <c r="L100" s="143" t="n">
        <f aca="false">K101</f>
        <v>1130765.29058133</v>
      </c>
      <c r="M100" s="143" t="n">
        <f aca="false">L101</f>
        <v>1124216.19291733</v>
      </c>
      <c r="N100" s="143" t="n">
        <f aca="false">M101</f>
        <v>1118879.087488</v>
      </c>
      <c r="O100" s="143" t="n">
        <f aca="false">N101</f>
        <v>1149641.97429333</v>
      </c>
      <c r="P100" s="143" t="n">
        <f aca="false">O101</f>
        <v>1150217.65333334</v>
      </c>
      <c r="Q100" s="143" t="n">
        <f aca="false">P101</f>
        <v>1152005.324608</v>
      </c>
      <c r="R100" s="143" t="n">
        <f aca="false">Q101</f>
        <v>1155004.98811734</v>
      </c>
      <c r="S100" s="143" t="n">
        <f aca="false">R101</f>
        <v>1159216.64386134</v>
      </c>
      <c r="T100" s="143" t="n">
        <f aca="false">S101</f>
        <v>1164640.29184</v>
      </c>
      <c r="U100" s="143" t="n">
        <f aca="false">T101</f>
        <v>1210508.71744</v>
      </c>
      <c r="V100" s="143" t="n">
        <f aca="false">U101</f>
        <v>1255676.98048</v>
      </c>
      <c r="W100" s="143" t="n">
        <f aca="false">V101</f>
        <v>1300145.08096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1419489.4768</v>
      </c>
      <c r="E101" s="143" t="n">
        <f aca="false">E99+E100</f>
        <v>1195511.71349333</v>
      </c>
      <c r="F101" s="143" t="n">
        <f aca="false">F99+F100</f>
        <v>1181690.66242133</v>
      </c>
      <c r="G101" s="143" t="n">
        <f aca="false">G99+G100</f>
        <v>1169081.603584</v>
      </c>
      <c r="H101" s="143" t="n">
        <f aca="false">H99+H100</f>
        <v>1157684.53698133</v>
      </c>
      <c r="I101" s="143" t="n">
        <f aca="false">I99+I100</f>
        <v>1147499.46261333</v>
      </c>
      <c r="J101" s="143" t="n">
        <f aca="false">J99+J100</f>
        <v>1138526.38048</v>
      </c>
      <c r="K101" s="143" t="n">
        <f aca="false">K99+K100</f>
        <v>1130765.29058133</v>
      </c>
      <c r="L101" s="143" t="n">
        <f aca="false">L99+L100</f>
        <v>1124216.19291733</v>
      </c>
      <c r="M101" s="143" t="n">
        <f aca="false">M99+M100</f>
        <v>1118879.087488</v>
      </c>
      <c r="N101" s="143" t="n">
        <f aca="false">N99+N100</f>
        <v>1149641.97429333</v>
      </c>
      <c r="O101" s="143" t="n">
        <f aca="false">O99+O100</f>
        <v>1150217.65333334</v>
      </c>
      <c r="P101" s="143" t="n">
        <f aca="false">P99+P100</f>
        <v>1152005.324608</v>
      </c>
      <c r="Q101" s="143" t="n">
        <f aca="false">Q99+Q100</f>
        <v>1155004.98811734</v>
      </c>
      <c r="R101" s="143" t="n">
        <f aca="false">R99+R100</f>
        <v>1159216.64386134</v>
      </c>
      <c r="S101" s="143" t="n">
        <f aca="false">S99+S100</f>
        <v>1164640.29184</v>
      </c>
      <c r="T101" s="143" t="n">
        <f aca="false">T99+T100</f>
        <v>1210508.71744</v>
      </c>
      <c r="U101" s="143" t="n">
        <f aca="false">U99+U100</f>
        <v>1255676.98048</v>
      </c>
      <c r="V101" s="143" t="n">
        <f aca="false">V99+V100</f>
        <v>1300145.08096</v>
      </c>
      <c r="W101" s="143" t="n">
        <f aca="false">W99+W100</f>
        <v>1343913.01888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-3501260</v>
      </c>
      <c r="E104" s="146" t="n">
        <f aca="false">-E95-E96</f>
        <v>489757.02912</v>
      </c>
      <c r="F104" s="146" t="n">
        <f aca="false">-F95-F96</f>
        <v>291720.239232</v>
      </c>
      <c r="G104" s="146" t="n">
        <f aca="false">-G95-G96</f>
        <v>302628.169344</v>
      </c>
      <c r="H104" s="146" t="n">
        <f aca="false">-H95-H96</f>
        <v>313536.099456</v>
      </c>
      <c r="I104" s="146" t="n">
        <f aca="false">-I95-I96</f>
        <v>324444.029568</v>
      </c>
      <c r="J104" s="146" t="n">
        <f aca="false">-J95-J96</f>
        <v>335351.95968</v>
      </c>
      <c r="K104" s="146" t="n">
        <f aca="false">-K95-K96</f>
        <v>346259.889792</v>
      </c>
      <c r="L104" s="146" t="n">
        <f aca="false">-L95-L96</f>
        <v>357167.819904</v>
      </c>
      <c r="M104" s="146" t="n">
        <f aca="false">-M95-M96</f>
        <v>368075.750016</v>
      </c>
      <c r="N104" s="146" t="n">
        <f aca="false">-N95-N96</f>
        <v>378983.680128</v>
      </c>
      <c r="O104" s="146" t="n">
        <f aca="false">-O95-O96</f>
        <v>421290.81024</v>
      </c>
      <c r="P104" s="146" t="n">
        <f aca="false">-P95-P96</f>
        <v>432198.740352</v>
      </c>
      <c r="Q104" s="146" t="n">
        <f aca="false">-Q95-Q96</f>
        <v>443106.670464</v>
      </c>
      <c r="R104" s="146" t="n">
        <f aca="false">-R95-R96</f>
        <v>454014.600576</v>
      </c>
      <c r="S104" s="146" t="n">
        <f aca="false">-S95-S96</f>
        <v>464922.530688</v>
      </c>
      <c r="T104" s="146" t="n">
        <f aca="false">-T95-T96</f>
        <v>1351145.4608</v>
      </c>
      <c r="U104" s="146" t="n">
        <f aca="false">-U95-U96</f>
        <v>1344843.99776</v>
      </c>
      <c r="V104" s="146" t="n">
        <f aca="false">-V95-V96</f>
        <v>1338542.53472</v>
      </c>
      <c r="W104" s="146" t="n">
        <f aca="false">-W95-W96</f>
        <v>1332241.07168</v>
      </c>
      <c r="X104" s="146" t="n">
        <f aca="false">-X95-X96</f>
        <v>1343913.01888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0.116106357195678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-2957085.5232</v>
      </c>
      <c r="E106" s="146" t="n">
        <f aca="false">E85</f>
        <v>324133.599146667</v>
      </c>
      <c r="F106" s="146" t="n">
        <f aca="false">F85-F96</f>
        <v>336253.521493333</v>
      </c>
      <c r="G106" s="146" t="n">
        <f aca="false">G85-G96</f>
        <v>348373.44384</v>
      </c>
      <c r="H106" s="146" t="n">
        <f aca="false">H85-H96</f>
        <v>360493.366186667</v>
      </c>
      <c r="I106" s="146" t="n">
        <f aca="false">I85-I96</f>
        <v>372613.288533333</v>
      </c>
      <c r="J106" s="146" t="n">
        <f aca="false">J85-J96</f>
        <v>384733.21088</v>
      </c>
      <c r="K106" s="146" t="n">
        <f aca="false">K85-K96</f>
        <v>396853.133226667</v>
      </c>
      <c r="L106" s="146" t="n">
        <f aca="false">L85-L96</f>
        <v>408973.055573333</v>
      </c>
      <c r="M106" s="146" t="n">
        <f aca="false">M85-M96</f>
        <v>421092.97792</v>
      </c>
      <c r="N106" s="146" t="n">
        <f aca="false">N85-N96</f>
        <v>468100.900266666</v>
      </c>
      <c r="O106" s="146" t="n">
        <f aca="false">O85-O96</f>
        <v>480220.822613333</v>
      </c>
      <c r="P106" s="146" t="n">
        <f aca="false">P85-P96</f>
        <v>492340.74496</v>
      </c>
      <c r="Q106" s="146" t="n">
        <f aca="false">Q85-Q96</f>
        <v>504460.667306666</v>
      </c>
      <c r="R106" s="146" t="n">
        <f aca="false">R85-R96</f>
        <v>516580.589653333</v>
      </c>
      <c r="S106" s="146" t="n">
        <f aca="false">S85-S96</f>
        <v>528700.512</v>
      </c>
      <c r="T106" s="146" t="n">
        <f aca="false">T85-T96</f>
        <v>1397013.8864</v>
      </c>
      <c r="U106" s="146" t="n">
        <f aca="false">U85-U96</f>
        <v>1390012.2608</v>
      </c>
      <c r="V106" s="146" t="n">
        <f aca="false">V85-V96</f>
        <v>1383010.6352</v>
      </c>
      <c r="W106" s="146" t="n">
        <f aca="false">W85-W96</f>
        <v>1376009.0096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0.139622626050974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14005040</v>
      </c>
      <c r="E109" s="143" t="n">
        <f aca="false">D109+E93</f>
        <v>13071370.6666667</v>
      </c>
      <c r="F109" s="143" t="n">
        <f aca="false">E109+F93</f>
        <v>12137701.3333333</v>
      </c>
      <c r="G109" s="143" t="n">
        <f aca="false">F109+G93</f>
        <v>11204032</v>
      </c>
      <c r="H109" s="143" t="n">
        <f aca="false">G109+H93</f>
        <v>10270362.6666667</v>
      </c>
      <c r="I109" s="143" t="n">
        <f aca="false">H109+I93</f>
        <v>9336693.33333334</v>
      </c>
      <c r="J109" s="143" t="n">
        <f aca="false">I109+J93</f>
        <v>8403024.00000001</v>
      </c>
      <c r="K109" s="143" t="n">
        <f aca="false">J109+K93</f>
        <v>7469354.66666667</v>
      </c>
      <c r="L109" s="143" t="n">
        <f aca="false">K109+L93</f>
        <v>6535685.33333334</v>
      </c>
      <c r="M109" s="143" t="n">
        <f aca="false">L109+M93</f>
        <v>5602016.00000001</v>
      </c>
      <c r="N109" s="143" t="n">
        <f aca="false">M109+N93</f>
        <v>4668346.66666668</v>
      </c>
      <c r="O109" s="143" t="n">
        <f aca="false">N109+O93</f>
        <v>3734677.33333334</v>
      </c>
      <c r="P109" s="143" t="n">
        <f aca="false">O109+P93</f>
        <v>2801008.00000001</v>
      </c>
      <c r="Q109" s="143" t="n">
        <f aca="false">P109+Q93</f>
        <v>1867338.66666668</v>
      </c>
      <c r="R109" s="143" t="n">
        <f aca="false">Q109+R93</f>
        <v>933669.333333343</v>
      </c>
      <c r="S109" s="143" t="n">
        <f aca="false">R109+S93</f>
        <v>1.02445483207703E-008</v>
      </c>
      <c r="T109" s="143" t="n">
        <f aca="false">S109+T93</f>
        <v>1.02445483207703E-008</v>
      </c>
      <c r="U109" s="143" t="n">
        <f aca="false">T109+U93</f>
        <v>1.02445483207703E-008</v>
      </c>
      <c r="V109" s="143" t="n">
        <f aca="false">U109+V93</f>
        <v>1.02445483207703E-008</v>
      </c>
      <c r="W109" s="143" t="n">
        <f aca="false">V109+W93</f>
        <v>1.02445483207703E-008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218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181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219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220</v>
      </c>
    </row>
    <row r="8" customFormat="false" ht="22.5" hidden="false" customHeight="true" outlineLevel="0" collapsed="false">
      <c r="B8" s="16" t="s">
        <v>14</v>
      </c>
      <c r="E8" s="46"/>
      <c r="M8" s="1" t="s">
        <v>221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99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24500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-16571800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-32053.35</v>
      </c>
      <c r="E49" s="104" t="n">
        <v>-32053.35</v>
      </c>
      <c r="F49" s="104" t="n">
        <v>-32053.35</v>
      </c>
      <c r="G49" s="104" t="n">
        <v>-32053.35</v>
      </c>
      <c r="H49" s="104" t="n">
        <v>-32053.35</v>
      </c>
      <c r="I49" s="104" t="n">
        <v>-32053.35</v>
      </c>
      <c r="J49" s="104" t="n">
        <v>-32053.35</v>
      </c>
      <c r="K49" s="104" t="n">
        <v>-32053.35</v>
      </c>
      <c r="L49" s="104" t="n">
        <v>-32053.35</v>
      </c>
      <c r="M49" s="104" t="n">
        <v>-32053.35</v>
      </c>
      <c r="N49" s="104" t="n">
        <v>-32053.35</v>
      </c>
      <c r="O49" s="104" t="n">
        <v>-32053.35</v>
      </c>
      <c r="P49" s="104" t="n">
        <v>-32053.35</v>
      </c>
      <c r="Q49" s="104" t="n">
        <v>-32053.35</v>
      </c>
      <c r="R49" s="104" t="n">
        <v>-32053.35</v>
      </c>
      <c r="S49" s="104" t="n">
        <v>-32053.35</v>
      </c>
      <c r="T49" s="104" t="n">
        <v>-32053.35</v>
      </c>
      <c r="U49" s="104" t="n">
        <v>-32053.35</v>
      </c>
      <c r="V49" s="104" t="n">
        <v>-32053.35</v>
      </c>
      <c r="W49" s="104" t="n">
        <v>-32053.35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-217486.914</v>
      </c>
      <c r="E54" s="104" t="n">
        <f aca="false">-(E64+E67+E68+E71+E72+E73+E74)*0.2</f>
        <v>-157696.3076</v>
      </c>
      <c r="F54" s="104" t="n">
        <f aca="false">-(F64+F67+F68+F71+F72+F73+F74)*0.2</f>
        <v>-155945.9012</v>
      </c>
      <c r="G54" s="104" t="n">
        <f aca="false">-(G64+G67+G68+G71+G72+G73+G74)*0.2</f>
        <v>-154195.4948</v>
      </c>
      <c r="H54" s="104" t="n">
        <f aca="false">-(H64+H67+H68+H71+H72+H73+H74)*0.2</f>
        <v>-152445.0884</v>
      </c>
      <c r="I54" s="104" t="n">
        <f aca="false">-(I64+I67+I68+I71+I72+I73+I74)*0.2</f>
        <v>-150694.682</v>
      </c>
      <c r="J54" s="104" t="n">
        <f aca="false">-(J64+J67+J68+J71+J72+J73+J74)*0.2</f>
        <v>-148944.2756</v>
      </c>
      <c r="K54" s="104" t="n">
        <f aca="false">-(K64+K67+K68+K71+K72+K73+K74)*0.2</f>
        <v>-147193.8692</v>
      </c>
      <c r="L54" s="104" t="n">
        <f aca="false">-(L64+L67+L68+L71+L72+L73+L74)*0.2</f>
        <v>-145443.4628</v>
      </c>
      <c r="M54" s="104" t="n">
        <f aca="false">-(M64+M67+M68+M71+M72+M73+M74)*0.2</f>
        <v>-143693.0564</v>
      </c>
      <c r="N54" s="104" t="n">
        <f aca="false">-(N64+N67+N68+N71+N72+N73+N74)*0.2</f>
        <v>-150664.65</v>
      </c>
      <c r="O54" s="104" t="n">
        <f aca="false">-(O64+O67+O68+O71+O72+O73+O74)*0.2</f>
        <v>-148914.2436</v>
      </c>
      <c r="P54" s="104" t="n">
        <f aca="false">-(P64+P67+P68+P71+P72+P73+P74)*0.2</f>
        <v>-147163.8372</v>
      </c>
      <c r="Q54" s="104" t="n">
        <f aca="false">-(Q64+Q67+Q68+Q71+Q72+Q73+Q74)*0.2</f>
        <v>-145413.4308</v>
      </c>
      <c r="R54" s="104" t="n">
        <f aca="false">-(R64+R67+R68+R71+R72+R73+R74)*0.2</f>
        <v>-143663.0244</v>
      </c>
      <c r="S54" s="104" t="n">
        <f aca="false">-(S64+S67+S68+S71+S72+S73+S74)*0.2</f>
        <v>-141912.618</v>
      </c>
      <c r="T54" s="104" t="n">
        <f aca="false">-(T64+T67+T68+T71+T72+T73+T74)*0.2</f>
        <v>-140162.2116</v>
      </c>
      <c r="U54" s="104" t="n">
        <f aca="false">-(U64+U67+U68+U71+U72+U73+U74)*0.2</f>
        <v>-138411.8052</v>
      </c>
      <c r="V54" s="104" t="n">
        <f aca="false">-(V64+V67+V68+V71+V72+V73+V74)*0.2</f>
        <v>-136661.3988</v>
      </c>
      <c r="W54" s="104" t="n">
        <f aca="false">-(W64+W67+W68+W71+W72+W73+W74)*0.2</f>
        <v>-134910.9924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-16571800</v>
      </c>
      <c r="D55" s="109" t="n">
        <f aca="false">SUM(D41:D54)</f>
        <v>1408336.656</v>
      </c>
      <c r="E55" s="109" t="n">
        <f aca="false">SUM(E41:E54)</f>
        <v>1459375.2304</v>
      </c>
      <c r="F55" s="109" t="n">
        <f aca="false">SUM(F41:F54)</f>
        <v>1452373.6048</v>
      </c>
      <c r="G55" s="109" t="n">
        <f aca="false">SUM(G41:G54)</f>
        <v>1445371.9792</v>
      </c>
      <c r="H55" s="109" t="n">
        <f aca="false">SUM(H41:H54)</f>
        <v>1438370.3536</v>
      </c>
      <c r="I55" s="109" t="n">
        <f aca="false">SUM(I41:I54)</f>
        <v>1431368.728</v>
      </c>
      <c r="J55" s="109" t="n">
        <f aca="false">SUM(J41:J54)</f>
        <v>1424367.1024</v>
      </c>
      <c r="K55" s="109" t="n">
        <f aca="false">SUM(K41:K54)</f>
        <v>1417365.4768</v>
      </c>
      <c r="L55" s="109" t="n">
        <f aca="false">SUM(L41:L54)</f>
        <v>1410363.8512</v>
      </c>
      <c r="M55" s="109" t="n">
        <f aca="false">SUM(M41:M54)</f>
        <v>1403362.2256</v>
      </c>
      <c r="N55" s="109" t="n">
        <f aca="false">SUM(N41:N54)</f>
        <v>1431248.6</v>
      </c>
      <c r="O55" s="109" t="n">
        <f aca="false">SUM(O41:O54)</f>
        <v>1424246.9744</v>
      </c>
      <c r="P55" s="109" t="n">
        <f aca="false">SUM(P41:P54)</f>
        <v>1417245.3488</v>
      </c>
      <c r="Q55" s="109" t="n">
        <f aca="false">SUM(Q41:Q54)</f>
        <v>1410243.7232</v>
      </c>
      <c r="R55" s="109" t="n">
        <f aca="false">SUM(R41:R54)</f>
        <v>1403242.0976</v>
      </c>
      <c r="S55" s="109" t="n">
        <f aca="false">SUM(S41:S54)</f>
        <v>1396240.472</v>
      </c>
      <c r="T55" s="109" t="n">
        <f aca="false">SUM(T41:T54)</f>
        <v>1389238.8464</v>
      </c>
      <c r="U55" s="109" t="n">
        <f aca="false">SUM(U41:U54)</f>
        <v>1382237.2208</v>
      </c>
      <c r="V55" s="109" t="n">
        <f aca="false">SUM(V41:V54)</f>
        <v>1375235.5952</v>
      </c>
      <c r="W55" s="109" t="n">
        <f aca="false">SUM(W41:W54)</f>
        <v>1368233.9696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-15163463.344</v>
      </c>
      <c r="E56" s="114" t="n">
        <f aca="false">D56+E55</f>
        <v>-13704088.1136</v>
      </c>
      <c r="F56" s="114" t="n">
        <f aca="false">E56+F55</f>
        <v>-12251714.5088</v>
      </c>
      <c r="G56" s="114" t="n">
        <f aca="false">F56+G55</f>
        <v>-10806342.5296</v>
      </c>
      <c r="H56" s="114" t="n">
        <f aca="false">G56+H55</f>
        <v>-9367972.176</v>
      </c>
      <c r="I56" s="114" t="n">
        <f aca="false">H56+I55</f>
        <v>-7936603.448</v>
      </c>
      <c r="J56" s="114" t="n">
        <f aca="false">I56+J55</f>
        <v>-6512236.3456</v>
      </c>
      <c r="K56" s="114" t="n">
        <f aca="false">J56+K55</f>
        <v>-5094870.8688</v>
      </c>
      <c r="L56" s="114" t="n">
        <f aca="false">K56+L55</f>
        <v>-3684507.0176</v>
      </c>
      <c r="M56" s="114" t="n">
        <f aca="false">L56+M55</f>
        <v>-2281144.792</v>
      </c>
      <c r="N56" s="114" t="n">
        <f aca="false">M56+N55</f>
        <v>-849896.192000001</v>
      </c>
      <c r="O56" s="114" t="n">
        <f aca="false">N56+O55</f>
        <v>574350.782399999</v>
      </c>
      <c r="P56" s="114" t="n">
        <f aca="false">O56+P55</f>
        <v>1991596.1312</v>
      </c>
      <c r="Q56" s="114" t="n">
        <f aca="false">P56+Q55</f>
        <v>3401839.8544</v>
      </c>
      <c r="R56" s="114" t="n">
        <f aca="false">Q56+R55</f>
        <v>4805081.952</v>
      </c>
      <c r="S56" s="114" t="n">
        <f aca="false">R56+S55</f>
        <v>6201322.424</v>
      </c>
      <c r="T56" s="114" t="n">
        <f aca="false">S56+T55</f>
        <v>7590561.2704</v>
      </c>
      <c r="U56" s="114" t="n">
        <f aca="false">T56+U55</f>
        <v>8972798.4912</v>
      </c>
      <c r="V56" s="114" t="n">
        <f aca="false">U56+V55</f>
        <v>10348034.0864</v>
      </c>
      <c r="W56" s="114" t="n">
        <f aca="false">V56+W55</f>
        <v>11716268.056</v>
      </c>
      <c r="X56" s="114" t="n">
        <f aca="false">W56+X55</f>
        <v>11716268.056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0.0579331136663535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-828590</v>
      </c>
      <c r="E67" s="127" t="n">
        <f aca="false">$C$44/$E$16</f>
        <v>-828590</v>
      </c>
      <c r="F67" s="127" t="n">
        <f aca="false">$C$44/$E$16</f>
        <v>-828590</v>
      </c>
      <c r="G67" s="127" t="n">
        <f aca="false">$C$44/$E$16</f>
        <v>-828590</v>
      </c>
      <c r="H67" s="127" t="n">
        <f aca="false">$C$44/$E$16</f>
        <v>-828590</v>
      </c>
      <c r="I67" s="127" t="n">
        <f aca="false">$C$44/$E$16</f>
        <v>-828590</v>
      </c>
      <c r="J67" s="127" t="n">
        <f aca="false">$C$44/$E$16</f>
        <v>-828590</v>
      </c>
      <c r="K67" s="127" t="n">
        <f aca="false">$C$44/$E$16</f>
        <v>-828590</v>
      </c>
      <c r="L67" s="127" t="n">
        <f aca="false">$C$44/$E$16</f>
        <v>-828590</v>
      </c>
      <c r="M67" s="127" t="n">
        <f aca="false">$C$44/$E$16</f>
        <v>-828590</v>
      </c>
      <c r="N67" s="127" t="n">
        <f aca="false">$C$44/$E$16</f>
        <v>-828590</v>
      </c>
      <c r="O67" s="127" t="n">
        <f aca="false">$C$44/$E$16</f>
        <v>-828590</v>
      </c>
      <c r="P67" s="127" t="n">
        <f aca="false">$C$44/$E$16</f>
        <v>-828590</v>
      </c>
      <c r="Q67" s="127" t="n">
        <f aca="false">$C$44/$E$16</f>
        <v>-828590</v>
      </c>
      <c r="R67" s="127" t="n">
        <f aca="false">$C$44/$E$16</f>
        <v>-828590</v>
      </c>
      <c r="S67" s="127" t="n">
        <f aca="false">$C$44/$E$16</f>
        <v>-828590</v>
      </c>
      <c r="T67" s="127" t="n">
        <f aca="false">$C$44/$E$16</f>
        <v>-828590</v>
      </c>
      <c r="U67" s="127" t="n">
        <f aca="false">$C$44/$E$16</f>
        <v>-828590</v>
      </c>
      <c r="V67" s="127" t="n">
        <f aca="false">$C$44/$E$16</f>
        <v>-828590</v>
      </c>
      <c r="W67" s="127" t="n">
        <f aca="false">$C$44/$E$16</f>
        <v>-828590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-339390.464</v>
      </c>
      <c r="E70" s="104" t="n">
        <f aca="false">-E109*$D25</f>
        <v>-316764.433066667</v>
      </c>
      <c r="F70" s="104" t="n">
        <f aca="false">-F109*$D25</f>
        <v>-294138.402133333</v>
      </c>
      <c r="G70" s="104" t="n">
        <f aca="false">-G109*$D25</f>
        <v>-271512.3712</v>
      </c>
      <c r="H70" s="104" t="n">
        <f aca="false">-H109*$D25</f>
        <v>-248886.340266667</v>
      </c>
      <c r="I70" s="104" t="n">
        <f aca="false">-I109*$D25</f>
        <v>-226260.309333334</v>
      </c>
      <c r="J70" s="104" t="n">
        <f aca="false">-J109*$D25</f>
        <v>-203634.2784</v>
      </c>
      <c r="K70" s="104" t="n">
        <f aca="false">-K109*$D25</f>
        <v>-181008.247466667</v>
      </c>
      <c r="L70" s="104" t="n">
        <f aca="false">-L109*$D25</f>
        <v>-158382.216533334</v>
      </c>
      <c r="M70" s="104" t="n">
        <f aca="false">-M109*$D25</f>
        <v>-135756.1856</v>
      </c>
      <c r="N70" s="104" t="n">
        <f aca="false">-N109*$D25</f>
        <v>-113130.154666667</v>
      </c>
      <c r="O70" s="104" t="n">
        <f aca="false">-O109*$D25</f>
        <v>-90504.1237333335</v>
      </c>
      <c r="P70" s="104" t="n">
        <f aca="false">-P109*$D25</f>
        <v>-67878.0928000002</v>
      </c>
      <c r="Q70" s="104" t="n">
        <f aca="false">-Q109*$D25</f>
        <v>-45252.0618666669</v>
      </c>
      <c r="R70" s="104" t="n">
        <f aca="false">-R109*$D25</f>
        <v>-22626.0309333336</v>
      </c>
      <c r="S70" s="104" t="n">
        <f aca="false">-S109*$D25</f>
        <v>-2.38418579101563E-010</v>
      </c>
      <c r="T70" s="104" t="n">
        <f aca="false">-T109*$D25</f>
        <v>-2.38418579101563E-010</v>
      </c>
      <c r="U70" s="104" t="n">
        <f aca="false">-U109*$D25</f>
        <v>-2.38418579101563E-010</v>
      </c>
      <c r="V70" s="104" t="n">
        <f aca="false">-V109*$D25</f>
        <v>-2.38418579101563E-010</v>
      </c>
      <c r="W70" s="104" t="n">
        <f aca="false">-W109*$D25</f>
        <v>-2.38418579101563E-010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-32053.35</v>
      </c>
      <c r="E72" s="104" t="n">
        <f aca="false">E49</f>
        <v>-32053.35</v>
      </c>
      <c r="F72" s="104" t="n">
        <f aca="false">F49</f>
        <v>-32053.35</v>
      </c>
      <c r="G72" s="104" t="n">
        <f aca="false">G49</f>
        <v>-32053.35</v>
      </c>
      <c r="H72" s="104" t="n">
        <f aca="false">H49</f>
        <v>-32053.35</v>
      </c>
      <c r="I72" s="104" t="n">
        <f aca="false">I49</f>
        <v>-32053.35</v>
      </c>
      <c r="J72" s="104" t="n">
        <f aca="false">J49</f>
        <v>-32053.35</v>
      </c>
      <c r="K72" s="104" t="n">
        <f aca="false">K49</f>
        <v>-32053.35</v>
      </c>
      <c r="L72" s="104" t="n">
        <f aca="false">L49</f>
        <v>-32053.35</v>
      </c>
      <c r="M72" s="104" t="n">
        <f aca="false">M49</f>
        <v>-32053.35</v>
      </c>
      <c r="N72" s="104" t="n">
        <f aca="false">N49</f>
        <v>-32053.35</v>
      </c>
      <c r="O72" s="104" t="n">
        <f aca="false">O49</f>
        <v>-32053.35</v>
      </c>
      <c r="P72" s="104" t="n">
        <f aca="false">P49</f>
        <v>-32053.35</v>
      </c>
      <c r="Q72" s="104" t="n">
        <f aca="false">Q49</f>
        <v>-32053.35</v>
      </c>
      <c r="R72" s="104" t="n">
        <f aca="false">R49</f>
        <v>-32053.35</v>
      </c>
      <c r="S72" s="104" t="n">
        <f aca="false">S49</f>
        <v>-32053.35</v>
      </c>
      <c r="T72" s="104" t="n">
        <f aca="false">T49</f>
        <v>-32053.35</v>
      </c>
      <c r="U72" s="104" t="n">
        <f aca="false">U49</f>
        <v>-32053.35</v>
      </c>
      <c r="V72" s="104" t="n">
        <f aca="false">V49</f>
        <v>-32053.35</v>
      </c>
      <c r="W72" s="104" t="n">
        <f aca="false">W49</f>
        <v>-32053.35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748044.106</v>
      </c>
      <c r="E76" s="109" t="n">
        <f aca="false">SUM(E64:E75)</f>
        <v>471717.104933333</v>
      </c>
      <c r="F76" s="109" t="n">
        <f aca="false">SUM(F64:F75)</f>
        <v>485591.103866667</v>
      </c>
      <c r="G76" s="109" t="n">
        <f aca="false">SUM(G64:G75)</f>
        <v>499465.1028</v>
      </c>
      <c r="H76" s="109" t="n">
        <f aca="false">SUM(H64:H75)</f>
        <v>513339.101733333</v>
      </c>
      <c r="I76" s="109" t="n">
        <f aca="false">SUM(I64:I75)</f>
        <v>527213.100666666</v>
      </c>
      <c r="J76" s="109" t="n">
        <f aca="false">SUM(J64:J75)</f>
        <v>541087.0996</v>
      </c>
      <c r="K76" s="109" t="n">
        <f aca="false">SUM(K64:K75)</f>
        <v>554961.098533333</v>
      </c>
      <c r="L76" s="109" t="n">
        <f aca="false">SUM(L64:L75)</f>
        <v>568835.097466666</v>
      </c>
      <c r="M76" s="109" t="n">
        <f aca="false">SUM(M64:M75)</f>
        <v>582709.0964</v>
      </c>
      <c r="N76" s="109" t="n">
        <f aca="false">SUM(N64:N75)</f>
        <v>640193.095333333</v>
      </c>
      <c r="O76" s="109" t="n">
        <f aca="false">SUM(O64:O75)</f>
        <v>654067.094266666</v>
      </c>
      <c r="P76" s="109" t="n">
        <f aca="false">SUM(P64:P75)</f>
        <v>667941.0932</v>
      </c>
      <c r="Q76" s="109" t="n">
        <f aca="false">SUM(Q64:Q75)</f>
        <v>681815.092133333</v>
      </c>
      <c r="R76" s="109" t="n">
        <f aca="false">SUM(R64:R75)</f>
        <v>695689.091066666</v>
      </c>
      <c r="S76" s="109" t="n">
        <f aca="false">SUM(S64:S75)</f>
        <v>709563.09</v>
      </c>
      <c r="T76" s="109" t="n">
        <f aca="false">SUM(T64:T75)</f>
        <v>700811.058</v>
      </c>
      <c r="U76" s="109" t="n">
        <f aca="false">SUM(U64:U75)</f>
        <v>692059.026</v>
      </c>
      <c r="V76" s="109" t="n">
        <f aca="false">SUM(V64:V75)</f>
        <v>683306.994</v>
      </c>
      <c r="W76" s="109" t="n">
        <f aca="false">SUM(W64:W75)</f>
        <v>674554.962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-149608.8212</v>
      </c>
      <c r="E77" s="104" t="n">
        <f aca="false">-E76*0.2</f>
        <v>-94343.4209866666</v>
      </c>
      <c r="F77" s="104" t="n">
        <f aca="false">-F76*0.2</f>
        <v>-97118.2207733333</v>
      </c>
      <c r="G77" s="104" t="n">
        <f aca="false">-G76*0.2</f>
        <v>-99893.02056</v>
      </c>
      <c r="H77" s="104" t="n">
        <f aca="false">-H76*0.2</f>
        <v>-102667.820346667</v>
      </c>
      <c r="I77" s="104" t="n">
        <f aca="false">-I76*0.2</f>
        <v>-105442.620133333</v>
      </c>
      <c r="J77" s="104" t="n">
        <f aca="false">-J76*0.2</f>
        <v>-108217.41992</v>
      </c>
      <c r="K77" s="104" t="n">
        <f aca="false">-K76*0.2</f>
        <v>-110992.219706667</v>
      </c>
      <c r="L77" s="104" t="n">
        <f aca="false">-L76*0.2</f>
        <v>-113767.019493333</v>
      </c>
      <c r="M77" s="104" t="n">
        <f aca="false">-M76*0.2</f>
        <v>-116541.81928</v>
      </c>
      <c r="N77" s="104" t="n">
        <f aca="false">-N76*0.2</f>
        <v>-128038.619066667</v>
      </c>
      <c r="O77" s="104" t="n">
        <f aca="false">-O76*0.2</f>
        <v>-130813.418853333</v>
      </c>
      <c r="P77" s="104" t="n">
        <f aca="false">-P76*0.2</f>
        <v>-133588.21864</v>
      </c>
      <c r="Q77" s="104" t="n">
        <f aca="false">-Q76*0.2</f>
        <v>-136363.018426667</v>
      </c>
      <c r="R77" s="104" t="n">
        <f aca="false">-R76*0.2</f>
        <v>-139137.818213333</v>
      </c>
      <c r="S77" s="104" t="n">
        <f aca="false">-S76*0.2</f>
        <v>-141912.618</v>
      </c>
      <c r="T77" s="104" t="n">
        <f aca="false">-T76*0.2</f>
        <v>-140162.2116</v>
      </c>
      <c r="U77" s="104" t="n">
        <f aca="false">-U76*0.2</f>
        <v>-138411.8052</v>
      </c>
      <c r="V77" s="104" t="n">
        <f aca="false">-V76*0.2</f>
        <v>-136661.3988</v>
      </c>
      <c r="W77" s="104" t="n">
        <f aca="false">-W76*0.2</f>
        <v>-134910.9924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598435.2848</v>
      </c>
      <c r="E78" s="104" t="n">
        <f aca="false">SUM(E76:E77)</f>
        <v>377373.683946667</v>
      </c>
      <c r="F78" s="104" t="n">
        <f aca="false">SUM(F76:F77)</f>
        <v>388472.883093333</v>
      </c>
      <c r="G78" s="104" t="n">
        <f aca="false">SUM(G76:G77)</f>
        <v>399572.08224</v>
      </c>
      <c r="H78" s="104" t="n">
        <f aca="false">SUM(H76:H77)</f>
        <v>410671.281386666</v>
      </c>
      <c r="I78" s="104" t="n">
        <f aca="false">SUM(I76:I77)</f>
        <v>421770.480533333</v>
      </c>
      <c r="J78" s="104" t="n">
        <f aca="false">SUM(J76:J77)</f>
        <v>432869.67968</v>
      </c>
      <c r="K78" s="104" t="n">
        <f aca="false">SUM(K76:K77)</f>
        <v>443968.878826667</v>
      </c>
      <c r="L78" s="104" t="n">
        <f aca="false">SUM(L76:L77)</f>
        <v>455068.077973333</v>
      </c>
      <c r="M78" s="104" t="n">
        <f aca="false">SUM(M76:M77)</f>
        <v>466167.27712</v>
      </c>
      <c r="N78" s="104" t="n">
        <f aca="false">SUM(N76:N77)</f>
        <v>512154.476266666</v>
      </c>
      <c r="O78" s="104" t="n">
        <f aca="false">SUM(O76:O77)</f>
        <v>523253.675413333</v>
      </c>
      <c r="P78" s="104" t="n">
        <f aca="false">SUM(P76:P77)</f>
        <v>534352.87456</v>
      </c>
      <c r="Q78" s="104" t="n">
        <f aca="false">SUM(Q76:Q77)</f>
        <v>545452.073706667</v>
      </c>
      <c r="R78" s="104" t="n">
        <f aca="false">SUM(R76:R77)</f>
        <v>556551.272853333</v>
      </c>
      <c r="S78" s="104" t="n">
        <f aca="false">SUM(S76:S77)</f>
        <v>567650.472</v>
      </c>
      <c r="T78" s="104" t="n">
        <f aca="false">SUM(T76:T77)</f>
        <v>560648.8464</v>
      </c>
      <c r="U78" s="104" t="n">
        <f aca="false">SUM(U76:U77)</f>
        <v>553647.2208</v>
      </c>
      <c r="V78" s="104" t="n">
        <f aca="false">SUM(V76:V77)</f>
        <v>546645.5952</v>
      </c>
      <c r="W78" s="104" t="n">
        <f aca="false">SUM(W76:W77)</f>
        <v>539643.9696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598435.2848</v>
      </c>
      <c r="E85" s="143" t="n">
        <f aca="false">E78</f>
        <v>377373.683946667</v>
      </c>
      <c r="F85" s="143" t="n">
        <f aca="false">F78</f>
        <v>388472.883093333</v>
      </c>
      <c r="G85" s="143" t="n">
        <f aca="false">G78</f>
        <v>399572.08224</v>
      </c>
      <c r="H85" s="143" t="n">
        <f aca="false">H78</f>
        <v>410671.281386666</v>
      </c>
      <c r="I85" s="143" t="n">
        <f aca="false">I78</f>
        <v>421770.480533333</v>
      </c>
      <c r="J85" s="143" t="n">
        <f aca="false">J78</f>
        <v>432869.67968</v>
      </c>
      <c r="K85" s="143" t="n">
        <f aca="false">K78</f>
        <v>443968.878826667</v>
      </c>
      <c r="L85" s="143" t="n">
        <f aca="false">L78</f>
        <v>455068.077973333</v>
      </c>
      <c r="M85" s="143" t="n">
        <f aca="false">M78</f>
        <v>466167.27712</v>
      </c>
      <c r="N85" s="143" t="n">
        <f aca="false">N78</f>
        <v>512154.476266666</v>
      </c>
      <c r="O85" s="143" t="n">
        <f aca="false">O78</f>
        <v>523253.675413333</v>
      </c>
      <c r="P85" s="143" t="n">
        <f aca="false">P78</f>
        <v>534352.87456</v>
      </c>
      <c r="Q85" s="143" t="n">
        <f aca="false">Q78</f>
        <v>545452.073706667</v>
      </c>
      <c r="R85" s="143" t="n">
        <f aca="false">R78</f>
        <v>556551.272853333</v>
      </c>
      <c r="S85" s="143" t="n">
        <f aca="false">S78</f>
        <v>567650.472</v>
      </c>
      <c r="T85" s="143" t="n">
        <f aca="false">T78</f>
        <v>560648.8464</v>
      </c>
      <c r="U85" s="143" t="n">
        <f aca="false">U78</f>
        <v>553647.2208</v>
      </c>
      <c r="V85" s="143" t="n">
        <f aca="false">V78</f>
        <v>546645.5952</v>
      </c>
      <c r="W85" s="143" t="n">
        <f aca="false">W78</f>
        <v>539643.9696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828590</v>
      </c>
      <c r="E86" s="144" t="n">
        <f aca="false">-E67</f>
        <v>828590</v>
      </c>
      <c r="F86" s="144" t="n">
        <f aca="false">-F67</f>
        <v>828590</v>
      </c>
      <c r="G86" s="144" t="n">
        <f aca="false">-G67</f>
        <v>828590</v>
      </c>
      <c r="H86" s="144" t="n">
        <f aca="false">-H67</f>
        <v>828590</v>
      </c>
      <c r="I86" s="144" t="n">
        <f aca="false">-I67</f>
        <v>828590</v>
      </c>
      <c r="J86" s="144" t="n">
        <f aca="false">-J67</f>
        <v>828590</v>
      </c>
      <c r="K86" s="144" t="n">
        <f aca="false">-K67</f>
        <v>828590</v>
      </c>
      <c r="L86" s="144" t="n">
        <f aca="false">-L67</f>
        <v>828590</v>
      </c>
      <c r="M86" s="144" t="n">
        <f aca="false">-M67</f>
        <v>828590</v>
      </c>
      <c r="N86" s="144" t="n">
        <f aca="false">-N67</f>
        <v>828590</v>
      </c>
      <c r="O86" s="144" t="n">
        <f aca="false">-O67</f>
        <v>828590</v>
      </c>
      <c r="P86" s="144" t="n">
        <f aca="false">-P67</f>
        <v>828590</v>
      </c>
      <c r="Q86" s="144" t="n">
        <f aca="false">-Q67</f>
        <v>828590</v>
      </c>
      <c r="R86" s="144" t="n">
        <f aca="false">-R67</f>
        <v>828590</v>
      </c>
      <c r="S86" s="144" t="n">
        <f aca="false">-S67</f>
        <v>828590</v>
      </c>
      <c r="T86" s="144" t="n">
        <f aca="false">-T67</f>
        <v>828590</v>
      </c>
      <c r="U86" s="144" t="n">
        <f aca="false">-U67</f>
        <v>828590</v>
      </c>
      <c r="V86" s="144" t="n">
        <f aca="false">-V67</f>
        <v>828590</v>
      </c>
      <c r="W86" s="144" t="n">
        <f aca="false">-W67</f>
        <v>828590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1427025.2848</v>
      </c>
      <c r="E87" s="146" t="n">
        <f aca="false">SUM(E85:E86)</f>
        <v>1205963.68394667</v>
      </c>
      <c r="F87" s="146" t="n">
        <f aca="false">SUM(F85:F86)</f>
        <v>1217062.88309333</v>
      </c>
      <c r="G87" s="146" t="n">
        <f aca="false">SUM(G85:G86)</f>
        <v>1228162.08224</v>
      </c>
      <c r="H87" s="146" t="n">
        <f aca="false">SUM(H85:H86)</f>
        <v>1239261.28138667</v>
      </c>
      <c r="I87" s="146" t="n">
        <f aca="false">SUM(I85:I86)</f>
        <v>1250360.48053333</v>
      </c>
      <c r="J87" s="146" t="n">
        <f aca="false">SUM(J85:J86)</f>
        <v>1261459.67968</v>
      </c>
      <c r="K87" s="146" t="n">
        <f aca="false">SUM(K85:K86)</f>
        <v>1272558.87882667</v>
      </c>
      <c r="L87" s="146" t="n">
        <f aca="false">SUM(L85:L86)</f>
        <v>1283658.07797333</v>
      </c>
      <c r="M87" s="146" t="n">
        <f aca="false">SUM(M85:M86)</f>
        <v>1294757.27712</v>
      </c>
      <c r="N87" s="146" t="n">
        <f aca="false">SUM(N85:N86)</f>
        <v>1340744.47626667</v>
      </c>
      <c r="O87" s="146" t="n">
        <f aca="false">SUM(O85:O86)</f>
        <v>1351843.67541333</v>
      </c>
      <c r="P87" s="146" t="n">
        <f aca="false">SUM(P85:P86)</f>
        <v>1362942.87456</v>
      </c>
      <c r="Q87" s="146" t="n">
        <f aca="false">SUM(Q85:Q86)</f>
        <v>1374042.07370667</v>
      </c>
      <c r="R87" s="146" t="n">
        <f aca="false">SUM(R85:R86)</f>
        <v>1385141.27285333</v>
      </c>
      <c r="S87" s="146" t="n">
        <f aca="false">SUM(S85:S86)</f>
        <v>1396240.472</v>
      </c>
      <c r="T87" s="146" t="n">
        <f aca="false">SUM(T85:T86)</f>
        <v>1389238.8464</v>
      </c>
      <c r="U87" s="146" t="n">
        <f aca="false">SUM(U85:U86)</f>
        <v>1382237.2208</v>
      </c>
      <c r="V87" s="146" t="n">
        <f aca="false">SUM(V85:V86)</f>
        <v>1375235.5952</v>
      </c>
      <c r="W87" s="146" t="n">
        <f aca="false">SUM(W85:W86)</f>
        <v>1368233.9696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-16571800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13257440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-883829.333333333</v>
      </c>
      <c r="F93" s="152" t="n">
        <v>-883829.333333333</v>
      </c>
      <c r="G93" s="152" t="n">
        <v>-883829.333333333</v>
      </c>
      <c r="H93" s="152" t="n">
        <v>-883829.333333333</v>
      </c>
      <c r="I93" s="152" t="n">
        <v>-883829.333333333</v>
      </c>
      <c r="J93" s="152" t="n">
        <v>-883829.333333333</v>
      </c>
      <c r="K93" s="152" t="n">
        <v>-883829.333333333</v>
      </c>
      <c r="L93" s="152" t="n">
        <v>-883829.333333333</v>
      </c>
      <c r="M93" s="152" t="n">
        <v>-883829.333333333</v>
      </c>
      <c r="N93" s="152" t="n">
        <v>-883829.333333333</v>
      </c>
      <c r="O93" s="152" t="n">
        <v>-883829.333333333</v>
      </c>
      <c r="P93" s="152" t="n">
        <v>-883829.333333333</v>
      </c>
      <c r="Q93" s="152" t="n">
        <v>-883829.333333333</v>
      </c>
      <c r="R93" s="152" t="n">
        <v>-883829.333333333</v>
      </c>
      <c r="S93" s="152" t="n">
        <v>-883829.333333333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3314360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-538591.75632</v>
      </c>
      <c r="F95" s="153" t="n">
        <f aca="false">-E85*$D$33</f>
        <v>-339636.315552</v>
      </c>
      <c r="G95" s="153" t="n">
        <f aca="false">-F85*$D$33</f>
        <v>-349625.594784</v>
      </c>
      <c r="H95" s="153" t="n">
        <f aca="false">-G85*$D$33</f>
        <v>-359614.874016</v>
      </c>
      <c r="I95" s="153" t="n">
        <f aca="false">-H85*$D$33</f>
        <v>-369604.153248</v>
      </c>
      <c r="J95" s="153" t="n">
        <f aca="false">-I85*$D$33</f>
        <v>-379593.43248</v>
      </c>
      <c r="K95" s="153" t="n">
        <f aca="false">-J85*$D$33</f>
        <v>-389582.711712</v>
      </c>
      <c r="L95" s="153" t="n">
        <f aca="false">-K85*$D$33</f>
        <v>-399571.990944</v>
      </c>
      <c r="M95" s="153" t="n">
        <f aca="false">-L85*$D$33</f>
        <v>-409561.270176</v>
      </c>
      <c r="N95" s="153" t="n">
        <f aca="false">-M85*$D$33</f>
        <v>-419550.549408</v>
      </c>
      <c r="O95" s="153" t="n">
        <f aca="false">-N85*$D$33</f>
        <v>-460939.02864</v>
      </c>
      <c r="P95" s="153" t="n">
        <f aca="false">-O85*$D$33</f>
        <v>-470928.307872</v>
      </c>
      <c r="Q95" s="153" t="n">
        <f aca="false">-P85*$D$33</f>
        <v>-480917.587104</v>
      </c>
      <c r="R95" s="153" t="n">
        <f aca="false">-Q85*$D$33</f>
        <v>-490906.866336</v>
      </c>
      <c r="S95" s="153" t="n">
        <f aca="false">-R85*$D$33</f>
        <v>-500896.145568</v>
      </c>
      <c r="T95" s="153" t="n">
        <f aca="false">-S85*$D$33</f>
        <v>-510885.4248</v>
      </c>
      <c r="U95" s="153" t="n">
        <f aca="false">-T85*$D$33</f>
        <v>-504583.96176</v>
      </c>
      <c r="V95" s="153" t="n">
        <f aca="false">-U85*$D$33</f>
        <v>-498282.49872</v>
      </c>
      <c r="W95" s="153" t="n">
        <f aca="false">-V85*$D$33</f>
        <v>-491981.03568</v>
      </c>
      <c r="X95" s="153" t="n">
        <f aca="false">-W85*$D$33</f>
        <v>-485679.57264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-828590</v>
      </c>
      <c r="U96" s="156" t="n">
        <v>-828590</v>
      </c>
      <c r="V96" s="156" t="n">
        <v>-828590</v>
      </c>
      <c r="W96" s="156" t="n">
        <v>-828590</v>
      </c>
      <c r="X96" s="157" t="n">
        <f aca="false">-W101-X95</f>
        <v>-983437.008640003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1427025.2848</v>
      </c>
      <c r="E99" s="143" t="n">
        <f aca="false">SUM(E87:E96)</f>
        <v>-216457.405706666</v>
      </c>
      <c r="F99" s="143" t="n">
        <f aca="false">SUM(F87:F96)</f>
        <v>-6402.76579199953</v>
      </c>
      <c r="G99" s="143" t="n">
        <f aca="false">SUM(G87:G96)</f>
        <v>-5292.84587733314</v>
      </c>
      <c r="H99" s="143" t="n">
        <f aca="false">SUM(H87:H96)</f>
        <v>-4182.92596266646</v>
      </c>
      <c r="I99" s="143" t="n">
        <f aca="false">SUM(I87:I96)</f>
        <v>-3073.00604799984</v>
      </c>
      <c r="J99" s="143" t="n">
        <f aca="false">SUM(J87:J96)</f>
        <v>-1963.08613333269</v>
      </c>
      <c r="K99" s="143" t="n">
        <f aca="false">SUM(K87:K96)</f>
        <v>-853.16621866636</v>
      </c>
      <c r="L99" s="143" t="n">
        <f aca="false">SUM(L87:L96)</f>
        <v>256.75369600032</v>
      </c>
      <c r="M99" s="143" t="n">
        <f aca="false">SUM(M87:M96)</f>
        <v>1366.67361066694</v>
      </c>
      <c r="N99" s="143" t="n">
        <f aca="false">SUM(N87:N96)</f>
        <v>37364.5935253334</v>
      </c>
      <c r="O99" s="143" t="n">
        <f aca="false">SUM(O87:O96)</f>
        <v>7075.31344000029</v>
      </c>
      <c r="P99" s="143" t="n">
        <f aca="false">SUM(P87:P96)</f>
        <v>8185.23335466679</v>
      </c>
      <c r="Q99" s="143" t="n">
        <f aca="false">SUM(Q87:Q96)</f>
        <v>9295.15326933371</v>
      </c>
      <c r="R99" s="143" t="n">
        <f aca="false">SUM(R87:R96)</f>
        <v>10405.0731840002</v>
      </c>
      <c r="S99" s="143" t="n">
        <f aca="false">SUM(S87:S96)</f>
        <v>11514.9930986671</v>
      </c>
      <c r="T99" s="143" t="n">
        <f aca="false">SUM(T87:T96)</f>
        <v>49763.4215999998</v>
      </c>
      <c r="U99" s="143" t="n">
        <f aca="false">SUM(U87:U96)</f>
        <v>49063.25904</v>
      </c>
      <c r="V99" s="143" t="n">
        <f aca="false">SUM(V87:V96)</f>
        <v>48363.0964799998</v>
      </c>
      <c r="W99" s="143" t="n">
        <f aca="false">SUM(W87:W96)</f>
        <v>47662.93392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1427025.2848</v>
      </c>
      <c r="F100" s="143" t="n">
        <f aca="false">E101</f>
        <v>1210567.87909333</v>
      </c>
      <c r="G100" s="143" t="n">
        <f aca="false">F101</f>
        <v>1204165.11330133</v>
      </c>
      <c r="H100" s="143" t="n">
        <f aca="false">G101</f>
        <v>1198872.267424</v>
      </c>
      <c r="I100" s="143" t="n">
        <f aca="false">H101</f>
        <v>1194689.34146133</v>
      </c>
      <c r="J100" s="143" t="n">
        <f aca="false">I101</f>
        <v>1191616.33541333</v>
      </c>
      <c r="K100" s="143" t="n">
        <f aca="false">J101</f>
        <v>1189653.24928</v>
      </c>
      <c r="L100" s="143" t="n">
        <f aca="false">K101</f>
        <v>1188800.08306133</v>
      </c>
      <c r="M100" s="143" t="n">
        <f aca="false">L101</f>
        <v>1189056.83675733</v>
      </c>
      <c r="N100" s="143" t="n">
        <f aca="false">M101</f>
        <v>1190423.510368</v>
      </c>
      <c r="O100" s="143" t="n">
        <f aca="false">N101</f>
        <v>1227788.10389334</v>
      </c>
      <c r="P100" s="143" t="n">
        <f aca="false">O101</f>
        <v>1234863.41733334</v>
      </c>
      <c r="Q100" s="143" t="n">
        <f aca="false">P101</f>
        <v>1243048.650688</v>
      </c>
      <c r="R100" s="143" t="n">
        <f aca="false">Q101</f>
        <v>1252343.80395734</v>
      </c>
      <c r="S100" s="143" t="n">
        <f aca="false">R101</f>
        <v>1262748.87714134</v>
      </c>
      <c r="T100" s="143" t="n">
        <f aca="false">S101</f>
        <v>1274263.87024</v>
      </c>
      <c r="U100" s="143" t="n">
        <f aca="false">T101</f>
        <v>1324027.29184</v>
      </c>
      <c r="V100" s="143" t="n">
        <f aca="false">U101</f>
        <v>1373090.55088</v>
      </c>
      <c r="W100" s="143" t="n">
        <f aca="false">V101</f>
        <v>1421453.64736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1427025.2848</v>
      </c>
      <c r="E101" s="143" t="n">
        <f aca="false">E99+E100</f>
        <v>1210567.87909333</v>
      </c>
      <c r="F101" s="143" t="n">
        <f aca="false">F99+F100</f>
        <v>1204165.11330133</v>
      </c>
      <c r="G101" s="143" t="n">
        <f aca="false">G99+G100</f>
        <v>1198872.267424</v>
      </c>
      <c r="H101" s="143" t="n">
        <f aca="false">H99+H100</f>
        <v>1194689.34146133</v>
      </c>
      <c r="I101" s="143" t="n">
        <f aca="false">I99+I100</f>
        <v>1191616.33541333</v>
      </c>
      <c r="J101" s="143" t="n">
        <f aca="false">J99+J100</f>
        <v>1189653.24928</v>
      </c>
      <c r="K101" s="143" t="n">
        <f aca="false">K99+K100</f>
        <v>1188800.08306133</v>
      </c>
      <c r="L101" s="143" t="n">
        <f aca="false">L99+L100</f>
        <v>1189056.83675733</v>
      </c>
      <c r="M101" s="143" t="n">
        <f aca="false">M99+M100</f>
        <v>1190423.510368</v>
      </c>
      <c r="N101" s="143" t="n">
        <f aca="false">N99+N100</f>
        <v>1227788.10389334</v>
      </c>
      <c r="O101" s="143" t="n">
        <f aca="false">O99+O100</f>
        <v>1234863.41733334</v>
      </c>
      <c r="P101" s="143" t="n">
        <f aca="false">P99+P100</f>
        <v>1243048.650688</v>
      </c>
      <c r="Q101" s="143" t="n">
        <f aca="false">Q99+Q100</f>
        <v>1252343.80395734</v>
      </c>
      <c r="R101" s="143" t="n">
        <f aca="false">R99+R100</f>
        <v>1262748.87714134</v>
      </c>
      <c r="S101" s="143" t="n">
        <f aca="false">S99+S100</f>
        <v>1274263.87024</v>
      </c>
      <c r="T101" s="143" t="n">
        <f aca="false">T99+T100</f>
        <v>1324027.29184</v>
      </c>
      <c r="U101" s="143" t="n">
        <f aca="false">U99+U100</f>
        <v>1373090.55088</v>
      </c>
      <c r="V101" s="143" t="n">
        <f aca="false">V99+V100</f>
        <v>1421453.64736</v>
      </c>
      <c r="W101" s="143" t="n">
        <f aca="false">W99+W100</f>
        <v>1469116.58128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-3314360</v>
      </c>
      <c r="E104" s="146" t="n">
        <f aca="false">-E95-E96</f>
        <v>538591.75632</v>
      </c>
      <c r="F104" s="146" t="n">
        <f aca="false">-F95-F96</f>
        <v>339636.315552</v>
      </c>
      <c r="G104" s="146" t="n">
        <f aca="false">-G95-G96</f>
        <v>349625.594784</v>
      </c>
      <c r="H104" s="146" t="n">
        <f aca="false">-H95-H96</f>
        <v>359614.874016</v>
      </c>
      <c r="I104" s="146" t="n">
        <f aca="false">-I95-I96</f>
        <v>369604.153248</v>
      </c>
      <c r="J104" s="146" t="n">
        <f aca="false">-J95-J96</f>
        <v>379593.43248</v>
      </c>
      <c r="K104" s="146" t="n">
        <f aca="false">-K95-K96</f>
        <v>389582.711712</v>
      </c>
      <c r="L104" s="146" t="n">
        <f aca="false">-L95-L96</f>
        <v>399571.990944</v>
      </c>
      <c r="M104" s="146" t="n">
        <f aca="false">-M95-M96</f>
        <v>409561.270176</v>
      </c>
      <c r="N104" s="146" t="n">
        <f aca="false">-N95-N96</f>
        <v>419550.549408</v>
      </c>
      <c r="O104" s="146" t="n">
        <f aca="false">-O95-O96</f>
        <v>460939.02864</v>
      </c>
      <c r="P104" s="146" t="n">
        <f aca="false">-P95-P96</f>
        <v>470928.307872</v>
      </c>
      <c r="Q104" s="146" t="n">
        <f aca="false">-Q95-Q96</f>
        <v>480917.587104</v>
      </c>
      <c r="R104" s="146" t="n">
        <f aca="false">-R95-R96</f>
        <v>490906.866336</v>
      </c>
      <c r="S104" s="146" t="n">
        <f aca="false">-S95-S96</f>
        <v>500896.145568</v>
      </c>
      <c r="T104" s="146" t="n">
        <f aca="false">-T95-T96</f>
        <v>1339475.4248</v>
      </c>
      <c r="U104" s="146" t="n">
        <f aca="false">-U95-U96</f>
        <v>1333173.96176</v>
      </c>
      <c r="V104" s="146" t="n">
        <f aca="false">-V95-V96</f>
        <v>1326872.49872</v>
      </c>
      <c r="W104" s="146" t="n">
        <f aca="false">-W95-W96</f>
        <v>1320571.03568</v>
      </c>
      <c r="X104" s="146" t="n">
        <f aca="false">-X95-X96</f>
        <v>1469116.58128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0.134185500479732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-2715924.7152</v>
      </c>
      <c r="E106" s="146" t="n">
        <f aca="false">E85</f>
        <v>377373.683946667</v>
      </c>
      <c r="F106" s="146" t="n">
        <f aca="false">F85-F96</f>
        <v>388472.883093333</v>
      </c>
      <c r="G106" s="146" t="n">
        <f aca="false">G85-G96</f>
        <v>399572.08224</v>
      </c>
      <c r="H106" s="146" t="n">
        <f aca="false">H85-H96</f>
        <v>410671.281386666</v>
      </c>
      <c r="I106" s="146" t="n">
        <f aca="false">I85-I96</f>
        <v>421770.480533333</v>
      </c>
      <c r="J106" s="146" t="n">
        <f aca="false">J85-J96</f>
        <v>432869.67968</v>
      </c>
      <c r="K106" s="146" t="n">
        <f aca="false">K85-K96</f>
        <v>443968.878826667</v>
      </c>
      <c r="L106" s="146" t="n">
        <f aca="false">L85-L96</f>
        <v>455068.077973333</v>
      </c>
      <c r="M106" s="146" t="n">
        <f aca="false">M85-M96</f>
        <v>466167.27712</v>
      </c>
      <c r="N106" s="146" t="n">
        <f aca="false">N85-N96</f>
        <v>512154.476266666</v>
      </c>
      <c r="O106" s="146" t="n">
        <f aca="false">O85-O96</f>
        <v>523253.675413333</v>
      </c>
      <c r="P106" s="146" t="n">
        <f aca="false">P85-P96</f>
        <v>534352.87456</v>
      </c>
      <c r="Q106" s="146" t="n">
        <f aca="false">Q85-Q96</f>
        <v>545452.073706667</v>
      </c>
      <c r="R106" s="146" t="n">
        <f aca="false">R85-R96</f>
        <v>556551.272853333</v>
      </c>
      <c r="S106" s="146" t="n">
        <f aca="false">S85-S96</f>
        <v>567650.472</v>
      </c>
      <c r="T106" s="146" t="n">
        <f aca="false">T85-T96</f>
        <v>1389238.8464</v>
      </c>
      <c r="U106" s="146" t="n">
        <f aca="false">U85-U96</f>
        <v>1382237.2208</v>
      </c>
      <c r="V106" s="146" t="n">
        <f aca="false">V85-V96</f>
        <v>1375235.5952</v>
      </c>
      <c r="W106" s="146" t="n">
        <f aca="false">W85-W96</f>
        <v>1368233.9696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0.166325034383217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13257440</v>
      </c>
      <c r="E109" s="143" t="n">
        <f aca="false">D109+E93</f>
        <v>12373610.6666667</v>
      </c>
      <c r="F109" s="143" t="n">
        <f aca="false">E109+F93</f>
        <v>11489781.3333333</v>
      </c>
      <c r="G109" s="143" t="n">
        <f aca="false">F109+G93</f>
        <v>10605952</v>
      </c>
      <c r="H109" s="143" t="n">
        <f aca="false">G109+H93</f>
        <v>9722122.66666667</v>
      </c>
      <c r="I109" s="143" t="n">
        <f aca="false">H109+I93</f>
        <v>8838293.33333334</v>
      </c>
      <c r="J109" s="143" t="n">
        <f aca="false">I109+J93</f>
        <v>7954464.00000001</v>
      </c>
      <c r="K109" s="143" t="n">
        <f aca="false">J109+K93</f>
        <v>7070634.66666667</v>
      </c>
      <c r="L109" s="143" t="n">
        <f aca="false">K109+L93</f>
        <v>6186805.33333334</v>
      </c>
      <c r="M109" s="143" t="n">
        <f aca="false">L109+M93</f>
        <v>5302976.00000001</v>
      </c>
      <c r="N109" s="143" t="n">
        <f aca="false">M109+N93</f>
        <v>4419146.66666667</v>
      </c>
      <c r="O109" s="143" t="n">
        <f aca="false">N109+O93</f>
        <v>3535317.33333334</v>
      </c>
      <c r="P109" s="143" t="n">
        <f aca="false">O109+P93</f>
        <v>2651488.00000001</v>
      </c>
      <c r="Q109" s="143" t="n">
        <f aca="false">P109+Q93</f>
        <v>1767658.66666668</v>
      </c>
      <c r="R109" s="143" t="n">
        <f aca="false">Q109+R93</f>
        <v>883829.333333342</v>
      </c>
      <c r="S109" s="143" t="n">
        <f aca="false">R109+S93</f>
        <v>9.31322574615479E-009</v>
      </c>
      <c r="T109" s="143" t="n">
        <f aca="false">S109+T93</f>
        <v>9.31322574615479E-009</v>
      </c>
      <c r="U109" s="143" t="n">
        <f aca="false">T109+U93</f>
        <v>9.31322574615479E-009</v>
      </c>
      <c r="V109" s="143" t="n">
        <f aca="false">U109+V93</f>
        <v>9.31322574615479E-009</v>
      </c>
      <c r="W109" s="143" t="n">
        <f aca="false">V109+W93</f>
        <v>9.31322574615479E-009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222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223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177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178</v>
      </c>
    </row>
    <row r="8" customFormat="false" ht="22.5" hidden="false" customHeight="true" outlineLevel="0" collapsed="false">
      <c r="B8" s="16" t="s">
        <v>14</v>
      </c>
      <c r="E8" s="46"/>
      <c r="M8" s="1" t="s">
        <v>179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100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23000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-15637300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-30090.9</v>
      </c>
      <c r="E49" s="104" t="n">
        <v>-30090.9</v>
      </c>
      <c r="F49" s="104" t="n">
        <v>-30090.9</v>
      </c>
      <c r="G49" s="104" t="n">
        <v>-30090.9</v>
      </c>
      <c r="H49" s="104" t="n">
        <v>-30090.9</v>
      </c>
      <c r="I49" s="104" t="n">
        <v>-30090.9</v>
      </c>
      <c r="J49" s="104" t="n">
        <v>-30090.9</v>
      </c>
      <c r="K49" s="104" t="n">
        <v>-30090.9</v>
      </c>
      <c r="L49" s="104" t="n">
        <v>-30090.9</v>
      </c>
      <c r="M49" s="104" t="n">
        <v>-30090.9</v>
      </c>
      <c r="N49" s="104" t="n">
        <v>-30090.9</v>
      </c>
      <c r="O49" s="104" t="n">
        <v>-30090.9</v>
      </c>
      <c r="P49" s="104" t="n">
        <v>-30090.9</v>
      </c>
      <c r="Q49" s="104" t="n">
        <v>-30090.9</v>
      </c>
      <c r="R49" s="104" t="n">
        <v>-30090.9</v>
      </c>
      <c r="S49" s="104" t="n">
        <v>-30090.9</v>
      </c>
      <c r="T49" s="104" t="n">
        <v>-30090.9</v>
      </c>
      <c r="U49" s="104" t="n">
        <v>-30090.9</v>
      </c>
      <c r="V49" s="104" t="n">
        <v>-30090.9</v>
      </c>
      <c r="W49" s="104" t="n">
        <v>-30090.9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-227224.404</v>
      </c>
      <c r="E54" s="104" t="n">
        <f aca="false">-(E64+E67+E68+E71+E72+E73+E74)*0.2</f>
        <v>-167433.7976</v>
      </c>
      <c r="F54" s="104" t="n">
        <f aca="false">-(F64+F67+F68+F71+F72+F73+F74)*0.2</f>
        <v>-165683.3912</v>
      </c>
      <c r="G54" s="104" t="n">
        <f aca="false">-(G64+G67+G68+G71+G72+G73+G74)*0.2</f>
        <v>-163932.9848</v>
      </c>
      <c r="H54" s="104" t="n">
        <f aca="false">-(H64+H67+H68+H71+H72+H73+H74)*0.2</f>
        <v>-162182.5784</v>
      </c>
      <c r="I54" s="104" t="n">
        <f aca="false">-(I64+I67+I68+I71+I72+I73+I74)*0.2</f>
        <v>-160432.172</v>
      </c>
      <c r="J54" s="104" t="n">
        <f aca="false">-(J64+J67+J68+J71+J72+J73+J74)*0.2</f>
        <v>-158681.7656</v>
      </c>
      <c r="K54" s="104" t="n">
        <f aca="false">-(K64+K67+K68+K71+K72+K73+K74)*0.2</f>
        <v>-156931.3592</v>
      </c>
      <c r="L54" s="104" t="n">
        <f aca="false">-(L64+L67+L68+L71+L72+L73+L74)*0.2</f>
        <v>-155180.9528</v>
      </c>
      <c r="M54" s="104" t="n">
        <f aca="false">-(M64+M67+M68+M71+M72+M73+M74)*0.2</f>
        <v>-153430.5464</v>
      </c>
      <c r="N54" s="104" t="n">
        <f aca="false">-(N64+N67+N68+N71+N72+N73+N74)*0.2</f>
        <v>-160402.14</v>
      </c>
      <c r="O54" s="104" t="n">
        <f aca="false">-(O64+O67+O68+O71+O72+O73+O74)*0.2</f>
        <v>-158651.7336</v>
      </c>
      <c r="P54" s="104" t="n">
        <f aca="false">-(P64+P67+P68+P71+P72+P73+P74)*0.2</f>
        <v>-156901.3272</v>
      </c>
      <c r="Q54" s="104" t="n">
        <f aca="false">-(Q64+Q67+Q68+Q71+Q72+Q73+Q74)*0.2</f>
        <v>-155150.9208</v>
      </c>
      <c r="R54" s="104" t="n">
        <f aca="false">-(R64+R67+R68+R71+R72+R73+R74)*0.2</f>
        <v>-153400.5144</v>
      </c>
      <c r="S54" s="104" t="n">
        <f aca="false">-(S64+S67+S68+S71+S72+S73+S74)*0.2</f>
        <v>-151650.108</v>
      </c>
      <c r="T54" s="104" t="n">
        <f aca="false">-(T64+T67+T68+T71+T72+T73+T74)*0.2</f>
        <v>-149899.7016</v>
      </c>
      <c r="U54" s="104" t="n">
        <f aca="false">-(U64+U67+U68+U71+U72+U73+U74)*0.2</f>
        <v>-148149.2952</v>
      </c>
      <c r="V54" s="104" t="n">
        <f aca="false">-(V64+V67+V68+V71+V72+V73+V74)*0.2</f>
        <v>-146398.8888</v>
      </c>
      <c r="W54" s="104" t="n">
        <f aca="false">-(W64+W67+W68+W71+W72+W73+W74)*0.2</f>
        <v>-144648.4824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-15637300</v>
      </c>
      <c r="D55" s="109" t="n">
        <f aca="false">SUM(D41:D54)</f>
        <v>1400561.616</v>
      </c>
      <c r="E55" s="109" t="n">
        <f aca="false">SUM(E41:E54)</f>
        <v>1451600.1904</v>
      </c>
      <c r="F55" s="109" t="n">
        <f aca="false">SUM(F41:F54)</f>
        <v>1444598.5648</v>
      </c>
      <c r="G55" s="109" t="n">
        <f aca="false">SUM(G41:G54)</f>
        <v>1437596.9392</v>
      </c>
      <c r="H55" s="109" t="n">
        <f aca="false">SUM(H41:H54)</f>
        <v>1430595.3136</v>
      </c>
      <c r="I55" s="109" t="n">
        <f aca="false">SUM(I41:I54)</f>
        <v>1423593.688</v>
      </c>
      <c r="J55" s="109" t="n">
        <f aca="false">SUM(J41:J54)</f>
        <v>1416592.0624</v>
      </c>
      <c r="K55" s="109" t="n">
        <f aca="false">SUM(K41:K54)</f>
        <v>1409590.4368</v>
      </c>
      <c r="L55" s="109" t="n">
        <f aca="false">SUM(L41:L54)</f>
        <v>1402588.8112</v>
      </c>
      <c r="M55" s="109" t="n">
        <f aca="false">SUM(M41:M54)</f>
        <v>1395587.1856</v>
      </c>
      <c r="N55" s="109" t="n">
        <f aca="false">SUM(N41:N54)</f>
        <v>1423473.56</v>
      </c>
      <c r="O55" s="109" t="n">
        <f aca="false">SUM(O41:O54)</f>
        <v>1416471.9344</v>
      </c>
      <c r="P55" s="109" t="n">
        <f aca="false">SUM(P41:P54)</f>
        <v>1409470.3088</v>
      </c>
      <c r="Q55" s="109" t="n">
        <f aca="false">SUM(Q41:Q54)</f>
        <v>1402468.6832</v>
      </c>
      <c r="R55" s="109" t="n">
        <f aca="false">SUM(R41:R54)</f>
        <v>1395467.0576</v>
      </c>
      <c r="S55" s="109" t="n">
        <f aca="false">SUM(S41:S54)</f>
        <v>1388465.432</v>
      </c>
      <c r="T55" s="109" t="n">
        <f aca="false">SUM(T41:T54)</f>
        <v>1381463.8064</v>
      </c>
      <c r="U55" s="109" t="n">
        <f aca="false">SUM(U41:U54)</f>
        <v>1374462.1808</v>
      </c>
      <c r="V55" s="109" t="n">
        <f aca="false">SUM(V41:V54)</f>
        <v>1367460.5552</v>
      </c>
      <c r="W55" s="109" t="n">
        <f aca="false">SUM(W41:W54)</f>
        <v>1360458.9296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-14236738.384</v>
      </c>
      <c r="E56" s="114" t="n">
        <f aca="false">D56+E55</f>
        <v>-12785138.1936</v>
      </c>
      <c r="F56" s="114" t="n">
        <f aca="false">E56+F55</f>
        <v>-11340539.6288</v>
      </c>
      <c r="G56" s="114" t="n">
        <f aca="false">F56+G55</f>
        <v>-9902942.6896</v>
      </c>
      <c r="H56" s="114" t="n">
        <f aca="false">G56+H55</f>
        <v>-8472347.376</v>
      </c>
      <c r="I56" s="114" t="n">
        <f aca="false">H56+I55</f>
        <v>-7048753.688</v>
      </c>
      <c r="J56" s="114" t="n">
        <f aca="false">I56+J55</f>
        <v>-5632161.6256</v>
      </c>
      <c r="K56" s="114" t="n">
        <f aca="false">J56+K55</f>
        <v>-4222571.1888</v>
      </c>
      <c r="L56" s="114" t="n">
        <f aca="false">K56+L55</f>
        <v>-2819982.3776</v>
      </c>
      <c r="M56" s="114" t="n">
        <f aca="false">L56+M55</f>
        <v>-1424395.192</v>
      </c>
      <c r="N56" s="114" t="n">
        <f aca="false">M56+N55</f>
        <v>-921.632000000915</v>
      </c>
      <c r="O56" s="114" t="n">
        <f aca="false">N56+O55</f>
        <v>1415550.3024</v>
      </c>
      <c r="P56" s="114" t="n">
        <f aca="false">O56+P55</f>
        <v>2825020.6112</v>
      </c>
      <c r="Q56" s="114" t="n">
        <f aca="false">P56+Q55</f>
        <v>4227489.2944</v>
      </c>
      <c r="R56" s="114" t="n">
        <f aca="false">Q56+R55</f>
        <v>5622956.352</v>
      </c>
      <c r="S56" s="114" t="n">
        <f aca="false">R56+S55</f>
        <v>7011421.784</v>
      </c>
      <c r="T56" s="114" t="n">
        <f aca="false">S56+T55</f>
        <v>8392885.5904</v>
      </c>
      <c r="U56" s="114" t="n">
        <f aca="false">T56+U55</f>
        <v>9767347.7712</v>
      </c>
      <c r="V56" s="114" t="n">
        <f aca="false">U56+V55</f>
        <v>11134808.3264</v>
      </c>
      <c r="W56" s="114" t="n">
        <f aca="false">V56+W55</f>
        <v>12495267.256</v>
      </c>
      <c r="X56" s="114" t="n">
        <f aca="false">W56+X55</f>
        <v>12495267.256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未回收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0.0644957276999963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-781865</v>
      </c>
      <c r="E67" s="127" t="n">
        <f aca="false">$C$44/$E$16</f>
        <v>-781865</v>
      </c>
      <c r="F67" s="127" t="n">
        <f aca="false">$C$44/$E$16</f>
        <v>-781865</v>
      </c>
      <c r="G67" s="127" t="n">
        <f aca="false">$C$44/$E$16</f>
        <v>-781865</v>
      </c>
      <c r="H67" s="127" t="n">
        <f aca="false">$C$44/$E$16</f>
        <v>-781865</v>
      </c>
      <c r="I67" s="127" t="n">
        <f aca="false">$C$44/$E$16</f>
        <v>-781865</v>
      </c>
      <c r="J67" s="127" t="n">
        <f aca="false">$C$44/$E$16</f>
        <v>-781865</v>
      </c>
      <c r="K67" s="127" t="n">
        <f aca="false">$C$44/$E$16</f>
        <v>-781865</v>
      </c>
      <c r="L67" s="127" t="n">
        <f aca="false">$C$44/$E$16</f>
        <v>-781865</v>
      </c>
      <c r="M67" s="127" t="n">
        <f aca="false">$C$44/$E$16</f>
        <v>-781865</v>
      </c>
      <c r="N67" s="127" t="n">
        <f aca="false">$C$44/$E$16</f>
        <v>-781865</v>
      </c>
      <c r="O67" s="127" t="n">
        <f aca="false">$C$44/$E$16</f>
        <v>-781865</v>
      </c>
      <c r="P67" s="127" t="n">
        <f aca="false">$C$44/$E$16</f>
        <v>-781865</v>
      </c>
      <c r="Q67" s="127" t="n">
        <f aca="false">$C$44/$E$16</f>
        <v>-781865</v>
      </c>
      <c r="R67" s="127" t="n">
        <f aca="false">$C$44/$E$16</f>
        <v>-781865</v>
      </c>
      <c r="S67" s="127" t="n">
        <f aca="false">$C$44/$E$16</f>
        <v>-781865</v>
      </c>
      <c r="T67" s="127" t="n">
        <f aca="false">$C$44/$E$16</f>
        <v>-781865</v>
      </c>
      <c r="U67" s="127" t="n">
        <f aca="false">$C$44/$E$16</f>
        <v>-781865</v>
      </c>
      <c r="V67" s="127" t="n">
        <f aca="false">$C$44/$E$16</f>
        <v>-781865</v>
      </c>
      <c r="W67" s="127" t="n">
        <f aca="false">$C$44/$E$16</f>
        <v>-781865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-320251.904</v>
      </c>
      <c r="E70" s="104" t="n">
        <f aca="false">-E109*$D25</f>
        <v>-298901.777066667</v>
      </c>
      <c r="F70" s="104" t="n">
        <f aca="false">-F109*$D25</f>
        <v>-277551.650133334</v>
      </c>
      <c r="G70" s="104" t="n">
        <f aca="false">-G109*$D25</f>
        <v>-256201.5232</v>
      </c>
      <c r="H70" s="104" t="n">
        <f aca="false">-H109*$D25</f>
        <v>-234851.396266667</v>
      </c>
      <c r="I70" s="104" t="n">
        <f aca="false">-I109*$D25</f>
        <v>-213501.269333334</v>
      </c>
      <c r="J70" s="104" t="n">
        <f aca="false">-J109*$D25</f>
        <v>-192151.1424</v>
      </c>
      <c r="K70" s="104" t="n">
        <f aca="false">-K109*$D25</f>
        <v>-170801.015466667</v>
      </c>
      <c r="L70" s="104" t="n">
        <f aca="false">-L109*$D25</f>
        <v>-149450.888533334</v>
      </c>
      <c r="M70" s="104" t="n">
        <f aca="false">-M109*$D25</f>
        <v>-128100.7616</v>
      </c>
      <c r="N70" s="104" t="n">
        <f aca="false">-N109*$D25</f>
        <v>-106750.634666667</v>
      </c>
      <c r="O70" s="104" t="n">
        <f aca="false">-O109*$D25</f>
        <v>-85400.5077333336</v>
      </c>
      <c r="P70" s="104" t="n">
        <f aca="false">-P109*$D25</f>
        <v>-64050.3808000003</v>
      </c>
      <c r="Q70" s="104" t="n">
        <f aca="false">-Q109*$D25</f>
        <v>-42700.253866667</v>
      </c>
      <c r="R70" s="104" t="n">
        <f aca="false">-R109*$D25</f>
        <v>-21350.1269333336</v>
      </c>
      <c r="S70" s="104" t="n">
        <f aca="false">-S109*$D25</f>
        <v>-3.09944152832031E-010</v>
      </c>
      <c r="T70" s="104" t="n">
        <f aca="false">-T109*$D25</f>
        <v>-3.09944152832031E-010</v>
      </c>
      <c r="U70" s="104" t="n">
        <f aca="false">-U109*$D25</f>
        <v>-3.09944152832031E-010</v>
      </c>
      <c r="V70" s="104" t="n">
        <f aca="false">-V109*$D25</f>
        <v>-3.09944152832031E-010</v>
      </c>
      <c r="W70" s="104" t="n">
        <f aca="false">-W109*$D25</f>
        <v>-3.09944152832031E-010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-30090.9</v>
      </c>
      <c r="E72" s="104" t="n">
        <f aca="false">E49</f>
        <v>-30090.9</v>
      </c>
      <c r="F72" s="104" t="n">
        <f aca="false">F49</f>
        <v>-30090.9</v>
      </c>
      <c r="G72" s="104" t="n">
        <f aca="false">G49</f>
        <v>-30090.9</v>
      </c>
      <c r="H72" s="104" t="n">
        <f aca="false">H49</f>
        <v>-30090.9</v>
      </c>
      <c r="I72" s="104" t="n">
        <f aca="false">I49</f>
        <v>-30090.9</v>
      </c>
      <c r="J72" s="104" t="n">
        <f aca="false">J49</f>
        <v>-30090.9</v>
      </c>
      <c r="K72" s="104" t="n">
        <f aca="false">K49</f>
        <v>-30090.9</v>
      </c>
      <c r="L72" s="104" t="n">
        <f aca="false">L49</f>
        <v>-30090.9</v>
      </c>
      <c r="M72" s="104" t="n">
        <f aca="false">M49</f>
        <v>-30090.9</v>
      </c>
      <c r="N72" s="104" t="n">
        <f aca="false">N49</f>
        <v>-30090.9</v>
      </c>
      <c r="O72" s="104" t="n">
        <f aca="false">O49</f>
        <v>-30090.9</v>
      </c>
      <c r="P72" s="104" t="n">
        <f aca="false">P49</f>
        <v>-30090.9</v>
      </c>
      <c r="Q72" s="104" t="n">
        <f aca="false">Q49</f>
        <v>-30090.9</v>
      </c>
      <c r="R72" s="104" t="n">
        <f aca="false">R49</f>
        <v>-30090.9</v>
      </c>
      <c r="S72" s="104" t="n">
        <f aca="false">S49</f>
        <v>-30090.9</v>
      </c>
      <c r="T72" s="104" t="n">
        <f aca="false">T49</f>
        <v>-30090.9</v>
      </c>
      <c r="U72" s="104" t="n">
        <f aca="false">U49</f>
        <v>-30090.9</v>
      </c>
      <c r="V72" s="104" t="n">
        <f aca="false">V49</f>
        <v>-30090.9</v>
      </c>
      <c r="W72" s="104" t="n">
        <f aca="false">W49</f>
        <v>-30090.9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815870.116</v>
      </c>
      <c r="E76" s="109" t="n">
        <f aca="false">SUM(E64:E75)</f>
        <v>538267.210933333</v>
      </c>
      <c r="F76" s="109" t="n">
        <f aca="false">SUM(F64:F75)</f>
        <v>550865.305866666</v>
      </c>
      <c r="G76" s="109" t="n">
        <f aca="false">SUM(G64:G75)</f>
        <v>563463.4008</v>
      </c>
      <c r="H76" s="109" t="n">
        <f aca="false">SUM(H64:H75)</f>
        <v>576061.495733333</v>
      </c>
      <c r="I76" s="109" t="n">
        <f aca="false">SUM(I64:I75)</f>
        <v>588659.590666666</v>
      </c>
      <c r="J76" s="109" t="n">
        <f aca="false">SUM(J64:J75)</f>
        <v>601257.6856</v>
      </c>
      <c r="K76" s="109" t="n">
        <f aca="false">SUM(K64:K75)</f>
        <v>613855.780533333</v>
      </c>
      <c r="L76" s="109" t="n">
        <f aca="false">SUM(L64:L75)</f>
        <v>626453.875466666</v>
      </c>
      <c r="M76" s="109" t="n">
        <f aca="false">SUM(M64:M75)</f>
        <v>639051.9704</v>
      </c>
      <c r="N76" s="109" t="n">
        <f aca="false">SUM(N64:N75)</f>
        <v>695260.065333333</v>
      </c>
      <c r="O76" s="109" t="n">
        <f aca="false">SUM(O64:O75)</f>
        <v>707858.160266666</v>
      </c>
      <c r="P76" s="109" t="n">
        <f aca="false">SUM(P64:P75)</f>
        <v>720456.255199999</v>
      </c>
      <c r="Q76" s="109" t="n">
        <f aca="false">SUM(Q64:Q75)</f>
        <v>733054.350133333</v>
      </c>
      <c r="R76" s="109" t="n">
        <f aca="false">SUM(R64:R75)</f>
        <v>745652.445066666</v>
      </c>
      <c r="S76" s="109" t="n">
        <f aca="false">SUM(S64:S75)</f>
        <v>758250.539999999</v>
      </c>
      <c r="T76" s="109" t="n">
        <f aca="false">SUM(T64:T75)</f>
        <v>749498.507999999</v>
      </c>
      <c r="U76" s="109" t="n">
        <f aca="false">SUM(U64:U75)</f>
        <v>740746.475999999</v>
      </c>
      <c r="V76" s="109" t="n">
        <f aca="false">SUM(V64:V75)</f>
        <v>731994.443999999</v>
      </c>
      <c r="W76" s="109" t="n">
        <f aca="false">SUM(W64:W75)</f>
        <v>723242.411999999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-163174.0232</v>
      </c>
      <c r="E77" s="104" t="n">
        <f aca="false">-E76*0.2</f>
        <v>-107653.442186667</v>
      </c>
      <c r="F77" s="104" t="n">
        <f aca="false">-F76*0.2</f>
        <v>-110173.061173333</v>
      </c>
      <c r="G77" s="104" t="n">
        <f aca="false">-G76*0.2</f>
        <v>-112692.68016</v>
      </c>
      <c r="H77" s="104" t="n">
        <f aca="false">-H76*0.2</f>
        <v>-115212.299146667</v>
      </c>
      <c r="I77" s="104" t="n">
        <f aca="false">-I76*0.2</f>
        <v>-117731.918133333</v>
      </c>
      <c r="J77" s="104" t="n">
        <f aca="false">-J76*0.2</f>
        <v>-120251.53712</v>
      </c>
      <c r="K77" s="104" t="n">
        <f aca="false">-K76*0.2</f>
        <v>-122771.156106667</v>
      </c>
      <c r="L77" s="104" t="n">
        <f aca="false">-L76*0.2</f>
        <v>-125290.775093333</v>
      </c>
      <c r="M77" s="104" t="n">
        <f aca="false">-M76*0.2</f>
        <v>-127810.39408</v>
      </c>
      <c r="N77" s="104" t="n">
        <f aca="false">-N76*0.2</f>
        <v>-139052.013066667</v>
      </c>
      <c r="O77" s="104" t="n">
        <f aca="false">-O76*0.2</f>
        <v>-141571.632053333</v>
      </c>
      <c r="P77" s="104" t="n">
        <f aca="false">-P76*0.2</f>
        <v>-144091.25104</v>
      </c>
      <c r="Q77" s="104" t="n">
        <f aca="false">-Q76*0.2</f>
        <v>-146610.870026667</v>
      </c>
      <c r="R77" s="104" t="n">
        <f aca="false">-R76*0.2</f>
        <v>-149130.489013333</v>
      </c>
      <c r="S77" s="104" t="n">
        <f aca="false">-S76*0.2</f>
        <v>-151650.108</v>
      </c>
      <c r="T77" s="104" t="n">
        <f aca="false">-T76*0.2</f>
        <v>-149899.7016</v>
      </c>
      <c r="U77" s="104" t="n">
        <f aca="false">-U76*0.2</f>
        <v>-148149.2952</v>
      </c>
      <c r="V77" s="104" t="n">
        <f aca="false">-V76*0.2</f>
        <v>-146398.8888</v>
      </c>
      <c r="W77" s="104" t="n">
        <f aca="false">-W76*0.2</f>
        <v>-144648.4824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652696.0928</v>
      </c>
      <c r="E78" s="104" t="n">
        <f aca="false">SUM(E76:E77)</f>
        <v>430613.768746666</v>
      </c>
      <c r="F78" s="104" t="n">
        <f aca="false">SUM(F76:F77)</f>
        <v>440692.244693333</v>
      </c>
      <c r="G78" s="104" t="n">
        <f aca="false">SUM(G76:G77)</f>
        <v>450770.72064</v>
      </c>
      <c r="H78" s="104" t="n">
        <f aca="false">SUM(H76:H77)</f>
        <v>460849.196586666</v>
      </c>
      <c r="I78" s="104" t="n">
        <f aca="false">SUM(I76:I77)</f>
        <v>470927.672533333</v>
      </c>
      <c r="J78" s="104" t="n">
        <f aca="false">SUM(J76:J77)</f>
        <v>481006.14848</v>
      </c>
      <c r="K78" s="104" t="n">
        <f aca="false">SUM(K76:K77)</f>
        <v>491084.624426666</v>
      </c>
      <c r="L78" s="104" t="n">
        <f aca="false">SUM(L76:L77)</f>
        <v>501163.100373333</v>
      </c>
      <c r="M78" s="104" t="n">
        <f aca="false">SUM(M76:M77)</f>
        <v>511241.57632</v>
      </c>
      <c r="N78" s="104" t="n">
        <f aca="false">SUM(N76:N77)</f>
        <v>556208.052266666</v>
      </c>
      <c r="O78" s="104" t="n">
        <f aca="false">SUM(O76:O77)</f>
        <v>566286.528213333</v>
      </c>
      <c r="P78" s="104" t="n">
        <f aca="false">SUM(P76:P77)</f>
        <v>576365.004159999</v>
      </c>
      <c r="Q78" s="104" t="n">
        <f aca="false">SUM(Q76:Q77)</f>
        <v>586443.480106666</v>
      </c>
      <c r="R78" s="104" t="n">
        <f aca="false">SUM(R76:R77)</f>
        <v>596521.956053333</v>
      </c>
      <c r="S78" s="104" t="n">
        <f aca="false">SUM(S76:S77)</f>
        <v>606600.431999999</v>
      </c>
      <c r="T78" s="104" t="n">
        <f aca="false">SUM(T76:T77)</f>
        <v>599598.806399999</v>
      </c>
      <c r="U78" s="104" t="n">
        <f aca="false">SUM(U76:U77)</f>
        <v>592597.1808</v>
      </c>
      <c r="V78" s="104" t="n">
        <f aca="false">SUM(V76:V77)</f>
        <v>585595.555199999</v>
      </c>
      <c r="W78" s="104" t="n">
        <f aca="false">SUM(W76:W77)</f>
        <v>578593.9296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652696.0928</v>
      </c>
      <c r="E85" s="143" t="n">
        <f aca="false">E78</f>
        <v>430613.768746666</v>
      </c>
      <c r="F85" s="143" t="n">
        <f aca="false">F78</f>
        <v>440692.244693333</v>
      </c>
      <c r="G85" s="143" t="n">
        <f aca="false">G78</f>
        <v>450770.72064</v>
      </c>
      <c r="H85" s="143" t="n">
        <f aca="false">H78</f>
        <v>460849.196586666</v>
      </c>
      <c r="I85" s="143" t="n">
        <f aca="false">I78</f>
        <v>470927.672533333</v>
      </c>
      <c r="J85" s="143" t="n">
        <f aca="false">J78</f>
        <v>481006.14848</v>
      </c>
      <c r="K85" s="143" t="n">
        <f aca="false">K78</f>
        <v>491084.624426666</v>
      </c>
      <c r="L85" s="143" t="n">
        <f aca="false">L78</f>
        <v>501163.100373333</v>
      </c>
      <c r="M85" s="143" t="n">
        <f aca="false">M78</f>
        <v>511241.57632</v>
      </c>
      <c r="N85" s="143" t="n">
        <f aca="false">N78</f>
        <v>556208.052266666</v>
      </c>
      <c r="O85" s="143" t="n">
        <f aca="false">O78</f>
        <v>566286.528213333</v>
      </c>
      <c r="P85" s="143" t="n">
        <f aca="false">P78</f>
        <v>576365.004159999</v>
      </c>
      <c r="Q85" s="143" t="n">
        <f aca="false">Q78</f>
        <v>586443.480106666</v>
      </c>
      <c r="R85" s="143" t="n">
        <f aca="false">R78</f>
        <v>596521.956053333</v>
      </c>
      <c r="S85" s="143" t="n">
        <f aca="false">S78</f>
        <v>606600.431999999</v>
      </c>
      <c r="T85" s="143" t="n">
        <f aca="false">T78</f>
        <v>599598.806399999</v>
      </c>
      <c r="U85" s="143" t="n">
        <f aca="false">U78</f>
        <v>592597.1808</v>
      </c>
      <c r="V85" s="143" t="n">
        <f aca="false">V78</f>
        <v>585595.555199999</v>
      </c>
      <c r="W85" s="143" t="n">
        <f aca="false">W78</f>
        <v>578593.9296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781865</v>
      </c>
      <c r="E86" s="144" t="n">
        <f aca="false">-E67</f>
        <v>781865</v>
      </c>
      <c r="F86" s="144" t="n">
        <f aca="false">-F67</f>
        <v>781865</v>
      </c>
      <c r="G86" s="144" t="n">
        <f aca="false">-G67</f>
        <v>781865</v>
      </c>
      <c r="H86" s="144" t="n">
        <f aca="false">-H67</f>
        <v>781865</v>
      </c>
      <c r="I86" s="144" t="n">
        <f aca="false">-I67</f>
        <v>781865</v>
      </c>
      <c r="J86" s="144" t="n">
        <f aca="false">-J67</f>
        <v>781865</v>
      </c>
      <c r="K86" s="144" t="n">
        <f aca="false">-K67</f>
        <v>781865</v>
      </c>
      <c r="L86" s="144" t="n">
        <f aca="false">-L67</f>
        <v>781865</v>
      </c>
      <c r="M86" s="144" t="n">
        <f aca="false">-M67</f>
        <v>781865</v>
      </c>
      <c r="N86" s="144" t="n">
        <f aca="false">-N67</f>
        <v>781865</v>
      </c>
      <c r="O86" s="144" t="n">
        <f aca="false">-O67</f>
        <v>781865</v>
      </c>
      <c r="P86" s="144" t="n">
        <f aca="false">-P67</f>
        <v>781865</v>
      </c>
      <c r="Q86" s="144" t="n">
        <f aca="false">-Q67</f>
        <v>781865</v>
      </c>
      <c r="R86" s="144" t="n">
        <f aca="false">-R67</f>
        <v>781865</v>
      </c>
      <c r="S86" s="144" t="n">
        <f aca="false">-S67</f>
        <v>781865</v>
      </c>
      <c r="T86" s="144" t="n">
        <f aca="false">-T67</f>
        <v>781865</v>
      </c>
      <c r="U86" s="144" t="n">
        <f aca="false">-U67</f>
        <v>781865</v>
      </c>
      <c r="V86" s="144" t="n">
        <f aca="false">-V67</f>
        <v>781865</v>
      </c>
      <c r="W86" s="144" t="n">
        <f aca="false">-W67</f>
        <v>781865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1434561.0928</v>
      </c>
      <c r="E87" s="146" t="n">
        <f aca="false">SUM(E85:E86)</f>
        <v>1212478.76874667</v>
      </c>
      <c r="F87" s="146" t="n">
        <f aca="false">SUM(F85:F86)</f>
        <v>1222557.24469333</v>
      </c>
      <c r="G87" s="146" t="n">
        <f aca="false">SUM(G85:G86)</f>
        <v>1232635.72064</v>
      </c>
      <c r="H87" s="146" t="n">
        <f aca="false">SUM(H85:H86)</f>
        <v>1242714.19658667</v>
      </c>
      <c r="I87" s="146" t="n">
        <f aca="false">SUM(I85:I86)</f>
        <v>1252792.67253333</v>
      </c>
      <c r="J87" s="146" t="n">
        <f aca="false">SUM(J85:J86)</f>
        <v>1262871.14848</v>
      </c>
      <c r="K87" s="146" t="n">
        <f aca="false">SUM(K85:K86)</f>
        <v>1272949.62442667</v>
      </c>
      <c r="L87" s="146" t="n">
        <f aca="false">SUM(L85:L86)</f>
        <v>1283028.10037333</v>
      </c>
      <c r="M87" s="146" t="n">
        <f aca="false">SUM(M85:M86)</f>
        <v>1293106.57632</v>
      </c>
      <c r="N87" s="146" t="n">
        <f aca="false">SUM(N85:N86)</f>
        <v>1338073.05226667</v>
      </c>
      <c r="O87" s="146" t="n">
        <f aca="false">SUM(O85:O86)</f>
        <v>1348151.52821333</v>
      </c>
      <c r="P87" s="146" t="n">
        <f aca="false">SUM(P85:P86)</f>
        <v>1358230.00416</v>
      </c>
      <c r="Q87" s="146" t="n">
        <f aca="false">SUM(Q85:Q86)</f>
        <v>1368308.48010667</v>
      </c>
      <c r="R87" s="146" t="n">
        <f aca="false">SUM(R85:R86)</f>
        <v>1378386.95605333</v>
      </c>
      <c r="S87" s="146" t="n">
        <f aca="false">SUM(S85:S86)</f>
        <v>1388465.432</v>
      </c>
      <c r="T87" s="146" t="n">
        <f aca="false">SUM(T85:T86)</f>
        <v>1381463.8064</v>
      </c>
      <c r="U87" s="146" t="n">
        <f aca="false">SUM(U85:U86)</f>
        <v>1374462.1808</v>
      </c>
      <c r="V87" s="146" t="n">
        <f aca="false">SUM(V85:V86)</f>
        <v>1367460.5552</v>
      </c>
      <c r="W87" s="146" t="n">
        <f aca="false">SUM(W85:W86)</f>
        <v>1360458.9296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-15637300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12509840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-833989.333333333</v>
      </c>
      <c r="F93" s="152" t="n">
        <v>-833989.333333333</v>
      </c>
      <c r="G93" s="152" t="n">
        <v>-833989.333333333</v>
      </c>
      <c r="H93" s="152" t="n">
        <v>-833989.333333333</v>
      </c>
      <c r="I93" s="152" t="n">
        <v>-833989.333333333</v>
      </c>
      <c r="J93" s="152" t="n">
        <v>-833989.333333333</v>
      </c>
      <c r="K93" s="152" t="n">
        <v>-833989.333333333</v>
      </c>
      <c r="L93" s="152" t="n">
        <v>-833989.333333333</v>
      </c>
      <c r="M93" s="152" t="n">
        <v>-833989.333333333</v>
      </c>
      <c r="N93" s="152" t="n">
        <v>-833989.333333333</v>
      </c>
      <c r="O93" s="152" t="n">
        <v>-833989.333333333</v>
      </c>
      <c r="P93" s="152" t="n">
        <v>-833989.333333333</v>
      </c>
      <c r="Q93" s="152" t="n">
        <v>-833989.333333333</v>
      </c>
      <c r="R93" s="152" t="n">
        <v>-833989.333333333</v>
      </c>
      <c r="S93" s="152" t="n">
        <v>-833989.333333333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3127460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-587426.48352</v>
      </c>
      <c r="F95" s="153" t="n">
        <f aca="false">-E85*$D$33</f>
        <v>-387552.391872</v>
      </c>
      <c r="G95" s="153" t="n">
        <f aca="false">-F85*$D$33</f>
        <v>-396623.020224</v>
      </c>
      <c r="H95" s="153" t="n">
        <f aca="false">-G85*$D$33</f>
        <v>-405693.648576</v>
      </c>
      <c r="I95" s="153" t="n">
        <f aca="false">-H85*$D$33</f>
        <v>-414764.276928</v>
      </c>
      <c r="J95" s="153" t="n">
        <f aca="false">-I85*$D$33</f>
        <v>-423834.90528</v>
      </c>
      <c r="K95" s="153" t="n">
        <f aca="false">-J85*$D$33</f>
        <v>-432905.533632</v>
      </c>
      <c r="L95" s="153" t="n">
        <f aca="false">-K85*$D$33</f>
        <v>-441976.161984</v>
      </c>
      <c r="M95" s="153" t="n">
        <f aca="false">-L85*$D$33</f>
        <v>-451046.790336</v>
      </c>
      <c r="N95" s="153" t="n">
        <f aca="false">-M85*$D$33</f>
        <v>-460117.418688</v>
      </c>
      <c r="O95" s="153" t="n">
        <f aca="false">-N85*$D$33</f>
        <v>-500587.247039999</v>
      </c>
      <c r="P95" s="153" t="n">
        <f aca="false">-O85*$D$33</f>
        <v>-509657.875392</v>
      </c>
      <c r="Q95" s="153" t="n">
        <f aca="false">-P85*$D$33</f>
        <v>-518728.503744</v>
      </c>
      <c r="R95" s="153" t="n">
        <f aca="false">-Q85*$D$33</f>
        <v>-527799.132096</v>
      </c>
      <c r="S95" s="153" t="n">
        <f aca="false">-R85*$D$33</f>
        <v>-536869.760448</v>
      </c>
      <c r="T95" s="153" t="n">
        <f aca="false">-S85*$D$33</f>
        <v>-545940.3888</v>
      </c>
      <c r="U95" s="153" t="n">
        <f aca="false">-T85*$D$33</f>
        <v>-539638.92576</v>
      </c>
      <c r="V95" s="153" t="n">
        <f aca="false">-U85*$D$33</f>
        <v>-533337.46272</v>
      </c>
      <c r="W95" s="153" t="n">
        <f aca="false">-V85*$D$33</f>
        <v>-527035.999679999</v>
      </c>
      <c r="X95" s="153" t="n">
        <f aca="false">-W85*$D$33</f>
        <v>-520734.53664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-781865</v>
      </c>
      <c r="U96" s="156" t="n">
        <v>-781865</v>
      </c>
      <c r="V96" s="156" t="n">
        <v>-781865</v>
      </c>
      <c r="W96" s="156" t="n">
        <v>-781865</v>
      </c>
      <c r="X96" s="157" t="n">
        <f aca="false">-W101-X95</f>
        <v>-1073585.60704001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1434561.0928</v>
      </c>
      <c r="E99" s="143" t="n">
        <f aca="false">SUM(E87:E96)</f>
        <v>-208937.048106666</v>
      </c>
      <c r="F99" s="143" t="n">
        <f aca="false">SUM(F87:F96)</f>
        <v>1015.5194880006</v>
      </c>
      <c r="G99" s="143" t="n">
        <f aca="false">SUM(G87:G96)</f>
        <v>2023.36708266713</v>
      </c>
      <c r="H99" s="143" t="n">
        <f aca="false">SUM(H87:H96)</f>
        <v>3031.21467733366</v>
      </c>
      <c r="I99" s="143" t="n">
        <f aca="false">SUM(I87:I96)</f>
        <v>4039.06227200024</v>
      </c>
      <c r="J99" s="143" t="n">
        <f aca="false">SUM(J87:J96)</f>
        <v>5046.90986666747</v>
      </c>
      <c r="K99" s="143" t="n">
        <f aca="false">SUM(K87:K96)</f>
        <v>6054.75746133388</v>
      </c>
      <c r="L99" s="143" t="n">
        <f aca="false">SUM(L87:L96)</f>
        <v>7062.60505600041</v>
      </c>
      <c r="M99" s="143" t="n">
        <f aca="false">SUM(M87:M96)</f>
        <v>8070.4526506674</v>
      </c>
      <c r="N99" s="143" t="n">
        <f aca="false">SUM(N87:N96)</f>
        <v>43966.3002453335</v>
      </c>
      <c r="O99" s="143" t="n">
        <f aca="false">SUM(O87:O96)</f>
        <v>13574.9478400006</v>
      </c>
      <c r="P99" s="143" t="n">
        <f aca="false">SUM(P87:P96)</f>
        <v>14582.7954346669</v>
      </c>
      <c r="Q99" s="143" t="n">
        <f aca="false">SUM(Q87:Q96)</f>
        <v>15590.6430293339</v>
      </c>
      <c r="R99" s="143" t="n">
        <f aca="false">SUM(R87:R96)</f>
        <v>16598.4906240002</v>
      </c>
      <c r="S99" s="143" t="n">
        <f aca="false">SUM(S87:S96)</f>
        <v>17606.3382186671</v>
      </c>
      <c r="T99" s="143" t="n">
        <f aca="false">SUM(T87:T96)</f>
        <v>53658.4176000002</v>
      </c>
      <c r="U99" s="143" t="n">
        <f aca="false">SUM(U87:U96)</f>
        <v>52958.2550400002</v>
      </c>
      <c r="V99" s="143" t="n">
        <f aca="false">SUM(V87:V96)</f>
        <v>52258.09248</v>
      </c>
      <c r="W99" s="143" t="n">
        <f aca="false">SUM(W87:W96)</f>
        <v>51557.9299200003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1434561.0928</v>
      </c>
      <c r="F100" s="143" t="n">
        <f aca="false">E101</f>
        <v>1225624.04469333</v>
      </c>
      <c r="G100" s="143" t="n">
        <f aca="false">F101</f>
        <v>1226639.56418133</v>
      </c>
      <c r="H100" s="143" t="n">
        <f aca="false">G101</f>
        <v>1228662.931264</v>
      </c>
      <c r="I100" s="143" t="n">
        <f aca="false">H101</f>
        <v>1231694.14594133</v>
      </c>
      <c r="J100" s="143" t="n">
        <f aca="false">I101</f>
        <v>1235733.20821334</v>
      </c>
      <c r="K100" s="143" t="n">
        <f aca="false">J101</f>
        <v>1240780.11808</v>
      </c>
      <c r="L100" s="143" t="n">
        <f aca="false">K101</f>
        <v>1246834.87554134</v>
      </c>
      <c r="M100" s="143" t="n">
        <f aca="false">L101</f>
        <v>1253897.48059734</v>
      </c>
      <c r="N100" s="143" t="n">
        <f aca="false">M101</f>
        <v>1261967.933248</v>
      </c>
      <c r="O100" s="143" t="n">
        <f aca="false">N101</f>
        <v>1305934.23349334</v>
      </c>
      <c r="P100" s="143" t="n">
        <f aca="false">O101</f>
        <v>1319509.18133334</v>
      </c>
      <c r="Q100" s="143" t="n">
        <f aca="false">P101</f>
        <v>1334091.976768</v>
      </c>
      <c r="R100" s="143" t="n">
        <f aca="false">Q101</f>
        <v>1349682.61979734</v>
      </c>
      <c r="S100" s="143" t="n">
        <f aca="false">R101</f>
        <v>1366281.11042134</v>
      </c>
      <c r="T100" s="143" t="n">
        <f aca="false">S101</f>
        <v>1383887.44864001</v>
      </c>
      <c r="U100" s="143" t="n">
        <f aca="false">T101</f>
        <v>1437545.86624001</v>
      </c>
      <c r="V100" s="143" t="n">
        <f aca="false">U101</f>
        <v>1490504.12128001</v>
      </c>
      <c r="W100" s="143" t="n">
        <f aca="false">V101</f>
        <v>1542762.21376001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1434561.0928</v>
      </c>
      <c r="E101" s="143" t="n">
        <f aca="false">E99+E100</f>
        <v>1225624.04469333</v>
      </c>
      <c r="F101" s="143" t="n">
        <f aca="false">F99+F100</f>
        <v>1226639.56418133</v>
      </c>
      <c r="G101" s="143" t="n">
        <f aca="false">G99+G100</f>
        <v>1228662.931264</v>
      </c>
      <c r="H101" s="143" t="n">
        <f aca="false">H99+H100</f>
        <v>1231694.14594133</v>
      </c>
      <c r="I101" s="143" t="n">
        <f aca="false">I99+I100</f>
        <v>1235733.20821334</v>
      </c>
      <c r="J101" s="143" t="n">
        <f aca="false">J99+J100</f>
        <v>1240780.11808</v>
      </c>
      <c r="K101" s="143" t="n">
        <f aca="false">K99+K100</f>
        <v>1246834.87554134</v>
      </c>
      <c r="L101" s="143" t="n">
        <f aca="false">L99+L100</f>
        <v>1253897.48059734</v>
      </c>
      <c r="M101" s="143" t="n">
        <f aca="false">M99+M100</f>
        <v>1261967.933248</v>
      </c>
      <c r="N101" s="143" t="n">
        <f aca="false">N99+N100</f>
        <v>1305934.23349334</v>
      </c>
      <c r="O101" s="143" t="n">
        <f aca="false">O99+O100</f>
        <v>1319509.18133334</v>
      </c>
      <c r="P101" s="143" t="n">
        <f aca="false">P99+P100</f>
        <v>1334091.976768</v>
      </c>
      <c r="Q101" s="143" t="n">
        <f aca="false">Q99+Q100</f>
        <v>1349682.61979734</v>
      </c>
      <c r="R101" s="143" t="n">
        <f aca="false">R99+R100</f>
        <v>1366281.11042134</v>
      </c>
      <c r="S101" s="143" t="n">
        <f aca="false">S99+S100</f>
        <v>1383887.44864001</v>
      </c>
      <c r="T101" s="143" t="n">
        <f aca="false">T99+T100</f>
        <v>1437545.86624001</v>
      </c>
      <c r="U101" s="143" t="n">
        <f aca="false">U99+U100</f>
        <v>1490504.12128001</v>
      </c>
      <c r="V101" s="143" t="n">
        <f aca="false">V99+V100</f>
        <v>1542762.21376001</v>
      </c>
      <c r="W101" s="143" t="n">
        <f aca="false">W99+W100</f>
        <v>1594320.14368001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-3127460</v>
      </c>
      <c r="E104" s="146" t="n">
        <f aca="false">-E95-E96</f>
        <v>587426.48352</v>
      </c>
      <c r="F104" s="146" t="n">
        <f aca="false">-F95-F96</f>
        <v>387552.391872</v>
      </c>
      <c r="G104" s="146" t="n">
        <f aca="false">-G95-G96</f>
        <v>396623.020224</v>
      </c>
      <c r="H104" s="146" t="n">
        <f aca="false">-H95-H96</f>
        <v>405693.648576</v>
      </c>
      <c r="I104" s="146" t="n">
        <f aca="false">-I95-I96</f>
        <v>414764.276928</v>
      </c>
      <c r="J104" s="146" t="n">
        <f aca="false">-J95-J96</f>
        <v>423834.90528</v>
      </c>
      <c r="K104" s="146" t="n">
        <f aca="false">-K95-K96</f>
        <v>432905.533632</v>
      </c>
      <c r="L104" s="146" t="n">
        <f aca="false">-L95-L96</f>
        <v>441976.161984</v>
      </c>
      <c r="M104" s="146" t="n">
        <f aca="false">-M95-M96</f>
        <v>451046.790336</v>
      </c>
      <c r="N104" s="146" t="n">
        <f aca="false">-N95-N96</f>
        <v>460117.418688</v>
      </c>
      <c r="O104" s="146" t="n">
        <f aca="false">-O95-O96</f>
        <v>500587.247039999</v>
      </c>
      <c r="P104" s="146" t="n">
        <f aca="false">-P95-P96</f>
        <v>509657.875392</v>
      </c>
      <c r="Q104" s="146" t="n">
        <f aca="false">-Q95-Q96</f>
        <v>518728.503744</v>
      </c>
      <c r="R104" s="146" t="n">
        <f aca="false">-R95-R96</f>
        <v>527799.132096</v>
      </c>
      <c r="S104" s="146" t="n">
        <f aca="false">-S95-S96</f>
        <v>536869.760448</v>
      </c>
      <c r="T104" s="146" t="n">
        <f aca="false">-T95-T96</f>
        <v>1327805.3888</v>
      </c>
      <c r="U104" s="146" t="n">
        <f aca="false">-U95-U96</f>
        <v>1321503.92576</v>
      </c>
      <c r="V104" s="146" t="n">
        <f aca="false">-V95-V96</f>
        <v>1315202.46272</v>
      </c>
      <c r="W104" s="146" t="n">
        <f aca="false">-W95-W96</f>
        <v>1308900.99968</v>
      </c>
      <c r="X104" s="146" t="n">
        <f aca="false">-X95-X96</f>
        <v>1594320.14368001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0.154534987059158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-2474763.9072</v>
      </c>
      <c r="E106" s="146" t="n">
        <f aca="false">E85</f>
        <v>430613.768746666</v>
      </c>
      <c r="F106" s="146" t="n">
        <f aca="false">F85-F96</f>
        <v>440692.244693333</v>
      </c>
      <c r="G106" s="146" t="n">
        <f aca="false">G85-G96</f>
        <v>450770.72064</v>
      </c>
      <c r="H106" s="146" t="n">
        <f aca="false">H85-H96</f>
        <v>460849.196586666</v>
      </c>
      <c r="I106" s="146" t="n">
        <f aca="false">I85-I96</f>
        <v>470927.672533333</v>
      </c>
      <c r="J106" s="146" t="n">
        <f aca="false">J85-J96</f>
        <v>481006.14848</v>
      </c>
      <c r="K106" s="146" t="n">
        <f aca="false">K85-K96</f>
        <v>491084.624426666</v>
      </c>
      <c r="L106" s="146" t="n">
        <f aca="false">L85-L96</f>
        <v>501163.100373333</v>
      </c>
      <c r="M106" s="146" t="n">
        <f aca="false">M85-M96</f>
        <v>511241.57632</v>
      </c>
      <c r="N106" s="146" t="n">
        <f aca="false">N85-N96</f>
        <v>556208.052266666</v>
      </c>
      <c r="O106" s="146" t="n">
        <f aca="false">O85-O96</f>
        <v>566286.528213333</v>
      </c>
      <c r="P106" s="146" t="n">
        <f aca="false">P85-P96</f>
        <v>576365.004159999</v>
      </c>
      <c r="Q106" s="146" t="n">
        <f aca="false">Q85-Q96</f>
        <v>586443.480106666</v>
      </c>
      <c r="R106" s="146" t="n">
        <f aca="false">R85-R96</f>
        <v>596521.956053333</v>
      </c>
      <c r="S106" s="146" t="n">
        <f aca="false">S85-S96</f>
        <v>606600.431999999</v>
      </c>
      <c r="T106" s="146" t="n">
        <f aca="false">T85-T96</f>
        <v>1381463.8064</v>
      </c>
      <c r="U106" s="146" t="n">
        <f aca="false">U85-U96</f>
        <v>1374462.1808</v>
      </c>
      <c r="V106" s="146" t="n">
        <f aca="false">V85-V96</f>
        <v>1367460.5552</v>
      </c>
      <c r="W106" s="146" t="n">
        <f aca="false">W85-W96</f>
        <v>1360458.9296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0.198356640571927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12509840</v>
      </c>
      <c r="E109" s="143" t="n">
        <f aca="false">D109+E93</f>
        <v>11675850.6666667</v>
      </c>
      <c r="F109" s="143" t="n">
        <f aca="false">E109+F93</f>
        <v>10841861.3333333</v>
      </c>
      <c r="G109" s="143" t="n">
        <f aca="false">F109+G93</f>
        <v>10007872</v>
      </c>
      <c r="H109" s="143" t="n">
        <f aca="false">G109+H93</f>
        <v>9173882.66666668</v>
      </c>
      <c r="I109" s="143" t="n">
        <f aca="false">H109+I93</f>
        <v>8339893.33333334</v>
      </c>
      <c r="J109" s="143" t="n">
        <f aca="false">I109+J93</f>
        <v>7505904.00000001</v>
      </c>
      <c r="K109" s="143" t="n">
        <f aca="false">J109+K93</f>
        <v>6671914.66666668</v>
      </c>
      <c r="L109" s="143" t="n">
        <f aca="false">K109+L93</f>
        <v>5837925.33333334</v>
      </c>
      <c r="M109" s="143" t="n">
        <f aca="false">L109+M93</f>
        <v>5003936.00000001</v>
      </c>
      <c r="N109" s="143" t="n">
        <f aca="false">M109+N93</f>
        <v>4169946.66666668</v>
      </c>
      <c r="O109" s="143" t="n">
        <f aca="false">N109+O93</f>
        <v>3335957.33333334</v>
      </c>
      <c r="P109" s="143" t="n">
        <f aca="false">O109+P93</f>
        <v>2501968.00000001</v>
      </c>
      <c r="Q109" s="143" t="n">
        <f aca="false">P109+Q93</f>
        <v>1667978.66666668</v>
      </c>
      <c r="R109" s="143" t="n">
        <f aca="false">Q109+R93</f>
        <v>833989.333333345</v>
      </c>
      <c r="S109" s="143" t="n">
        <f aca="false">R109+S93</f>
        <v>1.21071934700012E-008</v>
      </c>
      <c r="T109" s="143" t="n">
        <f aca="false">S109+T93</f>
        <v>1.21071934700012E-008</v>
      </c>
      <c r="U109" s="143" t="n">
        <f aca="false">T109+U93</f>
        <v>1.21071934700012E-008</v>
      </c>
      <c r="V109" s="143" t="n">
        <f aca="false">U109+V93</f>
        <v>1.21071934700012E-008</v>
      </c>
      <c r="W109" s="143" t="n">
        <f aca="false">V109+W93</f>
        <v>1.21071934700012E-008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224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225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226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227</v>
      </c>
    </row>
    <row r="8" customFormat="false" ht="22.5" hidden="false" customHeight="true" outlineLevel="0" collapsed="false">
      <c r="B8" s="16" t="s">
        <v>14</v>
      </c>
      <c r="E8" s="46"/>
      <c r="M8" s="1" t="s">
        <v>228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101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21500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-14702800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-28128.45</v>
      </c>
      <c r="E49" s="104" t="n">
        <v>-28128.45</v>
      </c>
      <c r="F49" s="104" t="n">
        <v>-28128.45</v>
      </c>
      <c r="G49" s="104" t="n">
        <v>-28128.45</v>
      </c>
      <c r="H49" s="104" t="n">
        <v>-28128.45</v>
      </c>
      <c r="I49" s="104" t="n">
        <v>-28128.45</v>
      </c>
      <c r="J49" s="104" t="n">
        <v>-28128.45</v>
      </c>
      <c r="K49" s="104" t="n">
        <v>-28128.45</v>
      </c>
      <c r="L49" s="104" t="n">
        <v>-28128.45</v>
      </c>
      <c r="M49" s="104" t="n">
        <v>-28128.45</v>
      </c>
      <c r="N49" s="104" t="n">
        <v>-28128.45</v>
      </c>
      <c r="O49" s="104" t="n">
        <v>-28128.45</v>
      </c>
      <c r="P49" s="104" t="n">
        <v>-28128.45</v>
      </c>
      <c r="Q49" s="104" t="n">
        <v>-28128.45</v>
      </c>
      <c r="R49" s="104" t="n">
        <v>-28128.45</v>
      </c>
      <c r="S49" s="104" t="n">
        <v>-28128.45</v>
      </c>
      <c r="T49" s="104" t="n">
        <v>-28128.45</v>
      </c>
      <c r="U49" s="104" t="n">
        <v>-28128.45</v>
      </c>
      <c r="V49" s="104" t="n">
        <v>-28128.45</v>
      </c>
      <c r="W49" s="104" t="n">
        <v>-28128.45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-236961.894</v>
      </c>
      <c r="E54" s="104" t="n">
        <f aca="false">-(E64+E67+E68+E71+E72+E73+E74)*0.2</f>
        <v>-177171.2876</v>
      </c>
      <c r="F54" s="104" t="n">
        <f aca="false">-(F64+F67+F68+F71+F72+F73+F74)*0.2</f>
        <v>-175420.8812</v>
      </c>
      <c r="G54" s="104" t="n">
        <f aca="false">-(G64+G67+G68+G71+G72+G73+G74)*0.2</f>
        <v>-173670.4748</v>
      </c>
      <c r="H54" s="104" t="n">
        <f aca="false">-(H64+H67+H68+H71+H72+H73+H74)*0.2</f>
        <v>-171920.0684</v>
      </c>
      <c r="I54" s="104" t="n">
        <f aca="false">-(I64+I67+I68+I71+I72+I73+I74)*0.2</f>
        <v>-170169.662</v>
      </c>
      <c r="J54" s="104" t="n">
        <f aca="false">-(J64+J67+J68+J71+J72+J73+J74)*0.2</f>
        <v>-168419.2556</v>
      </c>
      <c r="K54" s="104" t="n">
        <f aca="false">-(K64+K67+K68+K71+K72+K73+K74)*0.2</f>
        <v>-166668.8492</v>
      </c>
      <c r="L54" s="104" t="n">
        <f aca="false">-(L64+L67+L68+L71+L72+L73+L74)*0.2</f>
        <v>-164918.4428</v>
      </c>
      <c r="M54" s="104" t="n">
        <f aca="false">-(M64+M67+M68+M71+M72+M73+M74)*0.2</f>
        <v>-163168.0364</v>
      </c>
      <c r="N54" s="104" t="n">
        <f aca="false">-(N64+N67+N68+N71+N72+N73+N74)*0.2</f>
        <v>-170139.63</v>
      </c>
      <c r="O54" s="104" t="n">
        <f aca="false">-(O64+O67+O68+O71+O72+O73+O74)*0.2</f>
        <v>-168389.2236</v>
      </c>
      <c r="P54" s="104" t="n">
        <f aca="false">-(P64+P67+P68+P71+P72+P73+P74)*0.2</f>
        <v>-166638.8172</v>
      </c>
      <c r="Q54" s="104" t="n">
        <f aca="false">-(Q64+Q67+Q68+Q71+Q72+Q73+Q74)*0.2</f>
        <v>-164888.4108</v>
      </c>
      <c r="R54" s="104" t="n">
        <f aca="false">-(R64+R67+R68+R71+R72+R73+R74)*0.2</f>
        <v>-163138.0044</v>
      </c>
      <c r="S54" s="104" t="n">
        <f aca="false">-(S64+S67+S68+S71+S72+S73+S74)*0.2</f>
        <v>-161387.598</v>
      </c>
      <c r="T54" s="104" t="n">
        <f aca="false">-(T64+T67+T68+T71+T72+T73+T74)*0.2</f>
        <v>-159637.1916</v>
      </c>
      <c r="U54" s="104" t="n">
        <f aca="false">-(U64+U67+U68+U71+U72+U73+U74)*0.2</f>
        <v>-157886.7852</v>
      </c>
      <c r="V54" s="104" t="n">
        <f aca="false">-(V64+V67+V68+V71+V72+V73+V74)*0.2</f>
        <v>-156136.3788</v>
      </c>
      <c r="W54" s="104" t="n">
        <f aca="false">-(W64+W67+W68+W71+W72+W73+W74)*0.2</f>
        <v>-154385.9724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-14702800</v>
      </c>
      <c r="D55" s="109" t="n">
        <f aca="false">SUM(D41:D54)</f>
        <v>1392786.576</v>
      </c>
      <c r="E55" s="109" t="n">
        <f aca="false">SUM(E41:E54)</f>
        <v>1443825.1504</v>
      </c>
      <c r="F55" s="109" t="n">
        <f aca="false">SUM(F41:F54)</f>
        <v>1436823.5248</v>
      </c>
      <c r="G55" s="109" t="n">
        <f aca="false">SUM(G41:G54)</f>
        <v>1429821.8992</v>
      </c>
      <c r="H55" s="109" t="n">
        <f aca="false">SUM(H41:H54)</f>
        <v>1422820.2736</v>
      </c>
      <c r="I55" s="109" t="n">
        <f aca="false">SUM(I41:I54)</f>
        <v>1415818.648</v>
      </c>
      <c r="J55" s="109" t="n">
        <f aca="false">SUM(J41:J54)</f>
        <v>1408817.0224</v>
      </c>
      <c r="K55" s="109" t="n">
        <f aca="false">SUM(K41:K54)</f>
        <v>1401815.3968</v>
      </c>
      <c r="L55" s="109" t="n">
        <f aca="false">SUM(L41:L54)</f>
        <v>1394813.7712</v>
      </c>
      <c r="M55" s="109" t="n">
        <f aca="false">SUM(M41:M54)</f>
        <v>1387812.1456</v>
      </c>
      <c r="N55" s="109" t="n">
        <f aca="false">SUM(N41:N54)</f>
        <v>1415698.52</v>
      </c>
      <c r="O55" s="109" t="n">
        <f aca="false">SUM(O41:O54)</f>
        <v>1408696.8944</v>
      </c>
      <c r="P55" s="109" t="n">
        <f aca="false">SUM(P41:P54)</f>
        <v>1401695.2688</v>
      </c>
      <c r="Q55" s="109" t="n">
        <f aca="false">SUM(Q41:Q54)</f>
        <v>1394693.6432</v>
      </c>
      <c r="R55" s="109" t="n">
        <f aca="false">SUM(R41:R54)</f>
        <v>1387692.0176</v>
      </c>
      <c r="S55" s="109" t="n">
        <f aca="false">SUM(S41:S54)</f>
        <v>1380690.392</v>
      </c>
      <c r="T55" s="109" t="n">
        <f aca="false">SUM(T41:T54)</f>
        <v>1373688.7664</v>
      </c>
      <c r="U55" s="109" t="n">
        <f aca="false">SUM(U41:U54)</f>
        <v>1366687.1408</v>
      </c>
      <c r="V55" s="109" t="n">
        <f aca="false">SUM(V41:V54)</f>
        <v>1359685.5152</v>
      </c>
      <c r="W55" s="109" t="n">
        <f aca="false">SUM(W41:W54)</f>
        <v>1352683.8896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-13310013.424</v>
      </c>
      <c r="E56" s="114" t="n">
        <f aca="false">D56+E55</f>
        <v>-11866188.2736</v>
      </c>
      <c r="F56" s="114" t="n">
        <f aca="false">E56+F55</f>
        <v>-10429364.7488</v>
      </c>
      <c r="G56" s="114" t="n">
        <f aca="false">F56+G55</f>
        <v>-8999542.8496</v>
      </c>
      <c r="H56" s="114" t="n">
        <f aca="false">G56+H55</f>
        <v>-7576722.576</v>
      </c>
      <c r="I56" s="114" t="n">
        <f aca="false">H56+I55</f>
        <v>-6160903.928</v>
      </c>
      <c r="J56" s="114" t="n">
        <f aca="false">I56+J55</f>
        <v>-4752086.9056</v>
      </c>
      <c r="K56" s="114" t="n">
        <f aca="false">J56+K55</f>
        <v>-3350271.5088</v>
      </c>
      <c r="L56" s="114" t="n">
        <f aca="false">K56+L55</f>
        <v>-1955457.7376</v>
      </c>
      <c r="M56" s="114" t="n">
        <f aca="false">L56+M55</f>
        <v>-567645.592000002</v>
      </c>
      <c r="N56" s="114" t="n">
        <f aca="false">M56+N55</f>
        <v>848052.927999998</v>
      </c>
      <c r="O56" s="114" t="n">
        <f aca="false">N56+O55</f>
        <v>2256749.8224</v>
      </c>
      <c r="P56" s="114" t="n">
        <f aca="false">O56+P55</f>
        <v>3658445.0912</v>
      </c>
      <c r="Q56" s="114" t="n">
        <f aca="false">P56+Q55</f>
        <v>5053138.7344</v>
      </c>
      <c r="R56" s="114" t="n">
        <f aca="false">Q56+R55</f>
        <v>6440830.752</v>
      </c>
      <c r="S56" s="114" t="n">
        <f aca="false">R56+S55</f>
        <v>7821521.144</v>
      </c>
      <c r="T56" s="114" t="n">
        <f aca="false">S56+T55</f>
        <v>9195209.9104</v>
      </c>
      <c r="U56" s="114" t="n">
        <f aca="false">T56+U55</f>
        <v>10561897.0512</v>
      </c>
      <c r="V56" s="114" t="n">
        <f aca="false">U56+V55</f>
        <v>11921582.5664</v>
      </c>
      <c r="W56" s="114" t="n">
        <f aca="false">V56+W55</f>
        <v>13274266.456</v>
      </c>
      <c r="X56" s="114" t="n">
        <f aca="false">W56+X55</f>
        <v>13274266.456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未回收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0.0717150711162986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-735140</v>
      </c>
      <c r="E67" s="127" t="n">
        <f aca="false">$C$44/$E$16</f>
        <v>-735140</v>
      </c>
      <c r="F67" s="127" t="n">
        <f aca="false">$C$44/$E$16</f>
        <v>-735140</v>
      </c>
      <c r="G67" s="127" t="n">
        <f aca="false">$C$44/$E$16</f>
        <v>-735140</v>
      </c>
      <c r="H67" s="127" t="n">
        <f aca="false">$C$44/$E$16</f>
        <v>-735140</v>
      </c>
      <c r="I67" s="127" t="n">
        <f aca="false">$C$44/$E$16</f>
        <v>-735140</v>
      </c>
      <c r="J67" s="127" t="n">
        <f aca="false">$C$44/$E$16</f>
        <v>-735140</v>
      </c>
      <c r="K67" s="127" t="n">
        <f aca="false">$C$44/$E$16</f>
        <v>-735140</v>
      </c>
      <c r="L67" s="127" t="n">
        <f aca="false">$C$44/$E$16</f>
        <v>-735140</v>
      </c>
      <c r="M67" s="127" t="n">
        <f aca="false">$C$44/$E$16</f>
        <v>-735140</v>
      </c>
      <c r="N67" s="127" t="n">
        <f aca="false">$C$44/$E$16</f>
        <v>-735140</v>
      </c>
      <c r="O67" s="127" t="n">
        <f aca="false">$C$44/$E$16</f>
        <v>-735140</v>
      </c>
      <c r="P67" s="127" t="n">
        <f aca="false">$C$44/$E$16</f>
        <v>-735140</v>
      </c>
      <c r="Q67" s="127" t="n">
        <f aca="false">$C$44/$E$16</f>
        <v>-735140</v>
      </c>
      <c r="R67" s="127" t="n">
        <f aca="false">$C$44/$E$16</f>
        <v>-735140</v>
      </c>
      <c r="S67" s="127" t="n">
        <f aca="false">$C$44/$E$16</f>
        <v>-735140</v>
      </c>
      <c r="T67" s="127" t="n">
        <f aca="false">$C$44/$E$16</f>
        <v>-735140</v>
      </c>
      <c r="U67" s="127" t="n">
        <f aca="false">$C$44/$E$16</f>
        <v>-735140</v>
      </c>
      <c r="V67" s="127" t="n">
        <f aca="false">$C$44/$E$16</f>
        <v>-735140</v>
      </c>
      <c r="W67" s="127" t="n">
        <f aca="false">$C$44/$E$16</f>
        <v>-735140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-301113.344</v>
      </c>
      <c r="E70" s="104" t="n">
        <f aca="false">-E109*$D25</f>
        <v>-281039.121066667</v>
      </c>
      <c r="F70" s="104" t="n">
        <f aca="false">-F109*$D25</f>
        <v>-260964.898133333</v>
      </c>
      <c r="G70" s="104" t="n">
        <f aca="false">-G109*$D25</f>
        <v>-240890.6752</v>
      </c>
      <c r="H70" s="104" t="n">
        <f aca="false">-H109*$D25</f>
        <v>-220816.452266667</v>
      </c>
      <c r="I70" s="104" t="n">
        <f aca="false">-I109*$D25</f>
        <v>-200742.229333333</v>
      </c>
      <c r="J70" s="104" t="n">
        <f aca="false">-J109*$D25</f>
        <v>-180668.0064</v>
      </c>
      <c r="K70" s="104" t="n">
        <f aca="false">-K109*$D25</f>
        <v>-160593.783466667</v>
      </c>
      <c r="L70" s="104" t="n">
        <f aca="false">-L109*$D25</f>
        <v>-140519.560533334</v>
      </c>
      <c r="M70" s="104" t="n">
        <f aca="false">-M109*$D25</f>
        <v>-120445.3376</v>
      </c>
      <c r="N70" s="104" t="n">
        <f aca="false">-N109*$D25</f>
        <v>-100371.114666667</v>
      </c>
      <c r="O70" s="104" t="n">
        <f aca="false">-O109*$D25</f>
        <v>-80296.8917333335</v>
      </c>
      <c r="P70" s="104" t="n">
        <f aca="false">-P109*$D25</f>
        <v>-60222.6688000002</v>
      </c>
      <c r="Q70" s="104" t="n">
        <f aca="false">-Q109*$D25</f>
        <v>-40148.4458666669</v>
      </c>
      <c r="R70" s="104" t="n">
        <f aca="false">-R109*$D25</f>
        <v>-20074.2229333335</v>
      </c>
      <c r="S70" s="104" t="n">
        <f aca="false">-S109*$D25</f>
        <v>-2.14576721191406E-010</v>
      </c>
      <c r="T70" s="104" t="n">
        <f aca="false">-T109*$D25</f>
        <v>-2.14576721191406E-010</v>
      </c>
      <c r="U70" s="104" t="n">
        <f aca="false">-U109*$D25</f>
        <v>-2.14576721191406E-010</v>
      </c>
      <c r="V70" s="104" t="n">
        <f aca="false">-V109*$D25</f>
        <v>-2.14576721191406E-010</v>
      </c>
      <c r="W70" s="104" t="n">
        <f aca="false">-W109*$D25</f>
        <v>-2.14576721191406E-010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-28128.45</v>
      </c>
      <c r="E72" s="104" t="n">
        <f aca="false">E49</f>
        <v>-28128.45</v>
      </c>
      <c r="F72" s="104" t="n">
        <f aca="false">F49</f>
        <v>-28128.45</v>
      </c>
      <c r="G72" s="104" t="n">
        <f aca="false">G49</f>
        <v>-28128.45</v>
      </c>
      <c r="H72" s="104" t="n">
        <f aca="false">H49</f>
        <v>-28128.45</v>
      </c>
      <c r="I72" s="104" t="n">
        <f aca="false">I49</f>
        <v>-28128.45</v>
      </c>
      <c r="J72" s="104" t="n">
        <f aca="false">J49</f>
        <v>-28128.45</v>
      </c>
      <c r="K72" s="104" t="n">
        <f aca="false">K49</f>
        <v>-28128.45</v>
      </c>
      <c r="L72" s="104" t="n">
        <f aca="false">L49</f>
        <v>-28128.45</v>
      </c>
      <c r="M72" s="104" t="n">
        <f aca="false">M49</f>
        <v>-28128.45</v>
      </c>
      <c r="N72" s="104" t="n">
        <f aca="false">N49</f>
        <v>-28128.45</v>
      </c>
      <c r="O72" s="104" t="n">
        <f aca="false">O49</f>
        <v>-28128.45</v>
      </c>
      <c r="P72" s="104" t="n">
        <f aca="false">P49</f>
        <v>-28128.45</v>
      </c>
      <c r="Q72" s="104" t="n">
        <f aca="false">Q49</f>
        <v>-28128.45</v>
      </c>
      <c r="R72" s="104" t="n">
        <f aca="false">R49</f>
        <v>-28128.45</v>
      </c>
      <c r="S72" s="104" t="n">
        <f aca="false">S49</f>
        <v>-28128.45</v>
      </c>
      <c r="T72" s="104" t="n">
        <f aca="false">T49</f>
        <v>-28128.45</v>
      </c>
      <c r="U72" s="104" t="n">
        <f aca="false">U49</f>
        <v>-28128.45</v>
      </c>
      <c r="V72" s="104" t="n">
        <f aca="false">V49</f>
        <v>-28128.45</v>
      </c>
      <c r="W72" s="104" t="n">
        <f aca="false">W49</f>
        <v>-28128.45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883696.126</v>
      </c>
      <c r="E76" s="109" t="n">
        <f aca="false">SUM(E64:E75)</f>
        <v>604817.316933333</v>
      </c>
      <c r="F76" s="109" t="n">
        <f aca="false">SUM(F64:F75)</f>
        <v>616139.507866667</v>
      </c>
      <c r="G76" s="109" t="n">
        <f aca="false">SUM(G64:G75)</f>
        <v>627461.6988</v>
      </c>
      <c r="H76" s="109" t="n">
        <f aca="false">SUM(H64:H75)</f>
        <v>638783.889733333</v>
      </c>
      <c r="I76" s="109" t="n">
        <f aca="false">SUM(I64:I75)</f>
        <v>650106.080666666</v>
      </c>
      <c r="J76" s="109" t="n">
        <f aca="false">SUM(J64:J75)</f>
        <v>661428.2716</v>
      </c>
      <c r="K76" s="109" t="n">
        <f aca="false">SUM(K64:K75)</f>
        <v>672750.462533333</v>
      </c>
      <c r="L76" s="109" t="n">
        <f aca="false">SUM(L64:L75)</f>
        <v>684072.653466666</v>
      </c>
      <c r="M76" s="109" t="n">
        <f aca="false">SUM(M64:M75)</f>
        <v>695394.8444</v>
      </c>
      <c r="N76" s="109" t="n">
        <f aca="false">SUM(N64:N75)</f>
        <v>750327.035333333</v>
      </c>
      <c r="O76" s="109" t="n">
        <f aca="false">SUM(O64:O75)</f>
        <v>761649.226266666</v>
      </c>
      <c r="P76" s="109" t="n">
        <f aca="false">SUM(P64:P75)</f>
        <v>772971.4172</v>
      </c>
      <c r="Q76" s="109" t="n">
        <f aca="false">SUM(Q64:Q75)</f>
        <v>784293.608133333</v>
      </c>
      <c r="R76" s="109" t="n">
        <f aca="false">SUM(R64:R75)</f>
        <v>795615.799066666</v>
      </c>
      <c r="S76" s="109" t="n">
        <f aca="false">SUM(S64:S75)</f>
        <v>806937.99</v>
      </c>
      <c r="T76" s="109" t="n">
        <f aca="false">SUM(T64:T75)</f>
        <v>798185.958</v>
      </c>
      <c r="U76" s="109" t="n">
        <f aca="false">SUM(U64:U75)</f>
        <v>789433.926</v>
      </c>
      <c r="V76" s="109" t="n">
        <f aca="false">SUM(V64:V75)</f>
        <v>780681.894</v>
      </c>
      <c r="W76" s="109" t="n">
        <f aca="false">SUM(W64:W75)</f>
        <v>771929.862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-176739.2252</v>
      </c>
      <c r="E77" s="104" t="n">
        <f aca="false">-E76*0.2</f>
        <v>-120963.463386667</v>
      </c>
      <c r="F77" s="104" t="n">
        <f aca="false">-F76*0.2</f>
        <v>-123227.901573333</v>
      </c>
      <c r="G77" s="104" t="n">
        <f aca="false">-G76*0.2</f>
        <v>-125492.33976</v>
      </c>
      <c r="H77" s="104" t="n">
        <f aca="false">-H76*0.2</f>
        <v>-127756.777946667</v>
      </c>
      <c r="I77" s="104" t="n">
        <f aca="false">-I76*0.2</f>
        <v>-130021.216133333</v>
      </c>
      <c r="J77" s="104" t="n">
        <f aca="false">-J76*0.2</f>
        <v>-132285.65432</v>
      </c>
      <c r="K77" s="104" t="n">
        <f aca="false">-K76*0.2</f>
        <v>-134550.092506667</v>
      </c>
      <c r="L77" s="104" t="n">
        <f aca="false">-L76*0.2</f>
        <v>-136814.530693333</v>
      </c>
      <c r="M77" s="104" t="n">
        <f aca="false">-M76*0.2</f>
        <v>-139078.96888</v>
      </c>
      <c r="N77" s="104" t="n">
        <f aca="false">-N76*0.2</f>
        <v>-150065.407066667</v>
      </c>
      <c r="O77" s="104" t="n">
        <f aca="false">-O76*0.2</f>
        <v>-152329.845253333</v>
      </c>
      <c r="P77" s="104" t="n">
        <f aca="false">-P76*0.2</f>
        <v>-154594.28344</v>
      </c>
      <c r="Q77" s="104" t="n">
        <f aca="false">-Q76*0.2</f>
        <v>-156858.721626667</v>
      </c>
      <c r="R77" s="104" t="n">
        <f aca="false">-R76*0.2</f>
        <v>-159123.159813333</v>
      </c>
      <c r="S77" s="104" t="n">
        <f aca="false">-S76*0.2</f>
        <v>-161387.598</v>
      </c>
      <c r="T77" s="104" t="n">
        <f aca="false">-T76*0.2</f>
        <v>-159637.1916</v>
      </c>
      <c r="U77" s="104" t="n">
        <f aca="false">-U76*0.2</f>
        <v>-157886.7852</v>
      </c>
      <c r="V77" s="104" t="n">
        <f aca="false">-V76*0.2</f>
        <v>-156136.3788</v>
      </c>
      <c r="W77" s="104" t="n">
        <f aca="false">-W76*0.2</f>
        <v>-154385.9724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706956.9008</v>
      </c>
      <c r="E78" s="104" t="n">
        <f aca="false">SUM(E76:E77)</f>
        <v>483853.853546666</v>
      </c>
      <c r="F78" s="104" t="n">
        <f aca="false">SUM(F76:F77)</f>
        <v>492911.606293333</v>
      </c>
      <c r="G78" s="104" t="n">
        <f aca="false">SUM(G76:G77)</f>
        <v>501969.35904</v>
      </c>
      <c r="H78" s="104" t="n">
        <f aca="false">SUM(H76:H77)</f>
        <v>511027.111786666</v>
      </c>
      <c r="I78" s="104" t="n">
        <f aca="false">SUM(I76:I77)</f>
        <v>520084.864533333</v>
      </c>
      <c r="J78" s="104" t="n">
        <f aca="false">SUM(J76:J77)</f>
        <v>529142.61728</v>
      </c>
      <c r="K78" s="104" t="n">
        <f aca="false">SUM(K76:K77)</f>
        <v>538200.370026666</v>
      </c>
      <c r="L78" s="104" t="n">
        <f aca="false">SUM(L76:L77)</f>
        <v>547258.122773333</v>
      </c>
      <c r="M78" s="104" t="n">
        <f aca="false">SUM(M76:M77)</f>
        <v>556315.87552</v>
      </c>
      <c r="N78" s="104" t="n">
        <f aca="false">SUM(N76:N77)</f>
        <v>600261.628266666</v>
      </c>
      <c r="O78" s="104" t="n">
        <f aca="false">SUM(O76:O77)</f>
        <v>609319.381013333</v>
      </c>
      <c r="P78" s="104" t="n">
        <f aca="false">SUM(P76:P77)</f>
        <v>618377.13376</v>
      </c>
      <c r="Q78" s="104" t="n">
        <f aca="false">SUM(Q76:Q77)</f>
        <v>627434.886506666</v>
      </c>
      <c r="R78" s="104" t="n">
        <f aca="false">SUM(R76:R77)</f>
        <v>636492.639253333</v>
      </c>
      <c r="S78" s="104" t="n">
        <f aca="false">SUM(S76:S77)</f>
        <v>645550.392</v>
      </c>
      <c r="T78" s="104" t="n">
        <f aca="false">SUM(T76:T77)</f>
        <v>638548.7664</v>
      </c>
      <c r="U78" s="104" t="n">
        <f aca="false">SUM(U76:U77)</f>
        <v>631547.1408</v>
      </c>
      <c r="V78" s="104" t="n">
        <f aca="false">SUM(V76:V77)</f>
        <v>624545.5152</v>
      </c>
      <c r="W78" s="104" t="n">
        <f aca="false">SUM(W76:W77)</f>
        <v>617543.8896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706956.9008</v>
      </c>
      <c r="E85" s="143" t="n">
        <f aca="false">E78</f>
        <v>483853.853546666</v>
      </c>
      <c r="F85" s="143" t="n">
        <f aca="false">F78</f>
        <v>492911.606293333</v>
      </c>
      <c r="G85" s="143" t="n">
        <f aca="false">G78</f>
        <v>501969.35904</v>
      </c>
      <c r="H85" s="143" t="n">
        <f aca="false">H78</f>
        <v>511027.111786666</v>
      </c>
      <c r="I85" s="143" t="n">
        <f aca="false">I78</f>
        <v>520084.864533333</v>
      </c>
      <c r="J85" s="143" t="n">
        <f aca="false">J78</f>
        <v>529142.61728</v>
      </c>
      <c r="K85" s="143" t="n">
        <f aca="false">K78</f>
        <v>538200.370026666</v>
      </c>
      <c r="L85" s="143" t="n">
        <f aca="false">L78</f>
        <v>547258.122773333</v>
      </c>
      <c r="M85" s="143" t="n">
        <f aca="false">M78</f>
        <v>556315.87552</v>
      </c>
      <c r="N85" s="143" t="n">
        <f aca="false">N78</f>
        <v>600261.628266666</v>
      </c>
      <c r="O85" s="143" t="n">
        <f aca="false">O78</f>
        <v>609319.381013333</v>
      </c>
      <c r="P85" s="143" t="n">
        <f aca="false">P78</f>
        <v>618377.13376</v>
      </c>
      <c r="Q85" s="143" t="n">
        <f aca="false">Q78</f>
        <v>627434.886506666</v>
      </c>
      <c r="R85" s="143" t="n">
        <f aca="false">R78</f>
        <v>636492.639253333</v>
      </c>
      <c r="S85" s="143" t="n">
        <f aca="false">S78</f>
        <v>645550.392</v>
      </c>
      <c r="T85" s="143" t="n">
        <f aca="false">T78</f>
        <v>638548.7664</v>
      </c>
      <c r="U85" s="143" t="n">
        <f aca="false">U78</f>
        <v>631547.1408</v>
      </c>
      <c r="V85" s="143" t="n">
        <f aca="false">V78</f>
        <v>624545.5152</v>
      </c>
      <c r="W85" s="143" t="n">
        <f aca="false">W78</f>
        <v>617543.8896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735140</v>
      </c>
      <c r="E86" s="144" t="n">
        <f aca="false">-E67</f>
        <v>735140</v>
      </c>
      <c r="F86" s="144" t="n">
        <f aca="false">-F67</f>
        <v>735140</v>
      </c>
      <c r="G86" s="144" t="n">
        <f aca="false">-G67</f>
        <v>735140</v>
      </c>
      <c r="H86" s="144" t="n">
        <f aca="false">-H67</f>
        <v>735140</v>
      </c>
      <c r="I86" s="144" t="n">
        <f aca="false">-I67</f>
        <v>735140</v>
      </c>
      <c r="J86" s="144" t="n">
        <f aca="false">-J67</f>
        <v>735140</v>
      </c>
      <c r="K86" s="144" t="n">
        <f aca="false">-K67</f>
        <v>735140</v>
      </c>
      <c r="L86" s="144" t="n">
        <f aca="false">-L67</f>
        <v>735140</v>
      </c>
      <c r="M86" s="144" t="n">
        <f aca="false">-M67</f>
        <v>735140</v>
      </c>
      <c r="N86" s="144" t="n">
        <f aca="false">-N67</f>
        <v>735140</v>
      </c>
      <c r="O86" s="144" t="n">
        <f aca="false">-O67</f>
        <v>735140</v>
      </c>
      <c r="P86" s="144" t="n">
        <f aca="false">-P67</f>
        <v>735140</v>
      </c>
      <c r="Q86" s="144" t="n">
        <f aca="false">-Q67</f>
        <v>735140</v>
      </c>
      <c r="R86" s="144" t="n">
        <f aca="false">-R67</f>
        <v>735140</v>
      </c>
      <c r="S86" s="144" t="n">
        <f aca="false">-S67</f>
        <v>735140</v>
      </c>
      <c r="T86" s="144" t="n">
        <f aca="false">-T67</f>
        <v>735140</v>
      </c>
      <c r="U86" s="144" t="n">
        <f aca="false">-U67</f>
        <v>735140</v>
      </c>
      <c r="V86" s="144" t="n">
        <f aca="false">-V67</f>
        <v>735140</v>
      </c>
      <c r="W86" s="144" t="n">
        <f aca="false">-W67</f>
        <v>735140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1442096.9008</v>
      </c>
      <c r="E87" s="146" t="n">
        <f aca="false">SUM(E85:E86)</f>
        <v>1218993.85354667</v>
      </c>
      <c r="F87" s="146" t="n">
        <f aca="false">SUM(F85:F86)</f>
        <v>1228051.60629333</v>
      </c>
      <c r="G87" s="146" t="n">
        <f aca="false">SUM(G85:G86)</f>
        <v>1237109.35904</v>
      </c>
      <c r="H87" s="146" t="n">
        <f aca="false">SUM(H85:H86)</f>
        <v>1246167.11178667</v>
      </c>
      <c r="I87" s="146" t="n">
        <f aca="false">SUM(I85:I86)</f>
        <v>1255224.86453333</v>
      </c>
      <c r="J87" s="146" t="n">
        <f aca="false">SUM(J85:J86)</f>
        <v>1264282.61728</v>
      </c>
      <c r="K87" s="146" t="n">
        <f aca="false">SUM(K85:K86)</f>
        <v>1273340.37002667</v>
      </c>
      <c r="L87" s="146" t="n">
        <f aca="false">SUM(L85:L86)</f>
        <v>1282398.12277333</v>
      </c>
      <c r="M87" s="146" t="n">
        <f aca="false">SUM(M85:M86)</f>
        <v>1291455.87552</v>
      </c>
      <c r="N87" s="146" t="n">
        <f aca="false">SUM(N85:N86)</f>
        <v>1335401.62826667</v>
      </c>
      <c r="O87" s="146" t="n">
        <f aca="false">SUM(O85:O86)</f>
        <v>1344459.38101333</v>
      </c>
      <c r="P87" s="146" t="n">
        <f aca="false">SUM(P85:P86)</f>
        <v>1353517.13376</v>
      </c>
      <c r="Q87" s="146" t="n">
        <f aca="false">SUM(Q85:Q86)</f>
        <v>1362574.88650667</v>
      </c>
      <c r="R87" s="146" t="n">
        <f aca="false">SUM(R85:R86)</f>
        <v>1371632.63925333</v>
      </c>
      <c r="S87" s="146" t="n">
        <f aca="false">SUM(S85:S86)</f>
        <v>1380690.392</v>
      </c>
      <c r="T87" s="146" t="n">
        <f aca="false">SUM(T85:T86)</f>
        <v>1373688.7664</v>
      </c>
      <c r="U87" s="146" t="n">
        <f aca="false">SUM(U85:U86)</f>
        <v>1366687.1408</v>
      </c>
      <c r="V87" s="146" t="n">
        <f aca="false">SUM(V85:V86)</f>
        <v>1359685.5152</v>
      </c>
      <c r="W87" s="146" t="n">
        <f aca="false">SUM(W85:W86)</f>
        <v>1352683.8896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-14702800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11762240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-784149.333333333</v>
      </c>
      <c r="F93" s="152" t="n">
        <v>-784149.333333333</v>
      </c>
      <c r="G93" s="152" t="n">
        <v>-784149.333333333</v>
      </c>
      <c r="H93" s="152" t="n">
        <v>-784149.333333333</v>
      </c>
      <c r="I93" s="152" t="n">
        <v>-784149.333333333</v>
      </c>
      <c r="J93" s="152" t="n">
        <v>-784149.333333333</v>
      </c>
      <c r="K93" s="152" t="n">
        <v>-784149.333333333</v>
      </c>
      <c r="L93" s="152" t="n">
        <v>-784149.333333333</v>
      </c>
      <c r="M93" s="152" t="n">
        <v>-784149.333333333</v>
      </c>
      <c r="N93" s="152" t="n">
        <v>-784149.333333333</v>
      </c>
      <c r="O93" s="152" t="n">
        <v>-784149.333333333</v>
      </c>
      <c r="P93" s="152" t="n">
        <v>-784149.333333333</v>
      </c>
      <c r="Q93" s="152" t="n">
        <v>-784149.333333333</v>
      </c>
      <c r="R93" s="152" t="n">
        <v>-784149.333333333</v>
      </c>
      <c r="S93" s="152" t="n">
        <v>-784149.333333333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2940560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-636261.21072</v>
      </c>
      <c r="F95" s="153" t="n">
        <f aca="false">-E85*$D$33</f>
        <v>-435468.468192</v>
      </c>
      <c r="G95" s="153" t="n">
        <f aca="false">-F85*$D$33</f>
        <v>-443620.445664</v>
      </c>
      <c r="H95" s="153" t="n">
        <f aca="false">-G85*$D$33</f>
        <v>-451772.423136</v>
      </c>
      <c r="I95" s="153" t="n">
        <f aca="false">-H85*$D$33</f>
        <v>-459924.400608</v>
      </c>
      <c r="J95" s="153" t="n">
        <f aca="false">-I85*$D$33</f>
        <v>-468076.37808</v>
      </c>
      <c r="K95" s="153" t="n">
        <f aca="false">-J85*$D$33</f>
        <v>-476228.355552</v>
      </c>
      <c r="L95" s="153" t="n">
        <f aca="false">-K85*$D$33</f>
        <v>-484380.333024</v>
      </c>
      <c r="M95" s="153" t="n">
        <f aca="false">-L85*$D$33</f>
        <v>-492532.310496</v>
      </c>
      <c r="N95" s="153" t="n">
        <f aca="false">-M85*$D$33</f>
        <v>-500684.287968</v>
      </c>
      <c r="O95" s="153" t="n">
        <f aca="false">-N85*$D$33</f>
        <v>-540235.46544</v>
      </c>
      <c r="P95" s="153" t="n">
        <f aca="false">-O85*$D$33</f>
        <v>-548387.442912</v>
      </c>
      <c r="Q95" s="153" t="n">
        <f aca="false">-P85*$D$33</f>
        <v>-556539.420384</v>
      </c>
      <c r="R95" s="153" t="n">
        <f aca="false">-Q85*$D$33</f>
        <v>-564691.397856</v>
      </c>
      <c r="S95" s="153" t="n">
        <f aca="false">-R85*$D$33</f>
        <v>-572843.375328</v>
      </c>
      <c r="T95" s="153" t="n">
        <f aca="false">-S85*$D$33</f>
        <v>-580995.3528</v>
      </c>
      <c r="U95" s="153" t="n">
        <f aca="false">-T85*$D$33</f>
        <v>-574693.88976</v>
      </c>
      <c r="V95" s="153" t="n">
        <f aca="false">-U85*$D$33</f>
        <v>-568392.42672</v>
      </c>
      <c r="W95" s="153" t="n">
        <f aca="false">-V85*$D$33</f>
        <v>-562090.96368</v>
      </c>
      <c r="X95" s="153" t="n">
        <f aca="false">-W85*$D$33</f>
        <v>-555789.50064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-735140</v>
      </c>
      <c r="U96" s="156" t="n">
        <v>-735140</v>
      </c>
      <c r="V96" s="156" t="n">
        <v>-735140</v>
      </c>
      <c r="W96" s="156" t="n">
        <v>-735140</v>
      </c>
      <c r="X96" s="157" t="n">
        <f aca="false">-W101-X95</f>
        <v>-1163734.20544001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1442096.9008</v>
      </c>
      <c r="E99" s="143" t="n">
        <f aca="false">SUM(E87:E96)</f>
        <v>-201416.690506666</v>
      </c>
      <c r="F99" s="143" t="n">
        <f aca="false">SUM(F87:F96)</f>
        <v>8433.80476800073</v>
      </c>
      <c r="G99" s="143" t="n">
        <f aca="false">SUM(G87:G96)</f>
        <v>9339.58004266699</v>
      </c>
      <c r="H99" s="143" t="n">
        <f aca="false">SUM(H87:H96)</f>
        <v>10245.3553173337</v>
      </c>
      <c r="I99" s="143" t="n">
        <f aca="false">SUM(I87:I96)</f>
        <v>11151.1305920003</v>
      </c>
      <c r="J99" s="143" t="n">
        <f aca="false">SUM(J87:J96)</f>
        <v>12056.9058666672</v>
      </c>
      <c r="K99" s="143" t="n">
        <f aca="false">SUM(K87:K96)</f>
        <v>12962.6811413337</v>
      </c>
      <c r="L99" s="143" t="n">
        <f aca="false">SUM(L87:L96)</f>
        <v>13868.4564160001</v>
      </c>
      <c r="M99" s="143" t="n">
        <f aca="false">SUM(M87:M96)</f>
        <v>14774.231690667</v>
      </c>
      <c r="N99" s="143" t="n">
        <f aca="false">SUM(N87:N96)</f>
        <v>50568.0069653337</v>
      </c>
      <c r="O99" s="143" t="n">
        <f aca="false">SUM(O87:O96)</f>
        <v>20074.5822400006</v>
      </c>
      <c r="P99" s="143" t="n">
        <f aca="false">SUM(P87:P96)</f>
        <v>20980.3575146669</v>
      </c>
      <c r="Q99" s="143" t="n">
        <f aca="false">SUM(Q87:Q96)</f>
        <v>21886.1327893337</v>
      </c>
      <c r="R99" s="143" t="n">
        <f aca="false">SUM(R87:R96)</f>
        <v>22791.9080640004</v>
      </c>
      <c r="S99" s="143" t="n">
        <f aca="false">SUM(S87:S96)</f>
        <v>23697.6833386673</v>
      </c>
      <c r="T99" s="143" t="n">
        <f aca="false">SUM(T87:T96)</f>
        <v>57553.4135999999</v>
      </c>
      <c r="U99" s="143" t="n">
        <f aca="false">SUM(U87:U96)</f>
        <v>56853.25104</v>
      </c>
      <c r="V99" s="143" t="n">
        <f aca="false">SUM(V87:V96)</f>
        <v>56153.08848</v>
      </c>
      <c r="W99" s="143" t="n">
        <f aca="false">SUM(W87:W96)</f>
        <v>55452.9259200003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1442096.9008</v>
      </c>
      <c r="F100" s="143" t="n">
        <f aca="false">E101</f>
        <v>1240680.21029333</v>
      </c>
      <c r="G100" s="143" t="n">
        <f aca="false">F101</f>
        <v>1249114.01506133</v>
      </c>
      <c r="H100" s="143" t="n">
        <f aca="false">G101</f>
        <v>1258453.595104</v>
      </c>
      <c r="I100" s="143" t="n">
        <f aca="false">H101</f>
        <v>1268698.95042133</v>
      </c>
      <c r="J100" s="143" t="n">
        <f aca="false">I101</f>
        <v>1279850.08101333</v>
      </c>
      <c r="K100" s="143" t="n">
        <f aca="false">J101</f>
        <v>1291906.98688</v>
      </c>
      <c r="L100" s="143" t="n">
        <f aca="false">K101</f>
        <v>1304869.66802134</v>
      </c>
      <c r="M100" s="143" t="n">
        <f aca="false">L101</f>
        <v>1318738.12443734</v>
      </c>
      <c r="N100" s="143" t="n">
        <f aca="false">M101</f>
        <v>1333512.356128</v>
      </c>
      <c r="O100" s="143" t="n">
        <f aca="false">N101</f>
        <v>1384080.36309334</v>
      </c>
      <c r="P100" s="143" t="n">
        <f aca="false">O101</f>
        <v>1404154.94533334</v>
      </c>
      <c r="Q100" s="143" t="n">
        <f aca="false">P101</f>
        <v>1425135.302848</v>
      </c>
      <c r="R100" s="143" t="n">
        <f aca="false">Q101</f>
        <v>1447021.43563734</v>
      </c>
      <c r="S100" s="143" t="n">
        <f aca="false">R101</f>
        <v>1469813.34370134</v>
      </c>
      <c r="T100" s="143" t="n">
        <f aca="false">S101</f>
        <v>1493511.02704001</v>
      </c>
      <c r="U100" s="143" t="n">
        <f aca="false">T101</f>
        <v>1551064.44064001</v>
      </c>
      <c r="V100" s="143" t="n">
        <f aca="false">U101</f>
        <v>1607917.69168001</v>
      </c>
      <c r="W100" s="143" t="n">
        <f aca="false">V101</f>
        <v>1664070.78016001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1442096.9008</v>
      </c>
      <c r="E101" s="143" t="n">
        <f aca="false">E99+E100</f>
        <v>1240680.21029333</v>
      </c>
      <c r="F101" s="143" t="n">
        <f aca="false">F99+F100</f>
        <v>1249114.01506133</v>
      </c>
      <c r="G101" s="143" t="n">
        <f aca="false">G99+G100</f>
        <v>1258453.595104</v>
      </c>
      <c r="H101" s="143" t="n">
        <f aca="false">H99+H100</f>
        <v>1268698.95042133</v>
      </c>
      <c r="I101" s="143" t="n">
        <f aca="false">I99+I100</f>
        <v>1279850.08101333</v>
      </c>
      <c r="J101" s="143" t="n">
        <f aca="false">J99+J100</f>
        <v>1291906.98688</v>
      </c>
      <c r="K101" s="143" t="n">
        <f aca="false">K99+K100</f>
        <v>1304869.66802134</v>
      </c>
      <c r="L101" s="143" t="n">
        <f aca="false">L99+L100</f>
        <v>1318738.12443734</v>
      </c>
      <c r="M101" s="143" t="n">
        <f aca="false">M99+M100</f>
        <v>1333512.356128</v>
      </c>
      <c r="N101" s="143" t="n">
        <f aca="false">N99+N100</f>
        <v>1384080.36309334</v>
      </c>
      <c r="O101" s="143" t="n">
        <f aca="false">O99+O100</f>
        <v>1404154.94533334</v>
      </c>
      <c r="P101" s="143" t="n">
        <f aca="false">P99+P100</f>
        <v>1425135.302848</v>
      </c>
      <c r="Q101" s="143" t="n">
        <f aca="false">Q99+Q100</f>
        <v>1447021.43563734</v>
      </c>
      <c r="R101" s="143" t="n">
        <f aca="false">R99+R100</f>
        <v>1469813.34370134</v>
      </c>
      <c r="S101" s="143" t="n">
        <f aca="false">S99+S100</f>
        <v>1493511.02704001</v>
      </c>
      <c r="T101" s="143" t="n">
        <f aca="false">T99+T100</f>
        <v>1551064.44064001</v>
      </c>
      <c r="U101" s="143" t="n">
        <f aca="false">U99+U100</f>
        <v>1607917.69168001</v>
      </c>
      <c r="V101" s="143" t="n">
        <f aca="false">V99+V100</f>
        <v>1664070.78016001</v>
      </c>
      <c r="W101" s="143" t="n">
        <f aca="false">W99+W100</f>
        <v>1719523.70608001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-2940560</v>
      </c>
      <c r="E104" s="146" t="n">
        <f aca="false">-E95-E96</f>
        <v>636261.21072</v>
      </c>
      <c r="F104" s="146" t="n">
        <f aca="false">-F95-F96</f>
        <v>435468.468192</v>
      </c>
      <c r="G104" s="146" t="n">
        <f aca="false">-G95-G96</f>
        <v>443620.445664</v>
      </c>
      <c r="H104" s="146" t="n">
        <f aca="false">-H95-H96</f>
        <v>451772.423136</v>
      </c>
      <c r="I104" s="146" t="n">
        <f aca="false">-I95-I96</f>
        <v>459924.400608</v>
      </c>
      <c r="J104" s="146" t="n">
        <f aca="false">-J95-J96</f>
        <v>468076.37808</v>
      </c>
      <c r="K104" s="146" t="n">
        <f aca="false">-K95-K96</f>
        <v>476228.355552</v>
      </c>
      <c r="L104" s="146" t="n">
        <f aca="false">-L95-L96</f>
        <v>484380.333024</v>
      </c>
      <c r="M104" s="146" t="n">
        <f aca="false">-M95-M96</f>
        <v>492532.310496</v>
      </c>
      <c r="N104" s="146" t="n">
        <f aca="false">-N95-N96</f>
        <v>500684.287968</v>
      </c>
      <c r="O104" s="146" t="n">
        <f aca="false">-O95-O96</f>
        <v>540235.46544</v>
      </c>
      <c r="P104" s="146" t="n">
        <f aca="false">-P95-P96</f>
        <v>548387.442912</v>
      </c>
      <c r="Q104" s="146" t="n">
        <f aca="false">-Q95-Q96</f>
        <v>556539.420384</v>
      </c>
      <c r="R104" s="146" t="n">
        <f aca="false">-R95-R96</f>
        <v>564691.397856</v>
      </c>
      <c r="S104" s="146" t="n">
        <f aca="false">-S95-S96</f>
        <v>572843.375328</v>
      </c>
      <c r="T104" s="146" t="n">
        <f aca="false">-T95-T96</f>
        <v>1316135.3528</v>
      </c>
      <c r="U104" s="146" t="n">
        <f aca="false">-U95-U96</f>
        <v>1309833.88976</v>
      </c>
      <c r="V104" s="146" t="n">
        <f aca="false">-V95-V96</f>
        <v>1303532.42672</v>
      </c>
      <c r="W104" s="146" t="n">
        <f aca="false">-W95-W96</f>
        <v>1297230.96368</v>
      </c>
      <c r="X104" s="146" t="n">
        <f aca="false">-X95-X96</f>
        <v>1719523.70608001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0.177699319977295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-2233603.0992</v>
      </c>
      <c r="E106" s="146" t="n">
        <f aca="false">E85</f>
        <v>483853.853546666</v>
      </c>
      <c r="F106" s="146" t="n">
        <f aca="false">F85-F96</f>
        <v>492911.606293333</v>
      </c>
      <c r="G106" s="146" t="n">
        <f aca="false">G85-G96</f>
        <v>501969.35904</v>
      </c>
      <c r="H106" s="146" t="n">
        <f aca="false">H85-H96</f>
        <v>511027.111786666</v>
      </c>
      <c r="I106" s="146" t="n">
        <f aca="false">I85-I96</f>
        <v>520084.864533333</v>
      </c>
      <c r="J106" s="146" t="n">
        <f aca="false">J85-J96</f>
        <v>529142.61728</v>
      </c>
      <c r="K106" s="146" t="n">
        <f aca="false">K85-K96</f>
        <v>538200.370026666</v>
      </c>
      <c r="L106" s="146" t="n">
        <f aca="false">L85-L96</f>
        <v>547258.122773333</v>
      </c>
      <c r="M106" s="146" t="n">
        <f aca="false">M85-M96</f>
        <v>556315.87552</v>
      </c>
      <c r="N106" s="146" t="n">
        <f aca="false">N85-N96</f>
        <v>600261.628266666</v>
      </c>
      <c r="O106" s="146" t="n">
        <f aca="false">O85-O96</f>
        <v>609319.381013333</v>
      </c>
      <c r="P106" s="146" t="n">
        <f aca="false">P85-P96</f>
        <v>618377.13376</v>
      </c>
      <c r="Q106" s="146" t="n">
        <f aca="false">Q85-Q96</f>
        <v>627434.886506666</v>
      </c>
      <c r="R106" s="146" t="n">
        <f aca="false">R85-R96</f>
        <v>636492.639253333</v>
      </c>
      <c r="S106" s="146" t="n">
        <f aca="false">S85-S96</f>
        <v>645550.392</v>
      </c>
      <c r="T106" s="146" t="n">
        <f aca="false">T85-T96</f>
        <v>1373688.7664</v>
      </c>
      <c r="U106" s="146" t="n">
        <f aca="false">U85-U96</f>
        <v>1366687.1408</v>
      </c>
      <c r="V106" s="146" t="n">
        <f aca="false">V85-V96</f>
        <v>1359685.5152</v>
      </c>
      <c r="W106" s="146" t="n">
        <f aca="false">W85-W96</f>
        <v>1352683.8896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0.237637180495754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11762240</v>
      </c>
      <c r="E109" s="143" t="n">
        <f aca="false">D109+E93</f>
        <v>10978090.6666667</v>
      </c>
      <c r="F109" s="143" t="n">
        <f aca="false">E109+F93</f>
        <v>10193941.3333333</v>
      </c>
      <c r="G109" s="143" t="n">
        <f aca="false">F109+G93</f>
        <v>9409792</v>
      </c>
      <c r="H109" s="143" t="n">
        <f aca="false">G109+H93</f>
        <v>8625642.66666667</v>
      </c>
      <c r="I109" s="143" t="n">
        <f aca="false">H109+I93</f>
        <v>7841493.33333334</v>
      </c>
      <c r="J109" s="143" t="n">
        <f aca="false">I109+J93</f>
        <v>7057344.00000001</v>
      </c>
      <c r="K109" s="143" t="n">
        <f aca="false">J109+K93</f>
        <v>6273194.66666667</v>
      </c>
      <c r="L109" s="143" t="n">
        <f aca="false">K109+L93</f>
        <v>5489045.33333334</v>
      </c>
      <c r="M109" s="143" t="n">
        <f aca="false">L109+M93</f>
        <v>4704896.00000001</v>
      </c>
      <c r="N109" s="143" t="n">
        <f aca="false">M109+N93</f>
        <v>3920746.66666667</v>
      </c>
      <c r="O109" s="143" t="n">
        <f aca="false">N109+O93</f>
        <v>3136597.33333334</v>
      </c>
      <c r="P109" s="143" t="n">
        <f aca="false">O109+P93</f>
        <v>2352448.00000001</v>
      </c>
      <c r="Q109" s="143" t="n">
        <f aca="false">P109+Q93</f>
        <v>1568298.66666667</v>
      </c>
      <c r="R109" s="143" t="n">
        <f aca="false">Q109+R93</f>
        <v>784149.333333341</v>
      </c>
      <c r="S109" s="143" t="n">
        <f aca="false">R109+S93</f>
        <v>8.38190317153931E-009</v>
      </c>
      <c r="T109" s="143" t="n">
        <f aca="false">S109+T93</f>
        <v>8.38190317153931E-009</v>
      </c>
      <c r="U109" s="143" t="n">
        <f aca="false">T109+U93</f>
        <v>8.38190317153931E-009</v>
      </c>
      <c r="V109" s="143" t="n">
        <f aca="false">U109+V93</f>
        <v>8.38190317153931E-009</v>
      </c>
      <c r="W109" s="143" t="n">
        <f aca="false">V109+W93</f>
        <v>8.38190317153931E-009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5" min="4" style="1" width="37"/>
    <col collapsed="false" customWidth="true" hidden="false" outlineLevel="0" max="6" min="6" style="1" width="50"/>
    <col collapsed="false" customWidth="true" hidden="false" outlineLevel="0" max="12" min="7" style="1" width="37"/>
    <col collapsed="false" customWidth="true" hidden="false" outlineLevel="0" max="13" min="13" style="1" width="50"/>
    <col collapsed="false" customWidth="true" hidden="false" outlineLevel="0" max="23" min="14" style="1" width="37"/>
    <col collapsed="false" customWidth="true" hidden="false" outlineLevel="0" max="24" min="24" style="1" width="30"/>
    <col collapsed="false" customWidth="true" hidden="false" outlineLevel="0" max="27" min="25" style="1" width="10"/>
    <col collapsed="false" customWidth="true" hidden="false" outlineLevel="0" max="35" min="28" style="1" width="11"/>
    <col collapsed="false" customWidth="true" hidden="false" outlineLevel="0" max="36" min="36" style="1" width="8"/>
    <col collapsed="false" customWidth="true" hidden="false" outlineLevel="0" max="37" min="37" style="1" width="9.14"/>
  </cols>
  <sheetData>
    <row r="1" customFormat="false" ht="22.5" hidden="false" customHeight="true" outlineLevel="0" collapsed="false">
      <c r="B1" s="2" t="s">
        <v>103</v>
      </c>
      <c r="C1" s="37"/>
      <c r="D1" s="37"/>
      <c r="E1" s="38"/>
      <c r="F1" s="3" t="s">
        <v>1</v>
      </c>
      <c r="P1" s="4" t="n">
        <f aca="false">1-D11</f>
        <v>0.99</v>
      </c>
      <c r="Q1" s="4" t="n">
        <f aca="false">P1-$D12</f>
        <v>0.986</v>
      </c>
      <c r="R1" s="4" t="n">
        <f aca="false">Q1-$D12</f>
        <v>0.982</v>
      </c>
      <c r="S1" s="4" t="n">
        <f aca="false">R1-$D12</f>
        <v>0.978</v>
      </c>
      <c r="T1" s="4" t="n">
        <f aca="false">S1-$D12</f>
        <v>0.974</v>
      </c>
      <c r="U1" s="4" t="n">
        <f aca="false">T1-$D12</f>
        <v>0.97</v>
      </c>
      <c r="V1" s="4" t="n">
        <f aca="false">U1-$D12</f>
        <v>0.966</v>
      </c>
      <c r="W1" s="4" t="n">
        <f aca="false">V1-$D12</f>
        <v>0.962</v>
      </c>
      <c r="X1" s="4" t="n">
        <f aca="false">W1-$D12</f>
        <v>0.958</v>
      </c>
      <c r="Y1" s="4" t="n">
        <f aca="false">X1-$D12</f>
        <v>0.954</v>
      </c>
      <c r="Z1" s="4" t="n">
        <f aca="false">Y1-$D12</f>
        <v>0.95</v>
      </c>
      <c r="AA1" s="4" t="n">
        <f aca="false">Z1-$D12</f>
        <v>0.946</v>
      </c>
      <c r="AB1" s="4" t="n">
        <f aca="false">AA1-$D12</f>
        <v>0.942</v>
      </c>
      <c r="AC1" s="4" t="n">
        <f aca="false">AB1-$D12</f>
        <v>0.938</v>
      </c>
      <c r="AD1" s="4" t="n">
        <f aca="false">AC1-$D12</f>
        <v>0.934</v>
      </c>
      <c r="AE1" s="4" t="n">
        <f aca="false">AD1-$D12</f>
        <v>0.93</v>
      </c>
      <c r="AF1" s="4" t="n">
        <f aca="false">AE1-$D12</f>
        <v>0.926</v>
      </c>
      <c r="AG1" s="4" t="n">
        <f aca="false">AF1-$D12</f>
        <v>0.922</v>
      </c>
      <c r="AH1" s="4" t="n">
        <f aca="false">AG1-$D12</f>
        <v>0.918</v>
      </c>
      <c r="AI1" s="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7</v>
      </c>
    </row>
    <row r="4" customFormat="false" ht="21.75" hidden="false" customHeight="true" outlineLevel="0" collapsed="false">
      <c r="B4" s="42" t="s">
        <v>8</v>
      </c>
      <c r="C4" s="43" t="n">
        <v>436.1</v>
      </c>
      <c r="D4" s="12" t="s">
        <v>4</v>
      </c>
      <c r="E4" s="13" t="s">
        <v>4</v>
      </c>
      <c r="F4" s="9" t="s">
        <v>9</v>
      </c>
      <c r="M4" s="1" t="s">
        <v>229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12</v>
      </c>
      <c r="M5" s="1" t="s">
        <v>230</v>
      </c>
    </row>
    <row r="6" customFormat="false" ht="20.25" hidden="false" customHeight="true" outlineLevel="0" collapsed="false">
      <c r="B6" s="14"/>
      <c r="C6" s="14"/>
      <c r="D6" s="14"/>
      <c r="E6" s="14"/>
      <c r="M6" s="1" t="s">
        <v>231</v>
      </c>
    </row>
    <row r="7" customFormat="false" ht="22.5" hidden="false" customHeight="true" outlineLevel="0" collapsed="false">
      <c r="B7" s="2" t="s">
        <v>107</v>
      </c>
      <c r="C7" s="37"/>
      <c r="D7" s="37"/>
      <c r="E7" s="38"/>
      <c r="M7" s="1" t="s">
        <v>232</v>
      </c>
    </row>
    <row r="8" customFormat="false" ht="22.5" hidden="false" customHeight="true" outlineLevel="0" collapsed="false">
      <c r="B8" s="16" t="s">
        <v>14</v>
      </c>
      <c r="E8" s="46"/>
      <c r="M8" s="1" t="s">
        <v>233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1" t="s">
        <v>110</v>
      </c>
    </row>
    <row r="10" customFormat="false" ht="30" hidden="false" customHeight="true" outlineLevel="0" collapsed="false">
      <c r="B10" s="50" t="s">
        <v>19</v>
      </c>
      <c r="C10" s="51" t="s">
        <v>20</v>
      </c>
      <c r="D10" s="52" t="n">
        <v>547002</v>
      </c>
      <c r="E10" s="22" t="n">
        <v>20</v>
      </c>
      <c r="F10" s="9" t="s">
        <v>21</v>
      </c>
      <c r="M10" s="1" t="s">
        <v>102</v>
      </c>
    </row>
    <row r="11" customFormat="false" ht="30" hidden="false" customHeight="true" outlineLevel="0" collapsed="false">
      <c r="B11" s="53"/>
      <c r="C11" s="44" t="s">
        <v>22</v>
      </c>
      <c r="D11" s="54" t="n">
        <v>0.01</v>
      </c>
      <c r="E11" s="55"/>
      <c r="F11" s="9" t="s">
        <v>23</v>
      </c>
    </row>
    <row r="12" customFormat="false" ht="30" hidden="false" customHeight="true" outlineLevel="0" collapsed="false">
      <c r="B12" s="53"/>
      <c r="C12" s="44" t="s">
        <v>24</v>
      </c>
      <c r="D12" s="56" t="n">
        <v>0.004</v>
      </c>
      <c r="E12" s="55"/>
      <c r="F12" s="9" t="s">
        <v>25</v>
      </c>
    </row>
    <row r="13" customFormat="false" ht="22.5" hidden="false" customHeight="true" outlineLevel="0" collapsed="false">
      <c r="B13" s="53"/>
      <c r="C13" s="57" t="s">
        <v>26</v>
      </c>
      <c r="D13" s="58" t="n">
        <v>4</v>
      </c>
      <c r="E13" s="55"/>
      <c r="F13" s="9" t="s">
        <v>27</v>
      </c>
    </row>
    <row r="14" customFormat="false" ht="22.5" hidden="false" customHeight="true" outlineLevel="0" collapsed="false">
      <c r="B14" s="27" t="s">
        <v>112</v>
      </c>
      <c r="C14" s="37"/>
      <c r="D14" s="37"/>
      <c r="E14" s="38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30</v>
      </c>
      <c r="C16" s="51" t="s">
        <v>31</v>
      </c>
      <c r="D16" s="59" t="n">
        <v>20000</v>
      </c>
      <c r="E16" s="8" t="n">
        <v>20</v>
      </c>
      <c r="F16" s="9" t="s">
        <v>32</v>
      </c>
    </row>
    <row r="17" customFormat="false" ht="21.75" hidden="false" customHeight="true" outlineLevel="0" collapsed="false">
      <c r="B17" s="53"/>
      <c r="C17" s="44" t="s">
        <v>33</v>
      </c>
      <c r="D17" s="60" t="n">
        <v>0.3</v>
      </c>
      <c r="E17" s="55"/>
      <c r="F17" s="9" t="s">
        <v>34</v>
      </c>
    </row>
    <row r="18" customFormat="false" ht="21.75" hidden="false" customHeight="true" outlineLevel="0" collapsed="false">
      <c r="B18" s="61"/>
      <c r="C18" s="44" t="s">
        <v>35</v>
      </c>
      <c r="D18" s="62" t="n">
        <v>3000</v>
      </c>
      <c r="E18" s="63"/>
      <c r="F18" s="9" t="s">
        <v>36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39</v>
      </c>
    </row>
    <row r="20" customFormat="false" ht="20.25" hidden="false" customHeight="true" outlineLevel="0" collapsed="false">
      <c r="B20" s="53"/>
      <c r="C20" s="65" t="s">
        <v>40</v>
      </c>
      <c r="D20" s="62" t="n">
        <v>290201</v>
      </c>
      <c r="E20" s="8" t="n">
        <v>20</v>
      </c>
      <c r="F20" s="9" t="s">
        <v>41</v>
      </c>
    </row>
    <row r="21" customFormat="false" ht="30" hidden="false" customHeight="true" outlineLevel="0" collapsed="false">
      <c r="B21" s="61"/>
      <c r="C21" s="44" t="s">
        <v>42</v>
      </c>
      <c r="D21" s="60" t="n">
        <v>0</v>
      </c>
      <c r="E21" s="13" t="n">
        <v>20</v>
      </c>
      <c r="F21" s="9" t="s">
        <v>43</v>
      </c>
    </row>
    <row r="22" customFormat="false" ht="30" hidden="false" customHeight="true" outlineLevel="0" collapsed="false">
      <c r="B22" s="44" t="s">
        <v>44</v>
      </c>
      <c r="C22" s="44" t="s">
        <v>45</v>
      </c>
      <c r="D22" s="66" t="n">
        <v>400</v>
      </c>
      <c r="E22" s="13" t="n">
        <v>20</v>
      </c>
      <c r="F22" s="9" t="s">
        <v>46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49</v>
      </c>
    </row>
    <row r="24" customFormat="false" ht="30" hidden="false" customHeight="true" outlineLevel="0" collapsed="false">
      <c r="B24" s="44" t="s">
        <v>50</v>
      </c>
      <c r="C24" s="44" t="s">
        <v>51</v>
      </c>
      <c r="D24" s="66" t="n">
        <v>1000</v>
      </c>
      <c r="E24" s="32" t="n">
        <v>10</v>
      </c>
      <c r="F24" s="9" t="s">
        <v>52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55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58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37"/>
      <c r="D29" s="38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63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69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71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116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89" t="s">
        <v>117</v>
      </c>
      <c r="C41" s="90" t="s">
        <v>4</v>
      </c>
      <c r="D41" s="91" t="n">
        <f aca="false">D40*$D$13</f>
        <v>2166127.92</v>
      </c>
      <c r="E41" s="91" t="n">
        <f aca="false">E40*$D$13</f>
        <v>2157375.888</v>
      </c>
      <c r="F41" s="91" t="n">
        <f aca="false">F40*$D$13</f>
        <v>2148623.856</v>
      </c>
      <c r="G41" s="91" t="n">
        <f aca="false">G40*$D$13</f>
        <v>2139871.824</v>
      </c>
      <c r="H41" s="91" t="n">
        <f aca="false">H40*$D$13</f>
        <v>2131119.792</v>
      </c>
      <c r="I41" s="91" t="n">
        <f aca="false">I40*$D$13</f>
        <v>2122367.76</v>
      </c>
      <c r="J41" s="91" t="n">
        <f aca="false">J40*$D$13</f>
        <v>2113615.728</v>
      </c>
      <c r="K41" s="91" t="n">
        <f aca="false">K40*$D$13</f>
        <v>2104863.696</v>
      </c>
      <c r="L41" s="91" t="n">
        <f aca="false">L40*$D$13</f>
        <v>2096111.664</v>
      </c>
      <c r="M41" s="91" t="n">
        <f aca="false">M40*$D$13</f>
        <v>2087359.632</v>
      </c>
      <c r="N41" s="91" t="n">
        <f aca="false">N40*$D$13</f>
        <v>2078607.6</v>
      </c>
      <c r="O41" s="91" t="n">
        <f aca="false">O40*$D$13</f>
        <v>2069855.568</v>
      </c>
      <c r="P41" s="91" t="n">
        <f aca="false">P40*$D$13</f>
        <v>2061103.536</v>
      </c>
      <c r="Q41" s="91" t="n">
        <f aca="false">Q40*$D$13</f>
        <v>2052351.504</v>
      </c>
      <c r="R41" s="91" t="n">
        <f aca="false">R40*$D$13</f>
        <v>2043599.472</v>
      </c>
      <c r="S41" s="91" t="n">
        <f aca="false">S40*$D$13</f>
        <v>2034847.44</v>
      </c>
      <c r="T41" s="91" t="n">
        <f aca="false">T40*$D$13</f>
        <v>2026095.408</v>
      </c>
      <c r="U41" s="91" t="n">
        <f aca="false">U40*$D$13</f>
        <v>2017343.376</v>
      </c>
      <c r="V41" s="91" t="n">
        <f aca="false">V40*$D$13</f>
        <v>2008591.344</v>
      </c>
      <c r="W41" s="91" t="n">
        <f aca="false">W40*$D$13</f>
        <v>1999839.312</v>
      </c>
      <c r="X41" s="92"/>
    </row>
    <row r="42" customFormat="false" ht="18.75" hidden="false" customHeight="true" outlineLevel="0" collapsed="false">
      <c r="B42" s="93" t="s">
        <v>118</v>
      </c>
      <c r="C42" s="94" t="s">
        <v>4</v>
      </c>
      <c r="D42" s="95"/>
      <c r="E42" s="95"/>
      <c r="F42" s="95"/>
      <c r="G42" s="96" t="s">
        <v>4</v>
      </c>
      <c r="H42" s="96" t="s">
        <v>4</v>
      </c>
      <c r="I42" s="96" t="s">
        <v>4</v>
      </c>
      <c r="J42" s="96" t="s">
        <v>4</v>
      </c>
      <c r="K42" s="96" t="s">
        <v>4</v>
      </c>
      <c r="L42" s="96" t="s">
        <v>4</v>
      </c>
      <c r="M42" s="96" t="s">
        <v>4</v>
      </c>
      <c r="N42" s="96" t="s">
        <v>4</v>
      </c>
      <c r="O42" s="96" t="s">
        <v>4</v>
      </c>
      <c r="P42" s="96" t="s">
        <v>4</v>
      </c>
      <c r="Q42" s="96" t="s">
        <v>4</v>
      </c>
      <c r="R42" s="96" t="s">
        <v>4</v>
      </c>
      <c r="S42" s="96" t="s">
        <v>4</v>
      </c>
      <c r="T42" s="96" t="s">
        <v>4</v>
      </c>
      <c r="U42" s="96" t="s">
        <v>4</v>
      </c>
      <c r="V42" s="96" t="s">
        <v>4</v>
      </c>
      <c r="W42" s="96" t="s">
        <v>4</v>
      </c>
      <c r="X42" s="97"/>
    </row>
    <row r="43" customFormat="false" ht="18.75" hidden="false" customHeight="true" outlineLevel="0" collapsed="false">
      <c r="B43" s="98" t="s">
        <v>119</v>
      </c>
      <c r="C43" s="99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1"/>
    </row>
    <row r="44" customFormat="false" ht="18.75" hidden="false" customHeight="true" outlineLevel="0" collapsed="false">
      <c r="B44" s="102" t="s">
        <v>120</v>
      </c>
      <c r="C44" s="103" t="n">
        <f aca="false">-(D16/(1-D17)+D18)*C4</f>
        <v>-13768300</v>
      </c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customFormat="false" ht="18.75" hidden="false" customHeight="true" outlineLevel="0" collapsed="false">
      <c r="B45" s="102" t="s">
        <v>121</v>
      </c>
      <c r="C45" s="94" t="s">
        <v>4</v>
      </c>
      <c r="D45" s="1" t="n">
        <v>-290201</v>
      </c>
      <c r="E45" s="104" t="n">
        <v>-290201</v>
      </c>
      <c r="F45" s="104" t="n">
        <v>-290201</v>
      </c>
      <c r="G45" s="104" t="n">
        <v>-290201</v>
      </c>
      <c r="H45" s="104" t="n">
        <v>-290201</v>
      </c>
      <c r="I45" s="104" t="n">
        <v>-290201</v>
      </c>
      <c r="J45" s="104" t="n">
        <v>-290201</v>
      </c>
      <c r="K45" s="104" t="n">
        <v>-290201</v>
      </c>
      <c r="L45" s="104" t="n">
        <v>-290201</v>
      </c>
      <c r="M45" s="104" t="n">
        <v>-290201</v>
      </c>
      <c r="N45" s="104" t="n">
        <v>-290201</v>
      </c>
      <c r="O45" s="104" t="n">
        <v>-290201</v>
      </c>
      <c r="P45" s="104" t="n">
        <v>-290201</v>
      </c>
      <c r="Q45" s="104" t="n">
        <v>-290201</v>
      </c>
      <c r="R45" s="104" t="n">
        <v>-290201</v>
      </c>
      <c r="S45" s="104" t="n">
        <v>-290201</v>
      </c>
      <c r="T45" s="104" t="n">
        <v>-290201</v>
      </c>
      <c r="U45" s="104" t="n">
        <v>-290201</v>
      </c>
      <c r="V45" s="104" t="n">
        <v>-290201</v>
      </c>
      <c r="W45" s="104" t="n">
        <v>-290201</v>
      </c>
      <c r="X45" s="104"/>
    </row>
    <row r="46" customFormat="false" ht="18.75" hidden="false" customHeight="true" outlineLevel="0" collapsed="false">
      <c r="B46" s="102" t="s">
        <v>122</v>
      </c>
      <c r="C46" s="9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customFormat="false" ht="18.75" hidden="false" customHeight="true" outlineLevel="0" collapsed="false">
      <c r="B47" s="102" t="s">
        <v>123</v>
      </c>
      <c r="C47" s="94" t="s">
        <v>4</v>
      </c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customFormat="false" ht="18.75" hidden="false" customHeight="true" outlineLevel="0" collapsed="false">
      <c r="B48" s="102" t="s">
        <v>124</v>
      </c>
      <c r="C48" s="94" t="s">
        <v>4</v>
      </c>
      <c r="D48" s="104" t="n">
        <v>-174440</v>
      </c>
      <c r="E48" s="104" t="n">
        <v>-174440</v>
      </c>
      <c r="F48" s="104" t="n">
        <v>-174440</v>
      </c>
      <c r="G48" s="104" t="n">
        <v>-174440</v>
      </c>
      <c r="H48" s="104" t="n">
        <v>-174440</v>
      </c>
      <c r="I48" s="104" t="n">
        <v>-174440</v>
      </c>
      <c r="J48" s="104" t="n">
        <v>-174440</v>
      </c>
      <c r="K48" s="104" t="n">
        <v>-174440</v>
      </c>
      <c r="L48" s="104" t="n">
        <v>-174440</v>
      </c>
      <c r="M48" s="104" t="n">
        <v>-174440</v>
      </c>
      <c r="N48" s="104" t="n">
        <v>-174440</v>
      </c>
      <c r="O48" s="104" t="n">
        <v>-174440</v>
      </c>
      <c r="P48" s="104" t="n">
        <v>-174440</v>
      </c>
      <c r="Q48" s="104" t="n">
        <v>-174440</v>
      </c>
      <c r="R48" s="104" t="n">
        <v>-174440</v>
      </c>
      <c r="S48" s="104" t="n">
        <v>-174440</v>
      </c>
      <c r="T48" s="104" t="n">
        <v>-174440</v>
      </c>
      <c r="U48" s="104" t="n">
        <v>-174440</v>
      </c>
      <c r="V48" s="104" t="n">
        <v>-174440</v>
      </c>
      <c r="W48" s="104" t="n">
        <v>-174440</v>
      </c>
      <c r="X48" s="104"/>
    </row>
    <row r="49" customFormat="false" ht="18.75" hidden="false" customHeight="true" outlineLevel="0" collapsed="false">
      <c r="B49" s="102" t="s">
        <v>125</v>
      </c>
      <c r="C49" s="94" t="s">
        <v>4</v>
      </c>
      <c r="D49" s="104" t="n">
        <v>-26166</v>
      </c>
      <c r="E49" s="104" t="n">
        <v>-26166</v>
      </c>
      <c r="F49" s="104" t="n">
        <v>-26166</v>
      </c>
      <c r="G49" s="104" t="n">
        <v>-26166</v>
      </c>
      <c r="H49" s="104" t="n">
        <v>-26166</v>
      </c>
      <c r="I49" s="104" t="n">
        <v>-26166</v>
      </c>
      <c r="J49" s="104" t="n">
        <v>-26166</v>
      </c>
      <c r="K49" s="104" t="n">
        <v>-26166</v>
      </c>
      <c r="L49" s="104" t="n">
        <v>-26166</v>
      </c>
      <c r="M49" s="104" t="n">
        <v>-26166</v>
      </c>
      <c r="N49" s="104" t="n">
        <v>-26166</v>
      </c>
      <c r="O49" s="104" t="n">
        <v>-26166</v>
      </c>
      <c r="P49" s="104" t="n">
        <v>-26166</v>
      </c>
      <c r="Q49" s="104" t="n">
        <v>-26166</v>
      </c>
      <c r="R49" s="104" t="n">
        <v>-26166</v>
      </c>
      <c r="S49" s="104" t="n">
        <v>-26166</v>
      </c>
      <c r="T49" s="104" t="n">
        <v>-26166</v>
      </c>
      <c r="U49" s="104" t="n">
        <v>-26166</v>
      </c>
      <c r="V49" s="104" t="n">
        <v>-26166</v>
      </c>
      <c r="W49" s="104" t="n">
        <v>-26166</v>
      </c>
      <c r="X49" s="104"/>
    </row>
    <row r="50" customFormat="false" ht="18.75" hidden="false" customHeight="true" outlineLevel="0" collapsed="false">
      <c r="B50" s="102" t="s">
        <v>126</v>
      </c>
      <c r="C50" s="94"/>
      <c r="D50" s="104" t="n">
        <v>-43610</v>
      </c>
      <c r="E50" s="104" t="n">
        <v>-43610</v>
      </c>
      <c r="F50" s="104" t="n">
        <v>-43610</v>
      </c>
      <c r="G50" s="104" t="n">
        <v>-43610</v>
      </c>
      <c r="H50" s="104" t="n">
        <v>-43610</v>
      </c>
      <c r="I50" s="104" t="n">
        <v>-43610</v>
      </c>
      <c r="J50" s="104" t="n">
        <v>-43610</v>
      </c>
      <c r="K50" s="104" t="n">
        <v>-43610</v>
      </c>
      <c r="L50" s="104" t="n">
        <v>-43610</v>
      </c>
      <c r="M50" s="104" t="n">
        <v>-43610</v>
      </c>
      <c r="N50" s="104" t="n">
        <v>0</v>
      </c>
      <c r="O50" s="104" t="n">
        <v>0</v>
      </c>
      <c r="P50" s="104" t="n">
        <v>0</v>
      </c>
      <c r="Q50" s="104" t="n">
        <v>0</v>
      </c>
      <c r="R50" s="104" t="n">
        <v>0</v>
      </c>
      <c r="S50" s="104" t="n">
        <v>0</v>
      </c>
      <c r="T50" s="104" t="n">
        <v>0</v>
      </c>
      <c r="U50" s="104" t="n">
        <v>0</v>
      </c>
      <c r="V50" s="104" t="n">
        <v>0</v>
      </c>
      <c r="W50" s="104" t="n">
        <v>0</v>
      </c>
      <c r="X50" s="104"/>
    </row>
    <row r="51" customFormat="false" ht="18.75" hidden="false" customHeight="true" outlineLevel="0" collapsed="false">
      <c r="B51" s="102" t="s">
        <v>127</v>
      </c>
      <c r="C51" s="105"/>
      <c r="D51" s="104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customFormat="false" ht="18.75" hidden="false" customHeight="true" outlineLevel="0" collapsed="false">
      <c r="B52" s="102" t="s">
        <v>128</v>
      </c>
      <c r="C52" s="105"/>
      <c r="D52" s="104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customFormat="false" ht="18.75" hidden="false" customHeight="true" outlineLevel="0" collapsed="false">
      <c r="B53" s="106" t="s">
        <v>129</v>
      </c>
      <c r="C53" s="105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customFormat="false" ht="18.75" hidden="false" customHeight="true" outlineLevel="0" collapsed="false">
      <c r="B54" s="106" t="s">
        <v>130</v>
      </c>
      <c r="C54" s="105"/>
      <c r="D54" s="104" t="n">
        <f aca="false">-(D64+D67+D68+D71+D72+D73+D74)*0.2</f>
        <v>-246699.384</v>
      </c>
      <c r="E54" s="104" t="n">
        <f aca="false">-(E64+E67+E68+E71+E72+E73+E74)*0.2</f>
        <v>-186908.7776</v>
      </c>
      <c r="F54" s="104" t="n">
        <f aca="false">-(F64+F67+F68+F71+F72+F73+F74)*0.2</f>
        <v>-185158.3712</v>
      </c>
      <c r="G54" s="104" t="n">
        <f aca="false">-(G64+G67+G68+G71+G72+G73+G74)*0.2</f>
        <v>-183407.9648</v>
      </c>
      <c r="H54" s="104" t="n">
        <f aca="false">-(H64+H67+H68+H71+H72+H73+H74)*0.2</f>
        <v>-181657.5584</v>
      </c>
      <c r="I54" s="104" t="n">
        <f aca="false">-(I64+I67+I68+I71+I72+I73+I74)*0.2</f>
        <v>-179907.152</v>
      </c>
      <c r="J54" s="104" t="n">
        <f aca="false">-(J64+J67+J68+J71+J72+J73+J74)*0.2</f>
        <v>-178156.7456</v>
      </c>
      <c r="K54" s="104" t="n">
        <f aca="false">-(K64+K67+K68+K71+K72+K73+K74)*0.2</f>
        <v>-176406.3392</v>
      </c>
      <c r="L54" s="104" t="n">
        <f aca="false">-(L64+L67+L68+L71+L72+L73+L74)*0.2</f>
        <v>-174655.9328</v>
      </c>
      <c r="M54" s="104" t="n">
        <f aca="false">-(M64+M67+M68+M71+M72+M73+M74)*0.2</f>
        <v>-172905.5264</v>
      </c>
      <c r="N54" s="104" t="n">
        <f aca="false">-(N64+N67+N68+N71+N72+N73+N74)*0.2</f>
        <v>-179877.12</v>
      </c>
      <c r="O54" s="104" t="n">
        <f aca="false">-(O64+O67+O68+O71+O72+O73+O74)*0.2</f>
        <v>-178126.7136</v>
      </c>
      <c r="P54" s="104" t="n">
        <f aca="false">-(P64+P67+P68+P71+P72+P73+P74)*0.2</f>
        <v>-176376.3072</v>
      </c>
      <c r="Q54" s="104" t="n">
        <f aca="false">-(Q64+Q67+Q68+Q71+Q72+Q73+Q74)*0.2</f>
        <v>-174625.9008</v>
      </c>
      <c r="R54" s="104" t="n">
        <f aca="false">-(R64+R67+R68+R71+R72+R73+R74)*0.2</f>
        <v>-172875.4944</v>
      </c>
      <c r="S54" s="104" t="n">
        <f aca="false">-(S64+S67+S68+S71+S72+S73+S74)*0.2</f>
        <v>-171125.088</v>
      </c>
      <c r="T54" s="104" t="n">
        <f aca="false">-(T64+T67+T68+T71+T72+T73+T74)*0.2</f>
        <v>-169374.6816</v>
      </c>
      <c r="U54" s="104" t="n">
        <f aca="false">-(U64+U67+U68+U71+U72+U73+U74)*0.2</f>
        <v>-167624.2752</v>
      </c>
      <c r="V54" s="104" t="n">
        <f aca="false">-(V64+V67+V68+V71+V72+V73+V74)*0.2</f>
        <v>-165873.8688</v>
      </c>
      <c r="W54" s="104" t="n">
        <f aca="false">-(W64+W67+W68+W71+W72+W73+W74)*0.2</f>
        <v>-164123.4624</v>
      </c>
      <c r="X54" s="95"/>
    </row>
    <row r="55" customFormat="false" ht="18.75" hidden="false" customHeight="true" outlineLevel="0" collapsed="false">
      <c r="B55" s="107" t="s">
        <v>131</v>
      </c>
      <c r="C55" s="108" t="n">
        <f aca="false">C44</f>
        <v>-13768300</v>
      </c>
      <c r="D55" s="109" t="n">
        <f aca="false">SUM(D41:D54)</f>
        <v>1385011.536</v>
      </c>
      <c r="E55" s="109" t="n">
        <f aca="false">SUM(E41:E54)</f>
        <v>1436050.1104</v>
      </c>
      <c r="F55" s="109" t="n">
        <f aca="false">SUM(F41:F54)</f>
        <v>1429048.4848</v>
      </c>
      <c r="G55" s="109" t="n">
        <f aca="false">SUM(G41:G54)</f>
        <v>1422046.8592</v>
      </c>
      <c r="H55" s="109" t="n">
        <f aca="false">SUM(H41:H54)</f>
        <v>1415045.2336</v>
      </c>
      <c r="I55" s="109" t="n">
        <f aca="false">SUM(I41:I54)</f>
        <v>1408043.608</v>
      </c>
      <c r="J55" s="109" t="n">
        <f aca="false">SUM(J41:J54)</f>
        <v>1401041.9824</v>
      </c>
      <c r="K55" s="109" t="n">
        <f aca="false">SUM(K41:K54)</f>
        <v>1394040.3568</v>
      </c>
      <c r="L55" s="109" t="n">
        <f aca="false">SUM(L41:L54)</f>
        <v>1387038.7312</v>
      </c>
      <c r="M55" s="109" t="n">
        <f aca="false">SUM(M41:M54)</f>
        <v>1380037.1056</v>
      </c>
      <c r="N55" s="109" t="n">
        <f aca="false">SUM(N41:N54)</f>
        <v>1407923.48</v>
      </c>
      <c r="O55" s="109" t="n">
        <f aca="false">SUM(O41:O54)</f>
        <v>1400921.8544</v>
      </c>
      <c r="P55" s="109" t="n">
        <f aca="false">SUM(P41:P54)</f>
        <v>1393920.2288</v>
      </c>
      <c r="Q55" s="109" t="n">
        <f aca="false">SUM(Q41:Q54)</f>
        <v>1386918.6032</v>
      </c>
      <c r="R55" s="109" t="n">
        <f aca="false">SUM(R41:R54)</f>
        <v>1379916.9776</v>
      </c>
      <c r="S55" s="109" t="n">
        <f aca="false">SUM(S41:S54)</f>
        <v>1372915.352</v>
      </c>
      <c r="T55" s="109" t="n">
        <f aca="false">SUM(T41:T54)</f>
        <v>1365913.7264</v>
      </c>
      <c r="U55" s="109" t="n">
        <f aca="false">SUM(U41:U54)</f>
        <v>1358912.1008</v>
      </c>
      <c r="V55" s="109" t="n">
        <f aca="false">SUM(V41:V54)</f>
        <v>1351910.4752</v>
      </c>
      <c r="W55" s="109" t="n">
        <f aca="false">SUM(W41:W54)</f>
        <v>1344908.8496</v>
      </c>
      <c r="X55" s="110"/>
      <c r="Y55" s="111"/>
      <c r="Z55" s="112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</row>
    <row r="56" customFormat="false" ht="18.75" hidden="false" customHeight="true" outlineLevel="0" collapsed="false">
      <c r="B56" s="113" t="s">
        <v>132</v>
      </c>
      <c r="D56" s="114" t="n">
        <f aca="false">C55+D55</f>
        <v>-12383288.464</v>
      </c>
      <c r="E56" s="114" t="n">
        <f aca="false">D56+E55</f>
        <v>-10947238.3536</v>
      </c>
      <c r="F56" s="114" t="n">
        <f aca="false">E56+F55</f>
        <v>-9518189.8688</v>
      </c>
      <c r="G56" s="114" t="n">
        <f aca="false">F56+G55</f>
        <v>-8096143.0096</v>
      </c>
      <c r="H56" s="114" t="n">
        <f aca="false">G56+H55</f>
        <v>-6681097.776</v>
      </c>
      <c r="I56" s="114" t="n">
        <f aca="false">H56+I55</f>
        <v>-5273054.168</v>
      </c>
      <c r="J56" s="114" t="n">
        <f aca="false">I56+J55</f>
        <v>-3872012.1856</v>
      </c>
      <c r="K56" s="114" t="n">
        <f aca="false">J56+K55</f>
        <v>-2477971.8288</v>
      </c>
      <c r="L56" s="114" t="n">
        <f aca="false">K56+L55</f>
        <v>-1090933.0976</v>
      </c>
      <c r="M56" s="114" t="n">
        <f aca="false">L56+M55</f>
        <v>289104.007999999</v>
      </c>
      <c r="N56" s="114" t="n">
        <f aca="false">M56+N55</f>
        <v>1697027.488</v>
      </c>
      <c r="O56" s="114" t="n">
        <f aca="false">N56+O55</f>
        <v>3097949.3424</v>
      </c>
      <c r="P56" s="114" t="n">
        <f aca="false">O56+P55</f>
        <v>4491869.5712</v>
      </c>
      <c r="Q56" s="114" t="n">
        <f aca="false">P56+Q55</f>
        <v>5878788.1744</v>
      </c>
      <c r="R56" s="114" t="n">
        <f aca="false">Q56+R55</f>
        <v>7258705.152</v>
      </c>
      <c r="S56" s="114" t="n">
        <f aca="false">R56+S55</f>
        <v>8631620.504</v>
      </c>
      <c r="T56" s="114" t="n">
        <f aca="false">S56+T55</f>
        <v>9997534.2304</v>
      </c>
      <c r="U56" s="114" t="n">
        <f aca="false">T56+U55</f>
        <v>11356446.3312</v>
      </c>
      <c r="V56" s="114" t="n">
        <f aca="false">U56+V55</f>
        <v>12708356.8064</v>
      </c>
      <c r="W56" s="114" t="n">
        <f aca="false">V56+W55</f>
        <v>14053265.656</v>
      </c>
      <c r="X56" s="114" t="n">
        <f aca="false">W56+X55</f>
        <v>14053265.656</v>
      </c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</row>
    <row r="57" customFormat="false" ht="18.75" hidden="false" customHeight="true" outlineLevel="0" collapsed="false">
      <c r="B57" s="115" t="s">
        <v>133</v>
      </c>
      <c r="C57" s="116"/>
      <c r="D57" s="117" t="str">
        <f aca="false">IF((D56)&gt;0,"回收","未回收")</f>
        <v>未回收</v>
      </c>
      <c r="E57" s="118" t="str">
        <f aca="false">IF((E56)&gt;0,"回收","未回收")</f>
        <v>未回收</v>
      </c>
      <c r="F57" s="118" t="str">
        <f aca="false">IF((F56)&gt;0,"回收","未回收")</f>
        <v>未回收</v>
      </c>
      <c r="G57" s="118" t="str">
        <f aca="false">IF((G56)&gt;0,"回收","未回收")</f>
        <v>未回收</v>
      </c>
      <c r="H57" s="118" t="str">
        <f aca="false">IF((H56)&gt;0,"回收","未回收")</f>
        <v>未回收</v>
      </c>
      <c r="I57" s="118" t="str">
        <f aca="false">IF((I56)&gt;0,"回收","未回收")</f>
        <v>未回收</v>
      </c>
      <c r="J57" s="118" t="str">
        <f aca="false">IF((J56)&gt;0,"回收","未回收")</f>
        <v>未回收</v>
      </c>
      <c r="K57" s="118" t="str">
        <f aca="false">IF((K56)&gt;0,"回收","未回收")</f>
        <v>未回收</v>
      </c>
      <c r="L57" s="118" t="str">
        <f aca="false">IF((L56)&gt;0,"回收","未回收")</f>
        <v>未回收</v>
      </c>
      <c r="M57" s="118" t="str">
        <f aca="false">IF((M56)&gt;0,"回收","未回收")</f>
        <v>回收</v>
      </c>
      <c r="N57" s="118" t="str">
        <f aca="false">IF((N56)&gt;0,"回收","未回收")</f>
        <v>回收</v>
      </c>
      <c r="O57" s="118" t="str">
        <f aca="false">IF((O56)&gt;0,"回收","未回收")</f>
        <v>回收</v>
      </c>
      <c r="P57" s="118" t="str">
        <f aca="false">IF((P56)&gt;0,"回收","未回收")</f>
        <v>回收</v>
      </c>
      <c r="Q57" s="118" t="str">
        <f aca="false">IF((Q56)&gt;0,"回收","未回收")</f>
        <v>回收</v>
      </c>
      <c r="R57" s="118" t="str">
        <f aca="false">IF((R56)&gt;0,"回收","未回收")</f>
        <v>回收</v>
      </c>
      <c r="S57" s="118" t="str">
        <f aca="false">IF((S56)&gt;0,"回收","未回收")</f>
        <v>回收</v>
      </c>
      <c r="T57" s="118" t="str">
        <f aca="false">IF((T56)&gt;0,"回收","未回收")</f>
        <v>回收</v>
      </c>
      <c r="U57" s="118" t="str">
        <f aca="false">IF((U56)&gt;0,"回收","未回收")</f>
        <v>回收</v>
      </c>
      <c r="V57" s="118" t="str">
        <f aca="false">IF((V56)&gt;0,"回收","未回收")</f>
        <v>回收</v>
      </c>
      <c r="W57" s="118" t="str">
        <f aca="false">IF((W56)&gt;0,"回收","未回收")</f>
        <v>回收</v>
      </c>
      <c r="X57" s="118" t="str">
        <f aca="false">IF((X56)&gt;0,"回收","未回收")</f>
        <v>回收</v>
      </c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0.0797119685348362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116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89" t="s">
        <v>117</v>
      </c>
      <c r="C64" s="90" t="s">
        <v>4</v>
      </c>
      <c r="D64" s="91" t="n">
        <f aca="false">D41</f>
        <v>2166127.92</v>
      </c>
      <c r="E64" s="91" t="n">
        <f aca="false">E41</f>
        <v>2157375.888</v>
      </c>
      <c r="F64" s="91" t="n">
        <f aca="false">F41</f>
        <v>2148623.856</v>
      </c>
      <c r="G64" s="91" t="n">
        <f aca="false">G41</f>
        <v>2139871.824</v>
      </c>
      <c r="H64" s="91" t="n">
        <f aca="false">H41</f>
        <v>2131119.792</v>
      </c>
      <c r="I64" s="91" t="n">
        <f aca="false">I41</f>
        <v>2122367.76</v>
      </c>
      <c r="J64" s="91" t="n">
        <f aca="false">J41</f>
        <v>2113615.728</v>
      </c>
      <c r="K64" s="91" t="n">
        <f aca="false">K41</f>
        <v>2104863.696</v>
      </c>
      <c r="L64" s="91" t="n">
        <f aca="false">L41</f>
        <v>2096111.664</v>
      </c>
      <c r="M64" s="91" t="n">
        <f aca="false">M41</f>
        <v>2087359.632</v>
      </c>
      <c r="N64" s="91" t="n">
        <f aca="false">N41</f>
        <v>2078607.6</v>
      </c>
      <c r="O64" s="91" t="n">
        <f aca="false">O41</f>
        <v>2069855.568</v>
      </c>
      <c r="P64" s="91" t="n">
        <f aca="false">P41</f>
        <v>2061103.536</v>
      </c>
      <c r="Q64" s="91" t="n">
        <f aca="false">Q41</f>
        <v>2052351.504</v>
      </c>
      <c r="R64" s="91" t="n">
        <f aca="false">R41</f>
        <v>2043599.472</v>
      </c>
      <c r="S64" s="91" t="n">
        <f aca="false">S41</f>
        <v>2034847.44</v>
      </c>
      <c r="T64" s="91" t="n">
        <f aca="false">T41</f>
        <v>2026095.408</v>
      </c>
      <c r="U64" s="91" t="n">
        <f aca="false">U41</f>
        <v>2017343.376</v>
      </c>
      <c r="V64" s="91" t="n">
        <f aca="false">V41</f>
        <v>2008591.344</v>
      </c>
      <c r="W64" s="91" t="n">
        <f aca="false">W41</f>
        <v>1999839.312</v>
      </c>
      <c r="X64" s="92"/>
    </row>
    <row r="65" customFormat="false" ht="18.75" hidden="false" customHeight="true" outlineLevel="0" collapsed="false">
      <c r="B65" s="93" t="s">
        <v>118</v>
      </c>
      <c r="C65" s="94" t="s">
        <v>4</v>
      </c>
      <c r="D65" s="95"/>
      <c r="E65" s="95"/>
      <c r="F65" s="95"/>
      <c r="G65" s="96" t="s">
        <v>4</v>
      </c>
      <c r="H65" s="96" t="s">
        <v>4</v>
      </c>
      <c r="I65" s="96" t="s">
        <v>4</v>
      </c>
      <c r="J65" s="96" t="s">
        <v>4</v>
      </c>
      <c r="K65" s="96" t="s">
        <v>4</v>
      </c>
      <c r="L65" s="96" t="s">
        <v>4</v>
      </c>
      <c r="M65" s="96" t="s">
        <v>4</v>
      </c>
      <c r="N65" s="96" t="s">
        <v>4</v>
      </c>
      <c r="O65" s="96" t="s">
        <v>4</v>
      </c>
      <c r="P65" s="96" t="s">
        <v>4</v>
      </c>
      <c r="Q65" s="96" t="s">
        <v>4</v>
      </c>
      <c r="R65" s="96" t="s">
        <v>4</v>
      </c>
      <c r="S65" s="96" t="s">
        <v>4</v>
      </c>
      <c r="T65" s="96" t="s">
        <v>4</v>
      </c>
      <c r="U65" s="96" t="s">
        <v>4</v>
      </c>
      <c r="V65" s="96" t="s">
        <v>4</v>
      </c>
      <c r="W65" s="96" t="s">
        <v>4</v>
      </c>
      <c r="X65" s="97"/>
    </row>
    <row r="66" customFormat="false" ht="18.75" hidden="false" customHeight="true" outlineLevel="0" collapsed="false">
      <c r="B66" s="98" t="s">
        <v>119</v>
      </c>
      <c r="C66" s="99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1"/>
    </row>
    <row r="67" customFormat="false" ht="18.75" hidden="false" customHeight="true" outlineLevel="0" collapsed="false">
      <c r="B67" s="102" t="s">
        <v>135</v>
      </c>
      <c r="C67" s="94"/>
      <c r="D67" s="127" t="n">
        <f aca="false">$C$44/$E$16</f>
        <v>-688415</v>
      </c>
      <c r="E67" s="127" t="n">
        <f aca="false">$C$44/$E$16</f>
        <v>-688415</v>
      </c>
      <c r="F67" s="127" t="n">
        <f aca="false">$C$44/$E$16</f>
        <v>-688415</v>
      </c>
      <c r="G67" s="127" t="n">
        <f aca="false">$C$44/$E$16</f>
        <v>-688415</v>
      </c>
      <c r="H67" s="127" t="n">
        <f aca="false">$C$44/$E$16</f>
        <v>-688415</v>
      </c>
      <c r="I67" s="127" t="n">
        <f aca="false">$C$44/$E$16</f>
        <v>-688415</v>
      </c>
      <c r="J67" s="127" t="n">
        <f aca="false">$C$44/$E$16</f>
        <v>-688415</v>
      </c>
      <c r="K67" s="127" t="n">
        <f aca="false">$C$44/$E$16</f>
        <v>-688415</v>
      </c>
      <c r="L67" s="127" t="n">
        <f aca="false">$C$44/$E$16</f>
        <v>-688415</v>
      </c>
      <c r="M67" s="127" t="n">
        <f aca="false">$C$44/$E$16</f>
        <v>-688415</v>
      </c>
      <c r="N67" s="127" t="n">
        <f aca="false">$C$44/$E$16</f>
        <v>-688415</v>
      </c>
      <c r="O67" s="127" t="n">
        <f aca="false">$C$44/$E$16</f>
        <v>-688415</v>
      </c>
      <c r="P67" s="127" t="n">
        <f aca="false">$C$44/$E$16</f>
        <v>-688415</v>
      </c>
      <c r="Q67" s="127" t="n">
        <f aca="false">$C$44/$E$16</f>
        <v>-688415</v>
      </c>
      <c r="R67" s="127" t="n">
        <f aca="false">$C$44/$E$16</f>
        <v>-688415</v>
      </c>
      <c r="S67" s="127" t="n">
        <f aca="false">$C$44/$E$16</f>
        <v>-688415</v>
      </c>
      <c r="T67" s="127" t="n">
        <f aca="false">$C$44/$E$16</f>
        <v>-688415</v>
      </c>
      <c r="U67" s="127" t="n">
        <f aca="false">$C$44/$E$16</f>
        <v>-688415</v>
      </c>
      <c r="V67" s="127" t="n">
        <f aca="false">$C$44/$E$16</f>
        <v>-688415</v>
      </c>
      <c r="W67" s="127" t="n">
        <f aca="false">$C$44/$E$16</f>
        <v>-688415</v>
      </c>
      <c r="X67" s="97"/>
    </row>
    <row r="68" customFormat="false" ht="18.75" hidden="false" customHeight="true" outlineLevel="0" collapsed="false">
      <c r="B68" s="102" t="s">
        <v>121</v>
      </c>
      <c r="C68" s="94" t="s">
        <v>4</v>
      </c>
      <c r="D68" s="104" t="n">
        <f aca="false">D44</f>
        <v>0</v>
      </c>
      <c r="E68" s="104" t="n">
        <f aca="false">E45</f>
        <v>-290201</v>
      </c>
      <c r="F68" s="104" t="n">
        <f aca="false">F45</f>
        <v>-290201</v>
      </c>
      <c r="G68" s="104" t="n">
        <f aca="false">G45</f>
        <v>-290201</v>
      </c>
      <c r="H68" s="104" t="n">
        <f aca="false">H45</f>
        <v>-290201</v>
      </c>
      <c r="I68" s="104" t="n">
        <f aca="false">I45</f>
        <v>-290201</v>
      </c>
      <c r="J68" s="104" t="n">
        <f aca="false">J45</f>
        <v>-290201</v>
      </c>
      <c r="K68" s="104" t="n">
        <f aca="false">K45</f>
        <v>-290201</v>
      </c>
      <c r="L68" s="104" t="n">
        <f aca="false">L45</f>
        <v>-290201</v>
      </c>
      <c r="M68" s="104" t="n">
        <f aca="false">M45</f>
        <v>-290201</v>
      </c>
      <c r="N68" s="104" t="n">
        <f aca="false">N45</f>
        <v>-290201</v>
      </c>
      <c r="O68" s="104" t="n">
        <f aca="false">O45</f>
        <v>-290201</v>
      </c>
      <c r="P68" s="104" t="n">
        <f aca="false">P45</f>
        <v>-290201</v>
      </c>
      <c r="Q68" s="104" t="n">
        <f aca="false">Q45</f>
        <v>-290201</v>
      </c>
      <c r="R68" s="104" t="n">
        <f aca="false">R45</f>
        <v>-290201</v>
      </c>
      <c r="S68" s="104" t="n">
        <f aca="false">S45</f>
        <v>-290201</v>
      </c>
      <c r="T68" s="104" t="n">
        <f aca="false">T45</f>
        <v>-290201</v>
      </c>
      <c r="U68" s="104" t="n">
        <f aca="false">U45</f>
        <v>-290201</v>
      </c>
      <c r="V68" s="104" t="n">
        <f aca="false">V45</f>
        <v>-290201</v>
      </c>
      <c r="W68" s="104" t="n">
        <f aca="false">W45</f>
        <v>-290201</v>
      </c>
      <c r="X68" s="97"/>
    </row>
    <row r="69" customFormat="false" ht="18.75" hidden="false" customHeight="true" outlineLevel="0" collapsed="false">
      <c r="B69" s="102" t="s">
        <v>122</v>
      </c>
      <c r="C69" s="94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7"/>
    </row>
    <row r="70" customFormat="false" ht="18.75" hidden="false" customHeight="true" outlineLevel="0" collapsed="false">
      <c r="B70" s="102" t="s">
        <v>123</v>
      </c>
      <c r="C70" s="94" t="s">
        <v>4</v>
      </c>
      <c r="D70" s="104" t="n">
        <f aca="false">-D109*$D25</f>
        <v>-281974.784</v>
      </c>
      <c r="E70" s="104" t="n">
        <f aca="false">-E109*$D25</f>
        <v>-263176.465066667</v>
      </c>
      <c r="F70" s="104" t="n">
        <f aca="false">-F109*$D25</f>
        <v>-244378.146133333</v>
      </c>
      <c r="G70" s="104" t="n">
        <f aca="false">-G109*$D25</f>
        <v>-225579.8272</v>
      </c>
      <c r="H70" s="104" t="n">
        <f aca="false">-H109*$D25</f>
        <v>-206781.508266667</v>
      </c>
      <c r="I70" s="104" t="n">
        <f aca="false">-I109*$D25</f>
        <v>-187983.189333333</v>
      </c>
      <c r="J70" s="104" t="n">
        <f aca="false">-J109*$D25</f>
        <v>-169184.8704</v>
      </c>
      <c r="K70" s="104" t="n">
        <f aca="false">-K109*$D25</f>
        <v>-150386.551466667</v>
      </c>
      <c r="L70" s="104" t="n">
        <f aca="false">-L109*$D25</f>
        <v>-131588.232533333</v>
      </c>
      <c r="M70" s="104" t="n">
        <f aca="false">-M109*$D25</f>
        <v>-112789.9136</v>
      </c>
      <c r="N70" s="104" t="n">
        <f aca="false">-N109*$D25</f>
        <v>-93991.5946666668</v>
      </c>
      <c r="O70" s="104" t="n">
        <f aca="false">-O109*$D25</f>
        <v>-75193.2757333335</v>
      </c>
      <c r="P70" s="104" t="n">
        <f aca="false">-P109*$D25</f>
        <v>-56394.9568000002</v>
      </c>
      <c r="Q70" s="104" t="n">
        <f aca="false">-Q109*$D25</f>
        <v>-37596.6378666668</v>
      </c>
      <c r="R70" s="104" t="n">
        <f aca="false">-R109*$D25</f>
        <v>-18798.3189333335</v>
      </c>
      <c r="S70" s="104" t="n">
        <f aca="false">-S109*$D25</f>
        <v>-1.9073486328125E-010</v>
      </c>
      <c r="T70" s="104" t="n">
        <f aca="false">-T109*$D25</f>
        <v>-1.9073486328125E-010</v>
      </c>
      <c r="U70" s="104" t="n">
        <f aca="false">-U109*$D25</f>
        <v>-1.9073486328125E-010</v>
      </c>
      <c r="V70" s="104" t="n">
        <f aca="false">-V109*$D25</f>
        <v>-1.9073486328125E-010</v>
      </c>
      <c r="W70" s="104" t="n">
        <f aca="false">-W109*$D25</f>
        <v>-1.9073486328125E-010</v>
      </c>
      <c r="X70" s="97"/>
    </row>
    <row r="71" customFormat="false" ht="18.75" hidden="false" customHeight="true" outlineLevel="0" collapsed="false">
      <c r="B71" s="102" t="s">
        <v>124</v>
      </c>
      <c r="C71" s="94" t="s">
        <v>4</v>
      </c>
      <c r="D71" s="104" t="n">
        <f aca="false">D48</f>
        <v>-174440</v>
      </c>
      <c r="E71" s="104" t="n">
        <f aca="false">E48</f>
        <v>-174440</v>
      </c>
      <c r="F71" s="104" t="n">
        <f aca="false">F48</f>
        <v>-174440</v>
      </c>
      <c r="G71" s="104" t="n">
        <f aca="false">G48</f>
        <v>-174440</v>
      </c>
      <c r="H71" s="104" t="n">
        <f aca="false">H48</f>
        <v>-174440</v>
      </c>
      <c r="I71" s="104" t="n">
        <f aca="false">I48</f>
        <v>-174440</v>
      </c>
      <c r="J71" s="104" t="n">
        <f aca="false">J48</f>
        <v>-174440</v>
      </c>
      <c r="K71" s="104" t="n">
        <f aca="false">K48</f>
        <v>-174440</v>
      </c>
      <c r="L71" s="104" t="n">
        <f aca="false">L48</f>
        <v>-174440</v>
      </c>
      <c r="M71" s="104" t="n">
        <f aca="false">M48</f>
        <v>-174440</v>
      </c>
      <c r="N71" s="104" t="n">
        <f aca="false">N48</f>
        <v>-174440</v>
      </c>
      <c r="O71" s="104" t="n">
        <f aca="false">O48</f>
        <v>-174440</v>
      </c>
      <c r="P71" s="104" t="n">
        <f aca="false">P48</f>
        <v>-174440</v>
      </c>
      <c r="Q71" s="104" t="n">
        <f aca="false">Q48</f>
        <v>-174440</v>
      </c>
      <c r="R71" s="104" t="n">
        <f aca="false">R48</f>
        <v>-174440</v>
      </c>
      <c r="S71" s="104" t="n">
        <f aca="false">S48</f>
        <v>-174440</v>
      </c>
      <c r="T71" s="104" t="n">
        <f aca="false">T48</f>
        <v>-174440</v>
      </c>
      <c r="U71" s="104" t="n">
        <f aca="false">U48</f>
        <v>-174440</v>
      </c>
      <c r="V71" s="104" t="n">
        <f aca="false">V48</f>
        <v>-174440</v>
      </c>
      <c r="W71" s="104" t="n">
        <f aca="false">W48</f>
        <v>-174440</v>
      </c>
      <c r="X71" s="97"/>
    </row>
    <row r="72" customFormat="false" ht="18.75" hidden="false" customHeight="true" outlineLevel="0" collapsed="false">
      <c r="B72" s="102" t="s">
        <v>125</v>
      </c>
      <c r="C72" s="94" t="s">
        <v>4</v>
      </c>
      <c r="D72" s="104" t="n">
        <f aca="false">D49</f>
        <v>-26166</v>
      </c>
      <c r="E72" s="104" t="n">
        <f aca="false">E49</f>
        <v>-26166</v>
      </c>
      <c r="F72" s="104" t="n">
        <f aca="false">F49</f>
        <v>-26166</v>
      </c>
      <c r="G72" s="104" t="n">
        <f aca="false">G49</f>
        <v>-26166</v>
      </c>
      <c r="H72" s="104" t="n">
        <f aca="false">H49</f>
        <v>-26166</v>
      </c>
      <c r="I72" s="104" t="n">
        <f aca="false">I49</f>
        <v>-26166</v>
      </c>
      <c r="J72" s="104" t="n">
        <f aca="false">J49</f>
        <v>-26166</v>
      </c>
      <c r="K72" s="104" t="n">
        <f aca="false">K49</f>
        <v>-26166</v>
      </c>
      <c r="L72" s="104" t="n">
        <f aca="false">L49</f>
        <v>-26166</v>
      </c>
      <c r="M72" s="104" t="n">
        <f aca="false">M49</f>
        <v>-26166</v>
      </c>
      <c r="N72" s="104" t="n">
        <f aca="false">N49</f>
        <v>-26166</v>
      </c>
      <c r="O72" s="104" t="n">
        <f aca="false">O49</f>
        <v>-26166</v>
      </c>
      <c r="P72" s="104" t="n">
        <f aca="false">P49</f>
        <v>-26166</v>
      </c>
      <c r="Q72" s="104" t="n">
        <f aca="false">Q49</f>
        <v>-26166</v>
      </c>
      <c r="R72" s="104" t="n">
        <f aca="false">R49</f>
        <v>-26166</v>
      </c>
      <c r="S72" s="104" t="n">
        <f aca="false">S49</f>
        <v>-26166</v>
      </c>
      <c r="T72" s="104" t="n">
        <f aca="false">T49</f>
        <v>-26166</v>
      </c>
      <c r="U72" s="104" t="n">
        <f aca="false">U49</f>
        <v>-26166</v>
      </c>
      <c r="V72" s="104" t="n">
        <f aca="false">V49</f>
        <v>-26166</v>
      </c>
      <c r="W72" s="104" t="n">
        <f aca="false">W49</f>
        <v>-26166</v>
      </c>
      <c r="X72" s="97"/>
    </row>
    <row r="73" customFormat="false" ht="18.75" hidden="false" customHeight="true" outlineLevel="0" collapsed="false">
      <c r="B73" s="102" t="s">
        <v>126</v>
      </c>
      <c r="C73" s="94"/>
      <c r="D73" s="104" t="n">
        <f aca="false">D50</f>
        <v>-43610</v>
      </c>
      <c r="E73" s="104" t="n">
        <f aca="false">E50</f>
        <v>-43610</v>
      </c>
      <c r="F73" s="104" t="n">
        <f aca="false">F50</f>
        <v>-43610</v>
      </c>
      <c r="G73" s="104" t="n">
        <f aca="false">G50</f>
        <v>-43610</v>
      </c>
      <c r="H73" s="104" t="n">
        <f aca="false">H50</f>
        <v>-43610</v>
      </c>
      <c r="I73" s="104" t="n">
        <f aca="false">I50</f>
        <v>-43610</v>
      </c>
      <c r="J73" s="104" t="n">
        <f aca="false">J50</f>
        <v>-43610</v>
      </c>
      <c r="K73" s="104" t="n">
        <f aca="false">K50</f>
        <v>-43610</v>
      </c>
      <c r="L73" s="104" t="n">
        <f aca="false">L50</f>
        <v>-43610</v>
      </c>
      <c r="M73" s="104" t="n">
        <f aca="false">M50</f>
        <v>-43610</v>
      </c>
      <c r="N73" s="104" t="n">
        <f aca="false">N50</f>
        <v>0</v>
      </c>
      <c r="O73" s="104" t="n">
        <f aca="false">O50</f>
        <v>0</v>
      </c>
      <c r="P73" s="104" t="n">
        <f aca="false">P50</f>
        <v>0</v>
      </c>
      <c r="Q73" s="104" t="n">
        <f aca="false">Q50</f>
        <v>0</v>
      </c>
      <c r="R73" s="104" t="n">
        <f aca="false">R50</f>
        <v>0</v>
      </c>
      <c r="S73" s="104" t="n">
        <f aca="false">S50</f>
        <v>0</v>
      </c>
      <c r="T73" s="104" t="n">
        <f aca="false">T50</f>
        <v>0</v>
      </c>
      <c r="U73" s="104" t="n">
        <f aca="false">U50</f>
        <v>0</v>
      </c>
      <c r="V73" s="104" t="n">
        <f aca="false">V50</f>
        <v>0</v>
      </c>
      <c r="W73" s="104" t="n">
        <f aca="false">W50</f>
        <v>0</v>
      </c>
      <c r="X73" s="97"/>
    </row>
    <row r="74" customFormat="false" ht="18.75" hidden="false" customHeight="true" outlineLevel="0" collapsed="false">
      <c r="B74" s="102" t="s">
        <v>127</v>
      </c>
      <c r="C74" s="105"/>
      <c r="D74" s="128"/>
      <c r="E74" s="129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7"/>
    </row>
    <row r="75" customFormat="false" ht="18.75" hidden="false" customHeight="true" outlineLevel="0" collapsed="false">
      <c r="B75" s="102" t="s">
        <v>128</v>
      </c>
      <c r="C75" s="10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7"/>
    </row>
    <row r="76" customFormat="false" ht="18.75" hidden="false" customHeight="true" outlineLevel="0" collapsed="false">
      <c r="B76" s="107" t="s">
        <v>136</v>
      </c>
      <c r="C76" s="130"/>
      <c r="D76" s="109" t="n">
        <f aca="false">SUM(D64:D75)</f>
        <v>951522.136</v>
      </c>
      <c r="E76" s="109" t="n">
        <f aca="false">SUM(E64:E75)</f>
        <v>671367.422933333</v>
      </c>
      <c r="F76" s="109" t="n">
        <f aca="false">SUM(F64:F75)</f>
        <v>681413.709866667</v>
      </c>
      <c r="G76" s="109" t="n">
        <f aca="false">SUM(G64:G75)</f>
        <v>691459.9968</v>
      </c>
      <c r="H76" s="109" t="n">
        <f aca="false">SUM(H64:H75)</f>
        <v>701506.283733333</v>
      </c>
      <c r="I76" s="109" t="n">
        <f aca="false">SUM(I64:I75)</f>
        <v>711552.570666666</v>
      </c>
      <c r="J76" s="109" t="n">
        <f aca="false">SUM(J64:J75)</f>
        <v>721598.8576</v>
      </c>
      <c r="K76" s="109" t="n">
        <f aca="false">SUM(K64:K75)</f>
        <v>731645.144533333</v>
      </c>
      <c r="L76" s="109" t="n">
        <f aca="false">SUM(L64:L75)</f>
        <v>741691.431466666</v>
      </c>
      <c r="M76" s="109" t="n">
        <f aca="false">SUM(M64:M75)</f>
        <v>751737.7184</v>
      </c>
      <c r="N76" s="109" t="n">
        <f aca="false">SUM(N64:N75)</f>
        <v>805394.005333333</v>
      </c>
      <c r="O76" s="109" t="n">
        <f aca="false">SUM(O64:O75)</f>
        <v>815440.292266666</v>
      </c>
      <c r="P76" s="109" t="n">
        <f aca="false">SUM(P64:P75)</f>
        <v>825486.5792</v>
      </c>
      <c r="Q76" s="109" t="n">
        <f aca="false">SUM(Q64:Q75)</f>
        <v>835532.866133333</v>
      </c>
      <c r="R76" s="109" t="n">
        <f aca="false">SUM(R64:R75)</f>
        <v>845579.153066666</v>
      </c>
      <c r="S76" s="109" t="n">
        <f aca="false">SUM(S64:S75)</f>
        <v>855625.44</v>
      </c>
      <c r="T76" s="109" t="n">
        <f aca="false">SUM(T64:T75)</f>
        <v>846873.408</v>
      </c>
      <c r="U76" s="109" t="n">
        <f aca="false">SUM(U64:U75)</f>
        <v>838121.376</v>
      </c>
      <c r="V76" s="109" t="n">
        <f aca="false">SUM(V64:V75)</f>
        <v>829369.344</v>
      </c>
      <c r="W76" s="109" t="n">
        <f aca="false">SUM(W64:W75)</f>
        <v>820617.312</v>
      </c>
      <c r="X76" s="109" t="n">
        <f aca="false">SUM(X64:X75)</f>
        <v>0</v>
      </c>
    </row>
    <row r="77" customFormat="false" ht="18.75" hidden="false" customHeight="true" outlineLevel="0" collapsed="false">
      <c r="B77" s="106" t="s">
        <v>130</v>
      </c>
      <c r="C77" s="105"/>
      <c r="D77" s="104" t="n">
        <f aca="false">-D76*0.2</f>
        <v>-190304.4272</v>
      </c>
      <c r="E77" s="104" t="n">
        <f aca="false">-E76*0.2</f>
        <v>-134273.484586667</v>
      </c>
      <c r="F77" s="104" t="n">
        <f aca="false">-F76*0.2</f>
        <v>-136282.741973333</v>
      </c>
      <c r="G77" s="104" t="n">
        <f aca="false">-G76*0.2</f>
        <v>-138291.99936</v>
      </c>
      <c r="H77" s="104" t="n">
        <f aca="false">-H76*0.2</f>
        <v>-140301.256746667</v>
      </c>
      <c r="I77" s="104" t="n">
        <f aca="false">-I76*0.2</f>
        <v>-142310.514133333</v>
      </c>
      <c r="J77" s="104" t="n">
        <f aca="false">-J76*0.2</f>
        <v>-144319.77152</v>
      </c>
      <c r="K77" s="104" t="n">
        <f aca="false">-K76*0.2</f>
        <v>-146329.028906667</v>
      </c>
      <c r="L77" s="104" t="n">
        <f aca="false">-L76*0.2</f>
        <v>-148338.286293333</v>
      </c>
      <c r="M77" s="104" t="n">
        <f aca="false">-M76*0.2</f>
        <v>-150347.54368</v>
      </c>
      <c r="N77" s="104" t="n">
        <f aca="false">-N76*0.2</f>
        <v>-161078.801066667</v>
      </c>
      <c r="O77" s="104" t="n">
        <f aca="false">-O76*0.2</f>
        <v>-163088.058453333</v>
      </c>
      <c r="P77" s="104" t="n">
        <f aca="false">-P76*0.2</f>
        <v>-165097.31584</v>
      </c>
      <c r="Q77" s="104" t="n">
        <f aca="false">-Q76*0.2</f>
        <v>-167106.573226667</v>
      </c>
      <c r="R77" s="104" t="n">
        <f aca="false">-R76*0.2</f>
        <v>-169115.830613333</v>
      </c>
      <c r="S77" s="104" t="n">
        <f aca="false">-S76*0.2</f>
        <v>-171125.088</v>
      </c>
      <c r="T77" s="104" t="n">
        <f aca="false">-T76*0.2</f>
        <v>-169374.6816</v>
      </c>
      <c r="U77" s="104" t="n">
        <f aca="false">-U76*0.2</f>
        <v>-167624.2752</v>
      </c>
      <c r="V77" s="104" t="n">
        <f aca="false">-V76*0.2</f>
        <v>-165873.8688</v>
      </c>
      <c r="W77" s="104" t="n">
        <f aca="false">-W76*0.2</f>
        <v>-164123.4624</v>
      </c>
      <c r="X77" s="104" t="n">
        <f aca="false">-X76*0.2</f>
        <v>-0</v>
      </c>
    </row>
    <row r="78" customFormat="false" ht="15.75" hidden="false" customHeight="true" outlineLevel="0" collapsed="false">
      <c r="B78" s="131" t="s">
        <v>137</v>
      </c>
      <c r="D78" s="104" t="n">
        <f aca="false">SUM(D76:D77)</f>
        <v>761217.7088</v>
      </c>
      <c r="E78" s="104" t="n">
        <f aca="false">SUM(E76:E77)</f>
        <v>537093.938346666</v>
      </c>
      <c r="F78" s="104" t="n">
        <f aca="false">SUM(F76:F77)</f>
        <v>545130.967893333</v>
      </c>
      <c r="G78" s="104" t="n">
        <f aca="false">SUM(G76:G77)</f>
        <v>553167.99744</v>
      </c>
      <c r="H78" s="104" t="n">
        <f aca="false">SUM(H76:H77)</f>
        <v>561205.026986666</v>
      </c>
      <c r="I78" s="104" t="n">
        <f aca="false">SUM(I76:I77)</f>
        <v>569242.056533333</v>
      </c>
      <c r="J78" s="104" t="n">
        <f aca="false">SUM(J76:J77)</f>
        <v>577279.08608</v>
      </c>
      <c r="K78" s="104" t="n">
        <f aca="false">SUM(K76:K77)</f>
        <v>585316.115626667</v>
      </c>
      <c r="L78" s="104" t="n">
        <f aca="false">SUM(L76:L77)</f>
        <v>593353.145173333</v>
      </c>
      <c r="M78" s="104" t="n">
        <f aca="false">SUM(M76:M77)</f>
        <v>601390.17472</v>
      </c>
      <c r="N78" s="104" t="n">
        <f aca="false">SUM(N76:N77)</f>
        <v>644315.204266666</v>
      </c>
      <c r="O78" s="104" t="n">
        <f aca="false">SUM(O76:O77)</f>
        <v>652352.233813333</v>
      </c>
      <c r="P78" s="104" t="n">
        <f aca="false">SUM(P76:P77)</f>
        <v>660389.26336</v>
      </c>
      <c r="Q78" s="104" t="n">
        <f aca="false">SUM(Q76:Q77)</f>
        <v>668426.292906666</v>
      </c>
      <c r="R78" s="104" t="n">
        <f aca="false">SUM(R76:R77)</f>
        <v>676463.322453333</v>
      </c>
      <c r="S78" s="104" t="n">
        <f aca="false">SUM(S76:S77)</f>
        <v>684500.352</v>
      </c>
      <c r="T78" s="104" t="n">
        <f aca="false">SUM(T76:T77)</f>
        <v>677498.7264</v>
      </c>
      <c r="U78" s="104" t="n">
        <f aca="false">SUM(U76:U77)</f>
        <v>670497.1008</v>
      </c>
      <c r="V78" s="104" t="n">
        <f aca="false">SUM(V76:V77)</f>
        <v>663495.4752</v>
      </c>
      <c r="W78" s="104" t="n">
        <f aca="false">SUM(W76:W77)</f>
        <v>656493.8496</v>
      </c>
      <c r="X78" s="104" t="n">
        <f aca="false">SUM(X76:X77)</f>
        <v>0</v>
      </c>
    </row>
    <row r="79" customFormat="false" ht="18.75" hidden="false" customHeight="true" outlineLevel="0" collapsed="false">
      <c r="B79" s="113" t="s">
        <v>132</v>
      </c>
      <c r="C79" s="116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3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142" t="s">
        <v>137</v>
      </c>
      <c r="C85" s="142"/>
      <c r="D85" s="143" t="n">
        <f aca="false">D78</f>
        <v>761217.7088</v>
      </c>
      <c r="E85" s="143" t="n">
        <f aca="false">E78</f>
        <v>537093.938346666</v>
      </c>
      <c r="F85" s="143" t="n">
        <f aca="false">F78</f>
        <v>545130.967893333</v>
      </c>
      <c r="G85" s="143" t="n">
        <f aca="false">G78</f>
        <v>553167.99744</v>
      </c>
      <c r="H85" s="143" t="n">
        <f aca="false">H78</f>
        <v>561205.026986666</v>
      </c>
      <c r="I85" s="143" t="n">
        <f aca="false">I78</f>
        <v>569242.056533333</v>
      </c>
      <c r="J85" s="143" t="n">
        <f aca="false">J78</f>
        <v>577279.08608</v>
      </c>
      <c r="K85" s="143" t="n">
        <f aca="false">K78</f>
        <v>585316.115626667</v>
      </c>
      <c r="L85" s="143" t="n">
        <f aca="false">L78</f>
        <v>593353.145173333</v>
      </c>
      <c r="M85" s="143" t="n">
        <f aca="false">M78</f>
        <v>601390.17472</v>
      </c>
      <c r="N85" s="143" t="n">
        <f aca="false">N78</f>
        <v>644315.204266666</v>
      </c>
      <c r="O85" s="143" t="n">
        <f aca="false">O78</f>
        <v>652352.233813333</v>
      </c>
      <c r="P85" s="143" t="n">
        <f aca="false">P78</f>
        <v>660389.26336</v>
      </c>
      <c r="Q85" s="143" t="n">
        <f aca="false">Q78</f>
        <v>668426.292906666</v>
      </c>
      <c r="R85" s="143" t="n">
        <f aca="false">R78</f>
        <v>676463.322453333</v>
      </c>
      <c r="S85" s="143" t="n">
        <f aca="false">S78</f>
        <v>684500.352</v>
      </c>
      <c r="T85" s="143" t="n">
        <f aca="false">T78</f>
        <v>677498.7264</v>
      </c>
      <c r="U85" s="143" t="n">
        <f aca="false">U78</f>
        <v>670497.1008</v>
      </c>
      <c r="V85" s="143" t="n">
        <f aca="false">V78</f>
        <v>663495.4752</v>
      </c>
      <c r="W85" s="143" t="n">
        <f aca="false">W78</f>
        <v>656493.8496</v>
      </c>
      <c r="X85" s="142"/>
      <c r="Y85" s="142"/>
    </row>
    <row r="86" customFormat="false" ht="15.75" hidden="false" customHeight="true" outlineLevel="0" collapsed="false">
      <c r="B86" s="142" t="s">
        <v>138</v>
      </c>
      <c r="C86" s="142"/>
      <c r="D86" s="144" t="n">
        <f aca="false">-D67</f>
        <v>688415</v>
      </c>
      <c r="E86" s="144" t="n">
        <f aca="false">-E67</f>
        <v>688415</v>
      </c>
      <c r="F86" s="144" t="n">
        <f aca="false">-F67</f>
        <v>688415</v>
      </c>
      <c r="G86" s="144" t="n">
        <f aca="false">-G67</f>
        <v>688415</v>
      </c>
      <c r="H86" s="144" t="n">
        <f aca="false">-H67</f>
        <v>688415</v>
      </c>
      <c r="I86" s="144" t="n">
        <f aca="false">-I67</f>
        <v>688415</v>
      </c>
      <c r="J86" s="144" t="n">
        <f aca="false">-J67</f>
        <v>688415</v>
      </c>
      <c r="K86" s="144" t="n">
        <f aca="false">-K67</f>
        <v>688415</v>
      </c>
      <c r="L86" s="144" t="n">
        <f aca="false">-L67</f>
        <v>688415</v>
      </c>
      <c r="M86" s="144" t="n">
        <f aca="false">-M67</f>
        <v>688415</v>
      </c>
      <c r="N86" s="144" t="n">
        <f aca="false">-N67</f>
        <v>688415</v>
      </c>
      <c r="O86" s="144" t="n">
        <f aca="false">-O67</f>
        <v>688415</v>
      </c>
      <c r="P86" s="144" t="n">
        <f aca="false">-P67</f>
        <v>688415</v>
      </c>
      <c r="Q86" s="144" t="n">
        <f aca="false">-Q67</f>
        <v>688415</v>
      </c>
      <c r="R86" s="144" t="n">
        <f aca="false">-R67</f>
        <v>688415</v>
      </c>
      <c r="S86" s="144" t="n">
        <f aca="false">-S67</f>
        <v>688415</v>
      </c>
      <c r="T86" s="144" t="n">
        <f aca="false">-T67</f>
        <v>688415</v>
      </c>
      <c r="U86" s="144" t="n">
        <f aca="false">-U67</f>
        <v>688415</v>
      </c>
      <c r="V86" s="144" t="n">
        <f aca="false">-V67</f>
        <v>688415</v>
      </c>
      <c r="W86" s="144" t="n">
        <f aca="false">-W67</f>
        <v>688415</v>
      </c>
      <c r="X86" s="145"/>
      <c r="Y86" s="145"/>
    </row>
    <row r="87" customFormat="false" ht="15.75" hidden="false" customHeight="true" outlineLevel="0" collapsed="false">
      <c r="B87" s="142" t="s">
        <v>139</v>
      </c>
      <c r="C87" s="142"/>
      <c r="D87" s="146" t="n">
        <f aca="false">SUM(D85:D86)</f>
        <v>1449632.7088</v>
      </c>
      <c r="E87" s="146" t="n">
        <f aca="false">SUM(E85:E86)</f>
        <v>1225508.93834667</v>
      </c>
      <c r="F87" s="146" t="n">
        <f aca="false">SUM(F85:F86)</f>
        <v>1233545.96789333</v>
      </c>
      <c r="G87" s="146" t="n">
        <f aca="false">SUM(G85:G86)</f>
        <v>1241582.99744</v>
      </c>
      <c r="H87" s="146" t="n">
        <f aca="false">SUM(H85:H86)</f>
        <v>1249620.02698667</v>
      </c>
      <c r="I87" s="146" t="n">
        <f aca="false">SUM(I85:I86)</f>
        <v>1257657.05653333</v>
      </c>
      <c r="J87" s="146" t="n">
        <f aca="false">SUM(J85:J86)</f>
        <v>1265694.08608</v>
      </c>
      <c r="K87" s="146" t="n">
        <f aca="false">SUM(K85:K86)</f>
        <v>1273731.11562667</v>
      </c>
      <c r="L87" s="146" t="n">
        <f aca="false">SUM(L85:L86)</f>
        <v>1281768.14517333</v>
      </c>
      <c r="M87" s="146" t="n">
        <f aca="false">SUM(M85:M86)</f>
        <v>1289805.17472</v>
      </c>
      <c r="N87" s="146" t="n">
        <f aca="false">SUM(N85:N86)</f>
        <v>1332730.20426667</v>
      </c>
      <c r="O87" s="146" t="n">
        <f aca="false">SUM(O85:O86)</f>
        <v>1340767.23381333</v>
      </c>
      <c r="P87" s="146" t="n">
        <f aca="false">SUM(P85:P86)</f>
        <v>1348804.26336</v>
      </c>
      <c r="Q87" s="146" t="n">
        <f aca="false">SUM(Q85:Q86)</f>
        <v>1356841.29290667</v>
      </c>
      <c r="R87" s="146" t="n">
        <f aca="false">SUM(R85:R86)</f>
        <v>1364878.32245333</v>
      </c>
      <c r="S87" s="146" t="n">
        <f aca="false">SUM(S85:S86)</f>
        <v>1372915.352</v>
      </c>
      <c r="T87" s="146" t="n">
        <f aca="false">SUM(T85:T86)</f>
        <v>1365913.7264</v>
      </c>
      <c r="U87" s="146" t="n">
        <f aca="false">SUM(U85:U86)</f>
        <v>1358912.1008</v>
      </c>
      <c r="V87" s="146" t="n">
        <f aca="false">SUM(V85:V86)</f>
        <v>1351910.4752</v>
      </c>
      <c r="W87" s="146" t="n">
        <f aca="false">SUM(W85:W86)</f>
        <v>1344908.8496</v>
      </c>
      <c r="X87" s="112"/>
    </row>
    <row r="88" customFormat="false" ht="15.75" hidden="false" customHeight="true" outlineLevel="0" collapsed="false">
      <c r="B88" s="142"/>
      <c r="C88" s="142"/>
      <c r="D88" s="142"/>
      <c r="E88" s="142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11"/>
    </row>
    <row r="89" customFormat="false" ht="15.75" hidden="false" customHeight="true" outlineLevel="0" collapsed="false">
      <c r="B89" s="148" t="s">
        <v>140</v>
      </c>
      <c r="C89" s="149"/>
      <c r="D89" s="150" t="n">
        <f aca="false">C44</f>
        <v>-13768300</v>
      </c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51"/>
    </row>
    <row r="90" customFormat="false" ht="15.75" hidden="false" customHeight="true" outlineLevel="0" collapsed="false">
      <c r="B90" s="142"/>
      <c r="C90" s="142"/>
      <c r="D90" s="142"/>
      <c r="E90" s="142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11"/>
    </row>
    <row r="91" customFormat="false" ht="15.75" hidden="false" customHeight="true" outlineLevel="0" collapsed="false">
      <c r="B91" s="142"/>
      <c r="C91" s="142"/>
      <c r="D91" s="142"/>
      <c r="E91" s="142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11"/>
    </row>
    <row r="92" customFormat="false" ht="15.75" hidden="false" customHeight="true" outlineLevel="0" collapsed="false">
      <c r="B92" s="148" t="s">
        <v>141</v>
      </c>
      <c r="C92" s="149"/>
      <c r="D92" s="150" t="n">
        <f aca="false">-D89*D31</f>
        <v>11014640</v>
      </c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11"/>
    </row>
    <row r="93" customFormat="false" ht="15.75" hidden="false" customHeight="true" outlineLevel="0" collapsed="false">
      <c r="B93" s="142" t="s">
        <v>142</v>
      </c>
      <c r="C93" s="142"/>
      <c r="D93" s="152"/>
      <c r="E93" s="152" t="n">
        <v>-734309.333333333</v>
      </c>
      <c r="F93" s="152" t="n">
        <v>-734309.333333333</v>
      </c>
      <c r="G93" s="152" t="n">
        <v>-734309.333333333</v>
      </c>
      <c r="H93" s="152" t="n">
        <v>-734309.333333333</v>
      </c>
      <c r="I93" s="152" t="n">
        <v>-734309.333333333</v>
      </c>
      <c r="J93" s="152" t="n">
        <v>-734309.333333333</v>
      </c>
      <c r="K93" s="152" t="n">
        <v>-734309.333333333</v>
      </c>
      <c r="L93" s="152" t="n">
        <v>-734309.333333333</v>
      </c>
      <c r="M93" s="152" t="n">
        <v>-734309.333333333</v>
      </c>
      <c r="N93" s="152" t="n">
        <v>-734309.333333333</v>
      </c>
      <c r="O93" s="152" t="n">
        <v>-734309.333333333</v>
      </c>
      <c r="P93" s="152" t="n">
        <v>-734309.333333333</v>
      </c>
      <c r="Q93" s="152" t="n">
        <v>-734309.333333333</v>
      </c>
      <c r="R93" s="152" t="n">
        <v>-734309.333333333</v>
      </c>
      <c r="S93" s="152" t="n">
        <v>-734309.333333333</v>
      </c>
      <c r="T93" s="152" t="n">
        <v>0</v>
      </c>
      <c r="U93" s="152" t="n">
        <v>0</v>
      </c>
      <c r="V93" s="152" t="n">
        <v>0</v>
      </c>
      <c r="W93" s="152" t="n">
        <v>0</v>
      </c>
      <c r="X93" s="151"/>
    </row>
    <row r="94" customFormat="false" ht="15.75" hidden="false" customHeight="true" outlineLevel="0" collapsed="false">
      <c r="B94" s="142" t="s">
        <v>143</v>
      </c>
      <c r="C94" s="147"/>
      <c r="D94" s="143" t="n">
        <f aca="false">-D89*(1-D31)</f>
        <v>2753660</v>
      </c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12"/>
    </row>
    <row r="95" customFormat="false" ht="15.75" hidden="false" customHeight="true" outlineLevel="0" collapsed="false">
      <c r="B95" s="142" t="s">
        <v>67</v>
      </c>
      <c r="C95" s="147"/>
      <c r="D95" s="147"/>
      <c r="E95" s="153" t="n">
        <f aca="false">-D85*$D$33</f>
        <v>-685095.93792</v>
      </c>
      <c r="F95" s="153" t="n">
        <f aca="false">-E85*$D$33</f>
        <v>-483384.544512</v>
      </c>
      <c r="G95" s="153" t="n">
        <f aca="false">-F85*$D$33</f>
        <v>-490617.871104</v>
      </c>
      <c r="H95" s="153" t="n">
        <f aca="false">-G85*$D$33</f>
        <v>-497851.197696</v>
      </c>
      <c r="I95" s="153" t="n">
        <f aca="false">-H85*$D$33</f>
        <v>-505084.524288</v>
      </c>
      <c r="J95" s="153" t="n">
        <f aca="false">-I85*$D$33</f>
        <v>-512317.85088</v>
      </c>
      <c r="K95" s="153" t="n">
        <f aca="false">-J85*$D$33</f>
        <v>-519551.177472</v>
      </c>
      <c r="L95" s="153" t="n">
        <f aca="false">-K85*$D$33</f>
        <v>-526784.504064</v>
      </c>
      <c r="M95" s="153" t="n">
        <f aca="false">-L85*$D$33</f>
        <v>-534017.830656</v>
      </c>
      <c r="N95" s="153" t="n">
        <f aca="false">-M85*$D$33</f>
        <v>-541251.157248</v>
      </c>
      <c r="O95" s="153" t="n">
        <f aca="false">-N85*$D$33</f>
        <v>-579883.68384</v>
      </c>
      <c r="P95" s="153" t="n">
        <f aca="false">-O85*$D$33</f>
        <v>-587117.010432</v>
      </c>
      <c r="Q95" s="153" t="n">
        <f aca="false">-P85*$D$33</f>
        <v>-594350.337024</v>
      </c>
      <c r="R95" s="153" t="n">
        <f aca="false">-Q85*$D$33</f>
        <v>-601583.663616</v>
      </c>
      <c r="S95" s="153" t="n">
        <f aca="false">-R85*$D$33</f>
        <v>-608816.990208</v>
      </c>
      <c r="T95" s="153" t="n">
        <f aca="false">-S85*$D$33</f>
        <v>-616050.3168</v>
      </c>
      <c r="U95" s="153" t="n">
        <f aca="false">-T85*$D$33</f>
        <v>-609748.85376</v>
      </c>
      <c r="V95" s="153" t="n">
        <f aca="false">-U85*$D$33</f>
        <v>-603447.39072</v>
      </c>
      <c r="W95" s="153" t="n">
        <f aca="false">-V85*$D$33</f>
        <v>-597145.92768</v>
      </c>
      <c r="X95" s="153" t="n">
        <f aca="false">-W85*$D$33</f>
        <v>-590844.46464</v>
      </c>
    </row>
    <row r="96" customFormat="false" ht="15.75" hidden="false" customHeight="true" outlineLevel="0" collapsed="false">
      <c r="B96" s="154" t="s">
        <v>70</v>
      </c>
      <c r="C96" s="155"/>
      <c r="D96" s="155" t="n">
        <v>0</v>
      </c>
      <c r="E96" s="156" t="n">
        <v>0</v>
      </c>
      <c r="F96" s="156" t="n">
        <v>0</v>
      </c>
      <c r="G96" s="156" t="n">
        <v>0</v>
      </c>
      <c r="H96" s="156" t="n">
        <v>0</v>
      </c>
      <c r="I96" s="156" t="n">
        <v>0</v>
      </c>
      <c r="J96" s="156" t="n">
        <v>0</v>
      </c>
      <c r="K96" s="156" t="n">
        <v>0</v>
      </c>
      <c r="L96" s="156" t="n">
        <v>0</v>
      </c>
      <c r="M96" s="156" t="n">
        <v>0</v>
      </c>
      <c r="N96" s="156" t="n">
        <v>0</v>
      </c>
      <c r="O96" s="156" t="n">
        <v>0</v>
      </c>
      <c r="P96" s="156" t="n">
        <v>0</v>
      </c>
      <c r="Q96" s="156" t="n">
        <v>0</v>
      </c>
      <c r="R96" s="156" t="n">
        <v>0</v>
      </c>
      <c r="S96" s="156" t="n">
        <v>0</v>
      </c>
      <c r="T96" s="156" t="n">
        <v>-688415</v>
      </c>
      <c r="U96" s="156" t="n">
        <v>-688415</v>
      </c>
      <c r="V96" s="156" t="n">
        <v>-688415</v>
      </c>
      <c r="W96" s="156" t="n">
        <v>-688415</v>
      </c>
      <c r="X96" s="157" t="n">
        <f aca="false">-W101-X95</f>
        <v>-1253882.80384001</v>
      </c>
    </row>
    <row r="97" customFormat="false" ht="15.75" hidden="false" customHeight="true" outlineLevel="0" collapsed="false"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12"/>
    </row>
    <row r="98" customFormat="false" ht="15.75" hidden="false" customHeight="true" outlineLevel="0" collapsed="false">
      <c r="B98" s="147"/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12"/>
    </row>
    <row r="99" customFormat="false" ht="15.75" hidden="false" customHeight="true" outlineLevel="0" collapsed="false">
      <c r="B99" s="142" t="s">
        <v>144</v>
      </c>
      <c r="C99" s="143" t="n">
        <v>0</v>
      </c>
      <c r="D99" s="143" t="n">
        <f aca="false">SUM(D87:D96)</f>
        <v>1449632.7088</v>
      </c>
      <c r="E99" s="143" t="n">
        <f aca="false">SUM(E87:E96)</f>
        <v>-193896.332906666</v>
      </c>
      <c r="F99" s="143" t="n">
        <f aca="false">SUM(F87:F96)</f>
        <v>15852.0900480006</v>
      </c>
      <c r="G99" s="143" t="n">
        <f aca="false">SUM(G87:G96)</f>
        <v>16655.7930026671</v>
      </c>
      <c r="H99" s="143" t="n">
        <f aca="false">SUM(H87:H96)</f>
        <v>17459.4959573336</v>
      </c>
      <c r="I99" s="143" t="n">
        <f aca="false">SUM(I87:I96)</f>
        <v>18263.1989120002</v>
      </c>
      <c r="J99" s="143" t="n">
        <f aca="false">SUM(J87:J96)</f>
        <v>19066.9018666674</v>
      </c>
      <c r="K99" s="143" t="n">
        <f aca="false">SUM(K87:K96)</f>
        <v>19870.6048213337</v>
      </c>
      <c r="L99" s="143" t="n">
        <f aca="false">SUM(L87:L96)</f>
        <v>20674.3077760002</v>
      </c>
      <c r="M99" s="143" t="n">
        <f aca="false">SUM(M87:M96)</f>
        <v>21478.0107306673</v>
      </c>
      <c r="N99" s="143" t="n">
        <f aca="false">SUM(N87:N96)</f>
        <v>57169.7136853336</v>
      </c>
      <c r="O99" s="143" t="n">
        <f aca="false">SUM(O87:O96)</f>
        <v>26574.2166400006</v>
      </c>
      <c r="P99" s="143" t="n">
        <f aca="false">SUM(P87:P96)</f>
        <v>27377.9195946669</v>
      </c>
      <c r="Q99" s="143" t="n">
        <f aca="false">SUM(Q87:Q96)</f>
        <v>28181.622549334</v>
      </c>
      <c r="R99" s="143" t="n">
        <f aca="false">SUM(R87:R96)</f>
        <v>28985.3255040003</v>
      </c>
      <c r="S99" s="143" t="n">
        <f aca="false">SUM(S87:S96)</f>
        <v>29789.0284586672</v>
      </c>
      <c r="T99" s="143" t="n">
        <f aca="false">SUM(T87:T96)</f>
        <v>61448.4095999998</v>
      </c>
      <c r="U99" s="143" t="n">
        <f aca="false">SUM(U87:U96)</f>
        <v>60748.24704</v>
      </c>
      <c r="V99" s="143" t="n">
        <f aca="false">SUM(V87:V96)</f>
        <v>60048.0844800001</v>
      </c>
      <c r="W99" s="143" t="n">
        <f aca="false">SUM(W87:W96)</f>
        <v>59347.9219200002</v>
      </c>
      <c r="X99" s="112"/>
    </row>
    <row r="100" customFormat="false" ht="15.75" hidden="false" customHeight="true" outlineLevel="0" collapsed="false">
      <c r="B100" s="142" t="s">
        <v>145</v>
      </c>
      <c r="C100" s="143" t="n">
        <v>0</v>
      </c>
      <c r="D100" s="143" t="n">
        <f aca="false">C101</f>
        <v>0</v>
      </c>
      <c r="E100" s="143" t="n">
        <f aca="false">D101</f>
        <v>1449632.7088</v>
      </c>
      <c r="F100" s="143" t="n">
        <f aca="false">E101</f>
        <v>1255736.37589333</v>
      </c>
      <c r="G100" s="143" t="n">
        <f aca="false">F101</f>
        <v>1271588.46594133</v>
      </c>
      <c r="H100" s="143" t="n">
        <f aca="false">G101</f>
        <v>1288244.258944</v>
      </c>
      <c r="I100" s="143" t="n">
        <f aca="false">H101</f>
        <v>1305703.75490133</v>
      </c>
      <c r="J100" s="143" t="n">
        <f aca="false">I101</f>
        <v>1323966.95381333</v>
      </c>
      <c r="K100" s="143" t="n">
        <f aca="false">J101</f>
        <v>1343033.85568</v>
      </c>
      <c r="L100" s="143" t="n">
        <f aca="false">K101</f>
        <v>1362904.46050134</v>
      </c>
      <c r="M100" s="143" t="n">
        <f aca="false">L101</f>
        <v>1383578.76827734</v>
      </c>
      <c r="N100" s="143" t="n">
        <f aca="false">M101</f>
        <v>1405056.779008</v>
      </c>
      <c r="O100" s="143" t="n">
        <f aca="false">N101</f>
        <v>1462226.49269334</v>
      </c>
      <c r="P100" s="143" t="n">
        <f aca="false">O101</f>
        <v>1488800.70933334</v>
      </c>
      <c r="Q100" s="143" t="n">
        <f aca="false">P101</f>
        <v>1516178.628928</v>
      </c>
      <c r="R100" s="143" t="n">
        <f aca="false">Q101</f>
        <v>1544360.25147734</v>
      </c>
      <c r="S100" s="143" t="n">
        <f aca="false">R101</f>
        <v>1573345.57698134</v>
      </c>
      <c r="T100" s="143" t="n">
        <f aca="false">S101</f>
        <v>1603134.60544001</v>
      </c>
      <c r="U100" s="143" t="n">
        <f aca="false">T101</f>
        <v>1664583.01504001</v>
      </c>
      <c r="V100" s="143" t="n">
        <f aca="false">U101</f>
        <v>1725331.26208001</v>
      </c>
      <c r="W100" s="143" t="n">
        <f aca="false">V101</f>
        <v>1785379.34656001</v>
      </c>
      <c r="X100" s="111"/>
    </row>
    <row r="101" customFormat="false" ht="15.75" hidden="false" customHeight="true" outlineLevel="0" collapsed="false">
      <c r="B101" s="142" t="s">
        <v>146</v>
      </c>
      <c r="C101" s="143" t="n">
        <v>0</v>
      </c>
      <c r="D101" s="143" t="n">
        <f aca="false">D99+D100</f>
        <v>1449632.7088</v>
      </c>
      <c r="E101" s="143" t="n">
        <f aca="false">E99+E100</f>
        <v>1255736.37589333</v>
      </c>
      <c r="F101" s="143" t="n">
        <f aca="false">F99+F100</f>
        <v>1271588.46594133</v>
      </c>
      <c r="G101" s="143" t="n">
        <f aca="false">G99+G100</f>
        <v>1288244.258944</v>
      </c>
      <c r="H101" s="143" t="n">
        <f aca="false">H99+H100</f>
        <v>1305703.75490133</v>
      </c>
      <c r="I101" s="143" t="n">
        <f aca="false">I99+I100</f>
        <v>1323966.95381333</v>
      </c>
      <c r="J101" s="143" t="n">
        <f aca="false">J99+J100</f>
        <v>1343033.85568</v>
      </c>
      <c r="K101" s="143" t="n">
        <f aca="false">K99+K100</f>
        <v>1362904.46050134</v>
      </c>
      <c r="L101" s="143" t="n">
        <f aca="false">L99+L100</f>
        <v>1383578.76827734</v>
      </c>
      <c r="M101" s="143" t="n">
        <f aca="false">M99+M100</f>
        <v>1405056.779008</v>
      </c>
      <c r="N101" s="143" t="n">
        <f aca="false">N99+N100</f>
        <v>1462226.49269334</v>
      </c>
      <c r="O101" s="143" t="n">
        <f aca="false">O99+O100</f>
        <v>1488800.70933334</v>
      </c>
      <c r="P101" s="143" t="n">
        <f aca="false">P99+P100</f>
        <v>1516178.628928</v>
      </c>
      <c r="Q101" s="143" t="n">
        <f aca="false">Q99+Q100</f>
        <v>1544360.25147734</v>
      </c>
      <c r="R101" s="143" t="n">
        <f aca="false">R99+R100</f>
        <v>1573345.57698134</v>
      </c>
      <c r="S101" s="143" t="n">
        <f aca="false">S99+S100</f>
        <v>1603134.60544001</v>
      </c>
      <c r="T101" s="143" t="n">
        <f aca="false">T99+T100</f>
        <v>1664583.01504001</v>
      </c>
      <c r="U101" s="143" t="n">
        <f aca="false">U99+U100</f>
        <v>1725331.26208001</v>
      </c>
      <c r="V101" s="143" t="n">
        <f aca="false">V99+V100</f>
        <v>1785379.34656001</v>
      </c>
      <c r="W101" s="143" t="n">
        <f aca="false">W99+W100</f>
        <v>1844727.26848001</v>
      </c>
      <c r="X101" s="111"/>
    </row>
    <row r="102" customFormat="false" ht="15.75" hidden="false" customHeight="true" outlineLevel="0" collapsed="false">
      <c r="B102" s="142"/>
      <c r="C102" s="142"/>
      <c r="D102" s="142"/>
      <c r="E102" s="142"/>
      <c r="F102" s="142"/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</row>
    <row r="103" customFormat="false" ht="15.75" hidden="false" customHeight="true" outlineLevel="0" collapsed="false">
      <c r="B103" s="142"/>
      <c r="C103" s="142"/>
      <c r="D103" s="142"/>
      <c r="E103" s="142"/>
      <c r="F103" s="147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</row>
    <row r="104" customFormat="false" ht="15.75" hidden="false" customHeight="true" outlineLevel="0" collapsed="false">
      <c r="B104" s="158" t="s">
        <v>147</v>
      </c>
      <c r="C104" s="159"/>
      <c r="D104" s="160" t="n">
        <f aca="false">-D94</f>
        <v>-2753660</v>
      </c>
      <c r="E104" s="146" t="n">
        <f aca="false">-E95-E96</f>
        <v>685095.93792</v>
      </c>
      <c r="F104" s="146" t="n">
        <f aca="false">-F95-F96</f>
        <v>483384.544512</v>
      </c>
      <c r="G104" s="146" t="n">
        <f aca="false">-G95-G96</f>
        <v>490617.871104</v>
      </c>
      <c r="H104" s="146" t="n">
        <f aca="false">-H95-H96</f>
        <v>497851.197696</v>
      </c>
      <c r="I104" s="146" t="n">
        <f aca="false">-I95-I96</f>
        <v>505084.524288</v>
      </c>
      <c r="J104" s="146" t="n">
        <f aca="false">-J95-J96</f>
        <v>512317.85088</v>
      </c>
      <c r="K104" s="146" t="n">
        <f aca="false">-K95-K96</f>
        <v>519551.177472</v>
      </c>
      <c r="L104" s="146" t="n">
        <f aca="false">-L95-L96</f>
        <v>526784.504064</v>
      </c>
      <c r="M104" s="146" t="n">
        <f aca="false">-M95-M96</f>
        <v>534017.830656</v>
      </c>
      <c r="N104" s="146" t="n">
        <f aca="false">-N95-N96</f>
        <v>541251.157248</v>
      </c>
      <c r="O104" s="146" t="n">
        <f aca="false">-O95-O96</f>
        <v>579883.68384</v>
      </c>
      <c r="P104" s="146" t="n">
        <f aca="false">-P95-P96</f>
        <v>587117.010432</v>
      </c>
      <c r="Q104" s="146" t="n">
        <f aca="false">-Q95-Q96</f>
        <v>594350.337024</v>
      </c>
      <c r="R104" s="146" t="n">
        <f aca="false">-R95-R96</f>
        <v>601583.663616</v>
      </c>
      <c r="S104" s="146" t="n">
        <f aca="false">-S95-S96</f>
        <v>608816.990208</v>
      </c>
      <c r="T104" s="146" t="n">
        <f aca="false">-T95-T96</f>
        <v>1304465.3168</v>
      </c>
      <c r="U104" s="146" t="n">
        <f aca="false">-U95-U96</f>
        <v>1298163.85376</v>
      </c>
      <c r="V104" s="146" t="n">
        <f aca="false">-V95-V96</f>
        <v>1291862.39072</v>
      </c>
      <c r="W104" s="146" t="n">
        <f aca="false">-W95-W96</f>
        <v>1285560.92768</v>
      </c>
      <c r="X104" s="146" t="n">
        <f aca="false">-X95-X96</f>
        <v>1844727.26848001</v>
      </c>
    </row>
    <row r="105" customFormat="false" ht="15.75" hidden="false" customHeight="true" outlineLevel="0" collapsed="false">
      <c r="B105" s="142" t="s">
        <v>75</v>
      </c>
      <c r="C105" s="161" t="n">
        <f aca="false">IRR(D104:X104)</f>
        <v>0.204384472659212</v>
      </c>
      <c r="D105" s="147"/>
      <c r="E105" s="147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</row>
    <row r="106" customFormat="false" ht="15.75" hidden="false" customHeight="true" outlineLevel="0" collapsed="false">
      <c r="B106" s="158" t="s">
        <v>148</v>
      </c>
      <c r="C106" s="159"/>
      <c r="D106" s="160" t="n">
        <f aca="false">D85-D94</f>
        <v>-1992442.2912</v>
      </c>
      <c r="E106" s="146" t="n">
        <f aca="false">E85</f>
        <v>537093.938346666</v>
      </c>
      <c r="F106" s="146" t="n">
        <f aca="false">F85-F96</f>
        <v>545130.967893333</v>
      </c>
      <c r="G106" s="146" t="n">
        <f aca="false">G85-G96</f>
        <v>553167.99744</v>
      </c>
      <c r="H106" s="146" t="n">
        <f aca="false">H85-H96</f>
        <v>561205.026986666</v>
      </c>
      <c r="I106" s="146" t="n">
        <f aca="false">I85-I96</f>
        <v>569242.056533333</v>
      </c>
      <c r="J106" s="146" t="n">
        <f aca="false">J85-J96</f>
        <v>577279.08608</v>
      </c>
      <c r="K106" s="146" t="n">
        <f aca="false">K85-K96</f>
        <v>585316.115626667</v>
      </c>
      <c r="L106" s="146" t="n">
        <f aca="false">L85-L96</f>
        <v>593353.145173333</v>
      </c>
      <c r="M106" s="146" t="n">
        <f aca="false">M85-M96</f>
        <v>601390.17472</v>
      </c>
      <c r="N106" s="146" t="n">
        <f aca="false">N85-N96</f>
        <v>644315.204266666</v>
      </c>
      <c r="O106" s="146" t="n">
        <f aca="false">O85-O96</f>
        <v>652352.233813333</v>
      </c>
      <c r="P106" s="146" t="n">
        <f aca="false">P85-P96</f>
        <v>660389.26336</v>
      </c>
      <c r="Q106" s="146" t="n">
        <f aca="false">Q85-Q96</f>
        <v>668426.292906666</v>
      </c>
      <c r="R106" s="146" t="n">
        <f aca="false">R85-R96</f>
        <v>676463.322453333</v>
      </c>
      <c r="S106" s="146" t="n">
        <f aca="false">S85-S96</f>
        <v>684500.352</v>
      </c>
      <c r="T106" s="146" t="n">
        <f aca="false">T85-T96</f>
        <v>1365913.7264</v>
      </c>
      <c r="U106" s="146" t="n">
        <f aca="false">U85-U96</f>
        <v>1358912.1008</v>
      </c>
      <c r="V106" s="146" t="n">
        <f aca="false">V85-V96</f>
        <v>1351910.4752</v>
      </c>
      <c r="W106" s="146" t="n">
        <f aca="false">W85-W96</f>
        <v>1344908.8496</v>
      </c>
      <c r="X106" s="151"/>
    </row>
    <row r="107" customFormat="false" ht="15.75" hidden="false" customHeight="true" outlineLevel="0" collapsed="false">
      <c r="B107" s="158" t="s">
        <v>76</v>
      </c>
      <c r="C107" s="161" t="n">
        <f aca="false">IRR(D106:W106)</f>
        <v>0.287046534521727</v>
      </c>
      <c r="D107" s="147"/>
      <c r="E107" s="147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</row>
    <row r="108" customFormat="false" ht="15.75" hidden="false" customHeight="true" outlineLevel="0" collapsed="false">
      <c r="B108" s="142"/>
      <c r="C108" s="142"/>
      <c r="D108" s="142"/>
      <c r="E108" s="142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</row>
    <row r="109" customFormat="false" ht="15.75" hidden="false" customHeight="true" outlineLevel="0" collapsed="false">
      <c r="B109" s="142" t="s">
        <v>149</v>
      </c>
      <c r="C109" s="143" t="n">
        <v>0</v>
      </c>
      <c r="D109" s="143" t="n">
        <f aca="false">D92</f>
        <v>11014640</v>
      </c>
      <c r="E109" s="143" t="n">
        <f aca="false">D109+E93</f>
        <v>10280330.6666667</v>
      </c>
      <c r="F109" s="143" t="n">
        <f aca="false">E109+F93</f>
        <v>9546021.33333334</v>
      </c>
      <c r="G109" s="143" t="n">
        <f aca="false">F109+G93</f>
        <v>8811712</v>
      </c>
      <c r="H109" s="143" t="n">
        <f aca="false">G109+H93</f>
        <v>8077402.66666667</v>
      </c>
      <c r="I109" s="143" t="n">
        <f aca="false">H109+I93</f>
        <v>7343093.33333334</v>
      </c>
      <c r="J109" s="143" t="n">
        <f aca="false">I109+J93</f>
        <v>6608784.00000001</v>
      </c>
      <c r="K109" s="143" t="n">
        <f aca="false">J109+K93</f>
        <v>5874474.66666667</v>
      </c>
      <c r="L109" s="143" t="n">
        <f aca="false">K109+L93</f>
        <v>5140165.33333334</v>
      </c>
      <c r="M109" s="143" t="n">
        <f aca="false">L109+M93</f>
        <v>4405856.00000001</v>
      </c>
      <c r="N109" s="143" t="n">
        <f aca="false">M109+N93</f>
        <v>3671546.66666667</v>
      </c>
      <c r="O109" s="143" t="n">
        <f aca="false">N109+O93</f>
        <v>2937237.33333334</v>
      </c>
      <c r="P109" s="143" t="n">
        <f aca="false">O109+P93</f>
        <v>2202928.00000001</v>
      </c>
      <c r="Q109" s="143" t="n">
        <f aca="false">P109+Q93</f>
        <v>1468618.66666667</v>
      </c>
      <c r="R109" s="143" t="n">
        <f aca="false">Q109+R93</f>
        <v>734309.333333341</v>
      </c>
      <c r="S109" s="143" t="n">
        <f aca="false">R109+S93</f>
        <v>7.45058059692383E-009</v>
      </c>
      <c r="T109" s="143" t="n">
        <f aca="false">S109+T93</f>
        <v>7.45058059692383E-009</v>
      </c>
      <c r="U109" s="143" t="n">
        <f aca="false">T109+U93</f>
        <v>7.45058059692383E-009</v>
      </c>
      <c r="V109" s="143" t="n">
        <f aca="false">U109+V93</f>
        <v>7.45058059692383E-009</v>
      </c>
      <c r="W109" s="143" t="n">
        <f aca="false">V109+W93</f>
        <v>7.45058059692383E-009</v>
      </c>
      <c r="X109" s="14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237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105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106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239</v>
      </c>
    </row>
    <row r="8" customFormat="false" ht="22.5" hidden="false" customHeight="true" outlineLevel="0" collapsed="false">
      <c r="B8" s="16" t="s">
        <v>14</v>
      </c>
      <c r="E8" s="165"/>
      <c r="M8" s="0" t="s">
        <v>240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196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35000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-22459150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-45790.5</v>
      </c>
      <c r="E49" s="185" t="n">
        <v>-45790.5</v>
      </c>
      <c r="F49" s="185" t="n">
        <v>-45790.5</v>
      </c>
      <c r="G49" s="185" t="n">
        <v>-45790.5</v>
      </c>
      <c r="H49" s="185" t="n">
        <v>-45790.5</v>
      </c>
      <c r="I49" s="185" t="n">
        <v>-45790.5</v>
      </c>
      <c r="J49" s="185" t="n">
        <v>-45790.5</v>
      </c>
      <c r="K49" s="185" t="n">
        <v>-45790.5</v>
      </c>
      <c r="L49" s="185" t="n">
        <v>-45790.5</v>
      </c>
      <c r="M49" s="185" t="n">
        <v>-45790.5</v>
      </c>
      <c r="N49" s="185" t="n">
        <v>-45790.5</v>
      </c>
      <c r="O49" s="185" t="n">
        <v>-45790.5</v>
      </c>
      <c r="P49" s="185" t="n">
        <v>-45790.5</v>
      </c>
      <c r="Q49" s="185" t="n">
        <v>-45790.5</v>
      </c>
      <c r="R49" s="185" t="n">
        <v>-45790.5</v>
      </c>
      <c r="S49" s="185" t="n">
        <v>-45790.5</v>
      </c>
      <c r="T49" s="185" t="n">
        <v>-45790.5</v>
      </c>
      <c r="U49" s="185" t="n">
        <v>-45790.5</v>
      </c>
      <c r="V49" s="185" t="n">
        <v>-45790.5</v>
      </c>
      <c r="W49" s="185" t="n">
        <v>-45790.5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-155865.984</v>
      </c>
      <c r="E54" s="185" t="n">
        <f aca="false">-(E64+E67+E68+E71+E72+E73+E74)*0.2</f>
        <v>-96075.3776</v>
      </c>
      <c r="F54" s="185" t="n">
        <f aca="false">-(F64+F67+F68+F71+F72+F73+F74)*0.2</f>
        <v>-94324.9712</v>
      </c>
      <c r="G54" s="185" t="n">
        <f aca="false">-(G64+G67+G68+G71+G72+G73+G74)*0.2</f>
        <v>-92574.5648</v>
      </c>
      <c r="H54" s="185" t="n">
        <f aca="false">-(H64+H67+H68+H71+H72+H73+H74)*0.2</f>
        <v>-90824.1584</v>
      </c>
      <c r="I54" s="185" t="n">
        <f aca="false">-(I64+I67+I68+I71+I72+I73+I74)*0.2</f>
        <v>-89073.752</v>
      </c>
      <c r="J54" s="185" t="n">
        <f aca="false">-(J64+J67+J68+J71+J72+J73+J74)*0.2</f>
        <v>-87323.3456</v>
      </c>
      <c r="K54" s="185" t="n">
        <f aca="false">-(K64+K67+K68+K71+K72+K73+K74)*0.2</f>
        <v>-85572.9392</v>
      </c>
      <c r="L54" s="185" t="n">
        <f aca="false">-(L64+L67+L68+L71+L72+L73+L74)*0.2</f>
        <v>-83822.5328</v>
      </c>
      <c r="M54" s="185" t="n">
        <f aca="false">-(M64+M67+M68+M71+M72+M73+M74)*0.2</f>
        <v>-82072.1264</v>
      </c>
      <c r="N54" s="185" t="n">
        <f aca="false">-(N64+N67+N68+N71+N72+N73+N74)*0.2</f>
        <v>-89043.72</v>
      </c>
      <c r="O54" s="185" t="n">
        <f aca="false">-(O64+O67+O68+O71+O72+O73+O74)*0.2</f>
        <v>-87293.3136</v>
      </c>
      <c r="P54" s="185" t="n">
        <f aca="false">-(P64+P67+P68+P71+P72+P73+P74)*0.2</f>
        <v>-85542.9072</v>
      </c>
      <c r="Q54" s="185" t="n">
        <f aca="false">-(Q64+Q67+Q68+Q71+Q72+Q73+Q74)*0.2</f>
        <v>-83792.5008</v>
      </c>
      <c r="R54" s="185" t="n">
        <f aca="false">-(R64+R67+R68+R71+R72+R73+R74)*0.2</f>
        <v>-82042.0944</v>
      </c>
      <c r="S54" s="185" t="n">
        <f aca="false">-(S64+S67+S68+S71+S72+S73+S74)*0.2</f>
        <v>-80291.688</v>
      </c>
      <c r="T54" s="185" t="n">
        <f aca="false">-(T64+T67+T68+T71+T72+T73+T74)*0.2</f>
        <v>-78541.2816</v>
      </c>
      <c r="U54" s="185" t="n">
        <f aca="false">-(U64+U67+U68+U71+U72+U73+U74)*0.2</f>
        <v>-76790.8752</v>
      </c>
      <c r="V54" s="185" t="n">
        <f aca="false">-(V64+V67+V68+V71+V72+V73+V74)*0.2</f>
        <v>-75040.4688</v>
      </c>
      <c r="W54" s="185" t="n">
        <f aca="false">-(W64+W67+W68+W71+W72+W73+W74)*0.2</f>
        <v>-73290.0624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-22459150</v>
      </c>
      <c r="D55" s="190" t="n">
        <f aca="false">SUM(D41:D54)</f>
        <v>1456220.436</v>
      </c>
      <c r="E55" s="190" t="n">
        <f aca="false">SUM(E41:E54)</f>
        <v>1507259.0104</v>
      </c>
      <c r="F55" s="190" t="n">
        <f aca="false">SUM(F41:F54)</f>
        <v>1500257.3848</v>
      </c>
      <c r="G55" s="190" t="n">
        <f aca="false">SUM(G41:G54)</f>
        <v>1493255.7592</v>
      </c>
      <c r="H55" s="190" t="n">
        <f aca="false">SUM(H41:H54)</f>
        <v>1486254.1336</v>
      </c>
      <c r="I55" s="190" t="n">
        <f aca="false">SUM(I41:I54)</f>
        <v>1479252.508</v>
      </c>
      <c r="J55" s="190" t="n">
        <f aca="false">SUM(J41:J54)</f>
        <v>1472250.8824</v>
      </c>
      <c r="K55" s="190" t="n">
        <f aca="false">SUM(K41:K54)</f>
        <v>1465249.2568</v>
      </c>
      <c r="L55" s="190" t="n">
        <f aca="false">SUM(L41:L54)</f>
        <v>1458247.6312</v>
      </c>
      <c r="M55" s="190" t="n">
        <f aca="false">SUM(M41:M54)</f>
        <v>1451246.0056</v>
      </c>
      <c r="N55" s="190" t="n">
        <f aca="false">SUM(N41:N54)</f>
        <v>1479132.38</v>
      </c>
      <c r="O55" s="190" t="n">
        <f aca="false">SUM(O41:O54)</f>
        <v>1472130.7544</v>
      </c>
      <c r="P55" s="190" t="n">
        <f aca="false">SUM(P41:P54)</f>
        <v>1465129.1288</v>
      </c>
      <c r="Q55" s="190" t="n">
        <f aca="false">SUM(Q41:Q54)</f>
        <v>1458127.5032</v>
      </c>
      <c r="R55" s="190" t="n">
        <f aca="false">SUM(R41:R54)</f>
        <v>1451125.8776</v>
      </c>
      <c r="S55" s="190" t="n">
        <f aca="false">SUM(S41:S54)</f>
        <v>1444124.252</v>
      </c>
      <c r="T55" s="190" t="n">
        <f aca="false">SUM(T41:T54)</f>
        <v>1437122.6264</v>
      </c>
      <c r="U55" s="190" t="n">
        <f aca="false">SUM(U41:U54)</f>
        <v>1430121.0008</v>
      </c>
      <c r="V55" s="190" t="n">
        <f aca="false">SUM(V41:V54)</f>
        <v>1423119.3752</v>
      </c>
      <c r="W55" s="190" t="n">
        <f aca="false">SUM(W41:W54)</f>
        <v>1416117.7496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-21002929.564</v>
      </c>
      <c r="E56" s="195" t="n">
        <f aca="false">D56+E55</f>
        <v>-19495670.5536</v>
      </c>
      <c r="F56" s="195" t="n">
        <f aca="false">E56+F55</f>
        <v>-17995413.1688</v>
      </c>
      <c r="G56" s="195" t="n">
        <f aca="false">F56+G55</f>
        <v>-16502157.4096</v>
      </c>
      <c r="H56" s="195" t="n">
        <f aca="false">G56+H55</f>
        <v>-15015903.276</v>
      </c>
      <c r="I56" s="195" t="n">
        <f aca="false">H56+I55</f>
        <v>-13536650.768</v>
      </c>
      <c r="J56" s="195" t="n">
        <f aca="false">I56+J55</f>
        <v>-12064399.8856</v>
      </c>
      <c r="K56" s="195" t="n">
        <f aca="false">J56+K55</f>
        <v>-10599150.6288</v>
      </c>
      <c r="L56" s="195" t="n">
        <f aca="false">K56+L55</f>
        <v>-9140902.9976</v>
      </c>
      <c r="M56" s="195" t="n">
        <f aca="false">L56+M55</f>
        <v>-7689656.992</v>
      </c>
      <c r="N56" s="195" t="n">
        <f aca="false">M56+N55</f>
        <v>-6210524.612</v>
      </c>
      <c r="O56" s="195" t="n">
        <f aca="false">N56+O55</f>
        <v>-4738393.8576</v>
      </c>
      <c r="P56" s="195" t="n">
        <f aca="false">O56+P55</f>
        <v>-3273264.7288</v>
      </c>
      <c r="Q56" s="195" t="n">
        <f aca="false">P56+Q55</f>
        <v>-1815137.2256</v>
      </c>
      <c r="R56" s="195" t="n">
        <f aca="false">Q56+R55</f>
        <v>-364011.347999997</v>
      </c>
      <c r="S56" s="195" t="n">
        <f aca="false">R56+S55</f>
        <v>1080112.904</v>
      </c>
      <c r="T56" s="195" t="n">
        <f aca="false">S56+T55</f>
        <v>2517235.5304</v>
      </c>
      <c r="U56" s="195" t="n">
        <f aca="false">T56+U55</f>
        <v>3947356.5312</v>
      </c>
      <c r="V56" s="195" t="n">
        <f aca="false">U56+V55</f>
        <v>5370475.9064</v>
      </c>
      <c r="W56" s="195" t="n">
        <f aca="false">V56+W55</f>
        <v>6786593.656</v>
      </c>
      <c r="X56" s="195" t="n">
        <f aca="false">W56+X55</f>
        <v>6786593.656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未回收</v>
      </c>
      <c r="O57" s="199" t="str">
        <f aca="false">IF((O56)&gt;0,"回收","未回收")</f>
        <v>未回收</v>
      </c>
      <c r="P57" s="199" t="str">
        <f aca="false">IF((P56)&gt;0,"回收","未回收")</f>
        <v>未回收</v>
      </c>
      <c r="Q57" s="199" t="str">
        <f aca="false">IF((Q56)&gt;0,"回收","未回收")</f>
        <v>未回收</v>
      </c>
      <c r="R57" s="199" t="str">
        <f aca="false">IF((R56)&gt;0,"回收","未回收")</f>
        <v>未回收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0.0268026932731066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-1122957.5</v>
      </c>
      <c r="E67" s="200" t="n">
        <f aca="false">$C$44/$E$16</f>
        <v>-1122957.5</v>
      </c>
      <c r="F67" s="200" t="n">
        <f aca="false">$C$44/$E$16</f>
        <v>-1122957.5</v>
      </c>
      <c r="G67" s="200" t="n">
        <f aca="false">$C$44/$E$16</f>
        <v>-1122957.5</v>
      </c>
      <c r="H67" s="200" t="n">
        <f aca="false">$C$44/$E$16</f>
        <v>-1122957.5</v>
      </c>
      <c r="I67" s="200" t="n">
        <f aca="false">$C$44/$E$16</f>
        <v>-1122957.5</v>
      </c>
      <c r="J67" s="200" t="n">
        <f aca="false">$C$44/$E$16</f>
        <v>-1122957.5</v>
      </c>
      <c r="K67" s="200" t="n">
        <f aca="false">$C$44/$E$16</f>
        <v>-1122957.5</v>
      </c>
      <c r="L67" s="200" t="n">
        <f aca="false">$C$44/$E$16</f>
        <v>-1122957.5</v>
      </c>
      <c r="M67" s="200" t="n">
        <f aca="false">$C$44/$E$16</f>
        <v>-1122957.5</v>
      </c>
      <c r="N67" s="200" t="n">
        <f aca="false">$C$44/$E$16</f>
        <v>-1122957.5</v>
      </c>
      <c r="O67" s="200" t="n">
        <f aca="false">$C$44/$E$16</f>
        <v>-1122957.5</v>
      </c>
      <c r="P67" s="200" t="n">
        <f aca="false">$C$44/$E$16</f>
        <v>-1122957.5</v>
      </c>
      <c r="Q67" s="200" t="n">
        <f aca="false">$C$44/$E$16</f>
        <v>-1122957.5</v>
      </c>
      <c r="R67" s="200" t="n">
        <f aca="false">$C$44/$E$16</f>
        <v>-1122957.5</v>
      </c>
      <c r="S67" s="200" t="n">
        <f aca="false">$C$44/$E$16</f>
        <v>-1122957.5</v>
      </c>
      <c r="T67" s="200" t="n">
        <f aca="false">$C$44/$E$16</f>
        <v>-1122957.5</v>
      </c>
      <c r="U67" s="200" t="n">
        <f aca="false">$C$44/$E$16</f>
        <v>-1122957.5</v>
      </c>
      <c r="V67" s="200" t="n">
        <f aca="false">$C$44/$E$16</f>
        <v>-1122957.5</v>
      </c>
      <c r="W67" s="200" t="n">
        <f aca="false">$C$44/$E$16</f>
        <v>-1122957.5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-459963.392</v>
      </c>
      <c r="E70" s="185" t="n">
        <f aca="false">-E109*$D25</f>
        <v>-429299.165866667</v>
      </c>
      <c r="F70" s="185" t="n">
        <f aca="false">-F109*$D25</f>
        <v>-398634.939733333</v>
      </c>
      <c r="G70" s="185" t="n">
        <f aca="false">-G109*$D25</f>
        <v>-367970.7136</v>
      </c>
      <c r="H70" s="185" t="n">
        <f aca="false">-H109*$D25</f>
        <v>-337306.487466667</v>
      </c>
      <c r="I70" s="185" t="n">
        <f aca="false">-I109*$D25</f>
        <v>-306642.261333334</v>
      </c>
      <c r="J70" s="185" t="n">
        <f aca="false">-J109*$D25</f>
        <v>-275978.0352</v>
      </c>
      <c r="K70" s="185" t="n">
        <f aca="false">-K109*$D25</f>
        <v>-245313.809066667</v>
      </c>
      <c r="L70" s="185" t="n">
        <f aca="false">-L109*$D25</f>
        <v>-214649.582933334</v>
      </c>
      <c r="M70" s="185" t="n">
        <f aca="false">-M109*$D25</f>
        <v>-183985.3568</v>
      </c>
      <c r="N70" s="185" t="n">
        <f aca="false">-N109*$D25</f>
        <v>-153321.130666667</v>
      </c>
      <c r="O70" s="185" t="n">
        <f aca="false">-O109*$D25</f>
        <v>-122656.904533334</v>
      </c>
      <c r="P70" s="185" t="n">
        <f aca="false">-P109*$D25</f>
        <v>-91992.6784000003</v>
      </c>
      <c r="Q70" s="185" t="n">
        <f aca="false">-Q109*$D25</f>
        <v>-61328.4522666669</v>
      </c>
      <c r="R70" s="185" t="n">
        <f aca="false">-R109*$D25</f>
        <v>-30664.2261333336</v>
      </c>
      <c r="S70" s="185" t="n">
        <f aca="false">-S109*$D25</f>
        <v>-2.86102294921875E-010</v>
      </c>
      <c r="T70" s="185" t="n">
        <f aca="false">-T109*$D25</f>
        <v>-2.86102294921875E-010</v>
      </c>
      <c r="U70" s="185" t="n">
        <f aca="false">-U109*$D25</f>
        <v>-2.86102294921875E-010</v>
      </c>
      <c r="V70" s="185" t="n">
        <f aca="false">-V109*$D25</f>
        <v>-2.86102294921875E-010</v>
      </c>
      <c r="W70" s="185" t="n">
        <f aca="false">-W109*$D25</f>
        <v>-2.86102294921875E-010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-45790.5</v>
      </c>
      <c r="E72" s="185" t="n">
        <f aca="false">E49</f>
        <v>-45790.5</v>
      </c>
      <c r="F72" s="185" t="n">
        <f aca="false">F49</f>
        <v>-45790.5</v>
      </c>
      <c r="G72" s="185" t="n">
        <f aca="false">G49</f>
        <v>-45790.5</v>
      </c>
      <c r="H72" s="185" t="n">
        <f aca="false">H49</f>
        <v>-45790.5</v>
      </c>
      <c r="I72" s="185" t="n">
        <f aca="false">I49</f>
        <v>-45790.5</v>
      </c>
      <c r="J72" s="185" t="n">
        <f aca="false">J49</f>
        <v>-45790.5</v>
      </c>
      <c r="K72" s="185" t="n">
        <f aca="false">K49</f>
        <v>-45790.5</v>
      </c>
      <c r="L72" s="185" t="n">
        <f aca="false">L49</f>
        <v>-45790.5</v>
      </c>
      <c r="M72" s="185" t="n">
        <f aca="false">M49</f>
        <v>-45790.5</v>
      </c>
      <c r="N72" s="185" t="n">
        <f aca="false">N49</f>
        <v>-45790.5</v>
      </c>
      <c r="O72" s="185" t="n">
        <f aca="false">O49</f>
        <v>-45790.5</v>
      </c>
      <c r="P72" s="185" t="n">
        <f aca="false">P49</f>
        <v>-45790.5</v>
      </c>
      <c r="Q72" s="185" t="n">
        <f aca="false">Q49</f>
        <v>-45790.5</v>
      </c>
      <c r="R72" s="185" t="n">
        <f aca="false">R49</f>
        <v>-45790.5</v>
      </c>
      <c r="S72" s="185" t="n">
        <f aca="false">S49</f>
        <v>-45790.5</v>
      </c>
      <c r="T72" s="185" t="n">
        <f aca="false">T49</f>
        <v>-45790.5</v>
      </c>
      <c r="U72" s="185" t="n">
        <f aca="false">U49</f>
        <v>-45790.5</v>
      </c>
      <c r="V72" s="185" t="n">
        <f aca="false">V49</f>
        <v>-45790.5</v>
      </c>
      <c r="W72" s="185" t="n">
        <f aca="false">W49</f>
        <v>-45790.5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319366.528</v>
      </c>
      <c r="E76" s="190" t="n">
        <f aca="false">SUM(E64:E75)</f>
        <v>51077.7221333331</v>
      </c>
      <c r="F76" s="190" t="n">
        <f aca="false">SUM(F64:F75)</f>
        <v>72989.9162666667</v>
      </c>
      <c r="G76" s="190" t="n">
        <f aca="false">SUM(G64:G75)</f>
        <v>94902.1103999999</v>
      </c>
      <c r="H76" s="190" t="n">
        <f aca="false">SUM(H64:H75)</f>
        <v>116814.304533333</v>
      </c>
      <c r="I76" s="190" t="n">
        <f aca="false">SUM(I64:I75)</f>
        <v>138726.498666666</v>
      </c>
      <c r="J76" s="190" t="n">
        <f aca="false">SUM(J64:J75)</f>
        <v>160638.6928</v>
      </c>
      <c r="K76" s="190" t="n">
        <f aca="false">SUM(K64:K75)</f>
        <v>182550.886933333</v>
      </c>
      <c r="L76" s="190" t="n">
        <f aca="false">SUM(L64:L75)</f>
        <v>204463.081066666</v>
      </c>
      <c r="M76" s="190" t="n">
        <f aca="false">SUM(M64:M75)</f>
        <v>226375.2752</v>
      </c>
      <c r="N76" s="190" t="n">
        <f aca="false">SUM(N64:N75)</f>
        <v>291897.469333333</v>
      </c>
      <c r="O76" s="190" t="n">
        <f aca="false">SUM(O64:O75)</f>
        <v>313809.663466666</v>
      </c>
      <c r="P76" s="190" t="n">
        <f aca="false">SUM(P64:P75)</f>
        <v>335721.8576</v>
      </c>
      <c r="Q76" s="190" t="n">
        <f aca="false">SUM(Q64:Q75)</f>
        <v>357634.051733333</v>
      </c>
      <c r="R76" s="190" t="n">
        <f aca="false">SUM(R64:R75)</f>
        <v>379546.245866666</v>
      </c>
      <c r="S76" s="190" t="n">
        <f aca="false">SUM(S64:S75)</f>
        <v>401458.44</v>
      </c>
      <c r="T76" s="190" t="n">
        <f aca="false">SUM(T64:T75)</f>
        <v>392706.408</v>
      </c>
      <c r="U76" s="190" t="n">
        <f aca="false">SUM(U64:U75)</f>
        <v>383954.376</v>
      </c>
      <c r="V76" s="190" t="n">
        <f aca="false">SUM(V64:V75)</f>
        <v>375202.344</v>
      </c>
      <c r="W76" s="190" t="n">
        <f aca="false">SUM(W64:W75)</f>
        <v>366450.312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-63873.3056</v>
      </c>
      <c r="E77" s="185" t="n">
        <f aca="false">-E76*0.2</f>
        <v>-10215.5444266666</v>
      </c>
      <c r="F77" s="185" t="n">
        <f aca="false">-F76*0.2</f>
        <v>-14597.9832533333</v>
      </c>
      <c r="G77" s="185" t="n">
        <f aca="false">-G76*0.2</f>
        <v>-18980.42208</v>
      </c>
      <c r="H77" s="185" t="n">
        <f aca="false">-H76*0.2</f>
        <v>-23362.8609066666</v>
      </c>
      <c r="I77" s="185" t="n">
        <f aca="false">-I76*0.2</f>
        <v>-27745.2997333333</v>
      </c>
      <c r="J77" s="185" t="n">
        <f aca="false">-J76*0.2</f>
        <v>-32127.73856</v>
      </c>
      <c r="K77" s="185" t="n">
        <f aca="false">-K76*0.2</f>
        <v>-36510.1773866666</v>
      </c>
      <c r="L77" s="185" t="n">
        <f aca="false">-L76*0.2</f>
        <v>-40892.6162133333</v>
      </c>
      <c r="M77" s="185" t="n">
        <f aca="false">-M76*0.2</f>
        <v>-45275.05504</v>
      </c>
      <c r="N77" s="185" t="n">
        <f aca="false">-N76*0.2</f>
        <v>-58379.4938666666</v>
      </c>
      <c r="O77" s="185" t="n">
        <f aca="false">-O76*0.2</f>
        <v>-62761.9326933333</v>
      </c>
      <c r="P77" s="185" t="n">
        <f aca="false">-P76*0.2</f>
        <v>-67144.3715199999</v>
      </c>
      <c r="Q77" s="185" t="n">
        <f aca="false">-Q76*0.2</f>
        <v>-71526.8103466666</v>
      </c>
      <c r="R77" s="185" t="n">
        <f aca="false">-R76*0.2</f>
        <v>-75909.2491733332</v>
      </c>
      <c r="S77" s="185" t="n">
        <f aca="false">-S76*0.2</f>
        <v>-80291.6879999999</v>
      </c>
      <c r="T77" s="185" t="n">
        <f aca="false">-T76*0.2</f>
        <v>-78541.2815999999</v>
      </c>
      <c r="U77" s="185" t="n">
        <f aca="false">-U76*0.2</f>
        <v>-76790.8751999999</v>
      </c>
      <c r="V77" s="185" t="n">
        <f aca="false">-V76*0.2</f>
        <v>-75040.4687999999</v>
      </c>
      <c r="W77" s="185" t="n">
        <f aca="false">-W76*0.2</f>
        <v>-73290.0623999999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255493.2224</v>
      </c>
      <c r="E78" s="185" t="n">
        <f aca="false">SUM(E76:E77)</f>
        <v>40862.1777066665</v>
      </c>
      <c r="F78" s="185" t="n">
        <f aca="false">SUM(F76:F77)</f>
        <v>58391.9330133334</v>
      </c>
      <c r="G78" s="185" t="n">
        <f aca="false">SUM(G76:G77)</f>
        <v>75921.6883199999</v>
      </c>
      <c r="H78" s="185" t="n">
        <f aca="false">SUM(H76:H77)</f>
        <v>93451.4436266665</v>
      </c>
      <c r="I78" s="185" t="n">
        <f aca="false">SUM(I76:I77)</f>
        <v>110981.198933333</v>
      </c>
      <c r="J78" s="185" t="n">
        <f aca="false">SUM(J76:J77)</f>
        <v>128510.95424</v>
      </c>
      <c r="K78" s="185" t="n">
        <f aca="false">SUM(K76:K77)</f>
        <v>146040.709546666</v>
      </c>
      <c r="L78" s="185" t="n">
        <f aca="false">SUM(L76:L77)</f>
        <v>163570.464853333</v>
      </c>
      <c r="M78" s="185" t="n">
        <f aca="false">SUM(M76:M77)</f>
        <v>181100.22016</v>
      </c>
      <c r="N78" s="185" t="n">
        <f aca="false">SUM(N76:N77)</f>
        <v>233517.975466666</v>
      </c>
      <c r="O78" s="185" t="n">
        <f aca="false">SUM(O76:O77)</f>
        <v>251047.730773333</v>
      </c>
      <c r="P78" s="185" t="n">
        <f aca="false">SUM(P76:P77)</f>
        <v>268577.48608</v>
      </c>
      <c r="Q78" s="185" t="n">
        <f aca="false">SUM(Q76:Q77)</f>
        <v>286107.241386666</v>
      </c>
      <c r="R78" s="185" t="n">
        <f aca="false">SUM(R76:R77)</f>
        <v>303636.996693333</v>
      </c>
      <c r="S78" s="185" t="n">
        <f aca="false">SUM(S76:S77)</f>
        <v>321166.752</v>
      </c>
      <c r="T78" s="185" t="n">
        <f aca="false">SUM(T76:T77)</f>
        <v>314165.1264</v>
      </c>
      <c r="U78" s="185" t="n">
        <f aca="false">SUM(U76:U77)</f>
        <v>307163.5008</v>
      </c>
      <c r="V78" s="185" t="n">
        <f aca="false">SUM(V76:V77)</f>
        <v>300161.8752</v>
      </c>
      <c r="W78" s="185" t="n">
        <f aca="false">SUM(W76:W77)</f>
        <v>293160.2496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255493.2224</v>
      </c>
      <c r="E85" s="208" t="n">
        <f aca="false">E78</f>
        <v>40862.1777066665</v>
      </c>
      <c r="F85" s="208" t="n">
        <f aca="false">F78</f>
        <v>58391.9330133334</v>
      </c>
      <c r="G85" s="208" t="n">
        <f aca="false">G78</f>
        <v>75921.6883199999</v>
      </c>
      <c r="H85" s="208" t="n">
        <f aca="false">H78</f>
        <v>93451.4436266665</v>
      </c>
      <c r="I85" s="208" t="n">
        <f aca="false">I78</f>
        <v>110981.198933333</v>
      </c>
      <c r="J85" s="208" t="n">
        <f aca="false">J78</f>
        <v>128510.95424</v>
      </c>
      <c r="K85" s="208" t="n">
        <f aca="false">K78</f>
        <v>146040.709546666</v>
      </c>
      <c r="L85" s="208" t="n">
        <f aca="false">L78</f>
        <v>163570.464853333</v>
      </c>
      <c r="M85" s="208" t="n">
        <f aca="false">M78</f>
        <v>181100.22016</v>
      </c>
      <c r="N85" s="208" t="n">
        <f aca="false">N78</f>
        <v>233517.975466666</v>
      </c>
      <c r="O85" s="208" t="n">
        <f aca="false">O78</f>
        <v>251047.730773333</v>
      </c>
      <c r="P85" s="208" t="n">
        <f aca="false">P78</f>
        <v>268577.48608</v>
      </c>
      <c r="Q85" s="208" t="n">
        <f aca="false">Q78</f>
        <v>286107.241386666</v>
      </c>
      <c r="R85" s="208" t="n">
        <f aca="false">R78</f>
        <v>303636.996693333</v>
      </c>
      <c r="S85" s="208" t="n">
        <f aca="false">S78</f>
        <v>321166.752</v>
      </c>
      <c r="T85" s="208" t="n">
        <f aca="false">T78</f>
        <v>314165.1264</v>
      </c>
      <c r="U85" s="208" t="n">
        <f aca="false">U78</f>
        <v>307163.5008</v>
      </c>
      <c r="V85" s="208" t="n">
        <f aca="false">V78</f>
        <v>300161.8752</v>
      </c>
      <c r="W85" s="208" t="n">
        <f aca="false">W78</f>
        <v>293160.2496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1122957.5</v>
      </c>
      <c r="E86" s="209" t="n">
        <f aca="false">-E67</f>
        <v>1122957.5</v>
      </c>
      <c r="F86" s="209" t="n">
        <f aca="false">-F67</f>
        <v>1122957.5</v>
      </c>
      <c r="G86" s="209" t="n">
        <f aca="false">-G67</f>
        <v>1122957.5</v>
      </c>
      <c r="H86" s="209" t="n">
        <f aca="false">-H67</f>
        <v>1122957.5</v>
      </c>
      <c r="I86" s="209" t="n">
        <f aca="false">-I67</f>
        <v>1122957.5</v>
      </c>
      <c r="J86" s="209" t="n">
        <f aca="false">-J67</f>
        <v>1122957.5</v>
      </c>
      <c r="K86" s="209" t="n">
        <f aca="false">-K67</f>
        <v>1122957.5</v>
      </c>
      <c r="L86" s="209" t="n">
        <f aca="false">-L67</f>
        <v>1122957.5</v>
      </c>
      <c r="M86" s="209" t="n">
        <f aca="false">-M67</f>
        <v>1122957.5</v>
      </c>
      <c r="N86" s="209" t="n">
        <f aca="false">-N67</f>
        <v>1122957.5</v>
      </c>
      <c r="O86" s="209" t="n">
        <f aca="false">-O67</f>
        <v>1122957.5</v>
      </c>
      <c r="P86" s="209" t="n">
        <f aca="false">-P67</f>
        <v>1122957.5</v>
      </c>
      <c r="Q86" s="209" t="n">
        <f aca="false">-Q67</f>
        <v>1122957.5</v>
      </c>
      <c r="R86" s="209" t="n">
        <f aca="false">-R67</f>
        <v>1122957.5</v>
      </c>
      <c r="S86" s="209" t="n">
        <f aca="false">-S67</f>
        <v>1122957.5</v>
      </c>
      <c r="T86" s="209" t="n">
        <f aca="false">-T67</f>
        <v>1122957.5</v>
      </c>
      <c r="U86" s="209" t="n">
        <f aca="false">-U67</f>
        <v>1122957.5</v>
      </c>
      <c r="V86" s="209" t="n">
        <f aca="false">-V67</f>
        <v>1122957.5</v>
      </c>
      <c r="W86" s="209" t="n">
        <f aca="false">-W67</f>
        <v>1122957.5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1378450.7224</v>
      </c>
      <c r="E87" s="211" t="n">
        <f aca="false">SUM(E85:E86)</f>
        <v>1163819.67770667</v>
      </c>
      <c r="F87" s="211" t="n">
        <f aca="false">SUM(F85:F86)</f>
        <v>1181349.43301333</v>
      </c>
      <c r="G87" s="211" t="n">
        <f aca="false">SUM(G85:G86)</f>
        <v>1198879.18832</v>
      </c>
      <c r="H87" s="211" t="n">
        <f aca="false">SUM(H85:H86)</f>
        <v>1216408.94362667</v>
      </c>
      <c r="I87" s="211" t="n">
        <f aca="false">SUM(I85:I86)</f>
        <v>1233938.69893333</v>
      </c>
      <c r="J87" s="211" t="n">
        <f aca="false">SUM(J85:J86)</f>
        <v>1251468.45424</v>
      </c>
      <c r="K87" s="211" t="n">
        <f aca="false">SUM(K85:K86)</f>
        <v>1268998.20954667</v>
      </c>
      <c r="L87" s="211" t="n">
        <f aca="false">SUM(L85:L86)</f>
        <v>1286527.96485333</v>
      </c>
      <c r="M87" s="211" t="n">
        <f aca="false">SUM(M85:M86)</f>
        <v>1304057.72016</v>
      </c>
      <c r="N87" s="211" t="n">
        <f aca="false">SUM(N85:N86)</f>
        <v>1356475.47546667</v>
      </c>
      <c r="O87" s="211" t="n">
        <f aca="false">SUM(O85:O86)</f>
        <v>1374005.23077333</v>
      </c>
      <c r="P87" s="211" t="n">
        <f aca="false">SUM(P85:P86)</f>
        <v>1391534.98608</v>
      </c>
      <c r="Q87" s="211" t="n">
        <f aca="false">SUM(Q85:Q86)</f>
        <v>1409064.74138667</v>
      </c>
      <c r="R87" s="211" t="n">
        <f aca="false">SUM(R85:R86)</f>
        <v>1426594.49669333</v>
      </c>
      <c r="S87" s="211" t="n">
        <f aca="false">SUM(S85:S86)</f>
        <v>1444124.252</v>
      </c>
      <c r="T87" s="211" t="n">
        <f aca="false">SUM(T85:T86)</f>
        <v>1437122.6264</v>
      </c>
      <c r="U87" s="211" t="n">
        <f aca="false">SUM(U85:U86)</f>
        <v>1430121.0008</v>
      </c>
      <c r="V87" s="211" t="n">
        <f aca="false">SUM(V85:V86)</f>
        <v>1423119.3752</v>
      </c>
      <c r="W87" s="211" t="n">
        <f aca="false">SUM(W85:W86)</f>
        <v>1416117.7496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-22459150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17967320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-1197821.33333333</v>
      </c>
      <c r="F93" s="217" t="n">
        <v>-1197821.33333333</v>
      </c>
      <c r="G93" s="217" t="n">
        <v>-1197821.33333333</v>
      </c>
      <c r="H93" s="217" t="n">
        <v>-1197821.33333333</v>
      </c>
      <c r="I93" s="217" t="n">
        <v>-1197821.33333333</v>
      </c>
      <c r="J93" s="217" t="n">
        <v>-1197821.33333333</v>
      </c>
      <c r="K93" s="217" t="n">
        <v>-1197821.33333333</v>
      </c>
      <c r="L93" s="217" t="n">
        <v>-1197821.33333333</v>
      </c>
      <c r="M93" s="217" t="n">
        <v>-1197821.33333333</v>
      </c>
      <c r="N93" s="217" t="n">
        <v>-1197821.33333333</v>
      </c>
      <c r="O93" s="217" t="n">
        <v>-1197821.33333333</v>
      </c>
      <c r="P93" s="217" t="n">
        <v>-1197821.33333333</v>
      </c>
      <c r="Q93" s="217" t="n">
        <v>-1197821.33333333</v>
      </c>
      <c r="R93" s="217" t="n">
        <v>-1197821.33333333</v>
      </c>
      <c r="S93" s="217" t="n">
        <v>-1197821.33333333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4491830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-229943.90016</v>
      </c>
      <c r="F95" s="153" t="n">
        <f aca="false">-E85*$D$33</f>
        <v>-36775.9599359998</v>
      </c>
      <c r="G95" s="153" t="n">
        <f aca="false">-F85*$D$33</f>
        <v>-52552.739712</v>
      </c>
      <c r="H95" s="153" t="n">
        <f aca="false">-G85*$D$33</f>
        <v>-68329.5194879999</v>
      </c>
      <c r="I95" s="153" t="n">
        <f aca="false">-H85*$D$33</f>
        <v>-84106.2992639998</v>
      </c>
      <c r="J95" s="153" t="n">
        <f aca="false">-I85*$D$33</f>
        <v>-99883.0790399997</v>
      </c>
      <c r="K95" s="153" t="n">
        <f aca="false">-J85*$D$33</f>
        <v>-115659.858816</v>
      </c>
      <c r="L95" s="153" t="n">
        <f aca="false">-K85*$D$33</f>
        <v>-131436.638592</v>
      </c>
      <c r="M95" s="153" t="n">
        <f aca="false">-L85*$D$33</f>
        <v>-147213.418368</v>
      </c>
      <c r="N95" s="153" t="n">
        <f aca="false">-M85*$D$33</f>
        <v>-162990.198144</v>
      </c>
      <c r="O95" s="153" t="n">
        <f aca="false">-N85*$D$33</f>
        <v>-210166.17792</v>
      </c>
      <c r="P95" s="153" t="n">
        <f aca="false">-O85*$D$33</f>
        <v>-225942.957696</v>
      </c>
      <c r="Q95" s="153" t="n">
        <f aca="false">-P85*$D$33</f>
        <v>-241719.737472</v>
      </c>
      <c r="R95" s="153" t="n">
        <f aca="false">-Q85*$D$33</f>
        <v>-257496.517248</v>
      </c>
      <c r="S95" s="153" t="n">
        <f aca="false">-R85*$D$33</f>
        <v>-273273.297024</v>
      </c>
      <c r="T95" s="153" t="n">
        <f aca="false">-S85*$D$33</f>
        <v>-289050.0768</v>
      </c>
      <c r="U95" s="153" t="n">
        <f aca="false">-T85*$D$33</f>
        <v>-282748.61376</v>
      </c>
      <c r="V95" s="153" t="n">
        <f aca="false">-U85*$D$33</f>
        <v>-276447.15072</v>
      </c>
      <c r="W95" s="153" t="n">
        <f aca="false">-V85*$D$33</f>
        <v>-270145.68768</v>
      </c>
      <c r="X95" s="153" t="n">
        <f aca="false">-W85*$D$33</f>
        <v>-263844.22464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-1122957.5</v>
      </c>
      <c r="U96" s="220" t="n">
        <v>-1122957.5</v>
      </c>
      <c r="V96" s="220" t="n">
        <v>-1122957.5</v>
      </c>
      <c r="W96" s="220" t="n">
        <v>-1122957.5</v>
      </c>
      <c r="X96" s="221" t="n">
        <f aca="false">-W101-X95</f>
        <v>-413302.894720003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1378450.7224</v>
      </c>
      <c r="E99" s="208" t="n">
        <f aca="false">SUM(E87:E96)</f>
        <v>-263945.555786666</v>
      </c>
      <c r="F99" s="208" t="n">
        <f aca="false">SUM(F87:F96)</f>
        <v>-53247.8602559994</v>
      </c>
      <c r="G99" s="208" t="n">
        <f aca="false">SUM(G87:G96)</f>
        <v>-51494.8847253331</v>
      </c>
      <c r="H99" s="208" t="n">
        <f aca="false">SUM(H87:H96)</f>
        <v>-49741.9091946665</v>
      </c>
      <c r="I99" s="208" t="n">
        <f aca="false">SUM(I87:I96)</f>
        <v>-47988.9336639999</v>
      </c>
      <c r="J99" s="208" t="n">
        <f aca="false">SUM(J87:J96)</f>
        <v>-46235.9581333329</v>
      </c>
      <c r="K99" s="208" t="n">
        <f aca="false">SUM(K87:K96)</f>
        <v>-44482.9826026664</v>
      </c>
      <c r="L99" s="208" t="n">
        <f aca="false">SUM(L87:L96)</f>
        <v>-42730.0070719998</v>
      </c>
      <c r="M99" s="208" t="n">
        <f aca="false">SUM(M87:M96)</f>
        <v>-40977.031541333</v>
      </c>
      <c r="N99" s="208" t="n">
        <f aca="false">SUM(N87:N96)</f>
        <v>-4336.05601066657</v>
      </c>
      <c r="O99" s="208" t="n">
        <f aca="false">SUM(O87:O96)</f>
        <v>-33982.2804799998</v>
      </c>
      <c r="P99" s="208" t="n">
        <f aca="false">SUM(P87:P96)</f>
        <v>-32229.3049493331</v>
      </c>
      <c r="Q99" s="208" t="n">
        <f aca="false">SUM(Q87:Q96)</f>
        <v>-30476.3294186663</v>
      </c>
      <c r="R99" s="208" t="n">
        <f aca="false">SUM(R87:R96)</f>
        <v>-28723.3538879999</v>
      </c>
      <c r="S99" s="208" t="n">
        <f aca="false">SUM(S87:S96)</f>
        <v>-26970.3783573328</v>
      </c>
      <c r="T99" s="208" t="n">
        <f aca="false">SUM(T87:T96)</f>
        <v>25115.0495999996</v>
      </c>
      <c r="U99" s="208" t="n">
        <f aca="false">SUM(U87:U96)</f>
        <v>24414.8870399999</v>
      </c>
      <c r="V99" s="208" t="n">
        <f aca="false">SUM(V87:V96)</f>
        <v>23714.7244799999</v>
      </c>
      <c r="W99" s="208" t="n">
        <f aca="false">SUM(W87:W96)</f>
        <v>23014.5619200002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1378450.7224</v>
      </c>
      <c r="F100" s="208" t="n">
        <f aca="false">E101</f>
        <v>1114505.16661333</v>
      </c>
      <c r="G100" s="208" t="n">
        <f aca="false">F101</f>
        <v>1061257.30635733</v>
      </c>
      <c r="H100" s="208" t="n">
        <f aca="false">G101</f>
        <v>1009762.421632</v>
      </c>
      <c r="I100" s="208" t="n">
        <f aca="false">H101</f>
        <v>960020.512437333</v>
      </c>
      <c r="J100" s="208" t="n">
        <f aca="false">I101</f>
        <v>912031.578773334</v>
      </c>
      <c r="K100" s="208" t="n">
        <f aca="false">J101</f>
        <v>865795.620640001</v>
      </c>
      <c r="L100" s="208" t="n">
        <f aca="false">K101</f>
        <v>821312.638037334</v>
      </c>
      <c r="M100" s="208" t="n">
        <f aca="false">L101</f>
        <v>778582.630965334</v>
      </c>
      <c r="N100" s="208" t="n">
        <f aca="false">M101</f>
        <v>737605.599424001</v>
      </c>
      <c r="O100" s="208" t="n">
        <f aca="false">N101</f>
        <v>733269.543413335</v>
      </c>
      <c r="P100" s="208" t="n">
        <f aca="false">O101</f>
        <v>699287.262933335</v>
      </c>
      <c r="Q100" s="208" t="n">
        <f aca="false">P101</f>
        <v>667057.957984002</v>
      </c>
      <c r="R100" s="208" t="n">
        <f aca="false">Q101</f>
        <v>636581.628565336</v>
      </c>
      <c r="S100" s="208" t="n">
        <f aca="false">R101</f>
        <v>607858.274677336</v>
      </c>
      <c r="T100" s="208" t="n">
        <f aca="false">S101</f>
        <v>580887.896320003</v>
      </c>
      <c r="U100" s="208" t="n">
        <f aca="false">T101</f>
        <v>606002.945920003</v>
      </c>
      <c r="V100" s="208" t="n">
        <f aca="false">U101</f>
        <v>630417.832960003</v>
      </c>
      <c r="W100" s="208" t="n">
        <f aca="false">V101</f>
        <v>654132.557440002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1378450.7224</v>
      </c>
      <c r="E101" s="208" t="n">
        <f aca="false">E99+E100</f>
        <v>1114505.16661333</v>
      </c>
      <c r="F101" s="208" t="n">
        <f aca="false">F99+F100</f>
        <v>1061257.30635733</v>
      </c>
      <c r="G101" s="208" t="n">
        <f aca="false">G99+G100</f>
        <v>1009762.421632</v>
      </c>
      <c r="H101" s="208" t="n">
        <f aca="false">H99+H100</f>
        <v>960020.512437333</v>
      </c>
      <c r="I101" s="208" t="n">
        <f aca="false">I99+I100</f>
        <v>912031.578773334</v>
      </c>
      <c r="J101" s="208" t="n">
        <f aca="false">J99+J100</f>
        <v>865795.620640001</v>
      </c>
      <c r="K101" s="208" t="n">
        <f aca="false">K99+K100</f>
        <v>821312.638037334</v>
      </c>
      <c r="L101" s="208" t="n">
        <f aca="false">L99+L100</f>
        <v>778582.630965334</v>
      </c>
      <c r="M101" s="208" t="n">
        <f aca="false">M99+M100</f>
        <v>737605.599424001</v>
      </c>
      <c r="N101" s="208" t="n">
        <f aca="false">N99+N100</f>
        <v>733269.543413335</v>
      </c>
      <c r="O101" s="208" t="n">
        <f aca="false">O99+O100</f>
        <v>699287.262933335</v>
      </c>
      <c r="P101" s="208" t="n">
        <f aca="false">P99+P100</f>
        <v>667057.957984002</v>
      </c>
      <c r="Q101" s="208" t="n">
        <f aca="false">Q99+Q100</f>
        <v>636581.628565336</v>
      </c>
      <c r="R101" s="208" t="n">
        <f aca="false">R99+R100</f>
        <v>607858.274677336</v>
      </c>
      <c r="S101" s="208" t="n">
        <f aca="false">S99+S100</f>
        <v>580887.896320003</v>
      </c>
      <c r="T101" s="208" t="n">
        <f aca="false">T99+T100</f>
        <v>606002.945920003</v>
      </c>
      <c r="U101" s="208" t="n">
        <f aca="false">U99+U100</f>
        <v>630417.832960003</v>
      </c>
      <c r="V101" s="208" t="n">
        <f aca="false">V99+V100</f>
        <v>654132.557440002</v>
      </c>
      <c r="W101" s="208" t="n">
        <f aca="false">W99+W100</f>
        <v>677147.119360003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-4491830</v>
      </c>
      <c r="E104" s="211" t="n">
        <f aca="false">-E95-E96</f>
        <v>229943.90016</v>
      </c>
      <c r="F104" s="211" t="n">
        <f aca="false">-F95-F96</f>
        <v>36775.9599359998</v>
      </c>
      <c r="G104" s="211" t="n">
        <f aca="false">-G95-G96</f>
        <v>52552.739712</v>
      </c>
      <c r="H104" s="211" t="n">
        <f aca="false">-H95-H96</f>
        <v>68329.5194879999</v>
      </c>
      <c r="I104" s="211" t="n">
        <f aca="false">-I95-I96</f>
        <v>84106.2992639998</v>
      </c>
      <c r="J104" s="211" t="n">
        <f aca="false">-J95-J96</f>
        <v>99883.0790399997</v>
      </c>
      <c r="K104" s="211" t="n">
        <f aca="false">-K95-K96</f>
        <v>115659.858816</v>
      </c>
      <c r="L104" s="211" t="n">
        <f aca="false">-L95-L96</f>
        <v>131436.638592</v>
      </c>
      <c r="M104" s="211" t="n">
        <f aca="false">-M95-M96</f>
        <v>147213.418368</v>
      </c>
      <c r="N104" s="211" t="n">
        <f aca="false">-N95-N96</f>
        <v>162990.198144</v>
      </c>
      <c r="O104" s="211" t="n">
        <f aca="false">-O95-O96</f>
        <v>210166.17792</v>
      </c>
      <c r="P104" s="211" t="n">
        <f aca="false">-P95-P96</f>
        <v>225942.957696</v>
      </c>
      <c r="Q104" s="211" t="n">
        <f aca="false">-Q95-Q96</f>
        <v>241719.737472</v>
      </c>
      <c r="R104" s="211" t="n">
        <f aca="false">-R95-R96</f>
        <v>257496.517248</v>
      </c>
      <c r="S104" s="211" t="n">
        <f aca="false">-S95-S96</f>
        <v>273273.297024</v>
      </c>
      <c r="T104" s="211" t="n">
        <f aca="false">-T95-T96</f>
        <v>1412007.5768</v>
      </c>
      <c r="U104" s="211" t="n">
        <f aca="false">-U95-U96</f>
        <v>1405706.11376</v>
      </c>
      <c r="V104" s="211" t="n">
        <f aca="false">-V95-V96</f>
        <v>1399404.65072</v>
      </c>
      <c r="W104" s="211" t="n">
        <f aca="false">-W95-W96</f>
        <v>1393103.18768</v>
      </c>
      <c r="X104" s="211" t="n">
        <f aca="false">-X95-X96</f>
        <v>677147.119360003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0.0442222004715913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-4236336.7776</v>
      </c>
      <c r="E106" s="211" t="n">
        <f aca="false">E85</f>
        <v>40862.1777066665</v>
      </c>
      <c r="F106" s="211" t="n">
        <f aca="false">F85-F96</f>
        <v>58391.9330133334</v>
      </c>
      <c r="G106" s="211" t="n">
        <f aca="false">G85-G96</f>
        <v>75921.6883199999</v>
      </c>
      <c r="H106" s="211" t="n">
        <f aca="false">H85-H96</f>
        <v>93451.4436266665</v>
      </c>
      <c r="I106" s="211" t="n">
        <f aca="false">I85-I96</f>
        <v>110981.198933333</v>
      </c>
      <c r="J106" s="211" t="n">
        <f aca="false">J85-J96</f>
        <v>128510.95424</v>
      </c>
      <c r="K106" s="211" t="n">
        <f aca="false">K85-K96</f>
        <v>146040.709546666</v>
      </c>
      <c r="L106" s="211" t="n">
        <f aca="false">L85-L96</f>
        <v>163570.464853333</v>
      </c>
      <c r="M106" s="211" t="n">
        <f aca="false">M85-M96</f>
        <v>181100.22016</v>
      </c>
      <c r="N106" s="211" t="n">
        <f aca="false">N85-N96</f>
        <v>233517.975466666</v>
      </c>
      <c r="O106" s="211" t="n">
        <f aca="false">O85-O96</f>
        <v>251047.730773333</v>
      </c>
      <c r="P106" s="211" t="n">
        <f aca="false">P85-P96</f>
        <v>268577.48608</v>
      </c>
      <c r="Q106" s="211" t="n">
        <f aca="false">Q85-Q96</f>
        <v>286107.241386666</v>
      </c>
      <c r="R106" s="211" t="n">
        <f aca="false">R85-R96</f>
        <v>303636.996693333</v>
      </c>
      <c r="S106" s="211" t="n">
        <f aca="false">S85-S96</f>
        <v>321166.752</v>
      </c>
      <c r="T106" s="211" t="n">
        <f aca="false">T85-T96</f>
        <v>1437122.6264</v>
      </c>
      <c r="U106" s="211" t="n">
        <f aca="false">U85-U96</f>
        <v>1430121.0008</v>
      </c>
      <c r="V106" s="211" t="n">
        <f aca="false">V85-V96</f>
        <v>1423119.3752</v>
      </c>
      <c r="W106" s="211" t="n">
        <f aca="false">W85-W96</f>
        <v>1416117.7496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0.0472642381369849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17967320</v>
      </c>
      <c r="E109" s="208" t="n">
        <f aca="false">D109+E93</f>
        <v>16769498.6666667</v>
      </c>
      <c r="F109" s="208" t="n">
        <f aca="false">E109+F93</f>
        <v>15571677.3333333</v>
      </c>
      <c r="G109" s="208" t="n">
        <f aca="false">F109+G93</f>
        <v>14373856</v>
      </c>
      <c r="H109" s="208" t="n">
        <f aca="false">G109+H93</f>
        <v>13176034.6666667</v>
      </c>
      <c r="I109" s="208" t="n">
        <f aca="false">H109+I93</f>
        <v>11978213.3333333</v>
      </c>
      <c r="J109" s="208" t="n">
        <f aca="false">I109+J93</f>
        <v>10780392</v>
      </c>
      <c r="K109" s="208" t="n">
        <f aca="false">J109+K93</f>
        <v>9582570.66666668</v>
      </c>
      <c r="L109" s="208" t="n">
        <f aca="false">K109+L93</f>
        <v>8384749.33333334</v>
      </c>
      <c r="M109" s="208" t="n">
        <f aca="false">L109+M93</f>
        <v>7186928.00000001</v>
      </c>
      <c r="N109" s="208" t="n">
        <f aca="false">M109+N93</f>
        <v>5989106.66666668</v>
      </c>
      <c r="O109" s="208" t="n">
        <f aca="false">N109+O93</f>
        <v>4791285.33333334</v>
      </c>
      <c r="P109" s="208" t="n">
        <f aca="false">O109+P93</f>
        <v>3593464.00000001</v>
      </c>
      <c r="Q109" s="208" t="n">
        <f aca="false">P109+Q93</f>
        <v>2395642.66666668</v>
      </c>
      <c r="R109" s="208" t="n">
        <f aca="false">Q109+R93</f>
        <v>1197821.33333334</v>
      </c>
      <c r="S109" s="208" t="n">
        <f aca="false">R109+S93</f>
        <v>1.11758708953857E-008</v>
      </c>
      <c r="T109" s="208" t="n">
        <f aca="false">S109+T93</f>
        <v>1.11758708953857E-008</v>
      </c>
      <c r="U109" s="208" t="n">
        <f aca="false">T109+U93</f>
        <v>1.11758708953857E-008</v>
      </c>
      <c r="V109" s="208" t="n">
        <f aca="false">U109+V93</f>
        <v>1.11758708953857E-008</v>
      </c>
      <c r="W109" s="208" t="n">
        <f aca="false">V109+W93</f>
        <v>1.11758708953857E-008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270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151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198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271</v>
      </c>
    </row>
    <row r="8" customFormat="false" ht="22.5" hidden="false" customHeight="true" outlineLevel="0" collapsed="false">
      <c r="B8" s="16" t="s">
        <v>14</v>
      </c>
      <c r="E8" s="165"/>
      <c r="M8" s="0" t="s">
        <v>272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93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33500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-21524650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-43828.05</v>
      </c>
      <c r="E49" s="185" t="n">
        <v>-43828.05</v>
      </c>
      <c r="F49" s="185" t="n">
        <v>-43828.05</v>
      </c>
      <c r="G49" s="185" t="n">
        <v>-43828.05</v>
      </c>
      <c r="H49" s="185" t="n">
        <v>-43828.05</v>
      </c>
      <c r="I49" s="185" t="n">
        <v>-43828.05</v>
      </c>
      <c r="J49" s="185" t="n">
        <v>-43828.05</v>
      </c>
      <c r="K49" s="185" t="n">
        <v>-43828.05</v>
      </c>
      <c r="L49" s="185" t="n">
        <v>-43828.05</v>
      </c>
      <c r="M49" s="185" t="n">
        <v>-43828.05</v>
      </c>
      <c r="N49" s="185" t="n">
        <v>-43828.05</v>
      </c>
      <c r="O49" s="185" t="n">
        <v>-43828.05</v>
      </c>
      <c r="P49" s="185" t="n">
        <v>-43828.05</v>
      </c>
      <c r="Q49" s="185" t="n">
        <v>-43828.05</v>
      </c>
      <c r="R49" s="185" t="n">
        <v>-43828.05</v>
      </c>
      <c r="S49" s="185" t="n">
        <v>-43828.05</v>
      </c>
      <c r="T49" s="185" t="n">
        <v>-43828.05</v>
      </c>
      <c r="U49" s="185" t="n">
        <v>-43828.05</v>
      </c>
      <c r="V49" s="185" t="n">
        <v>-43828.05</v>
      </c>
      <c r="W49" s="185" t="n">
        <v>-43828.05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-165603.474</v>
      </c>
      <c r="E54" s="185" t="n">
        <f aca="false">-(E64+E67+E68+E71+E72+E73+E74)*0.2</f>
        <v>-105812.8676</v>
      </c>
      <c r="F54" s="185" t="n">
        <f aca="false">-(F64+F67+F68+F71+F72+F73+F74)*0.2</f>
        <v>-104062.4612</v>
      </c>
      <c r="G54" s="185" t="n">
        <f aca="false">-(G64+G67+G68+G71+G72+G73+G74)*0.2</f>
        <v>-102312.0548</v>
      </c>
      <c r="H54" s="185" t="n">
        <f aca="false">-(H64+H67+H68+H71+H72+H73+H74)*0.2</f>
        <v>-100561.6484</v>
      </c>
      <c r="I54" s="185" t="n">
        <f aca="false">-(I64+I67+I68+I71+I72+I73+I74)*0.2</f>
        <v>-98811.2419999999</v>
      </c>
      <c r="J54" s="185" t="n">
        <f aca="false">-(J64+J67+J68+J71+J72+J73+J74)*0.2</f>
        <v>-97060.8356</v>
      </c>
      <c r="K54" s="185" t="n">
        <f aca="false">-(K64+K67+K68+K71+K72+K73+K74)*0.2</f>
        <v>-95310.4292</v>
      </c>
      <c r="L54" s="185" t="n">
        <f aca="false">-(L64+L67+L68+L71+L72+L73+L74)*0.2</f>
        <v>-93560.0227999999</v>
      </c>
      <c r="M54" s="185" t="n">
        <f aca="false">-(M64+M67+M68+M71+M72+M73+M74)*0.2</f>
        <v>-91809.6164</v>
      </c>
      <c r="N54" s="185" t="n">
        <f aca="false">-(N64+N67+N68+N71+N72+N73+N74)*0.2</f>
        <v>-98781.2099999999</v>
      </c>
      <c r="O54" s="185" t="n">
        <f aca="false">-(O64+O67+O68+O71+O72+O73+O74)*0.2</f>
        <v>-97030.8036</v>
      </c>
      <c r="P54" s="185" t="n">
        <f aca="false">-(P64+P67+P68+P71+P72+P73+P74)*0.2</f>
        <v>-95280.3971999999</v>
      </c>
      <c r="Q54" s="185" t="n">
        <f aca="false">-(Q64+Q67+Q68+Q71+Q72+Q73+Q74)*0.2</f>
        <v>-93529.9908</v>
      </c>
      <c r="R54" s="185" t="n">
        <f aca="false">-(R64+R67+R68+R71+R72+R73+R74)*0.2</f>
        <v>-91779.5843999999</v>
      </c>
      <c r="S54" s="185" t="n">
        <f aca="false">-(S64+S67+S68+S71+S72+S73+S74)*0.2</f>
        <v>-90029.178</v>
      </c>
      <c r="T54" s="185" t="n">
        <f aca="false">-(T64+T67+T68+T71+T72+T73+T74)*0.2</f>
        <v>-88278.7715999999</v>
      </c>
      <c r="U54" s="185" t="n">
        <f aca="false">-(U64+U67+U68+U71+U72+U73+U74)*0.2</f>
        <v>-86528.3651999999</v>
      </c>
      <c r="V54" s="185" t="n">
        <f aca="false">-(V64+V67+V68+V71+V72+V73+V74)*0.2</f>
        <v>-84777.9587999999</v>
      </c>
      <c r="W54" s="185" t="n">
        <f aca="false">-(W64+W67+W68+W71+W72+W73+W74)*0.2</f>
        <v>-83027.5523999999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-21524650</v>
      </c>
      <c r="D55" s="190" t="n">
        <f aca="false">SUM(D41:D54)</f>
        <v>1448445.396</v>
      </c>
      <c r="E55" s="190" t="n">
        <f aca="false">SUM(E41:E54)</f>
        <v>1499483.9704</v>
      </c>
      <c r="F55" s="190" t="n">
        <f aca="false">SUM(F41:F54)</f>
        <v>1492482.3448</v>
      </c>
      <c r="G55" s="190" t="n">
        <f aca="false">SUM(G41:G54)</f>
        <v>1485480.7192</v>
      </c>
      <c r="H55" s="190" t="n">
        <f aca="false">SUM(H41:H54)</f>
        <v>1478479.0936</v>
      </c>
      <c r="I55" s="190" t="n">
        <f aca="false">SUM(I41:I54)</f>
        <v>1471477.468</v>
      </c>
      <c r="J55" s="190" t="n">
        <f aca="false">SUM(J41:J54)</f>
        <v>1464475.8424</v>
      </c>
      <c r="K55" s="190" t="n">
        <f aca="false">SUM(K41:K54)</f>
        <v>1457474.2168</v>
      </c>
      <c r="L55" s="190" t="n">
        <f aca="false">SUM(L41:L54)</f>
        <v>1450472.5912</v>
      </c>
      <c r="M55" s="190" t="n">
        <f aca="false">SUM(M41:M54)</f>
        <v>1443470.9656</v>
      </c>
      <c r="N55" s="190" t="n">
        <f aca="false">SUM(N41:N54)</f>
        <v>1471357.34</v>
      </c>
      <c r="O55" s="190" t="n">
        <f aca="false">SUM(O41:O54)</f>
        <v>1464355.7144</v>
      </c>
      <c r="P55" s="190" t="n">
        <f aca="false">SUM(P41:P54)</f>
        <v>1457354.0888</v>
      </c>
      <c r="Q55" s="190" t="n">
        <f aca="false">SUM(Q41:Q54)</f>
        <v>1450352.4632</v>
      </c>
      <c r="R55" s="190" t="n">
        <f aca="false">SUM(R41:R54)</f>
        <v>1443350.8376</v>
      </c>
      <c r="S55" s="190" t="n">
        <f aca="false">SUM(S41:S54)</f>
        <v>1436349.212</v>
      </c>
      <c r="T55" s="190" t="n">
        <f aca="false">SUM(T41:T54)</f>
        <v>1429347.5864</v>
      </c>
      <c r="U55" s="190" t="n">
        <f aca="false">SUM(U41:U54)</f>
        <v>1422345.9608</v>
      </c>
      <c r="V55" s="190" t="n">
        <f aca="false">SUM(V41:V54)</f>
        <v>1415344.3352</v>
      </c>
      <c r="W55" s="190" t="n">
        <f aca="false">SUM(W41:W54)</f>
        <v>1408342.7096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-20076204.604</v>
      </c>
      <c r="E56" s="195" t="n">
        <f aca="false">D56+E55</f>
        <v>-18576720.6336</v>
      </c>
      <c r="F56" s="195" t="n">
        <f aca="false">E56+F55</f>
        <v>-17084238.2888</v>
      </c>
      <c r="G56" s="195" t="n">
        <f aca="false">F56+G55</f>
        <v>-15598757.5696</v>
      </c>
      <c r="H56" s="195" t="n">
        <f aca="false">G56+H55</f>
        <v>-14120278.476</v>
      </c>
      <c r="I56" s="195" t="n">
        <f aca="false">H56+I55</f>
        <v>-12648801.008</v>
      </c>
      <c r="J56" s="195" t="n">
        <f aca="false">I56+J55</f>
        <v>-11184325.1656</v>
      </c>
      <c r="K56" s="195" t="n">
        <f aca="false">J56+K55</f>
        <v>-9726850.94880001</v>
      </c>
      <c r="L56" s="195" t="n">
        <f aca="false">K56+L55</f>
        <v>-8276378.35760001</v>
      </c>
      <c r="M56" s="195" t="n">
        <f aca="false">L56+M55</f>
        <v>-6832907.39200001</v>
      </c>
      <c r="N56" s="195" t="n">
        <f aca="false">M56+N55</f>
        <v>-5361550.05200001</v>
      </c>
      <c r="O56" s="195" t="n">
        <f aca="false">N56+O55</f>
        <v>-3897194.33760001</v>
      </c>
      <c r="P56" s="195" t="n">
        <f aca="false">O56+P55</f>
        <v>-2439840.24880001</v>
      </c>
      <c r="Q56" s="195" t="n">
        <f aca="false">P56+Q55</f>
        <v>-989487.785600006</v>
      </c>
      <c r="R56" s="195" t="n">
        <f aca="false">Q56+R55</f>
        <v>453863.051999994</v>
      </c>
      <c r="S56" s="195" t="n">
        <f aca="false">R56+S55</f>
        <v>1890212.26399999</v>
      </c>
      <c r="T56" s="195" t="n">
        <f aca="false">S56+T55</f>
        <v>3319559.85039999</v>
      </c>
      <c r="U56" s="195" t="n">
        <f aca="false">T56+U55</f>
        <v>4741905.81119999</v>
      </c>
      <c r="V56" s="195" t="n">
        <f aca="false">U56+V55</f>
        <v>6157250.14639999</v>
      </c>
      <c r="W56" s="195" t="n">
        <f aca="false">V56+W55</f>
        <v>7565592.85599999</v>
      </c>
      <c r="X56" s="195" t="n">
        <f aca="false">W56+X55</f>
        <v>7565592.85599999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未回收</v>
      </c>
      <c r="O57" s="199" t="str">
        <f aca="false">IF((O56)&gt;0,"回收","未回收")</f>
        <v>未回收</v>
      </c>
      <c r="P57" s="199" t="str">
        <f aca="false">IF((P56)&gt;0,"回收","未回收")</f>
        <v>未回收</v>
      </c>
      <c r="Q57" s="199" t="str">
        <f aca="false">IF((Q56)&gt;0,"回收","未回收")</f>
        <v>未回收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0.0308358816913365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-1076232.5</v>
      </c>
      <c r="E67" s="200" t="n">
        <f aca="false">$C$44/$E$16</f>
        <v>-1076232.5</v>
      </c>
      <c r="F67" s="200" t="n">
        <f aca="false">$C$44/$E$16</f>
        <v>-1076232.5</v>
      </c>
      <c r="G67" s="200" t="n">
        <f aca="false">$C$44/$E$16</f>
        <v>-1076232.5</v>
      </c>
      <c r="H67" s="200" t="n">
        <f aca="false">$C$44/$E$16</f>
        <v>-1076232.5</v>
      </c>
      <c r="I67" s="200" t="n">
        <f aca="false">$C$44/$E$16</f>
        <v>-1076232.5</v>
      </c>
      <c r="J67" s="200" t="n">
        <f aca="false">$C$44/$E$16</f>
        <v>-1076232.5</v>
      </c>
      <c r="K67" s="200" t="n">
        <f aca="false">$C$44/$E$16</f>
        <v>-1076232.5</v>
      </c>
      <c r="L67" s="200" t="n">
        <f aca="false">$C$44/$E$16</f>
        <v>-1076232.5</v>
      </c>
      <c r="M67" s="200" t="n">
        <f aca="false">$C$44/$E$16</f>
        <v>-1076232.5</v>
      </c>
      <c r="N67" s="200" t="n">
        <f aca="false">$C$44/$E$16</f>
        <v>-1076232.5</v>
      </c>
      <c r="O67" s="200" t="n">
        <f aca="false">$C$44/$E$16</f>
        <v>-1076232.5</v>
      </c>
      <c r="P67" s="200" t="n">
        <f aca="false">$C$44/$E$16</f>
        <v>-1076232.5</v>
      </c>
      <c r="Q67" s="200" t="n">
        <f aca="false">$C$44/$E$16</f>
        <v>-1076232.5</v>
      </c>
      <c r="R67" s="200" t="n">
        <f aca="false">$C$44/$E$16</f>
        <v>-1076232.5</v>
      </c>
      <c r="S67" s="200" t="n">
        <f aca="false">$C$44/$E$16</f>
        <v>-1076232.5</v>
      </c>
      <c r="T67" s="200" t="n">
        <f aca="false">$C$44/$E$16</f>
        <v>-1076232.5</v>
      </c>
      <c r="U67" s="200" t="n">
        <f aca="false">$C$44/$E$16</f>
        <v>-1076232.5</v>
      </c>
      <c r="V67" s="200" t="n">
        <f aca="false">$C$44/$E$16</f>
        <v>-1076232.5</v>
      </c>
      <c r="W67" s="200" t="n">
        <f aca="false">$C$44/$E$16</f>
        <v>-1076232.5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-440824.832</v>
      </c>
      <c r="E70" s="185" t="n">
        <f aca="false">-E109*$D25</f>
        <v>-411436.509866667</v>
      </c>
      <c r="F70" s="185" t="n">
        <f aca="false">-F109*$D25</f>
        <v>-382048.187733334</v>
      </c>
      <c r="G70" s="185" t="n">
        <f aca="false">-G109*$D25</f>
        <v>-352659.8656</v>
      </c>
      <c r="H70" s="185" t="n">
        <f aca="false">-H109*$D25</f>
        <v>-323271.543466667</v>
      </c>
      <c r="I70" s="185" t="n">
        <f aca="false">-I109*$D25</f>
        <v>-293883.221333334</v>
      </c>
      <c r="J70" s="185" t="n">
        <f aca="false">-J109*$D25</f>
        <v>-264494.8992</v>
      </c>
      <c r="K70" s="185" t="n">
        <f aca="false">-K109*$D25</f>
        <v>-235106.577066667</v>
      </c>
      <c r="L70" s="185" t="n">
        <f aca="false">-L109*$D25</f>
        <v>-205718.254933334</v>
      </c>
      <c r="M70" s="185" t="n">
        <f aca="false">-M109*$D25</f>
        <v>-176329.9328</v>
      </c>
      <c r="N70" s="185" t="n">
        <f aca="false">-N109*$D25</f>
        <v>-146941.610666667</v>
      </c>
      <c r="O70" s="185" t="n">
        <f aca="false">-O109*$D25</f>
        <v>-117553.288533334</v>
      </c>
      <c r="P70" s="185" t="n">
        <f aca="false">-P109*$D25</f>
        <v>-88164.9664000004</v>
      </c>
      <c r="Q70" s="185" t="n">
        <f aca="false">-Q109*$D25</f>
        <v>-58776.644266667</v>
      </c>
      <c r="R70" s="185" t="n">
        <f aca="false">-R109*$D25</f>
        <v>-29388.3221333337</v>
      </c>
      <c r="S70" s="185" t="n">
        <f aca="false">-S109*$D25</f>
        <v>-3.814697265625E-010</v>
      </c>
      <c r="T70" s="185" t="n">
        <f aca="false">-T109*$D25</f>
        <v>-3.814697265625E-010</v>
      </c>
      <c r="U70" s="185" t="n">
        <f aca="false">-U109*$D25</f>
        <v>-3.814697265625E-010</v>
      </c>
      <c r="V70" s="185" t="n">
        <f aca="false">-V109*$D25</f>
        <v>-3.814697265625E-010</v>
      </c>
      <c r="W70" s="185" t="n">
        <f aca="false">-W109*$D25</f>
        <v>-3.814697265625E-010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-43828.05</v>
      </c>
      <c r="E72" s="185" t="n">
        <f aca="false">E49</f>
        <v>-43828.05</v>
      </c>
      <c r="F72" s="185" t="n">
        <f aca="false">F49</f>
        <v>-43828.05</v>
      </c>
      <c r="G72" s="185" t="n">
        <f aca="false">G49</f>
        <v>-43828.05</v>
      </c>
      <c r="H72" s="185" t="n">
        <f aca="false">H49</f>
        <v>-43828.05</v>
      </c>
      <c r="I72" s="185" t="n">
        <f aca="false">I49</f>
        <v>-43828.05</v>
      </c>
      <c r="J72" s="185" t="n">
        <f aca="false">J49</f>
        <v>-43828.05</v>
      </c>
      <c r="K72" s="185" t="n">
        <f aca="false">K49</f>
        <v>-43828.05</v>
      </c>
      <c r="L72" s="185" t="n">
        <f aca="false">L49</f>
        <v>-43828.05</v>
      </c>
      <c r="M72" s="185" t="n">
        <f aca="false">M49</f>
        <v>-43828.05</v>
      </c>
      <c r="N72" s="185" t="n">
        <f aca="false">N49</f>
        <v>-43828.05</v>
      </c>
      <c r="O72" s="185" t="n">
        <f aca="false">O49</f>
        <v>-43828.05</v>
      </c>
      <c r="P72" s="185" t="n">
        <f aca="false">P49</f>
        <v>-43828.05</v>
      </c>
      <c r="Q72" s="185" t="n">
        <f aca="false">Q49</f>
        <v>-43828.05</v>
      </c>
      <c r="R72" s="185" t="n">
        <f aca="false">R49</f>
        <v>-43828.05</v>
      </c>
      <c r="S72" s="185" t="n">
        <f aca="false">S49</f>
        <v>-43828.05</v>
      </c>
      <c r="T72" s="185" t="n">
        <f aca="false">T49</f>
        <v>-43828.05</v>
      </c>
      <c r="U72" s="185" t="n">
        <f aca="false">U49</f>
        <v>-43828.05</v>
      </c>
      <c r="V72" s="185" t="n">
        <f aca="false">V49</f>
        <v>-43828.05</v>
      </c>
      <c r="W72" s="185" t="n">
        <f aca="false">W49</f>
        <v>-43828.05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387192.538</v>
      </c>
      <c r="E76" s="190" t="n">
        <f aca="false">SUM(E64:E75)</f>
        <v>117627.828133333</v>
      </c>
      <c r="F76" s="190" t="n">
        <f aca="false">SUM(F64:F75)</f>
        <v>138264.118266666</v>
      </c>
      <c r="G76" s="190" t="n">
        <f aca="false">SUM(G64:G75)</f>
        <v>158900.4084</v>
      </c>
      <c r="H76" s="190" t="n">
        <f aca="false">SUM(H64:H75)</f>
        <v>179536.698533333</v>
      </c>
      <c r="I76" s="190" t="n">
        <f aca="false">SUM(I64:I75)</f>
        <v>200172.988666666</v>
      </c>
      <c r="J76" s="190" t="n">
        <f aca="false">SUM(J64:J75)</f>
        <v>220809.2788</v>
      </c>
      <c r="K76" s="190" t="n">
        <f aca="false">SUM(K64:K75)</f>
        <v>241445.568933333</v>
      </c>
      <c r="L76" s="190" t="n">
        <f aca="false">SUM(L64:L75)</f>
        <v>262081.859066666</v>
      </c>
      <c r="M76" s="190" t="n">
        <f aca="false">SUM(M64:M75)</f>
        <v>282718.149199999</v>
      </c>
      <c r="N76" s="190" t="n">
        <f aca="false">SUM(N64:N75)</f>
        <v>346964.439333333</v>
      </c>
      <c r="O76" s="190" t="n">
        <f aca="false">SUM(O64:O75)</f>
        <v>367600.729466666</v>
      </c>
      <c r="P76" s="190" t="n">
        <f aca="false">SUM(P64:P75)</f>
        <v>388237.019599999</v>
      </c>
      <c r="Q76" s="190" t="n">
        <f aca="false">SUM(Q64:Q75)</f>
        <v>408873.309733333</v>
      </c>
      <c r="R76" s="190" t="n">
        <f aca="false">SUM(R64:R75)</f>
        <v>429509.599866666</v>
      </c>
      <c r="S76" s="190" t="n">
        <f aca="false">SUM(S64:S75)</f>
        <v>450145.889999999</v>
      </c>
      <c r="T76" s="190" t="n">
        <f aca="false">SUM(T64:T75)</f>
        <v>441393.857999999</v>
      </c>
      <c r="U76" s="190" t="n">
        <f aca="false">SUM(U64:U75)</f>
        <v>432641.825999999</v>
      </c>
      <c r="V76" s="190" t="n">
        <f aca="false">SUM(V64:V75)</f>
        <v>423889.793999999</v>
      </c>
      <c r="W76" s="190" t="n">
        <f aca="false">SUM(W64:W75)</f>
        <v>415137.761999999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-77438.5075999999</v>
      </c>
      <c r="E77" s="185" t="n">
        <f aca="false">-E76*0.2</f>
        <v>-23525.5656266666</v>
      </c>
      <c r="F77" s="185" t="n">
        <f aca="false">-F76*0.2</f>
        <v>-27652.8236533333</v>
      </c>
      <c r="G77" s="185" t="n">
        <f aca="false">-G76*0.2</f>
        <v>-31780.0816799999</v>
      </c>
      <c r="H77" s="185" t="n">
        <f aca="false">-H76*0.2</f>
        <v>-35907.3397066666</v>
      </c>
      <c r="I77" s="185" t="n">
        <f aca="false">-I76*0.2</f>
        <v>-40034.5977333332</v>
      </c>
      <c r="J77" s="185" t="n">
        <f aca="false">-J76*0.2</f>
        <v>-44161.8557599999</v>
      </c>
      <c r="K77" s="185" t="n">
        <f aca="false">-K76*0.2</f>
        <v>-48289.1137866666</v>
      </c>
      <c r="L77" s="185" t="n">
        <f aca="false">-L76*0.2</f>
        <v>-52416.3718133332</v>
      </c>
      <c r="M77" s="185" t="n">
        <f aca="false">-M76*0.2</f>
        <v>-56543.6298399999</v>
      </c>
      <c r="N77" s="185" t="n">
        <f aca="false">-N76*0.2</f>
        <v>-69392.8878666665</v>
      </c>
      <c r="O77" s="185" t="n">
        <f aca="false">-O76*0.2</f>
        <v>-73520.1458933332</v>
      </c>
      <c r="P77" s="185" t="n">
        <f aca="false">-P76*0.2</f>
        <v>-77647.4039199999</v>
      </c>
      <c r="Q77" s="185" t="n">
        <f aca="false">-Q76*0.2</f>
        <v>-81774.6619466665</v>
      </c>
      <c r="R77" s="185" t="n">
        <f aca="false">-R76*0.2</f>
        <v>-85901.9199733332</v>
      </c>
      <c r="S77" s="185" t="n">
        <f aca="false">-S76*0.2</f>
        <v>-90029.1779999999</v>
      </c>
      <c r="T77" s="185" t="n">
        <f aca="false">-T76*0.2</f>
        <v>-88278.7715999999</v>
      </c>
      <c r="U77" s="185" t="n">
        <f aca="false">-U76*0.2</f>
        <v>-86528.3651999999</v>
      </c>
      <c r="V77" s="185" t="n">
        <f aca="false">-V76*0.2</f>
        <v>-84777.9587999999</v>
      </c>
      <c r="W77" s="185" t="n">
        <f aca="false">-W76*0.2</f>
        <v>-83027.5523999999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309754.0304</v>
      </c>
      <c r="E78" s="185" t="n">
        <f aca="false">SUM(E76:E77)</f>
        <v>94102.2625066662</v>
      </c>
      <c r="F78" s="185" t="n">
        <f aca="false">SUM(F76:F77)</f>
        <v>110611.294613333</v>
      </c>
      <c r="G78" s="185" t="n">
        <f aca="false">SUM(G76:G77)</f>
        <v>127120.32672</v>
      </c>
      <c r="H78" s="185" t="n">
        <f aca="false">SUM(H76:H77)</f>
        <v>143629.358826666</v>
      </c>
      <c r="I78" s="185" t="n">
        <f aca="false">SUM(I76:I77)</f>
        <v>160138.390933333</v>
      </c>
      <c r="J78" s="185" t="n">
        <f aca="false">SUM(J76:J77)</f>
        <v>176647.42304</v>
      </c>
      <c r="K78" s="185" t="n">
        <f aca="false">SUM(K76:K77)</f>
        <v>193156.455146666</v>
      </c>
      <c r="L78" s="185" t="n">
        <f aca="false">SUM(L76:L77)</f>
        <v>209665.487253333</v>
      </c>
      <c r="M78" s="185" t="n">
        <f aca="false">SUM(M76:M77)</f>
        <v>226174.51936</v>
      </c>
      <c r="N78" s="185" t="n">
        <f aca="false">SUM(N76:N77)</f>
        <v>277571.551466666</v>
      </c>
      <c r="O78" s="185" t="n">
        <f aca="false">SUM(O76:O77)</f>
        <v>294080.583573333</v>
      </c>
      <c r="P78" s="185" t="n">
        <f aca="false">SUM(P76:P77)</f>
        <v>310589.615679999</v>
      </c>
      <c r="Q78" s="185" t="n">
        <f aca="false">SUM(Q76:Q77)</f>
        <v>327098.647786666</v>
      </c>
      <c r="R78" s="185" t="n">
        <f aca="false">SUM(R76:R77)</f>
        <v>343607.679893333</v>
      </c>
      <c r="S78" s="185" t="n">
        <f aca="false">SUM(S76:S77)</f>
        <v>360116.712</v>
      </c>
      <c r="T78" s="185" t="n">
        <f aca="false">SUM(T76:T77)</f>
        <v>353115.086399999</v>
      </c>
      <c r="U78" s="185" t="n">
        <f aca="false">SUM(U76:U77)</f>
        <v>346113.460799999</v>
      </c>
      <c r="V78" s="185" t="n">
        <f aca="false">SUM(V76:V77)</f>
        <v>339111.835199999</v>
      </c>
      <c r="W78" s="185" t="n">
        <f aca="false">SUM(W76:W77)</f>
        <v>332110.209599999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309754.0304</v>
      </c>
      <c r="E85" s="208" t="n">
        <f aca="false">E78</f>
        <v>94102.2625066662</v>
      </c>
      <c r="F85" s="208" t="n">
        <f aca="false">F78</f>
        <v>110611.294613333</v>
      </c>
      <c r="G85" s="208" t="n">
        <f aca="false">G78</f>
        <v>127120.32672</v>
      </c>
      <c r="H85" s="208" t="n">
        <f aca="false">H78</f>
        <v>143629.358826666</v>
      </c>
      <c r="I85" s="208" t="n">
        <f aca="false">I78</f>
        <v>160138.390933333</v>
      </c>
      <c r="J85" s="208" t="n">
        <f aca="false">J78</f>
        <v>176647.42304</v>
      </c>
      <c r="K85" s="208" t="n">
        <f aca="false">K78</f>
        <v>193156.455146666</v>
      </c>
      <c r="L85" s="208" t="n">
        <f aca="false">L78</f>
        <v>209665.487253333</v>
      </c>
      <c r="M85" s="208" t="n">
        <f aca="false">M78</f>
        <v>226174.51936</v>
      </c>
      <c r="N85" s="208" t="n">
        <f aca="false">N78</f>
        <v>277571.551466666</v>
      </c>
      <c r="O85" s="208" t="n">
        <f aca="false">O78</f>
        <v>294080.583573333</v>
      </c>
      <c r="P85" s="208" t="n">
        <f aca="false">P78</f>
        <v>310589.615679999</v>
      </c>
      <c r="Q85" s="208" t="n">
        <f aca="false">Q78</f>
        <v>327098.647786666</v>
      </c>
      <c r="R85" s="208" t="n">
        <f aca="false">R78</f>
        <v>343607.679893333</v>
      </c>
      <c r="S85" s="208" t="n">
        <f aca="false">S78</f>
        <v>360116.712</v>
      </c>
      <c r="T85" s="208" t="n">
        <f aca="false">T78</f>
        <v>353115.086399999</v>
      </c>
      <c r="U85" s="208" t="n">
        <f aca="false">U78</f>
        <v>346113.460799999</v>
      </c>
      <c r="V85" s="208" t="n">
        <f aca="false">V78</f>
        <v>339111.835199999</v>
      </c>
      <c r="W85" s="208" t="n">
        <f aca="false">W78</f>
        <v>332110.209599999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1076232.5</v>
      </c>
      <c r="E86" s="209" t="n">
        <f aca="false">-E67</f>
        <v>1076232.5</v>
      </c>
      <c r="F86" s="209" t="n">
        <f aca="false">-F67</f>
        <v>1076232.5</v>
      </c>
      <c r="G86" s="209" t="n">
        <f aca="false">-G67</f>
        <v>1076232.5</v>
      </c>
      <c r="H86" s="209" t="n">
        <f aca="false">-H67</f>
        <v>1076232.5</v>
      </c>
      <c r="I86" s="209" t="n">
        <f aca="false">-I67</f>
        <v>1076232.5</v>
      </c>
      <c r="J86" s="209" t="n">
        <f aca="false">-J67</f>
        <v>1076232.5</v>
      </c>
      <c r="K86" s="209" t="n">
        <f aca="false">-K67</f>
        <v>1076232.5</v>
      </c>
      <c r="L86" s="209" t="n">
        <f aca="false">-L67</f>
        <v>1076232.5</v>
      </c>
      <c r="M86" s="209" t="n">
        <f aca="false">-M67</f>
        <v>1076232.5</v>
      </c>
      <c r="N86" s="209" t="n">
        <f aca="false">-N67</f>
        <v>1076232.5</v>
      </c>
      <c r="O86" s="209" t="n">
        <f aca="false">-O67</f>
        <v>1076232.5</v>
      </c>
      <c r="P86" s="209" t="n">
        <f aca="false">-P67</f>
        <v>1076232.5</v>
      </c>
      <c r="Q86" s="209" t="n">
        <f aca="false">-Q67</f>
        <v>1076232.5</v>
      </c>
      <c r="R86" s="209" t="n">
        <f aca="false">-R67</f>
        <v>1076232.5</v>
      </c>
      <c r="S86" s="209" t="n">
        <f aca="false">-S67</f>
        <v>1076232.5</v>
      </c>
      <c r="T86" s="209" t="n">
        <f aca="false">-T67</f>
        <v>1076232.5</v>
      </c>
      <c r="U86" s="209" t="n">
        <f aca="false">-U67</f>
        <v>1076232.5</v>
      </c>
      <c r="V86" s="209" t="n">
        <f aca="false">-V67</f>
        <v>1076232.5</v>
      </c>
      <c r="W86" s="209" t="n">
        <f aca="false">-W67</f>
        <v>1076232.5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1385986.5304</v>
      </c>
      <c r="E87" s="211" t="n">
        <f aca="false">SUM(E85:E86)</f>
        <v>1170334.76250667</v>
      </c>
      <c r="F87" s="211" t="n">
        <f aca="false">SUM(F85:F86)</f>
        <v>1186843.79461333</v>
      </c>
      <c r="G87" s="211" t="n">
        <f aca="false">SUM(G85:G86)</f>
        <v>1203352.82672</v>
      </c>
      <c r="H87" s="211" t="n">
        <f aca="false">SUM(H85:H86)</f>
        <v>1219861.85882667</v>
      </c>
      <c r="I87" s="211" t="n">
        <f aca="false">SUM(I85:I86)</f>
        <v>1236370.89093333</v>
      </c>
      <c r="J87" s="211" t="n">
        <f aca="false">SUM(J85:J86)</f>
        <v>1252879.92304</v>
      </c>
      <c r="K87" s="211" t="n">
        <f aca="false">SUM(K85:K86)</f>
        <v>1269388.95514667</v>
      </c>
      <c r="L87" s="211" t="n">
        <f aca="false">SUM(L85:L86)</f>
        <v>1285897.98725333</v>
      </c>
      <c r="M87" s="211" t="n">
        <f aca="false">SUM(M85:M86)</f>
        <v>1302407.01936</v>
      </c>
      <c r="N87" s="211" t="n">
        <f aca="false">SUM(N85:N86)</f>
        <v>1353804.05146667</v>
      </c>
      <c r="O87" s="211" t="n">
        <f aca="false">SUM(O85:O86)</f>
        <v>1370313.08357333</v>
      </c>
      <c r="P87" s="211" t="n">
        <f aca="false">SUM(P85:P86)</f>
        <v>1386822.11568</v>
      </c>
      <c r="Q87" s="211" t="n">
        <f aca="false">SUM(Q85:Q86)</f>
        <v>1403331.14778667</v>
      </c>
      <c r="R87" s="211" t="n">
        <f aca="false">SUM(R85:R86)</f>
        <v>1419840.17989333</v>
      </c>
      <c r="S87" s="211" t="n">
        <f aca="false">SUM(S85:S86)</f>
        <v>1436349.212</v>
      </c>
      <c r="T87" s="211" t="n">
        <f aca="false">SUM(T85:T86)</f>
        <v>1429347.5864</v>
      </c>
      <c r="U87" s="211" t="n">
        <f aca="false">SUM(U85:U86)</f>
        <v>1422345.9608</v>
      </c>
      <c r="V87" s="211" t="n">
        <f aca="false">SUM(V85:V86)</f>
        <v>1415344.3352</v>
      </c>
      <c r="W87" s="211" t="n">
        <f aca="false">SUM(W85:W86)</f>
        <v>1408342.7096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-21524650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17219720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-1147981.33333333</v>
      </c>
      <c r="F93" s="217" t="n">
        <v>-1147981.33333333</v>
      </c>
      <c r="G93" s="217" t="n">
        <v>-1147981.33333333</v>
      </c>
      <c r="H93" s="217" t="n">
        <v>-1147981.33333333</v>
      </c>
      <c r="I93" s="217" t="n">
        <v>-1147981.33333333</v>
      </c>
      <c r="J93" s="217" t="n">
        <v>-1147981.33333333</v>
      </c>
      <c r="K93" s="217" t="n">
        <v>-1147981.33333333</v>
      </c>
      <c r="L93" s="217" t="n">
        <v>-1147981.33333333</v>
      </c>
      <c r="M93" s="217" t="n">
        <v>-1147981.33333333</v>
      </c>
      <c r="N93" s="217" t="n">
        <v>-1147981.33333333</v>
      </c>
      <c r="O93" s="217" t="n">
        <v>-1147981.33333333</v>
      </c>
      <c r="P93" s="217" t="n">
        <v>-1147981.33333333</v>
      </c>
      <c r="Q93" s="217" t="n">
        <v>-1147981.33333333</v>
      </c>
      <c r="R93" s="217" t="n">
        <v>-1147981.33333333</v>
      </c>
      <c r="S93" s="217" t="n">
        <v>-1147981.33333333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4304930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-278778.62736</v>
      </c>
      <c r="F95" s="153" t="n">
        <f aca="false">-E85*$D$33</f>
        <v>-84692.0362559996</v>
      </c>
      <c r="G95" s="153" t="n">
        <f aca="false">-F85*$D$33</f>
        <v>-99550.1651519998</v>
      </c>
      <c r="H95" s="153" t="n">
        <f aca="false">-G85*$D$33</f>
        <v>-114408.294048</v>
      </c>
      <c r="I95" s="153" t="n">
        <f aca="false">-H85*$D$33</f>
        <v>-129266.422944</v>
      </c>
      <c r="J95" s="153" t="n">
        <f aca="false">-I85*$D$33</f>
        <v>-144124.55184</v>
      </c>
      <c r="K95" s="153" t="n">
        <f aca="false">-J85*$D$33</f>
        <v>-158982.680736</v>
      </c>
      <c r="L95" s="153" t="n">
        <f aca="false">-K85*$D$33</f>
        <v>-173840.809632</v>
      </c>
      <c r="M95" s="153" t="n">
        <f aca="false">-L85*$D$33</f>
        <v>-188698.938528</v>
      </c>
      <c r="N95" s="153" t="n">
        <f aca="false">-M85*$D$33</f>
        <v>-203557.067424</v>
      </c>
      <c r="O95" s="153" t="n">
        <f aca="false">-N85*$D$33</f>
        <v>-249814.39632</v>
      </c>
      <c r="P95" s="153" t="n">
        <f aca="false">-O85*$D$33</f>
        <v>-264672.525216</v>
      </c>
      <c r="Q95" s="153" t="n">
        <f aca="false">-P85*$D$33</f>
        <v>-279530.654112</v>
      </c>
      <c r="R95" s="153" t="n">
        <f aca="false">-Q85*$D$33</f>
        <v>-294388.783008</v>
      </c>
      <c r="S95" s="153" t="n">
        <f aca="false">-R85*$D$33</f>
        <v>-309246.911903999</v>
      </c>
      <c r="T95" s="153" t="n">
        <f aca="false">-S85*$D$33</f>
        <v>-324105.0408</v>
      </c>
      <c r="U95" s="153" t="n">
        <f aca="false">-T85*$D$33</f>
        <v>-317803.577759999</v>
      </c>
      <c r="V95" s="153" t="n">
        <f aca="false">-U85*$D$33</f>
        <v>-311502.11472</v>
      </c>
      <c r="W95" s="153" t="n">
        <f aca="false">-V85*$D$33</f>
        <v>-305200.651679999</v>
      </c>
      <c r="X95" s="153" t="n">
        <f aca="false">-W85*$D$33</f>
        <v>-298899.18864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-1076232.5</v>
      </c>
      <c r="U96" s="220" t="n">
        <v>-1076232.5</v>
      </c>
      <c r="V96" s="220" t="n">
        <v>-1076232.5</v>
      </c>
      <c r="W96" s="220" t="n">
        <v>-1076232.5</v>
      </c>
      <c r="X96" s="221" t="n">
        <f aca="false">-W101-X95</f>
        <v>-503451.493120008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1385986.5304</v>
      </c>
      <c r="E99" s="208" t="n">
        <f aca="false">SUM(E87:E96)</f>
        <v>-256425.198186666</v>
      </c>
      <c r="F99" s="208" t="n">
        <f aca="false">SUM(F87:F96)</f>
        <v>-45829.5749759992</v>
      </c>
      <c r="G99" s="208" t="n">
        <f aca="false">SUM(G87:G96)</f>
        <v>-44178.6717653328</v>
      </c>
      <c r="H99" s="208" t="n">
        <f aca="false">SUM(H87:H96)</f>
        <v>-42527.7685546664</v>
      </c>
      <c r="I99" s="208" t="n">
        <f aca="false">SUM(I87:I96)</f>
        <v>-40876.8653439997</v>
      </c>
      <c r="J99" s="208" t="n">
        <f aca="false">SUM(J87:J96)</f>
        <v>-39225.9621333325</v>
      </c>
      <c r="K99" s="208" t="n">
        <f aca="false">SUM(K87:K96)</f>
        <v>-37575.0589226664</v>
      </c>
      <c r="L99" s="208" t="n">
        <f aca="false">SUM(L87:L96)</f>
        <v>-35924.1557119996</v>
      </c>
      <c r="M99" s="208" t="n">
        <f aca="false">SUM(M87:M96)</f>
        <v>-34273.2525013328</v>
      </c>
      <c r="N99" s="208" t="n">
        <f aca="false">SUM(N87:N96)</f>
        <v>2265.6507093338</v>
      </c>
      <c r="O99" s="208" t="n">
        <f aca="false">SUM(O87:O96)</f>
        <v>-27482.6460799995</v>
      </c>
      <c r="P99" s="208" t="n">
        <f aca="false">SUM(P87:P96)</f>
        <v>-25831.742869333</v>
      </c>
      <c r="Q99" s="208" t="n">
        <f aca="false">SUM(Q87:Q96)</f>
        <v>-24180.8396586661</v>
      </c>
      <c r="R99" s="208" t="n">
        <f aca="false">SUM(R87:R96)</f>
        <v>-22529.9364479996</v>
      </c>
      <c r="S99" s="208" t="n">
        <f aca="false">SUM(S87:S96)</f>
        <v>-20879.0332373327</v>
      </c>
      <c r="T99" s="208" t="n">
        <f aca="false">SUM(T87:T96)</f>
        <v>29010.0455999998</v>
      </c>
      <c r="U99" s="208" t="n">
        <f aca="false">SUM(U87:U96)</f>
        <v>28309.8830400002</v>
      </c>
      <c r="V99" s="208" t="n">
        <f aca="false">SUM(V87:V96)</f>
        <v>27609.7204800001</v>
      </c>
      <c r="W99" s="208" t="n">
        <f aca="false">SUM(W87:W96)</f>
        <v>26909.5579200003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1385986.5304</v>
      </c>
      <c r="F100" s="208" t="n">
        <f aca="false">E101</f>
        <v>1129561.33221333</v>
      </c>
      <c r="G100" s="208" t="n">
        <f aca="false">F101</f>
        <v>1083731.75723733</v>
      </c>
      <c r="H100" s="208" t="n">
        <f aca="false">G101</f>
        <v>1039553.085472</v>
      </c>
      <c r="I100" s="208" t="n">
        <f aca="false">H101</f>
        <v>997025.316917335</v>
      </c>
      <c r="J100" s="208" t="n">
        <f aca="false">I101</f>
        <v>956148.451573335</v>
      </c>
      <c r="K100" s="208" t="n">
        <f aca="false">J101</f>
        <v>916922.489440003</v>
      </c>
      <c r="L100" s="208" t="n">
        <f aca="false">K101</f>
        <v>879347.430517337</v>
      </c>
      <c r="M100" s="208" t="n">
        <f aca="false">L101</f>
        <v>843423.274805337</v>
      </c>
      <c r="N100" s="208" t="n">
        <f aca="false">M101</f>
        <v>809150.022304004</v>
      </c>
      <c r="O100" s="208" t="n">
        <f aca="false">N101</f>
        <v>811415.673013338</v>
      </c>
      <c r="P100" s="208" t="n">
        <f aca="false">O101</f>
        <v>783933.026933339</v>
      </c>
      <c r="Q100" s="208" t="n">
        <f aca="false">P101</f>
        <v>758101.284064006</v>
      </c>
      <c r="R100" s="208" t="n">
        <f aca="false">Q101</f>
        <v>733920.444405339</v>
      </c>
      <c r="S100" s="208" t="n">
        <f aca="false">R101</f>
        <v>711390.50795734</v>
      </c>
      <c r="T100" s="208" t="n">
        <f aca="false">S101</f>
        <v>690511.474720007</v>
      </c>
      <c r="U100" s="208" t="n">
        <f aca="false">T101</f>
        <v>719521.520320007</v>
      </c>
      <c r="V100" s="208" t="n">
        <f aca="false">U101</f>
        <v>747831.403360007</v>
      </c>
      <c r="W100" s="208" t="n">
        <f aca="false">V101</f>
        <v>775441.123840007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1385986.5304</v>
      </c>
      <c r="E101" s="208" t="n">
        <f aca="false">E99+E100</f>
        <v>1129561.33221333</v>
      </c>
      <c r="F101" s="208" t="n">
        <f aca="false">F99+F100</f>
        <v>1083731.75723733</v>
      </c>
      <c r="G101" s="208" t="n">
        <f aca="false">G99+G100</f>
        <v>1039553.085472</v>
      </c>
      <c r="H101" s="208" t="n">
        <f aca="false">H99+H100</f>
        <v>997025.316917335</v>
      </c>
      <c r="I101" s="208" t="n">
        <f aca="false">I99+I100</f>
        <v>956148.451573335</v>
      </c>
      <c r="J101" s="208" t="n">
        <f aca="false">J99+J100</f>
        <v>916922.489440003</v>
      </c>
      <c r="K101" s="208" t="n">
        <f aca="false">K99+K100</f>
        <v>879347.430517337</v>
      </c>
      <c r="L101" s="208" t="n">
        <f aca="false">L99+L100</f>
        <v>843423.274805337</v>
      </c>
      <c r="M101" s="208" t="n">
        <f aca="false">M99+M100</f>
        <v>809150.022304004</v>
      </c>
      <c r="N101" s="208" t="n">
        <f aca="false">N99+N100</f>
        <v>811415.673013338</v>
      </c>
      <c r="O101" s="208" t="n">
        <f aca="false">O99+O100</f>
        <v>783933.026933339</v>
      </c>
      <c r="P101" s="208" t="n">
        <f aca="false">P99+P100</f>
        <v>758101.284064006</v>
      </c>
      <c r="Q101" s="208" t="n">
        <f aca="false">Q99+Q100</f>
        <v>733920.444405339</v>
      </c>
      <c r="R101" s="208" t="n">
        <f aca="false">R99+R100</f>
        <v>711390.50795734</v>
      </c>
      <c r="S101" s="208" t="n">
        <f aca="false">S99+S100</f>
        <v>690511.474720007</v>
      </c>
      <c r="T101" s="208" t="n">
        <f aca="false">T99+T100</f>
        <v>719521.520320007</v>
      </c>
      <c r="U101" s="208" t="n">
        <f aca="false">U99+U100</f>
        <v>747831.403360007</v>
      </c>
      <c r="V101" s="208" t="n">
        <f aca="false">V99+V100</f>
        <v>775441.123840007</v>
      </c>
      <c r="W101" s="208" t="n">
        <f aca="false">W99+W100</f>
        <v>802350.681760008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-4304930</v>
      </c>
      <c r="E104" s="211" t="n">
        <f aca="false">-E95-E96</f>
        <v>278778.62736</v>
      </c>
      <c r="F104" s="211" t="n">
        <f aca="false">-F95-F96</f>
        <v>84692.0362559996</v>
      </c>
      <c r="G104" s="211" t="n">
        <f aca="false">-G95-G96</f>
        <v>99550.1651519998</v>
      </c>
      <c r="H104" s="211" t="n">
        <f aca="false">-H95-H96</f>
        <v>114408.294048</v>
      </c>
      <c r="I104" s="211" t="n">
        <f aca="false">-I95-I96</f>
        <v>129266.422944</v>
      </c>
      <c r="J104" s="211" t="n">
        <f aca="false">-J95-J96</f>
        <v>144124.55184</v>
      </c>
      <c r="K104" s="211" t="n">
        <f aca="false">-K95-K96</f>
        <v>158982.680736</v>
      </c>
      <c r="L104" s="211" t="n">
        <f aca="false">-L95-L96</f>
        <v>173840.809632</v>
      </c>
      <c r="M104" s="211" t="n">
        <f aca="false">-M95-M96</f>
        <v>188698.938528</v>
      </c>
      <c r="N104" s="211" t="n">
        <f aca="false">-N95-N96</f>
        <v>203557.067424</v>
      </c>
      <c r="O104" s="211" t="n">
        <f aca="false">-O95-O96</f>
        <v>249814.39632</v>
      </c>
      <c r="P104" s="211" t="n">
        <f aca="false">-P95-P96</f>
        <v>264672.525216</v>
      </c>
      <c r="Q104" s="211" t="n">
        <f aca="false">-Q95-Q96</f>
        <v>279530.654112</v>
      </c>
      <c r="R104" s="211" t="n">
        <f aca="false">-R95-R96</f>
        <v>294388.783008</v>
      </c>
      <c r="S104" s="211" t="n">
        <f aca="false">-S95-S96</f>
        <v>309246.911903999</v>
      </c>
      <c r="T104" s="211" t="n">
        <f aca="false">-T95-T96</f>
        <v>1400337.5408</v>
      </c>
      <c r="U104" s="211" t="n">
        <f aca="false">-U95-U96</f>
        <v>1394036.07776</v>
      </c>
      <c r="V104" s="211" t="n">
        <f aca="false">-V95-V96</f>
        <v>1387734.61472</v>
      </c>
      <c r="W104" s="211" t="n">
        <f aca="false">-W95-W96</f>
        <v>1381433.15168</v>
      </c>
      <c r="X104" s="211" t="n">
        <f aca="false">-X95-X96</f>
        <v>802350.681760008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0.0555151379136638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-3995175.9696</v>
      </c>
      <c r="E106" s="211" t="n">
        <f aca="false">E85</f>
        <v>94102.2625066662</v>
      </c>
      <c r="F106" s="211" t="n">
        <f aca="false">F85-F96</f>
        <v>110611.294613333</v>
      </c>
      <c r="G106" s="211" t="n">
        <f aca="false">G85-G96</f>
        <v>127120.32672</v>
      </c>
      <c r="H106" s="211" t="n">
        <f aca="false">H85-H96</f>
        <v>143629.358826666</v>
      </c>
      <c r="I106" s="211" t="n">
        <f aca="false">I85-I96</f>
        <v>160138.390933333</v>
      </c>
      <c r="J106" s="211" t="n">
        <f aca="false">J85-J96</f>
        <v>176647.42304</v>
      </c>
      <c r="K106" s="211" t="n">
        <f aca="false">K85-K96</f>
        <v>193156.455146666</v>
      </c>
      <c r="L106" s="211" t="n">
        <f aca="false">L85-L96</f>
        <v>209665.487253333</v>
      </c>
      <c r="M106" s="211" t="n">
        <f aca="false">M85-M96</f>
        <v>226174.51936</v>
      </c>
      <c r="N106" s="211" t="n">
        <f aca="false">N85-N96</f>
        <v>277571.551466666</v>
      </c>
      <c r="O106" s="211" t="n">
        <f aca="false">O85-O96</f>
        <v>294080.583573333</v>
      </c>
      <c r="P106" s="211" t="n">
        <f aca="false">P85-P96</f>
        <v>310589.615679999</v>
      </c>
      <c r="Q106" s="211" t="n">
        <f aca="false">Q85-Q96</f>
        <v>327098.647786666</v>
      </c>
      <c r="R106" s="211" t="n">
        <f aca="false">R85-R96</f>
        <v>343607.679893333</v>
      </c>
      <c r="S106" s="211" t="n">
        <f aca="false">S85-S96</f>
        <v>360116.712</v>
      </c>
      <c r="T106" s="211" t="n">
        <f aca="false">T85-T96</f>
        <v>1429347.5864</v>
      </c>
      <c r="U106" s="211" t="n">
        <f aca="false">U85-U96</f>
        <v>1422345.9608</v>
      </c>
      <c r="V106" s="211" t="n">
        <f aca="false">V85-V96</f>
        <v>1415344.3352</v>
      </c>
      <c r="W106" s="211" t="n">
        <f aca="false">W85-W96</f>
        <v>1408342.7096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0.0604569701933474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17219720</v>
      </c>
      <c r="E109" s="208" t="n">
        <f aca="false">D109+E93</f>
        <v>16071738.6666667</v>
      </c>
      <c r="F109" s="208" t="n">
        <f aca="false">E109+F93</f>
        <v>14923757.3333333</v>
      </c>
      <c r="G109" s="208" t="n">
        <f aca="false">F109+G93</f>
        <v>13775776</v>
      </c>
      <c r="H109" s="208" t="n">
        <f aca="false">G109+H93</f>
        <v>12627794.6666667</v>
      </c>
      <c r="I109" s="208" t="n">
        <f aca="false">H109+I93</f>
        <v>11479813.3333333</v>
      </c>
      <c r="J109" s="208" t="n">
        <f aca="false">I109+J93</f>
        <v>10331832</v>
      </c>
      <c r="K109" s="208" t="n">
        <f aca="false">J109+K93</f>
        <v>9183850.66666668</v>
      </c>
      <c r="L109" s="208" t="n">
        <f aca="false">K109+L93</f>
        <v>8035869.33333335</v>
      </c>
      <c r="M109" s="208" t="n">
        <f aca="false">L109+M93</f>
        <v>6887888.00000001</v>
      </c>
      <c r="N109" s="208" t="n">
        <f aca="false">M109+N93</f>
        <v>5739906.66666668</v>
      </c>
      <c r="O109" s="208" t="n">
        <f aca="false">N109+O93</f>
        <v>4591925.33333335</v>
      </c>
      <c r="P109" s="208" t="n">
        <f aca="false">O109+P93</f>
        <v>3443944.00000001</v>
      </c>
      <c r="Q109" s="208" t="n">
        <f aca="false">P109+Q93</f>
        <v>2295962.66666668</v>
      </c>
      <c r="R109" s="208" t="n">
        <f aca="false">Q109+R93</f>
        <v>1147981.33333335</v>
      </c>
      <c r="S109" s="208" t="n">
        <f aca="false">R109+S93</f>
        <v>1.49011611938477E-008</v>
      </c>
      <c r="T109" s="208" t="n">
        <f aca="false">S109+T93</f>
        <v>1.49011611938477E-008</v>
      </c>
      <c r="U109" s="208" t="n">
        <f aca="false">T109+U93</f>
        <v>1.49011611938477E-008</v>
      </c>
      <c r="V109" s="208" t="n">
        <f aca="false">U109+V93</f>
        <v>1.49011611938477E-008</v>
      </c>
      <c r="W109" s="208" t="n">
        <f aca="false">V109+W93</f>
        <v>1.49011611938477E-008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273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156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202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274</v>
      </c>
    </row>
    <row r="8" customFormat="false" ht="22.5" hidden="false" customHeight="true" outlineLevel="0" collapsed="false">
      <c r="B8" s="16" t="s">
        <v>14</v>
      </c>
      <c r="E8" s="165"/>
      <c r="M8" s="0" t="s">
        <v>275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94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32000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-20590150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-41865.6</v>
      </c>
      <c r="E49" s="185" t="n">
        <v>-41865.6</v>
      </c>
      <c r="F49" s="185" t="n">
        <v>-41865.6</v>
      </c>
      <c r="G49" s="185" t="n">
        <v>-41865.6</v>
      </c>
      <c r="H49" s="185" t="n">
        <v>-41865.6</v>
      </c>
      <c r="I49" s="185" t="n">
        <v>-41865.6</v>
      </c>
      <c r="J49" s="185" t="n">
        <v>-41865.6</v>
      </c>
      <c r="K49" s="185" t="n">
        <v>-41865.6</v>
      </c>
      <c r="L49" s="185" t="n">
        <v>-41865.6</v>
      </c>
      <c r="M49" s="185" t="n">
        <v>-41865.6</v>
      </c>
      <c r="N49" s="185" t="n">
        <v>-41865.6</v>
      </c>
      <c r="O49" s="185" t="n">
        <v>-41865.6</v>
      </c>
      <c r="P49" s="185" t="n">
        <v>-41865.6</v>
      </c>
      <c r="Q49" s="185" t="n">
        <v>-41865.6</v>
      </c>
      <c r="R49" s="185" t="n">
        <v>-41865.6</v>
      </c>
      <c r="S49" s="185" t="n">
        <v>-41865.6</v>
      </c>
      <c r="T49" s="185" t="n">
        <v>-41865.6</v>
      </c>
      <c r="U49" s="185" t="n">
        <v>-41865.6</v>
      </c>
      <c r="V49" s="185" t="n">
        <v>-41865.6</v>
      </c>
      <c r="W49" s="185" t="n">
        <v>-41865.6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-175340.964</v>
      </c>
      <c r="E54" s="185" t="n">
        <f aca="false">-(E64+E67+E68+E71+E72+E73+E74)*0.2</f>
        <v>-115550.3576</v>
      </c>
      <c r="F54" s="185" t="n">
        <f aca="false">-(F64+F67+F68+F71+F72+F73+F74)*0.2</f>
        <v>-113799.9512</v>
      </c>
      <c r="G54" s="185" t="n">
        <f aca="false">-(G64+G67+G68+G71+G72+G73+G74)*0.2</f>
        <v>-112049.5448</v>
      </c>
      <c r="H54" s="185" t="n">
        <f aca="false">-(H64+H67+H68+H71+H72+H73+H74)*0.2</f>
        <v>-110299.1384</v>
      </c>
      <c r="I54" s="185" t="n">
        <f aca="false">-(I64+I67+I68+I71+I72+I73+I74)*0.2</f>
        <v>-108548.732</v>
      </c>
      <c r="J54" s="185" t="n">
        <f aca="false">-(J64+J67+J68+J71+J72+J73+J74)*0.2</f>
        <v>-106798.3256</v>
      </c>
      <c r="K54" s="185" t="n">
        <f aca="false">-(K64+K67+K68+K71+K72+K73+K74)*0.2</f>
        <v>-105047.9192</v>
      </c>
      <c r="L54" s="185" t="n">
        <f aca="false">-(L64+L67+L68+L71+L72+L73+L74)*0.2</f>
        <v>-103297.5128</v>
      </c>
      <c r="M54" s="185" t="n">
        <f aca="false">-(M64+M67+M68+M71+M72+M73+M74)*0.2</f>
        <v>-101547.1064</v>
      </c>
      <c r="N54" s="185" t="n">
        <f aca="false">-(N64+N67+N68+N71+N72+N73+N74)*0.2</f>
        <v>-108518.7</v>
      </c>
      <c r="O54" s="185" t="n">
        <f aca="false">-(O64+O67+O68+O71+O72+O73+O74)*0.2</f>
        <v>-106768.2936</v>
      </c>
      <c r="P54" s="185" t="n">
        <f aca="false">-(P64+P67+P68+P71+P72+P73+P74)*0.2</f>
        <v>-105017.8872</v>
      </c>
      <c r="Q54" s="185" t="n">
        <f aca="false">-(Q64+Q67+Q68+Q71+Q72+Q73+Q74)*0.2</f>
        <v>-103267.4808</v>
      </c>
      <c r="R54" s="185" t="n">
        <f aca="false">-(R64+R67+R68+R71+R72+R73+R74)*0.2</f>
        <v>-101517.0744</v>
      </c>
      <c r="S54" s="185" t="n">
        <f aca="false">-(S64+S67+S68+S71+S72+S73+S74)*0.2</f>
        <v>-99766.668</v>
      </c>
      <c r="T54" s="185" t="n">
        <f aca="false">-(T64+T67+T68+T71+T72+T73+T74)*0.2</f>
        <v>-98016.2615999999</v>
      </c>
      <c r="U54" s="185" t="n">
        <f aca="false">-(U64+U67+U68+U71+U72+U73+U74)*0.2</f>
        <v>-96265.8552</v>
      </c>
      <c r="V54" s="185" t="n">
        <f aca="false">-(V64+V67+V68+V71+V72+V73+V74)*0.2</f>
        <v>-94515.4487999999</v>
      </c>
      <c r="W54" s="185" t="n">
        <f aca="false">-(W64+W67+W68+W71+W72+W73+W74)*0.2</f>
        <v>-92765.0424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-20590150</v>
      </c>
      <c r="D55" s="190" t="n">
        <f aca="false">SUM(D41:D54)</f>
        <v>1440670.356</v>
      </c>
      <c r="E55" s="190" t="n">
        <f aca="false">SUM(E41:E54)</f>
        <v>1491708.9304</v>
      </c>
      <c r="F55" s="190" t="n">
        <f aca="false">SUM(F41:F54)</f>
        <v>1484707.3048</v>
      </c>
      <c r="G55" s="190" t="n">
        <f aca="false">SUM(G41:G54)</f>
        <v>1477705.6792</v>
      </c>
      <c r="H55" s="190" t="n">
        <f aca="false">SUM(H41:H54)</f>
        <v>1470704.0536</v>
      </c>
      <c r="I55" s="190" t="n">
        <f aca="false">SUM(I41:I54)</f>
        <v>1463702.428</v>
      </c>
      <c r="J55" s="190" t="n">
        <f aca="false">SUM(J41:J54)</f>
        <v>1456700.8024</v>
      </c>
      <c r="K55" s="190" t="n">
        <f aca="false">SUM(K41:K54)</f>
        <v>1449699.1768</v>
      </c>
      <c r="L55" s="190" t="n">
        <f aca="false">SUM(L41:L54)</f>
        <v>1442697.5512</v>
      </c>
      <c r="M55" s="190" t="n">
        <f aca="false">SUM(M41:M54)</f>
        <v>1435695.9256</v>
      </c>
      <c r="N55" s="190" t="n">
        <f aca="false">SUM(N41:N54)</f>
        <v>1463582.3</v>
      </c>
      <c r="O55" s="190" t="n">
        <f aca="false">SUM(O41:O54)</f>
        <v>1456580.6744</v>
      </c>
      <c r="P55" s="190" t="n">
        <f aca="false">SUM(P41:P54)</f>
        <v>1449579.0488</v>
      </c>
      <c r="Q55" s="190" t="n">
        <f aca="false">SUM(Q41:Q54)</f>
        <v>1442577.4232</v>
      </c>
      <c r="R55" s="190" t="n">
        <f aca="false">SUM(R41:R54)</f>
        <v>1435575.7976</v>
      </c>
      <c r="S55" s="190" t="n">
        <f aca="false">SUM(S41:S54)</f>
        <v>1428574.172</v>
      </c>
      <c r="T55" s="190" t="n">
        <f aca="false">SUM(T41:T54)</f>
        <v>1421572.5464</v>
      </c>
      <c r="U55" s="190" t="n">
        <f aca="false">SUM(U41:U54)</f>
        <v>1414570.9208</v>
      </c>
      <c r="V55" s="190" t="n">
        <f aca="false">SUM(V41:V54)</f>
        <v>1407569.2952</v>
      </c>
      <c r="W55" s="190" t="n">
        <f aca="false">SUM(W41:W54)</f>
        <v>1400567.6696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-19149479.644</v>
      </c>
      <c r="E56" s="195" t="n">
        <f aca="false">D56+E55</f>
        <v>-17657770.7136</v>
      </c>
      <c r="F56" s="195" t="n">
        <f aca="false">E56+F55</f>
        <v>-16173063.4088</v>
      </c>
      <c r="G56" s="195" t="n">
        <f aca="false">F56+G55</f>
        <v>-14695357.7296</v>
      </c>
      <c r="H56" s="195" t="n">
        <f aca="false">G56+H55</f>
        <v>-13224653.676</v>
      </c>
      <c r="I56" s="195" t="n">
        <f aca="false">H56+I55</f>
        <v>-11760951.248</v>
      </c>
      <c r="J56" s="195" t="n">
        <f aca="false">I56+J55</f>
        <v>-10304250.4456</v>
      </c>
      <c r="K56" s="195" t="n">
        <f aca="false">J56+K55</f>
        <v>-8854551.26880001</v>
      </c>
      <c r="L56" s="195" t="n">
        <f aca="false">K56+L55</f>
        <v>-7411853.71760001</v>
      </c>
      <c r="M56" s="195" t="n">
        <f aca="false">L56+M55</f>
        <v>-5976157.79200001</v>
      </c>
      <c r="N56" s="195" t="n">
        <f aca="false">M56+N55</f>
        <v>-4512575.49200001</v>
      </c>
      <c r="O56" s="195" t="n">
        <f aca="false">N56+O55</f>
        <v>-3055994.81760001</v>
      </c>
      <c r="P56" s="195" t="n">
        <f aca="false">O56+P55</f>
        <v>-1606415.76880001</v>
      </c>
      <c r="Q56" s="195" t="n">
        <f aca="false">P56+Q55</f>
        <v>-163838.345600009</v>
      </c>
      <c r="R56" s="195" t="n">
        <f aca="false">Q56+R55</f>
        <v>1271737.45199999</v>
      </c>
      <c r="S56" s="195" t="n">
        <f aca="false">R56+S55</f>
        <v>2700311.62399999</v>
      </c>
      <c r="T56" s="195" t="n">
        <f aca="false">S56+T55</f>
        <v>4121884.17039999</v>
      </c>
      <c r="U56" s="195" t="n">
        <f aca="false">T56+U55</f>
        <v>5536455.09119999</v>
      </c>
      <c r="V56" s="195" t="n">
        <f aca="false">U56+V55</f>
        <v>6944024.38639999</v>
      </c>
      <c r="W56" s="195" t="n">
        <f aca="false">V56+W55</f>
        <v>8344592.05599999</v>
      </c>
      <c r="X56" s="195" t="n">
        <f aca="false">W56+X55</f>
        <v>8344592.05599999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未回收</v>
      </c>
      <c r="O57" s="199" t="str">
        <f aca="false">IF((O56)&gt;0,"回收","未回收")</f>
        <v>未回收</v>
      </c>
      <c r="P57" s="199" t="str">
        <f aca="false">IF((P56)&gt;0,"回收","未回收")</f>
        <v>未回收</v>
      </c>
      <c r="Q57" s="199" t="str">
        <f aca="false">IF((Q56)&gt;0,"回收","未回收")</f>
        <v>未回收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0.0351478550605013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-1029507.5</v>
      </c>
      <c r="E67" s="200" t="n">
        <f aca="false">$C$44/$E$16</f>
        <v>-1029507.5</v>
      </c>
      <c r="F67" s="200" t="n">
        <f aca="false">$C$44/$E$16</f>
        <v>-1029507.5</v>
      </c>
      <c r="G67" s="200" t="n">
        <f aca="false">$C$44/$E$16</f>
        <v>-1029507.5</v>
      </c>
      <c r="H67" s="200" t="n">
        <f aca="false">$C$44/$E$16</f>
        <v>-1029507.5</v>
      </c>
      <c r="I67" s="200" t="n">
        <f aca="false">$C$44/$E$16</f>
        <v>-1029507.5</v>
      </c>
      <c r="J67" s="200" t="n">
        <f aca="false">$C$44/$E$16</f>
        <v>-1029507.5</v>
      </c>
      <c r="K67" s="200" t="n">
        <f aca="false">$C$44/$E$16</f>
        <v>-1029507.5</v>
      </c>
      <c r="L67" s="200" t="n">
        <f aca="false">$C$44/$E$16</f>
        <v>-1029507.5</v>
      </c>
      <c r="M67" s="200" t="n">
        <f aca="false">$C$44/$E$16</f>
        <v>-1029507.5</v>
      </c>
      <c r="N67" s="200" t="n">
        <f aca="false">$C$44/$E$16</f>
        <v>-1029507.5</v>
      </c>
      <c r="O67" s="200" t="n">
        <f aca="false">$C$44/$E$16</f>
        <v>-1029507.5</v>
      </c>
      <c r="P67" s="200" t="n">
        <f aca="false">$C$44/$E$16</f>
        <v>-1029507.5</v>
      </c>
      <c r="Q67" s="200" t="n">
        <f aca="false">$C$44/$E$16</f>
        <v>-1029507.5</v>
      </c>
      <c r="R67" s="200" t="n">
        <f aca="false">$C$44/$E$16</f>
        <v>-1029507.5</v>
      </c>
      <c r="S67" s="200" t="n">
        <f aca="false">$C$44/$E$16</f>
        <v>-1029507.5</v>
      </c>
      <c r="T67" s="200" t="n">
        <f aca="false">$C$44/$E$16</f>
        <v>-1029507.5</v>
      </c>
      <c r="U67" s="200" t="n">
        <f aca="false">$C$44/$E$16</f>
        <v>-1029507.5</v>
      </c>
      <c r="V67" s="200" t="n">
        <f aca="false">$C$44/$E$16</f>
        <v>-1029507.5</v>
      </c>
      <c r="W67" s="200" t="n">
        <f aca="false">$C$44/$E$16</f>
        <v>-1029507.5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-421686.272</v>
      </c>
      <c r="E70" s="185" t="n">
        <f aca="false">-E109*$D25</f>
        <v>-393573.853866667</v>
      </c>
      <c r="F70" s="185" t="n">
        <f aca="false">-F109*$D25</f>
        <v>-365461.435733334</v>
      </c>
      <c r="G70" s="185" t="n">
        <f aca="false">-G109*$D25</f>
        <v>-337349.0176</v>
      </c>
      <c r="H70" s="185" t="n">
        <f aca="false">-H109*$D25</f>
        <v>-309236.599466667</v>
      </c>
      <c r="I70" s="185" t="n">
        <f aca="false">-I109*$D25</f>
        <v>-281124.181333334</v>
      </c>
      <c r="J70" s="185" t="n">
        <f aca="false">-J109*$D25</f>
        <v>-253011.7632</v>
      </c>
      <c r="K70" s="185" t="n">
        <f aca="false">-K109*$D25</f>
        <v>-224899.345066667</v>
      </c>
      <c r="L70" s="185" t="n">
        <f aca="false">-L109*$D25</f>
        <v>-196786.926933334</v>
      </c>
      <c r="M70" s="185" t="n">
        <f aca="false">-M109*$D25</f>
        <v>-168674.5088</v>
      </c>
      <c r="N70" s="185" t="n">
        <f aca="false">-N109*$D25</f>
        <v>-140562.090666667</v>
      </c>
      <c r="O70" s="185" t="n">
        <f aca="false">-O109*$D25</f>
        <v>-112449.672533334</v>
      </c>
      <c r="P70" s="185" t="n">
        <f aca="false">-P109*$D25</f>
        <v>-84337.2544000004</v>
      </c>
      <c r="Q70" s="185" t="n">
        <f aca="false">-Q109*$D25</f>
        <v>-56224.836266667</v>
      </c>
      <c r="R70" s="185" t="n">
        <f aca="false">-R109*$D25</f>
        <v>-28112.4181333337</v>
      </c>
      <c r="S70" s="185" t="n">
        <f aca="false">-S109*$D25</f>
        <v>-3.814697265625E-010</v>
      </c>
      <c r="T70" s="185" t="n">
        <f aca="false">-T109*$D25</f>
        <v>-3.814697265625E-010</v>
      </c>
      <c r="U70" s="185" t="n">
        <f aca="false">-U109*$D25</f>
        <v>-3.814697265625E-010</v>
      </c>
      <c r="V70" s="185" t="n">
        <f aca="false">-V109*$D25</f>
        <v>-3.814697265625E-010</v>
      </c>
      <c r="W70" s="185" t="n">
        <f aca="false">-W109*$D25</f>
        <v>-3.814697265625E-010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-41865.6</v>
      </c>
      <c r="E72" s="185" t="n">
        <f aca="false">E49</f>
        <v>-41865.6</v>
      </c>
      <c r="F72" s="185" t="n">
        <f aca="false">F49</f>
        <v>-41865.6</v>
      </c>
      <c r="G72" s="185" t="n">
        <f aca="false">G49</f>
        <v>-41865.6</v>
      </c>
      <c r="H72" s="185" t="n">
        <f aca="false">H49</f>
        <v>-41865.6</v>
      </c>
      <c r="I72" s="185" t="n">
        <f aca="false">I49</f>
        <v>-41865.6</v>
      </c>
      <c r="J72" s="185" t="n">
        <f aca="false">J49</f>
        <v>-41865.6</v>
      </c>
      <c r="K72" s="185" t="n">
        <f aca="false">K49</f>
        <v>-41865.6</v>
      </c>
      <c r="L72" s="185" t="n">
        <f aca="false">L49</f>
        <v>-41865.6</v>
      </c>
      <c r="M72" s="185" t="n">
        <f aca="false">M49</f>
        <v>-41865.6</v>
      </c>
      <c r="N72" s="185" t="n">
        <f aca="false">N49</f>
        <v>-41865.6</v>
      </c>
      <c r="O72" s="185" t="n">
        <f aca="false">O49</f>
        <v>-41865.6</v>
      </c>
      <c r="P72" s="185" t="n">
        <f aca="false">P49</f>
        <v>-41865.6</v>
      </c>
      <c r="Q72" s="185" t="n">
        <f aca="false">Q49</f>
        <v>-41865.6</v>
      </c>
      <c r="R72" s="185" t="n">
        <f aca="false">R49</f>
        <v>-41865.6</v>
      </c>
      <c r="S72" s="185" t="n">
        <f aca="false">S49</f>
        <v>-41865.6</v>
      </c>
      <c r="T72" s="185" t="n">
        <f aca="false">T49</f>
        <v>-41865.6</v>
      </c>
      <c r="U72" s="185" t="n">
        <f aca="false">U49</f>
        <v>-41865.6</v>
      </c>
      <c r="V72" s="185" t="n">
        <f aca="false">V49</f>
        <v>-41865.6</v>
      </c>
      <c r="W72" s="185" t="n">
        <f aca="false">W49</f>
        <v>-41865.6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455018.548</v>
      </c>
      <c r="E76" s="190" t="n">
        <f aca="false">SUM(E64:E75)</f>
        <v>184177.934133333</v>
      </c>
      <c r="F76" s="190" t="n">
        <f aca="false">SUM(F64:F75)</f>
        <v>203538.320266666</v>
      </c>
      <c r="G76" s="190" t="n">
        <f aca="false">SUM(G64:G75)</f>
        <v>222898.7064</v>
      </c>
      <c r="H76" s="190" t="n">
        <f aca="false">SUM(H64:H75)</f>
        <v>242259.092533333</v>
      </c>
      <c r="I76" s="190" t="n">
        <f aca="false">SUM(I64:I75)</f>
        <v>261619.478666666</v>
      </c>
      <c r="J76" s="190" t="n">
        <f aca="false">SUM(J64:J75)</f>
        <v>280979.8648</v>
      </c>
      <c r="K76" s="190" t="n">
        <f aca="false">SUM(K64:K75)</f>
        <v>300340.250933333</v>
      </c>
      <c r="L76" s="190" t="n">
        <f aca="false">SUM(L64:L75)</f>
        <v>319700.637066666</v>
      </c>
      <c r="M76" s="190" t="n">
        <f aca="false">SUM(M64:M75)</f>
        <v>339061.023199999</v>
      </c>
      <c r="N76" s="190" t="n">
        <f aca="false">SUM(N64:N75)</f>
        <v>402031.409333333</v>
      </c>
      <c r="O76" s="190" t="n">
        <f aca="false">SUM(O64:O75)</f>
        <v>421391.795466666</v>
      </c>
      <c r="P76" s="190" t="n">
        <f aca="false">SUM(P64:P75)</f>
        <v>440752.181599999</v>
      </c>
      <c r="Q76" s="190" t="n">
        <f aca="false">SUM(Q64:Q75)</f>
        <v>460112.567733333</v>
      </c>
      <c r="R76" s="190" t="n">
        <f aca="false">SUM(R64:R75)</f>
        <v>479472.953866666</v>
      </c>
      <c r="S76" s="190" t="n">
        <f aca="false">SUM(S64:S75)</f>
        <v>498833.339999999</v>
      </c>
      <c r="T76" s="190" t="n">
        <f aca="false">SUM(T64:T75)</f>
        <v>490081.307999999</v>
      </c>
      <c r="U76" s="190" t="n">
        <f aca="false">SUM(U64:U75)</f>
        <v>481329.275999999</v>
      </c>
      <c r="V76" s="190" t="n">
        <f aca="false">SUM(V64:V75)</f>
        <v>472577.243999999</v>
      </c>
      <c r="W76" s="190" t="n">
        <f aca="false">SUM(W64:W75)</f>
        <v>463825.211999999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-91003.7095999999</v>
      </c>
      <c r="E77" s="185" t="n">
        <f aca="false">-E76*0.2</f>
        <v>-36835.5868266666</v>
      </c>
      <c r="F77" s="185" t="n">
        <f aca="false">-F76*0.2</f>
        <v>-40707.6640533333</v>
      </c>
      <c r="G77" s="185" t="n">
        <f aca="false">-G76*0.2</f>
        <v>-44579.7412799999</v>
      </c>
      <c r="H77" s="185" t="n">
        <f aca="false">-H76*0.2</f>
        <v>-48451.8185066666</v>
      </c>
      <c r="I77" s="185" t="n">
        <f aca="false">-I76*0.2</f>
        <v>-52323.8957333332</v>
      </c>
      <c r="J77" s="185" t="n">
        <f aca="false">-J76*0.2</f>
        <v>-56195.9729599999</v>
      </c>
      <c r="K77" s="185" t="n">
        <f aca="false">-K76*0.2</f>
        <v>-60068.0501866666</v>
      </c>
      <c r="L77" s="185" t="n">
        <f aca="false">-L76*0.2</f>
        <v>-63940.1274133332</v>
      </c>
      <c r="M77" s="185" t="n">
        <f aca="false">-M76*0.2</f>
        <v>-67812.2046399999</v>
      </c>
      <c r="N77" s="185" t="n">
        <f aca="false">-N76*0.2</f>
        <v>-80406.2818666665</v>
      </c>
      <c r="O77" s="185" t="n">
        <f aca="false">-O76*0.2</f>
        <v>-84278.3590933332</v>
      </c>
      <c r="P77" s="185" t="n">
        <f aca="false">-P76*0.2</f>
        <v>-88150.4363199999</v>
      </c>
      <c r="Q77" s="185" t="n">
        <f aca="false">-Q76*0.2</f>
        <v>-92022.5135466665</v>
      </c>
      <c r="R77" s="185" t="n">
        <f aca="false">-R76*0.2</f>
        <v>-95894.5907733332</v>
      </c>
      <c r="S77" s="185" t="n">
        <f aca="false">-S76*0.2</f>
        <v>-99766.6679999999</v>
      </c>
      <c r="T77" s="185" t="n">
        <f aca="false">-T76*0.2</f>
        <v>-98016.2615999999</v>
      </c>
      <c r="U77" s="185" t="n">
        <f aca="false">-U76*0.2</f>
        <v>-96265.8551999999</v>
      </c>
      <c r="V77" s="185" t="n">
        <f aca="false">-V76*0.2</f>
        <v>-94515.4487999998</v>
      </c>
      <c r="W77" s="185" t="n">
        <f aca="false">-W76*0.2</f>
        <v>-92765.0423999999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364014.8384</v>
      </c>
      <c r="E78" s="185" t="n">
        <f aca="false">SUM(E76:E77)</f>
        <v>147342.347306666</v>
      </c>
      <c r="F78" s="185" t="n">
        <f aca="false">SUM(F76:F77)</f>
        <v>162830.656213333</v>
      </c>
      <c r="G78" s="185" t="n">
        <f aca="false">SUM(G76:G77)</f>
        <v>178318.96512</v>
      </c>
      <c r="H78" s="185" t="n">
        <f aca="false">SUM(H76:H77)</f>
        <v>193807.274026666</v>
      </c>
      <c r="I78" s="185" t="n">
        <f aca="false">SUM(I76:I77)</f>
        <v>209295.582933333</v>
      </c>
      <c r="J78" s="185" t="n">
        <f aca="false">SUM(J76:J77)</f>
        <v>224783.89184</v>
      </c>
      <c r="K78" s="185" t="n">
        <f aca="false">SUM(K76:K77)</f>
        <v>240272.200746666</v>
      </c>
      <c r="L78" s="185" t="n">
        <f aca="false">SUM(L76:L77)</f>
        <v>255760.509653333</v>
      </c>
      <c r="M78" s="185" t="n">
        <f aca="false">SUM(M76:M77)</f>
        <v>271248.81856</v>
      </c>
      <c r="N78" s="185" t="n">
        <f aca="false">SUM(N76:N77)</f>
        <v>321625.127466666</v>
      </c>
      <c r="O78" s="185" t="n">
        <f aca="false">SUM(O76:O77)</f>
        <v>337113.436373333</v>
      </c>
      <c r="P78" s="185" t="n">
        <f aca="false">SUM(P76:P77)</f>
        <v>352601.745279999</v>
      </c>
      <c r="Q78" s="185" t="n">
        <f aca="false">SUM(Q76:Q77)</f>
        <v>368090.054186666</v>
      </c>
      <c r="R78" s="185" t="n">
        <f aca="false">SUM(R76:R77)</f>
        <v>383578.363093333</v>
      </c>
      <c r="S78" s="185" t="n">
        <f aca="false">SUM(S76:S77)</f>
        <v>399066.672</v>
      </c>
      <c r="T78" s="185" t="n">
        <f aca="false">SUM(T76:T77)</f>
        <v>392065.046399999</v>
      </c>
      <c r="U78" s="185" t="n">
        <f aca="false">SUM(U76:U77)</f>
        <v>385063.420799999</v>
      </c>
      <c r="V78" s="185" t="n">
        <f aca="false">SUM(V76:V77)</f>
        <v>378061.795199999</v>
      </c>
      <c r="W78" s="185" t="n">
        <f aca="false">SUM(W76:W77)</f>
        <v>371060.169599999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364014.8384</v>
      </c>
      <c r="E85" s="208" t="n">
        <f aca="false">E78</f>
        <v>147342.347306666</v>
      </c>
      <c r="F85" s="208" t="n">
        <f aca="false">F78</f>
        <v>162830.656213333</v>
      </c>
      <c r="G85" s="208" t="n">
        <f aca="false">G78</f>
        <v>178318.96512</v>
      </c>
      <c r="H85" s="208" t="n">
        <f aca="false">H78</f>
        <v>193807.274026666</v>
      </c>
      <c r="I85" s="208" t="n">
        <f aca="false">I78</f>
        <v>209295.582933333</v>
      </c>
      <c r="J85" s="208" t="n">
        <f aca="false">J78</f>
        <v>224783.89184</v>
      </c>
      <c r="K85" s="208" t="n">
        <f aca="false">K78</f>
        <v>240272.200746666</v>
      </c>
      <c r="L85" s="208" t="n">
        <f aca="false">L78</f>
        <v>255760.509653333</v>
      </c>
      <c r="M85" s="208" t="n">
        <f aca="false">M78</f>
        <v>271248.81856</v>
      </c>
      <c r="N85" s="208" t="n">
        <f aca="false">N78</f>
        <v>321625.127466666</v>
      </c>
      <c r="O85" s="208" t="n">
        <f aca="false">O78</f>
        <v>337113.436373333</v>
      </c>
      <c r="P85" s="208" t="n">
        <f aca="false">P78</f>
        <v>352601.745279999</v>
      </c>
      <c r="Q85" s="208" t="n">
        <f aca="false">Q78</f>
        <v>368090.054186666</v>
      </c>
      <c r="R85" s="208" t="n">
        <f aca="false">R78</f>
        <v>383578.363093333</v>
      </c>
      <c r="S85" s="208" t="n">
        <f aca="false">S78</f>
        <v>399066.672</v>
      </c>
      <c r="T85" s="208" t="n">
        <f aca="false">T78</f>
        <v>392065.046399999</v>
      </c>
      <c r="U85" s="208" t="n">
        <f aca="false">U78</f>
        <v>385063.420799999</v>
      </c>
      <c r="V85" s="208" t="n">
        <f aca="false">V78</f>
        <v>378061.795199999</v>
      </c>
      <c r="W85" s="208" t="n">
        <f aca="false">W78</f>
        <v>371060.169599999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1029507.5</v>
      </c>
      <c r="E86" s="209" t="n">
        <f aca="false">-E67</f>
        <v>1029507.5</v>
      </c>
      <c r="F86" s="209" t="n">
        <f aca="false">-F67</f>
        <v>1029507.5</v>
      </c>
      <c r="G86" s="209" t="n">
        <f aca="false">-G67</f>
        <v>1029507.5</v>
      </c>
      <c r="H86" s="209" t="n">
        <f aca="false">-H67</f>
        <v>1029507.5</v>
      </c>
      <c r="I86" s="209" t="n">
        <f aca="false">-I67</f>
        <v>1029507.5</v>
      </c>
      <c r="J86" s="209" t="n">
        <f aca="false">-J67</f>
        <v>1029507.5</v>
      </c>
      <c r="K86" s="209" t="n">
        <f aca="false">-K67</f>
        <v>1029507.5</v>
      </c>
      <c r="L86" s="209" t="n">
        <f aca="false">-L67</f>
        <v>1029507.5</v>
      </c>
      <c r="M86" s="209" t="n">
        <f aca="false">-M67</f>
        <v>1029507.5</v>
      </c>
      <c r="N86" s="209" t="n">
        <f aca="false">-N67</f>
        <v>1029507.5</v>
      </c>
      <c r="O86" s="209" t="n">
        <f aca="false">-O67</f>
        <v>1029507.5</v>
      </c>
      <c r="P86" s="209" t="n">
        <f aca="false">-P67</f>
        <v>1029507.5</v>
      </c>
      <c r="Q86" s="209" t="n">
        <f aca="false">-Q67</f>
        <v>1029507.5</v>
      </c>
      <c r="R86" s="209" t="n">
        <f aca="false">-R67</f>
        <v>1029507.5</v>
      </c>
      <c r="S86" s="209" t="n">
        <f aca="false">-S67</f>
        <v>1029507.5</v>
      </c>
      <c r="T86" s="209" t="n">
        <f aca="false">-T67</f>
        <v>1029507.5</v>
      </c>
      <c r="U86" s="209" t="n">
        <f aca="false">-U67</f>
        <v>1029507.5</v>
      </c>
      <c r="V86" s="209" t="n">
        <f aca="false">-V67</f>
        <v>1029507.5</v>
      </c>
      <c r="W86" s="209" t="n">
        <f aca="false">-W67</f>
        <v>1029507.5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1393522.3384</v>
      </c>
      <c r="E87" s="211" t="n">
        <f aca="false">SUM(E85:E86)</f>
        <v>1176849.84730667</v>
      </c>
      <c r="F87" s="211" t="n">
        <f aca="false">SUM(F85:F86)</f>
        <v>1192338.15621333</v>
      </c>
      <c r="G87" s="211" t="n">
        <f aca="false">SUM(G85:G86)</f>
        <v>1207826.46512</v>
      </c>
      <c r="H87" s="211" t="n">
        <f aca="false">SUM(H85:H86)</f>
        <v>1223314.77402667</v>
      </c>
      <c r="I87" s="211" t="n">
        <f aca="false">SUM(I85:I86)</f>
        <v>1238803.08293333</v>
      </c>
      <c r="J87" s="211" t="n">
        <f aca="false">SUM(J85:J86)</f>
        <v>1254291.39184</v>
      </c>
      <c r="K87" s="211" t="n">
        <f aca="false">SUM(K85:K86)</f>
        <v>1269779.70074667</v>
      </c>
      <c r="L87" s="211" t="n">
        <f aca="false">SUM(L85:L86)</f>
        <v>1285268.00965333</v>
      </c>
      <c r="M87" s="211" t="n">
        <f aca="false">SUM(M85:M86)</f>
        <v>1300756.31856</v>
      </c>
      <c r="N87" s="211" t="n">
        <f aca="false">SUM(N85:N86)</f>
        <v>1351132.62746667</v>
      </c>
      <c r="O87" s="211" t="n">
        <f aca="false">SUM(O85:O86)</f>
        <v>1366620.93637333</v>
      </c>
      <c r="P87" s="211" t="n">
        <f aca="false">SUM(P85:P86)</f>
        <v>1382109.24528</v>
      </c>
      <c r="Q87" s="211" t="n">
        <f aca="false">SUM(Q85:Q86)</f>
        <v>1397597.55418667</v>
      </c>
      <c r="R87" s="211" t="n">
        <f aca="false">SUM(R85:R86)</f>
        <v>1413085.86309333</v>
      </c>
      <c r="S87" s="211" t="n">
        <f aca="false">SUM(S85:S86)</f>
        <v>1428574.172</v>
      </c>
      <c r="T87" s="211" t="n">
        <f aca="false">SUM(T85:T86)</f>
        <v>1421572.5464</v>
      </c>
      <c r="U87" s="211" t="n">
        <f aca="false">SUM(U85:U86)</f>
        <v>1414570.9208</v>
      </c>
      <c r="V87" s="211" t="n">
        <f aca="false">SUM(V85:V86)</f>
        <v>1407569.2952</v>
      </c>
      <c r="W87" s="211" t="n">
        <f aca="false">SUM(W85:W86)</f>
        <v>1400567.6696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-20590150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16472120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-1098141.33333333</v>
      </c>
      <c r="F93" s="217" t="n">
        <v>-1098141.33333333</v>
      </c>
      <c r="G93" s="217" t="n">
        <v>-1098141.33333333</v>
      </c>
      <c r="H93" s="217" t="n">
        <v>-1098141.33333333</v>
      </c>
      <c r="I93" s="217" t="n">
        <v>-1098141.33333333</v>
      </c>
      <c r="J93" s="217" t="n">
        <v>-1098141.33333333</v>
      </c>
      <c r="K93" s="217" t="n">
        <v>-1098141.33333333</v>
      </c>
      <c r="L93" s="217" t="n">
        <v>-1098141.33333333</v>
      </c>
      <c r="M93" s="217" t="n">
        <v>-1098141.33333333</v>
      </c>
      <c r="N93" s="217" t="n">
        <v>-1098141.33333333</v>
      </c>
      <c r="O93" s="217" t="n">
        <v>-1098141.33333333</v>
      </c>
      <c r="P93" s="217" t="n">
        <v>-1098141.33333333</v>
      </c>
      <c r="Q93" s="217" t="n">
        <v>-1098141.33333333</v>
      </c>
      <c r="R93" s="217" t="n">
        <v>-1098141.33333333</v>
      </c>
      <c r="S93" s="217" t="n">
        <v>-1098141.33333333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4118030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-327613.35456</v>
      </c>
      <c r="F95" s="153" t="n">
        <f aca="false">-E85*$D$33</f>
        <v>-132608.112576</v>
      </c>
      <c r="G95" s="153" t="n">
        <f aca="false">-F85*$D$33</f>
        <v>-146547.590592</v>
      </c>
      <c r="H95" s="153" t="n">
        <f aca="false">-G85*$D$33</f>
        <v>-160487.068608</v>
      </c>
      <c r="I95" s="153" t="n">
        <f aca="false">-H85*$D$33</f>
        <v>-174426.546624</v>
      </c>
      <c r="J95" s="153" t="n">
        <f aca="false">-I85*$D$33</f>
        <v>-188366.02464</v>
      </c>
      <c r="K95" s="153" t="n">
        <f aca="false">-J85*$D$33</f>
        <v>-202305.502656</v>
      </c>
      <c r="L95" s="153" t="n">
        <f aca="false">-K85*$D$33</f>
        <v>-216244.980672</v>
      </c>
      <c r="M95" s="153" t="n">
        <f aca="false">-L85*$D$33</f>
        <v>-230184.458688</v>
      </c>
      <c r="N95" s="153" t="n">
        <f aca="false">-M85*$D$33</f>
        <v>-244123.936704</v>
      </c>
      <c r="O95" s="153" t="n">
        <f aca="false">-N85*$D$33</f>
        <v>-289462.61472</v>
      </c>
      <c r="P95" s="153" t="n">
        <f aca="false">-O85*$D$33</f>
        <v>-303402.092736</v>
      </c>
      <c r="Q95" s="153" t="n">
        <f aca="false">-P85*$D$33</f>
        <v>-317341.570752</v>
      </c>
      <c r="R95" s="153" t="n">
        <f aca="false">-Q85*$D$33</f>
        <v>-331281.048768</v>
      </c>
      <c r="S95" s="153" t="n">
        <f aca="false">-R85*$D$33</f>
        <v>-345220.526783999</v>
      </c>
      <c r="T95" s="153" t="n">
        <f aca="false">-S85*$D$33</f>
        <v>-359160.0048</v>
      </c>
      <c r="U95" s="153" t="n">
        <f aca="false">-T85*$D$33</f>
        <v>-352858.541759999</v>
      </c>
      <c r="V95" s="153" t="n">
        <f aca="false">-U85*$D$33</f>
        <v>-346557.07872</v>
      </c>
      <c r="W95" s="153" t="n">
        <f aca="false">-V85*$D$33</f>
        <v>-340255.615679999</v>
      </c>
      <c r="X95" s="153" t="n">
        <f aca="false">-W85*$D$33</f>
        <v>-333954.15264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-1029507.5</v>
      </c>
      <c r="U96" s="220" t="n">
        <v>-1029507.5</v>
      </c>
      <c r="V96" s="220" t="n">
        <v>-1029507.5</v>
      </c>
      <c r="W96" s="220" t="n">
        <v>-1029507.5</v>
      </c>
      <c r="X96" s="221" t="n">
        <f aca="false">-W101-X95</f>
        <v>-593600.091520008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1393522.3384</v>
      </c>
      <c r="E99" s="208" t="n">
        <f aca="false">SUM(E87:E96)</f>
        <v>-248904.840586666</v>
      </c>
      <c r="F99" s="208" t="n">
        <f aca="false">SUM(F87:F96)</f>
        <v>-38411.2896959993</v>
      </c>
      <c r="G99" s="208" t="n">
        <f aca="false">SUM(G87:G96)</f>
        <v>-36862.458805333</v>
      </c>
      <c r="H99" s="208" t="n">
        <f aca="false">SUM(H87:H96)</f>
        <v>-35313.6279146662</v>
      </c>
      <c r="I99" s="208" t="n">
        <f aca="false">SUM(I87:I96)</f>
        <v>-33764.7970239996</v>
      </c>
      <c r="J99" s="208" t="n">
        <f aca="false">SUM(J87:J96)</f>
        <v>-32215.9661333326</v>
      </c>
      <c r="K99" s="208" t="n">
        <f aca="false">SUM(K87:K96)</f>
        <v>-30667.1352426663</v>
      </c>
      <c r="L99" s="208" t="n">
        <f aca="false">SUM(L87:L96)</f>
        <v>-29118.3043519995</v>
      </c>
      <c r="M99" s="208" t="n">
        <f aca="false">SUM(M87:M96)</f>
        <v>-27569.4734613327</v>
      </c>
      <c r="N99" s="208" t="n">
        <f aca="false">SUM(N87:N96)</f>
        <v>8867.3574293339</v>
      </c>
      <c r="O99" s="208" t="n">
        <f aca="false">SUM(O87:O96)</f>
        <v>-20983.0116799996</v>
      </c>
      <c r="P99" s="208" t="n">
        <f aca="false">SUM(P87:P96)</f>
        <v>-19434.180789333</v>
      </c>
      <c r="Q99" s="208" t="n">
        <f aca="false">SUM(Q87:Q96)</f>
        <v>-17885.3498986661</v>
      </c>
      <c r="R99" s="208" t="n">
        <f aca="false">SUM(R87:R96)</f>
        <v>-16336.5190079997</v>
      </c>
      <c r="S99" s="208" t="n">
        <f aca="false">SUM(S87:S96)</f>
        <v>-14787.6881173327</v>
      </c>
      <c r="T99" s="208" t="n">
        <f aca="false">SUM(T87:T96)</f>
        <v>32905.0416000001</v>
      </c>
      <c r="U99" s="208" t="n">
        <f aca="false">SUM(U87:U96)</f>
        <v>32204.8790400003</v>
      </c>
      <c r="V99" s="208" t="n">
        <f aca="false">SUM(V87:V96)</f>
        <v>31504.7164799999</v>
      </c>
      <c r="W99" s="208" t="n">
        <f aca="false">SUM(W87:W96)</f>
        <v>30804.5539200003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1393522.3384</v>
      </c>
      <c r="F100" s="208" t="n">
        <f aca="false">E101</f>
        <v>1144617.49781333</v>
      </c>
      <c r="G100" s="208" t="n">
        <f aca="false">F101</f>
        <v>1106206.20811733</v>
      </c>
      <c r="H100" s="208" t="n">
        <f aca="false">G101</f>
        <v>1069343.749312</v>
      </c>
      <c r="I100" s="208" t="n">
        <f aca="false">H101</f>
        <v>1034030.12139734</v>
      </c>
      <c r="J100" s="208" t="n">
        <f aca="false">I101</f>
        <v>1000265.32437334</v>
      </c>
      <c r="K100" s="208" t="n">
        <f aca="false">J101</f>
        <v>968049.358240003</v>
      </c>
      <c r="L100" s="208" t="n">
        <f aca="false">K101</f>
        <v>937382.222997337</v>
      </c>
      <c r="M100" s="208" t="n">
        <f aca="false">L101</f>
        <v>908263.918645337</v>
      </c>
      <c r="N100" s="208" t="n">
        <f aca="false">M101</f>
        <v>880694.445184004</v>
      </c>
      <c r="O100" s="208" t="n">
        <f aca="false">N101</f>
        <v>889561.802613338</v>
      </c>
      <c r="P100" s="208" t="n">
        <f aca="false">O101</f>
        <v>868578.790933339</v>
      </c>
      <c r="Q100" s="208" t="n">
        <f aca="false">P101</f>
        <v>849144.610144006</v>
      </c>
      <c r="R100" s="208" t="n">
        <f aca="false">Q101</f>
        <v>831259.26024534</v>
      </c>
      <c r="S100" s="208" t="n">
        <f aca="false">R101</f>
        <v>814922.74123734</v>
      </c>
      <c r="T100" s="208" t="n">
        <f aca="false">S101</f>
        <v>800135.053120007</v>
      </c>
      <c r="U100" s="208" t="n">
        <f aca="false">T101</f>
        <v>833040.094720007</v>
      </c>
      <c r="V100" s="208" t="n">
        <f aca="false">U101</f>
        <v>865244.973760007</v>
      </c>
      <c r="W100" s="208" t="n">
        <f aca="false">V101</f>
        <v>896749.690240007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1393522.3384</v>
      </c>
      <c r="E101" s="208" t="n">
        <f aca="false">E99+E100</f>
        <v>1144617.49781333</v>
      </c>
      <c r="F101" s="208" t="n">
        <f aca="false">F99+F100</f>
        <v>1106206.20811733</v>
      </c>
      <c r="G101" s="208" t="n">
        <f aca="false">G99+G100</f>
        <v>1069343.749312</v>
      </c>
      <c r="H101" s="208" t="n">
        <f aca="false">H99+H100</f>
        <v>1034030.12139734</v>
      </c>
      <c r="I101" s="208" t="n">
        <f aca="false">I99+I100</f>
        <v>1000265.32437334</v>
      </c>
      <c r="J101" s="208" t="n">
        <f aca="false">J99+J100</f>
        <v>968049.358240003</v>
      </c>
      <c r="K101" s="208" t="n">
        <f aca="false">K99+K100</f>
        <v>937382.222997337</v>
      </c>
      <c r="L101" s="208" t="n">
        <f aca="false">L99+L100</f>
        <v>908263.918645337</v>
      </c>
      <c r="M101" s="208" t="n">
        <f aca="false">M99+M100</f>
        <v>880694.445184004</v>
      </c>
      <c r="N101" s="208" t="n">
        <f aca="false">N99+N100</f>
        <v>889561.802613338</v>
      </c>
      <c r="O101" s="208" t="n">
        <f aca="false">O99+O100</f>
        <v>868578.790933339</v>
      </c>
      <c r="P101" s="208" t="n">
        <f aca="false">P99+P100</f>
        <v>849144.610144006</v>
      </c>
      <c r="Q101" s="208" t="n">
        <f aca="false">Q99+Q100</f>
        <v>831259.26024534</v>
      </c>
      <c r="R101" s="208" t="n">
        <f aca="false">R99+R100</f>
        <v>814922.74123734</v>
      </c>
      <c r="S101" s="208" t="n">
        <f aca="false">S99+S100</f>
        <v>800135.053120007</v>
      </c>
      <c r="T101" s="208" t="n">
        <f aca="false">T99+T100</f>
        <v>833040.094720007</v>
      </c>
      <c r="U101" s="208" t="n">
        <f aca="false">U99+U100</f>
        <v>865244.973760007</v>
      </c>
      <c r="V101" s="208" t="n">
        <f aca="false">V99+V100</f>
        <v>896749.690240007</v>
      </c>
      <c r="W101" s="208" t="n">
        <f aca="false">W99+W100</f>
        <v>927554.244160008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-4118030</v>
      </c>
      <c r="E104" s="211" t="n">
        <f aca="false">-E95-E96</f>
        <v>327613.35456</v>
      </c>
      <c r="F104" s="211" t="n">
        <f aca="false">-F95-F96</f>
        <v>132608.112576</v>
      </c>
      <c r="G104" s="211" t="n">
        <f aca="false">-G95-G96</f>
        <v>146547.590592</v>
      </c>
      <c r="H104" s="211" t="n">
        <f aca="false">-H95-H96</f>
        <v>160487.068608</v>
      </c>
      <c r="I104" s="211" t="n">
        <f aca="false">-I95-I96</f>
        <v>174426.546624</v>
      </c>
      <c r="J104" s="211" t="n">
        <f aca="false">-J95-J96</f>
        <v>188366.02464</v>
      </c>
      <c r="K104" s="211" t="n">
        <f aca="false">-K95-K96</f>
        <v>202305.502656</v>
      </c>
      <c r="L104" s="211" t="n">
        <f aca="false">-L95-L96</f>
        <v>216244.980672</v>
      </c>
      <c r="M104" s="211" t="n">
        <f aca="false">-M95-M96</f>
        <v>230184.458688</v>
      </c>
      <c r="N104" s="211" t="n">
        <f aca="false">-N95-N96</f>
        <v>244123.936704</v>
      </c>
      <c r="O104" s="211" t="n">
        <f aca="false">-O95-O96</f>
        <v>289462.61472</v>
      </c>
      <c r="P104" s="211" t="n">
        <f aca="false">-P95-P96</f>
        <v>303402.092736</v>
      </c>
      <c r="Q104" s="211" t="n">
        <f aca="false">-Q95-Q96</f>
        <v>317341.570752</v>
      </c>
      <c r="R104" s="211" t="n">
        <f aca="false">-R95-R96</f>
        <v>331281.048768</v>
      </c>
      <c r="S104" s="211" t="n">
        <f aca="false">-S95-S96</f>
        <v>345220.526783999</v>
      </c>
      <c r="T104" s="211" t="n">
        <f aca="false">-T95-T96</f>
        <v>1388667.5048</v>
      </c>
      <c r="U104" s="211" t="n">
        <f aca="false">-U95-U96</f>
        <v>1382366.04176</v>
      </c>
      <c r="V104" s="211" t="n">
        <f aca="false">-V95-V96</f>
        <v>1376064.57872</v>
      </c>
      <c r="W104" s="211" t="n">
        <f aca="false">-W95-W96</f>
        <v>1369763.11568</v>
      </c>
      <c r="X104" s="211" t="n">
        <f aca="false">-X95-X96</f>
        <v>927554.244160008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0.0676416545251903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-3754015.1616</v>
      </c>
      <c r="E106" s="211" t="n">
        <f aca="false">E85</f>
        <v>147342.347306666</v>
      </c>
      <c r="F106" s="211" t="n">
        <f aca="false">F85-F96</f>
        <v>162830.656213333</v>
      </c>
      <c r="G106" s="211" t="n">
        <f aca="false">G85-G96</f>
        <v>178318.96512</v>
      </c>
      <c r="H106" s="211" t="n">
        <f aca="false">H85-H96</f>
        <v>193807.274026666</v>
      </c>
      <c r="I106" s="211" t="n">
        <f aca="false">I85-I96</f>
        <v>209295.582933333</v>
      </c>
      <c r="J106" s="211" t="n">
        <f aca="false">J85-J96</f>
        <v>224783.89184</v>
      </c>
      <c r="K106" s="211" t="n">
        <f aca="false">K85-K96</f>
        <v>240272.200746666</v>
      </c>
      <c r="L106" s="211" t="n">
        <f aca="false">L85-L96</f>
        <v>255760.509653333</v>
      </c>
      <c r="M106" s="211" t="n">
        <f aca="false">M85-M96</f>
        <v>271248.81856</v>
      </c>
      <c r="N106" s="211" t="n">
        <f aca="false">N85-N96</f>
        <v>321625.127466666</v>
      </c>
      <c r="O106" s="211" t="n">
        <f aca="false">O85-O96</f>
        <v>337113.436373333</v>
      </c>
      <c r="P106" s="211" t="n">
        <f aca="false">P85-P96</f>
        <v>352601.745279999</v>
      </c>
      <c r="Q106" s="211" t="n">
        <f aca="false">Q85-Q96</f>
        <v>368090.054186666</v>
      </c>
      <c r="R106" s="211" t="n">
        <f aca="false">R85-R96</f>
        <v>383578.363093333</v>
      </c>
      <c r="S106" s="211" t="n">
        <f aca="false">S85-S96</f>
        <v>399066.672</v>
      </c>
      <c r="T106" s="211" t="n">
        <f aca="false">T85-T96</f>
        <v>1421572.5464</v>
      </c>
      <c r="U106" s="211" t="n">
        <f aca="false">U85-U96</f>
        <v>1414570.9208</v>
      </c>
      <c r="V106" s="211" t="n">
        <f aca="false">V85-V96</f>
        <v>1407569.2952</v>
      </c>
      <c r="W106" s="211" t="n">
        <f aca="false">W85-W96</f>
        <v>1400567.6696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0.075142743056137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16472120</v>
      </c>
      <c r="E109" s="208" t="n">
        <f aca="false">D109+E93</f>
        <v>15373978.6666667</v>
      </c>
      <c r="F109" s="208" t="n">
        <f aca="false">E109+F93</f>
        <v>14275837.3333333</v>
      </c>
      <c r="G109" s="208" t="n">
        <f aca="false">F109+G93</f>
        <v>13177696</v>
      </c>
      <c r="H109" s="208" t="n">
        <f aca="false">G109+H93</f>
        <v>12079554.6666667</v>
      </c>
      <c r="I109" s="208" t="n">
        <f aca="false">H109+I93</f>
        <v>10981413.3333333</v>
      </c>
      <c r="J109" s="208" t="n">
        <f aca="false">I109+J93</f>
        <v>9883272.00000001</v>
      </c>
      <c r="K109" s="208" t="n">
        <f aca="false">J109+K93</f>
        <v>8785130.66666668</v>
      </c>
      <c r="L109" s="208" t="n">
        <f aca="false">K109+L93</f>
        <v>7686989.33333335</v>
      </c>
      <c r="M109" s="208" t="n">
        <f aca="false">L109+M93</f>
        <v>6588848.00000001</v>
      </c>
      <c r="N109" s="208" t="n">
        <f aca="false">M109+N93</f>
        <v>5490706.66666668</v>
      </c>
      <c r="O109" s="208" t="n">
        <f aca="false">N109+O93</f>
        <v>4392565.33333335</v>
      </c>
      <c r="P109" s="208" t="n">
        <f aca="false">O109+P93</f>
        <v>3294424.00000001</v>
      </c>
      <c r="Q109" s="208" t="n">
        <f aca="false">P109+Q93</f>
        <v>2196282.66666668</v>
      </c>
      <c r="R109" s="208" t="n">
        <f aca="false">Q109+R93</f>
        <v>1098141.33333335</v>
      </c>
      <c r="S109" s="208" t="n">
        <f aca="false">R109+S93</f>
        <v>1.49011611938477E-008</v>
      </c>
      <c r="T109" s="208" t="n">
        <f aca="false">S109+T93</f>
        <v>1.49011611938477E-008</v>
      </c>
      <c r="U109" s="208" t="n">
        <f aca="false">T109+U93</f>
        <v>1.49011611938477E-008</v>
      </c>
      <c r="V109" s="208" t="n">
        <f aca="false">U109+V93</f>
        <v>1.49011611938477E-008</v>
      </c>
      <c r="W109" s="208" t="n">
        <f aca="false">V109+W93</f>
        <v>1.49011611938477E-008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276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161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206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277</v>
      </c>
    </row>
    <row r="8" customFormat="false" ht="22.5" hidden="false" customHeight="true" outlineLevel="0" collapsed="false">
      <c r="B8" s="16" t="s">
        <v>14</v>
      </c>
      <c r="E8" s="165"/>
      <c r="M8" s="0" t="s">
        <v>278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95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30500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-19655650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-39903.15</v>
      </c>
      <c r="E49" s="185" t="n">
        <v>-39903.15</v>
      </c>
      <c r="F49" s="185" t="n">
        <v>-39903.15</v>
      </c>
      <c r="G49" s="185" t="n">
        <v>-39903.15</v>
      </c>
      <c r="H49" s="185" t="n">
        <v>-39903.15</v>
      </c>
      <c r="I49" s="185" t="n">
        <v>-39903.15</v>
      </c>
      <c r="J49" s="185" t="n">
        <v>-39903.15</v>
      </c>
      <c r="K49" s="185" t="n">
        <v>-39903.15</v>
      </c>
      <c r="L49" s="185" t="n">
        <v>-39903.15</v>
      </c>
      <c r="M49" s="185" t="n">
        <v>-39903.15</v>
      </c>
      <c r="N49" s="185" t="n">
        <v>-39903.15</v>
      </c>
      <c r="O49" s="185" t="n">
        <v>-39903.15</v>
      </c>
      <c r="P49" s="185" t="n">
        <v>-39903.15</v>
      </c>
      <c r="Q49" s="185" t="n">
        <v>-39903.15</v>
      </c>
      <c r="R49" s="185" t="n">
        <v>-39903.15</v>
      </c>
      <c r="S49" s="185" t="n">
        <v>-39903.15</v>
      </c>
      <c r="T49" s="185" t="n">
        <v>-39903.15</v>
      </c>
      <c r="U49" s="185" t="n">
        <v>-39903.15</v>
      </c>
      <c r="V49" s="185" t="n">
        <v>-39903.15</v>
      </c>
      <c r="W49" s="185" t="n">
        <v>-39903.15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-185078.454</v>
      </c>
      <c r="E54" s="185" t="n">
        <f aca="false">-(E64+E67+E68+E71+E72+E73+E74)*0.2</f>
        <v>-125287.8476</v>
      </c>
      <c r="F54" s="185" t="n">
        <f aca="false">-(F64+F67+F68+F71+F72+F73+F74)*0.2</f>
        <v>-123537.4412</v>
      </c>
      <c r="G54" s="185" t="n">
        <f aca="false">-(G64+G67+G68+G71+G72+G73+G74)*0.2</f>
        <v>-121787.0348</v>
      </c>
      <c r="H54" s="185" t="n">
        <f aca="false">-(H64+H67+H68+H71+H72+H73+H74)*0.2</f>
        <v>-120036.6284</v>
      </c>
      <c r="I54" s="185" t="n">
        <f aca="false">-(I64+I67+I68+I71+I72+I73+I74)*0.2</f>
        <v>-118286.222</v>
      </c>
      <c r="J54" s="185" t="n">
        <f aca="false">-(J64+J67+J68+J71+J72+J73+J74)*0.2</f>
        <v>-116535.8156</v>
      </c>
      <c r="K54" s="185" t="n">
        <f aca="false">-(K64+K67+K68+K71+K72+K73+K74)*0.2</f>
        <v>-114785.4092</v>
      </c>
      <c r="L54" s="185" t="n">
        <f aca="false">-(L64+L67+L68+L71+L72+L73+L74)*0.2</f>
        <v>-113035.0028</v>
      </c>
      <c r="M54" s="185" t="n">
        <f aca="false">-(M64+M67+M68+M71+M72+M73+M74)*0.2</f>
        <v>-111284.5964</v>
      </c>
      <c r="N54" s="185" t="n">
        <f aca="false">-(N64+N67+N68+N71+N72+N73+N74)*0.2</f>
        <v>-118256.19</v>
      </c>
      <c r="O54" s="185" t="n">
        <f aca="false">-(O64+O67+O68+O71+O72+O73+O74)*0.2</f>
        <v>-116505.7836</v>
      </c>
      <c r="P54" s="185" t="n">
        <f aca="false">-(P64+P67+P68+P71+P72+P73+P74)*0.2</f>
        <v>-114755.3772</v>
      </c>
      <c r="Q54" s="185" t="n">
        <f aca="false">-(Q64+Q67+Q68+Q71+Q72+Q73+Q74)*0.2</f>
        <v>-113004.9708</v>
      </c>
      <c r="R54" s="185" t="n">
        <f aca="false">-(R64+R67+R68+R71+R72+R73+R74)*0.2</f>
        <v>-111254.5644</v>
      </c>
      <c r="S54" s="185" t="n">
        <f aca="false">-(S64+S67+S68+S71+S72+S73+S74)*0.2</f>
        <v>-109504.158</v>
      </c>
      <c r="T54" s="185" t="n">
        <f aca="false">-(T64+T67+T68+T71+T72+T73+T74)*0.2</f>
        <v>-107753.7516</v>
      </c>
      <c r="U54" s="185" t="n">
        <f aca="false">-(U64+U67+U68+U71+U72+U73+U74)*0.2</f>
        <v>-106003.3452</v>
      </c>
      <c r="V54" s="185" t="n">
        <f aca="false">-(V64+V67+V68+V71+V72+V73+V74)*0.2</f>
        <v>-104252.9388</v>
      </c>
      <c r="W54" s="185" t="n">
        <f aca="false">-(W64+W67+W68+W71+W72+W73+W74)*0.2</f>
        <v>-102502.5324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-19655650</v>
      </c>
      <c r="D55" s="190" t="n">
        <f aca="false">SUM(D41:D54)</f>
        <v>1432895.316</v>
      </c>
      <c r="E55" s="190" t="n">
        <f aca="false">SUM(E41:E54)</f>
        <v>1483933.8904</v>
      </c>
      <c r="F55" s="190" t="n">
        <f aca="false">SUM(F41:F54)</f>
        <v>1476932.2648</v>
      </c>
      <c r="G55" s="190" t="n">
        <f aca="false">SUM(G41:G54)</f>
        <v>1469930.6392</v>
      </c>
      <c r="H55" s="190" t="n">
        <f aca="false">SUM(H41:H54)</f>
        <v>1462929.0136</v>
      </c>
      <c r="I55" s="190" t="n">
        <f aca="false">SUM(I41:I54)</f>
        <v>1455927.388</v>
      </c>
      <c r="J55" s="190" t="n">
        <f aca="false">SUM(J41:J54)</f>
        <v>1448925.7624</v>
      </c>
      <c r="K55" s="190" t="n">
        <f aca="false">SUM(K41:K54)</f>
        <v>1441924.1368</v>
      </c>
      <c r="L55" s="190" t="n">
        <f aca="false">SUM(L41:L54)</f>
        <v>1434922.5112</v>
      </c>
      <c r="M55" s="190" t="n">
        <f aca="false">SUM(M41:M54)</f>
        <v>1427920.8856</v>
      </c>
      <c r="N55" s="190" t="n">
        <f aca="false">SUM(N41:N54)</f>
        <v>1455807.26</v>
      </c>
      <c r="O55" s="190" t="n">
        <f aca="false">SUM(O41:O54)</f>
        <v>1448805.6344</v>
      </c>
      <c r="P55" s="190" t="n">
        <f aca="false">SUM(P41:P54)</f>
        <v>1441804.0088</v>
      </c>
      <c r="Q55" s="190" t="n">
        <f aca="false">SUM(Q41:Q54)</f>
        <v>1434802.3832</v>
      </c>
      <c r="R55" s="190" t="n">
        <f aca="false">SUM(R41:R54)</f>
        <v>1427800.7576</v>
      </c>
      <c r="S55" s="190" t="n">
        <f aca="false">SUM(S41:S54)</f>
        <v>1420799.132</v>
      </c>
      <c r="T55" s="190" t="n">
        <f aca="false">SUM(T41:T54)</f>
        <v>1413797.5064</v>
      </c>
      <c r="U55" s="190" t="n">
        <f aca="false">SUM(U41:U54)</f>
        <v>1406795.8808</v>
      </c>
      <c r="V55" s="190" t="n">
        <f aca="false">SUM(V41:V54)</f>
        <v>1399794.2552</v>
      </c>
      <c r="W55" s="190" t="n">
        <f aca="false">SUM(W41:W54)</f>
        <v>1392792.6296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-18222754.684</v>
      </c>
      <c r="E56" s="195" t="n">
        <f aca="false">D56+E55</f>
        <v>-16738820.7936</v>
      </c>
      <c r="F56" s="195" t="n">
        <f aca="false">E56+F55</f>
        <v>-15261888.5288</v>
      </c>
      <c r="G56" s="195" t="n">
        <f aca="false">F56+G55</f>
        <v>-13791957.8896</v>
      </c>
      <c r="H56" s="195" t="n">
        <f aca="false">G56+H55</f>
        <v>-12329028.876</v>
      </c>
      <c r="I56" s="195" t="n">
        <f aca="false">H56+I55</f>
        <v>-10873101.488</v>
      </c>
      <c r="J56" s="195" t="n">
        <f aca="false">I56+J55</f>
        <v>-9424175.7256</v>
      </c>
      <c r="K56" s="195" t="n">
        <f aca="false">J56+K55</f>
        <v>-7982251.5888</v>
      </c>
      <c r="L56" s="195" t="n">
        <f aca="false">K56+L55</f>
        <v>-6547329.0776</v>
      </c>
      <c r="M56" s="195" t="n">
        <f aca="false">L56+M55</f>
        <v>-5119408.192</v>
      </c>
      <c r="N56" s="195" t="n">
        <f aca="false">M56+N55</f>
        <v>-3663600.932</v>
      </c>
      <c r="O56" s="195" t="n">
        <f aca="false">N56+O55</f>
        <v>-2214795.2976</v>
      </c>
      <c r="P56" s="195" t="n">
        <f aca="false">O56+P55</f>
        <v>-772991.2888</v>
      </c>
      <c r="Q56" s="195" t="n">
        <f aca="false">P56+Q55</f>
        <v>661811.0944</v>
      </c>
      <c r="R56" s="195" t="n">
        <f aca="false">Q56+R55</f>
        <v>2089611.852</v>
      </c>
      <c r="S56" s="195" t="n">
        <f aca="false">R56+S55</f>
        <v>3510410.984</v>
      </c>
      <c r="T56" s="195" t="n">
        <f aca="false">S56+T55</f>
        <v>4924208.4904</v>
      </c>
      <c r="U56" s="195" t="n">
        <f aca="false">T56+U55</f>
        <v>6331004.3712</v>
      </c>
      <c r="V56" s="195" t="n">
        <f aca="false">U56+V55</f>
        <v>7730798.6264</v>
      </c>
      <c r="W56" s="195" t="n">
        <f aca="false">V56+W55</f>
        <v>9123591.256</v>
      </c>
      <c r="X56" s="195" t="n">
        <f aca="false">W56+X55</f>
        <v>9123591.256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未回收</v>
      </c>
      <c r="O57" s="199" t="str">
        <f aca="false">IF((O56)&gt;0,"回收","未回收")</f>
        <v>未回收</v>
      </c>
      <c r="P57" s="199" t="str">
        <f aca="false">IF((P56)&gt;0,"回收","未回收")</f>
        <v>未回收</v>
      </c>
      <c r="Q57" s="199" t="str">
        <f aca="false">IF((Q56)&gt;0,"回收","未回收")</f>
        <v>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0.0397732466983554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-982782.5</v>
      </c>
      <c r="E67" s="200" t="n">
        <f aca="false">$C$44/$E$16</f>
        <v>-982782.5</v>
      </c>
      <c r="F67" s="200" t="n">
        <f aca="false">$C$44/$E$16</f>
        <v>-982782.5</v>
      </c>
      <c r="G67" s="200" t="n">
        <f aca="false">$C$44/$E$16</f>
        <v>-982782.5</v>
      </c>
      <c r="H67" s="200" t="n">
        <f aca="false">$C$44/$E$16</f>
        <v>-982782.5</v>
      </c>
      <c r="I67" s="200" t="n">
        <f aca="false">$C$44/$E$16</f>
        <v>-982782.5</v>
      </c>
      <c r="J67" s="200" t="n">
        <f aca="false">$C$44/$E$16</f>
        <v>-982782.5</v>
      </c>
      <c r="K67" s="200" t="n">
        <f aca="false">$C$44/$E$16</f>
        <v>-982782.5</v>
      </c>
      <c r="L67" s="200" t="n">
        <f aca="false">$C$44/$E$16</f>
        <v>-982782.5</v>
      </c>
      <c r="M67" s="200" t="n">
        <f aca="false">$C$44/$E$16</f>
        <v>-982782.5</v>
      </c>
      <c r="N67" s="200" t="n">
        <f aca="false">$C$44/$E$16</f>
        <v>-982782.5</v>
      </c>
      <c r="O67" s="200" t="n">
        <f aca="false">$C$44/$E$16</f>
        <v>-982782.5</v>
      </c>
      <c r="P67" s="200" t="n">
        <f aca="false">$C$44/$E$16</f>
        <v>-982782.5</v>
      </c>
      <c r="Q67" s="200" t="n">
        <f aca="false">$C$44/$E$16</f>
        <v>-982782.5</v>
      </c>
      <c r="R67" s="200" t="n">
        <f aca="false">$C$44/$E$16</f>
        <v>-982782.5</v>
      </c>
      <c r="S67" s="200" t="n">
        <f aca="false">$C$44/$E$16</f>
        <v>-982782.5</v>
      </c>
      <c r="T67" s="200" t="n">
        <f aca="false">$C$44/$E$16</f>
        <v>-982782.5</v>
      </c>
      <c r="U67" s="200" t="n">
        <f aca="false">$C$44/$E$16</f>
        <v>-982782.5</v>
      </c>
      <c r="V67" s="200" t="n">
        <f aca="false">$C$44/$E$16</f>
        <v>-982782.5</v>
      </c>
      <c r="W67" s="200" t="n">
        <f aca="false">$C$44/$E$16</f>
        <v>-982782.5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-402547.712</v>
      </c>
      <c r="E70" s="185" t="n">
        <f aca="false">-E109*$D25</f>
        <v>-375711.197866667</v>
      </c>
      <c r="F70" s="185" t="n">
        <f aca="false">-F109*$D25</f>
        <v>-348874.683733333</v>
      </c>
      <c r="G70" s="185" t="n">
        <f aca="false">-G109*$D25</f>
        <v>-322038.1696</v>
      </c>
      <c r="H70" s="185" t="n">
        <f aca="false">-H109*$D25</f>
        <v>-295201.655466667</v>
      </c>
      <c r="I70" s="185" t="n">
        <f aca="false">-I109*$D25</f>
        <v>-268365.141333334</v>
      </c>
      <c r="J70" s="185" t="n">
        <f aca="false">-J109*$D25</f>
        <v>-241528.6272</v>
      </c>
      <c r="K70" s="185" t="n">
        <f aca="false">-K109*$D25</f>
        <v>-214692.113066667</v>
      </c>
      <c r="L70" s="185" t="n">
        <f aca="false">-L109*$D25</f>
        <v>-187855.598933334</v>
      </c>
      <c r="M70" s="185" t="n">
        <f aca="false">-M109*$D25</f>
        <v>-161019.0848</v>
      </c>
      <c r="N70" s="185" t="n">
        <f aca="false">-N109*$D25</f>
        <v>-134182.570666667</v>
      </c>
      <c r="O70" s="185" t="n">
        <f aca="false">-O109*$D25</f>
        <v>-107346.056533334</v>
      </c>
      <c r="P70" s="185" t="n">
        <f aca="false">-P109*$D25</f>
        <v>-80509.5424000002</v>
      </c>
      <c r="Q70" s="185" t="n">
        <f aca="false">-Q109*$D25</f>
        <v>-53673.0282666669</v>
      </c>
      <c r="R70" s="185" t="n">
        <f aca="false">-R109*$D25</f>
        <v>-26836.5141333336</v>
      </c>
      <c r="S70" s="185" t="n">
        <f aca="false">-S109*$D25</f>
        <v>-2.62260437011719E-010</v>
      </c>
      <c r="T70" s="185" t="n">
        <f aca="false">-T109*$D25</f>
        <v>-2.62260437011719E-010</v>
      </c>
      <c r="U70" s="185" t="n">
        <f aca="false">-U109*$D25</f>
        <v>-2.62260437011719E-010</v>
      </c>
      <c r="V70" s="185" t="n">
        <f aca="false">-V109*$D25</f>
        <v>-2.62260437011719E-010</v>
      </c>
      <c r="W70" s="185" t="n">
        <f aca="false">-W109*$D25</f>
        <v>-2.62260437011719E-010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-39903.15</v>
      </c>
      <c r="E72" s="185" t="n">
        <f aca="false">E49</f>
        <v>-39903.15</v>
      </c>
      <c r="F72" s="185" t="n">
        <f aca="false">F49</f>
        <v>-39903.15</v>
      </c>
      <c r="G72" s="185" t="n">
        <f aca="false">G49</f>
        <v>-39903.15</v>
      </c>
      <c r="H72" s="185" t="n">
        <f aca="false">H49</f>
        <v>-39903.15</v>
      </c>
      <c r="I72" s="185" t="n">
        <f aca="false">I49</f>
        <v>-39903.15</v>
      </c>
      <c r="J72" s="185" t="n">
        <f aca="false">J49</f>
        <v>-39903.15</v>
      </c>
      <c r="K72" s="185" t="n">
        <f aca="false">K49</f>
        <v>-39903.15</v>
      </c>
      <c r="L72" s="185" t="n">
        <f aca="false">L49</f>
        <v>-39903.15</v>
      </c>
      <c r="M72" s="185" t="n">
        <f aca="false">M49</f>
        <v>-39903.15</v>
      </c>
      <c r="N72" s="185" t="n">
        <f aca="false">N49</f>
        <v>-39903.15</v>
      </c>
      <c r="O72" s="185" t="n">
        <f aca="false">O49</f>
        <v>-39903.15</v>
      </c>
      <c r="P72" s="185" t="n">
        <f aca="false">P49</f>
        <v>-39903.15</v>
      </c>
      <c r="Q72" s="185" t="n">
        <f aca="false">Q49</f>
        <v>-39903.15</v>
      </c>
      <c r="R72" s="185" t="n">
        <f aca="false">R49</f>
        <v>-39903.15</v>
      </c>
      <c r="S72" s="185" t="n">
        <f aca="false">S49</f>
        <v>-39903.15</v>
      </c>
      <c r="T72" s="185" t="n">
        <f aca="false">T49</f>
        <v>-39903.15</v>
      </c>
      <c r="U72" s="185" t="n">
        <f aca="false">U49</f>
        <v>-39903.15</v>
      </c>
      <c r="V72" s="185" t="n">
        <f aca="false">V49</f>
        <v>-39903.15</v>
      </c>
      <c r="W72" s="185" t="n">
        <f aca="false">W49</f>
        <v>-39903.15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522844.558</v>
      </c>
      <c r="E76" s="190" t="n">
        <f aca="false">SUM(E64:E75)</f>
        <v>250728.040133333</v>
      </c>
      <c r="F76" s="190" t="n">
        <f aca="false">SUM(F64:F75)</f>
        <v>268812.522266667</v>
      </c>
      <c r="G76" s="190" t="n">
        <f aca="false">SUM(G64:G75)</f>
        <v>286897.0044</v>
      </c>
      <c r="H76" s="190" t="n">
        <f aca="false">SUM(H64:H75)</f>
        <v>304981.486533333</v>
      </c>
      <c r="I76" s="190" t="n">
        <f aca="false">SUM(I64:I75)</f>
        <v>323065.968666666</v>
      </c>
      <c r="J76" s="190" t="n">
        <f aca="false">SUM(J64:J75)</f>
        <v>341150.4508</v>
      </c>
      <c r="K76" s="190" t="n">
        <f aca="false">SUM(K64:K75)</f>
        <v>359234.932933333</v>
      </c>
      <c r="L76" s="190" t="n">
        <f aca="false">SUM(L64:L75)</f>
        <v>377319.415066666</v>
      </c>
      <c r="M76" s="190" t="n">
        <f aca="false">SUM(M64:M75)</f>
        <v>395403.8972</v>
      </c>
      <c r="N76" s="190" t="n">
        <f aca="false">SUM(N64:N75)</f>
        <v>457098.379333333</v>
      </c>
      <c r="O76" s="190" t="n">
        <f aca="false">SUM(O64:O75)</f>
        <v>475182.861466666</v>
      </c>
      <c r="P76" s="190" t="n">
        <f aca="false">SUM(P64:P75)</f>
        <v>493267.3436</v>
      </c>
      <c r="Q76" s="190" t="n">
        <f aca="false">SUM(Q64:Q75)</f>
        <v>511351.825733333</v>
      </c>
      <c r="R76" s="190" t="n">
        <f aca="false">SUM(R64:R75)</f>
        <v>529436.307866666</v>
      </c>
      <c r="S76" s="190" t="n">
        <f aca="false">SUM(S64:S75)</f>
        <v>547520.79</v>
      </c>
      <c r="T76" s="190" t="n">
        <f aca="false">SUM(T64:T75)</f>
        <v>538768.758</v>
      </c>
      <c r="U76" s="190" t="n">
        <f aca="false">SUM(U64:U75)</f>
        <v>530016.726</v>
      </c>
      <c r="V76" s="190" t="n">
        <f aca="false">SUM(V64:V75)</f>
        <v>521264.694</v>
      </c>
      <c r="W76" s="190" t="n">
        <f aca="false">SUM(W64:W75)</f>
        <v>512512.662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-104568.9116</v>
      </c>
      <c r="E77" s="185" t="n">
        <f aca="false">-E76*0.2</f>
        <v>-50145.6080266666</v>
      </c>
      <c r="F77" s="185" t="n">
        <f aca="false">-F76*0.2</f>
        <v>-53762.5044533333</v>
      </c>
      <c r="G77" s="185" t="n">
        <f aca="false">-G76*0.2</f>
        <v>-57379.40088</v>
      </c>
      <c r="H77" s="185" t="n">
        <f aca="false">-H76*0.2</f>
        <v>-60996.2973066666</v>
      </c>
      <c r="I77" s="185" t="n">
        <f aca="false">-I76*0.2</f>
        <v>-64613.1937333333</v>
      </c>
      <c r="J77" s="185" t="n">
        <f aca="false">-J76*0.2</f>
        <v>-68230.09016</v>
      </c>
      <c r="K77" s="185" t="n">
        <f aca="false">-K76*0.2</f>
        <v>-71846.9865866666</v>
      </c>
      <c r="L77" s="185" t="n">
        <f aca="false">-L76*0.2</f>
        <v>-75463.8830133333</v>
      </c>
      <c r="M77" s="185" t="n">
        <f aca="false">-M76*0.2</f>
        <v>-79080.77944</v>
      </c>
      <c r="N77" s="185" t="n">
        <f aca="false">-N76*0.2</f>
        <v>-91419.6758666666</v>
      </c>
      <c r="O77" s="185" t="n">
        <f aca="false">-O76*0.2</f>
        <v>-95036.5722933333</v>
      </c>
      <c r="P77" s="185" t="n">
        <f aca="false">-P76*0.2</f>
        <v>-98653.4687199999</v>
      </c>
      <c r="Q77" s="185" t="n">
        <f aca="false">-Q76*0.2</f>
        <v>-102270.365146667</v>
      </c>
      <c r="R77" s="185" t="n">
        <f aca="false">-R76*0.2</f>
        <v>-105887.261573333</v>
      </c>
      <c r="S77" s="185" t="n">
        <f aca="false">-S76*0.2</f>
        <v>-109504.158</v>
      </c>
      <c r="T77" s="185" t="n">
        <f aca="false">-T76*0.2</f>
        <v>-107753.7516</v>
      </c>
      <c r="U77" s="185" t="n">
        <f aca="false">-U76*0.2</f>
        <v>-106003.3452</v>
      </c>
      <c r="V77" s="185" t="n">
        <f aca="false">-V76*0.2</f>
        <v>-104252.9388</v>
      </c>
      <c r="W77" s="185" t="n">
        <f aca="false">-W76*0.2</f>
        <v>-102502.5324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418275.6464</v>
      </c>
      <c r="E78" s="185" t="n">
        <f aca="false">SUM(E76:E77)</f>
        <v>200582.432106666</v>
      </c>
      <c r="F78" s="185" t="n">
        <f aca="false">SUM(F76:F77)</f>
        <v>215050.017813333</v>
      </c>
      <c r="G78" s="185" t="n">
        <f aca="false">SUM(G76:G77)</f>
        <v>229517.60352</v>
      </c>
      <c r="H78" s="185" t="n">
        <f aca="false">SUM(H76:H77)</f>
        <v>243985.189226666</v>
      </c>
      <c r="I78" s="185" t="n">
        <f aca="false">SUM(I76:I77)</f>
        <v>258452.774933333</v>
      </c>
      <c r="J78" s="185" t="n">
        <f aca="false">SUM(J76:J77)</f>
        <v>272920.36064</v>
      </c>
      <c r="K78" s="185" t="n">
        <f aca="false">SUM(K76:K77)</f>
        <v>287387.946346667</v>
      </c>
      <c r="L78" s="185" t="n">
        <f aca="false">SUM(L76:L77)</f>
        <v>301855.532053333</v>
      </c>
      <c r="M78" s="185" t="n">
        <f aca="false">SUM(M76:M77)</f>
        <v>316323.11776</v>
      </c>
      <c r="N78" s="185" t="n">
        <f aca="false">SUM(N76:N77)</f>
        <v>365678.703466666</v>
      </c>
      <c r="O78" s="185" t="n">
        <f aca="false">SUM(O76:O77)</f>
        <v>380146.289173333</v>
      </c>
      <c r="P78" s="185" t="n">
        <f aca="false">SUM(P76:P77)</f>
        <v>394613.87488</v>
      </c>
      <c r="Q78" s="185" t="n">
        <f aca="false">SUM(Q76:Q77)</f>
        <v>409081.460586666</v>
      </c>
      <c r="R78" s="185" t="n">
        <f aca="false">SUM(R76:R77)</f>
        <v>423549.046293333</v>
      </c>
      <c r="S78" s="185" t="n">
        <f aca="false">SUM(S76:S77)</f>
        <v>438016.632</v>
      </c>
      <c r="T78" s="185" t="n">
        <f aca="false">SUM(T76:T77)</f>
        <v>431015.0064</v>
      </c>
      <c r="U78" s="185" t="n">
        <f aca="false">SUM(U76:U77)</f>
        <v>424013.3808</v>
      </c>
      <c r="V78" s="185" t="n">
        <f aca="false">SUM(V76:V77)</f>
        <v>417011.7552</v>
      </c>
      <c r="W78" s="185" t="n">
        <f aca="false">SUM(W76:W77)</f>
        <v>410010.1296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418275.6464</v>
      </c>
      <c r="E85" s="208" t="n">
        <f aca="false">E78</f>
        <v>200582.432106666</v>
      </c>
      <c r="F85" s="208" t="n">
        <f aca="false">F78</f>
        <v>215050.017813333</v>
      </c>
      <c r="G85" s="208" t="n">
        <f aca="false">G78</f>
        <v>229517.60352</v>
      </c>
      <c r="H85" s="208" t="n">
        <f aca="false">H78</f>
        <v>243985.189226666</v>
      </c>
      <c r="I85" s="208" t="n">
        <f aca="false">I78</f>
        <v>258452.774933333</v>
      </c>
      <c r="J85" s="208" t="n">
        <f aca="false">J78</f>
        <v>272920.36064</v>
      </c>
      <c r="K85" s="208" t="n">
        <f aca="false">K78</f>
        <v>287387.946346667</v>
      </c>
      <c r="L85" s="208" t="n">
        <f aca="false">L78</f>
        <v>301855.532053333</v>
      </c>
      <c r="M85" s="208" t="n">
        <f aca="false">M78</f>
        <v>316323.11776</v>
      </c>
      <c r="N85" s="208" t="n">
        <f aca="false">N78</f>
        <v>365678.703466666</v>
      </c>
      <c r="O85" s="208" t="n">
        <f aca="false">O78</f>
        <v>380146.289173333</v>
      </c>
      <c r="P85" s="208" t="n">
        <f aca="false">P78</f>
        <v>394613.87488</v>
      </c>
      <c r="Q85" s="208" t="n">
        <f aca="false">Q78</f>
        <v>409081.460586666</v>
      </c>
      <c r="R85" s="208" t="n">
        <f aca="false">R78</f>
        <v>423549.046293333</v>
      </c>
      <c r="S85" s="208" t="n">
        <f aca="false">S78</f>
        <v>438016.632</v>
      </c>
      <c r="T85" s="208" t="n">
        <f aca="false">T78</f>
        <v>431015.0064</v>
      </c>
      <c r="U85" s="208" t="n">
        <f aca="false">U78</f>
        <v>424013.3808</v>
      </c>
      <c r="V85" s="208" t="n">
        <f aca="false">V78</f>
        <v>417011.7552</v>
      </c>
      <c r="W85" s="208" t="n">
        <f aca="false">W78</f>
        <v>410010.1296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982782.5</v>
      </c>
      <c r="E86" s="209" t="n">
        <f aca="false">-E67</f>
        <v>982782.5</v>
      </c>
      <c r="F86" s="209" t="n">
        <f aca="false">-F67</f>
        <v>982782.5</v>
      </c>
      <c r="G86" s="209" t="n">
        <f aca="false">-G67</f>
        <v>982782.5</v>
      </c>
      <c r="H86" s="209" t="n">
        <f aca="false">-H67</f>
        <v>982782.5</v>
      </c>
      <c r="I86" s="209" t="n">
        <f aca="false">-I67</f>
        <v>982782.5</v>
      </c>
      <c r="J86" s="209" t="n">
        <f aca="false">-J67</f>
        <v>982782.5</v>
      </c>
      <c r="K86" s="209" t="n">
        <f aca="false">-K67</f>
        <v>982782.5</v>
      </c>
      <c r="L86" s="209" t="n">
        <f aca="false">-L67</f>
        <v>982782.5</v>
      </c>
      <c r="M86" s="209" t="n">
        <f aca="false">-M67</f>
        <v>982782.5</v>
      </c>
      <c r="N86" s="209" t="n">
        <f aca="false">-N67</f>
        <v>982782.5</v>
      </c>
      <c r="O86" s="209" t="n">
        <f aca="false">-O67</f>
        <v>982782.5</v>
      </c>
      <c r="P86" s="209" t="n">
        <f aca="false">-P67</f>
        <v>982782.5</v>
      </c>
      <c r="Q86" s="209" t="n">
        <f aca="false">-Q67</f>
        <v>982782.5</v>
      </c>
      <c r="R86" s="209" t="n">
        <f aca="false">-R67</f>
        <v>982782.5</v>
      </c>
      <c r="S86" s="209" t="n">
        <f aca="false">-S67</f>
        <v>982782.5</v>
      </c>
      <c r="T86" s="209" t="n">
        <f aca="false">-T67</f>
        <v>982782.5</v>
      </c>
      <c r="U86" s="209" t="n">
        <f aca="false">-U67</f>
        <v>982782.5</v>
      </c>
      <c r="V86" s="209" t="n">
        <f aca="false">-V67</f>
        <v>982782.5</v>
      </c>
      <c r="W86" s="209" t="n">
        <f aca="false">-W67</f>
        <v>982782.5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1401058.1464</v>
      </c>
      <c r="E87" s="211" t="n">
        <f aca="false">SUM(E85:E86)</f>
        <v>1183364.93210667</v>
      </c>
      <c r="F87" s="211" t="n">
        <f aca="false">SUM(F85:F86)</f>
        <v>1197832.51781333</v>
      </c>
      <c r="G87" s="211" t="n">
        <f aca="false">SUM(G85:G86)</f>
        <v>1212300.10352</v>
      </c>
      <c r="H87" s="211" t="n">
        <f aca="false">SUM(H85:H86)</f>
        <v>1226767.68922667</v>
      </c>
      <c r="I87" s="211" t="n">
        <f aca="false">SUM(I85:I86)</f>
        <v>1241235.27493333</v>
      </c>
      <c r="J87" s="211" t="n">
        <f aca="false">SUM(J85:J86)</f>
        <v>1255702.86064</v>
      </c>
      <c r="K87" s="211" t="n">
        <f aca="false">SUM(K85:K86)</f>
        <v>1270170.44634667</v>
      </c>
      <c r="L87" s="211" t="n">
        <f aca="false">SUM(L85:L86)</f>
        <v>1284638.03205333</v>
      </c>
      <c r="M87" s="211" t="n">
        <f aca="false">SUM(M85:M86)</f>
        <v>1299105.61776</v>
      </c>
      <c r="N87" s="211" t="n">
        <f aca="false">SUM(N85:N86)</f>
        <v>1348461.20346667</v>
      </c>
      <c r="O87" s="211" t="n">
        <f aca="false">SUM(O85:O86)</f>
        <v>1362928.78917333</v>
      </c>
      <c r="P87" s="211" t="n">
        <f aca="false">SUM(P85:P86)</f>
        <v>1377396.37488</v>
      </c>
      <c r="Q87" s="211" t="n">
        <f aca="false">SUM(Q85:Q86)</f>
        <v>1391863.96058667</v>
      </c>
      <c r="R87" s="211" t="n">
        <f aca="false">SUM(R85:R86)</f>
        <v>1406331.54629333</v>
      </c>
      <c r="S87" s="211" t="n">
        <f aca="false">SUM(S85:S86)</f>
        <v>1420799.132</v>
      </c>
      <c r="T87" s="211" t="n">
        <f aca="false">SUM(T85:T86)</f>
        <v>1413797.5064</v>
      </c>
      <c r="U87" s="211" t="n">
        <f aca="false">SUM(U85:U86)</f>
        <v>1406795.8808</v>
      </c>
      <c r="V87" s="211" t="n">
        <f aca="false">SUM(V85:V86)</f>
        <v>1399794.2552</v>
      </c>
      <c r="W87" s="211" t="n">
        <f aca="false">SUM(W85:W86)</f>
        <v>1392792.6296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-19655650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15724520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-1048301.33333333</v>
      </c>
      <c r="F93" s="217" t="n">
        <v>-1048301.33333333</v>
      </c>
      <c r="G93" s="217" t="n">
        <v>-1048301.33333333</v>
      </c>
      <c r="H93" s="217" t="n">
        <v>-1048301.33333333</v>
      </c>
      <c r="I93" s="217" t="n">
        <v>-1048301.33333333</v>
      </c>
      <c r="J93" s="217" t="n">
        <v>-1048301.33333333</v>
      </c>
      <c r="K93" s="217" t="n">
        <v>-1048301.33333333</v>
      </c>
      <c r="L93" s="217" t="n">
        <v>-1048301.33333333</v>
      </c>
      <c r="M93" s="217" t="n">
        <v>-1048301.33333333</v>
      </c>
      <c r="N93" s="217" t="n">
        <v>-1048301.33333333</v>
      </c>
      <c r="O93" s="217" t="n">
        <v>-1048301.33333333</v>
      </c>
      <c r="P93" s="217" t="n">
        <v>-1048301.33333333</v>
      </c>
      <c r="Q93" s="217" t="n">
        <v>-1048301.33333333</v>
      </c>
      <c r="R93" s="217" t="n">
        <v>-1048301.33333333</v>
      </c>
      <c r="S93" s="217" t="n">
        <v>-1048301.33333333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3931130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-376448.08176</v>
      </c>
      <c r="F95" s="153" t="n">
        <f aca="false">-E85*$D$33</f>
        <v>-180524.188896</v>
      </c>
      <c r="G95" s="153" t="n">
        <f aca="false">-F85*$D$33</f>
        <v>-193545.016032</v>
      </c>
      <c r="H95" s="153" t="n">
        <f aca="false">-G85*$D$33</f>
        <v>-206565.843168</v>
      </c>
      <c r="I95" s="153" t="n">
        <f aca="false">-H85*$D$33</f>
        <v>-219586.670304</v>
      </c>
      <c r="J95" s="153" t="n">
        <f aca="false">-I85*$D$33</f>
        <v>-232607.49744</v>
      </c>
      <c r="K95" s="153" t="n">
        <f aca="false">-J85*$D$33</f>
        <v>-245628.324576</v>
      </c>
      <c r="L95" s="153" t="n">
        <f aca="false">-K85*$D$33</f>
        <v>-258649.151712</v>
      </c>
      <c r="M95" s="153" t="n">
        <f aca="false">-L85*$D$33</f>
        <v>-271669.978848</v>
      </c>
      <c r="N95" s="153" t="n">
        <f aca="false">-M85*$D$33</f>
        <v>-284690.805984</v>
      </c>
      <c r="O95" s="153" t="n">
        <f aca="false">-N85*$D$33</f>
        <v>-329110.83312</v>
      </c>
      <c r="P95" s="153" t="n">
        <f aca="false">-O85*$D$33</f>
        <v>-342131.660256</v>
      </c>
      <c r="Q95" s="153" t="n">
        <f aca="false">-P85*$D$33</f>
        <v>-355152.487392</v>
      </c>
      <c r="R95" s="153" t="n">
        <f aca="false">-Q85*$D$33</f>
        <v>-368173.314528</v>
      </c>
      <c r="S95" s="153" t="n">
        <f aca="false">-R85*$D$33</f>
        <v>-381194.141664</v>
      </c>
      <c r="T95" s="153" t="n">
        <f aca="false">-S85*$D$33</f>
        <v>-394214.9688</v>
      </c>
      <c r="U95" s="153" t="n">
        <f aca="false">-T85*$D$33</f>
        <v>-387913.50576</v>
      </c>
      <c r="V95" s="153" t="n">
        <f aca="false">-U85*$D$33</f>
        <v>-381612.04272</v>
      </c>
      <c r="W95" s="153" t="n">
        <f aca="false">-V85*$D$33</f>
        <v>-375310.57968</v>
      </c>
      <c r="X95" s="153" t="n">
        <f aca="false">-W85*$D$33</f>
        <v>-369009.11664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-982782.5</v>
      </c>
      <c r="U96" s="220" t="n">
        <v>-982782.5</v>
      </c>
      <c r="V96" s="220" t="n">
        <v>-982782.5</v>
      </c>
      <c r="W96" s="220" t="n">
        <v>-982782.5</v>
      </c>
      <c r="X96" s="221" t="n">
        <f aca="false">-W101-X95</f>
        <v>-683748.689920003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1401058.1464</v>
      </c>
      <c r="E99" s="208" t="n">
        <f aca="false">SUM(E87:E96)</f>
        <v>-241384.482986667</v>
      </c>
      <c r="F99" s="208" t="n">
        <f aca="false">SUM(F87:F96)</f>
        <v>-30993.0044159995</v>
      </c>
      <c r="G99" s="208" t="n">
        <f aca="false">SUM(G87:G96)</f>
        <v>-29546.2458453332</v>
      </c>
      <c r="H99" s="208" t="n">
        <f aca="false">SUM(H87:H96)</f>
        <v>-28099.4872746665</v>
      </c>
      <c r="I99" s="208" t="n">
        <f aca="false">SUM(I87:I96)</f>
        <v>-26652.7287039998</v>
      </c>
      <c r="J99" s="208" t="n">
        <f aca="false">SUM(J87:J96)</f>
        <v>-25205.9701333326</v>
      </c>
      <c r="K99" s="208" t="n">
        <f aca="false">SUM(K87:K96)</f>
        <v>-23759.2115626666</v>
      </c>
      <c r="L99" s="208" t="n">
        <f aca="false">SUM(L87:L96)</f>
        <v>-22312.4529919999</v>
      </c>
      <c r="M99" s="208" t="n">
        <f aca="false">SUM(M87:M96)</f>
        <v>-20865.694421333</v>
      </c>
      <c r="N99" s="208" t="n">
        <f aca="false">SUM(N87:N96)</f>
        <v>15469.0641493335</v>
      </c>
      <c r="O99" s="208" t="n">
        <f aca="false">SUM(O87:O96)</f>
        <v>-14483.3772799998</v>
      </c>
      <c r="P99" s="208" t="n">
        <f aca="false">SUM(P87:P96)</f>
        <v>-13036.6187093332</v>
      </c>
      <c r="Q99" s="208" t="n">
        <f aca="false">SUM(Q87:Q96)</f>
        <v>-11589.8601386664</v>
      </c>
      <c r="R99" s="208" t="n">
        <f aca="false">SUM(R87:R96)</f>
        <v>-10143.1015679999</v>
      </c>
      <c r="S99" s="208" t="n">
        <f aca="false">SUM(S87:S96)</f>
        <v>-8696.34299733298</v>
      </c>
      <c r="T99" s="208" t="n">
        <f aca="false">SUM(T87:T96)</f>
        <v>36800.0375999998</v>
      </c>
      <c r="U99" s="208" t="n">
        <f aca="false">SUM(U87:U96)</f>
        <v>36099.8750400001</v>
      </c>
      <c r="V99" s="208" t="n">
        <f aca="false">SUM(V87:V96)</f>
        <v>35399.7124799998</v>
      </c>
      <c r="W99" s="208" t="n">
        <f aca="false">SUM(W87:W96)</f>
        <v>34699.5499199999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1401058.1464</v>
      </c>
      <c r="F100" s="208" t="n">
        <f aca="false">E101</f>
        <v>1159673.66341333</v>
      </c>
      <c r="G100" s="208" t="n">
        <f aca="false">F101</f>
        <v>1128680.65899733</v>
      </c>
      <c r="H100" s="208" t="n">
        <f aca="false">G101</f>
        <v>1099134.413152</v>
      </c>
      <c r="I100" s="208" t="n">
        <f aca="false">H101</f>
        <v>1071034.92587733</v>
      </c>
      <c r="J100" s="208" t="n">
        <f aca="false">I101</f>
        <v>1044382.19717333</v>
      </c>
      <c r="K100" s="208" t="n">
        <f aca="false">J101</f>
        <v>1019176.22704</v>
      </c>
      <c r="L100" s="208" t="n">
        <f aca="false">K101</f>
        <v>995417.015477334</v>
      </c>
      <c r="M100" s="208" t="n">
        <f aca="false">L101</f>
        <v>973104.562485335</v>
      </c>
      <c r="N100" s="208" t="n">
        <f aca="false">M101</f>
        <v>952238.868064001</v>
      </c>
      <c r="O100" s="208" t="n">
        <f aca="false">N101</f>
        <v>967707.932213335</v>
      </c>
      <c r="P100" s="208" t="n">
        <f aca="false">O101</f>
        <v>953224.554933335</v>
      </c>
      <c r="Q100" s="208" t="n">
        <f aca="false">P101</f>
        <v>940187.936224002</v>
      </c>
      <c r="R100" s="208" t="n">
        <f aca="false">Q101</f>
        <v>928598.076085336</v>
      </c>
      <c r="S100" s="208" t="n">
        <f aca="false">R101</f>
        <v>918454.974517336</v>
      </c>
      <c r="T100" s="208" t="n">
        <f aca="false">S101</f>
        <v>909758.631520003</v>
      </c>
      <c r="U100" s="208" t="n">
        <f aca="false">T101</f>
        <v>946558.669120002</v>
      </c>
      <c r="V100" s="208" t="n">
        <f aca="false">U101</f>
        <v>982658.544160003</v>
      </c>
      <c r="W100" s="208" t="n">
        <f aca="false">V101</f>
        <v>1018058.25664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1401058.1464</v>
      </c>
      <c r="E101" s="208" t="n">
        <f aca="false">E99+E100</f>
        <v>1159673.66341333</v>
      </c>
      <c r="F101" s="208" t="n">
        <f aca="false">F99+F100</f>
        <v>1128680.65899733</v>
      </c>
      <c r="G101" s="208" t="n">
        <f aca="false">G99+G100</f>
        <v>1099134.413152</v>
      </c>
      <c r="H101" s="208" t="n">
        <f aca="false">H99+H100</f>
        <v>1071034.92587733</v>
      </c>
      <c r="I101" s="208" t="n">
        <f aca="false">I99+I100</f>
        <v>1044382.19717333</v>
      </c>
      <c r="J101" s="208" t="n">
        <f aca="false">J99+J100</f>
        <v>1019176.22704</v>
      </c>
      <c r="K101" s="208" t="n">
        <f aca="false">K99+K100</f>
        <v>995417.015477334</v>
      </c>
      <c r="L101" s="208" t="n">
        <f aca="false">L99+L100</f>
        <v>973104.562485335</v>
      </c>
      <c r="M101" s="208" t="n">
        <f aca="false">M99+M100</f>
        <v>952238.868064001</v>
      </c>
      <c r="N101" s="208" t="n">
        <f aca="false">N99+N100</f>
        <v>967707.932213335</v>
      </c>
      <c r="O101" s="208" t="n">
        <f aca="false">O99+O100</f>
        <v>953224.554933335</v>
      </c>
      <c r="P101" s="208" t="n">
        <f aca="false">P99+P100</f>
        <v>940187.936224002</v>
      </c>
      <c r="Q101" s="208" t="n">
        <f aca="false">Q99+Q100</f>
        <v>928598.076085336</v>
      </c>
      <c r="R101" s="208" t="n">
        <f aca="false">R99+R100</f>
        <v>918454.974517336</v>
      </c>
      <c r="S101" s="208" t="n">
        <f aca="false">S99+S100</f>
        <v>909758.631520003</v>
      </c>
      <c r="T101" s="208" t="n">
        <f aca="false">T99+T100</f>
        <v>946558.669120002</v>
      </c>
      <c r="U101" s="208" t="n">
        <f aca="false">U99+U100</f>
        <v>982658.544160003</v>
      </c>
      <c r="V101" s="208" t="n">
        <f aca="false">V99+V100</f>
        <v>1018058.25664</v>
      </c>
      <c r="W101" s="208" t="n">
        <f aca="false">W99+W100</f>
        <v>1052757.80656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-3931130</v>
      </c>
      <c r="E104" s="211" t="n">
        <f aca="false">-E95-E96</f>
        <v>376448.08176</v>
      </c>
      <c r="F104" s="211" t="n">
        <f aca="false">-F95-F96</f>
        <v>180524.188896</v>
      </c>
      <c r="G104" s="211" t="n">
        <f aca="false">-G95-G96</f>
        <v>193545.016032</v>
      </c>
      <c r="H104" s="211" t="n">
        <f aca="false">-H95-H96</f>
        <v>206565.843168</v>
      </c>
      <c r="I104" s="211" t="n">
        <f aca="false">-I95-I96</f>
        <v>219586.670304</v>
      </c>
      <c r="J104" s="211" t="n">
        <f aca="false">-J95-J96</f>
        <v>232607.49744</v>
      </c>
      <c r="K104" s="211" t="n">
        <f aca="false">-K95-K96</f>
        <v>245628.324576</v>
      </c>
      <c r="L104" s="211" t="n">
        <f aca="false">-L95-L96</f>
        <v>258649.151712</v>
      </c>
      <c r="M104" s="211" t="n">
        <f aca="false">-M95-M96</f>
        <v>271669.978848</v>
      </c>
      <c r="N104" s="211" t="n">
        <f aca="false">-N95-N96</f>
        <v>284690.805984</v>
      </c>
      <c r="O104" s="211" t="n">
        <f aca="false">-O95-O96</f>
        <v>329110.83312</v>
      </c>
      <c r="P104" s="211" t="n">
        <f aca="false">-P95-P96</f>
        <v>342131.660256</v>
      </c>
      <c r="Q104" s="211" t="n">
        <f aca="false">-Q95-Q96</f>
        <v>355152.487392</v>
      </c>
      <c r="R104" s="211" t="n">
        <f aca="false">-R95-R96</f>
        <v>368173.314528</v>
      </c>
      <c r="S104" s="211" t="n">
        <f aca="false">-S95-S96</f>
        <v>381194.141664</v>
      </c>
      <c r="T104" s="211" t="n">
        <f aca="false">-T95-T96</f>
        <v>1376997.4688</v>
      </c>
      <c r="U104" s="211" t="n">
        <f aca="false">-U95-U96</f>
        <v>1370696.00576</v>
      </c>
      <c r="V104" s="211" t="n">
        <f aca="false">-V95-V96</f>
        <v>1364394.54272</v>
      </c>
      <c r="W104" s="211" t="n">
        <f aca="false">-W95-W96</f>
        <v>1358093.07968</v>
      </c>
      <c r="X104" s="211" t="n">
        <f aca="false">-X95-X96</f>
        <v>1052757.80656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0.080759390311093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-3512854.3536</v>
      </c>
      <c r="E106" s="211" t="n">
        <f aca="false">E85</f>
        <v>200582.432106666</v>
      </c>
      <c r="F106" s="211" t="n">
        <f aca="false">F85-F96</f>
        <v>215050.017813333</v>
      </c>
      <c r="G106" s="211" t="n">
        <f aca="false">G85-G96</f>
        <v>229517.60352</v>
      </c>
      <c r="H106" s="211" t="n">
        <f aca="false">H85-H96</f>
        <v>243985.189226666</v>
      </c>
      <c r="I106" s="211" t="n">
        <f aca="false">I85-I96</f>
        <v>258452.774933333</v>
      </c>
      <c r="J106" s="211" t="n">
        <f aca="false">J85-J96</f>
        <v>272920.36064</v>
      </c>
      <c r="K106" s="211" t="n">
        <f aca="false">K85-K96</f>
        <v>287387.946346667</v>
      </c>
      <c r="L106" s="211" t="n">
        <f aca="false">L85-L96</f>
        <v>301855.532053333</v>
      </c>
      <c r="M106" s="211" t="n">
        <f aca="false">M85-M96</f>
        <v>316323.11776</v>
      </c>
      <c r="N106" s="211" t="n">
        <f aca="false">N85-N96</f>
        <v>365678.703466666</v>
      </c>
      <c r="O106" s="211" t="n">
        <f aca="false">O85-O96</f>
        <v>380146.289173333</v>
      </c>
      <c r="P106" s="211" t="n">
        <f aca="false">P85-P96</f>
        <v>394613.87488</v>
      </c>
      <c r="Q106" s="211" t="n">
        <f aca="false">Q85-Q96</f>
        <v>409081.460586666</v>
      </c>
      <c r="R106" s="211" t="n">
        <f aca="false">R85-R96</f>
        <v>423549.046293333</v>
      </c>
      <c r="S106" s="211" t="n">
        <f aca="false">S85-S96</f>
        <v>438016.632</v>
      </c>
      <c r="T106" s="211" t="n">
        <f aca="false">T85-T96</f>
        <v>1413797.5064</v>
      </c>
      <c r="U106" s="211" t="n">
        <f aca="false">U85-U96</f>
        <v>1406795.8808</v>
      </c>
      <c r="V106" s="211" t="n">
        <f aca="false">V85-V96</f>
        <v>1399794.2552</v>
      </c>
      <c r="W106" s="211" t="n">
        <f aca="false">W85-W96</f>
        <v>1392792.6296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0.0916535233991271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15724520</v>
      </c>
      <c r="E109" s="208" t="n">
        <f aca="false">D109+E93</f>
        <v>14676218.6666667</v>
      </c>
      <c r="F109" s="208" t="n">
        <f aca="false">E109+F93</f>
        <v>13627917.3333333</v>
      </c>
      <c r="G109" s="208" t="n">
        <f aca="false">F109+G93</f>
        <v>12579616</v>
      </c>
      <c r="H109" s="208" t="n">
        <f aca="false">G109+H93</f>
        <v>11531314.6666667</v>
      </c>
      <c r="I109" s="208" t="n">
        <f aca="false">H109+I93</f>
        <v>10483013.3333333</v>
      </c>
      <c r="J109" s="208" t="n">
        <f aca="false">I109+J93</f>
        <v>9434712.00000001</v>
      </c>
      <c r="K109" s="208" t="n">
        <f aca="false">J109+K93</f>
        <v>8386410.66666667</v>
      </c>
      <c r="L109" s="208" t="n">
        <f aca="false">K109+L93</f>
        <v>7338109.33333334</v>
      </c>
      <c r="M109" s="208" t="n">
        <f aca="false">L109+M93</f>
        <v>6289808.00000001</v>
      </c>
      <c r="N109" s="208" t="n">
        <f aca="false">M109+N93</f>
        <v>5241506.66666668</v>
      </c>
      <c r="O109" s="208" t="n">
        <f aca="false">N109+O93</f>
        <v>4193205.33333334</v>
      </c>
      <c r="P109" s="208" t="n">
        <f aca="false">O109+P93</f>
        <v>3144904.00000001</v>
      </c>
      <c r="Q109" s="208" t="n">
        <f aca="false">P109+Q93</f>
        <v>2096602.66666668</v>
      </c>
      <c r="R109" s="208" t="n">
        <f aca="false">Q109+R93</f>
        <v>1048301.33333334</v>
      </c>
      <c r="S109" s="208" t="n">
        <f aca="false">R109+S93</f>
        <v>1.02445483207703E-008</v>
      </c>
      <c r="T109" s="208" t="n">
        <f aca="false">S109+T93</f>
        <v>1.02445483207703E-008</v>
      </c>
      <c r="U109" s="208" t="n">
        <f aca="false">T109+U93</f>
        <v>1.02445483207703E-008</v>
      </c>
      <c r="V109" s="208" t="n">
        <f aca="false">U109+V93</f>
        <v>1.02445483207703E-008</v>
      </c>
      <c r="W109" s="208" t="n">
        <f aca="false">V109+W93</f>
        <v>1.02445483207703E-008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279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166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162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280</v>
      </c>
    </row>
    <row r="8" customFormat="false" ht="22.5" hidden="false" customHeight="true" outlineLevel="0" collapsed="false">
      <c r="B8" s="16" t="s">
        <v>14</v>
      </c>
      <c r="E8" s="165"/>
      <c r="M8" s="0" t="s">
        <v>281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96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29000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-18721150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-37940.7</v>
      </c>
      <c r="E49" s="185" t="n">
        <v>-37940.7</v>
      </c>
      <c r="F49" s="185" t="n">
        <v>-37940.7</v>
      </c>
      <c r="G49" s="185" t="n">
        <v>-37940.7</v>
      </c>
      <c r="H49" s="185" t="n">
        <v>-37940.7</v>
      </c>
      <c r="I49" s="185" t="n">
        <v>-37940.7</v>
      </c>
      <c r="J49" s="185" t="n">
        <v>-37940.7</v>
      </c>
      <c r="K49" s="185" t="n">
        <v>-37940.7</v>
      </c>
      <c r="L49" s="185" t="n">
        <v>-37940.7</v>
      </c>
      <c r="M49" s="185" t="n">
        <v>-37940.7</v>
      </c>
      <c r="N49" s="185" t="n">
        <v>-37940.7</v>
      </c>
      <c r="O49" s="185" t="n">
        <v>-37940.7</v>
      </c>
      <c r="P49" s="185" t="n">
        <v>-37940.7</v>
      </c>
      <c r="Q49" s="185" t="n">
        <v>-37940.7</v>
      </c>
      <c r="R49" s="185" t="n">
        <v>-37940.7</v>
      </c>
      <c r="S49" s="185" t="n">
        <v>-37940.7</v>
      </c>
      <c r="T49" s="185" t="n">
        <v>-37940.7</v>
      </c>
      <c r="U49" s="185" t="n">
        <v>-37940.7</v>
      </c>
      <c r="V49" s="185" t="n">
        <v>-37940.7</v>
      </c>
      <c r="W49" s="185" t="n">
        <v>-37940.7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-194815.944</v>
      </c>
      <c r="E54" s="185" t="n">
        <f aca="false">-(E64+E67+E68+E71+E72+E73+E74)*0.2</f>
        <v>-135025.3376</v>
      </c>
      <c r="F54" s="185" t="n">
        <f aca="false">-(F64+F67+F68+F71+F72+F73+F74)*0.2</f>
        <v>-133274.9312</v>
      </c>
      <c r="G54" s="185" t="n">
        <f aca="false">-(G64+G67+G68+G71+G72+G73+G74)*0.2</f>
        <v>-131524.5248</v>
      </c>
      <c r="H54" s="185" t="n">
        <f aca="false">-(H64+H67+H68+H71+H72+H73+H74)*0.2</f>
        <v>-129774.1184</v>
      </c>
      <c r="I54" s="185" t="n">
        <f aca="false">-(I64+I67+I68+I71+I72+I73+I74)*0.2</f>
        <v>-128023.712</v>
      </c>
      <c r="J54" s="185" t="n">
        <f aca="false">-(J64+J67+J68+J71+J72+J73+J74)*0.2</f>
        <v>-126273.3056</v>
      </c>
      <c r="K54" s="185" t="n">
        <f aca="false">-(K64+K67+K68+K71+K72+K73+K74)*0.2</f>
        <v>-124522.8992</v>
      </c>
      <c r="L54" s="185" t="n">
        <f aca="false">-(L64+L67+L68+L71+L72+L73+L74)*0.2</f>
        <v>-122772.4928</v>
      </c>
      <c r="M54" s="185" t="n">
        <f aca="false">-(M64+M67+M68+M71+M72+M73+M74)*0.2</f>
        <v>-121022.0864</v>
      </c>
      <c r="N54" s="185" t="n">
        <f aca="false">-(N64+N67+N68+N71+N72+N73+N74)*0.2</f>
        <v>-127993.68</v>
      </c>
      <c r="O54" s="185" t="n">
        <f aca="false">-(O64+O67+O68+O71+O72+O73+O74)*0.2</f>
        <v>-126243.2736</v>
      </c>
      <c r="P54" s="185" t="n">
        <f aca="false">-(P64+P67+P68+P71+P72+P73+P74)*0.2</f>
        <v>-124492.8672</v>
      </c>
      <c r="Q54" s="185" t="n">
        <f aca="false">-(Q64+Q67+Q68+Q71+Q72+Q73+Q74)*0.2</f>
        <v>-122742.4608</v>
      </c>
      <c r="R54" s="185" t="n">
        <f aca="false">-(R64+R67+R68+R71+R72+R73+R74)*0.2</f>
        <v>-120992.0544</v>
      </c>
      <c r="S54" s="185" t="n">
        <f aca="false">-(S64+S67+S68+S71+S72+S73+S74)*0.2</f>
        <v>-119241.648</v>
      </c>
      <c r="T54" s="185" t="n">
        <f aca="false">-(T64+T67+T68+T71+T72+T73+T74)*0.2</f>
        <v>-117491.2416</v>
      </c>
      <c r="U54" s="185" t="n">
        <f aca="false">-(U64+U67+U68+U71+U72+U73+U74)*0.2</f>
        <v>-115740.8352</v>
      </c>
      <c r="V54" s="185" t="n">
        <f aca="false">-(V64+V67+V68+V71+V72+V73+V74)*0.2</f>
        <v>-113990.4288</v>
      </c>
      <c r="W54" s="185" t="n">
        <f aca="false">-(W64+W67+W68+W71+W72+W73+W74)*0.2</f>
        <v>-112240.0224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-18721150</v>
      </c>
      <c r="D55" s="190" t="n">
        <f aca="false">SUM(D41:D54)</f>
        <v>1425120.276</v>
      </c>
      <c r="E55" s="190" t="n">
        <f aca="false">SUM(E41:E54)</f>
        <v>1476158.8504</v>
      </c>
      <c r="F55" s="190" t="n">
        <f aca="false">SUM(F41:F54)</f>
        <v>1469157.2248</v>
      </c>
      <c r="G55" s="190" t="n">
        <f aca="false">SUM(G41:G54)</f>
        <v>1462155.5992</v>
      </c>
      <c r="H55" s="190" t="n">
        <f aca="false">SUM(H41:H54)</f>
        <v>1455153.9736</v>
      </c>
      <c r="I55" s="190" t="n">
        <f aca="false">SUM(I41:I54)</f>
        <v>1448152.348</v>
      </c>
      <c r="J55" s="190" t="n">
        <f aca="false">SUM(J41:J54)</f>
        <v>1441150.7224</v>
      </c>
      <c r="K55" s="190" t="n">
        <f aca="false">SUM(K41:K54)</f>
        <v>1434149.0968</v>
      </c>
      <c r="L55" s="190" t="n">
        <f aca="false">SUM(L41:L54)</f>
        <v>1427147.4712</v>
      </c>
      <c r="M55" s="190" t="n">
        <f aca="false">SUM(M41:M54)</f>
        <v>1420145.8456</v>
      </c>
      <c r="N55" s="190" t="n">
        <f aca="false">SUM(N41:N54)</f>
        <v>1448032.22</v>
      </c>
      <c r="O55" s="190" t="n">
        <f aca="false">SUM(O41:O54)</f>
        <v>1441030.5944</v>
      </c>
      <c r="P55" s="190" t="n">
        <f aca="false">SUM(P41:P54)</f>
        <v>1434028.9688</v>
      </c>
      <c r="Q55" s="190" t="n">
        <f aca="false">SUM(Q41:Q54)</f>
        <v>1427027.3432</v>
      </c>
      <c r="R55" s="190" t="n">
        <f aca="false">SUM(R41:R54)</f>
        <v>1420025.7176</v>
      </c>
      <c r="S55" s="190" t="n">
        <f aca="false">SUM(S41:S54)</f>
        <v>1413024.092</v>
      </c>
      <c r="T55" s="190" t="n">
        <f aca="false">SUM(T41:T54)</f>
        <v>1406022.4664</v>
      </c>
      <c r="U55" s="190" t="n">
        <f aca="false">SUM(U41:U54)</f>
        <v>1399020.8408</v>
      </c>
      <c r="V55" s="190" t="n">
        <f aca="false">SUM(V41:V54)</f>
        <v>1392019.2152</v>
      </c>
      <c r="W55" s="190" t="n">
        <f aca="false">SUM(W41:W54)</f>
        <v>1385017.5896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-17296029.724</v>
      </c>
      <c r="E56" s="195" t="n">
        <f aca="false">D56+E55</f>
        <v>-15819870.8736</v>
      </c>
      <c r="F56" s="195" t="n">
        <f aca="false">E56+F55</f>
        <v>-14350713.6488</v>
      </c>
      <c r="G56" s="195" t="n">
        <f aca="false">F56+G55</f>
        <v>-12888558.0496</v>
      </c>
      <c r="H56" s="195" t="n">
        <f aca="false">G56+H55</f>
        <v>-11433404.076</v>
      </c>
      <c r="I56" s="195" t="n">
        <f aca="false">H56+I55</f>
        <v>-9985251.728</v>
      </c>
      <c r="J56" s="195" t="n">
        <f aca="false">I56+J55</f>
        <v>-8544101.0056</v>
      </c>
      <c r="K56" s="195" t="n">
        <f aca="false">J56+K55</f>
        <v>-7109951.9088</v>
      </c>
      <c r="L56" s="195" t="n">
        <f aca="false">K56+L55</f>
        <v>-5682804.4376</v>
      </c>
      <c r="M56" s="195" t="n">
        <f aca="false">L56+M55</f>
        <v>-4262658.592</v>
      </c>
      <c r="N56" s="195" t="n">
        <f aca="false">M56+N55</f>
        <v>-2814626.372</v>
      </c>
      <c r="O56" s="195" t="n">
        <f aca="false">N56+O55</f>
        <v>-1373595.7776</v>
      </c>
      <c r="P56" s="195" t="n">
        <f aca="false">O56+P55</f>
        <v>60433.1911999977</v>
      </c>
      <c r="Q56" s="195" t="n">
        <f aca="false">P56+Q55</f>
        <v>1487460.5344</v>
      </c>
      <c r="R56" s="195" t="n">
        <f aca="false">Q56+R55</f>
        <v>2907486.252</v>
      </c>
      <c r="S56" s="195" t="n">
        <f aca="false">R56+S55</f>
        <v>4320510.344</v>
      </c>
      <c r="T56" s="195" t="n">
        <f aca="false">S56+T55</f>
        <v>5726532.8104</v>
      </c>
      <c r="U56" s="195" t="n">
        <f aca="false">T56+U55</f>
        <v>7125553.6512</v>
      </c>
      <c r="V56" s="195" t="n">
        <f aca="false">U56+V55</f>
        <v>8517572.8664</v>
      </c>
      <c r="W56" s="195" t="n">
        <f aca="false">V56+W55</f>
        <v>9902590.456</v>
      </c>
      <c r="X56" s="195" t="n">
        <f aca="false">W56+X55</f>
        <v>9902590.456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未回收</v>
      </c>
      <c r="O57" s="199" t="str">
        <f aca="false">IF((O56)&gt;0,"回收","未回收")</f>
        <v>未回收</v>
      </c>
      <c r="P57" s="199" t="str">
        <f aca="false">IF((P56)&gt;0,"回收","未回收")</f>
        <v>回收</v>
      </c>
      <c r="Q57" s="199" t="str">
        <f aca="false">IF((Q56)&gt;0,"回收","未回收")</f>
        <v>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0.0447531290753464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-936057.5</v>
      </c>
      <c r="E67" s="200" t="n">
        <f aca="false">$C$44/$E$16</f>
        <v>-936057.5</v>
      </c>
      <c r="F67" s="200" t="n">
        <f aca="false">$C$44/$E$16</f>
        <v>-936057.5</v>
      </c>
      <c r="G67" s="200" t="n">
        <f aca="false">$C$44/$E$16</f>
        <v>-936057.5</v>
      </c>
      <c r="H67" s="200" t="n">
        <f aca="false">$C$44/$E$16</f>
        <v>-936057.5</v>
      </c>
      <c r="I67" s="200" t="n">
        <f aca="false">$C$44/$E$16</f>
        <v>-936057.5</v>
      </c>
      <c r="J67" s="200" t="n">
        <f aca="false">$C$44/$E$16</f>
        <v>-936057.5</v>
      </c>
      <c r="K67" s="200" t="n">
        <f aca="false">$C$44/$E$16</f>
        <v>-936057.5</v>
      </c>
      <c r="L67" s="200" t="n">
        <f aca="false">$C$44/$E$16</f>
        <v>-936057.5</v>
      </c>
      <c r="M67" s="200" t="n">
        <f aca="false">$C$44/$E$16</f>
        <v>-936057.5</v>
      </c>
      <c r="N67" s="200" t="n">
        <f aca="false">$C$44/$E$16</f>
        <v>-936057.5</v>
      </c>
      <c r="O67" s="200" t="n">
        <f aca="false">$C$44/$E$16</f>
        <v>-936057.5</v>
      </c>
      <c r="P67" s="200" t="n">
        <f aca="false">$C$44/$E$16</f>
        <v>-936057.5</v>
      </c>
      <c r="Q67" s="200" t="n">
        <f aca="false">$C$44/$E$16</f>
        <v>-936057.5</v>
      </c>
      <c r="R67" s="200" t="n">
        <f aca="false">$C$44/$E$16</f>
        <v>-936057.5</v>
      </c>
      <c r="S67" s="200" t="n">
        <f aca="false">$C$44/$E$16</f>
        <v>-936057.5</v>
      </c>
      <c r="T67" s="200" t="n">
        <f aca="false">$C$44/$E$16</f>
        <v>-936057.5</v>
      </c>
      <c r="U67" s="200" t="n">
        <f aca="false">$C$44/$E$16</f>
        <v>-936057.5</v>
      </c>
      <c r="V67" s="200" t="n">
        <f aca="false">$C$44/$E$16</f>
        <v>-936057.5</v>
      </c>
      <c r="W67" s="200" t="n">
        <f aca="false">$C$44/$E$16</f>
        <v>-936057.5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-383409.152</v>
      </c>
      <c r="E70" s="185" t="n">
        <f aca="false">-E109*$D25</f>
        <v>-357848.541866667</v>
      </c>
      <c r="F70" s="185" t="n">
        <f aca="false">-F109*$D25</f>
        <v>-332287.931733333</v>
      </c>
      <c r="G70" s="185" t="n">
        <f aca="false">-G109*$D25</f>
        <v>-306727.3216</v>
      </c>
      <c r="H70" s="185" t="n">
        <f aca="false">-H109*$D25</f>
        <v>-281166.711466667</v>
      </c>
      <c r="I70" s="185" t="n">
        <f aca="false">-I109*$D25</f>
        <v>-255606.101333333</v>
      </c>
      <c r="J70" s="185" t="n">
        <f aca="false">-J109*$D25</f>
        <v>-230045.4912</v>
      </c>
      <c r="K70" s="185" t="n">
        <f aca="false">-K109*$D25</f>
        <v>-204484.881066667</v>
      </c>
      <c r="L70" s="185" t="n">
        <f aca="false">-L109*$D25</f>
        <v>-178924.270933333</v>
      </c>
      <c r="M70" s="185" t="n">
        <f aca="false">-M109*$D25</f>
        <v>-153363.6608</v>
      </c>
      <c r="N70" s="185" t="n">
        <f aca="false">-N109*$D25</f>
        <v>-127803.050666667</v>
      </c>
      <c r="O70" s="185" t="n">
        <f aca="false">-O109*$D25</f>
        <v>-102242.440533333</v>
      </c>
      <c r="P70" s="185" t="n">
        <f aca="false">-P109*$D25</f>
        <v>-76681.8304</v>
      </c>
      <c r="Q70" s="185" t="n">
        <f aca="false">-Q109*$D25</f>
        <v>-51121.2202666667</v>
      </c>
      <c r="R70" s="185" t="n">
        <f aca="false">-R109*$D25</f>
        <v>-25560.6101333334</v>
      </c>
      <c r="S70" s="185" t="n">
        <f aca="false">-S109*$D25</f>
        <v>-0</v>
      </c>
      <c r="T70" s="185" t="n">
        <f aca="false">-T109*$D25</f>
        <v>-0</v>
      </c>
      <c r="U70" s="185" t="n">
        <f aca="false">-U109*$D25</f>
        <v>-0</v>
      </c>
      <c r="V70" s="185" t="n">
        <f aca="false">-V109*$D25</f>
        <v>-0</v>
      </c>
      <c r="W70" s="185" t="n">
        <f aca="false">-W109*$D25</f>
        <v>-0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-37940.7</v>
      </c>
      <c r="E72" s="185" t="n">
        <f aca="false">E49</f>
        <v>-37940.7</v>
      </c>
      <c r="F72" s="185" t="n">
        <f aca="false">F49</f>
        <v>-37940.7</v>
      </c>
      <c r="G72" s="185" t="n">
        <f aca="false">G49</f>
        <v>-37940.7</v>
      </c>
      <c r="H72" s="185" t="n">
        <f aca="false">H49</f>
        <v>-37940.7</v>
      </c>
      <c r="I72" s="185" t="n">
        <f aca="false">I49</f>
        <v>-37940.7</v>
      </c>
      <c r="J72" s="185" t="n">
        <f aca="false">J49</f>
        <v>-37940.7</v>
      </c>
      <c r="K72" s="185" t="n">
        <f aca="false">K49</f>
        <v>-37940.7</v>
      </c>
      <c r="L72" s="185" t="n">
        <f aca="false">L49</f>
        <v>-37940.7</v>
      </c>
      <c r="M72" s="185" t="n">
        <f aca="false">M49</f>
        <v>-37940.7</v>
      </c>
      <c r="N72" s="185" t="n">
        <f aca="false">N49</f>
        <v>-37940.7</v>
      </c>
      <c r="O72" s="185" t="n">
        <f aca="false">O49</f>
        <v>-37940.7</v>
      </c>
      <c r="P72" s="185" t="n">
        <f aca="false">P49</f>
        <v>-37940.7</v>
      </c>
      <c r="Q72" s="185" t="n">
        <f aca="false">Q49</f>
        <v>-37940.7</v>
      </c>
      <c r="R72" s="185" t="n">
        <f aca="false">R49</f>
        <v>-37940.7</v>
      </c>
      <c r="S72" s="185" t="n">
        <f aca="false">S49</f>
        <v>-37940.7</v>
      </c>
      <c r="T72" s="185" t="n">
        <f aca="false">T49</f>
        <v>-37940.7</v>
      </c>
      <c r="U72" s="185" t="n">
        <f aca="false">U49</f>
        <v>-37940.7</v>
      </c>
      <c r="V72" s="185" t="n">
        <f aca="false">V49</f>
        <v>-37940.7</v>
      </c>
      <c r="W72" s="185" t="n">
        <f aca="false">W49</f>
        <v>-37940.7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590670.568</v>
      </c>
      <c r="E76" s="190" t="n">
        <f aca="false">SUM(E64:E75)</f>
        <v>317278.146133333</v>
      </c>
      <c r="F76" s="190" t="n">
        <f aca="false">SUM(F64:F75)</f>
        <v>334086.724266667</v>
      </c>
      <c r="G76" s="190" t="n">
        <f aca="false">SUM(G64:G75)</f>
        <v>350895.3024</v>
      </c>
      <c r="H76" s="190" t="n">
        <f aca="false">SUM(H64:H75)</f>
        <v>367703.880533333</v>
      </c>
      <c r="I76" s="190" t="n">
        <f aca="false">SUM(I64:I75)</f>
        <v>384512.458666666</v>
      </c>
      <c r="J76" s="190" t="n">
        <f aca="false">SUM(J64:J75)</f>
        <v>401321.0368</v>
      </c>
      <c r="K76" s="190" t="n">
        <f aca="false">SUM(K64:K75)</f>
        <v>418129.614933333</v>
      </c>
      <c r="L76" s="190" t="n">
        <f aca="false">SUM(L64:L75)</f>
        <v>434938.193066666</v>
      </c>
      <c r="M76" s="190" t="n">
        <f aca="false">SUM(M64:M75)</f>
        <v>451746.7712</v>
      </c>
      <c r="N76" s="190" t="n">
        <f aca="false">SUM(N64:N75)</f>
        <v>512165.349333333</v>
      </c>
      <c r="O76" s="190" t="n">
        <f aca="false">SUM(O64:O75)</f>
        <v>528973.927466666</v>
      </c>
      <c r="P76" s="190" t="n">
        <f aca="false">SUM(P64:P75)</f>
        <v>545782.5056</v>
      </c>
      <c r="Q76" s="190" t="n">
        <f aca="false">SUM(Q64:Q75)</f>
        <v>562591.083733333</v>
      </c>
      <c r="R76" s="190" t="n">
        <f aca="false">SUM(R64:R75)</f>
        <v>579399.661866666</v>
      </c>
      <c r="S76" s="190" t="n">
        <f aca="false">SUM(S64:S75)</f>
        <v>596208.24</v>
      </c>
      <c r="T76" s="190" t="n">
        <f aca="false">SUM(T64:T75)</f>
        <v>587456.208</v>
      </c>
      <c r="U76" s="190" t="n">
        <f aca="false">SUM(U64:U75)</f>
        <v>578704.176</v>
      </c>
      <c r="V76" s="190" t="n">
        <f aca="false">SUM(V64:V75)</f>
        <v>569952.144</v>
      </c>
      <c r="W76" s="190" t="n">
        <f aca="false">SUM(W64:W75)</f>
        <v>561200.112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-118134.1136</v>
      </c>
      <c r="E77" s="185" t="n">
        <f aca="false">-E76*0.2</f>
        <v>-63455.6292266666</v>
      </c>
      <c r="F77" s="185" t="n">
        <f aca="false">-F76*0.2</f>
        <v>-66817.3448533333</v>
      </c>
      <c r="G77" s="185" t="n">
        <f aca="false">-G76*0.2</f>
        <v>-70179.0604799999</v>
      </c>
      <c r="H77" s="185" t="n">
        <f aca="false">-H76*0.2</f>
        <v>-73540.7761066666</v>
      </c>
      <c r="I77" s="185" t="n">
        <f aca="false">-I76*0.2</f>
        <v>-76902.4917333332</v>
      </c>
      <c r="J77" s="185" t="n">
        <f aca="false">-J76*0.2</f>
        <v>-80264.20736</v>
      </c>
      <c r="K77" s="185" t="n">
        <f aca="false">-K76*0.2</f>
        <v>-83625.9229866666</v>
      </c>
      <c r="L77" s="185" t="n">
        <f aca="false">-L76*0.2</f>
        <v>-86987.6386133333</v>
      </c>
      <c r="M77" s="185" t="n">
        <f aca="false">-M76*0.2</f>
        <v>-90349.35424</v>
      </c>
      <c r="N77" s="185" t="n">
        <f aca="false">-N76*0.2</f>
        <v>-102433.069866667</v>
      </c>
      <c r="O77" s="185" t="n">
        <f aca="false">-O76*0.2</f>
        <v>-105794.785493333</v>
      </c>
      <c r="P77" s="185" t="n">
        <f aca="false">-P76*0.2</f>
        <v>-109156.50112</v>
      </c>
      <c r="Q77" s="185" t="n">
        <f aca="false">-Q76*0.2</f>
        <v>-112518.216746667</v>
      </c>
      <c r="R77" s="185" t="n">
        <f aca="false">-R76*0.2</f>
        <v>-115879.932373333</v>
      </c>
      <c r="S77" s="185" t="n">
        <f aca="false">-S76*0.2</f>
        <v>-119241.648</v>
      </c>
      <c r="T77" s="185" t="n">
        <f aca="false">-T76*0.2</f>
        <v>-117491.2416</v>
      </c>
      <c r="U77" s="185" t="n">
        <f aca="false">-U76*0.2</f>
        <v>-115740.8352</v>
      </c>
      <c r="V77" s="185" t="n">
        <f aca="false">-V76*0.2</f>
        <v>-113990.4288</v>
      </c>
      <c r="W77" s="185" t="n">
        <f aca="false">-W76*0.2</f>
        <v>-112240.0224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472536.4544</v>
      </c>
      <c r="E78" s="185" t="n">
        <f aca="false">SUM(E76:E77)</f>
        <v>253822.516906666</v>
      </c>
      <c r="F78" s="185" t="n">
        <f aca="false">SUM(F76:F77)</f>
        <v>267269.379413333</v>
      </c>
      <c r="G78" s="185" t="n">
        <f aca="false">SUM(G76:G77)</f>
        <v>280716.24192</v>
      </c>
      <c r="H78" s="185" t="n">
        <f aca="false">SUM(H76:H77)</f>
        <v>294163.104426666</v>
      </c>
      <c r="I78" s="185" t="n">
        <f aca="false">SUM(I76:I77)</f>
        <v>307609.966933333</v>
      </c>
      <c r="J78" s="185" t="n">
        <f aca="false">SUM(J76:J77)</f>
        <v>321056.82944</v>
      </c>
      <c r="K78" s="185" t="n">
        <f aca="false">SUM(K76:K77)</f>
        <v>334503.691946666</v>
      </c>
      <c r="L78" s="185" t="n">
        <f aca="false">SUM(L76:L77)</f>
        <v>347950.554453333</v>
      </c>
      <c r="M78" s="185" t="n">
        <f aca="false">SUM(M76:M77)</f>
        <v>361397.41696</v>
      </c>
      <c r="N78" s="185" t="n">
        <f aca="false">SUM(N76:N77)</f>
        <v>409732.279466666</v>
      </c>
      <c r="O78" s="185" t="n">
        <f aca="false">SUM(O76:O77)</f>
        <v>423179.141973333</v>
      </c>
      <c r="P78" s="185" t="n">
        <f aca="false">SUM(P76:P77)</f>
        <v>436626.00448</v>
      </c>
      <c r="Q78" s="185" t="n">
        <f aca="false">SUM(Q76:Q77)</f>
        <v>450072.866986666</v>
      </c>
      <c r="R78" s="185" t="n">
        <f aca="false">SUM(R76:R77)</f>
        <v>463519.729493333</v>
      </c>
      <c r="S78" s="185" t="n">
        <f aca="false">SUM(S76:S77)</f>
        <v>476966.592</v>
      </c>
      <c r="T78" s="185" t="n">
        <f aca="false">SUM(T76:T77)</f>
        <v>469964.9664</v>
      </c>
      <c r="U78" s="185" t="n">
        <f aca="false">SUM(U76:U77)</f>
        <v>462963.3408</v>
      </c>
      <c r="V78" s="185" t="n">
        <f aca="false">SUM(V76:V77)</f>
        <v>455961.7152</v>
      </c>
      <c r="W78" s="185" t="n">
        <f aca="false">SUM(W76:W77)</f>
        <v>448960.0896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472536.4544</v>
      </c>
      <c r="E85" s="208" t="n">
        <f aca="false">E78</f>
        <v>253822.516906666</v>
      </c>
      <c r="F85" s="208" t="n">
        <f aca="false">F78</f>
        <v>267269.379413333</v>
      </c>
      <c r="G85" s="208" t="n">
        <f aca="false">G78</f>
        <v>280716.24192</v>
      </c>
      <c r="H85" s="208" t="n">
        <f aca="false">H78</f>
        <v>294163.104426666</v>
      </c>
      <c r="I85" s="208" t="n">
        <f aca="false">I78</f>
        <v>307609.966933333</v>
      </c>
      <c r="J85" s="208" t="n">
        <f aca="false">J78</f>
        <v>321056.82944</v>
      </c>
      <c r="K85" s="208" t="n">
        <f aca="false">K78</f>
        <v>334503.691946666</v>
      </c>
      <c r="L85" s="208" t="n">
        <f aca="false">L78</f>
        <v>347950.554453333</v>
      </c>
      <c r="M85" s="208" t="n">
        <f aca="false">M78</f>
        <v>361397.41696</v>
      </c>
      <c r="N85" s="208" t="n">
        <f aca="false">N78</f>
        <v>409732.279466666</v>
      </c>
      <c r="O85" s="208" t="n">
        <f aca="false">O78</f>
        <v>423179.141973333</v>
      </c>
      <c r="P85" s="208" t="n">
        <f aca="false">P78</f>
        <v>436626.00448</v>
      </c>
      <c r="Q85" s="208" t="n">
        <f aca="false">Q78</f>
        <v>450072.866986666</v>
      </c>
      <c r="R85" s="208" t="n">
        <f aca="false">R78</f>
        <v>463519.729493333</v>
      </c>
      <c r="S85" s="208" t="n">
        <f aca="false">S78</f>
        <v>476966.592</v>
      </c>
      <c r="T85" s="208" t="n">
        <f aca="false">T78</f>
        <v>469964.9664</v>
      </c>
      <c r="U85" s="208" t="n">
        <f aca="false">U78</f>
        <v>462963.3408</v>
      </c>
      <c r="V85" s="208" t="n">
        <f aca="false">V78</f>
        <v>455961.7152</v>
      </c>
      <c r="W85" s="208" t="n">
        <f aca="false">W78</f>
        <v>448960.0896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936057.5</v>
      </c>
      <c r="E86" s="209" t="n">
        <f aca="false">-E67</f>
        <v>936057.5</v>
      </c>
      <c r="F86" s="209" t="n">
        <f aca="false">-F67</f>
        <v>936057.5</v>
      </c>
      <c r="G86" s="209" t="n">
        <f aca="false">-G67</f>
        <v>936057.5</v>
      </c>
      <c r="H86" s="209" t="n">
        <f aca="false">-H67</f>
        <v>936057.5</v>
      </c>
      <c r="I86" s="209" t="n">
        <f aca="false">-I67</f>
        <v>936057.5</v>
      </c>
      <c r="J86" s="209" t="n">
        <f aca="false">-J67</f>
        <v>936057.5</v>
      </c>
      <c r="K86" s="209" t="n">
        <f aca="false">-K67</f>
        <v>936057.5</v>
      </c>
      <c r="L86" s="209" t="n">
        <f aca="false">-L67</f>
        <v>936057.5</v>
      </c>
      <c r="M86" s="209" t="n">
        <f aca="false">-M67</f>
        <v>936057.5</v>
      </c>
      <c r="N86" s="209" t="n">
        <f aca="false">-N67</f>
        <v>936057.5</v>
      </c>
      <c r="O86" s="209" t="n">
        <f aca="false">-O67</f>
        <v>936057.5</v>
      </c>
      <c r="P86" s="209" t="n">
        <f aca="false">-P67</f>
        <v>936057.5</v>
      </c>
      <c r="Q86" s="209" t="n">
        <f aca="false">-Q67</f>
        <v>936057.5</v>
      </c>
      <c r="R86" s="209" t="n">
        <f aca="false">-R67</f>
        <v>936057.5</v>
      </c>
      <c r="S86" s="209" t="n">
        <f aca="false">-S67</f>
        <v>936057.5</v>
      </c>
      <c r="T86" s="209" t="n">
        <f aca="false">-T67</f>
        <v>936057.5</v>
      </c>
      <c r="U86" s="209" t="n">
        <f aca="false">-U67</f>
        <v>936057.5</v>
      </c>
      <c r="V86" s="209" t="n">
        <f aca="false">-V67</f>
        <v>936057.5</v>
      </c>
      <c r="W86" s="209" t="n">
        <f aca="false">-W67</f>
        <v>936057.5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1408593.9544</v>
      </c>
      <c r="E87" s="211" t="n">
        <f aca="false">SUM(E85:E86)</f>
        <v>1189880.01690667</v>
      </c>
      <c r="F87" s="211" t="n">
        <f aca="false">SUM(F85:F86)</f>
        <v>1203326.87941333</v>
      </c>
      <c r="G87" s="211" t="n">
        <f aca="false">SUM(G85:G86)</f>
        <v>1216773.74192</v>
      </c>
      <c r="H87" s="211" t="n">
        <f aca="false">SUM(H85:H86)</f>
        <v>1230220.60442667</v>
      </c>
      <c r="I87" s="211" t="n">
        <f aca="false">SUM(I85:I86)</f>
        <v>1243667.46693333</v>
      </c>
      <c r="J87" s="211" t="n">
        <f aca="false">SUM(J85:J86)</f>
        <v>1257114.32944</v>
      </c>
      <c r="K87" s="211" t="n">
        <f aca="false">SUM(K85:K86)</f>
        <v>1270561.19194667</v>
      </c>
      <c r="L87" s="211" t="n">
        <f aca="false">SUM(L85:L86)</f>
        <v>1284008.05445333</v>
      </c>
      <c r="M87" s="211" t="n">
        <f aca="false">SUM(M85:M86)</f>
        <v>1297454.91696</v>
      </c>
      <c r="N87" s="211" t="n">
        <f aca="false">SUM(N85:N86)</f>
        <v>1345789.77946667</v>
      </c>
      <c r="O87" s="211" t="n">
        <f aca="false">SUM(O85:O86)</f>
        <v>1359236.64197333</v>
      </c>
      <c r="P87" s="211" t="n">
        <f aca="false">SUM(P85:P86)</f>
        <v>1372683.50448</v>
      </c>
      <c r="Q87" s="211" t="n">
        <f aca="false">SUM(Q85:Q86)</f>
        <v>1386130.36698667</v>
      </c>
      <c r="R87" s="211" t="n">
        <f aca="false">SUM(R85:R86)</f>
        <v>1399577.22949333</v>
      </c>
      <c r="S87" s="211" t="n">
        <f aca="false">SUM(S85:S86)</f>
        <v>1413024.092</v>
      </c>
      <c r="T87" s="211" t="n">
        <f aca="false">SUM(T85:T86)</f>
        <v>1406022.4664</v>
      </c>
      <c r="U87" s="211" t="n">
        <f aca="false">SUM(U85:U86)</f>
        <v>1399020.8408</v>
      </c>
      <c r="V87" s="211" t="n">
        <f aca="false">SUM(V85:V86)</f>
        <v>1392019.2152</v>
      </c>
      <c r="W87" s="211" t="n">
        <f aca="false">SUM(W85:W86)</f>
        <v>1385017.5896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-18721150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14976920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-998461.333333333</v>
      </c>
      <c r="F93" s="217" t="n">
        <v>-998461.333333333</v>
      </c>
      <c r="G93" s="217" t="n">
        <v>-998461.333333333</v>
      </c>
      <c r="H93" s="217" t="n">
        <v>-998461.333333333</v>
      </c>
      <c r="I93" s="217" t="n">
        <v>-998461.333333333</v>
      </c>
      <c r="J93" s="217" t="n">
        <v>-998461.333333333</v>
      </c>
      <c r="K93" s="217" t="n">
        <v>-998461.333333333</v>
      </c>
      <c r="L93" s="217" t="n">
        <v>-998461.333333333</v>
      </c>
      <c r="M93" s="217" t="n">
        <v>-998461.333333333</v>
      </c>
      <c r="N93" s="217" t="n">
        <v>-998461.333333333</v>
      </c>
      <c r="O93" s="217" t="n">
        <v>-998461.333333333</v>
      </c>
      <c r="P93" s="217" t="n">
        <v>-998461.333333333</v>
      </c>
      <c r="Q93" s="217" t="n">
        <v>-998461.333333333</v>
      </c>
      <c r="R93" s="217" t="n">
        <v>-998461.333333333</v>
      </c>
      <c r="S93" s="217" t="n">
        <v>-998461.333333333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3744230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-425282.80896</v>
      </c>
      <c r="F95" s="153" t="n">
        <f aca="false">-E85*$D$33</f>
        <v>-228440.265216</v>
      </c>
      <c r="G95" s="153" t="n">
        <f aca="false">-F85*$D$33</f>
        <v>-240542.441472</v>
      </c>
      <c r="H95" s="153" t="n">
        <f aca="false">-G85*$D$33</f>
        <v>-252644.617728</v>
      </c>
      <c r="I95" s="153" t="n">
        <f aca="false">-H85*$D$33</f>
        <v>-264746.793984</v>
      </c>
      <c r="J95" s="153" t="n">
        <f aca="false">-I85*$D$33</f>
        <v>-276848.97024</v>
      </c>
      <c r="K95" s="153" t="n">
        <f aca="false">-J85*$D$33</f>
        <v>-288951.146496</v>
      </c>
      <c r="L95" s="153" t="n">
        <f aca="false">-K85*$D$33</f>
        <v>-301053.322752</v>
      </c>
      <c r="M95" s="153" t="n">
        <f aca="false">-L85*$D$33</f>
        <v>-313155.499008</v>
      </c>
      <c r="N95" s="153" t="n">
        <f aca="false">-M85*$D$33</f>
        <v>-325257.675264</v>
      </c>
      <c r="O95" s="153" t="n">
        <f aca="false">-N85*$D$33</f>
        <v>-368759.05152</v>
      </c>
      <c r="P95" s="153" t="n">
        <f aca="false">-O85*$D$33</f>
        <v>-380861.227776</v>
      </c>
      <c r="Q95" s="153" t="n">
        <f aca="false">-P85*$D$33</f>
        <v>-392963.404032</v>
      </c>
      <c r="R95" s="153" t="n">
        <f aca="false">-Q85*$D$33</f>
        <v>-405065.580288</v>
      </c>
      <c r="S95" s="153" t="n">
        <f aca="false">-R85*$D$33</f>
        <v>-417167.756544</v>
      </c>
      <c r="T95" s="153" t="n">
        <f aca="false">-S85*$D$33</f>
        <v>-429269.9328</v>
      </c>
      <c r="U95" s="153" t="n">
        <f aca="false">-T85*$D$33</f>
        <v>-422968.46976</v>
      </c>
      <c r="V95" s="153" t="n">
        <f aca="false">-U85*$D$33</f>
        <v>-416667.00672</v>
      </c>
      <c r="W95" s="153" t="n">
        <f aca="false">-V85*$D$33</f>
        <v>-410365.54368</v>
      </c>
      <c r="X95" s="153" t="n">
        <f aca="false">-W85*$D$33</f>
        <v>-404064.08064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-936057.5</v>
      </c>
      <c r="U96" s="220" t="n">
        <v>-936057.5</v>
      </c>
      <c r="V96" s="220" t="n">
        <v>-936057.5</v>
      </c>
      <c r="W96" s="220" t="n">
        <v>-936057.5</v>
      </c>
      <c r="X96" s="221" t="n">
        <f aca="false">-W101-X95</f>
        <v>-773897.288320005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1408593.9544</v>
      </c>
      <c r="E99" s="208" t="n">
        <f aca="false">SUM(E87:E96)</f>
        <v>-233864.125386667</v>
      </c>
      <c r="F99" s="208" t="n">
        <f aca="false">SUM(F87:F96)</f>
        <v>-23574.7191359995</v>
      </c>
      <c r="G99" s="208" t="n">
        <f aca="false">SUM(G87:G96)</f>
        <v>-22230.0328853333</v>
      </c>
      <c r="H99" s="208" t="n">
        <f aca="false">SUM(H87:H96)</f>
        <v>-20885.3466346666</v>
      </c>
      <c r="I99" s="208" t="n">
        <f aca="false">SUM(I87:I96)</f>
        <v>-19540.6603839998</v>
      </c>
      <c r="J99" s="208" t="n">
        <f aca="false">SUM(J87:J96)</f>
        <v>-18195.9741333331</v>
      </c>
      <c r="K99" s="208" t="n">
        <f aca="false">SUM(K87:K96)</f>
        <v>-16851.2878826666</v>
      </c>
      <c r="L99" s="208" t="n">
        <f aca="false">SUM(L87:L96)</f>
        <v>-15506.6016319998</v>
      </c>
      <c r="M99" s="208" t="n">
        <f aca="false">SUM(M87:M96)</f>
        <v>-14161.915381333</v>
      </c>
      <c r="N99" s="208" t="n">
        <f aca="false">SUM(N87:N96)</f>
        <v>22070.7708693334</v>
      </c>
      <c r="O99" s="208" t="n">
        <f aca="false">SUM(O87:O96)</f>
        <v>-7983.74287999963</v>
      </c>
      <c r="P99" s="208" t="n">
        <f aca="false">SUM(P87:P96)</f>
        <v>-6639.05662933306</v>
      </c>
      <c r="Q99" s="208" t="n">
        <f aca="false">SUM(Q87:Q96)</f>
        <v>-5294.37037866638</v>
      </c>
      <c r="R99" s="208" t="n">
        <f aca="false">SUM(R87:R96)</f>
        <v>-3949.68412799994</v>
      </c>
      <c r="S99" s="208" t="n">
        <f aca="false">SUM(S87:S96)</f>
        <v>-2604.99787733291</v>
      </c>
      <c r="T99" s="208" t="n">
        <f aca="false">SUM(T87:T96)</f>
        <v>40695.0336</v>
      </c>
      <c r="U99" s="208" t="n">
        <f aca="false">SUM(U87:U96)</f>
        <v>39994.8710400001</v>
      </c>
      <c r="V99" s="208" t="n">
        <f aca="false">SUM(V87:V96)</f>
        <v>39294.7084800002</v>
      </c>
      <c r="W99" s="208" t="n">
        <f aca="false">SUM(W87:W96)</f>
        <v>38594.5459200004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1408593.9544</v>
      </c>
      <c r="F100" s="208" t="n">
        <f aca="false">E101</f>
        <v>1174729.82901333</v>
      </c>
      <c r="G100" s="208" t="n">
        <f aca="false">F101</f>
        <v>1151155.10987733</v>
      </c>
      <c r="H100" s="208" t="n">
        <f aca="false">G101</f>
        <v>1128925.076992</v>
      </c>
      <c r="I100" s="208" t="n">
        <f aca="false">H101</f>
        <v>1108039.73035733</v>
      </c>
      <c r="J100" s="208" t="n">
        <f aca="false">I101</f>
        <v>1088499.06997333</v>
      </c>
      <c r="K100" s="208" t="n">
        <f aca="false">J101</f>
        <v>1070303.09584</v>
      </c>
      <c r="L100" s="208" t="n">
        <f aca="false">K101</f>
        <v>1053451.80795734</v>
      </c>
      <c r="M100" s="208" t="n">
        <f aca="false">L101</f>
        <v>1037945.20632534</v>
      </c>
      <c r="N100" s="208" t="n">
        <f aca="false">M101</f>
        <v>1023783.290944</v>
      </c>
      <c r="O100" s="208" t="n">
        <f aca="false">N101</f>
        <v>1045854.06181334</v>
      </c>
      <c r="P100" s="208" t="n">
        <f aca="false">O101</f>
        <v>1037870.31893334</v>
      </c>
      <c r="Q100" s="208" t="n">
        <f aca="false">P101</f>
        <v>1031231.262304</v>
      </c>
      <c r="R100" s="208" t="n">
        <f aca="false">Q101</f>
        <v>1025936.89192534</v>
      </c>
      <c r="S100" s="208" t="n">
        <f aca="false">R101</f>
        <v>1021987.20779734</v>
      </c>
      <c r="T100" s="208" t="n">
        <f aca="false">S101</f>
        <v>1019382.20992</v>
      </c>
      <c r="U100" s="208" t="n">
        <f aca="false">T101</f>
        <v>1060077.24352</v>
      </c>
      <c r="V100" s="208" t="n">
        <f aca="false">U101</f>
        <v>1100072.11456</v>
      </c>
      <c r="W100" s="208" t="n">
        <f aca="false">V101</f>
        <v>1139366.82304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1408593.9544</v>
      </c>
      <c r="E101" s="208" t="n">
        <f aca="false">E99+E100</f>
        <v>1174729.82901333</v>
      </c>
      <c r="F101" s="208" t="n">
        <f aca="false">F99+F100</f>
        <v>1151155.10987733</v>
      </c>
      <c r="G101" s="208" t="n">
        <f aca="false">G99+G100</f>
        <v>1128925.076992</v>
      </c>
      <c r="H101" s="208" t="n">
        <f aca="false">H99+H100</f>
        <v>1108039.73035733</v>
      </c>
      <c r="I101" s="208" t="n">
        <f aca="false">I99+I100</f>
        <v>1088499.06997333</v>
      </c>
      <c r="J101" s="208" t="n">
        <f aca="false">J99+J100</f>
        <v>1070303.09584</v>
      </c>
      <c r="K101" s="208" t="n">
        <f aca="false">K99+K100</f>
        <v>1053451.80795734</v>
      </c>
      <c r="L101" s="208" t="n">
        <f aca="false">L99+L100</f>
        <v>1037945.20632534</v>
      </c>
      <c r="M101" s="208" t="n">
        <f aca="false">M99+M100</f>
        <v>1023783.290944</v>
      </c>
      <c r="N101" s="208" t="n">
        <f aca="false">N99+N100</f>
        <v>1045854.06181334</v>
      </c>
      <c r="O101" s="208" t="n">
        <f aca="false">O99+O100</f>
        <v>1037870.31893334</v>
      </c>
      <c r="P101" s="208" t="n">
        <f aca="false">P99+P100</f>
        <v>1031231.262304</v>
      </c>
      <c r="Q101" s="208" t="n">
        <f aca="false">Q99+Q100</f>
        <v>1025936.89192534</v>
      </c>
      <c r="R101" s="208" t="n">
        <f aca="false">R99+R100</f>
        <v>1021987.20779734</v>
      </c>
      <c r="S101" s="208" t="n">
        <f aca="false">S99+S100</f>
        <v>1019382.20992</v>
      </c>
      <c r="T101" s="208" t="n">
        <f aca="false">T99+T100</f>
        <v>1060077.24352</v>
      </c>
      <c r="U101" s="208" t="n">
        <f aca="false">U99+U100</f>
        <v>1100072.11456</v>
      </c>
      <c r="V101" s="208" t="n">
        <f aca="false">V99+V100</f>
        <v>1139366.82304</v>
      </c>
      <c r="W101" s="208" t="n">
        <f aca="false">W99+W100</f>
        <v>1177961.36896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-3744230</v>
      </c>
      <c r="E104" s="211" t="n">
        <f aca="false">-E95-E96</f>
        <v>425282.80896</v>
      </c>
      <c r="F104" s="211" t="n">
        <f aca="false">-F95-F96</f>
        <v>228440.265216</v>
      </c>
      <c r="G104" s="211" t="n">
        <f aca="false">-G95-G96</f>
        <v>240542.441472</v>
      </c>
      <c r="H104" s="211" t="n">
        <f aca="false">-H95-H96</f>
        <v>252644.617728</v>
      </c>
      <c r="I104" s="211" t="n">
        <f aca="false">-I95-I96</f>
        <v>264746.793984</v>
      </c>
      <c r="J104" s="211" t="n">
        <f aca="false">-J95-J96</f>
        <v>276848.97024</v>
      </c>
      <c r="K104" s="211" t="n">
        <f aca="false">-K95-K96</f>
        <v>288951.146496</v>
      </c>
      <c r="L104" s="211" t="n">
        <f aca="false">-L95-L96</f>
        <v>301053.322752</v>
      </c>
      <c r="M104" s="211" t="n">
        <f aca="false">-M95-M96</f>
        <v>313155.499008</v>
      </c>
      <c r="N104" s="211" t="n">
        <f aca="false">-N95-N96</f>
        <v>325257.675264</v>
      </c>
      <c r="O104" s="211" t="n">
        <f aca="false">-O95-O96</f>
        <v>368759.05152</v>
      </c>
      <c r="P104" s="211" t="n">
        <f aca="false">-P95-P96</f>
        <v>380861.227776</v>
      </c>
      <c r="Q104" s="211" t="n">
        <f aca="false">-Q95-Q96</f>
        <v>392963.404032</v>
      </c>
      <c r="R104" s="211" t="n">
        <f aca="false">-R95-R96</f>
        <v>405065.580288</v>
      </c>
      <c r="S104" s="211" t="n">
        <f aca="false">-S95-S96</f>
        <v>417167.756544</v>
      </c>
      <c r="T104" s="211" t="n">
        <f aca="false">-T95-T96</f>
        <v>1365327.4328</v>
      </c>
      <c r="U104" s="211" t="n">
        <f aca="false">-U95-U96</f>
        <v>1359025.96976</v>
      </c>
      <c r="V104" s="211" t="n">
        <f aca="false">-V95-V96</f>
        <v>1352724.50672</v>
      </c>
      <c r="W104" s="211" t="n">
        <f aca="false">-W95-W96</f>
        <v>1346423.04368</v>
      </c>
      <c r="X104" s="211" t="n">
        <f aca="false">-X95-X96</f>
        <v>1177961.36896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0.0950632849633549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-3271693.5456</v>
      </c>
      <c r="E106" s="211" t="n">
        <f aca="false">E85</f>
        <v>253822.516906666</v>
      </c>
      <c r="F106" s="211" t="n">
        <f aca="false">F85-F96</f>
        <v>267269.379413333</v>
      </c>
      <c r="G106" s="211" t="n">
        <f aca="false">G85-G96</f>
        <v>280716.24192</v>
      </c>
      <c r="H106" s="211" t="n">
        <f aca="false">H85-H96</f>
        <v>294163.104426666</v>
      </c>
      <c r="I106" s="211" t="n">
        <f aca="false">I85-I96</f>
        <v>307609.966933333</v>
      </c>
      <c r="J106" s="211" t="n">
        <f aca="false">J85-J96</f>
        <v>321056.82944</v>
      </c>
      <c r="K106" s="211" t="n">
        <f aca="false">K85-K96</f>
        <v>334503.691946666</v>
      </c>
      <c r="L106" s="211" t="n">
        <f aca="false">L85-L96</f>
        <v>347950.554453333</v>
      </c>
      <c r="M106" s="211" t="n">
        <f aca="false">M85-M96</f>
        <v>361397.41696</v>
      </c>
      <c r="N106" s="211" t="n">
        <f aca="false">N85-N96</f>
        <v>409732.279466666</v>
      </c>
      <c r="O106" s="211" t="n">
        <f aca="false">O85-O96</f>
        <v>423179.141973333</v>
      </c>
      <c r="P106" s="211" t="n">
        <f aca="false">P85-P96</f>
        <v>436626.00448</v>
      </c>
      <c r="Q106" s="211" t="n">
        <f aca="false">Q85-Q96</f>
        <v>450072.866986666</v>
      </c>
      <c r="R106" s="211" t="n">
        <f aca="false">R85-R96</f>
        <v>463519.729493333</v>
      </c>
      <c r="S106" s="211" t="n">
        <f aca="false">S85-S96</f>
        <v>476966.592</v>
      </c>
      <c r="T106" s="211" t="n">
        <f aca="false">T85-T96</f>
        <v>1406022.4664</v>
      </c>
      <c r="U106" s="211" t="n">
        <f aca="false">U85-U96</f>
        <v>1399020.8408</v>
      </c>
      <c r="V106" s="211" t="n">
        <f aca="false">V85-V96</f>
        <v>1392019.2152</v>
      </c>
      <c r="W106" s="211" t="n">
        <f aca="false">W85-W96</f>
        <v>1385017.5896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0.110431014951646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14976920</v>
      </c>
      <c r="E109" s="208" t="n">
        <f aca="false">D109+E93</f>
        <v>13978458.6666667</v>
      </c>
      <c r="F109" s="208" t="n">
        <f aca="false">E109+F93</f>
        <v>12979997.3333333</v>
      </c>
      <c r="G109" s="208" t="n">
        <f aca="false">F109+G93</f>
        <v>11981536</v>
      </c>
      <c r="H109" s="208" t="n">
        <f aca="false">G109+H93</f>
        <v>10983074.6666667</v>
      </c>
      <c r="I109" s="208" t="n">
        <f aca="false">H109+I93</f>
        <v>9984613.33333333</v>
      </c>
      <c r="J109" s="208" t="n">
        <f aca="false">I109+J93</f>
        <v>8986152</v>
      </c>
      <c r="K109" s="208" t="n">
        <f aca="false">J109+K93</f>
        <v>7987690.66666667</v>
      </c>
      <c r="L109" s="208" t="n">
        <f aca="false">K109+L93</f>
        <v>6989229.33333333</v>
      </c>
      <c r="M109" s="208" t="n">
        <f aca="false">L109+M93</f>
        <v>5990768</v>
      </c>
      <c r="N109" s="208" t="n">
        <f aca="false">M109+N93</f>
        <v>4992306.66666667</v>
      </c>
      <c r="O109" s="208" t="n">
        <f aca="false">N109+O93</f>
        <v>3993845.33333333</v>
      </c>
      <c r="P109" s="208" t="n">
        <f aca="false">O109+P93</f>
        <v>2995384</v>
      </c>
      <c r="Q109" s="208" t="n">
        <f aca="false">P109+Q93</f>
        <v>1996922.66666667</v>
      </c>
      <c r="R109" s="208" t="n">
        <f aca="false">Q109+R93</f>
        <v>998461.333333334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282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171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211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283</v>
      </c>
    </row>
    <row r="8" customFormat="false" ht="22.5" hidden="false" customHeight="true" outlineLevel="0" collapsed="false">
      <c r="B8" s="16" t="s">
        <v>14</v>
      </c>
      <c r="E8" s="165"/>
      <c r="M8" s="0" t="s">
        <v>284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97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27500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-17786650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-35978.25</v>
      </c>
      <c r="E49" s="185" t="n">
        <v>-35978.25</v>
      </c>
      <c r="F49" s="185" t="n">
        <v>-35978.25</v>
      </c>
      <c r="G49" s="185" t="n">
        <v>-35978.25</v>
      </c>
      <c r="H49" s="185" t="n">
        <v>-35978.25</v>
      </c>
      <c r="I49" s="185" t="n">
        <v>-35978.25</v>
      </c>
      <c r="J49" s="185" t="n">
        <v>-35978.25</v>
      </c>
      <c r="K49" s="185" t="n">
        <v>-35978.25</v>
      </c>
      <c r="L49" s="185" t="n">
        <v>-35978.25</v>
      </c>
      <c r="M49" s="185" t="n">
        <v>-35978.25</v>
      </c>
      <c r="N49" s="185" t="n">
        <v>-35978.25</v>
      </c>
      <c r="O49" s="185" t="n">
        <v>-35978.25</v>
      </c>
      <c r="P49" s="185" t="n">
        <v>-35978.25</v>
      </c>
      <c r="Q49" s="185" t="n">
        <v>-35978.25</v>
      </c>
      <c r="R49" s="185" t="n">
        <v>-35978.25</v>
      </c>
      <c r="S49" s="185" t="n">
        <v>-35978.25</v>
      </c>
      <c r="T49" s="185" t="n">
        <v>-35978.25</v>
      </c>
      <c r="U49" s="185" t="n">
        <v>-35978.25</v>
      </c>
      <c r="V49" s="185" t="n">
        <v>-35978.25</v>
      </c>
      <c r="W49" s="185" t="n">
        <v>-35978.25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-204553.434</v>
      </c>
      <c r="E54" s="185" t="n">
        <f aca="false">-(E64+E67+E68+E71+E72+E73+E74)*0.2</f>
        <v>-144762.8276</v>
      </c>
      <c r="F54" s="185" t="n">
        <f aca="false">-(F64+F67+F68+F71+F72+F73+F74)*0.2</f>
        <v>-143012.4212</v>
      </c>
      <c r="G54" s="185" t="n">
        <f aca="false">-(G64+G67+G68+G71+G72+G73+G74)*0.2</f>
        <v>-141262.0148</v>
      </c>
      <c r="H54" s="185" t="n">
        <f aca="false">-(H64+H67+H68+H71+H72+H73+H74)*0.2</f>
        <v>-139511.6084</v>
      </c>
      <c r="I54" s="185" t="n">
        <f aca="false">-(I64+I67+I68+I71+I72+I73+I74)*0.2</f>
        <v>-137761.202</v>
      </c>
      <c r="J54" s="185" t="n">
        <f aca="false">-(J64+J67+J68+J71+J72+J73+J74)*0.2</f>
        <v>-136010.7956</v>
      </c>
      <c r="K54" s="185" t="n">
        <f aca="false">-(K64+K67+K68+K71+K72+K73+K74)*0.2</f>
        <v>-134260.3892</v>
      </c>
      <c r="L54" s="185" t="n">
        <f aca="false">-(L64+L67+L68+L71+L72+L73+L74)*0.2</f>
        <v>-132509.9828</v>
      </c>
      <c r="M54" s="185" t="n">
        <f aca="false">-(M64+M67+M68+M71+M72+M73+M74)*0.2</f>
        <v>-130759.5764</v>
      </c>
      <c r="N54" s="185" t="n">
        <f aca="false">-(N64+N67+N68+N71+N72+N73+N74)*0.2</f>
        <v>-137731.17</v>
      </c>
      <c r="O54" s="185" t="n">
        <f aca="false">-(O64+O67+O68+O71+O72+O73+O74)*0.2</f>
        <v>-135980.7636</v>
      </c>
      <c r="P54" s="185" t="n">
        <f aca="false">-(P64+P67+P68+P71+P72+P73+P74)*0.2</f>
        <v>-134230.3572</v>
      </c>
      <c r="Q54" s="185" t="n">
        <f aca="false">-(Q64+Q67+Q68+Q71+Q72+Q73+Q74)*0.2</f>
        <v>-132479.9508</v>
      </c>
      <c r="R54" s="185" t="n">
        <f aca="false">-(R64+R67+R68+R71+R72+R73+R74)*0.2</f>
        <v>-130729.5444</v>
      </c>
      <c r="S54" s="185" t="n">
        <f aca="false">-(S64+S67+S68+S71+S72+S73+S74)*0.2</f>
        <v>-128979.138</v>
      </c>
      <c r="T54" s="185" t="n">
        <f aca="false">-(T64+T67+T68+T71+T72+T73+T74)*0.2</f>
        <v>-127228.7316</v>
      </c>
      <c r="U54" s="185" t="n">
        <f aca="false">-(U64+U67+U68+U71+U72+U73+U74)*0.2</f>
        <v>-125478.3252</v>
      </c>
      <c r="V54" s="185" t="n">
        <f aca="false">-(V64+V67+V68+V71+V72+V73+V74)*0.2</f>
        <v>-123727.9188</v>
      </c>
      <c r="W54" s="185" t="n">
        <f aca="false">-(W64+W67+W68+W71+W72+W73+W74)*0.2</f>
        <v>-121977.5124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-17786650</v>
      </c>
      <c r="D55" s="190" t="n">
        <f aca="false">SUM(D41:D54)</f>
        <v>1417345.236</v>
      </c>
      <c r="E55" s="190" t="n">
        <f aca="false">SUM(E41:E54)</f>
        <v>1468383.8104</v>
      </c>
      <c r="F55" s="190" t="n">
        <f aca="false">SUM(F41:F54)</f>
        <v>1461382.1848</v>
      </c>
      <c r="G55" s="190" t="n">
        <f aca="false">SUM(G41:G54)</f>
        <v>1454380.5592</v>
      </c>
      <c r="H55" s="190" t="n">
        <f aca="false">SUM(H41:H54)</f>
        <v>1447378.9336</v>
      </c>
      <c r="I55" s="190" t="n">
        <f aca="false">SUM(I41:I54)</f>
        <v>1440377.308</v>
      </c>
      <c r="J55" s="190" t="n">
        <f aca="false">SUM(J41:J54)</f>
        <v>1433375.6824</v>
      </c>
      <c r="K55" s="190" t="n">
        <f aca="false">SUM(K41:K54)</f>
        <v>1426374.0568</v>
      </c>
      <c r="L55" s="190" t="n">
        <f aca="false">SUM(L41:L54)</f>
        <v>1419372.4312</v>
      </c>
      <c r="M55" s="190" t="n">
        <f aca="false">SUM(M41:M54)</f>
        <v>1412370.8056</v>
      </c>
      <c r="N55" s="190" t="n">
        <f aca="false">SUM(N41:N54)</f>
        <v>1440257.18</v>
      </c>
      <c r="O55" s="190" t="n">
        <f aca="false">SUM(O41:O54)</f>
        <v>1433255.5544</v>
      </c>
      <c r="P55" s="190" t="n">
        <f aca="false">SUM(P41:P54)</f>
        <v>1426253.9288</v>
      </c>
      <c r="Q55" s="190" t="n">
        <f aca="false">SUM(Q41:Q54)</f>
        <v>1419252.3032</v>
      </c>
      <c r="R55" s="190" t="n">
        <f aca="false">SUM(R41:R54)</f>
        <v>1412250.6776</v>
      </c>
      <c r="S55" s="190" t="n">
        <f aca="false">SUM(S41:S54)</f>
        <v>1405249.052</v>
      </c>
      <c r="T55" s="190" t="n">
        <f aca="false">SUM(T41:T54)</f>
        <v>1398247.4264</v>
      </c>
      <c r="U55" s="190" t="n">
        <f aca="false">SUM(U41:U54)</f>
        <v>1391245.8008</v>
      </c>
      <c r="V55" s="190" t="n">
        <f aca="false">SUM(V41:V54)</f>
        <v>1384244.1752</v>
      </c>
      <c r="W55" s="190" t="n">
        <f aca="false">SUM(W41:W54)</f>
        <v>1377242.5496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-16369304.764</v>
      </c>
      <c r="E56" s="195" t="n">
        <f aca="false">D56+E55</f>
        <v>-14900920.9536</v>
      </c>
      <c r="F56" s="195" t="n">
        <f aca="false">E56+F55</f>
        <v>-13439538.7688</v>
      </c>
      <c r="G56" s="195" t="n">
        <f aca="false">F56+G55</f>
        <v>-11985158.2096</v>
      </c>
      <c r="H56" s="195" t="n">
        <f aca="false">G56+H55</f>
        <v>-10537779.276</v>
      </c>
      <c r="I56" s="195" t="n">
        <f aca="false">H56+I55</f>
        <v>-9097401.968</v>
      </c>
      <c r="J56" s="195" t="n">
        <f aca="false">I56+J55</f>
        <v>-7664026.2856</v>
      </c>
      <c r="K56" s="195" t="n">
        <f aca="false">J56+K55</f>
        <v>-6237652.2288</v>
      </c>
      <c r="L56" s="195" t="n">
        <f aca="false">K56+L55</f>
        <v>-4818279.7976</v>
      </c>
      <c r="M56" s="195" t="n">
        <f aca="false">L56+M55</f>
        <v>-3405908.992</v>
      </c>
      <c r="N56" s="195" t="n">
        <f aca="false">M56+N55</f>
        <v>-1965651.812</v>
      </c>
      <c r="O56" s="195" t="n">
        <f aca="false">N56+O55</f>
        <v>-532396.257600003</v>
      </c>
      <c r="P56" s="195" t="n">
        <f aca="false">O56+P55</f>
        <v>893857.671199997</v>
      </c>
      <c r="Q56" s="195" t="n">
        <f aca="false">P56+Q55</f>
        <v>2313109.9744</v>
      </c>
      <c r="R56" s="195" t="n">
        <f aca="false">Q56+R55</f>
        <v>3725360.652</v>
      </c>
      <c r="S56" s="195" t="n">
        <f aca="false">R56+S55</f>
        <v>5130609.704</v>
      </c>
      <c r="T56" s="195" t="n">
        <f aca="false">S56+T55</f>
        <v>6528857.1304</v>
      </c>
      <c r="U56" s="195" t="n">
        <f aca="false">T56+U55</f>
        <v>7920102.9312</v>
      </c>
      <c r="V56" s="195" t="n">
        <f aca="false">U56+V55</f>
        <v>9304347.1064</v>
      </c>
      <c r="W56" s="195" t="n">
        <f aca="false">V56+W55</f>
        <v>10681589.656</v>
      </c>
      <c r="X56" s="195" t="n">
        <f aca="false">W56+X55</f>
        <v>10681589.656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未回收</v>
      </c>
      <c r="O57" s="199" t="str">
        <f aca="false">IF((O56)&gt;0,"回收","未回收")</f>
        <v>未回收</v>
      </c>
      <c r="P57" s="199" t="str">
        <f aca="false">IF((P56)&gt;0,"回收","未回收")</f>
        <v>回收</v>
      </c>
      <c r="Q57" s="199" t="str">
        <f aca="false">IF((Q56)&gt;0,"回收","未回收")</f>
        <v>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0.050136646423519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-889332.5</v>
      </c>
      <c r="E67" s="200" t="n">
        <f aca="false">$C$44/$E$16</f>
        <v>-889332.5</v>
      </c>
      <c r="F67" s="200" t="n">
        <f aca="false">$C$44/$E$16</f>
        <v>-889332.5</v>
      </c>
      <c r="G67" s="200" t="n">
        <f aca="false">$C$44/$E$16</f>
        <v>-889332.5</v>
      </c>
      <c r="H67" s="200" t="n">
        <f aca="false">$C$44/$E$16</f>
        <v>-889332.5</v>
      </c>
      <c r="I67" s="200" t="n">
        <f aca="false">$C$44/$E$16</f>
        <v>-889332.5</v>
      </c>
      <c r="J67" s="200" t="n">
        <f aca="false">$C$44/$E$16</f>
        <v>-889332.5</v>
      </c>
      <c r="K67" s="200" t="n">
        <f aca="false">$C$44/$E$16</f>
        <v>-889332.5</v>
      </c>
      <c r="L67" s="200" t="n">
        <f aca="false">$C$44/$E$16</f>
        <v>-889332.5</v>
      </c>
      <c r="M67" s="200" t="n">
        <f aca="false">$C$44/$E$16</f>
        <v>-889332.5</v>
      </c>
      <c r="N67" s="200" t="n">
        <f aca="false">$C$44/$E$16</f>
        <v>-889332.5</v>
      </c>
      <c r="O67" s="200" t="n">
        <f aca="false">$C$44/$E$16</f>
        <v>-889332.5</v>
      </c>
      <c r="P67" s="200" t="n">
        <f aca="false">$C$44/$E$16</f>
        <v>-889332.5</v>
      </c>
      <c r="Q67" s="200" t="n">
        <f aca="false">$C$44/$E$16</f>
        <v>-889332.5</v>
      </c>
      <c r="R67" s="200" t="n">
        <f aca="false">$C$44/$E$16</f>
        <v>-889332.5</v>
      </c>
      <c r="S67" s="200" t="n">
        <f aca="false">$C$44/$E$16</f>
        <v>-889332.5</v>
      </c>
      <c r="T67" s="200" t="n">
        <f aca="false">$C$44/$E$16</f>
        <v>-889332.5</v>
      </c>
      <c r="U67" s="200" t="n">
        <f aca="false">$C$44/$E$16</f>
        <v>-889332.5</v>
      </c>
      <c r="V67" s="200" t="n">
        <f aca="false">$C$44/$E$16</f>
        <v>-889332.5</v>
      </c>
      <c r="W67" s="200" t="n">
        <f aca="false">$C$44/$E$16</f>
        <v>-889332.5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-364270.592</v>
      </c>
      <c r="E70" s="185" t="n">
        <f aca="false">-E109*$D25</f>
        <v>-339985.885866667</v>
      </c>
      <c r="F70" s="185" t="n">
        <f aca="false">-F109*$D25</f>
        <v>-315701.179733333</v>
      </c>
      <c r="G70" s="185" t="n">
        <f aca="false">-G109*$D25</f>
        <v>-291416.4736</v>
      </c>
      <c r="H70" s="185" t="n">
        <f aca="false">-H109*$D25</f>
        <v>-267131.767466667</v>
      </c>
      <c r="I70" s="185" t="n">
        <f aca="false">-I109*$D25</f>
        <v>-242847.061333333</v>
      </c>
      <c r="J70" s="185" t="n">
        <f aca="false">-J109*$D25</f>
        <v>-218562.3552</v>
      </c>
      <c r="K70" s="185" t="n">
        <f aca="false">-K109*$D25</f>
        <v>-194277.649066667</v>
      </c>
      <c r="L70" s="185" t="n">
        <f aca="false">-L109*$D25</f>
        <v>-169992.942933333</v>
      </c>
      <c r="M70" s="185" t="n">
        <f aca="false">-M109*$D25</f>
        <v>-145708.2368</v>
      </c>
      <c r="N70" s="185" t="n">
        <f aca="false">-N109*$D25</f>
        <v>-121423.530666667</v>
      </c>
      <c r="O70" s="185" t="n">
        <f aca="false">-O109*$D25</f>
        <v>-97138.8245333334</v>
      </c>
      <c r="P70" s="185" t="n">
        <f aca="false">-P109*$D25</f>
        <v>-72854.1184</v>
      </c>
      <c r="Q70" s="185" t="n">
        <f aca="false">-Q109*$D25</f>
        <v>-48569.4122666667</v>
      </c>
      <c r="R70" s="185" t="n">
        <f aca="false">-R109*$D25</f>
        <v>-24284.7061333334</v>
      </c>
      <c r="S70" s="185" t="n">
        <f aca="false">-S109*$D25</f>
        <v>-0</v>
      </c>
      <c r="T70" s="185" t="n">
        <f aca="false">-T109*$D25</f>
        <v>-0</v>
      </c>
      <c r="U70" s="185" t="n">
        <f aca="false">-U109*$D25</f>
        <v>-0</v>
      </c>
      <c r="V70" s="185" t="n">
        <f aca="false">-V109*$D25</f>
        <v>-0</v>
      </c>
      <c r="W70" s="185" t="n">
        <f aca="false">-W109*$D25</f>
        <v>-0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-35978.25</v>
      </c>
      <c r="E72" s="185" t="n">
        <f aca="false">E49</f>
        <v>-35978.25</v>
      </c>
      <c r="F72" s="185" t="n">
        <f aca="false">F49</f>
        <v>-35978.25</v>
      </c>
      <c r="G72" s="185" t="n">
        <f aca="false">G49</f>
        <v>-35978.25</v>
      </c>
      <c r="H72" s="185" t="n">
        <f aca="false">H49</f>
        <v>-35978.25</v>
      </c>
      <c r="I72" s="185" t="n">
        <f aca="false">I49</f>
        <v>-35978.25</v>
      </c>
      <c r="J72" s="185" t="n">
        <f aca="false">J49</f>
        <v>-35978.25</v>
      </c>
      <c r="K72" s="185" t="n">
        <f aca="false">K49</f>
        <v>-35978.25</v>
      </c>
      <c r="L72" s="185" t="n">
        <f aca="false">L49</f>
        <v>-35978.25</v>
      </c>
      <c r="M72" s="185" t="n">
        <f aca="false">M49</f>
        <v>-35978.25</v>
      </c>
      <c r="N72" s="185" t="n">
        <f aca="false">N49</f>
        <v>-35978.25</v>
      </c>
      <c r="O72" s="185" t="n">
        <f aca="false">O49</f>
        <v>-35978.25</v>
      </c>
      <c r="P72" s="185" t="n">
        <f aca="false">P49</f>
        <v>-35978.25</v>
      </c>
      <c r="Q72" s="185" t="n">
        <f aca="false">Q49</f>
        <v>-35978.25</v>
      </c>
      <c r="R72" s="185" t="n">
        <f aca="false">R49</f>
        <v>-35978.25</v>
      </c>
      <c r="S72" s="185" t="n">
        <f aca="false">S49</f>
        <v>-35978.25</v>
      </c>
      <c r="T72" s="185" t="n">
        <f aca="false">T49</f>
        <v>-35978.25</v>
      </c>
      <c r="U72" s="185" t="n">
        <f aca="false">U49</f>
        <v>-35978.25</v>
      </c>
      <c r="V72" s="185" t="n">
        <f aca="false">V49</f>
        <v>-35978.25</v>
      </c>
      <c r="W72" s="185" t="n">
        <f aca="false">W49</f>
        <v>-35978.25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658496.578</v>
      </c>
      <c r="E76" s="190" t="n">
        <f aca="false">SUM(E64:E75)</f>
        <v>383828.252133333</v>
      </c>
      <c r="F76" s="190" t="n">
        <f aca="false">SUM(F64:F75)</f>
        <v>399360.926266667</v>
      </c>
      <c r="G76" s="190" t="n">
        <f aca="false">SUM(G64:G75)</f>
        <v>414893.6004</v>
      </c>
      <c r="H76" s="190" t="n">
        <f aca="false">SUM(H64:H75)</f>
        <v>430426.274533333</v>
      </c>
      <c r="I76" s="190" t="n">
        <f aca="false">SUM(I64:I75)</f>
        <v>445958.948666666</v>
      </c>
      <c r="J76" s="190" t="n">
        <f aca="false">SUM(J64:J75)</f>
        <v>461491.6228</v>
      </c>
      <c r="K76" s="190" t="n">
        <f aca="false">SUM(K64:K75)</f>
        <v>477024.296933333</v>
      </c>
      <c r="L76" s="190" t="n">
        <f aca="false">SUM(L64:L75)</f>
        <v>492556.971066666</v>
      </c>
      <c r="M76" s="190" t="n">
        <f aca="false">SUM(M64:M75)</f>
        <v>508089.6452</v>
      </c>
      <c r="N76" s="190" t="n">
        <f aca="false">SUM(N64:N75)</f>
        <v>567232.319333333</v>
      </c>
      <c r="O76" s="190" t="n">
        <f aca="false">SUM(O64:O75)</f>
        <v>582764.993466666</v>
      </c>
      <c r="P76" s="190" t="n">
        <f aca="false">SUM(P64:P75)</f>
        <v>598297.6676</v>
      </c>
      <c r="Q76" s="190" t="n">
        <f aca="false">SUM(Q64:Q75)</f>
        <v>613830.341733333</v>
      </c>
      <c r="R76" s="190" t="n">
        <f aca="false">SUM(R64:R75)</f>
        <v>629363.015866666</v>
      </c>
      <c r="S76" s="190" t="n">
        <f aca="false">SUM(S64:S75)</f>
        <v>644895.69</v>
      </c>
      <c r="T76" s="190" t="n">
        <f aca="false">SUM(T64:T75)</f>
        <v>636143.658</v>
      </c>
      <c r="U76" s="190" t="n">
        <f aca="false">SUM(U64:U75)</f>
        <v>627391.626</v>
      </c>
      <c r="V76" s="190" t="n">
        <f aca="false">SUM(V64:V75)</f>
        <v>618639.594</v>
      </c>
      <c r="W76" s="190" t="n">
        <f aca="false">SUM(W64:W75)</f>
        <v>609887.562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-131699.3156</v>
      </c>
      <c r="E77" s="185" t="n">
        <f aca="false">-E76*0.2</f>
        <v>-76765.6504266666</v>
      </c>
      <c r="F77" s="185" t="n">
        <f aca="false">-F76*0.2</f>
        <v>-79872.1852533333</v>
      </c>
      <c r="G77" s="185" t="n">
        <f aca="false">-G76*0.2</f>
        <v>-82978.7200799999</v>
      </c>
      <c r="H77" s="185" t="n">
        <f aca="false">-H76*0.2</f>
        <v>-86085.2549066666</v>
      </c>
      <c r="I77" s="185" t="n">
        <f aca="false">-I76*0.2</f>
        <v>-89191.7897333332</v>
      </c>
      <c r="J77" s="185" t="n">
        <f aca="false">-J76*0.2</f>
        <v>-92298.32456</v>
      </c>
      <c r="K77" s="185" t="n">
        <f aca="false">-K76*0.2</f>
        <v>-95404.8593866666</v>
      </c>
      <c r="L77" s="185" t="n">
        <f aca="false">-L76*0.2</f>
        <v>-98511.3942133333</v>
      </c>
      <c r="M77" s="185" t="n">
        <f aca="false">-M76*0.2</f>
        <v>-101617.92904</v>
      </c>
      <c r="N77" s="185" t="n">
        <f aca="false">-N76*0.2</f>
        <v>-113446.463866667</v>
      </c>
      <c r="O77" s="185" t="n">
        <f aca="false">-O76*0.2</f>
        <v>-116552.998693333</v>
      </c>
      <c r="P77" s="185" t="n">
        <f aca="false">-P76*0.2</f>
        <v>-119659.53352</v>
      </c>
      <c r="Q77" s="185" t="n">
        <f aca="false">-Q76*0.2</f>
        <v>-122766.068346667</v>
      </c>
      <c r="R77" s="185" t="n">
        <f aca="false">-R76*0.2</f>
        <v>-125872.603173333</v>
      </c>
      <c r="S77" s="185" t="n">
        <f aca="false">-S76*0.2</f>
        <v>-128979.138</v>
      </c>
      <c r="T77" s="185" t="n">
        <f aca="false">-T76*0.2</f>
        <v>-127228.7316</v>
      </c>
      <c r="U77" s="185" t="n">
        <f aca="false">-U76*0.2</f>
        <v>-125478.3252</v>
      </c>
      <c r="V77" s="185" t="n">
        <f aca="false">-V76*0.2</f>
        <v>-123727.9188</v>
      </c>
      <c r="W77" s="185" t="n">
        <f aca="false">-W76*0.2</f>
        <v>-121977.5124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526797.2624</v>
      </c>
      <c r="E78" s="185" t="n">
        <f aca="false">SUM(E76:E77)</f>
        <v>307062.601706666</v>
      </c>
      <c r="F78" s="185" t="n">
        <f aca="false">SUM(F76:F77)</f>
        <v>319488.741013333</v>
      </c>
      <c r="G78" s="185" t="n">
        <f aca="false">SUM(G76:G77)</f>
        <v>331914.88032</v>
      </c>
      <c r="H78" s="185" t="n">
        <f aca="false">SUM(H76:H77)</f>
        <v>344341.019626666</v>
      </c>
      <c r="I78" s="185" t="n">
        <f aca="false">SUM(I76:I77)</f>
        <v>356767.158933333</v>
      </c>
      <c r="J78" s="185" t="n">
        <f aca="false">SUM(J76:J77)</f>
        <v>369193.29824</v>
      </c>
      <c r="K78" s="185" t="n">
        <f aca="false">SUM(K76:K77)</f>
        <v>381619.437546666</v>
      </c>
      <c r="L78" s="185" t="n">
        <f aca="false">SUM(L76:L77)</f>
        <v>394045.576853333</v>
      </c>
      <c r="M78" s="185" t="n">
        <f aca="false">SUM(M76:M77)</f>
        <v>406471.71616</v>
      </c>
      <c r="N78" s="185" t="n">
        <f aca="false">SUM(N76:N77)</f>
        <v>453785.855466666</v>
      </c>
      <c r="O78" s="185" t="n">
        <f aca="false">SUM(O76:O77)</f>
        <v>466211.994773333</v>
      </c>
      <c r="P78" s="185" t="n">
        <f aca="false">SUM(P76:P77)</f>
        <v>478638.13408</v>
      </c>
      <c r="Q78" s="185" t="n">
        <f aca="false">SUM(Q76:Q77)</f>
        <v>491064.273386666</v>
      </c>
      <c r="R78" s="185" t="n">
        <f aca="false">SUM(R76:R77)</f>
        <v>503490.412693333</v>
      </c>
      <c r="S78" s="185" t="n">
        <f aca="false">SUM(S76:S77)</f>
        <v>515916.552</v>
      </c>
      <c r="T78" s="185" t="n">
        <f aca="false">SUM(T76:T77)</f>
        <v>508914.9264</v>
      </c>
      <c r="U78" s="185" t="n">
        <f aca="false">SUM(U76:U77)</f>
        <v>501913.3008</v>
      </c>
      <c r="V78" s="185" t="n">
        <f aca="false">SUM(V76:V77)</f>
        <v>494911.6752</v>
      </c>
      <c r="W78" s="185" t="n">
        <f aca="false">SUM(W76:W77)</f>
        <v>487910.0496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526797.2624</v>
      </c>
      <c r="E85" s="208" t="n">
        <f aca="false">E78</f>
        <v>307062.601706666</v>
      </c>
      <c r="F85" s="208" t="n">
        <f aca="false">F78</f>
        <v>319488.741013333</v>
      </c>
      <c r="G85" s="208" t="n">
        <f aca="false">G78</f>
        <v>331914.88032</v>
      </c>
      <c r="H85" s="208" t="n">
        <f aca="false">H78</f>
        <v>344341.019626666</v>
      </c>
      <c r="I85" s="208" t="n">
        <f aca="false">I78</f>
        <v>356767.158933333</v>
      </c>
      <c r="J85" s="208" t="n">
        <f aca="false">J78</f>
        <v>369193.29824</v>
      </c>
      <c r="K85" s="208" t="n">
        <f aca="false">K78</f>
        <v>381619.437546666</v>
      </c>
      <c r="L85" s="208" t="n">
        <f aca="false">L78</f>
        <v>394045.576853333</v>
      </c>
      <c r="M85" s="208" t="n">
        <f aca="false">M78</f>
        <v>406471.71616</v>
      </c>
      <c r="N85" s="208" t="n">
        <f aca="false">N78</f>
        <v>453785.855466666</v>
      </c>
      <c r="O85" s="208" t="n">
        <f aca="false">O78</f>
        <v>466211.994773333</v>
      </c>
      <c r="P85" s="208" t="n">
        <f aca="false">P78</f>
        <v>478638.13408</v>
      </c>
      <c r="Q85" s="208" t="n">
        <f aca="false">Q78</f>
        <v>491064.273386666</v>
      </c>
      <c r="R85" s="208" t="n">
        <f aca="false">R78</f>
        <v>503490.412693333</v>
      </c>
      <c r="S85" s="208" t="n">
        <f aca="false">S78</f>
        <v>515916.552</v>
      </c>
      <c r="T85" s="208" t="n">
        <f aca="false">T78</f>
        <v>508914.9264</v>
      </c>
      <c r="U85" s="208" t="n">
        <f aca="false">U78</f>
        <v>501913.3008</v>
      </c>
      <c r="V85" s="208" t="n">
        <f aca="false">V78</f>
        <v>494911.6752</v>
      </c>
      <c r="W85" s="208" t="n">
        <f aca="false">W78</f>
        <v>487910.0496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889332.5</v>
      </c>
      <c r="E86" s="209" t="n">
        <f aca="false">-E67</f>
        <v>889332.5</v>
      </c>
      <c r="F86" s="209" t="n">
        <f aca="false">-F67</f>
        <v>889332.5</v>
      </c>
      <c r="G86" s="209" t="n">
        <f aca="false">-G67</f>
        <v>889332.5</v>
      </c>
      <c r="H86" s="209" t="n">
        <f aca="false">-H67</f>
        <v>889332.5</v>
      </c>
      <c r="I86" s="209" t="n">
        <f aca="false">-I67</f>
        <v>889332.5</v>
      </c>
      <c r="J86" s="209" t="n">
        <f aca="false">-J67</f>
        <v>889332.5</v>
      </c>
      <c r="K86" s="209" t="n">
        <f aca="false">-K67</f>
        <v>889332.5</v>
      </c>
      <c r="L86" s="209" t="n">
        <f aca="false">-L67</f>
        <v>889332.5</v>
      </c>
      <c r="M86" s="209" t="n">
        <f aca="false">-M67</f>
        <v>889332.5</v>
      </c>
      <c r="N86" s="209" t="n">
        <f aca="false">-N67</f>
        <v>889332.5</v>
      </c>
      <c r="O86" s="209" t="n">
        <f aca="false">-O67</f>
        <v>889332.5</v>
      </c>
      <c r="P86" s="209" t="n">
        <f aca="false">-P67</f>
        <v>889332.5</v>
      </c>
      <c r="Q86" s="209" t="n">
        <f aca="false">-Q67</f>
        <v>889332.5</v>
      </c>
      <c r="R86" s="209" t="n">
        <f aca="false">-R67</f>
        <v>889332.5</v>
      </c>
      <c r="S86" s="209" t="n">
        <f aca="false">-S67</f>
        <v>889332.5</v>
      </c>
      <c r="T86" s="209" t="n">
        <f aca="false">-T67</f>
        <v>889332.5</v>
      </c>
      <c r="U86" s="209" t="n">
        <f aca="false">-U67</f>
        <v>889332.5</v>
      </c>
      <c r="V86" s="209" t="n">
        <f aca="false">-V67</f>
        <v>889332.5</v>
      </c>
      <c r="W86" s="209" t="n">
        <f aca="false">-W67</f>
        <v>889332.5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1416129.7624</v>
      </c>
      <c r="E87" s="211" t="n">
        <f aca="false">SUM(E85:E86)</f>
        <v>1196395.10170667</v>
      </c>
      <c r="F87" s="211" t="n">
        <f aca="false">SUM(F85:F86)</f>
        <v>1208821.24101333</v>
      </c>
      <c r="G87" s="211" t="n">
        <f aca="false">SUM(G85:G86)</f>
        <v>1221247.38032</v>
      </c>
      <c r="H87" s="211" t="n">
        <f aca="false">SUM(H85:H86)</f>
        <v>1233673.51962667</v>
      </c>
      <c r="I87" s="211" t="n">
        <f aca="false">SUM(I85:I86)</f>
        <v>1246099.65893333</v>
      </c>
      <c r="J87" s="211" t="n">
        <f aca="false">SUM(J85:J86)</f>
        <v>1258525.79824</v>
      </c>
      <c r="K87" s="211" t="n">
        <f aca="false">SUM(K85:K86)</f>
        <v>1270951.93754667</v>
      </c>
      <c r="L87" s="211" t="n">
        <f aca="false">SUM(L85:L86)</f>
        <v>1283378.07685333</v>
      </c>
      <c r="M87" s="211" t="n">
        <f aca="false">SUM(M85:M86)</f>
        <v>1295804.21616</v>
      </c>
      <c r="N87" s="211" t="n">
        <f aca="false">SUM(N85:N86)</f>
        <v>1343118.35546667</v>
      </c>
      <c r="O87" s="211" t="n">
        <f aca="false">SUM(O85:O86)</f>
        <v>1355544.49477333</v>
      </c>
      <c r="P87" s="211" t="n">
        <f aca="false">SUM(P85:P86)</f>
        <v>1367970.63408</v>
      </c>
      <c r="Q87" s="211" t="n">
        <f aca="false">SUM(Q85:Q86)</f>
        <v>1380396.77338667</v>
      </c>
      <c r="R87" s="211" t="n">
        <f aca="false">SUM(R85:R86)</f>
        <v>1392822.91269333</v>
      </c>
      <c r="S87" s="211" t="n">
        <f aca="false">SUM(S85:S86)</f>
        <v>1405249.052</v>
      </c>
      <c r="T87" s="211" t="n">
        <f aca="false">SUM(T85:T86)</f>
        <v>1398247.4264</v>
      </c>
      <c r="U87" s="211" t="n">
        <f aca="false">SUM(U85:U86)</f>
        <v>1391245.8008</v>
      </c>
      <c r="V87" s="211" t="n">
        <f aca="false">SUM(V85:V86)</f>
        <v>1384244.1752</v>
      </c>
      <c r="W87" s="211" t="n">
        <f aca="false">SUM(W85:W86)</f>
        <v>1377242.5496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-17786650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14229320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-948621.333333333</v>
      </c>
      <c r="F93" s="217" t="n">
        <v>-948621.333333333</v>
      </c>
      <c r="G93" s="217" t="n">
        <v>-948621.333333333</v>
      </c>
      <c r="H93" s="217" t="n">
        <v>-948621.333333333</v>
      </c>
      <c r="I93" s="217" t="n">
        <v>-948621.333333333</v>
      </c>
      <c r="J93" s="217" t="n">
        <v>-948621.333333333</v>
      </c>
      <c r="K93" s="217" t="n">
        <v>-948621.333333333</v>
      </c>
      <c r="L93" s="217" t="n">
        <v>-948621.333333333</v>
      </c>
      <c r="M93" s="217" t="n">
        <v>-948621.333333333</v>
      </c>
      <c r="N93" s="217" t="n">
        <v>-948621.333333333</v>
      </c>
      <c r="O93" s="217" t="n">
        <v>-948621.333333333</v>
      </c>
      <c r="P93" s="217" t="n">
        <v>-948621.333333333</v>
      </c>
      <c r="Q93" s="217" t="n">
        <v>-948621.333333333</v>
      </c>
      <c r="R93" s="217" t="n">
        <v>-948621.333333333</v>
      </c>
      <c r="S93" s="217" t="n">
        <v>-948621.333333333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3557330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-474117.53616</v>
      </c>
      <c r="F95" s="153" t="n">
        <f aca="false">-E85*$D$33</f>
        <v>-276356.341536</v>
      </c>
      <c r="G95" s="153" t="n">
        <f aca="false">-F85*$D$33</f>
        <v>-287539.866912</v>
      </c>
      <c r="H95" s="153" t="n">
        <f aca="false">-G85*$D$33</f>
        <v>-298723.392288</v>
      </c>
      <c r="I95" s="153" t="n">
        <f aca="false">-H85*$D$33</f>
        <v>-309906.917664</v>
      </c>
      <c r="J95" s="153" t="n">
        <f aca="false">-I85*$D$33</f>
        <v>-321090.44304</v>
      </c>
      <c r="K95" s="153" t="n">
        <f aca="false">-J85*$D$33</f>
        <v>-332273.968416</v>
      </c>
      <c r="L95" s="153" t="n">
        <f aca="false">-K85*$D$33</f>
        <v>-343457.493792</v>
      </c>
      <c r="M95" s="153" t="n">
        <f aca="false">-L85*$D$33</f>
        <v>-354641.019168</v>
      </c>
      <c r="N95" s="153" t="n">
        <f aca="false">-M85*$D$33</f>
        <v>-365824.544544</v>
      </c>
      <c r="O95" s="153" t="n">
        <f aca="false">-N85*$D$33</f>
        <v>-408407.26992</v>
      </c>
      <c r="P95" s="153" t="n">
        <f aca="false">-O85*$D$33</f>
        <v>-419590.795296</v>
      </c>
      <c r="Q95" s="153" t="n">
        <f aca="false">-P85*$D$33</f>
        <v>-430774.320672</v>
      </c>
      <c r="R95" s="153" t="n">
        <f aca="false">-Q85*$D$33</f>
        <v>-441957.846048</v>
      </c>
      <c r="S95" s="153" t="n">
        <f aca="false">-R85*$D$33</f>
        <v>-453141.371424</v>
      </c>
      <c r="T95" s="153" t="n">
        <f aca="false">-S85*$D$33</f>
        <v>-464324.8968</v>
      </c>
      <c r="U95" s="153" t="n">
        <f aca="false">-T85*$D$33</f>
        <v>-458023.43376</v>
      </c>
      <c r="V95" s="153" t="n">
        <f aca="false">-U85*$D$33</f>
        <v>-451721.97072</v>
      </c>
      <c r="W95" s="153" t="n">
        <f aca="false">-V85*$D$33</f>
        <v>-445420.50768</v>
      </c>
      <c r="X95" s="153" t="n">
        <f aca="false">-W85*$D$33</f>
        <v>-439119.04464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-889332.5</v>
      </c>
      <c r="U96" s="220" t="n">
        <v>-889332.5</v>
      </c>
      <c r="V96" s="220" t="n">
        <v>-889332.5</v>
      </c>
      <c r="W96" s="220" t="n">
        <v>-889332.5</v>
      </c>
      <c r="X96" s="221" t="n">
        <f aca="false">-W101-X95</f>
        <v>-864045.886720003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1416129.7624</v>
      </c>
      <c r="E99" s="208" t="n">
        <f aca="false">SUM(E87:E96)</f>
        <v>-226343.767786667</v>
      </c>
      <c r="F99" s="208" t="n">
        <f aca="false">SUM(F87:F96)</f>
        <v>-16156.4338559996</v>
      </c>
      <c r="G99" s="208" t="n">
        <f aca="false">SUM(G87:G96)</f>
        <v>-14913.8199253333</v>
      </c>
      <c r="H99" s="208" t="n">
        <f aca="false">SUM(H87:H96)</f>
        <v>-13671.2059946666</v>
      </c>
      <c r="I99" s="208" t="n">
        <f aca="false">SUM(I87:I96)</f>
        <v>-12428.592064</v>
      </c>
      <c r="J99" s="208" t="n">
        <f aca="false">SUM(J87:J96)</f>
        <v>-11185.9781333329</v>
      </c>
      <c r="K99" s="208" t="n">
        <f aca="false">SUM(K87:K96)</f>
        <v>-9943.36420266662</v>
      </c>
      <c r="L99" s="208" t="n">
        <f aca="false">SUM(L87:L96)</f>
        <v>-8700.75027199986</v>
      </c>
      <c r="M99" s="208" t="n">
        <f aca="false">SUM(M87:M96)</f>
        <v>-7458.13634133327</v>
      </c>
      <c r="N99" s="208" t="n">
        <f aca="false">SUM(N87:N96)</f>
        <v>28672.4775893335</v>
      </c>
      <c r="O99" s="208" t="n">
        <f aca="false">SUM(O87:O96)</f>
        <v>-1484.10847999965</v>
      </c>
      <c r="P99" s="208" t="n">
        <f aca="false">SUM(P87:P96)</f>
        <v>-241.494549333467</v>
      </c>
      <c r="Q99" s="208" t="n">
        <f aca="false">SUM(Q87:Q96)</f>
        <v>1001.11938133347</v>
      </c>
      <c r="R99" s="208" t="n">
        <f aca="false">SUM(R87:R96)</f>
        <v>2243.73331200017</v>
      </c>
      <c r="S99" s="208" t="n">
        <f aca="false">SUM(S87:S96)</f>
        <v>3486.34724266705</v>
      </c>
      <c r="T99" s="208" t="n">
        <f aca="false">SUM(T87:T96)</f>
        <v>44590.0296</v>
      </c>
      <c r="U99" s="208" t="n">
        <f aca="false">SUM(U87:U96)</f>
        <v>43889.8670400002</v>
      </c>
      <c r="V99" s="208" t="n">
        <f aca="false">SUM(V87:V96)</f>
        <v>43189.7044800002</v>
      </c>
      <c r="W99" s="208" t="n">
        <f aca="false">SUM(W87:W96)</f>
        <v>42489.5419200003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1416129.7624</v>
      </c>
      <c r="F100" s="208" t="n">
        <f aca="false">E101</f>
        <v>1189785.99461333</v>
      </c>
      <c r="G100" s="208" t="n">
        <f aca="false">F101</f>
        <v>1173629.56075733</v>
      </c>
      <c r="H100" s="208" t="n">
        <f aca="false">G101</f>
        <v>1158715.740832</v>
      </c>
      <c r="I100" s="208" t="n">
        <f aca="false">H101</f>
        <v>1145044.53483733</v>
      </c>
      <c r="J100" s="208" t="n">
        <f aca="false">I101</f>
        <v>1132615.94277333</v>
      </c>
      <c r="K100" s="208" t="n">
        <f aca="false">J101</f>
        <v>1121429.96464</v>
      </c>
      <c r="L100" s="208" t="n">
        <f aca="false">K101</f>
        <v>1111486.60043733</v>
      </c>
      <c r="M100" s="208" t="n">
        <f aca="false">L101</f>
        <v>1102785.85016533</v>
      </c>
      <c r="N100" s="208" t="n">
        <f aca="false">M101</f>
        <v>1095327.713824</v>
      </c>
      <c r="O100" s="208" t="n">
        <f aca="false">N101</f>
        <v>1124000.19141333</v>
      </c>
      <c r="P100" s="208" t="n">
        <f aca="false">O101</f>
        <v>1122516.08293333</v>
      </c>
      <c r="Q100" s="208" t="n">
        <f aca="false">P101</f>
        <v>1122274.588384</v>
      </c>
      <c r="R100" s="208" t="n">
        <f aca="false">Q101</f>
        <v>1123275.70776533</v>
      </c>
      <c r="S100" s="208" t="n">
        <f aca="false">R101</f>
        <v>1125519.44107733</v>
      </c>
      <c r="T100" s="208" t="n">
        <f aca="false">S101</f>
        <v>1129005.78832</v>
      </c>
      <c r="U100" s="208" t="n">
        <f aca="false">T101</f>
        <v>1173595.81792</v>
      </c>
      <c r="V100" s="208" t="n">
        <f aca="false">U101</f>
        <v>1217485.68496</v>
      </c>
      <c r="W100" s="208" t="n">
        <f aca="false">V101</f>
        <v>1260675.38944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1416129.7624</v>
      </c>
      <c r="E101" s="208" t="n">
        <f aca="false">E99+E100</f>
        <v>1189785.99461333</v>
      </c>
      <c r="F101" s="208" t="n">
        <f aca="false">F99+F100</f>
        <v>1173629.56075733</v>
      </c>
      <c r="G101" s="208" t="n">
        <f aca="false">G99+G100</f>
        <v>1158715.740832</v>
      </c>
      <c r="H101" s="208" t="n">
        <f aca="false">H99+H100</f>
        <v>1145044.53483733</v>
      </c>
      <c r="I101" s="208" t="n">
        <f aca="false">I99+I100</f>
        <v>1132615.94277333</v>
      </c>
      <c r="J101" s="208" t="n">
        <f aca="false">J99+J100</f>
        <v>1121429.96464</v>
      </c>
      <c r="K101" s="208" t="n">
        <f aca="false">K99+K100</f>
        <v>1111486.60043733</v>
      </c>
      <c r="L101" s="208" t="n">
        <f aca="false">L99+L100</f>
        <v>1102785.85016533</v>
      </c>
      <c r="M101" s="208" t="n">
        <f aca="false">M99+M100</f>
        <v>1095327.713824</v>
      </c>
      <c r="N101" s="208" t="n">
        <f aca="false">N99+N100</f>
        <v>1124000.19141333</v>
      </c>
      <c r="O101" s="208" t="n">
        <f aca="false">O99+O100</f>
        <v>1122516.08293333</v>
      </c>
      <c r="P101" s="208" t="n">
        <f aca="false">P99+P100</f>
        <v>1122274.588384</v>
      </c>
      <c r="Q101" s="208" t="n">
        <f aca="false">Q99+Q100</f>
        <v>1123275.70776533</v>
      </c>
      <c r="R101" s="208" t="n">
        <f aca="false">R99+R100</f>
        <v>1125519.44107733</v>
      </c>
      <c r="S101" s="208" t="n">
        <f aca="false">S99+S100</f>
        <v>1129005.78832</v>
      </c>
      <c r="T101" s="208" t="n">
        <f aca="false">T99+T100</f>
        <v>1173595.81792</v>
      </c>
      <c r="U101" s="208" t="n">
        <f aca="false">U99+U100</f>
        <v>1217485.68496</v>
      </c>
      <c r="V101" s="208" t="n">
        <f aca="false">V99+V100</f>
        <v>1260675.38944</v>
      </c>
      <c r="W101" s="208" t="n">
        <f aca="false">W99+W100</f>
        <v>1303164.93136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-3557330</v>
      </c>
      <c r="E104" s="211" t="n">
        <f aca="false">-E95-E96</f>
        <v>474117.53616</v>
      </c>
      <c r="F104" s="211" t="n">
        <f aca="false">-F95-F96</f>
        <v>276356.341536</v>
      </c>
      <c r="G104" s="211" t="n">
        <f aca="false">-G95-G96</f>
        <v>287539.866912</v>
      </c>
      <c r="H104" s="211" t="n">
        <f aca="false">-H95-H96</f>
        <v>298723.392288</v>
      </c>
      <c r="I104" s="211" t="n">
        <f aca="false">-I95-I96</f>
        <v>309906.917664</v>
      </c>
      <c r="J104" s="211" t="n">
        <f aca="false">-J95-J96</f>
        <v>321090.44304</v>
      </c>
      <c r="K104" s="211" t="n">
        <f aca="false">-K95-K96</f>
        <v>332273.968416</v>
      </c>
      <c r="L104" s="211" t="n">
        <f aca="false">-L95-L96</f>
        <v>343457.493792</v>
      </c>
      <c r="M104" s="211" t="n">
        <f aca="false">-M95-M96</f>
        <v>354641.019168</v>
      </c>
      <c r="N104" s="211" t="n">
        <f aca="false">-N95-N96</f>
        <v>365824.544544</v>
      </c>
      <c r="O104" s="211" t="n">
        <f aca="false">-O95-O96</f>
        <v>408407.26992</v>
      </c>
      <c r="P104" s="211" t="n">
        <f aca="false">-P95-P96</f>
        <v>419590.795296</v>
      </c>
      <c r="Q104" s="211" t="n">
        <f aca="false">-Q95-Q96</f>
        <v>430774.320672</v>
      </c>
      <c r="R104" s="211" t="n">
        <f aca="false">-R95-R96</f>
        <v>441957.846048</v>
      </c>
      <c r="S104" s="211" t="n">
        <f aca="false">-S95-S96</f>
        <v>453141.371424</v>
      </c>
      <c r="T104" s="211" t="n">
        <f aca="false">-T95-T96</f>
        <v>1353657.3968</v>
      </c>
      <c r="U104" s="211" t="n">
        <f aca="false">-U95-U96</f>
        <v>1347355.93376</v>
      </c>
      <c r="V104" s="211" t="n">
        <f aca="false">-V95-V96</f>
        <v>1341054.47072</v>
      </c>
      <c r="W104" s="211" t="n">
        <f aca="false">-W95-W96</f>
        <v>1334753.00768</v>
      </c>
      <c r="X104" s="211" t="n">
        <f aca="false">-X95-X96</f>
        <v>1303164.93136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0.110796973022282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-3030532.7376</v>
      </c>
      <c r="E106" s="211" t="n">
        <f aca="false">E85</f>
        <v>307062.601706666</v>
      </c>
      <c r="F106" s="211" t="n">
        <f aca="false">F85-F96</f>
        <v>319488.741013333</v>
      </c>
      <c r="G106" s="211" t="n">
        <f aca="false">G85-G96</f>
        <v>331914.88032</v>
      </c>
      <c r="H106" s="211" t="n">
        <f aca="false">H85-H96</f>
        <v>344341.019626666</v>
      </c>
      <c r="I106" s="211" t="n">
        <f aca="false">I85-I96</f>
        <v>356767.158933333</v>
      </c>
      <c r="J106" s="211" t="n">
        <f aca="false">J85-J96</f>
        <v>369193.29824</v>
      </c>
      <c r="K106" s="211" t="n">
        <f aca="false">K85-K96</f>
        <v>381619.437546666</v>
      </c>
      <c r="L106" s="211" t="n">
        <f aca="false">L85-L96</f>
        <v>394045.576853333</v>
      </c>
      <c r="M106" s="211" t="n">
        <f aca="false">M85-M96</f>
        <v>406471.71616</v>
      </c>
      <c r="N106" s="211" t="n">
        <f aca="false">N85-N96</f>
        <v>453785.855466666</v>
      </c>
      <c r="O106" s="211" t="n">
        <f aca="false">O85-O96</f>
        <v>466211.994773333</v>
      </c>
      <c r="P106" s="211" t="n">
        <f aca="false">P85-P96</f>
        <v>478638.13408</v>
      </c>
      <c r="Q106" s="211" t="n">
        <f aca="false">Q85-Q96</f>
        <v>491064.273386666</v>
      </c>
      <c r="R106" s="211" t="n">
        <f aca="false">R85-R96</f>
        <v>503490.412693333</v>
      </c>
      <c r="S106" s="211" t="n">
        <f aca="false">S85-S96</f>
        <v>515916.552</v>
      </c>
      <c r="T106" s="211" t="n">
        <f aca="false">T85-T96</f>
        <v>1398247.4264</v>
      </c>
      <c r="U106" s="211" t="n">
        <f aca="false">U85-U96</f>
        <v>1391245.8008</v>
      </c>
      <c r="V106" s="211" t="n">
        <f aca="false">V85-V96</f>
        <v>1384244.1752</v>
      </c>
      <c r="W106" s="211" t="n">
        <f aca="false">W85-W96</f>
        <v>1377242.5496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0.132074408074622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14229320</v>
      </c>
      <c r="E109" s="208" t="n">
        <f aca="false">D109+E93</f>
        <v>13280698.6666667</v>
      </c>
      <c r="F109" s="208" t="n">
        <f aca="false">E109+F93</f>
        <v>12332077.3333333</v>
      </c>
      <c r="G109" s="208" t="n">
        <f aca="false">F109+G93</f>
        <v>11383456</v>
      </c>
      <c r="H109" s="208" t="n">
        <f aca="false">G109+H93</f>
        <v>10434834.6666667</v>
      </c>
      <c r="I109" s="208" t="n">
        <f aca="false">H109+I93</f>
        <v>9486213.33333333</v>
      </c>
      <c r="J109" s="208" t="n">
        <f aca="false">I109+J93</f>
        <v>8537592</v>
      </c>
      <c r="K109" s="208" t="n">
        <f aca="false">J109+K93</f>
        <v>7588970.66666667</v>
      </c>
      <c r="L109" s="208" t="n">
        <f aca="false">K109+L93</f>
        <v>6640349.33333333</v>
      </c>
      <c r="M109" s="208" t="n">
        <f aca="false">L109+M93</f>
        <v>5691728</v>
      </c>
      <c r="N109" s="208" t="n">
        <f aca="false">M109+N93</f>
        <v>4743106.66666667</v>
      </c>
      <c r="O109" s="208" t="n">
        <f aca="false">N109+O93</f>
        <v>3794485.33333333</v>
      </c>
      <c r="P109" s="208" t="n">
        <f aca="false">O109+P93</f>
        <v>2845864</v>
      </c>
      <c r="Q109" s="208" t="n">
        <f aca="false">P109+Q93</f>
        <v>1897242.66666667</v>
      </c>
      <c r="R109" s="208" t="n">
        <f aca="false">Q109+R93</f>
        <v>948621.333333334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285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176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215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286</v>
      </c>
    </row>
    <row r="8" customFormat="false" ht="22.5" hidden="false" customHeight="true" outlineLevel="0" collapsed="false">
      <c r="B8" s="16" t="s">
        <v>14</v>
      </c>
      <c r="E8" s="165"/>
      <c r="M8" s="0" t="s">
        <v>287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98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26000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-16852150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-34015.8</v>
      </c>
      <c r="E49" s="185" t="n">
        <v>-34015.8</v>
      </c>
      <c r="F49" s="185" t="n">
        <v>-34015.8</v>
      </c>
      <c r="G49" s="185" t="n">
        <v>-34015.8</v>
      </c>
      <c r="H49" s="185" t="n">
        <v>-34015.8</v>
      </c>
      <c r="I49" s="185" t="n">
        <v>-34015.8</v>
      </c>
      <c r="J49" s="185" t="n">
        <v>-34015.8</v>
      </c>
      <c r="K49" s="185" t="n">
        <v>-34015.8</v>
      </c>
      <c r="L49" s="185" t="n">
        <v>-34015.8</v>
      </c>
      <c r="M49" s="185" t="n">
        <v>-34015.8</v>
      </c>
      <c r="N49" s="185" t="n">
        <v>-34015.8</v>
      </c>
      <c r="O49" s="185" t="n">
        <v>-34015.8</v>
      </c>
      <c r="P49" s="185" t="n">
        <v>-34015.8</v>
      </c>
      <c r="Q49" s="185" t="n">
        <v>-34015.8</v>
      </c>
      <c r="R49" s="185" t="n">
        <v>-34015.8</v>
      </c>
      <c r="S49" s="185" t="n">
        <v>-34015.8</v>
      </c>
      <c r="T49" s="185" t="n">
        <v>-34015.8</v>
      </c>
      <c r="U49" s="185" t="n">
        <v>-34015.8</v>
      </c>
      <c r="V49" s="185" t="n">
        <v>-34015.8</v>
      </c>
      <c r="W49" s="185" t="n">
        <v>-34015.8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-214290.924</v>
      </c>
      <c r="E54" s="185" t="n">
        <f aca="false">-(E64+E67+E68+E71+E72+E73+E74)*0.2</f>
        <v>-154500.3176</v>
      </c>
      <c r="F54" s="185" t="n">
        <f aca="false">-(F64+F67+F68+F71+F72+F73+F74)*0.2</f>
        <v>-152749.9112</v>
      </c>
      <c r="G54" s="185" t="n">
        <f aca="false">-(G64+G67+G68+G71+G72+G73+G74)*0.2</f>
        <v>-150999.5048</v>
      </c>
      <c r="H54" s="185" t="n">
        <f aca="false">-(H64+H67+H68+H71+H72+H73+H74)*0.2</f>
        <v>-149249.0984</v>
      </c>
      <c r="I54" s="185" t="n">
        <f aca="false">-(I64+I67+I68+I71+I72+I73+I74)*0.2</f>
        <v>-147498.692</v>
      </c>
      <c r="J54" s="185" t="n">
        <f aca="false">-(J64+J67+J68+J71+J72+J73+J74)*0.2</f>
        <v>-145748.2856</v>
      </c>
      <c r="K54" s="185" t="n">
        <f aca="false">-(K64+K67+K68+K71+K72+K73+K74)*0.2</f>
        <v>-143997.8792</v>
      </c>
      <c r="L54" s="185" t="n">
        <f aca="false">-(L64+L67+L68+L71+L72+L73+L74)*0.2</f>
        <v>-142247.4728</v>
      </c>
      <c r="M54" s="185" t="n">
        <f aca="false">-(M64+M67+M68+M71+M72+M73+M74)*0.2</f>
        <v>-140497.0664</v>
      </c>
      <c r="N54" s="185" t="n">
        <f aca="false">-(N64+N67+N68+N71+N72+N73+N74)*0.2</f>
        <v>-147468.66</v>
      </c>
      <c r="O54" s="185" t="n">
        <f aca="false">-(O64+O67+O68+O71+O72+O73+O74)*0.2</f>
        <v>-145718.2536</v>
      </c>
      <c r="P54" s="185" t="n">
        <f aca="false">-(P64+P67+P68+P71+P72+P73+P74)*0.2</f>
        <v>-143967.8472</v>
      </c>
      <c r="Q54" s="185" t="n">
        <f aca="false">-(Q64+Q67+Q68+Q71+Q72+Q73+Q74)*0.2</f>
        <v>-142217.4408</v>
      </c>
      <c r="R54" s="185" t="n">
        <f aca="false">-(R64+R67+R68+R71+R72+R73+R74)*0.2</f>
        <v>-140467.0344</v>
      </c>
      <c r="S54" s="185" t="n">
        <f aca="false">-(S64+S67+S68+S71+S72+S73+S74)*0.2</f>
        <v>-138716.628</v>
      </c>
      <c r="T54" s="185" t="n">
        <f aca="false">-(T64+T67+T68+T71+T72+T73+T74)*0.2</f>
        <v>-136966.2216</v>
      </c>
      <c r="U54" s="185" t="n">
        <f aca="false">-(U64+U67+U68+U71+U72+U73+U74)*0.2</f>
        <v>-135215.8152</v>
      </c>
      <c r="V54" s="185" t="n">
        <f aca="false">-(V64+V67+V68+V71+V72+V73+V74)*0.2</f>
        <v>-133465.4088</v>
      </c>
      <c r="W54" s="185" t="n">
        <f aca="false">-(W64+W67+W68+W71+W72+W73+W74)*0.2</f>
        <v>-131715.0024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-16852150</v>
      </c>
      <c r="D55" s="190" t="n">
        <f aca="false">SUM(D41:D54)</f>
        <v>1409570.196</v>
      </c>
      <c r="E55" s="190" t="n">
        <f aca="false">SUM(E41:E54)</f>
        <v>1460608.7704</v>
      </c>
      <c r="F55" s="190" t="n">
        <f aca="false">SUM(F41:F54)</f>
        <v>1453607.1448</v>
      </c>
      <c r="G55" s="190" t="n">
        <f aca="false">SUM(G41:G54)</f>
        <v>1446605.5192</v>
      </c>
      <c r="H55" s="190" t="n">
        <f aca="false">SUM(H41:H54)</f>
        <v>1439603.8936</v>
      </c>
      <c r="I55" s="190" t="n">
        <f aca="false">SUM(I41:I54)</f>
        <v>1432602.268</v>
      </c>
      <c r="J55" s="190" t="n">
        <f aca="false">SUM(J41:J54)</f>
        <v>1425600.6424</v>
      </c>
      <c r="K55" s="190" t="n">
        <f aca="false">SUM(K41:K54)</f>
        <v>1418599.0168</v>
      </c>
      <c r="L55" s="190" t="n">
        <f aca="false">SUM(L41:L54)</f>
        <v>1411597.3912</v>
      </c>
      <c r="M55" s="190" t="n">
        <f aca="false">SUM(M41:M54)</f>
        <v>1404595.7656</v>
      </c>
      <c r="N55" s="190" t="n">
        <f aca="false">SUM(N41:N54)</f>
        <v>1432482.14</v>
      </c>
      <c r="O55" s="190" t="n">
        <f aca="false">SUM(O41:O54)</f>
        <v>1425480.5144</v>
      </c>
      <c r="P55" s="190" t="n">
        <f aca="false">SUM(P41:P54)</f>
        <v>1418478.8888</v>
      </c>
      <c r="Q55" s="190" t="n">
        <f aca="false">SUM(Q41:Q54)</f>
        <v>1411477.2632</v>
      </c>
      <c r="R55" s="190" t="n">
        <f aca="false">SUM(R41:R54)</f>
        <v>1404475.6376</v>
      </c>
      <c r="S55" s="190" t="n">
        <f aca="false">SUM(S41:S54)</f>
        <v>1397474.012</v>
      </c>
      <c r="T55" s="190" t="n">
        <f aca="false">SUM(T41:T54)</f>
        <v>1390472.3864</v>
      </c>
      <c r="U55" s="190" t="n">
        <f aca="false">SUM(U41:U54)</f>
        <v>1383470.7608</v>
      </c>
      <c r="V55" s="190" t="n">
        <f aca="false">SUM(V41:V54)</f>
        <v>1376469.1352</v>
      </c>
      <c r="W55" s="190" t="n">
        <f aca="false">SUM(W41:W54)</f>
        <v>1369467.5096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-15442579.804</v>
      </c>
      <c r="E56" s="195" t="n">
        <f aca="false">D56+E55</f>
        <v>-13981971.0336</v>
      </c>
      <c r="F56" s="195" t="n">
        <f aca="false">E56+F55</f>
        <v>-12528363.8888</v>
      </c>
      <c r="G56" s="195" t="n">
        <f aca="false">F56+G55</f>
        <v>-11081758.3696</v>
      </c>
      <c r="H56" s="195" t="n">
        <f aca="false">G56+H55</f>
        <v>-9642154.476</v>
      </c>
      <c r="I56" s="195" t="n">
        <f aca="false">H56+I55</f>
        <v>-8209552.208</v>
      </c>
      <c r="J56" s="195" t="n">
        <f aca="false">I56+J55</f>
        <v>-6783951.5656</v>
      </c>
      <c r="K56" s="195" t="n">
        <f aca="false">J56+K55</f>
        <v>-5365352.5488</v>
      </c>
      <c r="L56" s="195" t="n">
        <f aca="false">K56+L55</f>
        <v>-3953755.1576</v>
      </c>
      <c r="M56" s="195" t="n">
        <f aca="false">L56+M55</f>
        <v>-2549159.392</v>
      </c>
      <c r="N56" s="195" t="n">
        <f aca="false">M56+N55</f>
        <v>-1116677.252</v>
      </c>
      <c r="O56" s="195" t="n">
        <f aca="false">N56+O55</f>
        <v>308803.262400001</v>
      </c>
      <c r="P56" s="195" t="n">
        <f aca="false">O56+P55</f>
        <v>1727282.1512</v>
      </c>
      <c r="Q56" s="195" t="n">
        <f aca="false">P56+Q55</f>
        <v>3138759.4144</v>
      </c>
      <c r="R56" s="195" t="n">
        <f aca="false">Q56+R55</f>
        <v>4543235.052</v>
      </c>
      <c r="S56" s="195" t="n">
        <f aca="false">R56+S55</f>
        <v>5940709.064</v>
      </c>
      <c r="T56" s="195" t="n">
        <f aca="false">S56+T55</f>
        <v>7331181.4504</v>
      </c>
      <c r="U56" s="195" t="n">
        <f aca="false">T56+U55</f>
        <v>8714652.2112</v>
      </c>
      <c r="V56" s="195" t="n">
        <f aca="false">U56+V55</f>
        <v>10091121.3464</v>
      </c>
      <c r="W56" s="195" t="n">
        <f aca="false">V56+W55</f>
        <v>11460588.856</v>
      </c>
      <c r="X56" s="195" t="n">
        <f aca="false">W56+X55</f>
        <v>11460588.856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未回收</v>
      </c>
      <c r="O57" s="199" t="str">
        <f aca="false">IF((O56)&gt;0,"回收","未回收")</f>
        <v>回收</v>
      </c>
      <c r="P57" s="199" t="str">
        <f aca="false">IF((P56)&gt;0,"回收","未回收")</f>
        <v>回收</v>
      </c>
      <c r="Q57" s="199" t="str">
        <f aca="false">IF((Q56)&gt;0,"回收","未回收")</f>
        <v>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0.0559831826730015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-842607.5</v>
      </c>
      <c r="E67" s="200" t="n">
        <f aca="false">$C$44/$E$16</f>
        <v>-842607.5</v>
      </c>
      <c r="F67" s="200" t="n">
        <f aca="false">$C$44/$E$16</f>
        <v>-842607.5</v>
      </c>
      <c r="G67" s="200" t="n">
        <f aca="false">$C$44/$E$16</f>
        <v>-842607.5</v>
      </c>
      <c r="H67" s="200" t="n">
        <f aca="false">$C$44/$E$16</f>
        <v>-842607.5</v>
      </c>
      <c r="I67" s="200" t="n">
        <f aca="false">$C$44/$E$16</f>
        <v>-842607.5</v>
      </c>
      <c r="J67" s="200" t="n">
        <f aca="false">$C$44/$E$16</f>
        <v>-842607.5</v>
      </c>
      <c r="K67" s="200" t="n">
        <f aca="false">$C$44/$E$16</f>
        <v>-842607.5</v>
      </c>
      <c r="L67" s="200" t="n">
        <f aca="false">$C$44/$E$16</f>
        <v>-842607.5</v>
      </c>
      <c r="M67" s="200" t="n">
        <f aca="false">$C$44/$E$16</f>
        <v>-842607.5</v>
      </c>
      <c r="N67" s="200" t="n">
        <f aca="false">$C$44/$E$16</f>
        <v>-842607.5</v>
      </c>
      <c r="O67" s="200" t="n">
        <f aca="false">$C$44/$E$16</f>
        <v>-842607.5</v>
      </c>
      <c r="P67" s="200" t="n">
        <f aca="false">$C$44/$E$16</f>
        <v>-842607.5</v>
      </c>
      <c r="Q67" s="200" t="n">
        <f aca="false">$C$44/$E$16</f>
        <v>-842607.5</v>
      </c>
      <c r="R67" s="200" t="n">
        <f aca="false">$C$44/$E$16</f>
        <v>-842607.5</v>
      </c>
      <c r="S67" s="200" t="n">
        <f aca="false">$C$44/$E$16</f>
        <v>-842607.5</v>
      </c>
      <c r="T67" s="200" t="n">
        <f aca="false">$C$44/$E$16</f>
        <v>-842607.5</v>
      </c>
      <c r="U67" s="200" t="n">
        <f aca="false">$C$44/$E$16</f>
        <v>-842607.5</v>
      </c>
      <c r="V67" s="200" t="n">
        <f aca="false">$C$44/$E$16</f>
        <v>-842607.5</v>
      </c>
      <c r="W67" s="200" t="n">
        <f aca="false">$C$44/$E$16</f>
        <v>-842607.5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-345132.032</v>
      </c>
      <c r="E70" s="185" t="n">
        <f aca="false">-E109*$D25</f>
        <v>-322123.229866667</v>
      </c>
      <c r="F70" s="185" t="n">
        <f aca="false">-F109*$D25</f>
        <v>-299114.427733333</v>
      </c>
      <c r="G70" s="185" t="n">
        <f aca="false">-G109*$D25</f>
        <v>-276105.6256</v>
      </c>
      <c r="H70" s="185" t="n">
        <f aca="false">-H109*$D25</f>
        <v>-253096.823466667</v>
      </c>
      <c r="I70" s="185" t="n">
        <f aca="false">-I109*$D25</f>
        <v>-230088.021333333</v>
      </c>
      <c r="J70" s="185" t="n">
        <f aca="false">-J109*$D25</f>
        <v>-207079.2192</v>
      </c>
      <c r="K70" s="185" t="n">
        <f aca="false">-K109*$D25</f>
        <v>-184070.417066667</v>
      </c>
      <c r="L70" s="185" t="n">
        <f aca="false">-L109*$D25</f>
        <v>-161061.614933333</v>
      </c>
      <c r="M70" s="185" t="n">
        <f aca="false">-M109*$D25</f>
        <v>-138052.8128</v>
      </c>
      <c r="N70" s="185" t="n">
        <f aca="false">-N109*$D25</f>
        <v>-115044.010666667</v>
      </c>
      <c r="O70" s="185" t="n">
        <f aca="false">-O109*$D25</f>
        <v>-92035.2085333333</v>
      </c>
      <c r="P70" s="185" t="n">
        <f aca="false">-P109*$D25</f>
        <v>-69026.4064</v>
      </c>
      <c r="Q70" s="185" t="n">
        <f aca="false">-Q109*$D25</f>
        <v>-46017.6042666666</v>
      </c>
      <c r="R70" s="185" t="n">
        <f aca="false">-R109*$D25</f>
        <v>-23008.8021333333</v>
      </c>
      <c r="S70" s="185" t="n">
        <f aca="false">-S109*$D25</f>
        <v>-0</v>
      </c>
      <c r="T70" s="185" t="n">
        <f aca="false">-T109*$D25</f>
        <v>-0</v>
      </c>
      <c r="U70" s="185" t="n">
        <f aca="false">-U109*$D25</f>
        <v>-0</v>
      </c>
      <c r="V70" s="185" t="n">
        <f aca="false">-V109*$D25</f>
        <v>-0</v>
      </c>
      <c r="W70" s="185" t="n">
        <f aca="false">-W109*$D25</f>
        <v>-0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-34015.8</v>
      </c>
      <c r="E72" s="185" t="n">
        <f aca="false">E49</f>
        <v>-34015.8</v>
      </c>
      <c r="F72" s="185" t="n">
        <f aca="false">F49</f>
        <v>-34015.8</v>
      </c>
      <c r="G72" s="185" t="n">
        <f aca="false">G49</f>
        <v>-34015.8</v>
      </c>
      <c r="H72" s="185" t="n">
        <f aca="false">H49</f>
        <v>-34015.8</v>
      </c>
      <c r="I72" s="185" t="n">
        <f aca="false">I49</f>
        <v>-34015.8</v>
      </c>
      <c r="J72" s="185" t="n">
        <f aca="false">J49</f>
        <v>-34015.8</v>
      </c>
      <c r="K72" s="185" t="n">
        <f aca="false">K49</f>
        <v>-34015.8</v>
      </c>
      <c r="L72" s="185" t="n">
        <f aca="false">L49</f>
        <v>-34015.8</v>
      </c>
      <c r="M72" s="185" t="n">
        <f aca="false">M49</f>
        <v>-34015.8</v>
      </c>
      <c r="N72" s="185" t="n">
        <f aca="false">N49</f>
        <v>-34015.8</v>
      </c>
      <c r="O72" s="185" t="n">
        <f aca="false">O49</f>
        <v>-34015.8</v>
      </c>
      <c r="P72" s="185" t="n">
        <f aca="false">P49</f>
        <v>-34015.8</v>
      </c>
      <c r="Q72" s="185" t="n">
        <f aca="false">Q49</f>
        <v>-34015.8</v>
      </c>
      <c r="R72" s="185" t="n">
        <f aca="false">R49</f>
        <v>-34015.8</v>
      </c>
      <c r="S72" s="185" t="n">
        <f aca="false">S49</f>
        <v>-34015.8</v>
      </c>
      <c r="T72" s="185" t="n">
        <f aca="false">T49</f>
        <v>-34015.8</v>
      </c>
      <c r="U72" s="185" t="n">
        <f aca="false">U49</f>
        <v>-34015.8</v>
      </c>
      <c r="V72" s="185" t="n">
        <f aca="false">V49</f>
        <v>-34015.8</v>
      </c>
      <c r="W72" s="185" t="n">
        <f aca="false">W49</f>
        <v>-34015.8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726322.588</v>
      </c>
      <c r="E76" s="190" t="n">
        <f aca="false">SUM(E64:E75)</f>
        <v>450378.358133333</v>
      </c>
      <c r="F76" s="190" t="n">
        <f aca="false">SUM(F64:F75)</f>
        <v>464635.128266667</v>
      </c>
      <c r="G76" s="190" t="n">
        <f aca="false">SUM(G64:G75)</f>
        <v>478891.8984</v>
      </c>
      <c r="H76" s="190" t="n">
        <f aca="false">SUM(H64:H75)</f>
        <v>493148.668533333</v>
      </c>
      <c r="I76" s="190" t="n">
        <f aca="false">SUM(I64:I75)</f>
        <v>507405.438666667</v>
      </c>
      <c r="J76" s="190" t="n">
        <f aca="false">SUM(J64:J75)</f>
        <v>521662.2088</v>
      </c>
      <c r="K76" s="190" t="n">
        <f aca="false">SUM(K64:K75)</f>
        <v>535918.978933333</v>
      </c>
      <c r="L76" s="190" t="n">
        <f aca="false">SUM(L64:L75)</f>
        <v>550175.749066667</v>
      </c>
      <c r="M76" s="190" t="n">
        <f aca="false">SUM(M64:M75)</f>
        <v>564432.5192</v>
      </c>
      <c r="N76" s="190" t="n">
        <f aca="false">SUM(N64:N75)</f>
        <v>622299.289333333</v>
      </c>
      <c r="O76" s="190" t="n">
        <f aca="false">SUM(O64:O75)</f>
        <v>636556.059466667</v>
      </c>
      <c r="P76" s="190" t="n">
        <f aca="false">SUM(P64:P75)</f>
        <v>650812.8296</v>
      </c>
      <c r="Q76" s="190" t="n">
        <f aca="false">SUM(Q64:Q75)</f>
        <v>665069.599733333</v>
      </c>
      <c r="R76" s="190" t="n">
        <f aca="false">SUM(R64:R75)</f>
        <v>679326.369866667</v>
      </c>
      <c r="S76" s="190" t="n">
        <f aca="false">SUM(S64:S75)</f>
        <v>693583.14</v>
      </c>
      <c r="T76" s="190" t="n">
        <f aca="false">SUM(T64:T75)</f>
        <v>684831.108</v>
      </c>
      <c r="U76" s="190" t="n">
        <f aca="false">SUM(U64:U75)</f>
        <v>676079.076</v>
      </c>
      <c r="V76" s="190" t="n">
        <f aca="false">SUM(V64:V75)</f>
        <v>667327.044</v>
      </c>
      <c r="W76" s="190" t="n">
        <f aca="false">SUM(W64:W75)</f>
        <v>658575.012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-145264.5176</v>
      </c>
      <c r="E77" s="185" t="n">
        <f aca="false">-E76*0.2</f>
        <v>-90075.6716266666</v>
      </c>
      <c r="F77" s="185" t="n">
        <f aca="false">-F76*0.2</f>
        <v>-92927.0256533334</v>
      </c>
      <c r="G77" s="185" t="n">
        <f aca="false">-G76*0.2</f>
        <v>-95778.37968</v>
      </c>
      <c r="H77" s="185" t="n">
        <f aca="false">-H76*0.2</f>
        <v>-98629.7337066667</v>
      </c>
      <c r="I77" s="185" t="n">
        <f aca="false">-I76*0.2</f>
        <v>-101481.087733333</v>
      </c>
      <c r="J77" s="185" t="n">
        <f aca="false">-J76*0.2</f>
        <v>-104332.44176</v>
      </c>
      <c r="K77" s="185" t="n">
        <f aca="false">-K76*0.2</f>
        <v>-107183.795786667</v>
      </c>
      <c r="L77" s="185" t="n">
        <f aca="false">-L76*0.2</f>
        <v>-110035.149813333</v>
      </c>
      <c r="M77" s="185" t="n">
        <f aca="false">-M76*0.2</f>
        <v>-112886.50384</v>
      </c>
      <c r="N77" s="185" t="n">
        <f aca="false">-N76*0.2</f>
        <v>-124459.857866667</v>
      </c>
      <c r="O77" s="185" t="n">
        <f aca="false">-O76*0.2</f>
        <v>-127311.211893333</v>
      </c>
      <c r="P77" s="185" t="n">
        <f aca="false">-P76*0.2</f>
        <v>-130162.56592</v>
      </c>
      <c r="Q77" s="185" t="n">
        <f aca="false">-Q76*0.2</f>
        <v>-133013.919946667</v>
      </c>
      <c r="R77" s="185" t="n">
        <f aca="false">-R76*0.2</f>
        <v>-135865.273973333</v>
      </c>
      <c r="S77" s="185" t="n">
        <f aca="false">-S76*0.2</f>
        <v>-138716.628</v>
      </c>
      <c r="T77" s="185" t="n">
        <f aca="false">-T76*0.2</f>
        <v>-136966.2216</v>
      </c>
      <c r="U77" s="185" t="n">
        <f aca="false">-U76*0.2</f>
        <v>-135215.8152</v>
      </c>
      <c r="V77" s="185" t="n">
        <f aca="false">-V76*0.2</f>
        <v>-133465.4088</v>
      </c>
      <c r="W77" s="185" t="n">
        <f aca="false">-W76*0.2</f>
        <v>-131715.0024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581058.0704</v>
      </c>
      <c r="E78" s="185" t="n">
        <f aca="false">SUM(E76:E77)</f>
        <v>360302.686506667</v>
      </c>
      <c r="F78" s="185" t="n">
        <f aca="false">SUM(F76:F77)</f>
        <v>371708.102613334</v>
      </c>
      <c r="G78" s="185" t="n">
        <f aca="false">SUM(G76:G77)</f>
        <v>383113.51872</v>
      </c>
      <c r="H78" s="185" t="n">
        <f aca="false">SUM(H76:H77)</f>
        <v>394518.934826667</v>
      </c>
      <c r="I78" s="185" t="n">
        <f aca="false">SUM(I76:I77)</f>
        <v>405924.350933333</v>
      </c>
      <c r="J78" s="185" t="n">
        <f aca="false">SUM(J76:J77)</f>
        <v>417329.76704</v>
      </c>
      <c r="K78" s="185" t="n">
        <f aca="false">SUM(K76:K77)</f>
        <v>428735.183146667</v>
      </c>
      <c r="L78" s="185" t="n">
        <f aca="false">SUM(L76:L77)</f>
        <v>440140.599253333</v>
      </c>
      <c r="M78" s="185" t="n">
        <f aca="false">SUM(M76:M77)</f>
        <v>451546.01536</v>
      </c>
      <c r="N78" s="185" t="n">
        <f aca="false">SUM(N76:N77)</f>
        <v>497839.431466667</v>
      </c>
      <c r="O78" s="185" t="n">
        <f aca="false">SUM(O76:O77)</f>
        <v>509244.847573333</v>
      </c>
      <c r="P78" s="185" t="n">
        <f aca="false">SUM(P76:P77)</f>
        <v>520650.26368</v>
      </c>
      <c r="Q78" s="185" t="n">
        <f aca="false">SUM(Q76:Q77)</f>
        <v>532055.679786667</v>
      </c>
      <c r="R78" s="185" t="n">
        <f aca="false">SUM(R76:R77)</f>
        <v>543461.095893333</v>
      </c>
      <c r="S78" s="185" t="n">
        <f aca="false">SUM(S76:S77)</f>
        <v>554866.512</v>
      </c>
      <c r="T78" s="185" t="n">
        <f aca="false">SUM(T76:T77)</f>
        <v>547864.8864</v>
      </c>
      <c r="U78" s="185" t="n">
        <f aca="false">SUM(U76:U77)</f>
        <v>540863.2608</v>
      </c>
      <c r="V78" s="185" t="n">
        <f aca="false">SUM(V76:V77)</f>
        <v>533861.6352</v>
      </c>
      <c r="W78" s="185" t="n">
        <f aca="false">SUM(W76:W77)</f>
        <v>526860.0096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581058.0704</v>
      </c>
      <c r="E85" s="208" t="n">
        <f aca="false">E78</f>
        <v>360302.686506667</v>
      </c>
      <c r="F85" s="208" t="n">
        <f aca="false">F78</f>
        <v>371708.102613334</v>
      </c>
      <c r="G85" s="208" t="n">
        <f aca="false">G78</f>
        <v>383113.51872</v>
      </c>
      <c r="H85" s="208" t="n">
        <f aca="false">H78</f>
        <v>394518.934826667</v>
      </c>
      <c r="I85" s="208" t="n">
        <f aca="false">I78</f>
        <v>405924.350933333</v>
      </c>
      <c r="J85" s="208" t="n">
        <f aca="false">J78</f>
        <v>417329.76704</v>
      </c>
      <c r="K85" s="208" t="n">
        <f aca="false">K78</f>
        <v>428735.183146667</v>
      </c>
      <c r="L85" s="208" t="n">
        <f aca="false">L78</f>
        <v>440140.599253333</v>
      </c>
      <c r="M85" s="208" t="n">
        <f aca="false">M78</f>
        <v>451546.01536</v>
      </c>
      <c r="N85" s="208" t="n">
        <f aca="false">N78</f>
        <v>497839.431466667</v>
      </c>
      <c r="O85" s="208" t="n">
        <f aca="false">O78</f>
        <v>509244.847573333</v>
      </c>
      <c r="P85" s="208" t="n">
        <f aca="false">P78</f>
        <v>520650.26368</v>
      </c>
      <c r="Q85" s="208" t="n">
        <f aca="false">Q78</f>
        <v>532055.679786667</v>
      </c>
      <c r="R85" s="208" t="n">
        <f aca="false">R78</f>
        <v>543461.095893333</v>
      </c>
      <c r="S85" s="208" t="n">
        <f aca="false">S78</f>
        <v>554866.512</v>
      </c>
      <c r="T85" s="208" t="n">
        <f aca="false">T78</f>
        <v>547864.8864</v>
      </c>
      <c r="U85" s="208" t="n">
        <f aca="false">U78</f>
        <v>540863.2608</v>
      </c>
      <c r="V85" s="208" t="n">
        <f aca="false">V78</f>
        <v>533861.6352</v>
      </c>
      <c r="W85" s="208" t="n">
        <f aca="false">W78</f>
        <v>526860.0096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842607.5</v>
      </c>
      <c r="E86" s="209" t="n">
        <f aca="false">-E67</f>
        <v>842607.5</v>
      </c>
      <c r="F86" s="209" t="n">
        <f aca="false">-F67</f>
        <v>842607.5</v>
      </c>
      <c r="G86" s="209" t="n">
        <f aca="false">-G67</f>
        <v>842607.5</v>
      </c>
      <c r="H86" s="209" t="n">
        <f aca="false">-H67</f>
        <v>842607.5</v>
      </c>
      <c r="I86" s="209" t="n">
        <f aca="false">-I67</f>
        <v>842607.5</v>
      </c>
      <c r="J86" s="209" t="n">
        <f aca="false">-J67</f>
        <v>842607.5</v>
      </c>
      <c r="K86" s="209" t="n">
        <f aca="false">-K67</f>
        <v>842607.5</v>
      </c>
      <c r="L86" s="209" t="n">
        <f aca="false">-L67</f>
        <v>842607.5</v>
      </c>
      <c r="M86" s="209" t="n">
        <f aca="false">-M67</f>
        <v>842607.5</v>
      </c>
      <c r="N86" s="209" t="n">
        <f aca="false">-N67</f>
        <v>842607.5</v>
      </c>
      <c r="O86" s="209" t="n">
        <f aca="false">-O67</f>
        <v>842607.5</v>
      </c>
      <c r="P86" s="209" t="n">
        <f aca="false">-P67</f>
        <v>842607.5</v>
      </c>
      <c r="Q86" s="209" t="n">
        <f aca="false">-Q67</f>
        <v>842607.5</v>
      </c>
      <c r="R86" s="209" t="n">
        <f aca="false">-R67</f>
        <v>842607.5</v>
      </c>
      <c r="S86" s="209" t="n">
        <f aca="false">-S67</f>
        <v>842607.5</v>
      </c>
      <c r="T86" s="209" t="n">
        <f aca="false">-T67</f>
        <v>842607.5</v>
      </c>
      <c r="U86" s="209" t="n">
        <f aca="false">-U67</f>
        <v>842607.5</v>
      </c>
      <c r="V86" s="209" t="n">
        <f aca="false">-V67</f>
        <v>842607.5</v>
      </c>
      <c r="W86" s="209" t="n">
        <f aca="false">-W67</f>
        <v>842607.5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1423665.5704</v>
      </c>
      <c r="E87" s="211" t="n">
        <f aca="false">SUM(E85:E86)</f>
        <v>1202910.18650667</v>
      </c>
      <c r="F87" s="211" t="n">
        <f aca="false">SUM(F85:F86)</f>
        <v>1214315.60261333</v>
      </c>
      <c r="G87" s="211" t="n">
        <f aca="false">SUM(G85:G86)</f>
        <v>1225721.01872</v>
      </c>
      <c r="H87" s="211" t="n">
        <f aca="false">SUM(H85:H86)</f>
        <v>1237126.43482667</v>
      </c>
      <c r="I87" s="211" t="n">
        <f aca="false">SUM(I85:I86)</f>
        <v>1248531.85093333</v>
      </c>
      <c r="J87" s="211" t="n">
        <f aca="false">SUM(J85:J86)</f>
        <v>1259937.26704</v>
      </c>
      <c r="K87" s="211" t="n">
        <f aca="false">SUM(K85:K86)</f>
        <v>1271342.68314667</v>
      </c>
      <c r="L87" s="211" t="n">
        <f aca="false">SUM(L85:L86)</f>
        <v>1282748.09925333</v>
      </c>
      <c r="M87" s="211" t="n">
        <f aca="false">SUM(M85:M86)</f>
        <v>1294153.51536</v>
      </c>
      <c r="N87" s="211" t="n">
        <f aca="false">SUM(N85:N86)</f>
        <v>1340446.93146667</v>
      </c>
      <c r="O87" s="211" t="n">
        <f aca="false">SUM(O85:O86)</f>
        <v>1351852.34757333</v>
      </c>
      <c r="P87" s="211" t="n">
        <f aca="false">SUM(P85:P86)</f>
        <v>1363257.76368</v>
      </c>
      <c r="Q87" s="211" t="n">
        <f aca="false">SUM(Q85:Q86)</f>
        <v>1374663.17978667</v>
      </c>
      <c r="R87" s="211" t="n">
        <f aca="false">SUM(R85:R86)</f>
        <v>1386068.59589333</v>
      </c>
      <c r="S87" s="211" t="n">
        <f aca="false">SUM(S85:S86)</f>
        <v>1397474.012</v>
      </c>
      <c r="T87" s="211" t="n">
        <f aca="false">SUM(T85:T86)</f>
        <v>1390472.3864</v>
      </c>
      <c r="U87" s="211" t="n">
        <f aca="false">SUM(U85:U86)</f>
        <v>1383470.7608</v>
      </c>
      <c r="V87" s="211" t="n">
        <f aca="false">SUM(V85:V86)</f>
        <v>1376469.1352</v>
      </c>
      <c r="W87" s="211" t="n">
        <f aca="false">SUM(W85:W86)</f>
        <v>1369467.5096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-16852150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13481720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-898781.333333333</v>
      </c>
      <c r="F93" s="217" t="n">
        <v>-898781.333333333</v>
      </c>
      <c r="G93" s="217" t="n">
        <v>-898781.333333333</v>
      </c>
      <c r="H93" s="217" t="n">
        <v>-898781.333333333</v>
      </c>
      <c r="I93" s="217" t="n">
        <v>-898781.333333333</v>
      </c>
      <c r="J93" s="217" t="n">
        <v>-898781.333333333</v>
      </c>
      <c r="K93" s="217" t="n">
        <v>-898781.333333333</v>
      </c>
      <c r="L93" s="217" t="n">
        <v>-898781.333333333</v>
      </c>
      <c r="M93" s="217" t="n">
        <v>-898781.333333333</v>
      </c>
      <c r="N93" s="217" t="n">
        <v>-898781.333333333</v>
      </c>
      <c r="O93" s="217" t="n">
        <v>-898781.333333333</v>
      </c>
      <c r="P93" s="217" t="n">
        <v>-898781.333333333</v>
      </c>
      <c r="Q93" s="217" t="n">
        <v>-898781.333333333</v>
      </c>
      <c r="R93" s="217" t="n">
        <v>-898781.333333333</v>
      </c>
      <c r="S93" s="217" t="n">
        <v>-898781.333333333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3370430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-522952.26336</v>
      </c>
      <c r="F95" s="153" t="n">
        <f aca="false">-E85*$D$33</f>
        <v>-324272.417856</v>
      </c>
      <c r="G95" s="153" t="n">
        <f aca="false">-F85*$D$33</f>
        <v>-334537.292352</v>
      </c>
      <c r="H95" s="153" t="n">
        <f aca="false">-G85*$D$33</f>
        <v>-344802.166848</v>
      </c>
      <c r="I95" s="153" t="n">
        <f aca="false">-H85*$D$33</f>
        <v>-355067.041344</v>
      </c>
      <c r="J95" s="153" t="n">
        <f aca="false">-I85*$D$33</f>
        <v>-365331.91584</v>
      </c>
      <c r="K95" s="153" t="n">
        <f aca="false">-J85*$D$33</f>
        <v>-375596.790336</v>
      </c>
      <c r="L95" s="153" t="n">
        <f aca="false">-K85*$D$33</f>
        <v>-385861.664832</v>
      </c>
      <c r="M95" s="153" t="n">
        <f aca="false">-L85*$D$33</f>
        <v>-396126.539328</v>
      </c>
      <c r="N95" s="153" t="n">
        <f aca="false">-M85*$D$33</f>
        <v>-406391.413824</v>
      </c>
      <c r="O95" s="153" t="n">
        <f aca="false">-N85*$D$33</f>
        <v>-448055.48832</v>
      </c>
      <c r="P95" s="153" t="n">
        <f aca="false">-O85*$D$33</f>
        <v>-458320.362816</v>
      </c>
      <c r="Q95" s="153" t="n">
        <f aca="false">-P85*$D$33</f>
        <v>-468585.237312</v>
      </c>
      <c r="R95" s="153" t="n">
        <f aca="false">-Q85*$D$33</f>
        <v>-478850.111808</v>
      </c>
      <c r="S95" s="153" t="n">
        <f aca="false">-R85*$D$33</f>
        <v>-489114.986304</v>
      </c>
      <c r="T95" s="153" t="n">
        <f aca="false">-S85*$D$33</f>
        <v>-499379.8608</v>
      </c>
      <c r="U95" s="153" t="n">
        <f aca="false">-T85*$D$33</f>
        <v>-493078.39776</v>
      </c>
      <c r="V95" s="153" t="n">
        <f aca="false">-U85*$D$33</f>
        <v>-486776.93472</v>
      </c>
      <c r="W95" s="153" t="n">
        <f aca="false">-V85*$D$33</f>
        <v>-480475.47168</v>
      </c>
      <c r="X95" s="153" t="n">
        <f aca="false">-W85*$D$33</f>
        <v>-474174.00864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-842607.5</v>
      </c>
      <c r="U96" s="220" t="n">
        <v>-842607.5</v>
      </c>
      <c r="V96" s="220" t="n">
        <v>-842607.5</v>
      </c>
      <c r="W96" s="220" t="n">
        <v>-842607.5</v>
      </c>
      <c r="X96" s="221" t="n">
        <f aca="false">-W101-X95</f>
        <v>-954194.485119998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1423665.5704</v>
      </c>
      <c r="E99" s="208" t="n">
        <f aca="false">SUM(E87:E96)</f>
        <v>-218823.410186667</v>
      </c>
      <c r="F99" s="208" t="n">
        <f aca="false">SUM(F87:F96)</f>
        <v>-8738.14857599966</v>
      </c>
      <c r="G99" s="208" t="n">
        <f aca="false">SUM(G87:G96)</f>
        <v>-7597.60696533346</v>
      </c>
      <c r="H99" s="208" t="n">
        <f aca="false">SUM(H87:H96)</f>
        <v>-6457.06535466696</v>
      </c>
      <c r="I99" s="208" t="n">
        <f aca="false">SUM(I87:I96)</f>
        <v>-5316.52374400018</v>
      </c>
      <c r="J99" s="208" t="n">
        <f aca="false">SUM(J87:J96)</f>
        <v>-4175.98213333322</v>
      </c>
      <c r="K99" s="208" t="n">
        <f aca="false">SUM(K87:K96)</f>
        <v>-3035.44052266673</v>
      </c>
      <c r="L99" s="208" t="n">
        <f aca="false">SUM(L87:L96)</f>
        <v>-1894.8989120003</v>
      </c>
      <c r="M99" s="208" t="n">
        <f aca="false">SUM(M87:M96)</f>
        <v>-754.357301333279</v>
      </c>
      <c r="N99" s="208" t="n">
        <f aca="false">SUM(N87:N96)</f>
        <v>35274.1843093332</v>
      </c>
      <c r="O99" s="208" t="n">
        <f aca="false">SUM(O87:O96)</f>
        <v>5015.52592000016</v>
      </c>
      <c r="P99" s="208" t="n">
        <f aca="false">SUM(P87:P96)</f>
        <v>6156.06753066648</v>
      </c>
      <c r="Q99" s="208" t="n">
        <f aca="false">SUM(Q87:Q96)</f>
        <v>7296.60914133349</v>
      </c>
      <c r="R99" s="208" t="n">
        <f aca="false">SUM(R87:R96)</f>
        <v>8437.15075199981</v>
      </c>
      <c r="S99" s="208" t="n">
        <f aca="false">SUM(S87:S96)</f>
        <v>9577.6923626666</v>
      </c>
      <c r="T99" s="208" t="n">
        <f aca="false">SUM(T87:T96)</f>
        <v>48485.0255999998</v>
      </c>
      <c r="U99" s="208" t="n">
        <f aca="false">SUM(U87:U96)</f>
        <v>47784.86304</v>
      </c>
      <c r="V99" s="208" t="n">
        <f aca="false">SUM(V87:V96)</f>
        <v>47084.7004799999</v>
      </c>
      <c r="W99" s="208" t="n">
        <f aca="false">SUM(W87:W96)</f>
        <v>46384.5379200002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1423665.5704</v>
      </c>
      <c r="F100" s="208" t="n">
        <f aca="false">E101</f>
        <v>1204842.16021333</v>
      </c>
      <c r="G100" s="208" t="n">
        <f aca="false">F101</f>
        <v>1196104.01163733</v>
      </c>
      <c r="H100" s="208" t="n">
        <f aca="false">G101</f>
        <v>1188506.404672</v>
      </c>
      <c r="I100" s="208" t="n">
        <f aca="false">H101</f>
        <v>1182049.33931733</v>
      </c>
      <c r="J100" s="208" t="n">
        <f aca="false">I101</f>
        <v>1176732.81557333</v>
      </c>
      <c r="K100" s="208" t="n">
        <f aca="false">J101</f>
        <v>1172556.83344</v>
      </c>
      <c r="L100" s="208" t="n">
        <f aca="false">K101</f>
        <v>1169521.39291733</v>
      </c>
      <c r="M100" s="208" t="n">
        <f aca="false">L101</f>
        <v>1167626.49400533</v>
      </c>
      <c r="N100" s="208" t="n">
        <f aca="false">M101</f>
        <v>1166872.136704</v>
      </c>
      <c r="O100" s="208" t="n">
        <f aca="false">N101</f>
        <v>1202146.32101333</v>
      </c>
      <c r="P100" s="208" t="n">
        <f aca="false">O101</f>
        <v>1207161.84693333</v>
      </c>
      <c r="Q100" s="208" t="n">
        <f aca="false">P101</f>
        <v>1213317.914464</v>
      </c>
      <c r="R100" s="208" t="n">
        <f aca="false">Q101</f>
        <v>1220614.52360533</v>
      </c>
      <c r="S100" s="208" t="n">
        <f aca="false">R101</f>
        <v>1229051.67435733</v>
      </c>
      <c r="T100" s="208" t="n">
        <f aca="false">S101</f>
        <v>1238629.36672</v>
      </c>
      <c r="U100" s="208" t="n">
        <f aca="false">T101</f>
        <v>1287114.39232</v>
      </c>
      <c r="V100" s="208" t="n">
        <f aca="false">U101</f>
        <v>1334899.25536</v>
      </c>
      <c r="W100" s="208" t="n">
        <f aca="false">V101</f>
        <v>1381983.95584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1423665.5704</v>
      </c>
      <c r="E101" s="208" t="n">
        <f aca="false">E99+E100</f>
        <v>1204842.16021333</v>
      </c>
      <c r="F101" s="208" t="n">
        <f aca="false">F99+F100</f>
        <v>1196104.01163733</v>
      </c>
      <c r="G101" s="208" t="n">
        <f aca="false">G99+G100</f>
        <v>1188506.404672</v>
      </c>
      <c r="H101" s="208" t="n">
        <f aca="false">H99+H100</f>
        <v>1182049.33931733</v>
      </c>
      <c r="I101" s="208" t="n">
        <f aca="false">I99+I100</f>
        <v>1176732.81557333</v>
      </c>
      <c r="J101" s="208" t="n">
        <f aca="false">J99+J100</f>
        <v>1172556.83344</v>
      </c>
      <c r="K101" s="208" t="n">
        <f aca="false">K99+K100</f>
        <v>1169521.39291733</v>
      </c>
      <c r="L101" s="208" t="n">
        <f aca="false">L99+L100</f>
        <v>1167626.49400533</v>
      </c>
      <c r="M101" s="208" t="n">
        <f aca="false">M99+M100</f>
        <v>1166872.136704</v>
      </c>
      <c r="N101" s="208" t="n">
        <f aca="false">N99+N100</f>
        <v>1202146.32101333</v>
      </c>
      <c r="O101" s="208" t="n">
        <f aca="false">O99+O100</f>
        <v>1207161.84693333</v>
      </c>
      <c r="P101" s="208" t="n">
        <f aca="false">P99+P100</f>
        <v>1213317.914464</v>
      </c>
      <c r="Q101" s="208" t="n">
        <f aca="false">Q99+Q100</f>
        <v>1220614.52360533</v>
      </c>
      <c r="R101" s="208" t="n">
        <f aca="false">R99+R100</f>
        <v>1229051.67435733</v>
      </c>
      <c r="S101" s="208" t="n">
        <f aca="false">S99+S100</f>
        <v>1238629.36672</v>
      </c>
      <c r="T101" s="208" t="n">
        <f aca="false">T99+T100</f>
        <v>1287114.39232</v>
      </c>
      <c r="U101" s="208" t="n">
        <f aca="false">U99+U100</f>
        <v>1334899.25536</v>
      </c>
      <c r="V101" s="208" t="n">
        <f aca="false">V99+V100</f>
        <v>1381983.95584</v>
      </c>
      <c r="W101" s="208" t="n">
        <f aca="false">W99+W100</f>
        <v>1428368.49376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-3370430</v>
      </c>
      <c r="E104" s="211" t="n">
        <f aca="false">-E95-E96</f>
        <v>522952.26336</v>
      </c>
      <c r="F104" s="211" t="n">
        <f aca="false">-F95-F96</f>
        <v>324272.417856</v>
      </c>
      <c r="G104" s="211" t="n">
        <f aca="false">-G95-G96</f>
        <v>334537.292352</v>
      </c>
      <c r="H104" s="211" t="n">
        <f aca="false">-H95-H96</f>
        <v>344802.166848</v>
      </c>
      <c r="I104" s="211" t="n">
        <f aca="false">-I95-I96</f>
        <v>355067.041344</v>
      </c>
      <c r="J104" s="211" t="n">
        <f aca="false">-J95-J96</f>
        <v>365331.91584</v>
      </c>
      <c r="K104" s="211" t="n">
        <f aca="false">-K95-K96</f>
        <v>375596.790336</v>
      </c>
      <c r="L104" s="211" t="n">
        <f aca="false">-L95-L96</f>
        <v>385861.664832</v>
      </c>
      <c r="M104" s="211" t="n">
        <f aca="false">-M95-M96</f>
        <v>396126.539328</v>
      </c>
      <c r="N104" s="211" t="n">
        <f aca="false">-N95-N96</f>
        <v>406391.413824</v>
      </c>
      <c r="O104" s="211" t="n">
        <f aca="false">-O95-O96</f>
        <v>448055.48832</v>
      </c>
      <c r="P104" s="211" t="n">
        <f aca="false">-P95-P96</f>
        <v>458320.362816</v>
      </c>
      <c r="Q104" s="211" t="n">
        <f aca="false">-Q95-Q96</f>
        <v>468585.237312</v>
      </c>
      <c r="R104" s="211" t="n">
        <f aca="false">-R95-R96</f>
        <v>478850.111808</v>
      </c>
      <c r="S104" s="211" t="n">
        <f aca="false">-S95-S96</f>
        <v>489114.986304</v>
      </c>
      <c r="T104" s="211" t="n">
        <f aca="false">-T95-T96</f>
        <v>1341987.3608</v>
      </c>
      <c r="U104" s="211" t="n">
        <f aca="false">-U95-U96</f>
        <v>1335685.89776</v>
      </c>
      <c r="V104" s="211" t="n">
        <f aca="false">-V95-V96</f>
        <v>1329384.43472</v>
      </c>
      <c r="W104" s="211" t="n">
        <f aca="false">-W95-W96</f>
        <v>1323082.97168</v>
      </c>
      <c r="X104" s="211" t="n">
        <f aca="false">-X95-X96</f>
        <v>1428368.49376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0.128268043948321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-2789371.9296</v>
      </c>
      <c r="E106" s="211" t="n">
        <f aca="false">E85</f>
        <v>360302.686506667</v>
      </c>
      <c r="F106" s="211" t="n">
        <f aca="false">F85-F96</f>
        <v>371708.102613334</v>
      </c>
      <c r="G106" s="211" t="n">
        <f aca="false">G85-G96</f>
        <v>383113.51872</v>
      </c>
      <c r="H106" s="211" t="n">
        <f aca="false">H85-H96</f>
        <v>394518.934826667</v>
      </c>
      <c r="I106" s="211" t="n">
        <f aca="false">I85-I96</f>
        <v>405924.350933333</v>
      </c>
      <c r="J106" s="211" t="n">
        <f aca="false">J85-J96</f>
        <v>417329.76704</v>
      </c>
      <c r="K106" s="211" t="n">
        <f aca="false">K85-K96</f>
        <v>428735.183146667</v>
      </c>
      <c r="L106" s="211" t="n">
        <f aca="false">L85-L96</f>
        <v>440140.599253333</v>
      </c>
      <c r="M106" s="211" t="n">
        <f aca="false">M85-M96</f>
        <v>451546.01536</v>
      </c>
      <c r="N106" s="211" t="n">
        <f aca="false">N85-N96</f>
        <v>497839.431466667</v>
      </c>
      <c r="O106" s="211" t="n">
        <f aca="false">O85-O96</f>
        <v>509244.847573333</v>
      </c>
      <c r="P106" s="211" t="n">
        <f aca="false">P85-P96</f>
        <v>520650.26368</v>
      </c>
      <c r="Q106" s="211" t="n">
        <f aca="false">Q85-Q96</f>
        <v>532055.679786667</v>
      </c>
      <c r="R106" s="211" t="n">
        <f aca="false">R85-R96</f>
        <v>543461.095893333</v>
      </c>
      <c r="S106" s="211" t="n">
        <f aca="false">S85-S96</f>
        <v>554866.512</v>
      </c>
      <c r="T106" s="211" t="n">
        <f aca="false">T85-T96</f>
        <v>1390472.3864</v>
      </c>
      <c r="U106" s="211" t="n">
        <f aca="false">U85-U96</f>
        <v>1383470.7608</v>
      </c>
      <c r="V106" s="211" t="n">
        <f aca="false">V85-V96</f>
        <v>1376469.1352</v>
      </c>
      <c r="W106" s="211" t="n">
        <f aca="false">W85-W96</f>
        <v>1369467.5096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0.157413614644455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13481720</v>
      </c>
      <c r="E109" s="208" t="n">
        <f aca="false">D109+E93</f>
        <v>12582938.6666667</v>
      </c>
      <c r="F109" s="208" t="n">
        <f aca="false">E109+F93</f>
        <v>11684157.3333333</v>
      </c>
      <c r="G109" s="208" t="n">
        <f aca="false">F109+G93</f>
        <v>10785376</v>
      </c>
      <c r="H109" s="208" t="n">
        <f aca="false">G109+H93</f>
        <v>9886594.66666666</v>
      </c>
      <c r="I109" s="208" t="n">
        <f aca="false">H109+I93</f>
        <v>8987813.33333333</v>
      </c>
      <c r="J109" s="208" t="n">
        <f aca="false">I109+J93</f>
        <v>8089032</v>
      </c>
      <c r="K109" s="208" t="n">
        <f aca="false">J109+K93</f>
        <v>7190250.66666666</v>
      </c>
      <c r="L109" s="208" t="n">
        <f aca="false">K109+L93</f>
        <v>6291469.33333333</v>
      </c>
      <c r="M109" s="208" t="n">
        <f aca="false">L109+M93</f>
        <v>5392688</v>
      </c>
      <c r="N109" s="208" t="n">
        <f aca="false">M109+N93</f>
        <v>4493906.66666667</v>
      </c>
      <c r="O109" s="208" t="n">
        <f aca="false">N109+O93</f>
        <v>3595125.33333333</v>
      </c>
      <c r="P109" s="208" t="n">
        <f aca="false">O109+P93</f>
        <v>2696344</v>
      </c>
      <c r="Q109" s="208" t="n">
        <f aca="false">P109+Q93</f>
        <v>1797562.66666666</v>
      </c>
      <c r="R109" s="208" t="n">
        <f aca="false">Q109+R93</f>
        <v>898781.333333331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288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181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219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289</v>
      </c>
    </row>
    <row r="8" customFormat="false" ht="22.5" hidden="false" customHeight="true" outlineLevel="0" collapsed="false">
      <c r="B8" s="16" t="s">
        <v>14</v>
      </c>
      <c r="E8" s="165"/>
      <c r="M8" s="0" t="s">
        <v>290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99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24500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-15917650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-32053.35</v>
      </c>
      <c r="E49" s="185" t="n">
        <v>-32053.35</v>
      </c>
      <c r="F49" s="185" t="n">
        <v>-32053.35</v>
      </c>
      <c r="G49" s="185" t="n">
        <v>-32053.35</v>
      </c>
      <c r="H49" s="185" t="n">
        <v>-32053.35</v>
      </c>
      <c r="I49" s="185" t="n">
        <v>-32053.35</v>
      </c>
      <c r="J49" s="185" t="n">
        <v>-32053.35</v>
      </c>
      <c r="K49" s="185" t="n">
        <v>-32053.35</v>
      </c>
      <c r="L49" s="185" t="n">
        <v>-32053.35</v>
      </c>
      <c r="M49" s="185" t="n">
        <v>-32053.35</v>
      </c>
      <c r="N49" s="185" t="n">
        <v>-32053.35</v>
      </c>
      <c r="O49" s="185" t="n">
        <v>-32053.35</v>
      </c>
      <c r="P49" s="185" t="n">
        <v>-32053.35</v>
      </c>
      <c r="Q49" s="185" t="n">
        <v>-32053.35</v>
      </c>
      <c r="R49" s="185" t="n">
        <v>-32053.35</v>
      </c>
      <c r="S49" s="185" t="n">
        <v>-32053.35</v>
      </c>
      <c r="T49" s="185" t="n">
        <v>-32053.35</v>
      </c>
      <c r="U49" s="185" t="n">
        <v>-32053.35</v>
      </c>
      <c r="V49" s="185" t="n">
        <v>-32053.35</v>
      </c>
      <c r="W49" s="185" t="n">
        <v>-32053.35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-224028.414</v>
      </c>
      <c r="E54" s="185" t="n">
        <f aca="false">-(E64+E67+E68+E71+E72+E73+E74)*0.2</f>
        <v>-164237.8076</v>
      </c>
      <c r="F54" s="185" t="n">
        <f aca="false">-(F64+F67+F68+F71+F72+F73+F74)*0.2</f>
        <v>-162487.4012</v>
      </c>
      <c r="G54" s="185" t="n">
        <f aca="false">-(G64+G67+G68+G71+G72+G73+G74)*0.2</f>
        <v>-160736.9948</v>
      </c>
      <c r="H54" s="185" t="n">
        <f aca="false">-(H64+H67+H68+H71+H72+H73+H74)*0.2</f>
        <v>-158986.5884</v>
      </c>
      <c r="I54" s="185" t="n">
        <f aca="false">-(I64+I67+I68+I71+I72+I73+I74)*0.2</f>
        <v>-157236.182</v>
      </c>
      <c r="J54" s="185" t="n">
        <f aca="false">-(J64+J67+J68+J71+J72+J73+J74)*0.2</f>
        <v>-155485.7756</v>
      </c>
      <c r="K54" s="185" t="n">
        <f aca="false">-(K64+K67+K68+K71+K72+K73+K74)*0.2</f>
        <v>-153735.3692</v>
      </c>
      <c r="L54" s="185" t="n">
        <f aca="false">-(L64+L67+L68+L71+L72+L73+L74)*0.2</f>
        <v>-151984.9628</v>
      </c>
      <c r="M54" s="185" t="n">
        <f aca="false">-(M64+M67+M68+M71+M72+M73+M74)*0.2</f>
        <v>-150234.5564</v>
      </c>
      <c r="N54" s="185" t="n">
        <f aca="false">-(N64+N67+N68+N71+N72+N73+N74)*0.2</f>
        <v>-157206.15</v>
      </c>
      <c r="O54" s="185" t="n">
        <f aca="false">-(O64+O67+O68+O71+O72+O73+O74)*0.2</f>
        <v>-155455.7436</v>
      </c>
      <c r="P54" s="185" t="n">
        <f aca="false">-(P64+P67+P68+P71+P72+P73+P74)*0.2</f>
        <v>-153705.3372</v>
      </c>
      <c r="Q54" s="185" t="n">
        <f aca="false">-(Q64+Q67+Q68+Q71+Q72+Q73+Q74)*0.2</f>
        <v>-151954.9308</v>
      </c>
      <c r="R54" s="185" t="n">
        <f aca="false">-(R64+R67+R68+R71+R72+R73+R74)*0.2</f>
        <v>-150204.5244</v>
      </c>
      <c r="S54" s="185" t="n">
        <f aca="false">-(S64+S67+S68+S71+S72+S73+S74)*0.2</f>
        <v>-148454.118</v>
      </c>
      <c r="T54" s="185" t="n">
        <f aca="false">-(T64+T67+T68+T71+T72+T73+T74)*0.2</f>
        <v>-146703.7116</v>
      </c>
      <c r="U54" s="185" t="n">
        <f aca="false">-(U64+U67+U68+U71+U72+U73+U74)*0.2</f>
        <v>-144953.3052</v>
      </c>
      <c r="V54" s="185" t="n">
        <f aca="false">-(V64+V67+V68+V71+V72+V73+V74)*0.2</f>
        <v>-143202.8988</v>
      </c>
      <c r="W54" s="185" t="n">
        <f aca="false">-(W64+W67+W68+W71+W72+W73+W74)*0.2</f>
        <v>-141452.4924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-15917650</v>
      </c>
      <c r="D55" s="190" t="n">
        <f aca="false">SUM(D41:D54)</f>
        <v>1401795.156</v>
      </c>
      <c r="E55" s="190" t="n">
        <f aca="false">SUM(E41:E54)</f>
        <v>1452833.7304</v>
      </c>
      <c r="F55" s="190" t="n">
        <f aca="false">SUM(F41:F54)</f>
        <v>1445832.1048</v>
      </c>
      <c r="G55" s="190" t="n">
        <f aca="false">SUM(G41:G54)</f>
        <v>1438830.4792</v>
      </c>
      <c r="H55" s="190" t="n">
        <f aca="false">SUM(H41:H54)</f>
        <v>1431828.8536</v>
      </c>
      <c r="I55" s="190" t="n">
        <f aca="false">SUM(I41:I54)</f>
        <v>1424827.228</v>
      </c>
      <c r="J55" s="190" t="n">
        <f aca="false">SUM(J41:J54)</f>
        <v>1417825.6024</v>
      </c>
      <c r="K55" s="190" t="n">
        <f aca="false">SUM(K41:K54)</f>
        <v>1410823.9768</v>
      </c>
      <c r="L55" s="190" t="n">
        <f aca="false">SUM(L41:L54)</f>
        <v>1403822.3512</v>
      </c>
      <c r="M55" s="190" t="n">
        <f aca="false">SUM(M41:M54)</f>
        <v>1396820.7256</v>
      </c>
      <c r="N55" s="190" t="n">
        <f aca="false">SUM(N41:N54)</f>
        <v>1424707.1</v>
      </c>
      <c r="O55" s="190" t="n">
        <f aca="false">SUM(O41:O54)</f>
        <v>1417705.4744</v>
      </c>
      <c r="P55" s="190" t="n">
        <f aca="false">SUM(P41:P54)</f>
        <v>1410703.8488</v>
      </c>
      <c r="Q55" s="190" t="n">
        <f aca="false">SUM(Q41:Q54)</f>
        <v>1403702.2232</v>
      </c>
      <c r="R55" s="190" t="n">
        <f aca="false">SUM(R41:R54)</f>
        <v>1396700.5976</v>
      </c>
      <c r="S55" s="190" t="n">
        <f aca="false">SUM(S41:S54)</f>
        <v>1389698.972</v>
      </c>
      <c r="T55" s="190" t="n">
        <f aca="false">SUM(T41:T54)</f>
        <v>1382697.3464</v>
      </c>
      <c r="U55" s="190" t="n">
        <f aca="false">SUM(U41:U54)</f>
        <v>1375695.7208</v>
      </c>
      <c r="V55" s="190" t="n">
        <f aca="false">SUM(V41:V54)</f>
        <v>1368694.0952</v>
      </c>
      <c r="W55" s="190" t="n">
        <f aca="false">SUM(W41:W54)</f>
        <v>1361692.4696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-14515854.844</v>
      </c>
      <c r="E56" s="195" t="n">
        <f aca="false">D56+E55</f>
        <v>-13063021.1136</v>
      </c>
      <c r="F56" s="195" t="n">
        <f aca="false">E56+F55</f>
        <v>-11617189.0088</v>
      </c>
      <c r="G56" s="195" t="n">
        <f aca="false">F56+G55</f>
        <v>-10178358.5296</v>
      </c>
      <c r="H56" s="195" t="n">
        <f aca="false">G56+H55</f>
        <v>-8746529.676</v>
      </c>
      <c r="I56" s="195" t="n">
        <f aca="false">H56+I55</f>
        <v>-7321702.448</v>
      </c>
      <c r="J56" s="195" t="n">
        <f aca="false">I56+J55</f>
        <v>-5903876.8456</v>
      </c>
      <c r="K56" s="195" t="n">
        <f aca="false">J56+K55</f>
        <v>-4493052.8688</v>
      </c>
      <c r="L56" s="195" t="n">
        <f aca="false">K56+L55</f>
        <v>-3089230.5176</v>
      </c>
      <c r="M56" s="195" t="n">
        <f aca="false">L56+M55</f>
        <v>-1692409.792</v>
      </c>
      <c r="N56" s="195" t="n">
        <f aca="false">M56+N55</f>
        <v>-267702.692000001</v>
      </c>
      <c r="O56" s="195" t="n">
        <f aca="false">N56+O55</f>
        <v>1150002.7824</v>
      </c>
      <c r="P56" s="195" t="n">
        <f aca="false">O56+P55</f>
        <v>2560706.6312</v>
      </c>
      <c r="Q56" s="195" t="n">
        <f aca="false">P56+Q55</f>
        <v>3964408.8544</v>
      </c>
      <c r="R56" s="195" t="n">
        <f aca="false">Q56+R55</f>
        <v>5361109.452</v>
      </c>
      <c r="S56" s="195" t="n">
        <f aca="false">R56+S55</f>
        <v>6750808.424</v>
      </c>
      <c r="T56" s="195" t="n">
        <f aca="false">S56+T55</f>
        <v>8133505.7704</v>
      </c>
      <c r="U56" s="195" t="n">
        <f aca="false">T56+U55</f>
        <v>9509201.4912</v>
      </c>
      <c r="V56" s="195" t="n">
        <f aca="false">U56+V55</f>
        <v>10877895.5864</v>
      </c>
      <c r="W56" s="195" t="n">
        <f aca="false">V56+W55</f>
        <v>12239588.056</v>
      </c>
      <c r="X56" s="195" t="n">
        <f aca="false">W56+X55</f>
        <v>12239588.056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未回收</v>
      </c>
      <c r="O57" s="199" t="str">
        <f aca="false">IF((O56)&gt;0,"回收","未回收")</f>
        <v>回收</v>
      </c>
      <c r="P57" s="199" t="str">
        <f aca="false">IF((P56)&gt;0,"回收","未回收")</f>
        <v>回收</v>
      </c>
      <c r="Q57" s="199" t="str">
        <f aca="false">IF((Q56)&gt;0,"回收","未回收")</f>
        <v>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0.0623652843135597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-795882.5</v>
      </c>
      <c r="E67" s="200" t="n">
        <f aca="false">$C$44/$E$16</f>
        <v>-795882.5</v>
      </c>
      <c r="F67" s="200" t="n">
        <f aca="false">$C$44/$E$16</f>
        <v>-795882.5</v>
      </c>
      <c r="G67" s="200" t="n">
        <f aca="false">$C$44/$E$16</f>
        <v>-795882.5</v>
      </c>
      <c r="H67" s="200" t="n">
        <f aca="false">$C$44/$E$16</f>
        <v>-795882.5</v>
      </c>
      <c r="I67" s="200" t="n">
        <f aca="false">$C$44/$E$16</f>
        <v>-795882.5</v>
      </c>
      <c r="J67" s="200" t="n">
        <f aca="false">$C$44/$E$16</f>
        <v>-795882.5</v>
      </c>
      <c r="K67" s="200" t="n">
        <f aca="false">$C$44/$E$16</f>
        <v>-795882.5</v>
      </c>
      <c r="L67" s="200" t="n">
        <f aca="false">$C$44/$E$16</f>
        <v>-795882.5</v>
      </c>
      <c r="M67" s="200" t="n">
        <f aca="false">$C$44/$E$16</f>
        <v>-795882.5</v>
      </c>
      <c r="N67" s="200" t="n">
        <f aca="false">$C$44/$E$16</f>
        <v>-795882.5</v>
      </c>
      <c r="O67" s="200" t="n">
        <f aca="false">$C$44/$E$16</f>
        <v>-795882.5</v>
      </c>
      <c r="P67" s="200" t="n">
        <f aca="false">$C$44/$E$16</f>
        <v>-795882.5</v>
      </c>
      <c r="Q67" s="200" t="n">
        <f aca="false">$C$44/$E$16</f>
        <v>-795882.5</v>
      </c>
      <c r="R67" s="200" t="n">
        <f aca="false">$C$44/$E$16</f>
        <v>-795882.5</v>
      </c>
      <c r="S67" s="200" t="n">
        <f aca="false">$C$44/$E$16</f>
        <v>-795882.5</v>
      </c>
      <c r="T67" s="200" t="n">
        <f aca="false">$C$44/$E$16</f>
        <v>-795882.5</v>
      </c>
      <c r="U67" s="200" t="n">
        <f aca="false">$C$44/$E$16</f>
        <v>-795882.5</v>
      </c>
      <c r="V67" s="200" t="n">
        <f aca="false">$C$44/$E$16</f>
        <v>-795882.5</v>
      </c>
      <c r="W67" s="200" t="n">
        <f aca="false">$C$44/$E$16</f>
        <v>-795882.5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-325993.472</v>
      </c>
      <c r="E70" s="185" t="n">
        <f aca="false">-E109*$D25</f>
        <v>-304260.573866667</v>
      </c>
      <c r="F70" s="185" t="n">
        <f aca="false">-F109*$D25</f>
        <v>-282527.675733333</v>
      </c>
      <c r="G70" s="185" t="n">
        <f aca="false">-G109*$D25</f>
        <v>-260794.7776</v>
      </c>
      <c r="H70" s="185" t="n">
        <f aca="false">-H109*$D25</f>
        <v>-239061.879466667</v>
      </c>
      <c r="I70" s="185" t="n">
        <f aca="false">-I109*$D25</f>
        <v>-217328.981333333</v>
      </c>
      <c r="J70" s="185" t="n">
        <f aca="false">-J109*$D25</f>
        <v>-195596.0832</v>
      </c>
      <c r="K70" s="185" t="n">
        <f aca="false">-K109*$D25</f>
        <v>-173863.185066667</v>
      </c>
      <c r="L70" s="185" t="n">
        <f aca="false">-L109*$D25</f>
        <v>-152130.286933333</v>
      </c>
      <c r="M70" s="185" t="n">
        <f aca="false">-M109*$D25</f>
        <v>-130397.3888</v>
      </c>
      <c r="N70" s="185" t="n">
        <f aca="false">-N109*$D25</f>
        <v>-108664.490666667</v>
      </c>
      <c r="O70" s="185" t="n">
        <f aca="false">-O109*$D25</f>
        <v>-86931.5925333333</v>
      </c>
      <c r="P70" s="185" t="n">
        <f aca="false">-P109*$D25</f>
        <v>-65198.6944</v>
      </c>
      <c r="Q70" s="185" t="n">
        <f aca="false">-Q109*$D25</f>
        <v>-43465.7962666666</v>
      </c>
      <c r="R70" s="185" t="n">
        <f aca="false">-R109*$D25</f>
        <v>-21732.8981333333</v>
      </c>
      <c r="S70" s="185" t="n">
        <f aca="false">-S109*$D25</f>
        <v>-0</v>
      </c>
      <c r="T70" s="185" t="n">
        <f aca="false">-T109*$D25</f>
        <v>-0</v>
      </c>
      <c r="U70" s="185" t="n">
        <f aca="false">-U109*$D25</f>
        <v>-0</v>
      </c>
      <c r="V70" s="185" t="n">
        <f aca="false">-V109*$D25</f>
        <v>-0</v>
      </c>
      <c r="W70" s="185" t="n">
        <f aca="false">-W109*$D25</f>
        <v>-0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-32053.35</v>
      </c>
      <c r="E72" s="185" t="n">
        <f aca="false">E49</f>
        <v>-32053.35</v>
      </c>
      <c r="F72" s="185" t="n">
        <f aca="false">F49</f>
        <v>-32053.35</v>
      </c>
      <c r="G72" s="185" t="n">
        <f aca="false">G49</f>
        <v>-32053.35</v>
      </c>
      <c r="H72" s="185" t="n">
        <f aca="false">H49</f>
        <v>-32053.35</v>
      </c>
      <c r="I72" s="185" t="n">
        <f aca="false">I49</f>
        <v>-32053.35</v>
      </c>
      <c r="J72" s="185" t="n">
        <f aca="false">J49</f>
        <v>-32053.35</v>
      </c>
      <c r="K72" s="185" t="n">
        <f aca="false">K49</f>
        <v>-32053.35</v>
      </c>
      <c r="L72" s="185" t="n">
        <f aca="false">L49</f>
        <v>-32053.35</v>
      </c>
      <c r="M72" s="185" t="n">
        <f aca="false">M49</f>
        <v>-32053.35</v>
      </c>
      <c r="N72" s="185" t="n">
        <f aca="false">N49</f>
        <v>-32053.35</v>
      </c>
      <c r="O72" s="185" t="n">
        <f aca="false">O49</f>
        <v>-32053.35</v>
      </c>
      <c r="P72" s="185" t="n">
        <f aca="false">P49</f>
        <v>-32053.35</v>
      </c>
      <c r="Q72" s="185" t="n">
        <f aca="false">Q49</f>
        <v>-32053.35</v>
      </c>
      <c r="R72" s="185" t="n">
        <f aca="false">R49</f>
        <v>-32053.35</v>
      </c>
      <c r="S72" s="185" t="n">
        <f aca="false">S49</f>
        <v>-32053.35</v>
      </c>
      <c r="T72" s="185" t="n">
        <f aca="false">T49</f>
        <v>-32053.35</v>
      </c>
      <c r="U72" s="185" t="n">
        <f aca="false">U49</f>
        <v>-32053.35</v>
      </c>
      <c r="V72" s="185" t="n">
        <f aca="false">V49</f>
        <v>-32053.35</v>
      </c>
      <c r="W72" s="185" t="n">
        <f aca="false">W49</f>
        <v>-32053.35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794148.598</v>
      </c>
      <c r="E76" s="190" t="n">
        <f aca="false">SUM(E64:E75)</f>
        <v>516928.464133333</v>
      </c>
      <c r="F76" s="190" t="n">
        <f aca="false">SUM(F64:F75)</f>
        <v>529909.330266667</v>
      </c>
      <c r="G76" s="190" t="n">
        <f aca="false">SUM(G64:G75)</f>
        <v>542890.1964</v>
      </c>
      <c r="H76" s="190" t="n">
        <f aca="false">SUM(H64:H75)</f>
        <v>555871.062533333</v>
      </c>
      <c r="I76" s="190" t="n">
        <f aca="false">SUM(I64:I75)</f>
        <v>568851.928666667</v>
      </c>
      <c r="J76" s="190" t="n">
        <f aca="false">SUM(J64:J75)</f>
        <v>581832.7948</v>
      </c>
      <c r="K76" s="190" t="n">
        <f aca="false">SUM(K64:K75)</f>
        <v>594813.660933333</v>
      </c>
      <c r="L76" s="190" t="n">
        <f aca="false">SUM(L64:L75)</f>
        <v>607794.527066667</v>
      </c>
      <c r="M76" s="190" t="n">
        <f aca="false">SUM(M64:M75)</f>
        <v>620775.3932</v>
      </c>
      <c r="N76" s="190" t="n">
        <f aca="false">SUM(N64:N75)</f>
        <v>677366.259333333</v>
      </c>
      <c r="O76" s="190" t="n">
        <f aca="false">SUM(O64:O75)</f>
        <v>690347.125466667</v>
      </c>
      <c r="P76" s="190" t="n">
        <f aca="false">SUM(P64:P75)</f>
        <v>703327.9916</v>
      </c>
      <c r="Q76" s="190" t="n">
        <f aca="false">SUM(Q64:Q75)</f>
        <v>716308.857733333</v>
      </c>
      <c r="R76" s="190" t="n">
        <f aca="false">SUM(R64:R75)</f>
        <v>729289.723866667</v>
      </c>
      <c r="S76" s="190" t="n">
        <f aca="false">SUM(S64:S75)</f>
        <v>742270.59</v>
      </c>
      <c r="T76" s="190" t="n">
        <f aca="false">SUM(T64:T75)</f>
        <v>733518.558</v>
      </c>
      <c r="U76" s="190" t="n">
        <f aca="false">SUM(U64:U75)</f>
        <v>724766.526</v>
      </c>
      <c r="V76" s="190" t="n">
        <f aca="false">SUM(V64:V75)</f>
        <v>716014.494</v>
      </c>
      <c r="W76" s="190" t="n">
        <f aca="false">SUM(W64:W75)</f>
        <v>707262.462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-158829.7196</v>
      </c>
      <c r="E77" s="185" t="n">
        <f aca="false">-E76*0.2</f>
        <v>-103385.692826667</v>
      </c>
      <c r="F77" s="185" t="n">
        <f aca="false">-F76*0.2</f>
        <v>-105981.866053333</v>
      </c>
      <c r="G77" s="185" t="n">
        <f aca="false">-G76*0.2</f>
        <v>-108578.03928</v>
      </c>
      <c r="H77" s="185" t="n">
        <f aca="false">-H76*0.2</f>
        <v>-111174.212506667</v>
      </c>
      <c r="I77" s="185" t="n">
        <f aca="false">-I76*0.2</f>
        <v>-113770.385733333</v>
      </c>
      <c r="J77" s="185" t="n">
        <f aca="false">-J76*0.2</f>
        <v>-116366.55896</v>
      </c>
      <c r="K77" s="185" t="n">
        <f aca="false">-K76*0.2</f>
        <v>-118962.732186667</v>
      </c>
      <c r="L77" s="185" t="n">
        <f aca="false">-L76*0.2</f>
        <v>-121558.905413333</v>
      </c>
      <c r="M77" s="185" t="n">
        <f aca="false">-M76*0.2</f>
        <v>-124155.07864</v>
      </c>
      <c r="N77" s="185" t="n">
        <f aca="false">-N76*0.2</f>
        <v>-135473.251866667</v>
      </c>
      <c r="O77" s="185" t="n">
        <f aca="false">-O76*0.2</f>
        <v>-138069.425093333</v>
      </c>
      <c r="P77" s="185" t="n">
        <f aca="false">-P76*0.2</f>
        <v>-140665.59832</v>
      </c>
      <c r="Q77" s="185" t="n">
        <f aca="false">-Q76*0.2</f>
        <v>-143261.771546667</v>
      </c>
      <c r="R77" s="185" t="n">
        <f aca="false">-R76*0.2</f>
        <v>-145857.944773333</v>
      </c>
      <c r="S77" s="185" t="n">
        <f aca="false">-S76*0.2</f>
        <v>-148454.118</v>
      </c>
      <c r="T77" s="185" t="n">
        <f aca="false">-T76*0.2</f>
        <v>-146703.7116</v>
      </c>
      <c r="U77" s="185" t="n">
        <f aca="false">-U76*0.2</f>
        <v>-144953.3052</v>
      </c>
      <c r="V77" s="185" t="n">
        <f aca="false">-V76*0.2</f>
        <v>-143202.8988</v>
      </c>
      <c r="W77" s="185" t="n">
        <f aca="false">-W76*0.2</f>
        <v>-141452.4924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635318.8784</v>
      </c>
      <c r="E78" s="185" t="n">
        <f aca="false">SUM(E76:E77)</f>
        <v>413542.771306667</v>
      </c>
      <c r="F78" s="185" t="n">
        <f aca="false">SUM(F76:F77)</f>
        <v>423927.464213333</v>
      </c>
      <c r="G78" s="185" t="n">
        <f aca="false">SUM(G76:G77)</f>
        <v>434312.15712</v>
      </c>
      <c r="H78" s="185" t="n">
        <f aca="false">SUM(H76:H77)</f>
        <v>444696.850026667</v>
      </c>
      <c r="I78" s="185" t="n">
        <f aca="false">SUM(I76:I77)</f>
        <v>455081.542933333</v>
      </c>
      <c r="J78" s="185" t="n">
        <f aca="false">SUM(J76:J77)</f>
        <v>465466.23584</v>
      </c>
      <c r="K78" s="185" t="n">
        <f aca="false">SUM(K76:K77)</f>
        <v>475850.928746667</v>
      </c>
      <c r="L78" s="185" t="n">
        <f aca="false">SUM(L76:L77)</f>
        <v>486235.621653333</v>
      </c>
      <c r="M78" s="185" t="n">
        <f aca="false">SUM(M76:M77)</f>
        <v>496620.31456</v>
      </c>
      <c r="N78" s="185" t="n">
        <f aca="false">SUM(N76:N77)</f>
        <v>541893.007466667</v>
      </c>
      <c r="O78" s="185" t="n">
        <f aca="false">SUM(O76:O77)</f>
        <v>552277.700373333</v>
      </c>
      <c r="P78" s="185" t="n">
        <f aca="false">SUM(P76:P77)</f>
        <v>562662.39328</v>
      </c>
      <c r="Q78" s="185" t="n">
        <f aca="false">SUM(Q76:Q77)</f>
        <v>573047.086186667</v>
      </c>
      <c r="R78" s="185" t="n">
        <f aca="false">SUM(R76:R77)</f>
        <v>583431.779093333</v>
      </c>
      <c r="S78" s="185" t="n">
        <f aca="false">SUM(S76:S77)</f>
        <v>593816.472</v>
      </c>
      <c r="T78" s="185" t="n">
        <f aca="false">SUM(T76:T77)</f>
        <v>586814.8464</v>
      </c>
      <c r="U78" s="185" t="n">
        <f aca="false">SUM(U76:U77)</f>
        <v>579813.2208</v>
      </c>
      <c r="V78" s="185" t="n">
        <f aca="false">SUM(V76:V77)</f>
        <v>572811.5952</v>
      </c>
      <c r="W78" s="185" t="n">
        <f aca="false">SUM(W76:W77)</f>
        <v>565809.9696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635318.8784</v>
      </c>
      <c r="E85" s="208" t="n">
        <f aca="false">E78</f>
        <v>413542.771306667</v>
      </c>
      <c r="F85" s="208" t="n">
        <f aca="false">F78</f>
        <v>423927.464213333</v>
      </c>
      <c r="G85" s="208" t="n">
        <f aca="false">G78</f>
        <v>434312.15712</v>
      </c>
      <c r="H85" s="208" t="n">
        <f aca="false">H78</f>
        <v>444696.850026667</v>
      </c>
      <c r="I85" s="208" t="n">
        <f aca="false">I78</f>
        <v>455081.542933333</v>
      </c>
      <c r="J85" s="208" t="n">
        <f aca="false">J78</f>
        <v>465466.23584</v>
      </c>
      <c r="K85" s="208" t="n">
        <f aca="false">K78</f>
        <v>475850.928746667</v>
      </c>
      <c r="L85" s="208" t="n">
        <f aca="false">L78</f>
        <v>486235.621653333</v>
      </c>
      <c r="M85" s="208" t="n">
        <f aca="false">M78</f>
        <v>496620.31456</v>
      </c>
      <c r="N85" s="208" t="n">
        <f aca="false">N78</f>
        <v>541893.007466667</v>
      </c>
      <c r="O85" s="208" t="n">
        <f aca="false">O78</f>
        <v>552277.700373333</v>
      </c>
      <c r="P85" s="208" t="n">
        <f aca="false">P78</f>
        <v>562662.39328</v>
      </c>
      <c r="Q85" s="208" t="n">
        <f aca="false">Q78</f>
        <v>573047.086186667</v>
      </c>
      <c r="R85" s="208" t="n">
        <f aca="false">R78</f>
        <v>583431.779093333</v>
      </c>
      <c r="S85" s="208" t="n">
        <f aca="false">S78</f>
        <v>593816.472</v>
      </c>
      <c r="T85" s="208" t="n">
        <f aca="false">T78</f>
        <v>586814.8464</v>
      </c>
      <c r="U85" s="208" t="n">
        <f aca="false">U78</f>
        <v>579813.2208</v>
      </c>
      <c r="V85" s="208" t="n">
        <f aca="false">V78</f>
        <v>572811.5952</v>
      </c>
      <c r="W85" s="208" t="n">
        <f aca="false">W78</f>
        <v>565809.9696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795882.5</v>
      </c>
      <c r="E86" s="209" t="n">
        <f aca="false">-E67</f>
        <v>795882.5</v>
      </c>
      <c r="F86" s="209" t="n">
        <f aca="false">-F67</f>
        <v>795882.5</v>
      </c>
      <c r="G86" s="209" t="n">
        <f aca="false">-G67</f>
        <v>795882.5</v>
      </c>
      <c r="H86" s="209" t="n">
        <f aca="false">-H67</f>
        <v>795882.5</v>
      </c>
      <c r="I86" s="209" t="n">
        <f aca="false">-I67</f>
        <v>795882.5</v>
      </c>
      <c r="J86" s="209" t="n">
        <f aca="false">-J67</f>
        <v>795882.5</v>
      </c>
      <c r="K86" s="209" t="n">
        <f aca="false">-K67</f>
        <v>795882.5</v>
      </c>
      <c r="L86" s="209" t="n">
        <f aca="false">-L67</f>
        <v>795882.5</v>
      </c>
      <c r="M86" s="209" t="n">
        <f aca="false">-M67</f>
        <v>795882.5</v>
      </c>
      <c r="N86" s="209" t="n">
        <f aca="false">-N67</f>
        <v>795882.5</v>
      </c>
      <c r="O86" s="209" t="n">
        <f aca="false">-O67</f>
        <v>795882.5</v>
      </c>
      <c r="P86" s="209" t="n">
        <f aca="false">-P67</f>
        <v>795882.5</v>
      </c>
      <c r="Q86" s="209" t="n">
        <f aca="false">-Q67</f>
        <v>795882.5</v>
      </c>
      <c r="R86" s="209" t="n">
        <f aca="false">-R67</f>
        <v>795882.5</v>
      </c>
      <c r="S86" s="209" t="n">
        <f aca="false">-S67</f>
        <v>795882.5</v>
      </c>
      <c r="T86" s="209" t="n">
        <f aca="false">-T67</f>
        <v>795882.5</v>
      </c>
      <c r="U86" s="209" t="n">
        <f aca="false">-U67</f>
        <v>795882.5</v>
      </c>
      <c r="V86" s="209" t="n">
        <f aca="false">-V67</f>
        <v>795882.5</v>
      </c>
      <c r="W86" s="209" t="n">
        <f aca="false">-W67</f>
        <v>795882.5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1431201.3784</v>
      </c>
      <c r="E87" s="211" t="n">
        <f aca="false">SUM(E85:E86)</f>
        <v>1209425.27130667</v>
      </c>
      <c r="F87" s="211" t="n">
        <f aca="false">SUM(F85:F86)</f>
        <v>1219809.96421333</v>
      </c>
      <c r="G87" s="211" t="n">
        <f aca="false">SUM(G85:G86)</f>
        <v>1230194.65712</v>
      </c>
      <c r="H87" s="211" t="n">
        <f aca="false">SUM(H85:H86)</f>
        <v>1240579.35002667</v>
      </c>
      <c r="I87" s="211" t="n">
        <f aca="false">SUM(I85:I86)</f>
        <v>1250964.04293333</v>
      </c>
      <c r="J87" s="211" t="n">
        <f aca="false">SUM(J85:J86)</f>
        <v>1261348.73584</v>
      </c>
      <c r="K87" s="211" t="n">
        <f aca="false">SUM(K85:K86)</f>
        <v>1271733.42874667</v>
      </c>
      <c r="L87" s="211" t="n">
        <f aca="false">SUM(L85:L86)</f>
        <v>1282118.12165333</v>
      </c>
      <c r="M87" s="211" t="n">
        <f aca="false">SUM(M85:M86)</f>
        <v>1292502.81456</v>
      </c>
      <c r="N87" s="211" t="n">
        <f aca="false">SUM(N85:N86)</f>
        <v>1337775.50746667</v>
      </c>
      <c r="O87" s="211" t="n">
        <f aca="false">SUM(O85:O86)</f>
        <v>1348160.20037333</v>
      </c>
      <c r="P87" s="211" t="n">
        <f aca="false">SUM(P85:P86)</f>
        <v>1358544.89328</v>
      </c>
      <c r="Q87" s="211" t="n">
        <f aca="false">SUM(Q85:Q86)</f>
        <v>1368929.58618667</v>
      </c>
      <c r="R87" s="211" t="n">
        <f aca="false">SUM(R85:R86)</f>
        <v>1379314.27909333</v>
      </c>
      <c r="S87" s="211" t="n">
        <f aca="false">SUM(S85:S86)</f>
        <v>1389698.972</v>
      </c>
      <c r="T87" s="211" t="n">
        <f aca="false">SUM(T85:T86)</f>
        <v>1382697.3464</v>
      </c>
      <c r="U87" s="211" t="n">
        <f aca="false">SUM(U85:U86)</f>
        <v>1375695.7208</v>
      </c>
      <c r="V87" s="211" t="n">
        <f aca="false">SUM(V85:V86)</f>
        <v>1368694.0952</v>
      </c>
      <c r="W87" s="211" t="n">
        <f aca="false">SUM(W85:W86)</f>
        <v>1361692.4696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-15917650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12734120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-848941.333333333</v>
      </c>
      <c r="F93" s="217" t="n">
        <v>-848941.333333333</v>
      </c>
      <c r="G93" s="217" t="n">
        <v>-848941.333333333</v>
      </c>
      <c r="H93" s="217" t="n">
        <v>-848941.333333333</v>
      </c>
      <c r="I93" s="217" t="n">
        <v>-848941.333333333</v>
      </c>
      <c r="J93" s="217" t="n">
        <v>-848941.333333333</v>
      </c>
      <c r="K93" s="217" t="n">
        <v>-848941.333333333</v>
      </c>
      <c r="L93" s="217" t="n">
        <v>-848941.333333333</v>
      </c>
      <c r="M93" s="217" t="n">
        <v>-848941.333333333</v>
      </c>
      <c r="N93" s="217" t="n">
        <v>-848941.333333333</v>
      </c>
      <c r="O93" s="217" t="n">
        <v>-848941.333333333</v>
      </c>
      <c r="P93" s="217" t="n">
        <v>-848941.333333333</v>
      </c>
      <c r="Q93" s="217" t="n">
        <v>-848941.333333333</v>
      </c>
      <c r="R93" s="217" t="n">
        <v>-848941.333333333</v>
      </c>
      <c r="S93" s="217" t="n">
        <v>-848941.333333333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3183530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-571786.99056</v>
      </c>
      <c r="F95" s="153" t="n">
        <f aca="false">-E85*$D$33</f>
        <v>-372188.494176</v>
      </c>
      <c r="G95" s="153" t="n">
        <f aca="false">-F85*$D$33</f>
        <v>-381534.717792</v>
      </c>
      <c r="H95" s="153" t="n">
        <f aca="false">-G85*$D$33</f>
        <v>-390880.941408</v>
      </c>
      <c r="I95" s="153" t="n">
        <f aca="false">-H85*$D$33</f>
        <v>-400227.165024</v>
      </c>
      <c r="J95" s="153" t="n">
        <f aca="false">-I85*$D$33</f>
        <v>-409573.38864</v>
      </c>
      <c r="K95" s="153" t="n">
        <f aca="false">-J85*$D$33</f>
        <v>-418919.612256</v>
      </c>
      <c r="L95" s="153" t="n">
        <f aca="false">-K85*$D$33</f>
        <v>-428265.835872</v>
      </c>
      <c r="M95" s="153" t="n">
        <f aca="false">-L85*$D$33</f>
        <v>-437612.059488</v>
      </c>
      <c r="N95" s="153" t="n">
        <f aca="false">-M85*$D$33</f>
        <v>-446958.283104</v>
      </c>
      <c r="O95" s="153" t="n">
        <f aca="false">-N85*$D$33</f>
        <v>-487703.70672</v>
      </c>
      <c r="P95" s="153" t="n">
        <f aca="false">-O85*$D$33</f>
        <v>-497049.930336</v>
      </c>
      <c r="Q95" s="153" t="n">
        <f aca="false">-P85*$D$33</f>
        <v>-506396.153952</v>
      </c>
      <c r="R95" s="153" t="n">
        <f aca="false">-Q85*$D$33</f>
        <v>-515742.377568</v>
      </c>
      <c r="S95" s="153" t="n">
        <f aca="false">-R85*$D$33</f>
        <v>-525088.601184</v>
      </c>
      <c r="T95" s="153" t="n">
        <f aca="false">-S85*$D$33</f>
        <v>-534434.8248</v>
      </c>
      <c r="U95" s="153" t="n">
        <f aca="false">-T85*$D$33</f>
        <v>-528133.36176</v>
      </c>
      <c r="V95" s="153" t="n">
        <f aca="false">-U85*$D$33</f>
        <v>-521831.89872</v>
      </c>
      <c r="W95" s="153" t="n">
        <f aca="false">-V85*$D$33</f>
        <v>-515530.43568</v>
      </c>
      <c r="X95" s="153" t="n">
        <f aca="false">-W85*$D$33</f>
        <v>-509228.97264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-795882.5</v>
      </c>
      <c r="U96" s="220" t="n">
        <v>-795882.5</v>
      </c>
      <c r="V96" s="220" t="n">
        <v>-795882.5</v>
      </c>
      <c r="W96" s="220" t="n">
        <v>-795882.5</v>
      </c>
      <c r="X96" s="221" t="n">
        <f aca="false">-W101-X95</f>
        <v>-1044343.08352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1431201.3784</v>
      </c>
      <c r="E99" s="208" t="n">
        <f aca="false">SUM(E87:E96)</f>
        <v>-211303.052586667</v>
      </c>
      <c r="F99" s="208" t="n">
        <f aca="false">SUM(F87:F96)</f>
        <v>-1319.8632959997</v>
      </c>
      <c r="G99" s="208" t="n">
        <f aca="false">SUM(G87:G96)</f>
        <v>-281.394005333365</v>
      </c>
      <c r="H99" s="208" t="n">
        <f aca="false">SUM(H87:H96)</f>
        <v>757.075285333267</v>
      </c>
      <c r="I99" s="208" t="n">
        <f aca="false">SUM(I87:I96)</f>
        <v>1795.54457599984</v>
      </c>
      <c r="J99" s="208" t="n">
        <f aca="false">SUM(J87:J96)</f>
        <v>2834.01386666694</v>
      </c>
      <c r="K99" s="208" t="n">
        <f aca="false">SUM(K87:K96)</f>
        <v>3872.48315733328</v>
      </c>
      <c r="L99" s="208" t="n">
        <f aca="false">SUM(L87:L96)</f>
        <v>4910.95244799985</v>
      </c>
      <c r="M99" s="208" t="n">
        <f aca="false">SUM(M87:M96)</f>
        <v>5949.42173866672</v>
      </c>
      <c r="N99" s="208" t="n">
        <f aca="false">SUM(N87:N96)</f>
        <v>41875.8910293332</v>
      </c>
      <c r="O99" s="208" t="n">
        <f aca="false">SUM(O87:O96)</f>
        <v>11515.1603200001</v>
      </c>
      <c r="P99" s="208" t="n">
        <f aca="false">SUM(P87:P96)</f>
        <v>12553.6296106666</v>
      </c>
      <c r="Q99" s="208" t="n">
        <f aca="false">SUM(Q87:Q96)</f>
        <v>13592.0989013334</v>
      </c>
      <c r="R99" s="208" t="n">
        <f aca="false">SUM(R87:R96)</f>
        <v>14630.5681919999</v>
      </c>
      <c r="S99" s="208" t="n">
        <f aca="false">SUM(S87:S96)</f>
        <v>15669.0374826667</v>
      </c>
      <c r="T99" s="208" t="n">
        <f aca="false">SUM(T87:T96)</f>
        <v>52380.0216</v>
      </c>
      <c r="U99" s="208" t="n">
        <f aca="false">SUM(U87:U96)</f>
        <v>51679.85904</v>
      </c>
      <c r="V99" s="208" t="n">
        <f aca="false">SUM(V87:V96)</f>
        <v>50979.6964799999</v>
      </c>
      <c r="W99" s="208" t="n">
        <f aca="false">SUM(W87:W96)</f>
        <v>50279.5339200001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1431201.3784</v>
      </c>
      <c r="F100" s="208" t="n">
        <f aca="false">E101</f>
        <v>1219898.32581333</v>
      </c>
      <c r="G100" s="208" t="n">
        <f aca="false">F101</f>
        <v>1218578.46251733</v>
      </c>
      <c r="H100" s="208" t="n">
        <f aca="false">G101</f>
        <v>1218297.068512</v>
      </c>
      <c r="I100" s="208" t="n">
        <f aca="false">H101</f>
        <v>1219054.14379733</v>
      </c>
      <c r="J100" s="208" t="n">
        <f aca="false">I101</f>
        <v>1220849.68837333</v>
      </c>
      <c r="K100" s="208" t="n">
        <f aca="false">J101</f>
        <v>1223683.70224</v>
      </c>
      <c r="L100" s="208" t="n">
        <f aca="false">K101</f>
        <v>1227556.18539733</v>
      </c>
      <c r="M100" s="208" t="n">
        <f aca="false">L101</f>
        <v>1232467.13784533</v>
      </c>
      <c r="N100" s="208" t="n">
        <f aca="false">M101</f>
        <v>1238416.559584</v>
      </c>
      <c r="O100" s="208" t="n">
        <f aca="false">N101</f>
        <v>1280292.45061333</v>
      </c>
      <c r="P100" s="208" t="n">
        <f aca="false">O101</f>
        <v>1291807.61093333</v>
      </c>
      <c r="Q100" s="208" t="n">
        <f aca="false">P101</f>
        <v>1304361.240544</v>
      </c>
      <c r="R100" s="208" t="n">
        <f aca="false">Q101</f>
        <v>1317953.33944533</v>
      </c>
      <c r="S100" s="208" t="n">
        <f aca="false">R101</f>
        <v>1332583.90763733</v>
      </c>
      <c r="T100" s="208" t="n">
        <f aca="false">S101</f>
        <v>1348252.94512</v>
      </c>
      <c r="U100" s="208" t="n">
        <f aca="false">T101</f>
        <v>1400632.96672</v>
      </c>
      <c r="V100" s="208" t="n">
        <f aca="false">U101</f>
        <v>1452312.82576</v>
      </c>
      <c r="W100" s="208" t="n">
        <f aca="false">V101</f>
        <v>1503292.52224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1431201.3784</v>
      </c>
      <c r="E101" s="208" t="n">
        <f aca="false">E99+E100</f>
        <v>1219898.32581333</v>
      </c>
      <c r="F101" s="208" t="n">
        <f aca="false">F99+F100</f>
        <v>1218578.46251733</v>
      </c>
      <c r="G101" s="208" t="n">
        <f aca="false">G99+G100</f>
        <v>1218297.068512</v>
      </c>
      <c r="H101" s="208" t="n">
        <f aca="false">H99+H100</f>
        <v>1219054.14379733</v>
      </c>
      <c r="I101" s="208" t="n">
        <f aca="false">I99+I100</f>
        <v>1220849.68837333</v>
      </c>
      <c r="J101" s="208" t="n">
        <f aca="false">J99+J100</f>
        <v>1223683.70224</v>
      </c>
      <c r="K101" s="208" t="n">
        <f aca="false">K99+K100</f>
        <v>1227556.18539733</v>
      </c>
      <c r="L101" s="208" t="n">
        <f aca="false">L99+L100</f>
        <v>1232467.13784533</v>
      </c>
      <c r="M101" s="208" t="n">
        <f aca="false">M99+M100</f>
        <v>1238416.559584</v>
      </c>
      <c r="N101" s="208" t="n">
        <f aca="false">N99+N100</f>
        <v>1280292.45061333</v>
      </c>
      <c r="O101" s="208" t="n">
        <f aca="false">O99+O100</f>
        <v>1291807.61093333</v>
      </c>
      <c r="P101" s="208" t="n">
        <f aca="false">P99+P100</f>
        <v>1304361.240544</v>
      </c>
      <c r="Q101" s="208" t="n">
        <f aca="false">Q99+Q100</f>
        <v>1317953.33944533</v>
      </c>
      <c r="R101" s="208" t="n">
        <f aca="false">R99+R100</f>
        <v>1332583.90763733</v>
      </c>
      <c r="S101" s="208" t="n">
        <f aca="false">S99+S100</f>
        <v>1348252.94512</v>
      </c>
      <c r="T101" s="208" t="n">
        <f aca="false">T99+T100</f>
        <v>1400632.96672</v>
      </c>
      <c r="U101" s="208" t="n">
        <f aca="false">U99+U100</f>
        <v>1452312.82576</v>
      </c>
      <c r="V101" s="208" t="n">
        <f aca="false">V99+V100</f>
        <v>1503292.52224</v>
      </c>
      <c r="W101" s="208" t="n">
        <f aca="false">W99+W100</f>
        <v>1553572.05616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-3183530</v>
      </c>
      <c r="E104" s="211" t="n">
        <f aca="false">-E95-E96</f>
        <v>571786.99056</v>
      </c>
      <c r="F104" s="211" t="n">
        <f aca="false">-F95-F96</f>
        <v>372188.494176</v>
      </c>
      <c r="G104" s="211" t="n">
        <f aca="false">-G95-G96</f>
        <v>381534.717792</v>
      </c>
      <c r="H104" s="211" t="n">
        <f aca="false">-H95-H96</f>
        <v>390880.941408</v>
      </c>
      <c r="I104" s="211" t="n">
        <f aca="false">-I95-I96</f>
        <v>400227.165024</v>
      </c>
      <c r="J104" s="211" t="n">
        <f aca="false">-J95-J96</f>
        <v>409573.38864</v>
      </c>
      <c r="K104" s="211" t="n">
        <f aca="false">-K95-K96</f>
        <v>418919.612256</v>
      </c>
      <c r="L104" s="211" t="n">
        <f aca="false">-L95-L96</f>
        <v>428265.835872</v>
      </c>
      <c r="M104" s="211" t="n">
        <f aca="false">-M95-M96</f>
        <v>437612.059488</v>
      </c>
      <c r="N104" s="211" t="n">
        <f aca="false">-N95-N96</f>
        <v>446958.283104</v>
      </c>
      <c r="O104" s="211" t="n">
        <f aca="false">-O95-O96</f>
        <v>487703.70672</v>
      </c>
      <c r="P104" s="211" t="n">
        <f aca="false">-P95-P96</f>
        <v>497049.930336</v>
      </c>
      <c r="Q104" s="211" t="n">
        <f aca="false">-Q95-Q96</f>
        <v>506396.153952</v>
      </c>
      <c r="R104" s="211" t="n">
        <f aca="false">-R95-R96</f>
        <v>515742.377568</v>
      </c>
      <c r="S104" s="211" t="n">
        <f aca="false">-S95-S96</f>
        <v>525088.601184</v>
      </c>
      <c r="T104" s="211" t="n">
        <f aca="false">-T95-T96</f>
        <v>1330317.3248</v>
      </c>
      <c r="U104" s="211" t="n">
        <f aca="false">-U95-U96</f>
        <v>1324015.86176</v>
      </c>
      <c r="V104" s="211" t="n">
        <f aca="false">-V95-V96</f>
        <v>1317714.39872</v>
      </c>
      <c r="W104" s="211" t="n">
        <f aca="false">-W95-W96</f>
        <v>1311412.93568</v>
      </c>
      <c r="X104" s="211" t="n">
        <f aca="false">-X95-X96</f>
        <v>1553572.05616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0.147868496808464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-2548211.1216</v>
      </c>
      <c r="E106" s="211" t="n">
        <f aca="false">E85</f>
        <v>413542.771306667</v>
      </c>
      <c r="F106" s="211" t="n">
        <f aca="false">F85-F96</f>
        <v>423927.464213333</v>
      </c>
      <c r="G106" s="211" t="n">
        <f aca="false">G85-G96</f>
        <v>434312.15712</v>
      </c>
      <c r="H106" s="211" t="n">
        <f aca="false">H85-H96</f>
        <v>444696.850026667</v>
      </c>
      <c r="I106" s="211" t="n">
        <f aca="false">I85-I96</f>
        <v>455081.542933333</v>
      </c>
      <c r="J106" s="211" t="n">
        <f aca="false">J85-J96</f>
        <v>465466.23584</v>
      </c>
      <c r="K106" s="211" t="n">
        <f aca="false">K85-K96</f>
        <v>475850.928746667</v>
      </c>
      <c r="L106" s="211" t="n">
        <f aca="false">L85-L96</f>
        <v>486235.621653333</v>
      </c>
      <c r="M106" s="211" t="n">
        <f aca="false">M85-M96</f>
        <v>496620.31456</v>
      </c>
      <c r="N106" s="211" t="n">
        <f aca="false">N85-N96</f>
        <v>541893.007466667</v>
      </c>
      <c r="O106" s="211" t="n">
        <f aca="false">O85-O96</f>
        <v>552277.700373333</v>
      </c>
      <c r="P106" s="211" t="n">
        <f aca="false">P85-P96</f>
        <v>562662.39328</v>
      </c>
      <c r="Q106" s="211" t="n">
        <f aca="false">Q85-Q96</f>
        <v>573047.086186667</v>
      </c>
      <c r="R106" s="211" t="n">
        <f aca="false">R85-R96</f>
        <v>583431.779093333</v>
      </c>
      <c r="S106" s="211" t="n">
        <f aca="false">S85-S96</f>
        <v>593816.472</v>
      </c>
      <c r="T106" s="211" t="n">
        <f aca="false">T85-T96</f>
        <v>1382697.3464</v>
      </c>
      <c r="U106" s="211" t="n">
        <f aca="false">U85-U96</f>
        <v>1375695.7208</v>
      </c>
      <c r="V106" s="211" t="n">
        <f aca="false">V85-V96</f>
        <v>1368694.0952</v>
      </c>
      <c r="W106" s="211" t="n">
        <f aca="false">W85-W96</f>
        <v>1361692.4696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0.187623901848911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12734120</v>
      </c>
      <c r="E109" s="208" t="n">
        <f aca="false">D109+E93</f>
        <v>11885178.6666667</v>
      </c>
      <c r="F109" s="208" t="n">
        <f aca="false">E109+F93</f>
        <v>11036237.3333333</v>
      </c>
      <c r="G109" s="208" t="n">
        <f aca="false">F109+G93</f>
        <v>10187296</v>
      </c>
      <c r="H109" s="208" t="n">
        <f aca="false">G109+H93</f>
        <v>9338354.66666666</v>
      </c>
      <c r="I109" s="208" t="n">
        <f aca="false">H109+I93</f>
        <v>8489413.33333333</v>
      </c>
      <c r="J109" s="208" t="n">
        <f aca="false">I109+J93</f>
        <v>7640472</v>
      </c>
      <c r="K109" s="208" t="n">
        <f aca="false">J109+K93</f>
        <v>6791530.66666666</v>
      </c>
      <c r="L109" s="208" t="n">
        <f aca="false">K109+L93</f>
        <v>5942589.33333333</v>
      </c>
      <c r="M109" s="208" t="n">
        <f aca="false">L109+M93</f>
        <v>5093648</v>
      </c>
      <c r="N109" s="208" t="n">
        <f aca="false">M109+N93</f>
        <v>4244706.66666667</v>
      </c>
      <c r="O109" s="208" t="n">
        <f aca="false">N109+O93</f>
        <v>3395765.33333333</v>
      </c>
      <c r="P109" s="208" t="n">
        <f aca="false">O109+P93</f>
        <v>2546824</v>
      </c>
      <c r="Q109" s="208" t="n">
        <f aca="false">P109+Q93</f>
        <v>1697882.66666666</v>
      </c>
      <c r="R109" s="208" t="n">
        <f aca="false">Q109+R93</f>
        <v>848941.333333331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291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223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177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292</v>
      </c>
    </row>
    <row r="8" customFormat="false" ht="22.5" hidden="false" customHeight="true" outlineLevel="0" collapsed="false">
      <c r="B8" s="16" t="s">
        <v>14</v>
      </c>
      <c r="E8" s="165"/>
      <c r="M8" s="0" t="s">
        <v>293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100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23000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-14983150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-30090.9</v>
      </c>
      <c r="E49" s="185" t="n">
        <v>-30090.9</v>
      </c>
      <c r="F49" s="185" t="n">
        <v>-30090.9</v>
      </c>
      <c r="G49" s="185" t="n">
        <v>-30090.9</v>
      </c>
      <c r="H49" s="185" t="n">
        <v>-30090.9</v>
      </c>
      <c r="I49" s="185" t="n">
        <v>-30090.9</v>
      </c>
      <c r="J49" s="185" t="n">
        <v>-30090.9</v>
      </c>
      <c r="K49" s="185" t="n">
        <v>-30090.9</v>
      </c>
      <c r="L49" s="185" t="n">
        <v>-30090.9</v>
      </c>
      <c r="M49" s="185" t="n">
        <v>-30090.9</v>
      </c>
      <c r="N49" s="185" t="n">
        <v>-30090.9</v>
      </c>
      <c r="O49" s="185" t="n">
        <v>-30090.9</v>
      </c>
      <c r="P49" s="185" t="n">
        <v>-30090.9</v>
      </c>
      <c r="Q49" s="185" t="n">
        <v>-30090.9</v>
      </c>
      <c r="R49" s="185" t="n">
        <v>-30090.9</v>
      </c>
      <c r="S49" s="185" t="n">
        <v>-30090.9</v>
      </c>
      <c r="T49" s="185" t="n">
        <v>-30090.9</v>
      </c>
      <c r="U49" s="185" t="n">
        <v>-30090.9</v>
      </c>
      <c r="V49" s="185" t="n">
        <v>-30090.9</v>
      </c>
      <c r="W49" s="185" t="n">
        <v>-30090.9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-233765.904</v>
      </c>
      <c r="E54" s="185" t="n">
        <f aca="false">-(E64+E67+E68+E71+E72+E73+E74)*0.2</f>
        <v>-173975.2976</v>
      </c>
      <c r="F54" s="185" t="n">
        <f aca="false">-(F64+F67+F68+F71+F72+F73+F74)*0.2</f>
        <v>-172224.8912</v>
      </c>
      <c r="G54" s="185" t="n">
        <f aca="false">-(G64+G67+G68+G71+G72+G73+G74)*0.2</f>
        <v>-170474.4848</v>
      </c>
      <c r="H54" s="185" t="n">
        <f aca="false">-(H64+H67+H68+H71+H72+H73+H74)*0.2</f>
        <v>-168724.0784</v>
      </c>
      <c r="I54" s="185" t="n">
        <f aca="false">-(I64+I67+I68+I71+I72+I73+I74)*0.2</f>
        <v>-166973.672</v>
      </c>
      <c r="J54" s="185" t="n">
        <f aca="false">-(J64+J67+J68+J71+J72+J73+J74)*0.2</f>
        <v>-165223.2656</v>
      </c>
      <c r="K54" s="185" t="n">
        <f aca="false">-(K64+K67+K68+K71+K72+K73+K74)*0.2</f>
        <v>-163472.8592</v>
      </c>
      <c r="L54" s="185" t="n">
        <f aca="false">-(L64+L67+L68+L71+L72+L73+L74)*0.2</f>
        <v>-161722.4528</v>
      </c>
      <c r="M54" s="185" t="n">
        <f aca="false">-(M64+M67+M68+M71+M72+M73+M74)*0.2</f>
        <v>-159972.0464</v>
      </c>
      <c r="N54" s="185" t="n">
        <f aca="false">-(N64+N67+N68+N71+N72+N73+N74)*0.2</f>
        <v>-166943.64</v>
      </c>
      <c r="O54" s="185" t="n">
        <f aca="false">-(O64+O67+O68+O71+O72+O73+O74)*0.2</f>
        <v>-165193.2336</v>
      </c>
      <c r="P54" s="185" t="n">
        <f aca="false">-(P64+P67+P68+P71+P72+P73+P74)*0.2</f>
        <v>-163442.8272</v>
      </c>
      <c r="Q54" s="185" t="n">
        <f aca="false">-(Q64+Q67+Q68+Q71+Q72+Q73+Q74)*0.2</f>
        <v>-161692.4208</v>
      </c>
      <c r="R54" s="185" t="n">
        <f aca="false">-(R64+R67+R68+R71+R72+R73+R74)*0.2</f>
        <v>-159942.0144</v>
      </c>
      <c r="S54" s="185" t="n">
        <f aca="false">-(S64+S67+S68+S71+S72+S73+S74)*0.2</f>
        <v>-158191.608</v>
      </c>
      <c r="T54" s="185" t="n">
        <f aca="false">-(T64+T67+T68+T71+T72+T73+T74)*0.2</f>
        <v>-156441.2016</v>
      </c>
      <c r="U54" s="185" t="n">
        <f aca="false">-(U64+U67+U68+U71+U72+U73+U74)*0.2</f>
        <v>-154690.7952</v>
      </c>
      <c r="V54" s="185" t="n">
        <f aca="false">-(V64+V67+V68+V71+V72+V73+V74)*0.2</f>
        <v>-152940.3888</v>
      </c>
      <c r="W54" s="185" t="n">
        <f aca="false">-(W64+W67+W68+W71+W72+W73+W74)*0.2</f>
        <v>-151189.9824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-14983150</v>
      </c>
      <c r="D55" s="190" t="n">
        <f aca="false">SUM(D41:D54)</f>
        <v>1394020.116</v>
      </c>
      <c r="E55" s="190" t="n">
        <f aca="false">SUM(E41:E54)</f>
        <v>1445058.6904</v>
      </c>
      <c r="F55" s="190" t="n">
        <f aca="false">SUM(F41:F54)</f>
        <v>1438057.0648</v>
      </c>
      <c r="G55" s="190" t="n">
        <f aca="false">SUM(G41:G54)</f>
        <v>1431055.4392</v>
      </c>
      <c r="H55" s="190" t="n">
        <f aca="false">SUM(H41:H54)</f>
        <v>1424053.8136</v>
      </c>
      <c r="I55" s="190" t="n">
        <f aca="false">SUM(I41:I54)</f>
        <v>1417052.188</v>
      </c>
      <c r="J55" s="190" t="n">
        <f aca="false">SUM(J41:J54)</f>
        <v>1410050.5624</v>
      </c>
      <c r="K55" s="190" t="n">
        <f aca="false">SUM(K41:K54)</f>
        <v>1403048.9368</v>
      </c>
      <c r="L55" s="190" t="n">
        <f aca="false">SUM(L41:L54)</f>
        <v>1396047.3112</v>
      </c>
      <c r="M55" s="190" t="n">
        <f aca="false">SUM(M41:M54)</f>
        <v>1389045.6856</v>
      </c>
      <c r="N55" s="190" t="n">
        <f aca="false">SUM(N41:N54)</f>
        <v>1416932.06</v>
      </c>
      <c r="O55" s="190" t="n">
        <f aca="false">SUM(O41:O54)</f>
        <v>1409930.4344</v>
      </c>
      <c r="P55" s="190" t="n">
        <f aca="false">SUM(P41:P54)</f>
        <v>1402928.8088</v>
      </c>
      <c r="Q55" s="190" t="n">
        <f aca="false">SUM(Q41:Q54)</f>
        <v>1395927.1832</v>
      </c>
      <c r="R55" s="190" t="n">
        <f aca="false">SUM(R41:R54)</f>
        <v>1388925.5576</v>
      </c>
      <c r="S55" s="190" t="n">
        <f aca="false">SUM(S41:S54)</f>
        <v>1381923.932</v>
      </c>
      <c r="T55" s="190" t="n">
        <f aca="false">SUM(T41:T54)</f>
        <v>1374922.3064</v>
      </c>
      <c r="U55" s="190" t="n">
        <f aca="false">SUM(U41:U54)</f>
        <v>1367920.6808</v>
      </c>
      <c r="V55" s="190" t="n">
        <f aca="false">SUM(V41:V54)</f>
        <v>1360919.0552</v>
      </c>
      <c r="W55" s="190" t="n">
        <f aca="false">SUM(W41:W54)</f>
        <v>1353917.4296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-13589129.884</v>
      </c>
      <c r="E56" s="195" t="n">
        <f aca="false">D56+E55</f>
        <v>-12144071.1936</v>
      </c>
      <c r="F56" s="195" t="n">
        <f aca="false">E56+F55</f>
        <v>-10706014.1288</v>
      </c>
      <c r="G56" s="195" t="n">
        <f aca="false">F56+G55</f>
        <v>-9274958.6896</v>
      </c>
      <c r="H56" s="195" t="n">
        <f aca="false">G56+H55</f>
        <v>-7850904.876</v>
      </c>
      <c r="I56" s="195" t="n">
        <f aca="false">H56+I55</f>
        <v>-6433852.688</v>
      </c>
      <c r="J56" s="195" t="n">
        <f aca="false">I56+J55</f>
        <v>-5023802.1256</v>
      </c>
      <c r="K56" s="195" t="n">
        <f aca="false">J56+K55</f>
        <v>-3620753.1888</v>
      </c>
      <c r="L56" s="195" t="n">
        <f aca="false">K56+L55</f>
        <v>-2224705.8776</v>
      </c>
      <c r="M56" s="195" t="n">
        <f aca="false">L56+M55</f>
        <v>-835660.192000001</v>
      </c>
      <c r="N56" s="195" t="n">
        <f aca="false">M56+N55</f>
        <v>581271.867999999</v>
      </c>
      <c r="O56" s="195" t="n">
        <f aca="false">N56+O55</f>
        <v>1991202.3024</v>
      </c>
      <c r="P56" s="195" t="n">
        <f aca="false">O56+P55</f>
        <v>3394131.1112</v>
      </c>
      <c r="Q56" s="195" t="n">
        <f aca="false">P56+Q55</f>
        <v>4790058.2944</v>
      </c>
      <c r="R56" s="195" t="n">
        <f aca="false">Q56+R55</f>
        <v>6178983.852</v>
      </c>
      <c r="S56" s="195" t="n">
        <f aca="false">R56+S55</f>
        <v>7560907.784</v>
      </c>
      <c r="T56" s="195" t="n">
        <f aca="false">S56+T55</f>
        <v>8935830.0904</v>
      </c>
      <c r="U56" s="195" t="n">
        <f aca="false">T56+U55</f>
        <v>10303750.7712</v>
      </c>
      <c r="V56" s="195" t="n">
        <f aca="false">U56+V55</f>
        <v>11664669.8264</v>
      </c>
      <c r="W56" s="195" t="n">
        <f aca="false">V56+W55</f>
        <v>13018587.256</v>
      </c>
      <c r="X56" s="195" t="n">
        <f aca="false">W56+X55</f>
        <v>13018587.256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未回收</v>
      </c>
      <c r="N57" s="199" t="str">
        <f aca="false">IF((N56)&gt;0,"回收","未回收")</f>
        <v>回收</v>
      </c>
      <c r="O57" s="199" t="str">
        <f aca="false">IF((O56)&gt;0,"回收","未回收")</f>
        <v>回收</v>
      </c>
      <c r="P57" s="199" t="str">
        <f aca="false">IF((P56)&gt;0,"回收","未回收")</f>
        <v>回收</v>
      </c>
      <c r="Q57" s="199" t="str">
        <f aca="false">IF((Q56)&gt;0,"回收","未回收")</f>
        <v>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0.0693726680156302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-749157.5</v>
      </c>
      <c r="E67" s="200" t="n">
        <f aca="false">$C$44/$E$16</f>
        <v>-749157.5</v>
      </c>
      <c r="F67" s="200" t="n">
        <f aca="false">$C$44/$E$16</f>
        <v>-749157.5</v>
      </c>
      <c r="G67" s="200" t="n">
        <f aca="false">$C$44/$E$16</f>
        <v>-749157.5</v>
      </c>
      <c r="H67" s="200" t="n">
        <f aca="false">$C$44/$E$16</f>
        <v>-749157.5</v>
      </c>
      <c r="I67" s="200" t="n">
        <f aca="false">$C$44/$E$16</f>
        <v>-749157.5</v>
      </c>
      <c r="J67" s="200" t="n">
        <f aca="false">$C$44/$E$16</f>
        <v>-749157.5</v>
      </c>
      <c r="K67" s="200" t="n">
        <f aca="false">$C$44/$E$16</f>
        <v>-749157.5</v>
      </c>
      <c r="L67" s="200" t="n">
        <f aca="false">$C$44/$E$16</f>
        <v>-749157.5</v>
      </c>
      <c r="M67" s="200" t="n">
        <f aca="false">$C$44/$E$16</f>
        <v>-749157.5</v>
      </c>
      <c r="N67" s="200" t="n">
        <f aca="false">$C$44/$E$16</f>
        <v>-749157.5</v>
      </c>
      <c r="O67" s="200" t="n">
        <f aca="false">$C$44/$E$16</f>
        <v>-749157.5</v>
      </c>
      <c r="P67" s="200" t="n">
        <f aca="false">$C$44/$E$16</f>
        <v>-749157.5</v>
      </c>
      <c r="Q67" s="200" t="n">
        <f aca="false">$C$44/$E$16</f>
        <v>-749157.5</v>
      </c>
      <c r="R67" s="200" t="n">
        <f aca="false">$C$44/$E$16</f>
        <v>-749157.5</v>
      </c>
      <c r="S67" s="200" t="n">
        <f aca="false">$C$44/$E$16</f>
        <v>-749157.5</v>
      </c>
      <c r="T67" s="200" t="n">
        <f aca="false">$C$44/$E$16</f>
        <v>-749157.5</v>
      </c>
      <c r="U67" s="200" t="n">
        <f aca="false">$C$44/$E$16</f>
        <v>-749157.5</v>
      </c>
      <c r="V67" s="200" t="n">
        <f aca="false">$C$44/$E$16</f>
        <v>-749157.5</v>
      </c>
      <c r="W67" s="200" t="n">
        <f aca="false">$C$44/$E$16</f>
        <v>-749157.5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-306854.912</v>
      </c>
      <c r="E70" s="185" t="n">
        <f aca="false">-E109*$D25</f>
        <v>-286397.917866667</v>
      </c>
      <c r="F70" s="185" t="n">
        <f aca="false">-F109*$D25</f>
        <v>-265940.923733333</v>
      </c>
      <c r="G70" s="185" t="n">
        <f aca="false">-G109*$D25</f>
        <v>-245483.9296</v>
      </c>
      <c r="H70" s="185" t="n">
        <f aca="false">-H109*$D25</f>
        <v>-225026.935466667</v>
      </c>
      <c r="I70" s="185" t="n">
        <f aca="false">-I109*$D25</f>
        <v>-204569.941333333</v>
      </c>
      <c r="J70" s="185" t="n">
        <f aca="false">-J109*$D25</f>
        <v>-184112.9472</v>
      </c>
      <c r="K70" s="185" t="n">
        <f aca="false">-K109*$D25</f>
        <v>-163655.953066667</v>
      </c>
      <c r="L70" s="185" t="n">
        <f aca="false">-L109*$D25</f>
        <v>-143198.958933333</v>
      </c>
      <c r="M70" s="185" t="n">
        <f aca="false">-M109*$D25</f>
        <v>-122741.9648</v>
      </c>
      <c r="N70" s="185" t="n">
        <f aca="false">-N109*$D25</f>
        <v>-102284.970666667</v>
      </c>
      <c r="O70" s="185" t="n">
        <f aca="false">-O109*$D25</f>
        <v>-81827.9765333334</v>
      </c>
      <c r="P70" s="185" t="n">
        <f aca="false">-P109*$D25</f>
        <v>-61370.9824000001</v>
      </c>
      <c r="Q70" s="185" t="n">
        <f aca="false">-Q109*$D25</f>
        <v>-40913.9882666667</v>
      </c>
      <c r="R70" s="185" t="n">
        <f aca="false">-R109*$D25</f>
        <v>-20456.9941333334</v>
      </c>
      <c r="S70" s="185" t="n">
        <f aca="false">-S109*$D25</f>
        <v>-0</v>
      </c>
      <c r="T70" s="185" t="n">
        <f aca="false">-T109*$D25</f>
        <v>-0</v>
      </c>
      <c r="U70" s="185" t="n">
        <f aca="false">-U109*$D25</f>
        <v>-0</v>
      </c>
      <c r="V70" s="185" t="n">
        <f aca="false">-V109*$D25</f>
        <v>-0</v>
      </c>
      <c r="W70" s="185" t="n">
        <f aca="false">-W109*$D25</f>
        <v>-0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-30090.9</v>
      </c>
      <c r="E72" s="185" t="n">
        <f aca="false">E49</f>
        <v>-30090.9</v>
      </c>
      <c r="F72" s="185" t="n">
        <f aca="false">F49</f>
        <v>-30090.9</v>
      </c>
      <c r="G72" s="185" t="n">
        <f aca="false">G49</f>
        <v>-30090.9</v>
      </c>
      <c r="H72" s="185" t="n">
        <f aca="false">H49</f>
        <v>-30090.9</v>
      </c>
      <c r="I72" s="185" t="n">
        <f aca="false">I49</f>
        <v>-30090.9</v>
      </c>
      <c r="J72" s="185" t="n">
        <f aca="false">J49</f>
        <v>-30090.9</v>
      </c>
      <c r="K72" s="185" t="n">
        <f aca="false">K49</f>
        <v>-30090.9</v>
      </c>
      <c r="L72" s="185" t="n">
        <f aca="false">L49</f>
        <v>-30090.9</v>
      </c>
      <c r="M72" s="185" t="n">
        <f aca="false">M49</f>
        <v>-30090.9</v>
      </c>
      <c r="N72" s="185" t="n">
        <f aca="false">N49</f>
        <v>-30090.9</v>
      </c>
      <c r="O72" s="185" t="n">
        <f aca="false">O49</f>
        <v>-30090.9</v>
      </c>
      <c r="P72" s="185" t="n">
        <f aca="false">P49</f>
        <v>-30090.9</v>
      </c>
      <c r="Q72" s="185" t="n">
        <f aca="false">Q49</f>
        <v>-30090.9</v>
      </c>
      <c r="R72" s="185" t="n">
        <f aca="false">R49</f>
        <v>-30090.9</v>
      </c>
      <c r="S72" s="185" t="n">
        <f aca="false">S49</f>
        <v>-30090.9</v>
      </c>
      <c r="T72" s="185" t="n">
        <f aca="false">T49</f>
        <v>-30090.9</v>
      </c>
      <c r="U72" s="185" t="n">
        <f aca="false">U49</f>
        <v>-30090.9</v>
      </c>
      <c r="V72" s="185" t="n">
        <f aca="false">V49</f>
        <v>-30090.9</v>
      </c>
      <c r="W72" s="185" t="n">
        <f aca="false">W49</f>
        <v>-30090.9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861974.608</v>
      </c>
      <c r="E76" s="190" t="n">
        <f aca="false">SUM(E64:E75)</f>
        <v>583478.570133333</v>
      </c>
      <c r="F76" s="190" t="n">
        <f aca="false">SUM(F64:F75)</f>
        <v>595183.532266667</v>
      </c>
      <c r="G76" s="190" t="n">
        <f aca="false">SUM(G64:G75)</f>
        <v>606888.4944</v>
      </c>
      <c r="H76" s="190" t="n">
        <f aca="false">SUM(H64:H75)</f>
        <v>618593.456533333</v>
      </c>
      <c r="I76" s="190" t="n">
        <f aca="false">SUM(I64:I75)</f>
        <v>630298.418666666</v>
      </c>
      <c r="J76" s="190" t="n">
        <f aca="false">SUM(J64:J75)</f>
        <v>642003.3808</v>
      </c>
      <c r="K76" s="190" t="n">
        <f aca="false">SUM(K64:K75)</f>
        <v>653708.342933333</v>
      </c>
      <c r="L76" s="190" t="n">
        <f aca="false">SUM(L64:L75)</f>
        <v>665413.305066666</v>
      </c>
      <c r="M76" s="190" t="n">
        <f aca="false">SUM(M64:M75)</f>
        <v>677118.2672</v>
      </c>
      <c r="N76" s="190" t="n">
        <f aca="false">SUM(N64:N75)</f>
        <v>732433.229333333</v>
      </c>
      <c r="O76" s="190" t="n">
        <f aca="false">SUM(O64:O75)</f>
        <v>744138.191466666</v>
      </c>
      <c r="P76" s="190" t="n">
        <f aca="false">SUM(P64:P75)</f>
        <v>755843.1536</v>
      </c>
      <c r="Q76" s="190" t="n">
        <f aca="false">SUM(Q64:Q75)</f>
        <v>767548.115733333</v>
      </c>
      <c r="R76" s="190" t="n">
        <f aca="false">SUM(R64:R75)</f>
        <v>779253.077866666</v>
      </c>
      <c r="S76" s="190" t="n">
        <f aca="false">SUM(S64:S75)</f>
        <v>790958.04</v>
      </c>
      <c r="T76" s="190" t="n">
        <f aca="false">SUM(T64:T75)</f>
        <v>782206.008</v>
      </c>
      <c r="U76" s="190" t="n">
        <f aca="false">SUM(U64:U75)</f>
        <v>773453.976</v>
      </c>
      <c r="V76" s="190" t="n">
        <f aca="false">SUM(V64:V75)</f>
        <v>764701.944</v>
      </c>
      <c r="W76" s="190" t="n">
        <f aca="false">SUM(W64:W75)</f>
        <v>755949.912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-172394.9216</v>
      </c>
      <c r="E77" s="185" t="n">
        <f aca="false">-E76*0.2</f>
        <v>-116695.714026667</v>
      </c>
      <c r="F77" s="185" t="n">
        <f aca="false">-F76*0.2</f>
        <v>-119036.706453333</v>
      </c>
      <c r="G77" s="185" t="n">
        <f aca="false">-G76*0.2</f>
        <v>-121377.69888</v>
      </c>
      <c r="H77" s="185" t="n">
        <f aca="false">-H76*0.2</f>
        <v>-123718.691306667</v>
      </c>
      <c r="I77" s="185" t="n">
        <f aca="false">-I76*0.2</f>
        <v>-126059.683733333</v>
      </c>
      <c r="J77" s="185" t="n">
        <f aca="false">-J76*0.2</f>
        <v>-128400.67616</v>
      </c>
      <c r="K77" s="185" t="n">
        <f aca="false">-K76*0.2</f>
        <v>-130741.668586667</v>
      </c>
      <c r="L77" s="185" t="n">
        <f aca="false">-L76*0.2</f>
        <v>-133082.661013333</v>
      </c>
      <c r="M77" s="185" t="n">
        <f aca="false">-M76*0.2</f>
        <v>-135423.65344</v>
      </c>
      <c r="N77" s="185" t="n">
        <f aca="false">-N76*0.2</f>
        <v>-146486.645866667</v>
      </c>
      <c r="O77" s="185" t="n">
        <f aca="false">-O76*0.2</f>
        <v>-148827.638293333</v>
      </c>
      <c r="P77" s="185" t="n">
        <f aca="false">-P76*0.2</f>
        <v>-151168.63072</v>
      </c>
      <c r="Q77" s="185" t="n">
        <f aca="false">-Q76*0.2</f>
        <v>-153509.623146667</v>
      </c>
      <c r="R77" s="185" t="n">
        <f aca="false">-R76*0.2</f>
        <v>-155850.615573333</v>
      </c>
      <c r="S77" s="185" t="n">
        <f aca="false">-S76*0.2</f>
        <v>-158191.608</v>
      </c>
      <c r="T77" s="185" t="n">
        <f aca="false">-T76*0.2</f>
        <v>-156441.2016</v>
      </c>
      <c r="U77" s="185" t="n">
        <f aca="false">-U76*0.2</f>
        <v>-154690.7952</v>
      </c>
      <c r="V77" s="185" t="n">
        <f aca="false">-V76*0.2</f>
        <v>-152940.3888</v>
      </c>
      <c r="W77" s="185" t="n">
        <f aca="false">-W76*0.2</f>
        <v>-151189.9824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689579.6864</v>
      </c>
      <c r="E78" s="185" t="n">
        <f aca="false">SUM(E76:E77)</f>
        <v>466782.856106666</v>
      </c>
      <c r="F78" s="185" t="n">
        <f aca="false">SUM(F76:F77)</f>
        <v>476146.825813333</v>
      </c>
      <c r="G78" s="185" t="n">
        <f aca="false">SUM(G76:G77)</f>
        <v>485510.79552</v>
      </c>
      <c r="H78" s="185" t="n">
        <f aca="false">SUM(H76:H77)</f>
        <v>494874.765226666</v>
      </c>
      <c r="I78" s="185" t="n">
        <f aca="false">SUM(I76:I77)</f>
        <v>504238.734933333</v>
      </c>
      <c r="J78" s="185" t="n">
        <f aca="false">SUM(J76:J77)</f>
        <v>513602.70464</v>
      </c>
      <c r="K78" s="185" t="n">
        <f aca="false">SUM(K76:K77)</f>
        <v>522966.674346666</v>
      </c>
      <c r="L78" s="185" t="n">
        <f aca="false">SUM(L76:L77)</f>
        <v>532330.644053333</v>
      </c>
      <c r="M78" s="185" t="n">
        <f aca="false">SUM(M76:M77)</f>
        <v>541694.61376</v>
      </c>
      <c r="N78" s="185" t="n">
        <f aca="false">SUM(N76:N77)</f>
        <v>585946.583466666</v>
      </c>
      <c r="O78" s="185" t="n">
        <f aca="false">SUM(O76:O77)</f>
        <v>595310.553173333</v>
      </c>
      <c r="P78" s="185" t="n">
        <f aca="false">SUM(P76:P77)</f>
        <v>604674.52288</v>
      </c>
      <c r="Q78" s="185" t="n">
        <f aca="false">SUM(Q76:Q77)</f>
        <v>614038.492586666</v>
      </c>
      <c r="R78" s="185" t="n">
        <f aca="false">SUM(R76:R77)</f>
        <v>623402.462293333</v>
      </c>
      <c r="S78" s="185" t="n">
        <f aca="false">SUM(S76:S77)</f>
        <v>632766.432</v>
      </c>
      <c r="T78" s="185" t="n">
        <f aca="false">SUM(T76:T77)</f>
        <v>625764.8064</v>
      </c>
      <c r="U78" s="185" t="n">
        <f aca="false">SUM(U76:U77)</f>
        <v>618763.1808</v>
      </c>
      <c r="V78" s="185" t="n">
        <f aca="false">SUM(V76:V77)</f>
        <v>611761.5552</v>
      </c>
      <c r="W78" s="185" t="n">
        <f aca="false">SUM(W76:W77)</f>
        <v>604759.9296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689579.6864</v>
      </c>
      <c r="E85" s="208" t="n">
        <f aca="false">E78</f>
        <v>466782.856106666</v>
      </c>
      <c r="F85" s="208" t="n">
        <f aca="false">F78</f>
        <v>476146.825813333</v>
      </c>
      <c r="G85" s="208" t="n">
        <f aca="false">G78</f>
        <v>485510.79552</v>
      </c>
      <c r="H85" s="208" t="n">
        <f aca="false">H78</f>
        <v>494874.765226666</v>
      </c>
      <c r="I85" s="208" t="n">
        <f aca="false">I78</f>
        <v>504238.734933333</v>
      </c>
      <c r="J85" s="208" t="n">
        <f aca="false">J78</f>
        <v>513602.70464</v>
      </c>
      <c r="K85" s="208" t="n">
        <f aca="false">K78</f>
        <v>522966.674346666</v>
      </c>
      <c r="L85" s="208" t="n">
        <f aca="false">L78</f>
        <v>532330.644053333</v>
      </c>
      <c r="M85" s="208" t="n">
        <f aca="false">M78</f>
        <v>541694.61376</v>
      </c>
      <c r="N85" s="208" t="n">
        <f aca="false">N78</f>
        <v>585946.583466666</v>
      </c>
      <c r="O85" s="208" t="n">
        <f aca="false">O78</f>
        <v>595310.553173333</v>
      </c>
      <c r="P85" s="208" t="n">
        <f aca="false">P78</f>
        <v>604674.52288</v>
      </c>
      <c r="Q85" s="208" t="n">
        <f aca="false">Q78</f>
        <v>614038.492586666</v>
      </c>
      <c r="R85" s="208" t="n">
        <f aca="false">R78</f>
        <v>623402.462293333</v>
      </c>
      <c r="S85" s="208" t="n">
        <f aca="false">S78</f>
        <v>632766.432</v>
      </c>
      <c r="T85" s="208" t="n">
        <f aca="false">T78</f>
        <v>625764.8064</v>
      </c>
      <c r="U85" s="208" t="n">
        <f aca="false">U78</f>
        <v>618763.1808</v>
      </c>
      <c r="V85" s="208" t="n">
        <f aca="false">V78</f>
        <v>611761.5552</v>
      </c>
      <c r="W85" s="208" t="n">
        <f aca="false">W78</f>
        <v>604759.9296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749157.5</v>
      </c>
      <c r="E86" s="209" t="n">
        <f aca="false">-E67</f>
        <v>749157.5</v>
      </c>
      <c r="F86" s="209" t="n">
        <f aca="false">-F67</f>
        <v>749157.5</v>
      </c>
      <c r="G86" s="209" t="n">
        <f aca="false">-G67</f>
        <v>749157.5</v>
      </c>
      <c r="H86" s="209" t="n">
        <f aca="false">-H67</f>
        <v>749157.5</v>
      </c>
      <c r="I86" s="209" t="n">
        <f aca="false">-I67</f>
        <v>749157.5</v>
      </c>
      <c r="J86" s="209" t="n">
        <f aca="false">-J67</f>
        <v>749157.5</v>
      </c>
      <c r="K86" s="209" t="n">
        <f aca="false">-K67</f>
        <v>749157.5</v>
      </c>
      <c r="L86" s="209" t="n">
        <f aca="false">-L67</f>
        <v>749157.5</v>
      </c>
      <c r="M86" s="209" t="n">
        <f aca="false">-M67</f>
        <v>749157.5</v>
      </c>
      <c r="N86" s="209" t="n">
        <f aca="false">-N67</f>
        <v>749157.5</v>
      </c>
      <c r="O86" s="209" t="n">
        <f aca="false">-O67</f>
        <v>749157.5</v>
      </c>
      <c r="P86" s="209" t="n">
        <f aca="false">-P67</f>
        <v>749157.5</v>
      </c>
      <c r="Q86" s="209" t="n">
        <f aca="false">-Q67</f>
        <v>749157.5</v>
      </c>
      <c r="R86" s="209" t="n">
        <f aca="false">-R67</f>
        <v>749157.5</v>
      </c>
      <c r="S86" s="209" t="n">
        <f aca="false">-S67</f>
        <v>749157.5</v>
      </c>
      <c r="T86" s="209" t="n">
        <f aca="false">-T67</f>
        <v>749157.5</v>
      </c>
      <c r="U86" s="209" t="n">
        <f aca="false">-U67</f>
        <v>749157.5</v>
      </c>
      <c r="V86" s="209" t="n">
        <f aca="false">-V67</f>
        <v>749157.5</v>
      </c>
      <c r="W86" s="209" t="n">
        <f aca="false">-W67</f>
        <v>749157.5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1438737.1864</v>
      </c>
      <c r="E87" s="211" t="n">
        <f aca="false">SUM(E85:E86)</f>
        <v>1215940.35610667</v>
      </c>
      <c r="F87" s="211" t="n">
        <f aca="false">SUM(F85:F86)</f>
        <v>1225304.32581333</v>
      </c>
      <c r="G87" s="211" t="n">
        <f aca="false">SUM(G85:G86)</f>
        <v>1234668.29552</v>
      </c>
      <c r="H87" s="211" t="n">
        <f aca="false">SUM(H85:H86)</f>
        <v>1244032.26522667</v>
      </c>
      <c r="I87" s="211" t="n">
        <f aca="false">SUM(I85:I86)</f>
        <v>1253396.23493333</v>
      </c>
      <c r="J87" s="211" t="n">
        <f aca="false">SUM(J85:J86)</f>
        <v>1262760.20464</v>
      </c>
      <c r="K87" s="211" t="n">
        <f aca="false">SUM(K85:K86)</f>
        <v>1272124.17434667</v>
      </c>
      <c r="L87" s="211" t="n">
        <f aca="false">SUM(L85:L86)</f>
        <v>1281488.14405333</v>
      </c>
      <c r="M87" s="211" t="n">
        <f aca="false">SUM(M85:M86)</f>
        <v>1290852.11376</v>
      </c>
      <c r="N87" s="211" t="n">
        <f aca="false">SUM(N85:N86)</f>
        <v>1335104.08346667</v>
      </c>
      <c r="O87" s="211" t="n">
        <f aca="false">SUM(O85:O86)</f>
        <v>1344468.05317333</v>
      </c>
      <c r="P87" s="211" t="n">
        <f aca="false">SUM(P85:P86)</f>
        <v>1353832.02288</v>
      </c>
      <c r="Q87" s="211" t="n">
        <f aca="false">SUM(Q85:Q86)</f>
        <v>1363195.99258667</v>
      </c>
      <c r="R87" s="211" t="n">
        <f aca="false">SUM(R85:R86)</f>
        <v>1372559.96229333</v>
      </c>
      <c r="S87" s="211" t="n">
        <f aca="false">SUM(S85:S86)</f>
        <v>1381923.932</v>
      </c>
      <c r="T87" s="211" t="n">
        <f aca="false">SUM(T85:T86)</f>
        <v>1374922.3064</v>
      </c>
      <c r="U87" s="211" t="n">
        <f aca="false">SUM(U85:U86)</f>
        <v>1367920.6808</v>
      </c>
      <c r="V87" s="211" t="n">
        <f aca="false">SUM(V85:V86)</f>
        <v>1360919.0552</v>
      </c>
      <c r="W87" s="211" t="n">
        <f aca="false">SUM(W85:W86)</f>
        <v>1353917.4296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-14983150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11986520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-799101.333333333</v>
      </c>
      <c r="F93" s="217" t="n">
        <v>-799101.333333333</v>
      </c>
      <c r="G93" s="217" t="n">
        <v>-799101.333333333</v>
      </c>
      <c r="H93" s="217" t="n">
        <v>-799101.333333333</v>
      </c>
      <c r="I93" s="217" t="n">
        <v>-799101.333333333</v>
      </c>
      <c r="J93" s="217" t="n">
        <v>-799101.333333333</v>
      </c>
      <c r="K93" s="217" t="n">
        <v>-799101.333333333</v>
      </c>
      <c r="L93" s="217" t="n">
        <v>-799101.333333333</v>
      </c>
      <c r="M93" s="217" t="n">
        <v>-799101.333333333</v>
      </c>
      <c r="N93" s="217" t="n">
        <v>-799101.333333333</v>
      </c>
      <c r="O93" s="217" t="n">
        <v>-799101.333333333</v>
      </c>
      <c r="P93" s="217" t="n">
        <v>-799101.333333333</v>
      </c>
      <c r="Q93" s="217" t="n">
        <v>-799101.333333333</v>
      </c>
      <c r="R93" s="217" t="n">
        <v>-799101.333333333</v>
      </c>
      <c r="S93" s="217" t="n">
        <v>-799101.333333333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2996630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-620621.71776</v>
      </c>
      <c r="F95" s="153" t="n">
        <f aca="false">-E85*$D$33</f>
        <v>-420104.570496</v>
      </c>
      <c r="G95" s="153" t="n">
        <f aca="false">-F85*$D$33</f>
        <v>-428532.143232</v>
      </c>
      <c r="H95" s="153" t="n">
        <f aca="false">-G85*$D$33</f>
        <v>-436959.715968</v>
      </c>
      <c r="I95" s="153" t="n">
        <f aca="false">-H85*$D$33</f>
        <v>-445387.288704</v>
      </c>
      <c r="J95" s="153" t="n">
        <f aca="false">-I85*$D$33</f>
        <v>-453814.86144</v>
      </c>
      <c r="K95" s="153" t="n">
        <f aca="false">-J85*$D$33</f>
        <v>-462242.434176</v>
      </c>
      <c r="L95" s="153" t="n">
        <f aca="false">-K85*$D$33</f>
        <v>-470670.006912</v>
      </c>
      <c r="M95" s="153" t="n">
        <f aca="false">-L85*$D$33</f>
        <v>-479097.579648</v>
      </c>
      <c r="N95" s="153" t="n">
        <f aca="false">-M85*$D$33</f>
        <v>-487525.152384</v>
      </c>
      <c r="O95" s="153" t="n">
        <f aca="false">-N85*$D$33</f>
        <v>-527351.92512</v>
      </c>
      <c r="P95" s="153" t="n">
        <f aca="false">-O85*$D$33</f>
        <v>-535779.497856</v>
      </c>
      <c r="Q95" s="153" t="n">
        <f aca="false">-P85*$D$33</f>
        <v>-544207.070592</v>
      </c>
      <c r="R95" s="153" t="n">
        <f aca="false">-Q85*$D$33</f>
        <v>-552634.643328</v>
      </c>
      <c r="S95" s="153" t="n">
        <f aca="false">-R85*$D$33</f>
        <v>-561062.216064</v>
      </c>
      <c r="T95" s="153" t="n">
        <f aca="false">-S85*$D$33</f>
        <v>-569489.7888</v>
      </c>
      <c r="U95" s="153" t="n">
        <f aca="false">-T85*$D$33</f>
        <v>-563188.32576</v>
      </c>
      <c r="V95" s="153" t="n">
        <f aca="false">-U85*$D$33</f>
        <v>-556886.86272</v>
      </c>
      <c r="W95" s="153" t="n">
        <f aca="false">-V85*$D$33</f>
        <v>-550585.39968</v>
      </c>
      <c r="X95" s="153" t="n">
        <f aca="false">-W85*$D$33</f>
        <v>-544283.93664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-749157.5</v>
      </c>
      <c r="U96" s="220" t="n">
        <v>-749157.5</v>
      </c>
      <c r="V96" s="220" t="n">
        <v>-749157.5</v>
      </c>
      <c r="W96" s="220" t="n">
        <v>-749157.5</v>
      </c>
      <c r="X96" s="221" t="n">
        <f aca="false">-W101-X95</f>
        <v>-1134491.68192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1438737.1864</v>
      </c>
      <c r="E99" s="208" t="n">
        <f aca="false">SUM(E87:E96)</f>
        <v>-203782.694986667</v>
      </c>
      <c r="F99" s="208" t="n">
        <f aca="false">SUM(F87:F96)</f>
        <v>6098.42198400048</v>
      </c>
      <c r="G99" s="208" t="n">
        <f aca="false">SUM(G87:G96)</f>
        <v>7034.8189546669</v>
      </c>
      <c r="H99" s="208" t="n">
        <f aca="false">SUM(H87:H96)</f>
        <v>7971.21592533338</v>
      </c>
      <c r="I99" s="208" t="n">
        <f aca="false">SUM(I87:I96)</f>
        <v>8907.61289599992</v>
      </c>
      <c r="J99" s="208" t="n">
        <f aca="false">SUM(J87:J96)</f>
        <v>9844.00986666716</v>
      </c>
      <c r="K99" s="208" t="n">
        <f aca="false">SUM(K87:K96)</f>
        <v>10780.4068373336</v>
      </c>
      <c r="L99" s="208" t="n">
        <f aca="false">SUM(L87:L96)</f>
        <v>11716.8038080001</v>
      </c>
      <c r="M99" s="208" t="n">
        <f aca="false">SUM(M87:M96)</f>
        <v>12653.2007786671</v>
      </c>
      <c r="N99" s="208" t="n">
        <f aca="false">SUM(N87:N96)</f>
        <v>48477.5977493334</v>
      </c>
      <c r="O99" s="208" t="n">
        <f aca="false">SUM(O87:O96)</f>
        <v>18014.7947200004</v>
      </c>
      <c r="P99" s="208" t="n">
        <f aca="false">SUM(P87:P96)</f>
        <v>18951.1916906667</v>
      </c>
      <c r="Q99" s="208" t="n">
        <f aca="false">SUM(Q87:Q96)</f>
        <v>19887.5886613337</v>
      </c>
      <c r="R99" s="208" t="n">
        <f aca="false">SUM(R87:R96)</f>
        <v>20823.985632</v>
      </c>
      <c r="S99" s="208" t="n">
        <f aca="false">SUM(S87:S96)</f>
        <v>21760.382602667</v>
      </c>
      <c r="T99" s="208" t="n">
        <f aca="false">SUM(T87:T96)</f>
        <v>56275.0176</v>
      </c>
      <c r="U99" s="208" t="n">
        <f aca="false">SUM(U87:U96)</f>
        <v>55574.8550400003</v>
      </c>
      <c r="V99" s="208" t="n">
        <f aca="false">SUM(V87:V96)</f>
        <v>54874.6924800001</v>
      </c>
      <c r="W99" s="208" t="n">
        <f aca="false">SUM(W87:W96)</f>
        <v>54174.5299200002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1438737.1864</v>
      </c>
      <c r="F100" s="208" t="n">
        <f aca="false">E101</f>
        <v>1234954.49141333</v>
      </c>
      <c r="G100" s="208" t="n">
        <f aca="false">F101</f>
        <v>1241052.91339733</v>
      </c>
      <c r="H100" s="208" t="n">
        <f aca="false">G101</f>
        <v>1248087.732352</v>
      </c>
      <c r="I100" s="208" t="n">
        <f aca="false">H101</f>
        <v>1256058.94827733</v>
      </c>
      <c r="J100" s="208" t="n">
        <f aca="false">I101</f>
        <v>1264966.56117333</v>
      </c>
      <c r="K100" s="208" t="n">
        <f aca="false">J101</f>
        <v>1274810.57104</v>
      </c>
      <c r="L100" s="208" t="n">
        <f aca="false">K101</f>
        <v>1285590.97787734</v>
      </c>
      <c r="M100" s="208" t="n">
        <f aca="false">L101</f>
        <v>1297307.78168534</v>
      </c>
      <c r="N100" s="208" t="n">
        <f aca="false">M101</f>
        <v>1309960.982464</v>
      </c>
      <c r="O100" s="208" t="n">
        <f aca="false">N101</f>
        <v>1358438.58021334</v>
      </c>
      <c r="P100" s="208" t="n">
        <f aca="false">O101</f>
        <v>1376453.37493334</v>
      </c>
      <c r="Q100" s="208" t="n">
        <f aca="false">P101</f>
        <v>1395404.566624</v>
      </c>
      <c r="R100" s="208" t="n">
        <f aca="false">Q101</f>
        <v>1415292.15528534</v>
      </c>
      <c r="S100" s="208" t="n">
        <f aca="false">R101</f>
        <v>1436116.14091734</v>
      </c>
      <c r="T100" s="208" t="n">
        <f aca="false">S101</f>
        <v>1457876.52352</v>
      </c>
      <c r="U100" s="208" t="n">
        <f aca="false">T101</f>
        <v>1514151.54112</v>
      </c>
      <c r="V100" s="208" t="n">
        <f aca="false">U101</f>
        <v>1569726.39616</v>
      </c>
      <c r="W100" s="208" t="n">
        <f aca="false">V101</f>
        <v>1624601.08864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1438737.1864</v>
      </c>
      <c r="E101" s="208" t="n">
        <f aca="false">E99+E100</f>
        <v>1234954.49141333</v>
      </c>
      <c r="F101" s="208" t="n">
        <f aca="false">F99+F100</f>
        <v>1241052.91339733</v>
      </c>
      <c r="G101" s="208" t="n">
        <f aca="false">G99+G100</f>
        <v>1248087.732352</v>
      </c>
      <c r="H101" s="208" t="n">
        <f aca="false">H99+H100</f>
        <v>1256058.94827733</v>
      </c>
      <c r="I101" s="208" t="n">
        <f aca="false">I99+I100</f>
        <v>1264966.56117333</v>
      </c>
      <c r="J101" s="208" t="n">
        <f aca="false">J99+J100</f>
        <v>1274810.57104</v>
      </c>
      <c r="K101" s="208" t="n">
        <f aca="false">K99+K100</f>
        <v>1285590.97787734</v>
      </c>
      <c r="L101" s="208" t="n">
        <f aca="false">L99+L100</f>
        <v>1297307.78168534</v>
      </c>
      <c r="M101" s="208" t="n">
        <f aca="false">M99+M100</f>
        <v>1309960.982464</v>
      </c>
      <c r="N101" s="208" t="n">
        <f aca="false">N99+N100</f>
        <v>1358438.58021334</v>
      </c>
      <c r="O101" s="208" t="n">
        <f aca="false">O99+O100</f>
        <v>1376453.37493334</v>
      </c>
      <c r="P101" s="208" t="n">
        <f aca="false">P99+P100</f>
        <v>1395404.566624</v>
      </c>
      <c r="Q101" s="208" t="n">
        <f aca="false">Q99+Q100</f>
        <v>1415292.15528534</v>
      </c>
      <c r="R101" s="208" t="n">
        <f aca="false">R99+R100</f>
        <v>1436116.14091734</v>
      </c>
      <c r="S101" s="208" t="n">
        <f aca="false">S99+S100</f>
        <v>1457876.52352</v>
      </c>
      <c r="T101" s="208" t="n">
        <f aca="false">T99+T100</f>
        <v>1514151.54112</v>
      </c>
      <c r="U101" s="208" t="n">
        <f aca="false">U99+U100</f>
        <v>1569726.39616</v>
      </c>
      <c r="V101" s="208" t="n">
        <f aca="false">V99+V100</f>
        <v>1624601.08864</v>
      </c>
      <c r="W101" s="208" t="n">
        <f aca="false">W99+W100</f>
        <v>1678775.61856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-2996630</v>
      </c>
      <c r="E104" s="211" t="n">
        <f aca="false">-E95-E96</f>
        <v>620621.71776</v>
      </c>
      <c r="F104" s="211" t="n">
        <f aca="false">-F95-F96</f>
        <v>420104.570496</v>
      </c>
      <c r="G104" s="211" t="n">
        <f aca="false">-G95-G96</f>
        <v>428532.143232</v>
      </c>
      <c r="H104" s="211" t="n">
        <f aca="false">-H95-H96</f>
        <v>436959.715968</v>
      </c>
      <c r="I104" s="211" t="n">
        <f aca="false">-I95-I96</f>
        <v>445387.288704</v>
      </c>
      <c r="J104" s="211" t="n">
        <f aca="false">-J95-J96</f>
        <v>453814.86144</v>
      </c>
      <c r="K104" s="211" t="n">
        <f aca="false">-K95-K96</f>
        <v>462242.434176</v>
      </c>
      <c r="L104" s="211" t="n">
        <f aca="false">-L95-L96</f>
        <v>470670.006912</v>
      </c>
      <c r="M104" s="211" t="n">
        <f aca="false">-M95-M96</f>
        <v>479097.579648</v>
      </c>
      <c r="N104" s="211" t="n">
        <f aca="false">-N95-N96</f>
        <v>487525.152384</v>
      </c>
      <c r="O104" s="211" t="n">
        <f aca="false">-O95-O96</f>
        <v>527351.92512</v>
      </c>
      <c r="P104" s="211" t="n">
        <f aca="false">-P95-P96</f>
        <v>535779.497856</v>
      </c>
      <c r="Q104" s="211" t="n">
        <f aca="false">-Q95-Q96</f>
        <v>544207.070592</v>
      </c>
      <c r="R104" s="211" t="n">
        <f aca="false">-R95-R96</f>
        <v>552634.643328</v>
      </c>
      <c r="S104" s="211" t="n">
        <f aca="false">-S95-S96</f>
        <v>561062.216064</v>
      </c>
      <c r="T104" s="211" t="n">
        <f aca="false">-T95-T96</f>
        <v>1318647.2888</v>
      </c>
      <c r="U104" s="211" t="n">
        <f aca="false">-U95-U96</f>
        <v>1312345.82576</v>
      </c>
      <c r="V104" s="211" t="n">
        <f aca="false">-V95-V96</f>
        <v>1306044.36272</v>
      </c>
      <c r="W104" s="211" t="n">
        <f aca="false">-W95-W96</f>
        <v>1299742.89968</v>
      </c>
      <c r="X104" s="211" t="n">
        <f aca="false">-X95-X96</f>
        <v>1678775.61856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0.170102107419207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-2307050.3136</v>
      </c>
      <c r="E106" s="211" t="n">
        <f aca="false">E85</f>
        <v>466782.856106666</v>
      </c>
      <c r="F106" s="211" t="n">
        <f aca="false">F85-F96</f>
        <v>476146.825813333</v>
      </c>
      <c r="G106" s="211" t="n">
        <f aca="false">G85-G96</f>
        <v>485510.79552</v>
      </c>
      <c r="H106" s="211" t="n">
        <f aca="false">H85-H96</f>
        <v>494874.765226666</v>
      </c>
      <c r="I106" s="211" t="n">
        <f aca="false">I85-I96</f>
        <v>504238.734933333</v>
      </c>
      <c r="J106" s="211" t="n">
        <f aca="false">J85-J96</f>
        <v>513602.70464</v>
      </c>
      <c r="K106" s="211" t="n">
        <f aca="false">K85-K96</f>
        <v>522966.674346666</v>
      </c>
      <c r="L106" s="211" t="n">
        <f aca="false">L85-L96</f>
        <v>532330.644053333</v>
      </c>
      <c r="M106" s="211" t="n">
        <f aca="false">M85-M96</f>
        <v>541694.61376</v>
      </c>
      <c r="N106" s="211" t="n">
        <f aca="false">N85-N96</f>
        <v>585946.583466666</v>
      </c>
      <c r="O106" s="211" t="n">
        <f aca="false">O85-O96</f>
        <v>595310.553173333</v>
      </c>
      <c r="P106" s="211" t="n">
        <f aca="false">P85-P96</f>
        <v>604674.52288</v>
      </c>
      <c r="Q106" s="211" t="n">
        <f aca="false">Q85-Q96</f>
        <v>614038.492586666</v>
      </c>
      <c r="R106" s="211" t="n">
        <f aca="false">R85-R96</f>
        <v>623402.462293333</v>
      </c>
      <c r="S106" s="211" t="n">
        <f aca="false">S85-S96</f>
        <v>632766.432</v>
      </c>
      <c r="T106" s="211" t="n">
        <f aca="false">T85-T96</f>
        <v>1374922.3064</v>
      </c>
      <c r="U106" s="211" t="n">
        <f aca="false">U85-U96</f>
        <v>1367920.6808</v>
      </c>
      <c r="V106" s="211" t="n">
        <f aca="false">V85-V96</f>
        <v>1360919.0552</v>
      </c>
      <c r="W106" s="211" t="n">
        <f aca="false">W85-W96</f>
        <v>1353917.4296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0.224409381865094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11986520</v>
      </c>
      <c r="E109" s="208" t="n">
        <f aca="false">D109+E93</f>
        <v>11187418.6666667</v>
      </c>
      <c r="F109" s="208" t="n">
        <f aca="false">E109+F93</f>
        <v>10388317.3333333</v>
      </c>
      <c r="G109" s="208" t="n">
        <f aca="false">F109+G93</f>
        <v>9589216</v>
      </c>
      <c r="H109" s="208" t="n">
        <f aca="false">G109+H93</f>
        <v>8790114.66666667</v>
      </c>
      <c r="I109" s="208" t="n">
        <f aca="false">H109+I93</f>
        <v>7991013.33333334</v>
      </c>
      <c r="J109" s="208" t="n">
        <f aca="false">I109+J93</f>
        <v>7191912</v>
      </c>
      <c r="K109" s="208" t="n">
        <f aca="false">J109+K93</f>
        <v>6392810.66666667</v>
      </c>
      <c r="L109" s="208" t="n">
        <f aca="false">K109+L93</f>
        <v>5593709.33333334</v>
      </c>
      <c r="M109" s="208" t="n">
        <f aca="false">L109+M93</f>
        <v>4794608</v>
      </c>
      <c r="N109" s="208" t="n">
        <f aca="false">M109+N93</f>
        <v>3995506.66666667</v>
      </c>
      <c r="O109" s="208" t="n">
        <f aca="false">N109+O93</f>
        <v>3196405.33333334</v>
      </c>
      <c r="P109" s="208" t="n">
        <f aca="false">O109+P93</f>
        <v>2397304</v>
      </c>
      <c r="Q109" s="208" t="n">
        <f aca="false">P109+Q93</f>
        <v>1598202.66666667</v>
      </c>
      <c r="R109" s="208" t="n">
        <f aca="false">Q109+R93</f>
        <v>799101.333333336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294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225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226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295</v>
      </c>
    </row>
    <row r="8" customFormat="false" ht="22.5" hidden="false" customHeight="true" outlineLevel="0" collapsed="false">
      <c r="B8" s="16" t="s">
        <v>14</v>
      </c>
      <c r="E8" s="165"/>
      <c r="M8" s="0" t="s">
        <v>296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101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21500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-14048650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-28128.45</v>
      </c>
      <c r="E49" s="185" t="n">
        <v>-28128.45</v>
      </c>
      <c r="F49" s="185" t="n">
        <v>-28128.45</v>
      </c>
      <c r="G49" s="185" t="n">
        <v>-28128.45</v>
      </c>
      <c r="H49" s="185" t="n">
        <v>-28128.45</v>
      </c>
      <c r="I49" s="185" t="n">
        <v>-28128.45</v>
      </c>
      <c r="J49" s="185" t="n">
        <v>-28128.45</v>
      </c>
      <c r="K49" s="185" t="n">
        <v>-28128.45</v>
      </c>
      <c r="L49" s="185" t="n">
        <v>-28128.45</v>
      </c>
      <c r="M49" s="185" t="n">
        <v>-28128.45</v>
      </c>
      <c r="N49" s="185" t="n">
        <v>-28128.45</v>
      </c>
      <c r="O49" s="185" t="n">
        <v>-28128.45</v>
      </c>
      <c r="P49" s="185" t="n">
        <v>-28128.45</v>
      </c>
      <c r="Q49" s="185" t="n">
        <v>-28128.45</v>
      </c>
      <c r="R49" s="185" t="n">
        <v>-28128.45</v>
      </c>
      <c r="S49" s="185" t="n">
        <v>-28128.45</v>
      </c>
      <c r="T49" s="185" t="n">
        <v>-28128.45</v>
      </c>
      <c r="U49" s="185" t="n">
        <v>-28128.45</v>
      </c>
      <c r="V49" s="185" t="n">
        <v>-28128.45</v>
      </c>
      <c r="W49" s="185" t="n">
        <v>-28128.45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-243503.394</v>
      </c>
      <c r="E54" s="185" t="n">
        <f aca="false">-(E64+E67+E68+E71+E72+E73+E74)*0.2</f>
        <v>-183712.7876</v>
      </c>
      <c r="F54" s="185" t="n">
        <f aca="false">-(F64+F67+F68+F71+F72+F73+F74)*0.2</f>
        <v>-181962.3812</v>
      </c>
      <c r="G54" s="185" t="n">
        <f aca="false">-(G64+G67+G68+G71+G72+G73+G74)*0.2</f>
        <v>-180211.9748</v>
      </c>
      <c r="H54" s="185" t="n">
        <f aca="false">-(H64+H67+H68+H71+H72+H73+H74)*0.2</f>
        <v>-178461.5684</v>
      </c>
      <c r="I54" s="185" t="n">
        <f aca="false">-(I64+I67+I68+I71+I72+I73+I74)*0.2</f>
        <v>-176711.162</v>
      </c>
      <c r="J54" s="185" t="n">
        <f aca="false">-(J64+J67+J68+J71+J72+J73+J74)*0.2</f>
        <v>-174960.7556</v>
      </c>
      <c r="K54" s="185" t="n">
        <f aca="false">-(K64+K67+K68+K71+K72+K73+K74)*0.2</f>
        <v>-173210.3492</v>
      </c>
      <c r="L54" s="185" t="n">
        <f aca="false">-(L64+L67+L68+L71+L72+L73+L74)*0.2</f>
        <v>-171459.9428</v>
      </c>
      <c r="M54" s="185" t="n">
        <f aca="false">-(M64+M67+M68+M71+M72+M73+M74)*0.2</f>
        <v>-169709.5364</v>
      </c>
      <c r="N54" s="185" t="n">
        <f aca="false">-(N64+N67+N68+N71+N72+N73+N74)*0.2</f>
        <v>-176681.13</v>
      </c>
      <c r="O54" s="185" t="n">
        <f aca="false">-(O64+O67+O68+O71+O72+O73+O74)*0.2</f>
        <v>-174930.7236</v>
      </c>
      <c r="P54" s="185" t="n">
        <f aca="false">-(P64+P67+P68+P71+P72+P73+P74)*0.2</f>
        <v>-173180.3172</v>
      </c>
      <c r="Q54" s="185" t="n">
        <f aca="false">-(Q64+Q67+Q68+Q71+Q72+Q73+Q74)*0.2</f>
        <v>-171429.9108</v>
      </c>
      <c r="R54" s="185" t="n">
        <f aca="false">-(R64+R67+R68+R71+R72+R73+R74)*0.2</f>
        <v>-169679.5044</v>
      </c>
      <c r="S54" s="185" t="n">
        <f aca="false">-(S64+S67+S68+S71+S72+S73+S74)*0.2</f>
        <v>-167929.098</v>
      </c>
      <c r="T54" s="185" t="n">
        <f aca="false">-(T64+T67+T68+T71+T72+T73+T74)*0.2</f>
        <v>-166178.6916</v>
      </c>
      <c r="U54" s="185" t="n">
        <f aca="false">-(U64+U67+U68+U71+U72+U73+U74)*0.2</f>
        <v>-164428.2852</v>
      </c>
      <c r="V54" s="185" t="n">
        <f aca="false">-(V64+V67+V68+V71+V72+V73+V74)*0.2</f>
        <v>-162677.8788</v>
      </c>
      <c r="W54" s="185" t="n">
        <f aca="false">-(W64+W67+W68+W71+W72+W73+W74)*0.2</f>
        <v>-160927.4724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-14048650</v>
      </c>
      <c r="D55" s="190" t="n">
        <f aca="false">SUM(D41:D54)</f>
        <v>1386245.076</v>
      </c>
      <c r="E55" s="190" t="n">
        <f aca="false">SUM(E41:E54)</f>
        <v>1437283.6504</v>
      </c>
      <c r="F55" s="190" t="n">
        <f aca="false">SUM(F41:F54)</f>
        <v>1430282.0248</v>
      </c>
      <c r="G55" s="190" t="n">
        <f aca="false">SUM(G41:G54)</f>
        <v>1423280.3992</v>
      </c>
      <c r="H55" s="190" t="n">
        <f aca="false">SUM(H41:H54)</f>
        <v>1416278.7736</v>
      </c>
      <c r="I55" s="190" t="n">
        <f aca="false">SUM(I41:I54)</f>
        <v>1409277.148</v>
      </c>
      <c r="J55" s="190" t="n">
        <f aca="false">SUM(J41:J54)</f>
        <v>1402275.5224</v>
      </c>
      <c r="K55" s="190" t="n">
        <f aca="false">SUM(K41:K54)</f>
        <v>1395273.8968</v>
      </c>
      <c r="L55" s="190" t="n">
        <f aca="false">SUM(L41:L54)</f>
        <v>1388272.2712</v>
      </c>
      <c r="M55" s="190" t="n">
        <f aca="false">SUM(M41:M54)</f>
        <v>1381270.6456</v>
      </c>
      <c r="N55" s="190" t="n">
        <f aca="false">SUM(N41:N54)</f>
        <v>1409157.02</v>
      </c>
      <c r="O55" s="190" t="n">
        <f aca="false">SUM(O41:O54)</f>
        <v>1402155.3944</v>
      </c>
      <c r="P55" s="190" t="n">
        <f aca="false">SUM(P41:P54)</f>
        <v>1395153.7688</v>
      </c>
      <c r="Q55" s="190" t="n">
        <f aca="false">SUM(Q41:Q54)</f>
        <v>1388152.1432</v>
      </c>
      <c r="R55" s="190" t="n">
        <f aca="false">SUM(R41:R54)</f>
        <v>1381150.5176</v>
      </c>
      <c r="S55" s="190" t="n">
        <f aca="false">SUM(S41:S54)</f>
        <v>1374148.892</v>
      </c>
      <c r="T55" s="190" t="n">
        <f aca="false">SUM(T41:T54)</f>
        <v>1367147.2664</v>
      </c>
      <c r="U55" s="190" t="n">
        <f aca="false">SUM(U41:U54)</f>
        <v>1360145.6408</v>
      </c>
      <c r="V55" s="190" t="n">
        <f aca="false">SUM(V41:V54)</f>
        <v>1353144.0152</v>
      </c>
      <c r="W55" s="190" t="n">
        <f aca="false">SUM(W41:W54)</f>
        <v>1346142.3896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-12662404.924</v>
      </c>
      <c r="E56" s="195" t="n">
        <f aca="false">D56+E55</f>
        <v>-11225121.2736</v>
      </c>
      <c r="F56" s="195" t="n">
        <f aca="false">E56+F55</f>
        <v>-9794839.2488</v>
      </c>
      <c r="G56" s="195" t="n">
        <f aca="false">F56+G55</f>
        <v>-8371558.8496</v>
      </c>
      <c r="H56" s="195" t="n">
        <f aca="false">G56+H55</f>
        <v>-6955280.076</v>
      </c>
      <c r="I56" s="195" t="n">
        <f aca="false">H56+I55</f>
        <v>-5546002.928</v>
      </c>
      <c r="J56" s="195" t="n">
        <f aca="false">I56+J55</f>
        <v>-4143727.4056</v>
      </c>
      <c r="K56" s="195" t="n">
        <f aca="false">J56+K55</f>
        <v>-2748453.5088</v>
      </c>
      <c r="L56" s="195" t="n">
        <f aca="false">K56+L55</f>
        <v>-1360181.2376</v>
      </c>
      <c r="M56" s="195" t="n">
        <f aca="false">L56+M55</f>
        <v>21089.407999998</v>
      </c>
      <c r="N56" s="195" t="n">
        <f aca="false">M56+N55</f>
        <v>1430246.428</v>
      </c>
      <c r="O56" s="195" t="n">
        <f aca="false">N56+O55</f>
        <v>2832401.8224</v>
      </c>
      <c r="P56" s="195" t="n">
        <f aca="false">O56+P55</f>
        <v>4227555.5912</v>
      </c>
      <c r="Q56" s="195" t="n">
        <f aca="false">P56+Q55</f>
        <v>5615707.7344</v>
      </c>
      <c r="R56" s="195" t="n">
        <f aca="false">Q56+R55</f>
        <v>6996858.252</v>
      </c>
      <c r="S56" s="195" t="n">
        <f aca="false">R56+S55</f>
        <v>8371007.144</v>
      </c>
      <c r="T56" s="195" t="n">
        <f aca="false">S56+T55</f>
        <v>9738154.4104</v>
      </c>
      <c r="U56" s="195" t="n">
        <f aca="false">T56+U55</f>
        <v>11098300.0512</v>
      </c>
      <c r="V56" s="195" t="n">
        <f aca="false">U56+V55</f>
        <v>12451444.0664</v>
      </c>
      <c r="W56" s="195" t="n">
        <f aca="false">V56+W55</f>
        <v>13797586.456</v>
      </c>
      <c r="X56" s="195" t="n">
        <f aca="false">W56+X55</f>
        <v>13797586.456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回收</v>
      </c>
      <c r="N57" s="199" t="str">
        <f aca="false">IF((N56)&gt;0,"回收","未回收")</f>
        <v>回收</v>
      </c>
      <c r="O57" s="199" t="str">
        <f aca="false">IF((O56)&gt;0,"回收","未回收")</f>
        <v>回收</v>
      </c>
      <c r="P57" s="199" t="str">
        <f aca="false">IF((P56)&gt;0,"回收","未回收")</f>
        <v>回收</v>
      </c>
      <c r="Q57" s="199" t="str">
        <f aca="false">IF((Q56)&gt;0,"回收","未回收")</f>
        <v>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0.0771178197888662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-702432.5</v>
      </c>
      <c r="E67" s="200" t="n">
        <f aca="false">$C$44/$E$16</f>
        <v>-702432.5</v>
      </c>
      <c r="F67" s="200" t="n">
        <f aca="false">$C$44/$E$16</f>
        <v>-702432.5</v>
      </c>
      <c r="G67" s="200" t="n">
        <f aca="false">$C$44/$E$16</f>
        <v>-702432.5</v>
      </c>
      <c r="H67" s="200" t="n">
        <f aca="false">$C$44/$E$16</f>
        <v>-702432.5</v>
      </c>
      <c r="I67" s="200" t="n">
        <f aca="false">$C$44/$E$16</f>
        <v>-702432.5</v>
      </c>
      <c r="J67" s="200" t="n">
        <f aca="false">$C$44/$E$16</f>
        <v>-702432.5</v>
      </c>
      <c r="K67" s="200" t="n">
        <f aca="false">$C$44/$E$16</f>
        <v>-702432.5</v>
      </c>
      <c r="L67" s="200" t="n">
        <f aca="false">$C$44/$E$16</f>
        <v>-702432.5</v>
      </c>
      <c r="M67" s="200" t="n">
        <f aca="false">$C$44/$E$16</f>
        <v>-702432.5</v>
      </c>
      <c r="N67" s="200" t="n">
        <f aca="false">$C$44/$E$16</f>
        <v>-702432.5</v>
      </c>
      <c r="O67" s="200" t="n">
        <f aca="false">$C$44/$E$16</f>
        <v>-702432.5</v>
      </c>
      <c r="P67" s="200" t="n">
        <f aca="false">$C$44/$E$16</f>
        <v>-702432.5</v>
      </c>
      <c r="Q67" s="200" t="n">
        <f aca="false">$C$44/$E$16</f>
        <v>-702432.5</v>
      </c>
      <c r="R67" s="200" t="n">
        <f aca="false">$C$44/$E$16</f>
        <v>-702432.5</v>
      </c>
      <c r="S67" s="200" t="n">
        <f aca="false">$C$44/$E$16</f>
        <v>-702432.5</v>
      </c>
      <c r="T67" s="200" t="n">
        <f aca="false">$C$44/$E$16</f>
        <v>-702432.5</v>
      </c>
      <c r="U67" s="200" t="n">
        <f aca="false">$C$44/$E$16</f>
        <v>-702432.5</v>
      </c>
      <c r="V67" s="200" t="n">
        <f aca="false">$C$44/$E$16</f>
        <v>-702432.5</v>
      </c>
      <c r="W67" s="200" t="n">
        <f aca="false">$C$44/$E$16</f>
        <v>-702432.5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-287716.352</v>
      </c>
      <c r="E70" s="185" t="n">
        <f aca="false">-E109*$D25</f>
        <v>-268535.261866667</v>
      </c>
      <c r="F70" s="185" t="n">
        <f aca="false">-F109*$D25</f>
        <v>-249354.171733333</v>
      </c>
      <c r="G70" s="185" t="n">
        <f aca="false">-G109*$D25</f>
        <v>-230173.0816</v>
      </c>
      <c r="H70" s="185" t="n">
        <f aca="false">-H109*$D25</f>
        <v>-210991.991466667</v>
      </c>
      <c r="I70" s="185" t="n">
        <f aca="false">-I109*$D25</f>
        <v>-191810.901333333</v>
      </c>
      <c r="J70" s="185" t="n">
        <f aca="false">-J109*$D25</f>
        <v>-172629.8112</v>
      </c>
      <c r="K70" s="185" t="n">
        <f aca="false">-K109*$D25</f>
        <v>-153448.721066667</v>
      </c>
      <c r="L70" s="185" t="n">
        <f aca="false">-L109*$D25</f>
        <v>-134267.630933333</v>
      </c>
      <c r="M70" s="185" t="n">
        <f aca="false">-M109*$D25</f>
        <v>-115086.5408</v>
      </c>
      <c r="N70" s="185" t="n">
        <f aca="false">-N109*$D25</f>
        <v>-95905.4506666667</v>
      </c>
      <c r="O70" s="185" t="n">
        <f aca="false">-O109*$D25</f>
        <v>-76724.3605333334</v>
      </c>
      <c r="P70" s="185" t="n">
        <f aca="false">-P109*$D25</f>
        <v>-57543.2704</v>
      </c>
      <c r="Q70" s="185" t="n">
        <f aca="false">-Q109*$D25</f>
        <v>-38362.1802666667</v>
      </c>
      <c r="R70" s="185" t="n">
        <f aca="false">-R109*$D25</f>
        <v>-19181.0901333334</v>
      </c>
      <c r="S70" s="185" t="n">
        <f aca="false">-S109*$D25</f>
        <v>-0</v>
      </c>
      <c r="T70" s="185" t="n">
        <f aca="false">-T109*$D25</f>
        <v>-0</v>
      </c>
      <c r="U70" s="185" t="n">
        <f aca="false">-U109*$D25</f>
        <v>-0</v>
      </c>
      <c r="V70" s="185" t="n">
        <f aca="false">-V109*$D25</f>
        <v>-0</v>
      </c>
      <c r="W70" s="185" t="n">
        <f aca="false">-W109*$D25</f>
        <v>-0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-28128.45</v>
      </c>
      <c r="E72" s="185" t="n">
        <f aca="false">E49</f>
        <v>-28128.45</v>
      </c>
      <c r="F72" s="185" t="n">
        <f aca="false">F49</f>
        <v>-28128.45</v>
      </c>
      <c r="G72" s="185" t="n">
        <f aca="false">G49</f>
        <v>-28128.45</v>
      </c>
      <c r="H72" s="185" t="n">
        <f aca="false">H49</f>
        <v>-28128.45</v>
      </c>
      <c r="I72" s="185" t="n">
        <f aca="false">I49</f>
        <v>-28128.45</v>
      </c>
      <c r="J72" s="185" t="n">
        <f aca="false">J49</f>
        <v>-28128.45</v>
      </c>
      <c r="K72" s="185" t="n">
        <f aca="false">K49</f>
        <v>-28128.45</v>
      </c>
      <c r="L72" s="185" t="n">
        <f aca="false">L49</f>
        <v>-28128.45</v>
      </c>
      <c r="M72" s="185" t="n">
        <f aca="false">M49</f>
        <v>-28128.45</v>
      </c>
      <c r="N72" s="185" t="n">
        <f aca="false">N49</f>
        <v>-28128.45</v>
      </c>
      <c r="O72" s="185" t="n">
        <f aca="false">O49</f>
        <v>-28128.45</v>
      </c>
      <c r="P72" s="185" t="n">
        <f aca="false">P49</f>
        <v>-28128.45</v>
      </c>
      <c r="Q72" s="185" t="n">
        <f aca="false">Q49</f>
        <v>-28128.45</v>
      </c>
      <c r="R72" s="185" t="n">
        <f aca="false">R49</f>
        <v>-28128.45</v>
      </c>
      <c r="S72" s="185" t="n">
        <f aca="false">S49</f>
        <v>-28128.45</v>
      </c>
      <c r="T72" s="185" t="n">
        <f aca="false">T49</f>
        <v>-28128.45</v>
      </c>
      <c r="U72" s="185" t="n">
        <f aca="false">U49</f>
        <v>-28128.45</v>
      </c>
      <c r="V72" s="185" t="n">
        <f aca="false">V49</f>
        <v>-28128.45</v>
      </c>
      <c r="W72" s="185" t="n">
        <f aca="false">W49</f>
        <v>-28128.45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929800.618</v>
      </c>
      <c r="E76" s="190" t="n">
        <f aca="false">SUM(E64:E75)</f>
        <v>650028.676133333</v>
      </c>
      <c r="F76" s="190" t="n">
        <f aca="false">SUM(F64:F75)</f>
        <v>660457.734266667</v>
      </c>
      <c r="G76" s="190" t="n">
        <f aca="false">SUM(G64:G75)</f>
        <v>670886.7924</v>
      </c>
      <c r="H76" s="190" t="n">
        <f aca="false">SUM(H64:H75)</f>
        <v>681315.850533333</v>
      </c>
      <c r="I76" s="190" t="n">
        <f aca="false">SUM(I64:I75)</f>
        <v>691744.908666666</v>
      </c>
      <c r="J76" s="190" t="n">
        <f aca="false">SUM(J64:J75)</f>
        <v>702173.9668</v>
      </c>
      <c r="K76" s="190" t="n">
        <f aca="false">SUM(K64:K75)</f>
        <v>712603.024933333</v>
      </c>
      <c r="L76" s="190" t="n">
        <f aca="false">SUM(L64:L75)</f>
        <v>723032.083066666</v>
      </c>
      <c r="M76" s="190" t="n">
        <f aca="false">SUM(M64:M75)</f>
        <v>733461.1412</v>
      </c>
      <c r="N76" s="190" t="n">
        <f aca="false">SUM(N64:N75)</f>
        <v>787500.199333333</v>
      </c>
      <c r="O76" s="190" t="n">
        <f aca="false">SUM(O64:O75)</f>
        <v>797929.257466667</v>
      </c>
      <c r="P76" s="190" t="n">
        <f aca="false">SUM(P64:P75)</f>
        <v>808358.3156</v>
      </c>
      <c r="Q76" s="190" t="n">
        <f aca="false">SUM(Q64:Q75)</f>
        <v>818787.373733333</v>
      </c>
      <c r="R76" s="190" t="n">
        <f aca="false">SUM(R64:R75)</f>
        <v>829216.431866666</v>
      </c>
      <c r="S76" s="190" t="n">
        <f aca="false">SUM(S64:S75)</f>
        <v>839645.49</v>
      </c>
      <c r="T76" s="190" t="n">
        <f aca="false">SUM(T64:T75)</f>
        <v>830893.458</v>
      </c>
      <c r="U76" s="190" t="n">
        <f aca="false">SUM(U64:U75)</f>
        <v>822141.426</v>
      </c>
      <c r="V76" s="190" t="n">
        <f aca="false">SUM(V64:V75)</f>
        <v>813389.394</v>
      </c>
      <c r="W76" s="190" t="n">
        <f aca="false">SUM(W64:W75)</f>
        <v>804637.362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-185960.1236</v>
      </c>
      <c r="E77" s="185" t="n">
        <f aca="false">-E76*0.2</f>
        <v>-130005.735226667</v>
      </c>
      <c r="F77" s="185" t="n">
        <f aca="false">-F76*0.2</f>
        <v>-132091.546853333</v>
      </c>
      <c r="G77" s="185" t="n">
        <f aca="false">-G76*0.2</f>
        <v>-134177.35848</v>
      </c>
      <c r="H77" s="185" t="n">
        <f aca="false">-H76*0.2</f>
        <v>-136263.170106667</v>
      </c>
      <c r="I77" s="185" t="n">
        <f aca="false">-I76*0.2</f>
        <v>-138348.981733333</v>
      </c>
      <c r="J77" s="185" t="n">
        <f aca="false">-J76*0.2</f>
        <v>-140434.79336</v>
      </c>
      <c r="K77" s="185" t="n">
        <f aca="false">-K76*0.2</f>
        <v>-142520.604986667</v>
      </c>
      <c r="L77" s="185" t="n">
        <f aca="false">-L76*0.2</f>
        <v>-144606.416613333</v>
      </c>
      <c r="M77" s="185" t="n">
        <f aca="false">-M76*0.2</f>
        <v>-146692.22824</v>
      </c>
      <c r="N77" s="185" t="n">
        <f aca="false">-N76*0.2</f>
        <v>-157500.039866667</v>
      </c>
      <c r="O77" s="185" t="n">
        <f aca="false">-O76*0.2</f>
        <v>-159585.851493333</v>
      </c>
      <c r="P77" s="185" t="n">
        <f aca="false">-P76*0.2</f>
        <v>-161671.66312</v>
      </c>
      <c r="Q77" s="185" t="n">
        <f aca="false">-Q76*0.2</f>
        <v>-163757.474746667</v>
      </c>
      <c r="R77" s="185" t="n">
        <f aca="false">-R76*0.2</f>
        <v>-165843.286373333</v>
      </c>
      <c r="S77" s="185" t="n">
        <f aca="false">-S76*0.2</f>
        <v>-167929.098</v>
      </c>
      <c r="T77" s="185" t="n">
        <f aca="false">-T76*0.2</f>
        <v>-166178.6916</v>
      </c>
      <c r="U77" s="185" t="n">
        <f aca="false">-U76*0.2</f>
        <v>-164428.2852</v>
      </c>
      <c r="V77" s="185" t="n">
        <f aca="false">-V76*0.2</f>
        <v>-162677.8788</v>
      </c>
      <c r="W77" s="185" t="n">
        <f aca="false">-W76*0.2</f>
        <v>-160927.4724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743840.4944</v>
      </c>
      <c r="E78" s="185" t="n">
        <f aca="false">SUM(E76:E77)</f>
        <v>520022.940906666</v>
      </c>
      <c r="F78" s="185" t="n">
        <f aca="false">SUM(F76:F77)</f>
        <v>528366.187413333</v>
      </c>
      <c r="G78" s="185" t="n">
        <f aca="false">SUM(G76:G77)</f>
        <v>536709.43392</v>
      </c>
      <c r="H78" s="185" t="n">
        <f aca="false">SUM(H76:H77)</f>
        <v>545052.680426667</v>
      </c>
      <c r="I78" s="185" t="n">
        <f aca="false">SUM(I76:I77)</f>
        <v>553395.926933333</v>
      </c>
      <c r="J78" s="185" t="n">
        <f aca="false">SUM(J76:J77)</f>
        <v>561739.17344</v>
      </c>
      <c r="K78" s="185" t="n">
        <f aca="false">SUM(K76:K77)</f>
        <v>570082.419946667</v>
      </c>
      <c r="L78" s="185" t="n">
        <f aca="false">SUM(L76:L77)</f>
        <v>578425.666453333</v>
      </c>
      <c r="M78" s="185" t="n">
        <f aca="false">SUM(M76:M77)</f>
        <v>586768.91296</v>
      </c>
      <c r="N78" s="185" t="n">
        <f aca="false">SUM(N76:N77)</f>
        <v>630000.159466666</v>
      </c>
      <c r="O78" s="185" t="n">
        <f aca="false">SUM(O76:O77)</f>
        <v>638343.405973333</v>
      </c>
      <c r="P78" s="185" t="n">
        <f aca="false">SUM(P76:P77)</f>
        <v>646686.65248</v>
      </c>
      <c r="Q78" s="185" t="n">
        <f aca="false">SUM(Q76:Q77)</f>
        <v>655029.898986667</v>
      </c>
      <c r="R78" s="185" t="n">
        <f aca="false">SUM(R76:R77)</f>
        <v>663373.145493333</v>
      </c>
      <c r="S78" s="185" t="n">
        <f aca="false">SUM(S76:S77)</f>
        <v>671716.392</v>
      </c>
      <c r="T78" s="185" t="n">
        <f aca="false">SUM(T76:T77)</f>
        <v>664714.7664</v>
      </c>
      <c r="U78" s="185" t="n">
        <f aca="false">SUM(U76:U77)</f>
        <v>657713.1408</v>
      </c>
      <c r="V78" s="185" t="n">
        <f aca="false">SUM(V76:V77)</f>
        <v>650711.5152</v>
      </c>
      <c r="W78" s="185" t="n">
        <f aca="false">SUM(W76:W77)</f>
        <v>643709.8896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743840.4944</v>
      </c>
      <c r="E85" s="208" t="n">
        <f aca="false">E78</f>
        <v>520022.940906666</v>
      </c>
      <c r="F85" s="208" t="n">
        <f aca="false">F78</f>
        <v>528366.187413333</v>
      </c>
      <c r="G85" s="208" t="n">
        <f aca="false">G78</f>
        <v>536709.43392</v>
      </c>
      <c r="H85" s="208" t="n">
        <f aca="false">H78</f>
        <v>545052.680426667</v>
      </c>
      <c r="I85" s="208" t="n">
        <f aca="false">I78</f>
        <v>553395.926933333</v>
      </c>
      <c r="J85" s="208" t="n">
        <f aca="false">J78</f>
        <v>561739.17344</v>
      </c>
      <c r="K85" s="208" t="n">
        <f aca="false">K78</f>
        <v>570082.419946667</v>
      </c>
      <c r="L85" s="208" t="n">
        <f aca="false">L78</f>
        <v>578425.666453333</v>
      </c>
      <c r="M85" s="208" t="n">
        <f aca="false">M78</f>
        <v>586768.91296</v>
      </c>
      <c r="N85" s="208" t="n">
        <f aca="false">N78</f>
        <v>630000.159466666</v>
      </c>
      <c r="O85" s="208" t="n">
        <f aca="false">O78</f>
        <v>638343.405973333</v>
      </c>
      <c r="P85" s="208" t="n">
        <f aca="false">P78</f>
        <v>646686.65248</v>
      </c>
      <c r="Q85" s="208" t="n">
        <f aca="false">Q78</f>
        <v>655029.898986667</v>
      </c>
      <c r="R85" s="208" t="n">
        <f aca="false">R78</f>
        <v>663373.145493333</v>
      </c>
      <c r="S85" s="208" t="n">
        <f aca="false">S78</f>
        <v>671716.392</v>
      </c>
      <c r="T85" s="208" t="n">
        <f aca="false">T78</f>
        <v>664714.7664</v>
      </c>
      <c r="U85" s="208" t="n">
        <f aca="false">U78</f>
        <v>657713.1408</v>
      </c>
      <c r="V85" s="208" t="n">
        <f aca="false">V78</f>
        <v>650711.5152</v>
      </c>
      <c r="W85" s="208" t="n">
        <f aca="false">W78</f>
        <v>643709.8896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702432.5</v>
      </c>
      <c r="E86" s="209" t="n">
        <f aca="false">-E67</f>
        <v>702432.5</v>
      </c>
      <c r="F86" s="209" t="n">
        <f aca="false">-F67</f>
        <v>702432.5</v>
      </c>
      <c r="G86" s="209" t="n">
        <f aca="false">-G67</f>
        <v>702432.5</v>
      </c>
      <c r="H86" s="209" t="n">
        <f aca="false">-H67</f>
        <v>702432.5</v>
      </c>
      <c r="I86" s="209" t="n">
        <f aca="false">-I67</f>
        <v>702432.5</v>
      </c>
      <c r="J86" s="209" t="n">
        <f aca="false">-J67</f>
        <v>702432.5</v>
      </c>
      <c r="K86" s="209" t="n">
        <f aca="false">-K67</f>
        <v>702432.5</v>
      </c>
      <c r="L86" s="209" t="n">
        <f aca="false">-L67</f>
        <v>702432.5</v>
      </c>
      <c r="M86" s="209" t="n">
        <f aca="false">-M67</f>
        <v>702432.5</v>
      </c>
      <c r="N86" s="209" t="n">
        <f aca="false">-N67</f>
        <v>702432.5</v>
      </c>
      <c r="O86" s="209" t="n">
        <f aca="false">-O67</f>
        <v>702432.5</v>
      </c>
      <c r="P86" s="209" t="n">
        <f aca="false">-P67</f>
        <v>702432.5</v>
      </c>
      <c r="Q86" s="209" t="n">
        <f aca="false">-Q67</f>
        <v>702432.5</v>
      </c>
      <c r="R86" s="209" t="n">
        <f aca="false">-R67</f>
        <v>702432.5</v>
      </c>
      <c r="S86" s="209" t="n">
        <f aca="false">-S67</f>
        <v>702432.5</v>
      </c>
      <c r="T86" s="209" t="n">
        <f aca="false">-T67</f>
        <v>702432.5</v>
      </c>
      <c r="U86" s="209" t="n">
        <f aca="false">-U67</f>
        <v>702432.5</v>
      </c>
      <c r="V86" s="209" t="n">
        <f aca="false">-V67</f>
        <v>702432.5</v>
      </c>
      <c r="W86" s="209" t="n">
        <f aca="false">-W67</f>
        <v>702432.5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1446272.9944</v>
      </c>
      <c r="E87" s="211" t="n">
        <f aca="false">SUM(E85:E86)</f>
        <v>1222455.44090667</v>
      </c>
      <c r="F87" s="211" t="n">
        <f aca="false">SUM(F85:F86)</f>
        <v>1230798.68741333</v>
      </c>
      <c r="G87" s="211" t="n">
        <f aca="false">SUM(G85:G86)</f>
        <v>1239141.93392</v>
      </c>
      <c r="H87" s="211" t="n">
        <f aca="false">SUM(H85:H86)</f>
        <v>1247485.18042667</v>
      </c>
      <c r="I87" s="211" t="n">
        <f aca="false">SUM(I85:I86)</f>
        <v>1255828.42693333</v>
      </c>
      <c r="J87" s="211" t="n">
        <f aca="false">SUM(J85:J86)</f>
        <v>1264171.67344</v>
      </c>
      <c r="K87" s="211" t="n">
        <f aca="false">SUM(K85:K86)</f>
        <v>1272514.91994667</v>
      </c>
      <c r="L87" s="211" t="n">
        <f aca="false">SUM(L85:L86)</f>
        <v>1280858.16645333</v>
      </c>
      <c r="M87" s="211" t="n">
        <f aca="false">SUM(M85:M86)</f>
        <v>1289201.41296</v>
      </c>
      <c r="N87" s="211" t="n">
        <f aca="false">SUM(N85:N86)</f>
        <v>1332432.65946667</v>
      </c>
      <c r="O87" s="211" t="n">
        <f aca="false">SUM(O85:O86)</f>
        <v>1340775.90597333</v>
      </c>
      <c r="P87" s="211" t="n">
        <f aca="false">SUM(P85:P86)</f>
        <v>1349119.15248</v>
      </c>
      <c r="Q87" s="211" t="n">
        <f aca="false">SUM(Q85:Q86)</f>
        <v>1357462.39898667</v>
      </c>
      <c r="R87" s="211" t="n">
        <f aca="false">SUM(R85:R86)</f>
        <v>1365805.64549333</v>
      </c>
      <c r="S87" s="211" t="n">
        <f aca="false">SUM(S85:S86)</f>
        <v>1374148.892</v>
      </c>
      <c r="T87" s="211" t="n">
        <f aca="false">SUM(T85:T86)</f>
        <v>1367147.2664</v>
      </c>
      <c r="U87" s="211" t="n">
        <f aca="false">SUM(U85:U86)</f>
        <v>1360145.6408</v>
      </c>
      <c r="V87" s="211" t="n">
        <f aca="false">SUM(V85:V86)</f>
        <v>1353144.0152</v>
      </c>
      <c r="W87" s="211" t="n">
        <f aca="false">SUM(W85:W86)</f>
        <v>1346142.3896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-14048650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11238920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-749261.333333333</v>
      </c>
      <c r="F93" s="217" t="n">
        <v>-749261.333333333</v>
      </c>
      <c r="G93" s="217" t="n">
        <v>-749261.333333333</v>
      </c>
      <c r="H93" s="217" t="n">
        <v>-749261.333333333</v>
      </c>
      <c r="I93" s="217" t="n">
        <v>-749261.333333333</v>
      </c>
      <c r="J93" s="217" t="n">
        <v>-749261.333333333</v>
      </c>
      <c r="K93" s="217" t="n">
        <v>-749261.333333333</v>
      </c>
      <c r="L93" s="217" t="n">
        <v>-749261.333333333</v>
      </c>
      <c r="M93" s="217" t="n">
        <v>-749261.333333333</v>
      </c>
      <c r="N93" s="217" t="n">
        <v>-749261.333333333</v>
      </c>
      <c r="O93" s="217" t="n">
        <v>-749261.333333333</v>
      </c>
      <c r="P93" s="217" t="n">
        <v>-749261.333333333</v>
      </c>
      <c r="Q93" s="217" t="n">
        <v>-749261.333333333</v>
      </c>
      <c r="R93" s="217" t="n">
        <v>-749261.333333333</v>
      </c>
      <c r="S93" s="217" t="n">
        <v>-749261.333333333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2809730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-669456.44496</v>
      </c>
      <c r="F95" s="153" t="n">
        <f aca="false">-E85*$D$33</f>
        <v>-468020.646816</v>
      </c>
      <c r="G95" s="153" t="n">
        <f aca="false">-F85*$D$33</f>
        <v>-475529.568672</v>
      </c>
      <c r="H95" s="153" t="n">
        <f aca="false">-G85*$D$33</f>
        <v>-483038.490528</v>
      </c>
      <c r="I95" s="153" t="n">
        <f aca="false">-H85*$D$33</f>
        <v>-490547.412384</v>
      </c>
      <c r="J95" s="153" t="n">
        <f aca="false">-I85*$D$33</f>
        <v>-498056.33424</v>
      </c>
      <c r="K95" s="153" t="n">
        <f aca="false">-J85*$D$33</f>
        <v>-505565.256096</v>
      </c>
      <c r="L95" s="153" t="n">
        <f aca="false">-K85*$D$33</f>
        <v>-513074.177952</v>
      </c>
      <c r="M95" s="153" t="n">
        <f aca="false">-L85*$D$33</f>
        <v>-520583.099808</v>
      </c>
      <c r="N95" s="153" t="n">
        <f aca="false">-M85*$D$33</f>
        <v>-528092.021664</v>
      </c>
      <c r="O95" s="153" t="n">
        <f aca="false">-N85*$D$33</f>
        <v>-567000.14352</v>
      </c>
      <c r="P95" s="153" t="n">
        <f aca="false">-O85*$D$33</f>
        <v>-574509.065376</v>
      </c>
      <c r="Q95" s="153" t="n">
        <f aca="false">-P85*$D$33</f>
        <v>-582017.987232</v>
      </c>
      <c r="R95" s="153" t="n">
        <f aca="false">-Q85*$D$33</f>
        <v>-589526.909088</v>
      </c>
      <c r="S95" s="153" t="n">
        <f aca="false">-R85*$D$33</f>
        <v>-597035.830944</v>
      </c>
      <c r="T95" s="153" t="n">
        <f aca="false">-S85*$D$33</f>
        <v>-604544.7528</v>
      </c>
      <c r="U95" s="153" t="n">
        <f aca="false">-T85*$D$33</f>
        <v>-598243.28976</v>
      </c>
      <c r="V95" s="153" t="n">
        <f aca="false">-U85*$D$33</f>
        <v>-591941.82672</v>
      </c>
      <c r="W95" s="153" t="n">
        <f aca="false">-V85*$D$33</f>
        <v>-585640.36368</v>
      </c>
      <c r="X95" s="153" t="n">
        <f aca="false">-W85*$D$33</f>
        <v>-579338.90064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-702432.5</v>
      </c>
      <c r="U96" s="220" t="n">
        <v>-702432.5</v>
      </c>
      <c r="V96" s="220" t="n">
        <v>-702432.5</v>
      </c>
      <c r="W96" s="220" t="n">
        <v>-702432.5</v>
      </c>
      <c r="X96" s="221" t="n">
        <f aca="false">-W101-X95</f>
        <v>-1224640.28032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1446272.9944</v>
      </c>
      <c r="E99" s="208" t="n">
        <f aca="false">SUM(E87:E96)</f>
        <v>-196262.337386667</v>
      </c>
      <c r="F99" s="208" t="n">
        <f aca="false">SUM(F87:F96)</f>
        <v>13516.7072640003</v>
      </c>
      <c r="G99" s="208" t="n">
        <f aca="false">SUM(G87:G96)</f>
        <v>14351.0319146668</v>
      </c>
      <c r="H99" s="208" t="n">
        <f aca="false">SUM(H87:H96)</f>
        <v>15185.3565653331</v>
      </c>
      <c r="I99" s="208" t="n">
        <f aca="false">SUM(I87:I96)</f>
        <v>16019.6812160001</v>
      </c>
      <c r="J99" s="208" t="n">
        <f aca="false">SUM(J87:J96)</f>
        <v>16854.0058666669</v>
      </c>
      <c r="K99" s="208" t="n">
        <f aca="false">SUM(K87:K96)</f>
        <v>17688.3305173335</v>
      </c>
      <c r="L99" s="208" t="n">
        <f aca="false">SUM(L87:L96)</f>
        <v>18522.6551679998</v>
      </c>
      <c r="M99" s="208" t="n">
        <f aca="false">SUM(M87:M96)</f>
        <v>19356.9798186667</v>
      </c>
      <c r="N99" s="208" t="n">
        <f aca="false">SUM(N87:N96)</f>
        <v>55079.3044693334</v>
      </c>
      <c r="O99" s="208" t="n">
        <f aca="false">SUM(O87:O96)</f>
        <v>24514.4291200002</v>
      </c>
      <c r="P99" s="208" t="n">
        <f aca="false">SUM(P87:P96)</f>
        <v>25348.7537706667</v>
      </c>
      <c r="Q99" s="208" t="n">
        <f aca="false">SUM(Q87:Q96)</f>
        <v>26183.0784213335</v>
      </c>
      <c r="R99" s="208" t="n">
        <f aca="false">SUM(R87:R96)</f>
        <v>27017.4030719999</v>
      </c>
      <c r="S99" s="208" t="n">
        <f aca="false">SUM(S87:S96)</f>
        <v>27851.7277226668</v>
      </c>
      <c r="T99" s="208" t="n">
        <f aca="false">SUM(T87:T96)</f>
        <v>60170.0136000002</v>
      </c>
      <c r="U99" s="208" t="n">
        <f aca="false">SUM(U87:U96)</f>
        <v>59469.8510400003</v>
      </c>
      <c r="V99" s="208" t="n">
        <f aca="false">SUM(V87:V96)</f>
        <v>58769.6884799998</v>
      </c>
      <c r="W99" s="208" t="n">
        <f aca="false">SUM(W87:W96)</f>
        <v>58069.52592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1446272.9944</v>
      </c>
      <c r="F100" s="208" t="n">
        <f aca="false">E101</f>
        <v>1250010.65701333</v>
      </c>
      <c r="G100" s="208" t="n">
        <f aca="false">F101</f>
        <v>1263527.36427733</v>
      </c>
      <c r="H100" s="208" t="n">
        <f aca="false">G101</f>
        <v>1277878.396192</v>
      </c>
      <c r="I100" s="208" t="n">
        <f aca="false">H101</f>
        <v>1293063.75275733</v>
      </c>
      <c r="J100" s="208" t="n">
        <f aca="false">I101</f>
        <v>1309083.43397333</v>
      </c>
      <c r="K100" s="208" t="n">
        <f aca="false">J101</f>
        <v>1325937.43984</v>
      </c>
      <c r="L100" s="208" t="n">
        <f aca="false">K101</f>
        <v>1343625.77035733</v>
      </c>
      <c r="M100" s="208" t="n">
        <f aca="false">L101</f>
        <v>1362148.42552533</v>
      </c>
      <c r="N100" s="208" t="n">
        <f aca="false">M101</f>
        <v>1381505.405344</v>
      </c>
      <c r="O100" s="208" t="n">
        <f aca="false">N101</f>
        <v>1436584.70981333</v>
      </c>
      <c r="P100" s="208" t="n">
        <f aca="false">O101</f>
        <v>1461099.13893333</v>
      </c>
      <c r="Q100" s="208" t="n">
        <f aca="false">P101</f>
        <v>1486447.892704</v>
      </c>
      <c r="R100" s="208" t="n">
        <f aca="false">Q101</f>
        <v>1512630.97112533</v>
      </c>
      <c r="S100" s="208" t="n">
        <f aca="false">R101</f>
        <v>1539648.37419733</v>
      </c>
      <c r="T100" s="208" t="n">
        <f aca="false">S101</f>
        <v>1567500.10192</v>
      </c>
      <c r="U100" s="208" t="n">
        <f aca="false">T101</f>
        <v>1627670.11552</v>
      </c>
      <c r="V100" s="208" t="n">
        <f aca="false">U101</f>
        <v>1687139.96656</v>
      </c>
      <c r="W100" s="208" t="n">
        <f aca="false">V101</f>
        <v>1745909.65504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1446272.9944</v>
      </c>
      <c r="E101" s="208" t="n">
        <f aca="false">E99+E100</f>
        <v>1250010.65701333</v>
      </c>
      <c r="F101" s="208" t="n">
        <f aca="false">F99+F100</f>
        <v>1263527.36427733</v>
      </c>
      <c r="G101" s="208" t="n">
        <f aca="false">G99+G100</f>
        <v>1277878.396192</v>
      </c>
      <c r="H101" s="208" t="n">
        <f aca="false">H99+H100</f>
        <v>1293063.75275733</v>
      </c>
      <c r="I101" s="208" t="n">
        <f aca="false">I99+I100</f>
        <v>1309083.43397333</v>
      </c>
      <c r="J101" s="208" t="n">
        <f aca="false">J99+J100</f>
        <v>1325937.43984</v>
      </c>
      <c r="K101" s="208" t="n">
        <f aca="false">K99+K100</f>
        <v>1343625.77035733</v>
      </c>
      <c r="L101" s="208" t="n">
        <f aca="false">L99+L100</f>
        <v>1362148.42552533</v>
      </c>
      <c r="M101" s="208" t="n">
        <f aca="false">M99+M100</f>
        <v>1381505.405344</v>
      </c>
      <c r="N101" s="208" t="n">
        <f aca="false">N99+N100</f>
        <v>1436584.70981333</v>
      </c>
      <c r="O101" s="208" t="n">
        <f aca="false">O99+O100</f>
        <v>1461099.13893333</v>
      </c>
      <c r="P101" s="208" t="n">
        <f aca="false">P99+P100</f>
        <v>1486447.892704</v>
      </c>
      <c r="Q101" s="208" t="n">
        <f aca="false">Q99+Q100</f>
        <v>1512630.97112533</v>
      </c>
      <c r="R101" s="208" t="n">
        <f aca="false">R99+R100</f>
        <v>1539648.37419733</v>
      </c>
      <c r="S101" s="208" t="n">
        <f aca="false">S99+S100</f>
        <v>1567500.10192</v>
      </c>
      <c r="T101" s="208" t="n">
        <f aca="false">T99+T100</f>
        <v>1627670.11552</v>
      </c>
      <c r="U101" s="208" t="n">
        <f aca="false">U99+U100</f>
        <v>1687139.96656</v>
      </c>
      <c r="V101" s="208" t="n">
        <f aca="false">V99+V100</f>
        <v>1745909.65504</v>
      </c>
      <c r="W101" s="208" t="n">
        <f aca="false">W99+W100</f>
        <v>1803979.18096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-2809730</v>
      </c>
      <c r="E104" s="211" t="n">
        <f aca="false">-E95-E96</f>
        <v>669456.44496</v>
      </c>
      <c r="F104" s="211" t="n">
        <f aca="false">-F95-F96</f>
        <v>468020.646816</v>
      </c>
      <c r="G104" s="211" t="n">
        <f aca="false">-G95-G96</f>
        <v>475529.568672</v>
      </c>
      <c r="H104" s="211" t="n">
        <f aca="false">-H95-H96</f>
        <v>483038.490528</v>
      </c>
      <c r="I104" s="211" t="n">
        <f aca="false">-I95-I96</f>
        <v>490547.412384</v>
      </c>
      <c r="J104" s="211" t="n">
        <f aca="false">-J95-J96</f>
        <v>498056.33424</v>
      </c>
      <c r="K104" s="211" t="n">
        <f aca="false">-K95-K96</f>
        <v>505565.256096</v>
      </c>
      <c r="L104" s="211" t="n">
        <f aca="false">-L95-L96</f>
        <v>513074.177952</v>
      </c>
      <c r="M104" s="211" t="n">
        <f aca="false">-M95-M96</f>
        <v>520583.099808</v>
      </c>
      <c r="N104" s="211" t="n">
        <f aca="false">-N95-N96</f>
        <v>528092.021664</v>
      </c>
      <c r="O104" s="211" t="n">
        <f aca="false">-O95-O96</f>
        <v>567000.14352</v>
      </c>
      <c r="P104" s="211" t="n">
        <f aca="false">-P95-P96</f>
        <v>574509.065376</v>
      </c>
      <c r="Q104" s="211" t="n">
        <f aca="false">-Q95-Q96</f>
        <v>582017.987232</v>
      </c>
      <c r="R104" s="211" t="n">
        <f aca="false">-R95-R96</f>
        <v>589526.909088</v>
      </c>
      <c r="S104" s="211" t="n">
        <f aca="false">-S95-S96</f>
        <v>597035.830944</v>
      </c>
      <c r="T104" s="211" t="n">
        <f aca="false">-T95-T96</f>
        <v>1306977.2528</v>
      </c>
      <c r="U104" s="211" t="n">
        <f aca="false">-U95-U96</f>
        <v>1300675.78976</v>
      </c>
      <c r="V104" s="211" t="n">
        <f aca="false">-V95-V96</f>
        <v>1294374.32672</v>
      </c>
      <c r="W104" s="211" t="n">
        <f aca="false">-W95-W96</f>
        <v>1288072.86368</v>
      </c>
      <c r="X104" s="211" t="n">
        <f aca="false">-X95-X96</f>
        <v>1803979.18096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0.195620913197466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-2065889.5056</v>
      </c>
      <c r="E106" s="211" t="n">
        <f aca="false">E85</f>
        <v>520022.940906666</v>
      </c>
      <c r="F106" s="211" t="n">
        <f aca="false">F85-F96</f>
        <v>528366.187413333</v>
      </c>
      <c r="G106" s="211" t="n">
        <f aca="false">G85-G96</f>
        <v>536709.43392</v>
      </c>
      <c r="H106" s="211" t="n">
        <f aca="false">H85-H96</f>
        <v>545052.680426667</v>
      </c>
      <c r="I106" s="211" t="n">
        <f aca="false">I85-I96</f>
        <v>553395.926933333</v>
      </c>
      <c r="J106" s="211" t="n">
        <f aca="false">J85-J96</f>
        <v>561739.17344</v>
      </c>
      <c r="K106" s="211" t="n">
        <f aca="false">K85-K96</f>
        <v>570082.419946667</v>
      </c>
      <c r="L106" s="211" t="n">
        <f aca="false">L85-L96</f>
        <v>578425.666453333</v>
      </c>
      <c r="M106" s="211" t="n">
        <f aca="false">M85-M96</f>
        <v>586768.91296</v>
      </c>
      <c r="N106" s="211" t="n">
        <f aca="false">N85-N96</f>
        <v>630000.159466666</v>
      </c>
      <c r="O106" s="211" t="n">
        <f aca="false">O85-O96</f>
        <v>638343.405973333</v>
      </c>
      <c r="P106" s="211" t="n">
        <f aca="false">P85-P96</f>
        <v>646686.65248</v>
      </c>
      <c r="Q106" s="211" t="n">
        <f aca="false">Q85-Q96</f>
        <v>655029.898986667</v>
      </c>
      <c r="R106" s="211" t="n">
        <f aca="false">R85-R96</f>
        <v>663373.145493333</v>
      </c>
      <c r="S106" s="211" t="n">
        <f aca="false">S85-S96</f>
        <v>671716.392</v>
      </c>
      <c r="T106" s="211" t="n">
        <f aca="false">T85-T96</f>
        <v>1367147.2664</v>
      </c>
      <c r="U106" s="211" t="n">
        <f aca="false">U85-U96</f>
        <v>1360145.6408</v>
      </c>
      <c r="V106" s="211" t="n">
        <f aca="false">V85-V96</f>
        <v>1353144.0152</v>
      </c>
      <c r="W106" s="211" t="n">
        <f aca="false">W85-W96</f>
        <v>1346142.3896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0.270305160774522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11238920</v>
      </c>
      <c r="E109" s="208" t="n">
        <f aca="false">D109+E93</f>
        <v>10489658.6666667</v>
      </c>
      <c r="F109" s="208" t="n">
        <f aca="false">E109+F93</f>
        <v>9740397.33333333</v>
      </c>
      <c r="G109" s="208" t="n">
        <f aca="false">F109+G93</f>
        <v>8991136</v>
      </c>
      <c r="H109" s="208" t="n">
        <f aca="false">G109+H93</f>
        <v>8241874.66666667</v>
      </c>
      <c r="I109" s="208" t="n">
        <f aca="false">H109+I93</f>
        <v>7492613.33333333</v>
      </c>
      <c r="J109" s="208" t="n">
        <f aca="false">I109+J93</f>
        <v>6743352</v>
      </c>
      <c r="K109" s="208" t="n">
        <f aca="false">J109+K93</f>
        <v>5994090.66666667</v>
      </c>
      <c r="L109" s="208" t="n">
        <f aca="false">K109+L93</f>
        <v>5244829.33333334</v>
      </c>
      <c r="M109" s="208" t="n">
        <f aca="false">L109+M93</f>
        <v>4495568</v>
      </c>
      <c r="N109" s="208" t="n">
        <f aca="false">M109+N93</f>
        <v>3746306.66666667</v>
      </c>
      <c r="O109" s="208" t="n">
        <f aca="false">N109+O93</f>
        <v>2997045.33333334</v>
      </c>
      <c r="P109" s="208" t="n">
        <f aca="false">O109+P93</f>
        <v>2247784</v>
      </c>
      <c r="Q109" s="208" t="n">
        <f aca="false">P109+Q93</f>
        <v>1498522.66666667</v>
      </c>
      <c r="R109" s="208" t="n">
        <f aca="false">Q109+R93</f>
        <v>749261.333333335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7"/>
    <col collapsed="false" customWidth="true" hidden="false" outlineLevel="0" max="5" min="4" style="0" width="37"/>
    <col collapsed="false" customWidth="true" hidden="false" outlineLevel="0" max="6" min="6" style="0" width="50"/>
    <col collapsed="false" customWidth="true" hidden="false" outlineLevel="0" max="12" min="7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2" t="s">
        <v>103</v>
      </c>
      <c r="C1" s="162"/>
      <c r="D1" s="162"/>
      <c r="E1" s="163"/>
      <c r="F1" s="3" t="s">
        <v>1</v>
      </c>
      <c r="P1" s="164" t="n">
        <f aca="false">1-D11</f>
        <v>0.99</v>
      </c>
      <c r="Q1" s="164" t="n">
        <f aca="false">P1-$D12</f>
        <v>0.986</v>
      </c>
      <c r="R1" s="164" t="n">
        <f aca="false">Q1-$D12</f>
        <v>0.982</v>
      </c>
      <c r="S1" s="164" t="n">
        <f aca="false">R1-$D12</f>
        <v>0.978</v>
      </c>
      <c r="T1" s="164" t="n">
        <f aca="false">S1-$D12</f>
        <v>0.974</v>
      </c>
      <c r="U1" s="164" t="n">
        <f aca="false">T1-$D12</f>
        <v>0.97</v>
      </c>
      <c r="V1" s="164" t="n">
        <f aca="false">U1-$D12</f>
        <v>0.966</v>
      </c>
      <c r="W1" s="164" t="n">
        <f aca="false">V1-$D12</f>
        <v>0.962</v>
      </c>
      <c r="X1" s="164" t="n">
        <f aca="false">W1-$D12</f>
        <v>0.958</v>
      </c>
      <c r="Y1" s="164" t="n">
        <f aca="false">X1-$D12</f>
        <v>0.954</v>
      </c>
      <c r="Z1" s="164" t="n">
        <f aca="false">Y1-$D12</f>
        <v>0.95</v>
      </c>
      <c r="AA1" s="164" t="n">
        <f aca="false">Z1-$D12</f>
        <v>0.946</v>
      </c>
      <c r="AB1" s="164" t="n">
        <f aca="false">AA1-$D12</f>
        <v>0.942</v>
      </c>
      <c r="AC1" s="164" t="n">
        <f aca="false">AB1-$D12</f>
        <v>0.938</v>
      </c>
      <c r="AD1" s="164" t="n">
        <f aca="false">AC1-$D12</f>
        <v>0.934</v>
      </c>
      <c r="AE1" s="164" t="n">
        <f aca="false">AD1-$D12</f>
        <v>0.93</v>
      </c>
      <c r="AF1" s="164" t="n">
        <f aca="false">AE1-$D12</f>
        <v>0.926</v>
      </c>
      <c r="AG1" s="164" t="n">
        <f aca="false">AF1-$D12</f>
        <v>0.922</v>
      </c>
      <c r="AH1" s="164" t="n">
        <f aca="false">AG1-$D12</f>
        <v>0.918</v>
      </c>
      <c r="AI1" s="164" t="n">
        <f aca="false">AH1-$D12</f>
        <v>0.914</v>
      </c>
    </row>
    <row r="2" customFormat="false" ht="21.75" hidden="false" customHeight="true" outlineLevel="0" collapsed="false">
      <c r="B2" s="39" t="s">
        <v>2</v>
      </c>
      <c r="C2" s="40" t="s">
        <v>3</v>
      </c>
      <c r="D2" s="7" t="s">
        <v>4</v>
      </c>
      <c r="E2" s="8" t="s">
        <v>4</v>
      </c>
      <c r="F2" s="41" t="s">
        <v>5</v>
      </c>
    </row>
    <row r="3" customFormat="false" ht="21.75" hidden="false" customHeight="true" outlineLevel="0" collapsed="false">
      <c r="B3" s="42" t="s">
        <v>6</v>
      </c>
      <c r="C3" s="43" t="n">
        <v>20</v>
      </c>
      <c r="D3" s="12" t="s">
        <v>4</v>
      </c>
      <c r="E3" s="13" t="s">
        <v>4</v>
      </c>
      <c r="F3" s="9" t="s">
        <v>234</v>
      </c>
    </row>
    <row r="4" customFormat="false" ht="21.75" hidden="false" customHeight="true" outlineLevel="0" collapsed="false">
      <c r="B4" s="42" t="s">
        <v>235</v>
      </c>
      <c r="C4" s="43" t="n">
        <v>436.1</v>
      </c>
      <c r="D4" s="12" t="s">
        <v>4</v>
      </c>
      <c r="E4" s="13" t="s">
        <v>4</v>
      </c>
      <c r="F4" s="9" t="s">
        <v>236</v>
      </c>
      <c r="M4" s="0" t="s">
        <v>297</v>
      </c>
    </row>
    <row r="5" customFormat="false" ht="22.5" hidden="false" customHeight="true" outlineLevel="0" collapsed="false">
      <c r="B5" s="44" t="s">
        <v>10</v>
      </c>
      <c r="C5" s="43" t="n">
        <v>2020</v>
      </c>
      <c r="D5" s="44" t="s">
        <v>11</v>
      </c>
      <c r="E5" s="45" t="n">
        <v>2039</v>
      </c>
      <c r="F5" s="9" t="s">
        <v>238</v>
      </c>
      <c r="M5" s="0" t="s">
        <v>230</v>
      </c>
    </row>
    <row r="6" customFormat="false" ht="20.25" hidden="false" customHeight="true" outlineLevel="0" collapsed="false">
      <c r="B6" s="14"/>
      <c r="C6" s="14"/>
      <c r="D6" s="14"/>
      <c r="E6" s="14"/>
      <c r="M6" s="0" t="s">
        <v>231</v>
      </c>
    </row>
    <row r="7" customFormat="false" ht="22.5" hidden="false" customHeight="true" outlineLevel="0" collapsed="false">
      <c r="B7" s="2" t="s">
        <v>107</v>
      </c>
      <c r="C7" s="162"/>
      <c r="D7" s="162"/>
      <c r="E7" s="163"/>
      <c r="M7" s="0" t="s">
        <v>298</v>
      </c>
    </row>
    <row r="8" customFormat="false" ht="22.5" hidden="false" customHeight="true" outlineLevel="0" collapsed="false">
      <c r="B8" s="16" t="s">
        <v>14</v>
      </c>
      <c r="E8" s="165"/>
      <c r="M8" s="0" t="s">
        <v>299</v>
      </c>
    </row>
    <row r="9" customFormat="false" ht="22.5" hidden="false" customHeight="true" outlineLevel="0" collapsed="false">
      <c r="B9" s="47" t="s">
        <v>15</v>
      </c>
      <c r="C9" s="48" t="s">
        <v>16</v>
      </c>
      <c r="D9" s="48" t="s">
        <v>17</v>
      </c>
      <c r="E9" s="49" t="s">
        <v>18</v>
      </c>
      <c r="F9" s="3" t="s">
        <v>1</v>
      </c>
      <c r="M9" s="0" t="s">
        <v>110</v>
      </c>
    </row>
    <row r="10" customFormat="false" ht="30" hidden="false" customHeight="true" outlineLevel="0" collapsed="false">
      <c r="B10" s="50" t="s">
        <v>19</v>
      </c>
      <c r="C10" s="51" t="s">
        <v>241</v>
      </c>
      <c r="D10" s="52" t="n">
        <v>547002</v>
      </c>
      <c r="E10" s="22" t="n">
        <v>20</v>
      </c>
      <c r="F10" s="9" t="s">
        <v>242</v>
      </c>
      <c r="M10" s="0" t="s">
        <v>102</v>
      </c>
    </row>
    <row r="11" customFormat="false" ht="30" hidden="false" customHeight="true" outlineLevel="0" collapsed="false">
      <c r="B11" s="166"/>
      <c r="C11" s="44" t="s">
        <v>22</v>
      </c>
      <c r="D11" s="54" t="n">
        <v>0.01</v>
      </c>
      <c r="E11" s="167"/>
      <c r="F11" s="9" t="s">
        <v>243</v>
      </c>
    </row>
    <row r="12" customFormat="false" ht="30" hidden="false" customHeight="true" outlineLevel="0" collapsed="false">
      <c r="B12" s="166"/>
      <c r="C12" s="44" t="s">
        <v>24</v>
      </c>
      <c r="D12" s="56" t="n">
        <v>0.004</v>
      </c>
      <c r="E12" s="167"/>
      <c r="F12" s="9" t="s">
        <v>244</v>
      </c>
    </row>
    <row r="13" customFormat="false" ht="22.5" hidden="false" customHeight="true" outlineLevel="0" collapsed="false">
      <c r="B13" s="166"/>
      <c r="C13" s="57" t="s">
        <v>245</v>
      </c>
      <c r="D13" s="58" t="n">
        <v>4</v>
      </c>
      <c r="E13" s="167"/>
      <c r="F13" s="9" t="s">
        <v>246</v>
      </c>
    </row>
    <row r="14" customFormat="false" ht="22.5" hidden="false" customHeight="true" outlineLevel="0" collapsed="false">
      <c r="B14" s="27" t="s">
        <v>112</v>
      </c>
      <c r="C14" s="162"/>
      <c r="D14" s="162"/>
      <c r="E14" s="163"/>
    </row>
    <row r="15" customFormat="false" ht="22.5" hidden="false" customHeight="true" outlineLevel="0" collapsed="false">
      <c r="B15" s="47" t="s">
        <v>15</v>
      </c>
      <c r="C15" s="48" t="s">
        <v>16</v>
      </c>
      <c r="D15" s="48" t="s">
        <v>17</v>
      </c>
      <c r="E15" s="49" t="s">
        <v>29</v>
      </c>
      <c r="F15" s="3" t="s">
        <v>1</v>
      </c>
    </row>
    <row r="16" customFormat="false" ht="21.75" hidden="false" customHeight="true" outlineLevel="0" collapsed="false">
      <c r="B16" s="51" t="s">
        <v>247</v>
      </c>
      <c r="C16" s="51" t="s">
        <v>248</v>
      </c>
      <c r="D16" s="59" t="n">
        <v>20000</v>
      </c>
      <c r="E16" s="8" t="n">
        <v>20</v>
      </c>
      <c r="F16" s="9" t="s">
        <v>249</v>
      </c>
    </row>
    <row r="17" customFormat="false" ht="21.75" hidden="false" customHeight="true" outlineLevel="0" collapsed="false">
      <c r="B17" s="166"/>
      <c r="C17" s="44" t="s">
        <v>250</v>
      </c>
      <c r="D17" s="60" t="n">
        <v>0.3</v>
      </c>
      <c r="E17" s="167"/>
      <c r="F17" s="9" t="s">
        <v>251</v>
      </c>
    </row>
    <row r="18" customFormat="false" ht="21.75" hidden="false" customHeight="true" outlineLevel="0" collapsed="false">
      <c r="B18" s="168"/>
      <c r="C18" s="44" t="s">
        <v>35</v>
      </c>
      <c r="D18" s="62" t="n">
        <v>1500</v>
      </c>
      <c r="E18" s="169"/>
      <c r="F18" s="9" t="s">
        <v>252</v>
      </c>
    </row>
    <row r="19" customFormat="false" ht="54" hidden="false" customHeight="true" outlineLevel="0" collapsed="false">
      <c r="B19" s="44" t="s">
        <v>37</v>
      </c>
      <c r="C19" s="64" t="s">
        <v>38</v>
      </c>
      <c r="D19" s="60" t="n">
        <v>1</v>
      </c>
      <c r="E19" s="8" t="n">
        <v>20</v>
      </c>
      <c r="F19" s="9" t="s">
        <v>253</v>
      </c>
    </row>
    <row r="20" customFormat="false" ht="20.25" hidden="false" customHeight="true" outlineLevel="0" collapsed="false">
      <c r="B20" s="166"/>
      <c r="C20" s="65" t="s">
        <v>254</v>
      </c>
      <c r="D20" s="62" t="n">
        <v>290201</v>
      </c>
      <c r="E20" s="8" t="n">
        <v>20</v>
      </c>
      <c r="F20" s="9" t="s">
        <v>255</v>
      </c>
    </row>
    <row r="21" customFormat="false" ht="30" hidden="false" customHeight="true" outlineLevel="0" collapsed="false">
      <c r="B21" s="168"/>
      <c r="C21" s="44" t="s">
        <v>256</v>
      </c>
      <c r="D21" s="60" t="n">
        <v>0</v>
      </c>
      <c r="E21" s="13" t="n">
        <v>20</v>
      </c>
      <c r="F21" s="9" t="s">
        <v>257</v>
      </c>
    </row>
    <row r="22" customFormat="false" ht="30" hidden="false" customHeight="true" outlineLevel="0" collapsed="false">
      <c r="B22" s="44" t="s">
        <v>44</v>
      </c>
      <c r="C22" s="44" t="s">
        <v>258</v>
      </c>
      <c r="D22" s="66" t="n">
        <v>400</v>
      </c>
      <c r="E22" s="13" t="n">
        <v>20</v>
      </c>
      <c r="F22" s="9" t="s">
        <v>259</v>
      </c>
    </row>
    <row r="23" customFormat="false" ht="30" hidden="false" customHeight="true" outlineLevel="0" collapsed="false">
      <c r="B23" s="44" t="s">
        <v>47</v>
      </c>
      <c r="C23" s="44" t="s">
        <v>48</v>
      </c>
      <c r="D23" s="60" t="n">
        <v>0.003</v>
      </c>
      <c r="E23" s="13" t="n">
        <v>20</v>
      </c>
      <c r="F23" s="9" t="s">
        <v>260</v>
      </c>
    </row>
    <row r="24" customFormat="false" ht="30" hidden="false" customHeight="true" outlineLevel="0" collapsed="false">
      <c r="B24" s="44" t="s">
        <v>50</v>
      </c>
      <c r="C24" s="44" t="s">
        <v>261</v>
      </c>
      <c r="D24" s="66" t="n">
        <v>1000</v>
      </c>
      <c r="E24" s="32" t="n">
        <v>10</v>
      </c>
      <c r="F24" s="9" t="s">
        <v>262</v>
      </c>
    </row>
    <row r="25" customFormat="false" ht="30" hidden="false" customHeight="true" outlineLevel="0" collapsed="false">
      <c r="B25" s="44" t="s">
        <v>53</v>
      </c>
      <c r="C25" s="44" t="s">
        <v>54</v>
      </c>
      <c r="D25" s="67" t="n">
        <v>0.0256</v>
      </c>
      <c r="E25" s="13" t="n">
        <v>20</v>
      </c>
      <c r="F25" s="9" t="s">
        <v>263</v>
      </c>
    </row>
    <row r="26" customFormat="false" ht="30" hidden="false" customHeight="true" outlineLevel="0" collapsed="false">
      <c r="B26" s="44" t="s">
        <v>56</v>
      </c>
      <c r="C26" s="44" t="s">
        <v>57</v>
      </c>
      <c r="D26" s="60" t="n">
        <v>0.2</v>
      </c>
      <c r="E26" s="13" t="n">
        <v>20</v>
      </c>
      <c r="F26" s="9" t="s">
        <v>264</v>
      </c>
    </row>
    <row r="27" customFormat="false" ht="20.25" hidden="false" customHeight="true" outlineLevel="0" collapsed="false">
      <c r="B27" s="14"/>
      <c r="C27" s="14"/>
      <c r="D27" s="14"/>
      <c r="E27" s="14"/>
    </row>
    <row r="28" customFormat="false" ht="20.25" hidden="false" customHeight="true" outlineLevel="0" collapsed="false">
      <c r="B28" s="14"/>
      <c r="C28" s="14"/>
      <c r="D28" s="14"/>
      <c r="E28" s="14"/>
    </row>
    <row r="29" customFormat="false" ht="22.5" hidden="false" customHeight="true" outlineLevel="0" collapsed="false">
      <c r="B29" s="2" t="s">
        <v>113</v>
      </c>
      <c r="C29" s="162"/>
      <c r="D29" s="163"/>
      <c r="E29" s="14"/>
    </row>
    <row r="30" customFormat="false" ht="22.5" hidden="false" customHeight="true" outlineLevel="0" collapsed="false">
      <c r="B30" s="47" t="s">
        <v>60</v>
      </c>
      <c r="C30" s="68" t="s">
        <v>16</v>
      </c>
      <c r="D30" s="69" t="s">
        <v>17</v>
      </c>
      <c r="E30" s="14"/>
      <c r="F30" s="3" t="s">
        <v>1</v>
      </c>
    </row>
    <row r="31" customFormat="false" ht="30" hidden="false" customHeight="true" outlineLevel="0" collapsed="false">
      <c r="B31" s="51" t="s">
        <v>61</v>
      </c>
      <c r="C31" s="39" t="s">
        <v>62</v>
      </c>
      <c r="D31" s="70" t="n">
        <v>0.8</v>
      </c>
      <c r="E31" s="14"/>
      <c r="F31" s="9" t="s">
        <v>265</v>
      </c>
    </row>
    <row r="32" customFormat="false" ht="18.75" hidden="false" customHeight="true" outlineLevel="0" collapsed="false">
      <c r="B32" s="51" t="s">
        <v>64</v>
      </c>
      <c r="C32" s="39" t="s">
        <v>65</v>
      </c>
      <c r="D32" s="70" t="n">
        <v>15</v>
      </c>
      <c r="E32" s="14"/>
      <c r="F32" s="9" t="s">
        <v>266</v>
      </c>
    </row>
    <row r="33" customFormat="false" ht="18.75" hidden="false" customHeight="true" outlineLevel="0" collapsed="false">
      <c r="B33" s="44" t="s">
        <v>67</v>
      </c>
      <c r="C33" s="42" t="s">
        <v>68</v>
      </c>
      <c r="D33" s="60" t="n">
        <v>0.9</v>
      </c>
      <c r="E33" s="14"/>
      <c r="F33" s="9" t="s">
        <v>267</v>
      </c>
    </row>
    <row r="34" customFormat="false" ht="30" hidden="false" customHeight="true" outlineLevel="0" collapsed="false">
      <c r="B34" s="44" t="s">
        <v>70</v>
      </c>
      <c r="C34" s="42" t="s">
        <v>65</v>
      </c>
      <c r="D34" s="60" t="n">
        <v>4</v>
      </c>
      <c r="E34" s="14"/>
      <c r="F34" s="9" t="s">
        <v>268</v>
      </c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71"/>
      <c r="C37" s="72" t="s">
        <v>114</v>
      </c>
      <c r="D37" s="72" t="n">
        <v>2020</v>
      </c>
      <c r="E37" s="72" t="n">
        <v>2021</v>
      </c>
      <c r="F37" s="72" t="n">
        <v>2022</v>
      </c>
      <c r="G37" s="72" t="n">
        <v>2023</v>
      </c>
      <c r="H37" s="72" t="n">
        <v>2024</v>
      </c>
      <c r="I37" s="72" t="n">
        <v>2025</v>
      </c>
      <c r="J37" s="72" t="n">
        <v>2026</v>
      </c>
      <c r="K37" s="72" t="n">
        <v>2027</v>
      </c>
      <c r="L37" s="72" t="n">
        <v>2028</v>
      </c>
      <c r="M37" s="72" t="n">
        <v>2029</v>
      </c>
      <c r="N37" s="72" t="n">
        <v>2030</v>
      </c>
      <c r="O37" s="72" t="n">
        <v>2031</v>
      </c>
      <c r="P37" s="72" t="n">
        <v>2032</v>
      </c>
      <c r="Q37" s="72" t="n">
        <v>2033</v>
      </c>
      <c r="R37" s="72" t="n">
        <v>2034</v>
      </c>
      <c r="S37" s="72" t="n">
        <v>2035</v>
      </c>
      <c r="T37" s="72" t="n">
        <v>2036</v>
      </c>
      <c r="U37" s="72" t="n">
        <v>2037</v>
      </c>
      <c r="V37" s="72" t="n">
        <v>2038</v>
      </c>
      <c r="W37" s="72" t="n">
        <v>2039</v>
      </c>
      <c r="X37" s="72"/>
    </row>
    <row r="38" customFormat="false" ht="18.75" hidden="false" customHeight="true" outlineLevel="0" collapsed="false">
      <c r="B38" s="73" t="n">
        <v>0</v>
      </c>
      <c r="C38" s="74"/>
      <c r="D38" s="75"/>
      <c r="E38" s="75"/>
      <c r="F38" s="76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8"/>
      <c r="U38" s="77"/>
      <c r="V38" s="77"/>
      <c r="W38" s="77"/>
      <c r="X38" s="79"/>
    </row>
    <row r="39" customFormat="false" ht="18.75" hidden="false" customHeight="true" outlineLevel="0" collapsed="false">
      <c r="B39" s="80" t="s">
        <v>115</v>
      </c>
      <c r="C39" s="81" t="n">
        <v>0</v>
      </c>
      <c r="D39" s="82" t="n">
        <v>1</v>
      </c>
      <c r="E39" s="82" t="n">
        <v>2</v>
      </c>
      <c r="F39" s="82" t="n">
        <v>3</v>
      </c>
      <c r="G39" s="82" t="n">
        <v>4</v>
      </c>
      <c r="H39" s="82" t="n">
        <v>5</v>
      </c>
      <c r="I39" s="82" t="n">
        <v>6</v>
      </c>
      <c r="J39" s="82" t="n">
        <v>7</v>
      </c>
      <c r="K39" s="82" t="n">
        <v>8</v>
      </c>
      <c r="L39" s="82" t="n">
        <v>9</v>
      </c>
      <c r="M39" s="82" t="n">
        <v>10</v>
      </c>
      <c r="N39" s="82" t="n">
        <v>11</v>
      </c>
      <c r="O39" s="82" t="n">
        <v>12</v>
      </c>
      <c r="P39" s="82" t="n">
        <v>13</v>
      </c>
      <c r="Q39" s="82" t="n">
        <v>14</v>
      </c>
      <c r="R39" s="82" t="n">
        <v>15</v>
      </c>
      <c r="S39" s="82" t="n">
        <v>16</v>
      </c>
      <c r="T39" s="83" t="n">
        <v>17</v>
      </c>
      <c r="U39" s="82" t="n">
        <v>18</v>
      </c>
      <c r="V39" s="82" t="n">
        <v>19</v>
      </c>
      <c r="W39" s="82" t="n">
        <v>20</v>
      </c>
      <c r="X39" s="84"/>
    </row>
    <row r="40" customFormat="false" ht="18.75" hidden="false" customHeight="true" outlineLevel="0" collapsed="false">
      <c r="B40" s="85" t="s">
        <v>269</v>
      </c>
      <c r="C40" s="86" t="n">
        <v>0</v>
      </c>
      <c r="D40" s="87" t="n">
        <f aca="false">$D$10*P1</f>
        <v>541531.98</v>
      </c>
      <c r="E40" s="87" t="n">
        <f aca="false">$D$10*Q1</f>
        <v>539343.972</v>
      </c>
      <c r="F40" s="87" t="n">
        <f aca="false">$D$10*R1</f>
        <v>537155.964</v>
      </c>
      <c r="G40" s="87" t="n">
        <f aca="false">$D$10*S1</f>
        <v>534967.956</v>
      </c>
      <c r="H40" s="87" t="n">
        <f aca="false">$D$10*T1</f>
        <v>532779.948</v>
      </c>
      <c r="I40" s="87" t="n">
        <f aca="false">$D$10*U1</f>
        <v>530591.94</v>
      </c>
      <c r="J40" s="87" t="n">
        <f aca="false">$D$10*V1</f>
        <v>528403.932</v>
      </c>
      <c r="K40" s="87" t="n">
        <f aca="false">$D$10*W1</f>
        <v>526215.924</v>
      </c>
      <c r="L40" s="87" t="n">
        <f aca="false">$D$10*X1</f>
        <v>524027.916</v>
      </c>
      <c r="M40" s="87" t="n">
        <f aca="false">$D$10*Y1</f>
        <v>521839.908</v>
      </c>
      <c r="N40" s="87" t="n">
        <f aca="false">$D$10*Z1</f>
        <v>519651.9</v>
      </c>
      <c r="O40" s="87" t="n">
        <f aca="false">$D$10*AA1</f>
        <v>517463.892</v>
      </c>
      <c r="P40" s="87" t="n">
        <f aca="false">$D$10*AB1</f>
        <v>515275.884</v>
      </c>
      <c r="Q40" s="87" t="n">
        <f aca="false">$D$10*AC1</f>
        <v>513087.876</v>
      </c>
      <c r="R40" s="87" t="n">
        <f aca="false">$D$10*AD1</f>
        <v>510899.868</v>
      </c>
      <c r="S40" s="87" t="n">
        <f aca="false">$D$10*AE1</f>
        <v>508711.86</v>
      </c>
      <c r="T40" s="87" t="n">
        <f aca="false">$D$10*AF1</f>
        <v>506523.852</v>
      </c>
      <c r="U40" s="87" t="n">
        <f aca="false">$D$10*AG1</f>
        <v>504335.844</v>
      </c>
      <c r="V40" s="87" t="n">
        <f aca="false">$D$10*AH1</f>
        <v>502147.836</v>
      </c>
      <c r="W40" s="87" t="n">
        <f aca="false">$D$10*AI1</f>
        <v>499959.828</v>
      </c>
      <c r="X40" s="88"/>
    </row>
    <row r="41" customFormat="false" ht="18.75" hidden="false" customHeight="true" outlineLevel="0" collapsed="false">
      <c r="B41" s="170" t="s">
        <v>117</v>
      </c>
      <c r="C41" s="171" t="s">
        <v>4</v>
      </c>
      <c r="D41" s="172" t="n">
        <f aca="false">D40*$D$13</f>
        <v>2166127.92</v>
      </c>
      <c r="E41" s="172" t="n">
        <f aca="false">E40*$D$13</f>
        <v>2157375.888</v>
      </c>
      <c r="F41" s="172" t="n">
        <f aca="false">F40*$D$13</f>
        <v>2148623.856</v>
      </c>
      <c r="G41" s="172" t="n">
        <f aca="false">G40*$D$13</f>
        <v>2139871.824</v>
      </c>
      <c r="H41" s="172" t="n">
        <f aca="false">H40*$D$13</f>
        <v>2131119.792</v>
      </c>
      <c r="I41" s="172" t="n">
        <f aca="false">I40*$D$13</f>
        <v>2122367.76</v>
      </c>
      <c r="J41" s="172" t="n">
        <f aca="false">J40*$D$13</f>
        <v>2113615.728</v>
      </c>
      <c r="K41" s="172" t="n">
        <f aca="false">K40*$D$13</f>
        <v>2104863.696</v>
      </c>
      <c r="L41" s="172" t="n">
        <f aca="false">L40*$D$13</f>
        <v>2096111.664</v>
      </c>
      <c r="M41" s="172" t="n">
        <f aca="false">M40*$D$13</f>
        <v>2087359.632</v>
      </c>
      <c r="N41" s="172" t="n">
        <f aca="false">N40*$D$13</f>
        <v>2078607.6</v>
      </c>
      <c r="O41" s="172" t="n">
        <f aca="false">O40*$D$13</f>
        <v>2069855.568</v>
      </c>
      <c r="P41" s="172" t="n">
        <f aca="false">P40*$D$13</f>
        <v>2061103.536</v>
      </c>
      <c r="Q41" s="172" t="n">
        <f aca="false">Q40*$D$13</f>
        <v>2052351.504</v>
      </c>
      <c r="R41" s="172" t="n">
        <f aca="false">R40*$D$13</f>
        <v>2043599.472</v>
      </c>
      <c r="S41" s="172" t="n">
        <f aca="false">S40*$D$13</f>
        <v>2034847.44</v>
      </c>
      <c r="T41" s="172" t="n">
        <f aca="false">T40*$D$13</f>
        <v>2026095.408</v>
      </c>
      <c r="U41" s="172" t="n">
        <f aca="false">U40*$D$13</f>
        <v>2017343.376</v>
      </c>
      <c r="V41" s="172" t="n">
        <f aca="false">V40*$D$13</f>
        <v>2008591.344</v>
      </c>
      <c r="W41" s="172" t="n">
        <f aca="false">W40*$D$13</f>
        <v>1999839.312</v>
      </c>
      <c r="X41" s="173"/>
    </row>
    <row r="42" customFormat="false" ht="18.75" hidden="false" customHeight="true" outlineLevel="0" collapsed="false">
      <c r="B42" s="174" t="s">
        <v>118</v>
      </c>
      <c r="C42" s="175" t="s">
        <v>4</v>
      </c>
      <c r="D42" s="176"/>
      <c r="E42" s="176"/>
      <c r="F42" s="176"/>
      <c r="G42" s="177" t="s">
        <v>4</v>
      </c>
      <c r="H42" s="177" t="s">
        <v>4</v>
      </c>
      <c r="I42" s="177" t="s">
        <v>4</v>
      </c>
      <c r="J42" s="177" t="s">
        <v>4</v>
      </c>
      <c r="K42" s="177" t="s">
        <v>4</v>
      </c>
      <c r="L42" s="177" t="s">
        <v>4</v>
      </c>
      <c r="M42" s="177" t="s">
        <v>4</v>
      </c>
      <c r="N42" s="177" t="s">
        <v>4</v>
      </c>
      <c r="O42" s="177" t="s">
        <v>4</v>
      </c>
      <c r="P42" s="177" t="s">
        <v>4</v>
      </c>
      <c r="Q42" s="177" t="s">
        <v>4</v>
      </c>
      <c r="R42" s="177" t="s">
        <v>4</v>
      </c>
      <c r="S42" s="177" t="s">
        <v>4</v>
      </c>
      <c r="T42" s="177" t="s">
        <v>4</v>
      </c>
      <c r="U42" s="177" t="s">
        <v>4</v>
      </c>
      <c r="V42" s="177" t="s">
        <v>4</v>
      </c>
      <c r="W42" s="177" t="s">
        <v>4</v>
      </c>
      <c r="X42" s="178"/>
    </row>
    <row r="43" customFormat="false" ht="18.75" hidden="false" customHeight="true" outlineLevel="0" collapsed="false">
      <c r="B43" s="179" t="s">
        <v>119</v>
      </c>
      <c r="C43" s="180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2"/>
    </row>
    <row r="44" customFormat="false" ht="18.75" hidden="false" customHeight="true" outlineLevel="0" collapsed="false">
      <c r="B44" s="183" t="s">
        <v>120</v>
      </c>
      <c r="C44" s="184" t="n">
        <f aca="false">-(D16/(1-D17)+D18)*C4</f>
        <v>-13114150</v>
      </c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</row>
    <row r="45" customFormat="false" ht="18.75" hidden="false" customHeight="true" outlineLevel="0" collapsed="false">
      <c r="B45" s="183" t="s">
        <v>121</v>
      </c>
      <c r="C45" s="175" t="s">
        <v>4</v>
      </c>
      <c r="D45" s="0" t="n">
        <v>-290201</v>
      </c>
      <c r="E45" s="185" t="n">
        <v>-290201</v>
      </c>
      <c r="F45" s="185" t="n">
        <v>-290201</v>
      </c>
      <c r="G45" s="185" t="n">
        <v>-290201</v>
      </c>
      <c r="H45" s="185" t="n">
        <v>-290201</v>
      </c>
      <c r="I45" s="185" t="n">
        <v>-290201</v>
      </c>
      <c r="J45" s="185" t="n">
        <v>-290201</v>
      </c>
      <c r="K45" s="185" t="n">
        <v>-290201</v>
      </c>
      <c r="L45" s="185" t="n">
        <v>-290201</v>
      </c>
      <c r="M45" s="185" t="n">
        <v>-290201</v>
      </c>
      <c r="N45" s="185" t="n">
        <v>-290201</v>
      </c>
      <c r="O45" s="185" t="n">
        <v>-290201</v>
      </c>
      <c r="P45" s="185" t="n">
        <v>-290201</v>
      </c>
      <c r="Q45" s="185" t="n">
        <v>-290201</v>
      </c>
      <c r="R45" s="185" t="n">
        <v>-290201</v>
      </c>
      <c r="S45" s="185" t="n">
        <v>-290201</v>
      </c>
      <c r="T45" s="185" t="n">
        <v>-290201</v>
      </c>
      <c r="U45" s="185" t="n">
        <v>-290201</v>
      </c>
      <c r="V45" s="185" t="n">
        <v>-290201</v>
      </c>
      <c r="W45" s="185" t="n">
        <v>-290201</v>
      </c>
      <c r="X45" s="185"/>
    </row>
    <row r="46" customFormat="false" ht="18.75" hidden="false" customHeight="true" outlineLevel="0" collapsed="false">
      <c r="B46" s="183" t="s">
        <v>122</v>
      </c>
      <c r="C46" s="17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</row>
    <row r="47" customFormat="false" ht="18.75" hidden="false" customHeight="true" outlineLevel="0" collapsed="false">
      <c r="B47" s="183" t="s">
        <v>123</v>
      </c>
      <c r="C47" s="175" t="s">
        <v>4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</row>
    <row r="48" customFormat="false" ht="18.75" hidden="false" customHeight="true" outlineLevel="0" collapsed="false">
      <c r="B48" s="183" t="s">
        <v>124</v>
      </c>
      <c r="C48" s="175" t="s">
        <v>4</v>
      </c>
      <c r="D48" s="185" t="n">
        <v>-174440</v>
      </c>
      <c r="E48" s="185" t="n">
        <v>-174440</v>
      </c>
      <c r="F48" s="185" t="n">
        <v>-174440</v>
      </c>
      <c r="G48" s="185" t="n">
        <v>-174440</v>
      </c>
      <c r="H48" s="185" t="n">
        <v>-174440</v>
      </c>
      <c r="I48" s="185" t="n">
        <v>-174440</v>
      </c>
      <c r="J48" s="185" t="n">
        <v>-174440</v>
      </c>
      <c r="K48" s="185" t="n">
        <v>-174440</v>
      </c>
      <c r="L48" s="185" t="n">
        <v>-174440</v>
      </c>
      <c r="M48" s="185" t="n">
        <v>-174440</v>
      </c>
      <c r="N48" s="185" t="n">
        <v>-174440</v>
      </c>
      <c r="O48" s="185" t="n">
        <v>-174440</v>
      </c>
      <c r="P48" s="185" t="n">
        <v>-174440</v>
      </c>
      <c r="Q48" s="185" t="n">
        <v>-174440</v>
      </c>
      <c r="R48" s="185" t="n">
        <v>-174440</v>
      </c>
      <c r="S48" s="185" t="n">
        <v>-174440</v>
      </c>
      <c r="T48" s="185" t="n">
        <v>-174440</v>
      </c>
      <c r="U48" s="185" t="n">
        <v>-174440</v>
      </c>
      <c r="V48" s="185" t="n">
        <v>-174440</v>
      </c>
      <c r="W48" s="185" t="n">
        <v>-174440</v>
      </c>
      <c r="X48" s="185"/>
    </row>
    <row r="49" customFormat="false" ht="18.75" hidden="false" customHeight="true" outlineLevel="0" collapsed="false">
      <c r="B49" s="183" t="s">
        <v>125</v>
      </c>
      <c r="C49" s="175" t="s">
        <v>4</v>
      </c>
      <c r="D49" s="185" t="n">
        <v>-26166</v>
      </c>
      <c r="E49" s="185" t="n">
        <v>-26166</v>
      </c>
      <c r="F49" s="185" t="n">
        <v>-26166</v>
      </c>
      <c r="G49" s="185" t="n">
        <v>-26166</v>
      </c>
      <c r="H49" s="185" t="n">
        <v>-26166</v>
      </c>
      <c r="I49" s="185" t="n">
        <v>-26166</v>
      </c>
      <c r="J49" s="185" t="n">
        <v>-26166</v>
      </c>
      <c r="K49" s="185" t="n">
        <v>-26166</v>
      </c>
      <c r="L49" s="185" t="n">
        <v>-26166</v>
      </c>
      <c r="M49" s="185" t="n">
        <v>-26166</v>
      </c>
      <c r="N49" s="185" t="n">
        <v>-26166</v>
      </c>
      <c r="O49" s="185" t="n">
        <v>-26166</v>
      </c>
      <c r="P49" s="185" t="n">
        <v>-26166</v>
      </c>
      <c r="Q49" s="185" t="n">
        <v>-26166</v>
      </c>
      <c r="R49" s="185" t="n">
        <v>-26166</v>
      </c>
      <c r="S49" s="185" t="n">
        <v>-26166</v>
      </c>
      <c r="T49" s="185" t="n">
        <v>-26166</v>
      </c>
      <c r="U49" s="185" t="n">
        <v>-26166</v>
      </c>
      <c r="V49" s="185" t="n">
        <v>-26166</v>
      </c>
      <c r="W49" s="185" t="n">
        <v>-26166</v>
      </c>
      <c r="X49" s="185"/>
    </row>
    <row r="50" customFormat="false" ht="18.75" hidden="false" customHeight="true" outlineLevel="0" collapsed="false">
      <c r="B50" s="183" t="s">
        <v>126</v>
      </c>
      <c r="C50" s="175"/>
      <c r="D50" s="185" t="n">
        <v>-43610</v>
      </c>
      <c r="E50" s="185" t="n">
        <v>-43610</v>
      </c>
      <c r="F50" s="185" t="n">
        <v>-43610</v>
      </c>
      <c r="G50" s="185" t="n">
        <v>-43610</v>
      </c>
      <c r="H50" s="185" t="n">
        <v>-43610</v>
      </c>
      <c r="I50" s="185" t="n">
        <v>-43610</v>
      </c>
      <c r="J50" s="185" t="n">
        <v>-43610</v>
      </c>
      <c r="K50" s="185" t="n">
        <v>-43610</v>
      </c>
      <c r="L50" s="185" t="n">
        <v>-43610</v>
      </c>
      <c r="M50" s="185" t="n">
        <v>-43610</v>
      </c>
      <c r="N50" s="185" t="n">
        <v>0</v>
      </c>
      <c r="O50" s="185" t="n">
        <v>0</v>
      </c>
      <c r="P50" s="185" t="n">
        <v>0</v>
      </c>
      <c r="Q50" s="185" t="n">
        <v>0</v>
      </c>
      <c r="R50" s="185" t="n">
        <v>0</v>
      </c>
      <c r="S50" s="185" t="n">
        <v>0</v>
      </c>
      <c r="T50" s="185" t="n">
        <v>0</v>
      </c>
      <c r="U50" s="185" t="n">
        <v>0</v>
      </c>
      <c r="V50" s="185" t="n">
        <v>0</v>
      </c>
      <c r="W50" s="185" t="n">
        <v>0</v>
      </c>
      <c r="X50" s="185"/>
    </row>
    <row r="51" customFormat="false" ht="18.75" hidden="false" customHeight="true" outlineLevel="0" collapsed="false">
      <c r="B51" s="183" t="s">
        <v>127</v>
      </c>
      <c r="C51" s="186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</row>
    <row r="52" customFormat="false" ht="18.75" hidden="false" customHeight="true" outlineLevel="0" collapsed="false">
      <c r="B52" s="183" t="s">
        <v>128</v>
      </c>
      <c r="C52" s="186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</row>
    <row r="53" customFormat="false" ht="18.75" hidden="false" customHeight="true" outlineLevel="0" collapsed="false">
      <c r="B53" s="187" t="s">
        <v>129</v>
      </c>
      <c r="C53" s="186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</row>
    <row r="54" customFormat="false" ht="18.75" hidden="false" customHeight="true" outlineLevel="0" collapsed="false">
      <c r="B54" s="187" t="s">
        <v>130</v>
      </c>
      <c r="C54" s="186"/>
      <c r="D54" s="185" t="n">
        <f aca="false">-(D64+D67+D68+D71+D72+D73+D74)*0.2</f>
        <v>-253240.884</v>
      </c>
      <c r="E54" s="185" t="n">
        <f aca="false">-(E64+E67+E68+E71+E72+E73+E74)*0.2</f>
        <v>-193450.2776</v>
      </c>
      <c r="F54" s="185" t="n">
        <f aca="false">-(F64+F67+F68+F71+F72+F73+F74)*0.2</f>
        <v>-191699.8712</v>
      </c>
      <c r="G54" s="185" t="n">
        <f aca="false">-(G64+G67+G68+G71+G72+G73+G74)*0.2</f>
        <v>-189949.4648</v>
      </c>
      <c r="H54" s="185" t="n">
        <f aca="false">-(H64+H67+H68+H71+H72+H73+H74)*0.2</f>
        <v>-188199.0584</v>
      </c>
      <c r="I54" s="185" t="n">
        <f aca="false">-(I64+I67+I68+I71+I72+I73+I74)*0.2</f>
        <v>-186448.652</v>
      </c>
      <c r="J54" s="185" t="n">
        <f aca="false">-(J64+J67+J68+J71+J72+J73+J74)*0.2</f>
        <v>-184698.2456</v>
      </c>
      <c r="K54" s="185" t="n">
        <f aca="false">-(K64+K67+K68+K71+K72+K73+K74)*0.2</f>
        <v>-182947.8392</v>
      </c>
      <c r="L54" s="185" t="n">
        <f aca="false">-(L64+L67+L68+L71+L72+L73+L74)*0.2</f>
        <v>-181197.4328</v>
      </c>
      <c r="M54" s="185" t="n">
        <f aca="false">-(M64+M67+M68+M71+M72+M73+M74)*0.2</f>
        <v>-179447.0264</v>
      </c>
      <c r="N54" s="185" t="n">
        <f aca="false">-(N64+N67+N68+N71+N72+N73+N74)*0.2</f>
        <v>-186418.62</v>
      </c>
      <c r="O54" s="185" t="n">
        <f aca="false">-(O64+O67+O68+O71+O72+O73+O74)*0.2</f>
        <v>-184668.2136</v>
      </c>
      <c r="P54" s="185" t="n">
        <f aca="false">-(P64+P67+P68+P71+P72+P73+P74)*0.2</f>
        <v>-182917.8072</v>
      </c>
      <c r="Q54" s="185" t="n">
        <f aca="false">-(Q64+Q67+Q68+Q71+Q72+Q73+Q74)*0.2</f>
        <v>-181167.4008</v>
      </c>
      <c r="R54" s="185" t="n">
        <f aca="false">-(R64+R67+R68+R71+R72+R73+R74)*0.2</f>
        <v>-179416.9944</v>
      </c>
      <c r="S54" s="185" t="n">
        <f aca="false">-(S64+S67+S68+S71+S72+S73+S74)*0.2</f>
        <v>-177666.588</v>
      </c>
      <c r="T54" s="185" t="n">
        <f aca="false">-(T64+T67+T68+T71+T72+T73+T74)*0.2</f>
        <v>-175916.1816</v>
      </c>
      <c r="U54" s="185" t="n">
        <f aca="false">-(U64+U67+U68+U71+U72+U73+U74)*0.2</f>
        <v>-174165.7752</v>
      </c>
      <c r="V54" s="185" t="n">
        <f aca="false">-(V64+V67+V68+V71+V72+V73+V74)*0.2</f>
        <v>-172415.3688</v>
      </c>
      <c r="W54" s="185" t="n">
        <f aca="false">-(W64+W67+W68+W71+W72+W73+W74)*0.2</f>
        <v>-170664.9624</v>
      </c>
      <c r="X54" s="176"/>
    </row>
    <row r="55" customFormat="false" ht="18.75" hidden="false" customHeight="true" outlineLevel="0" collapsed="false">
      <c r="B55" s="188" t="s">
        <v>131</v>
      </c>
      <c r="C55" s="189" t="n">
        <f aca="false">C44</f>
        <v>-13114150</v>
      </c>
      <c r="D55" s="190" t="n">
        <f aca="false">SUM(D41:D54)</f>
        <v>1378470.036</v>
      </c>
      <c r="E55" s="190" t="n">
        <f aca="false">SUM(E41:E54)</f>
        <v>1429508.6104</v>
      </c>
      <c r="F55" s="190" t="n">
        <f aca="false">SUM(F41:F54)</f>
        <v>1422506.9848</v>
      </c>
      <c r="G55" s="190" t="n">
        <f aca="false">SUM(G41:G54)</f>
        <v>1415505.3592</v>
      </c>
      <c r="H55" s="190" t="n">
        <f aca="false">SUM(H41:H54)</f>
        <v>1408503.7336</v>
      </c>
      <c r="I55" s="190" t="n">
        <f aca="false">SUM(I41:I54)</f>
        <v>1401502.108</v>
      </c>
      <c r="J55" s="190" t="n">
        <f aca="false">SUM(J41:J54)</f>
        <v>1394500.4824</v>
      </c>
      <c r="K55" s="190" t="n">
        <f aca="false">SUM(K41:K54)</f>
        <v>1387498.8568</v>
      </c>
      <c r="L55" s="190" t="n">
        <f aca="false">SUM(L41:L54)</f>
        <v>1380497.2312</v>
      </c>
      <c r="M55" s="190" t="n">
        <f aca="false">SUM(M41:M54)</f>
        <v>1373495.6056</v>
      </c>
      <c r="N55" s="190" t="n">
        <f aca="false">SUM(N41:N54)</f>
        <v>1401381.98</v>
      </c>
      <c r="O55" s="190" t="n">
        <f aca="false">SUM(O41:O54)</f>
        <v>1394380.3544</v>
      </c>
      <c r="P55" s="190" t="n">
        <f aca="false">SUM(P41:P54)</f>
        <v>1387378.7288</v>
      </c>
      <c r="Q55" s="190" t="n">
        <f aca="false">SUM(Q41:Q54)</f>
        <v>1380377.1032</v>
      </c>
      <c r="R55" s="190" t="n">
        <f aca="false">SUM(R41:R54)</f>
        <v>1373375.4776</v>
      </c>
      <c r="S55" s="190" t="n">
        <f aca="false">SUM(S41:S54)</f>
        <v>1366373.852</v>
      </c>
      <c r="T55" s="190" t="n">
        <f aca="false">SUM(T41:T54)</f>
        <v>1359372.2264</v>
      </c>
      <c r="U55" s="190" t="n">
        <f aca="false">SUM(U41:U54)</f>
        <v>1352370.6008</v>
      </c>
      <c r="V55" s="190" t="n">
        <f aca="false">SUM(V41:V54)</f>
        <v>1345368.9752</v>
      </c>
      <c r="W55" s="190" t="n">
        <f aca="false">SUM(W41:W54)</f>
        <v>1338367.3496</v>
      </c>
      <c r="X55" s="191"/>
      <c r="Y55" s="192"/>
      <c r="Z55" s="193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</row>
    <row r="56" customFormat="false" ht="18.75" hidden="false" customHeight="true" outlineLevel="0" collapsed="false">
      <c r="B56" s="194" t="s">
        <v>132</v>
      </c>
      <c r="D56" s="195" t="n">
        <f aca="false">C55+D55</f>
        <v>-11735679.964</v>
      </c>
      <c r="E56" s="195" t="n">
        <f aca="false">D56+E55</f>
        <v>-10306171.3536</v>
      </c>
      <c r="F56" s="195" t="n">
        <f aca="false">E56+F55</f>
        <v>-8883664.3688</v>
      </c>
      <c r="G56" s="195" t="n">
        <f aca="false">F56+G55</f>
        <v>-7468159.0096</v>
      </c>
      <c r="H56" s="195" t="n">
        <f aca="false">G56+H55</f>
        <v>-6059655.276</v>
      </c>
      <c r="I56" s="195" t="n">
        <f aca="false">H56+I55</f>
        <v>-4658153.168</v>
      </c>
      <c r="J56" s="195" t="n">
        <f aca="false">I56+J55</f>
        <v>-3263652.6856</v>
      </c>
      <c r="K56" s="195" t="n">
        <f aca="false">J56+K55</f>
        <v>-1876153.8288</v>
      </c>
      <c r="L56" s="195" t="n">
        <f aca="false">K56+L55</f>
        <v>-495656.597600002</v>
      </c>
      <c r="M56" s="195" t="n">
        <f aca="false">L56+M55</f>
        <v>877839.007999998</v>
      </c>
      <c r="N56" s="195" t="n">
        <f aca="false">M56+N55</f>
        <v>2279220.988</v>
      </c>
      <c r="O56" s="195" t="n">
        <f aca="false">N56+O55</f>
        <v>3673601.3424</v>
      </c>
      <c r="P56" s="195" t="n">
        <f aca="false">O56+P55</f>
        <v>5060980.0712</v>
      </c>
      <c r="Q56" s="195" t="n">
        <f aca="false">P56+Q55</f>
        <v>6441357.1744</v>
      </c>
      <c r="R56" s="195" t="n">
        <f aca="false">Q56+R55</f>
        <v>7814732.652</v>
      </c>
      <c r="S56" s="195" t="n">
        <f aca="false">R56+S55</f>
        <v>9181106.504</v>
      </c>
      <c r="T56" s="195" t="n">
        <f aca="false">S56+T55</f>
        <v>10540478.7304</v>
      </c>
      <c r="U56" s="195" t="n">
        <f aca="false">T56+U55</f>
        <v>11892849.3312</v>
      </c>
      <c r="V56" s="195" t="n">
        <f aca="false">U56+V55</f>
        <v>13238218.3064</v>
      </c>
      <c r="W56" s="195" t="n">
        <f aca="false">V56+W55</f>
        <v>14576585.656</v>
      </c>
      <c r="X56" s="195" t="n">
        <f aca="false">W56+X55</f>
        <v>14576585.656</v>
      </c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</row>
    <row r="57" customFormat="false" ht="18.75" hidden="false" customHeight="true" outlineLevel="0" collapsed="false">
      <c r="B57" s="196" t="s">
        <v>133</v>
      </c>
      <c r="C57" s="197"/>
      <c r="D57" s="198" t="str">
        <f aca="false">IF((D56)&gt;0,"回收","未回收")</f>
        <v>未回收</v>
      </c>
      <c r="E57" s="199" t="str">
        <f aca="false">IF((E56)&gt;0,"回收","未回收")</f>
        <v>未回收</v>
      </c>
      <c r="F57" s="199" t="str">
        <f aca="false">IF((F56)&gt;0,"回收","未回收")</f>
        <v>未回收</v>
      </c>
      <c r="G57" s="199" t="str">
        <f aca="false">IF((G56)&gt;0,"回收","未回收")</f>
        <v>未回收</v>
      </c>
      <c r="H57" s="199" t="str">
        <f aca="false">IF((H56)&gt;0,"回收","未回收")</f>
        <v>未回收</v>
      </c>
      <c r="I57" s="199" t="str">
        <f aca="false">IF((I56)&gt;0,"回收","未回收")</f>
        <v>未回收</v>
      </c>
      <c r="J57" s="199" t="str">
        <f aca="false">IF((J56)&gt;0,"回收","未回收")</f>
        <v>未回收</v>
      </c>
      <c r="K57" s="199" t="str">
        <f aca="false">IF((K56)&gt;0,"回收","未回收")</f>
        <v>未回收</v>
      </c>
      <c r="L57" s="199" t="str">
        <f aca="false">IF((L56)&gt;0,"回收","未回收")</f>
        <v>未回收</v>
      </c>
      <c r="M57" s="199" t="str">
        <f aca="false">IF((M56)&gt;0,"回收","未回收")</f>
        <v>回收</v>
      </c>
      <c r="N57" s="199" t="str">
        <f aca="false">IF((N56)&gt;0,"回收","未回收")</f>
        <v>回收</v>
      </c>
      <c r="O57" s="199" t="str">
        <f aca="false">IF((O56)&gt;0,"回收","未回收")</f>
        <v>回收</v>
      </c>
      <c r="P57" s="199" t="str">
        <f aca="false">IF((P56)&gt;0,"回收","未回收")</f>
        <v>回收</v>
      </c>
      <c r="Q57" s="199" t="str">
        <f aca="false">IF((Q56)&gt;0,"回收","未回收")</f>
        <v>回收</v>
      </c>
      <c r="R57" s="199" t="str">
        <f aca="false">IF((R56)&gt;0,"回收","未回收")</f>
        <v>回收</v>
      </c>
      <c r="S57" s="199" t="str">
        <f aca="false">IF((S56)&gt;0,"回收","未回收")</f>
        <v>回收</v>
      </c>
      <c r="T57" s="199" t="str">
        <f aca="false">IF((T56)&gt;0,"回收","未回收")</f>
        <v>回收</v>
      </c>
      <c r="U57" s="199" t="str">
        <f aca="false">IF((U56)&gt;0,"回收","未回收")</f>
        <v>回收</v>
      </c>
      <c r="V57" s="199" t="str">
        <f aca="false">IF((V56)&gt;0,"回收","未回收")</f>
        <v>回收</v>
      </c>
      <c r="W57" s="199" t="str">
        <f aca="false">IF((W56)&gt;0,"回收","未回收")</f>
        <v>回收</v>
      </c>
      <c r="X57" s="199" t="str">
        <f aca="false">IF((X56)&gt;0,"回收","未回收")</f>
        <v>回收</v>
      </c>
      <c r="Y57" s="192"/>
      <c r="Z57" s="192"/>
      <c r="AA57" s="192"/>
      <c r="AB57" s="192"/>
      <c r="AC57" s="192"/>
      <c r="AD57" s="192"/>
      <c r="AE57" s="192"/>
      <c r="AF57" s="192"/>
      <c r="AG57" s="192"/>
      <c r="AH57" s="192"/>
      <c r="AI57" s="192"/>
      <c r="AJ57" s="192"/>
    </row>
    <row r="58" customFormat="false" ht="18.75" hidden="false" customHeight="true" outlineLevel="0" collapsed="false">
      <c r="B58" s="119" t="s">
        <v>74</v>
      </c>
      <c r="C58" s="120" t="n">
        <f aca="false">IRR(C55:W55)</f>
        <v>0.0857439842618119</v>
      </c>
      <c r="D58" s="121"/>
      <c r="E58" s="121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3"/>
      <c r="Z58" s="123"/>
      <c r="AA58" s="123"/>
      <c r="AB58" s="123"/>
      <c r="AC58" s="123"/>
      <c r="AD58" s="123"/>
      <c r="AE58" s="123"/>
      <c r="AF58" s="123"/>
      <c r="AG58" s="123"/>
      <c r="AH58" s="123"/>
      <c r="AI58" s="123"/>
      <c r="AJ58" s="123"/>
    </row>
    <row r="59" customFormat="false" ht="18.75" hidden="false" customHeight="true" outlineLevel="0" collapsed="false">
      <c r="B59" s="122"/>
      <c r="C59" s="121"/>
      <c r="D59" s="121"/>
      <c r="E59" s="121"/>
      <c r="F59" s="122"/>
      <c r="G59" s="122"/>
      <c r="H59" s="122"/>
      <c r="I59" s="122"/>
      <c r="J59" s="122"/>
      <c r="K59" s="122"/>
      <c r="L59" s="122"/>
      <c r="M59" s="121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</row>
    <row r="60" customFormat="false" ht="18.75" hidden="false" customHeight="true" outlineLevel="0" collapsed="false">
      <c r="B60" s="71"/>
      <c r="C60" s="72" t="s">
        <v>114</v>
      </c>
      <c r="D60" s="72" t="n">
        <f aca="false">D37</f>
        <v>2020</v>
      </c>
      <c r="E60" s="72" t="n">
        <f aca="false">E37</f>
        <v>2021</v>
      </c>
      <c r="F60" s="72" t="n">
        <f aca="false">F37</f>
        <v>2022</v>
      </c>
      <c r="G60" s="72" t="n">
        <f aca="false">G37</f>
        <v>2023</v>
      </c>
      <c r="H60" s="72" t="n">
        <f aca="false">H37</f>
        <v>2024</v>
      </c>
      <c r="I60" s="72" t="n">
        <f aca="false">I37</f>
        <v>2025</v>
      </c>
      <c r="J60" s="72" t="n">
        <f aca="false">J37</f>
        <v>2026</v>
      </c>
      <c r="K60" s="72" t="n">
        <f aca="false">K37</f>
        <v>2027</v>
      </c>
      <c r="L60" s="72" t="n">
        <f aca="false">L37</f>
        <v>2028</v>
      </c>
      <c r="M60" s="72" t="n">
        <f aca="false">M37</f>
        <v>2029</v>
      </c>
      <c r="N60" s="72" t="n">
        <f aca="false">N37</f>
        <v>2030</v>
      </c>
      <c r="O60" s="72" t="n">
        <f aca="false">O37</f>
        <v>2031</v>
      </c>
      <c r="P60" s="72" t="n">
        <f aca="false">P37</f>
        <v>2032</v>
      </c>
      <c r="Q60" s="72" t="n">
        <f aca="false">Q37</f>
        <v>2033</v>
      </c>
      <c r="R60" s="72" t="n">
        <f aca="false">R37</f>
        <v>2034</v>
      </c>
      <c r="S60" s="72" t="n">
        <f aca="false">S37</f>
        <v>2035</v>
      </c>
      <c r="T60" s="72" t="n">
        <f aca="false">T37</f>
        <v>2036</v>
      </c>
      <c r="U60" s="72" t="n">
        <f aca="false">U37</f>
        <v>2037</v>
      </c>
      <c r="V60" s="72" t="n">
        <f aca="false">V37</f>
        <v>2038</v>
      </c>
      <c r="W60" s="72" t="n">
        <f aca="false">W37</f>
        <v>2039</v>
      </c>
      <c r="X60" s="72"/>
      <c r="Y60" s="124"/>
      <c r="Z60" s="124"/>
      <c r="AA60" s="124"/>
      <c r="AB60" s="124"/>
      <c r="AC60" s="124"/>
      <c r="AD60" s="124"/>
      <c r="AE60" s="124"/>
      <c r="AF60" s="124"/>
      <c r="AG60" s="124"/>
      <c r="AH60" s="124"/>
      <c r="AI60" s="124"/>
      <c r="AJ60" s="124"/>
    </row>
    <row r="61" customFormat="false" ht="18.75" hidden="false" customHeight="true" outlineLevel="0" collapsed="false">
      <c r="B61" s="73" t="n">
        <v>0</v>
      </c>
      <c r="C61" s="74"/>
      <c r="D61" s="75"/>
      <c r="E61" s="75"/>
      <c r="F61" s="76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125" t="s">
        <v>134</v>
      </c>
      <c r="U61" s="77"/>
      <c r="V61" s="77"/>
      <c r="W61" s="77"/>
      <c r="X61" s="79"/>
    </row>
    <row r="62" customFormat="false" ht="18.75" hidden="false" customHeight="true" outlineLevel="0" collapsed="false">
      <c r="B62" s="80" t="s">
        <v>115</v>
      </c>
      <c r="C62" s="81" t="n">
        <v>0</v>
      </c>
      <c r="D62" s="82" t="n">
        <v>1</v>
      </c>
      <c r="E62" s="82" t="n">
        <v>2</v>
      </c>
      <c r="F62" s="82" t="n">
        <v>3</v>
      </c>
      <c r="G62" s="82" t="n">
        <v>4</v>
      </c>
      <c r="H62" s="82" t="n">
        <v>5</v>
      </c>
      <c r="I62" s="82" t="n">
        <v>6</v>
      </c>
      <c r="J62" s="82" t="n">
        <v>7</v>
      </c>
      <c r="K62" s="82" t="n">
        <v>8</v>
      </c>
      <c r="L62" s="82" t="n">
        <v>9</v>
      </c>
      <c r="M62" s="82" t="n">
        <v>10</v>
      </c>
      <c r="N62" s="82" t="n">
        <v>11</v>
      </c>
      <c r="O62" s="82" t="n">
        <v>12</v>
      </c>
      <c r="P62" s="82" t="n">
        <v>13</v>
      </c>
      <c r="Q62" s="82" t="n">
        <v>14</v>
      </c>
      <c r="R62" s="82" t="n">
        <v>15</v>
      </c>
      <c r="S62" s="82" t="n">
        <v>16</v>
      </c>
      <c r="T62" s="126" t="n">
        <v>17</v>
      </c>
      <c r="U62" s="82" t="n">
        <v>18</v>
      </c>
      <c r="V62" s="82" t="n">
        <v>19</v>
      </c>
      <c r="W62" s="82" t="n">
        <v>20</v>
      </c>
      <c r="X62" s="84"/>
    </row>
    <row r="63" customFormat="false" ht="18.75" hidden="false" customHeight="true" outlineLevel="0" collapsed="false">
      <c r="B63" s="85" t="s">
        <v>269</v>
      </c>
      <c r="C63" s="86" t="n">
        <v>0</v>
      </c>
      <c r="D63" s="87" t="n">
        <f aca="false">D40</f>
        <v>541531.98</v>
      </c>
      <c r="E63" s="87" t="n">
        <f aca="false">E40</f>
        <v>539343.972</v>
      </c>
      <c r="F63" s="87" t="n">
        <f aca="false">F40</f>
        <v>537155.964</v>
      </c>
      <c r="G63" s="87" t="n">
        <f aca="false">G40</f>
        <v>534967.956</v>
      </c>
      <c r="H63" s="87" t="n">
        <f aca="false">H40</f>
        <v>532779.948</v>
      </c>
      <c r="I63" s="87" t="n">
        <f aca="false">I40</f>
        <v>530591.94</v>
      </c>
      <c r="J63" s="87" t="n">
        <f aca="false">J40</f>
        <v>528403.932</v>
      </c>
      <c r="K63" s="87" t="n">
        <f aca="false">K40</f>
        <v>526215.924</v>
      </c>
      <c r="L63" s="87" t="n">
        <f aca="false">L40</f>
        <v>524027.916</v>
      </c>
      <c r="M63" s="87" t="n">
        <f aca="false">M40</f>
        <v>521839.908</v>
      </c>
      <c r="N63" s="87" t="n">
        <f aca="false">N40</f>
        <v>519651.9</v>
      </c>
      <c r="O63" s="87" t="n">
        <f aca="false">O40</f>
        <v>517463.892</v>
      </c>
      <c r="P63" s="87" t="n">
        <f aca="false">P40</f>
        <v>515275.884</v>
      </c>
      <c r="Q63" s="87" t="n">
        <f aca="false">Q40</f>
        <v>513087.876</v>
      </c>
      <c r="R63" s="87" t="n">
        <f aca="false">R40</f>
        <v>510899.868</v>
      </c>
      <c r="S63" s="87" t="n">
        <f aca="false">S40</f>
        <v>508711.86</v>
      </c>
      <c r="T63" s="87" t="n">
        <f aca="false">T40</f>
        <v>506523.852</v>
      </c>
      <c r="U63" s="87" t="n">
        <f aca="false">U40</f>
        <v>504335.844</v>
      </c>
      <c r="V63" s="87" t="n">
        <f aca="false">V40</f>
        <v>502147.836</v>
      </c>
      <c r="W63" s="87" t="n">
        <f aca="false">W40</f>
        <v>499959.828</v>
      </c>
      <c r="X63" s="88"/>
    </row>
    <row r="64" customFormat="false" ht="18.75" hidden="false" customHeight="true" outlineLevel="0" collapsed="false">
      <c r="B64" s="170" t="s">
        <v>117</v>
      </c>
      <c r="C64" s="171" t="s">
        <v>4</v>
      </c>
      <c r="D64" s="172" t="n">
        <f aca="false">D41</f>
        <v>2166127.92</v>
      </c>
      <c r="E64" s="172" t="n">
        <f aca="false">E41</f>
        <v>2157375.888</v>
      </c>
      <c r="F64" s="172" t="n">
        <f aca="false">F41</f>
        <v>2148623.856</v>
      </c>
      <c r="G64" s="172" t="n">
        <f aca="false">G41</f>
        <v>2139871.824</v>
      </c>
      <c r="H64" s="172" t="n">
        <f aca="false">H41</f>
        <v>2131119.792</v>
      </c>
      <c r="I64" s="172" t="n">
        <f aca="false">I41</f>
        <v>2122367.76</v>
      </c>
      <c r="J64" s="172" t="n">
        <f aca="false">J41</f>
        <v>2113615.728</v>
      </c>
      <c r="K64" s="172" t="n">
        <f aca="false">K41</f>
        <v>2104863.696</v>
      </c>
      <c r="L64" s="172" t="n">
        <f aca="false">L41</f>
        <v>2096111.664</v>
      </c>
      <c r="M64" s="172" t="n">
        <f aca="false">M41</f>
        <v>2087359.632</v>
      </c>
      <c r="N64" s="172" t="n">
        <f aca="false">N41</f>
        <v>2078607.6</v>
      </c>
      <c r="O64" s="172" t="n">
        <f aca="false">O41</f>
        <v>2069855.568</v>
      </c>
      <c r="P64" s="172" t="n">
        <f aca="false">P41</f>
        <v>2061103.536</v>
      </c>
      <c r="Q64" s="172" t="n">
        <f aca="false">Q41</f>
        <v>2052351.504</v>
      </c>
      <c r="R64" s="172" t="n">
        <f aca="false">R41</f>
        <v>2043599.472</v>
      </c>
      <c r="S64" s="172" t="n">
        <f aca="false">S41</f>
        <v>2034847.44</v>
      </c>
      <c r="T64" s="172" t="n">
        <f aca="false">T41</f>
        <v>2026095.408</v>
      </c>
      <c r="U64" s="172" t="n">
        <f aca="false">U41</f>
        <v>2017343.376</v>
      </c>
      <c r="V64" s="172" t="n">
        <f aca="false">V41</f>
        <v>2008591.344</v>
      </c>
      <c r="W64" s="172" t="n">
        <f aca="false">W41</f>
        <v>1999839.312</v>
      </c>
      <c r="X64" s="173"/>
    </row>
    <row r="65" customFormat="false" ht="18.75" hidden="false" customHeight="true" outlineLevel="0" collapsed="false">
      <c r="B65" s="174" t="s">
        <v>118</v>
      </c>
      <c r="C65" s="175" t="s">
        <v>4</v>
      </c>
      <c r="D65" s="176"/>
      <c r="E65" s="176"/>
      <c r="F65" s="176"/>
      <c r="G65" s="177" t="s">
        <v>4</v>
      </c>
      <c r="H65" s="177" t="s">
        <v>4</v>
      </c>
      <c r="I65" s="177" t="s">
        <v>4</v>
      </c>
      <c r="J65" s="177" t="s">
        <v>4</v>
      </c>
      <c r="K65" s="177" t="s">
        <v>4</v>
      </c>
      <c r="L65" s="177" t="s">
        <v>4</v>
      </c>
      <c r="M65" s="177" t="s">
        <v>4</v>
      </c>
      <c r="N65" s="177" t="s">
        <v>4</v>
      </c>
      <c r="O65" s="177" t="s">
        <v>4</v>
      </c>
      <c r="P65" s="177" t="s">
        <v>4</v>
      </c>
      <c r="Q65" s="177" t="s">
        <v>4</v>
      </c>
      <c r="R65" s="177" t="s">
        <v>4</v>
      </c>
      <c r="S65" s="177" t="s">
        <v>4</v>
      </c>
      <c r="T65" s="177" t="s">
        <v>4</v>
      </c>
      <c r="U65" s="177" t="s">
        <v>4</v>
      </c>
      <c r="V65" s="177" t="s">
        <v>4</v>
      </c>
      <c r="W65" s="177" t="s">
        <v>4</v>
      </c>
      <c r="X65" s="178"/>
    </row>
    <row r="66" customFormat="false" ht="18.75" hidden="false" customHeight="true" outlineLevel="0" collapsed="false">
      <c r="B66" s="179" t="s">
        <v>119</v>
      </c>
      <c r="C66" s="180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2"/>
    </row>
    <row r="67" customFormat="false" ht="18.75" hidden="false" customHeight="true" outlineLevel="0" collapsed="false">
      <c r="B67" s="183" t="s">
        <v>135</v>
      </c>
      <c r="C67" s="175"/>
      <c r="D67" s="200" t="n">
        <f aca="false">$C$44/$E$16</f>
        <v>-655707.5</v>
      </c>
      <c r="E67" s="200" t="n">
        <f aca="false">$C$44/$E$16</f>
        <v>-655707.5</v>
      </c>
      <c r="F67" s="200" t="n">
        <f aca="false">$C$44/$E$16</f>
        <v>-655707.5</v>
      </c>
      <c r="G67" s="200" t="n">
        <f aca="false">$C$44/$E$16</f>
        <v>-655707.5</v>
      </c>
      <c r="H67" s="200" t="n">
        <f aca="false">$C$44/$E$16</f>
        <v>-655707.5</v>
      </c>
      <c r="I67" s="200" t="n">
        <f aca="false">$C$44/$E$16</f>
        <v>-655707.5</v>
      </c>
      <c r="J67" s="200" t="n">
        <f aca="false">$C$44/$E$16</f>
        <v>-655707.5</v>
      </c>
      <c r="K67" s="200" t="n">
        <f aca="false">$C$44/$E$16</f>
        <v>-655707.5</v>
      </c>
      <c r="L67" s="200" t="n">
        <f aca="false">$C$44/$E$16</f>
        <v>-655707.5</v>
      </c>
      <c r="M67" s="200" t="n">
        <f aca="false">$C$44/$E$16</f>
        <v>-655707.5</v>
      </c>
      <c r="N67" s="200" t="n">
        <f aca="false">$C$44/$E$16</f>
        <v>-655707.5</v>
      </c>
      <c r="O67" s="200" t="n">
        <f aca="false">$C$44/$E$16</f>
        <v>-655707.5</v>
      </c>
      <c r="P67" s="200" t="n">
        <f aca="false">$C$44/$E$16</f>
        <v>-655707.5</v>
      </c>
      <c r="Q67" s="200" t="n">
        <f aca="false">$C$44/$E$16</f>
        <v>-655707.5</v>
      </c>
      <c r="R67" s="200" t="n">
        <f aca="false">$C$44/$E$16</f>
        <v>-655707.5</v>
      </c>
      <c r="S67" s="200" t="n">
        <f aca="false">$C$44/$E$16</f>
        <v>-655707.5</v>
      </c>
      <c r="T67" s="200" t="n">
        <f aca="false">$C$44/$E$16</f>
        <v>-655707.5</v>
      </c>
      <c r="U67" s="200" t="n">
        <f aca="false">$C$44/$E$16</f>
        <v>-655707.5</v>
      </c>
      <c r="V67" s="200" t="n">
        <f aca="false">$C$44/$E$16</f>
        <v>-655707.5</v>
      </c>
      <c r="W67" s="200" t="n">
        <f aca="false">$C$44/$E$16</f>
        <v>-655707.5</v>
      </c>
      <c r="X67" s="178"/>
    </row>
    <row r="68" customFormat="false" ht="18.75" hidden="false" customHeight="true" outlineLevel="0" collapsed="false">
      <c r="B68" s="183" t="s">
        <v>121</v>
      </c>
      <c r="C68" s="175" t="s">
        <v>4</v>
      </c>
      <c r="D68" s="185" t="n">
        <f aca="false">D44</f>
        <v>0</v>
      </c>
      <c r="E68" s="185" t="n">
        <f aca="false">E45</f>
        <v>-290201</v>
      </c>
      <c r="F68" s="185" t="n">
        <f aca="false">F45</f>
        <v>-290201</v>
      </c>
      <c r="G68" s="185" t="n">
        <f aca="false">G45</f>
        <v>-290201</v>
      </c>
      <c r="H68" s="185" t="n">
        <f aca="false">H45</f>
        <v>-290201</v>
      </c>
      <c r="I68" s="185" t="n">
        <f aca="false">I45</f>
        <v>-290201</v>
      </c>
      <c r="J68" s="185" t="n">
        <f aca="false">J45</f>
        <v>-290201</v>
      </c>
      <c r="K68" s="185" t="n">
        <f aca="false">K45</f>
        <v>-290201</v>
      </c>
      <c r="L68" s="185" t="n">
        <f aca="false">L45</f>
        <v>-290201</v>
      </c>
      <c r="M68" s="185" t="n">
        <f aca="false">M45</f>
        <v>-290201</v>
      </c>
      <c r="N68" s="185" t="n">
        <f aca="false">N45</f>
        <v>-290201</v>
      </c>
      <c r="O68" s="185" t="n">
        <f aca="false">O45</f>
        <v>-290201</v>
      </c>
      <c r="P68" s="185" t="n">
        <f aca="false">P45</f>
        <v>-290201</v>
      </c>
      <c r="Q68" s="185" t="n">
        <f aca="false">Q45</f>
        <v>-290201</v>
      </c>
      <c r="R68" s="185" t="n">
        <f aca="false">R45</f>
        <v>-290201</v>
      </c>
      <c r="S68" s="185" t="n">
        <f aca="false">S45</f>
        <v>-290201</v>
      </c>
      <c r="T68" s="185" t="n">
        <f aca="false">T45</f>
        <v>-290201</v>
      </c>
      <c r="U68" s="185" t="n">
        <f aca="false">U45</f>
        <v>-290201</v>
      </c>
      <c r="V68" s="185" t="n">
        <f aca="false">V45</f>
        <v>-290201</v>
      </c>
      <c r="W68" s="185" t="n">
        <f aca="false">W45</f>
        <v>-290201</v>
      </c>
      <c r="X68" s="178"/>
    </row>
    <row r="69" customFormat="false" ht="18.75" hidden="false" customHeight="true" outlineLevel="0" collapsed="false">
      <c r="B69" s="183" t="s">
        <v>122</v>
      </c>
      <c r="C69" s="175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8"/>
    </row>
    <row r="70" customFormat="false" ht="18.75" hidden="false" customHeight="true" outlineLevel="0" collapsed="false">
      <c r="B70" s="183" t="s">
        <v>123</v>
      </c>
      <c r="C70" s="175" t="s">
        <v>4</v>
      </c>
      <c r="D70" s="185" t="n">
        <f aca="false">-D109*$D25</f>
        <v>-268577.792</v>
      </c>
      <c r="E70" s="185" t="n">
        <f aca="false">-E109*$D25</f>
        <v>-250672.605866667</v>
      </c>
      <c r="F70" s="185" t="n">
        <f aca="false">-F109*$D25</f>
        <v>-232767.419733333</v>
      </c>
      <c r="G70" s="185" t="n">
        <f aca="false">-G109*$D25</f>
        <v>-214862.2336</v>
      </c>
      <c r="H70" s="185" t="n">
        <f aca="false">-H109*$D25</f>
        <v>-196957.047466667</v>
      </c>
      <c r="I70" s="185" t="n">
        <f aca="false">-I109*$D25</f>
        <v>-179051.861333333</v>
      </c>
      <c r="J70" s="185" t="n">
        <f aca="false">-J109*$D25</f>
        <v>-161146.6752</v>
      </c>
      <c r="K70" s="185" t="n">
        <f aca="false">-K109*$D25</f>
        <v>-143241.489066667</v>
      </c>
      <c r="L70" s="185" t="n">
        <f aca="false">-L109*$D25</f>
        <v>-125336.302933333</v>
      </c>
      <c r="M70" s="185" t="n">
        <f aca="false">-M109*$D25</f>
        <v>-107431.1168</v>
      </c>
      <c r="N70" s="185" t="n">
        <f aca="false">-N109*$D25</f>
        <v>-89525.9306666667</v>
      </c>
      <c r="O70" s="185" t="n">
        <f aca="false">-O109*$D25</f>
        <v>-71620.7445333334</v>
      </c>
      <c r="P70" s="185" t="n">
        <f aca="false">-P109*$D25</f>
        <v>-53715.5584</v>
      </c>
      <c r="Q70" s="185" t="n">
        <f aca="false">-Q109*$D25</f>
        <v>-35810.3722666667</v>
      </c>
      <c r="R70" s="185" t="n">
        <f aca="false">-R109*$D25</f>
        <v>-17905.1861333334</v>
      </c>
      <c r="S70" s="185" t="n">
        <f aca="false">-S109*$D25</f>
        <v>-0</v>
      </c>
      <c r="T70" s="185" t="n">
        <f aca="false">-T109*$D25</f>
        <v>-0</v>
      </c>
      <c r="U70" s="185" t="n">
        <f aca="false">-U109*$D25</f>
        <v>-0</v>
      </c>
      <c r="V70" s="185" t="n">
        <f aca="false">-V109*$D25</f>
        <v>-0</v>
      </c>
      <c r="W70" s="185" t="n">
        <f aca="false">-W109*$D25</f>
        <v>-0</v>
      </c>
      <c r="X70" s="178"/>
    </row>
    <row r="71" customFormat="false" ht="18.75" hidden="false" customHeight="true" outlineLevel="0" collapsed="false">
      <c r="B71" s="183" t="s">
        <v>124</v>
      </c>
      <c r="C71" s="175" t="s">
        <v>4</v>
      </c>
      <c r="D71" s="185" t="n">
        <f aca="false">D48</f>
        <v>-174440</v>
      </c>
      <c r="E71" s="185" t="n">
        <f aca="false">E48</f>
        <v>-174440</v>
      </c>
      <c r="F71" s="185" t="n">
        <f aca="false">F48</f>
        <v>-174440</v>
      </c>
      <c r="G71" s="185" t="n">
        <f aca="false">G48</f>
        <v>-174440</v>
      </c>
      <c r="H71" s="185" t="n">
        <f aca="false">H48</f>
        <v>-174440</v>
      </c>
      <c r="I71" s="185" t="n">
        <f aca="false">I48</f>
        <v>-174440</v>
      </c>
      <c r="J71" s="185" t="n">
        <f aca="false">J48</f>
        <v>-174440</v>
      </c>
      <c r="K71" s="185" t="n">
        <f aca="false">K48</f>
        <v>-174440</v>
      </c>
      <c r="L71" s="185" t="n">
        <f aca="false">L48</f>
        <v>-174440</v>
      </c>
      <c r="M71" s="185" t="n">
        <f aca="false">M48</f>
        <v>-174440</v>
      </c>
      <c r="N71" s="185" t="n">
        <f aca="false">N48</f>
        <v>-174440</v>
      </c>
      <c r="O71" s="185" t="n">
        <f aca="false">O48</f>
        <v>-174440</v>
      </c>
      <c r="P71" s="185" t="n">
        <f aca="false">P48</f>
        <v>-174440</v>
      </c>
      <c r="Q71" s="185" t="n">
        <f aca="false">Q48</f>
        <v>-174440</v>
      </c>
      <c r="R71" s="185" t="n">
        <f aca="false">R48</f>
        <v>-174440</v>
      </c>
      <c r="S71" s="185" t="n">
        <f aca="false">S48</f>
        <v>-174440</v>
      </c>
      <c r="T71" s="185" t="n">
        <f aca="false">T48</f>
        <v>-174440</v>
      </c>
      <c r="U71" s="185" t="n">
        <f aca="false">U48</f>
        <v>-174440</v>
      </c>
      <c r="V71" s="185" t="n">
        <f aca="false">V48</f>
        <v>-174440</v>
      </c>
      <c r="W71" s="185" t="n">
        <f aca="false">W48</f>
        <v>-174440</v>
      </c>
      <c r="X71" s="178"/>
    </row>
    <row r="72" customFormat="false" ht="18.75" hidden="false" customHeight="true" outlineLevel="0" collapsed="false">
      <c r="B72" s="183" t="s">
        <v>125</v>
      </c>
      <c r="C72" s="175" t="s">
        <v>4</v>
      </c>
      <c r="D72" s="185" t="n">
        <f aca="false">D49</f>
        <v>-26166</v>
      </c>
      <c r="E72" s="185" t="n">
        <f aca="false">E49</f>
        <v>-26166</v>
      </c>
      <c r="F72" s="185" t="n">
        <f aca="false">F49</f>
        <v>-26166</v>
      </c>
      <c r="G72" s="185" t="n">
        <f aca="false">G49</f>
        <v>-26166</v>
      </c>
      <c r="H72" s="185" t="n">
        <f aca="false">H49</f>
        <v>-26166</v>
      </c>
      <c r="I72" s="185" t="n">
        <f aca="false">I49</f>
        <v>-26166</v>
      </c>
      <c r="J72" s="185" t="n">
        <f aca="false">J49</f>
        <v>-26166</v>
      </c>
      <c r="K72" s="185" t="n">
        <f aca="false">K49</f>
        <v>-26166</v>
      </c>
      <c r="L72" s="185" t="n">
        <f aca="false">L49</f>
        <v>-26166</v>
      </c>
      <c r="M72" s="185" t="n">
        <f aca="false">M49</f>
        <v>-26166</v>
      </c>
      <c r="N72" s="185" t="n">
        <f aca="false">N49</f>
        <v>-26166</v>
      </c>
      <c r="O72" s="185" t="n">
        <f aca="false">O49</f>
        <v>-26166</v>
      </c>
      <c r="P72" s="185" t="n">
        <f aca="false">P49</f>
        <v>-26166</v>
      </c>
      <c r="Q72" s="185" t="n">
        <f aca="false">Q49</f>
        <v>-26166</v>
      </c>
      <c r="R72" s="185" t="n">
        <f aca="false">R49</f>
        <v>-26166</v>
      </c>
      <c r="S72" s="185" t="n">
        <f aca="false">S49</f>
        <v>-26166</v>
      </c>
      <c r="T72" s="185" t="n">
        <f aca="false">T49</f>
        <v>-26166</v>
      </c>
      <c r="U72" s="185" t="n">
        <f aca="false">U49</f>
        <v>-26166</v>
      </c>
      <c r="V72" s="185" t="n">
        <f aca="false">V49</f>
        <v>-26166</v>
      </c>
      <c r="W72" s="185" t="n">
        <f aca="false">W49</f>
        <v>-26166</v>
      </c>
      <c r="X72" s="178"/>
    </row>
    <row r="73" customFormat="false" ht="18.75" hidden="false" customHeight="true" outlineLevel="0" collapsed="false">
      <c r="B73" s="183" t="s">
        <v>126</v>
      </c>
      <c r="C73" s="175"/>
      <c r="D73" s="185" t="n">
        <f aca="false">D50</f>
        <v>-43610</v>
      </c>
      <c r="E73" s="185" t="n">
        <f aca="false">E50</f>
        <v>-43610</v>
      </c>
      <c r="F73" s="185" t="n">
        <f aca="false">F50</f>
        <v>-43610</v>
      </c>
      <c r="G73" s="185" t="n">
        <f aca="false">G50</f>
        <v>-43610</v>
      </c>
      <c r="H73" s="185" t="n">
        <f aca="false">H50</f>
        <v>-43610</v>
      </c>
      <c r="I73" s="185" t="n">
        <f aca="false">I50</f>
        <v>-43610</v>
      </c>
      <c r="J73" s="185" t="n">
        <f aca="false">J50</f>
        <v>-43610</v>
      </c>
      <c r="K73" s="185" t="n">
        <f aca="false">K50</f>
        <v>-43610</v>
      </c>
      <c r="L73" s="185" t="n">
        <f aca="false">L50</f>
        <v>-43610</v>
      </c>
      <c r="M73" s="185" t="n">
        <f aca="false">M50</f>
        <v>-43610</v>
      </c>
      <c r="N73" s="185" t="n">
        <f aca="false">N50</f>
        <v>0</v>
      </c>
      <c r="O73" s="185" t="n">
        <f aca="false">O50</f>
        <v>0</v>
      </c>
      <c r="P73" s="185" t="n">
        <f aca="false">P50</f>
        <v>0</v>
      </c>
      <c r="Q73" s="185" t="n">
        <f aca="false">Q50</f>
        <v>0</v>
      </c>
      <c r="R73" s="185" t="n">
        <f aca="false">R50</f>
        <v>0</v>
      </c>
      <c r="S73" s="185" t="n">
        <f aca="false">S50</f>
        <v>0</v>
      </c>
      <c r="T73" s="185" t="n">
        <f aca="false">T50</f>
        <v>0</v>
      </c>
      <c r="U73" s="185" t="n">
        <f aca="false">U50</f>
        <v>0</v>
      </c>
      <c r="V73" s="185" t="n">
        <f aca="false">V50</f>
        <v>0</v>
      </c>
      <c r="W73" s="185" t="n">
        <f aca="false">W50</f>
        <v>0</v>
      </c>
      <c r="X73" s="178"/>
    </row>
    <row r="74" customFormat="false" ht="18.75" hidden="false" customHeight="true" outlineLevel="0" collapsed="false">
      <c r="B74" s="183" t="s">
        <v>127</v>
      </c>
      <c r="C74" s="186"/>
      <c r="D74" s="201"/>
      <c r="E74" s="202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8"/>
    </row>
    <row r="75" customFormat="false" ht="18.75" hidden="false" customHeight="true" outlineLevel="0" collapsed="false">
      <c r="B75" s="183" t="s">
        <v>128</v>
      </c>
      <c r="C75" s="18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8"/>
    </row>
    <row r="76" customFormat="false" ht="18.75" hidden="false" customHeight="true" outlineLevel="0" collapsed="false">
      <c r="B76" s="188" t="s">
        <v>136</v>
      </c>
      <c r="C76" s="203"/>
      <c r="D76" s="190" t="n">
        <f aca="false">SUM(D64:D75)</f>
        <v>997626.628</v>
      </c>
      <c r="E76" s="190" t="n">
        <f aca="false">SUM(E64:E75)</f>
        <v>716578.782133333</v>
      </c>
      <c r="F76" s="190" t="n">
        <f aca="false">SUM(F64:F75)</f>
        <v>725731.936266667</v>
      </c>
      <c r="G76" s="190" t="n">
        <f aca="false">SUM(G64:G75)</f>
        <v>734885.0904</v>
      </c>
      <c r="H76" s="190" t="n">
        <f aca="false">SUM(H64:H75)</f>
        <v>744038.244533333</v>
      </c>
      <c r="I76" s="190" t="n">
        <f aca="false">SUM(I64:I75)</f>
        <v>753191.398666666</v>
      </c>
      <c r="J76" s="190" t="n">
        <f aca="false">SUM(J64:J75)</f>
        <v>762344.5528</v>
      </c>
      <c r="K76" s="190" t="n">
        <f aca="false">SUM(K64:K75)</f>
        <v>771497.706933333</v>
      </c>
      <c r="L76" s="190" t="n">
        <f aca="false">SUM(L64:L75)</f>
        <v>780650.861066666</v>
      </c>
      <c r="M76" s="190" t="n">
        <f aca="false">SUM(M64:M75)</f>
        <v>789804.0152</v>
      </c>
      <c r="N76" s="190" t="n">
        <f aca="false">SUM(N64:N75)</f>
        <v>842567.169333333</v>
      </c>
      <c r="O76" s="190" t="n">
        <f aca="false">SUM(O64:O75)</f>
        <v>851720.323466667</v>
      </c>
      <c r="P76" s="190" t="n">
        <f aca="false">SUM(P64:P75)</f>
        <v>860873.4776</v>
      </c>
      <c r="Q76" s="190" t="n">
        <f aca="false">SUM(Q64:Q75)</f>
        <v>870026.631733333</v>
      </c>
      <c r="R76" s="190" t="n">
        <f aca="false">SUM(R64:R75)</f>
        <v>879179.785866666</v>
      </c>
      <c r="S76" s="190" t="n">
        <f aca="false">SUM(S64:S75)</f>
        <v>888332.94</v>
      </c>
      <c r="T76" s="190" t="n">
        <f aca="false">SUM(T64:T75)</f>
        <v>879580.908</v>
      </c>
      <c r="U76" s="190" t="n">
        <f aca="false">SUM(U64:U75)</f>
        <v>870828.876</v>
      </c>
      <c r="V76" s="190" t="n">
        <f aca="false">SUM(V64:V75)</f>
        <v>862076.844</v>
      </c>
      <c r="W76" s="190" t="n">
        <f aca="false">SUM(W64:W75)</f>
        <v>853324.812</v>
      </c>
      <c r="X76" s="190" t="n">
        <f aca="false">SUM(X64:X75)</f>
        <v>0</v>
      </c>
    </row>
    <row r="77" customFormat="false" ht="18.75" hidden="false" customHeight="true" outlineLevel="0" collapsed="false">
      <c r="B77" s="187" t="s">
        <v>130</v>
      </c>
      <c r="C77" s="186"/>
      <c r="D77" s="185" t="n">
        <f aca="false">-D76*0.2</f>
        <v>-199525.3256</v>
      </c>
      <c r="E77" s="185" t="n">
        <f aca="false">-E76*0.2</f>
        <v>-143315.756426667</v>
      </c>
      <c r="F77" s="185" t="n">
        <f aca="false">-F76*0.2</f>
        <v>-145146.387253333</v>
      </c>
      <c r="G77" s="185" t="n">
        <f aca="false">-G76*0.2</f>
        <v>-146977.01808</v>
      </c>
      <c r="H77" s="185" t="n">
        <f aca="false">-H76*0.2</f>
        <v>-148807.648906667</v>
      </c>
      <c r="I77" s="185" t="n">
        <f aca="false">-I76*0.2</f>
        <v>-150638.279733333</v>
      </c>
      <c r="J77" s="185" t="n">
        <f aca="false">-J76*0.2</f>
        <v>-152468.91056</v>
      </c>
      <c r="K77" s="185" t="n">
        <f aca="false">-K76*0.2</f>
        <v>-154299.541386667</v>
      </c>
      <c r="L77" s="185" t="n">
        <f aca="false">-L76*0.2</f>
        <v>-156130.172213333</v>
      </c>
      <c r="M77" s="185" t="n">
        <f aca="false">-M76*0.2</f>
        <v>-157960.80304</v>
      </c>
      <c r="N77" s="185" t="n">
        <f aca="false">-N76*0.2</f>
        <v>-168513.433866667</v>
      </c>
      <c r="O77" s="185" t="n">
        <f aca="false">-O76*0.2</f>
        <v>-170344.064693333</v>
      </c>
      <c r="P77" s="185" t="n">
        <f aca="false">-P76*0.2</f>
        <v>-172174.69552</v>
      </c>
      <c r="Q77" s="185" t="n">
        <f aca="false">-Q76*0.2</f>
        <v>-174005.326346667</v>
      </c>
      <c r="R77" s="185" t="n">
        <f aca="false">-R76*0.2</f>
        <v>-175835.957173333</v>
      </c>
      <c r="S77" s="185" t="n">
        <f aca="false">-S76*0.2</f>
        <v>-177666.588</v>
      </c>
      <c r="T77" s="185" t="n">
        <f aca="false">-T76*0.2</f>
        <v>-175916.1816</v>
      </c>
      <c r="U77" s="185" t="n">
        <f aca="false">-U76*0.2</f>
        <v>-174165.7752</v>
      </c>
      <c r="V77" s="185" t="n">
        <f aca="false">-V76*0.2</f>
        <v>-172415.3688</v>
      </c>
      <c r="W77" s="185" t="n">
        <f aca="false">-W76*0.2</f>
        <v>-170664.9624</v>
      </c>
      <c r="X77" s="185" t="n">
        <f aca="false">-X76*0.2</f>
        <v>-0</v>
      </c>
    </row>
    <row r="78" customFormat="false" ht="15.75" hidden="false" customHeight="true" outlineLevel="0" collapsed="false">
      <c r="B78" s="204" t="s">
        <v>137</v>
      </c>
      <c r="D78" s="185" t="n">
        <f aca="false">SUM(D76:D77)</f>
        <v>798101.3024</v>
      </c>
      <c r="E78" s="185" t="n">
        <f aca="false">SUM(E76:E77)</f>
        <v>573263.025706666</v>
      </c>
      <c r="F78" s="185" t="n">
        <f aca="false">SUM(F76:F77)</f>
        <v>580585.549013333</v>
      </c>
      <c r="G78" s="185" t="n">
        <f aca="false">SUM(G76:G77)</f>
        <v>587908.07232</v>
      </c>
      <c r="H78" s="185" t="n">
        <f aca="false">SUM(H76:H77)</f>
        <v>595230.595626666</v>
      </c>
      <c r="I78" s="185" t="n">
        <f aca="false">SUM(I76:I77)</f>
        <v>602553.118933333</v>
      </c>
      <c r="J78" s="185" t="n">
        <f aca="false">SUM(J76:J77)</f>
        <v>609875.64224</v>
      </c>
      <c r="K78" s="185" t="n">
        <f aca="false">SUM(K76:K77)</f>
        <v>617198.165546667</v>
      </c>
      <c r="L78" s="185" t="n">
        <f aca="false">SUM(L76:L77)</f>
        <v>624520.688853333</v>
      </c>
      <c r="M78" s="185" t="n">
        <f aca="false">SUM(M76:M77)</f>
        <v>631843.21216</v>
      </c>
      <c r="N78" s="185" t="n">
        <f aca="false">SUM(N76:N77)</f>
        <v>674053.735466666</v>
      </c>
      <c r="O78" s="185" t="n">
        <f aca="false">SUM(O76:O77)</f>
        <v>681376.258773333</v>
      </c>
      <c r="P78" s="185" t="n">
        <f aca="false">SUM(P76:P77)</f>
        <v>688698.78208</v>
      </c>
      <c r="Q78" s="185" t="n">
        <f aca="false">SUM(Q76:Q77)</f>
        <v>696021.305386666</v>
      </c>
      <c r="R78" s="185" t="n">
        <f aca="false">SUM(R76:R77)</f>
        <v>703343.828693333</v>
      </c>
      <c r="S78" s="185" t="n">
        <f aca="false">SUM(S76:S77)</f>
        <v>710666.352</v>
      </c>
      <c r="T78" s="185" t="n">
        <f aca="false">SUM(T76:T77)</f>
        <v>703664.7264</v>
      </c>
      <c r="U78" s="185" t="n">
        <f aca="false">SUM(U76:U77)</f>
        <v>696663.1008</v>
      </c>
      <c r="V78" s="185" t="n">
        <f aca="false">SUM(V76:V77)</f>
        <v>689661.4752</v>
      </c>
      <c r="W78" s="185" t="n">
        <f aca="false">SUM(W76:W77)</f>
        <v>682659.8496</v>
      </c>
      <c r="X78" s="185" t="n">
        <f aca="false">SUM(X76:X77)</f>
        <v>0</v>
      </c>
    </row>
    <row r="79" customFormat="false" ht="18.75" hidden="false" customHeight="true" outlineLevel="0" collapsed="false">
      <c r="B79" s="194" t="s">
        <v>132</v>
      </c>
      <c r="C79" s="197"/>
      <c r="D79" s="205"/>
      <c r="E79" s="205"/>
      <c r="F79" s="205"/>
      <c r="G79" s="205"/>
      <c r="H79" s="205"/>
      <c r="I79" s="205"/>
      <c r="J79" s="205"/>
      <c r="K79" s="205"/>
      <c r="L79" s="205"/>
      <c r="M79" s="205"/>
      <c r="N79" s="205"/>
      <c r="O79" s="205"/>
      <c r="P79" s="205"/>
      <c r="Q79" s="205"/>
      <c r="R79" s="205"/>
      <c r="S79" s="205"/>
      <c r="T79" s="205"/>
      <c r="U79" s="205"/>
      <c r="V79" s="205"/>
      <c r="W79" s="205"/>
      <c r="X79" s="206"/>
    </row>
    <row r="80" customFormat="false" ht="18.75" hidden="false" customHeight="true" outlineLevel="0" collapsed="false">
      <c r="B80" s="134" t="s">
        <v>133</v>
      </c>
      <c r="C80" s="135"/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7"/>
    </row>
    <row r="81" customFormat="false" ht="18.75" hidden="false" customHeight="true" outlineLevel="0" collapsed="false">
      <c r="B81" s="122"/>
      <c r="C81" s="121"/>
      <c r="D81" s="121"/>
      <c r="E81" s="121"/>
      <c r="F81" s="122"/>
      <c r="G81" s="122"/>
      <c r="H81" s="122"/>
      <c r="I81" s="122"/>
      <c r="J81" s="122"/>
      <c r="K81" s="122"/>
      <c r="L81" s="122"/>
      <c r="M81" s="121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</row>
    <row r="82" customFormat="false" ht="18.75" hidden="false" customHeight="true" outlineLevel="0" collapsed="false">
      <c r="C82" s="138" t="s">
        <v>114</v>
      </c>
      <c r="D82" s="139" t="n">
        <f aca="false">D37</f>
        <v>2020</v>
      </c>
      <c r="E82" s="139" t="n">
        <f aca="false">E37</f>
        <v>2021</v>
      </c>
      <c r="F82" s="139" t="n">
        <f aca="false">F37</f>
        <v>2022</v>
      </c>
      <c r="G82" s="139" t="n">
        <f aca="false">G37</f>
        <v>2023</v>
      </c>
      <c r="H82" s="139" t="n">
        <f aca="false">H37</f>
        <v>2024</v>
      </c>
      <c r="I82" s="139" t="n">
        <f aca="false">I37</f>
        <v>2025</v>
      </c>
      <c r="J82" s="139" t="n">
        <f aca="false">J37</f>
        <v>2026</v>
      </c>
      <c r="K82" s="139" t="n">
        <f aca="false">K37</f>
        <v>2027</v>
      </c>
      <c r="L82" s="139" t="n">
        <f aca="false">L37</f>
        <v>2028</v>
      </c>
      <c r="M82" s="139" t="n">
        <f aca="false">M37</f>
        <v>2029</v>
      </c>
      <c r="N82" s="139" t="n">
        <f aca="false">N37</f>
        <v>2030</v>
      </c>
      <c r="O82" s="139" t="n">
        <f aca="false">O37</f>
        <v>2031</v>
      </c>
      <c r="P82" s="139" t="n">
        <f aca="false">P37</f>
        <v>2032</v>
      </c>
      <c r="Q82" s="139" t="n">
        <f aca="false">Q37</f>
        <v>2033</v>
      </c>
      <c r="R82" s="139" t="n">
        <f aca="false">R37</f>
        <v>2034</v>
      </c>
      <c r="S82" s="139" t="n">
        <f aca="false">S37</f>
        <v>2035</v>
      </c>
      <c r="T82" s="139" t="n">
        <f aca="false">T37</f>
        <v>2036</v>
      </c>
      <c r="U82" s="139" t="n">
        <f aca="false">U37</f>
        <v>2037</v>
      </c>
      <c r="V82" s="139" t="n">
        <f aca="false">V37</f>
        <v>2038</v>
      </c>
      <c r="W82" s="139" t="n">
        <f aca="false">W37</f>
        <v>2039</v>
      </c>
      <c r="X82" s="124"/>
    </row>
    <row r="83" customFormat="false" ht="18.75" hidden="false" customHeight="true" outlineLevel="0" collapsed="false">
      <c r="X83" s="123"/>
    </row>
    <row r="84" customFormat="false" ht="18.75" hidden="false" customHeight="true" outlineLevel="0" collapsed="false">
      <c r="B84" s="140" t="s">
        <v>115</v>
      </c>
      <c r="C84" s="140" t="n">
        <v>0</v>
      </c>
      <c r="D84" s="140" t="n">
        <v>1</v>
      </c>
      <c r="E84" s="140" t="n">
        <v>2</v>
      </c>
      <c r="F84" s="140" t="n">
        <v>3</v>
      </c>
      <c r="G84" s="140" t="n">
        <v>4</v>
      </c>
      <c r="H84" s="140" t="n">
        <v>5</v>
      </c>
      <c r="I84" s="140" t="n">
        <v>6</v>
      </c>
      <c r="J84" s="140" t="n">
        <v>7</v>
      </c>
      <c r="K84" s="140" t="n">
        <v>8</v>
      </c>
      <c r="L84" s="140" t="n">
        <v>9</v>
      </c>
      <c r="M84" s="140" t="n">
        <v>10</v>
      </c>
      <c r="N84" s="140" t="n">
        <v>11</v>
      </c>
      <c r="O84" s="140" t="n">
        <v>12</v>
      </c>
      <c r="P84" s="140" t="n">
        <v>13</v>
      </c>
      <c r="Q84" s="140" t="n">
        <v>14</v>
      </c>
      <c r="R84" s="140" t="n">
        <v>15</v>
      </c>
      <c r="S84" s="140" t="n">
        <v>16</v>
      </c>
      <c r="T84" s="140" t="n">
        <v>17</v>
      </c>
      <c r="U84" s="140" t="n">
        <v>18</v>
      </c>
      <c r="V84" s="140" t="n">
        <v>19</v>
      </c>
      <c r="W84" s="140" t="n">
        <v>20</v>
      </c>
      <c r="X84" s="141"/>
    </row>
    <row r="85" customFormat="false" ht="18.75" hidden="false" customHeight="true" outlineLevel="0" collapsed="false">
      <c r="B85" s="207" t="s">
        <v>137</v>
      </c>
      <c r="C85" s="207"/>
      <c r="D85" s="208" t="n">
        <f aca="false">D78</f>
        <v>798101.3024</v>
      </c>
      <c r="E85" s="208" t="n">
        <f aca="false">E78</f>
        <v>573263.025706666</v>
      </c>
      <c r="F85" s="208" t="n">
        <f aca="false">F78</f>
        <v>580585.549013333</v>
      </c>
      <c r="G85" s="208" t="n">
        <f aca="false">G78</f>
        <v>587908.07232</v>
      </c>
      <c r="H85" s="208" t="n">
        <f aca="false">H78</f>
        <v>595230.595626666</v>
      </c>
      <c r="I85" s="208" t="n">
        <f aca="false">I78</f>
        <v>602553.118933333</v>
      </c>
      <c r="J85" s="208" t="n">
        <f aca="false">J78</f>
        <v>609875.64224</v>
      </c>
      <c r="K85" s="208" t="n">
        <f aca="false">K78</f>
        <v>617198.165546667</v>
      </c>
      <c r="L85" s="208" t="n">
        <f aca="false">L78</f>
        <v>624520.688853333</v>
      </c>
      <c r="M85" s="208" t="n">
        <f aca="false">M78</f>
        <v>631843.21216</v>
      </c>
      <c r="N85" s="208" t="n">
        <f aca="false">N78</f>
        <v>674053.735466666</v>
      </c>
      <c r="O85" s="208" t="n">
        <f aca="false">O78</f>
        <v>681376.258773333</v>
      </c>
      <c r="P85" s="208" t="n">
        <f aca="false">P78</f>
        <v>688698.78208</v>
      </c>
      <c r="Q85" s="208" t="n">
        <f aca="false">Q78</f>
        <v>696021.305386666</v>
      </c>
      <c r="R85" s="208" t="n">
        <f aca="false">R78</f>
        <v>703343.828693333</v>
      </c>
      <c r="S85" s="208" t="n">
        <f aca="false">S78</f>
        <v>710666.352</v>
      </c>
      <c r="T85" s="208" t="n">
        <f aca="false">T78</f>
        <v>703664.7264</v>
      </c>
      <c r="U85" s="208" t="n">
        <f aca="false">U78</f>
        <v>696663.1008</v>
      </c>
      <c r="V85" s="208" t="n">
        <f aca="false">V78</f>
        <v>689661.4752</v>
      </c>
      <c r="W85" s="208" t="n">
        <f aca="false">W78</f>
        <v>682659.8496</v>
      </c>
      <c r="X85" s="207"/>
      <c r="Y85" s="207"/>
    </row>
    <row r="86" customFormat="false" ht="15.75" hidden="false" customHeight="true" outlineLevel="0" collapsed="false">
      <c r="B86" s="207" t="s">
        <v>138</v>
      </c>
      <c r="C86" s="207"/>
      <c r="D86" s="209" t="n">
        <f aca="false">-D67</f>
        <v>655707.5</v>
      </c>
      <c r="E86" s="209" t="n">
        <f aca="false">-E67</f>
        <v>655707.5</v>
      </c>
      <c r="F86" s="209" t="n">
        <f aca="false">-F67</f>
        <v>655707.5</v>
      </c>
      <c r="G86" s="209" t="n">
        <f aca="false">-G67</f>
        <v>655707.5</v>
      </c>
      <c r="H86" s="209" t="n">
        <f aca="false">-H67</f>
        <v>655707.5</v>
      </c>
      <c r="I86" s="209" t="n">
        <f aca="false">-I67</f>
        <v>655707.5</v>
      </c>
      <c r="J86" s="209" t="n">
        <f aca="false">-J67</f>
        <v>655707.5</v>
      </c>
      <c r="K86" s="209" t="n">
        <f aca="false">-K67</f>
        <v>655707.5</v>
      </c>
      <c r="L86" s="209" t="n">
        <f aca="false">-L67</f>
        <v>655707.5</v>
      </c>
      <c r="M86" s="209" t="n">
        <f aca="false">-M67</f>
        <v>655707.5</v>
      </c>
      <c r="N86" s="209" t="n">
        <f aca="false">-N67</f>
        <v>655707.5</v>
      </c>
      <c r="O86" s="209" t="n">
        <f aca="false">-O67</f>
        <v>655707.5</v>
      </c>
      <c r="P86" s="209" t="n">
        <f aca="false">-P67</f>
        <v>655707.5</v>
      </c>
      <c r="Q86" s="209" t="n">
        <f aca="false">-Q67</f>
        <v>655707.5</v>
      </c>
      <c r="R86" s="209" t="n">
        <f aca="false">-R67</f>
        <v>655707.5</v>
      </c>
      <c r="S86" s="209" t="n">
        <f aca="false">-S67</f>
        <v>655707.5</v>
      </c>
      <c r="T86" s="209" t="n">
        <f aca="false">-T67</f>
        <v>655707.5</v>
      </c>
      <c r="U86" s="209" t="n">
        <f aca="false">-U67</f>
        <v>655707.5</v>
      </c>
      <c r="V86" s="209" t="n">
        <f aca="false">-V67</f>
        <v>655707.5</v>
      </c>
      <c r="W86" s="209" t="n">
        <f aca="false">-W67</f>
        <v>655707.5</v>
      </c>
      <c r="X86" s="210"/>
      <c r="Y86" s="210"/>
    </row>
    <row r="87" customFormat="false" ht="15.75" hidden="false" customHeight="true" outlineLevel="0" collapsed="false">
      <c r="B87" s="207" t="s">
        <v>139</v>
      </c>
      <c r="C87" s="207"/>
      <c r="D87" s="211" t="n">
        <f aca="false">SUM(D85:D86)</f>
        <v>1453808.8024</v>
      </c>
      <c r="E87" s="211" t="n">
        <f aca="false">SUM(E85:E86)</f>
        <v>1228970.52570667</v>
      </c>
      <c r="F87" s="211" t="n">
        <f aca="false">SUM(F85:F86)</f>
        <v>1236293.04901333</v>
      </c>
      <c r="G87" s="211" t="n">
        <f aca="false">SUM(G85:G86)</f>
        <v>1243615.57232</v>
      </c>
      <c r="H87" s="211" t="n">
        <f aca="false">SUM(H85:H86)</f>
        <v>1250938.09562667</v>
      </c>
      <c r="I87" s="211" t="n">
        <f aca="false">SUM(I85:I86)</f>
        <v>1258260.61893333</v>
      </c>
      <c r="J87" s="211" t="n">
        <f aca="false">SUM(J85:J86)</f>
        <v>1265583.14224</v>
      </c>
      <c r="K87" s="211" t="n">
        <f aca="false">SUM(K85:K86)</f>
        <v>1272905.66554667</v>
      </c>
      <c r="L87" s="211" t="n">
        <f aca="false">SUM(L85:L86)</f>
        <v>1280228.18885333</v>
      </c>
      <c r="M87" s="211" t="n">
        <f aca="false">SUM(M85:M86)</f>
        <v>1287550.71216</v>
      </c>
      <c r="N87" s="211" t="n">
        <f aca="false">SUM(N85:N86)</f>
        <v>1329761.23546667</v>
      </c>
      <c r="O87" s="211" t="n">
        <f aca="false">SUM(O85:O86)</f>
        <v>1337083.75877333</v>
      </c>
      <c r="P87" s="211" t="n">
        <f aca="false">SUM(P85:P86)</f>
        <v>1344406.28208</v>
      </c>
      <c r="Q87" s="211" t="n">
        <f aca="false">SUM(Q85:Q86)</f>
        <v>1351728.80538667</v>
      </c>
      <c r="R87" s="211" t="n">
        <f aca="false">SUM(R85:R86)</f>
        <v>1359051.32869333</v>
      </c>
      <c r="S87" s="211" t="n">
        <f aca="false">SUM(S85:S86)</f>
        <v>1366373.852</v>
      </c>
      <c r="T87" s="211" t="n">
        <f aca="false">SUM(T85:T86)</f>
        <v>1359372.2264</v>
      </c>
      <c r="U87" s="211" t="n">
        <f aca="false">SUM(U85:U86)</f>
        <v>1352370.6008</v>
      </c>
      <c r="V87" s="211" t="n">
        <f aca="false">SUM(V85:V86)</f>
        <v>1345368.9752</v>
      </c>
      <c r="W87" s="211" t="n">
        <f aca="false">SUM(W85:W86)</f>
        <v>1338367.3496</v>
      </c>
      <c r="X87" s="193"/>
    </row>
    <row r="88" customFormat="false" ht="15.75" hidden="false" customHeight="true" outlineLevel="0" collapsed="false">
      <c r="B88" s="207"/>
      <c r="C88" s="207"/>
      <c r="D88" s="207"/>
      <c r="E88" s="207"/>
      <c r="F88" s="212"/>
      <c r="G88" s="212"/>
      <c r="H88" s="212"/>
      <c r="I88" s="212"/>
      <c r="J88" s="212"/>
      <c r="K88" s="212"/>
      <c r="L88" s="212"/>
      <c r="M88" s="212"/>
      <c r="N88" s="212"/>
      <c r="O88" s="212"/>
      <c r="P88" s="212"/>
      <c r="Q88" s="212"/>
      <c r="R88" s="212"/>
      <c r="S88" s="212"/>
      <c r="T88" s="212"/>
      <c r="U88" s="212"/>
      <c r="V88" s="212"/>
      <c r="W88" s="212"/>
      <c r="X88" s="192"/>
    </row>
    <row r="89" customFormat="false" ht="15.75" hidden="false" customHeight="true" outlineLevel="0" collapsed="false">
      <c r="B89" s="213" t="s">
        <v>140</v>
      </c>
      <c r="C89" s="214"/>
      <c r="D89" s="215" t="n">
        <f aca="false">C44</f>
        <v>-13114150</v>
      </c>
      <c r="E89" s="214"/>
      <c r="F89" s="214"/>
      <c r="G89" s="214"/>
      <c r="H89" s="214"/>
      <c r="I89" s="214"/>
      <c r="J89" s="214"/>
      <c r="K89" s="214"/>
      <c r="L89" s="214"/>
      <c r="M89" s="214"/>
      <c r="N89" s="214"/>
      <c r="O89" s="214"/>
      <c r="P89" s="214"/>
      <c r="Q89" s="214"/>
      <c r="R89" s="214"/>
      <c r="S89" s="214"/>
      <c r="T89" s="214"/>
      <c r="U89" s="214"/>
      <c r="V89" s="214"/>
      <c r="W89" s="214"/>
      <c r="X89" s="216"/>
    </row>
    <row r="90" customFormat="false" ht="15.75" hidden="false" customHeight="true" outlineLevel="0" collapsed="false">
      <c r="B90" s="207"/>
      <c r="C90" s="207"/>
      <c r="D90" s="207"/>
      <c r="E90" s="207"/>
      <c r="F90" s="212"/>
      <c r="G90" s="212"/>
      <c r="H90" s="212"/>
      <c r="I90" s="212"/>
      <c r="J90" s="212"/>
      <c r="K90" s="212"/>
      <c r="L90" s="212"/>
      <c r="M90" s="212"/>
      <c r="N90" s="212"/>
      <c r="O90" s="212"/>
      <c r="P90" s="212"/>
      <c r="Q90" s="212"/>
      <c r="R90" s="212"/>
      <c r="S90" s="212"/>
      <c r="T90" s="212"/>
      <c r="U90" s="212"/>
      <c r="V90" s="212"/>
      <c r="W90" s="212"/>
      <c r="X90" s="192"/>
    </row>
    <row r="91" customFormat="false" ht="15.75" hidden="false" customHeight="true" outlineLevel="0" collapsed="false">
      <c r="B91" s="207"/>
      <c r="C91" s="207"/>
      <c r="D91" s="207"/>
      <c r="E91" s="207"/>
      <c r="F91" s="212"/>
      <c r="G91" s="212"/>
      <c r="H91" s="212"/>
      <c r="I91" s="212"/>
      <c r="J91" s="212"/>
      <c r="K91" s="212"/>
      <c r="L91" s="212"/>
      <c r="M91" s="212"/>
      <c r="N91" s="212"/>
      <c r="O91" s="212"/>
      <c r="P91" s="212"/>
      <c r="Q91" s="212"/>
      <c r="R91" s="212"/>
      <c r="S91" s="212"/>
      <c r="T91" s="212"/>
      <c r="U91" s="212"/>
      <c r="V91" s="212"/>
      <c r="W91" s="212"/>
      <c r="X91" s="192"/>
    </row>
    <row r="92" customFormat="false" ht="15.75" hidden="false" customHeight="true" outlineLevel="0" collapsed="false">
      <c r="B92" s="213" t="s">
        <v>141</v>
      </c>
      <c r="C92" s="214"/>
      <c r="D92" s="215" t="n">
        <f aca="false">-D89*D31</f>
        <v>10491320</v>
      </c>
      <c r="E92" s="214"/>
      <c r="F92" s="214"/>
      <c r="G92" s="214"/>
      <c r="H92" s="214"/>
      <c r="I92" s="214"/>
      <c r="J92" s="214"/>
      <c r="K92" s="214"/>
      <c r="L92" s="214"/>
      <c r="M92" s="214"/>
      <c r="N92" s="214"/>
      <c r="O92" s="214"/>
      <c r="P92" s="214"/>
      <c r="Q92" s="214"/>
      <c r="R92" s="214"/>
      <c r="S92" s="214"/>
      <c r="T92" s="214"/>
      <c r="U92" s="214"/>
      <c r="V92" s="214"/>
      <c r="W92" s="214"/>
      <c r="X92" s="192"/>
    </row>
    <row r="93" customFormat="false" ht="15.75" hidden="false" customHeight="true" outlineLevel="0" collapsed="false">
      <c r="B93" s="207" t="s">
        <v>142</v>
      </c>
      <c r="C93" s="207"/>
      <c r="D93" s="217"/>
      <c r="E93" s="217" t="n">
        <v>-699421.333333333</v>
      </c>
      <c r="F93" s="217" t="n">
        <v>-699421.333333333</v>
      </c>
      <c r="G93" s="217" t="n">
        <v>-699421.333333333</v>
      </c>
      <c r="H93" s="217" t="n">
        <v>-699421.333333333</v>
      </c>
      <c r="I93" s="217" t="n">
        <v>-699421.333333333</v>
      </c>
      <c r="J93" s="217" t="n">
        <v>-699421.333333333</v>
      </c>
      <c r="K93" s="217" t="n">
        <v>-699421.333333333</v>
      </c>
      <c r="L93" s="217" t="n">
        <v>-699421.333333333</v>
      </c>
      <c r="M93" s="217" t="n">
        <v>-699421.333333333</v>
      </c>
      <c r="N93" s="217" t="n">
        <v>-699421.333333333</v>
      </c>
      <c r="O93" s="217" t="n">
        <v>-699421.333333333</v>
      </c>
      <c r="P93" s="217" t="n">
        <v>-699421.333333333</v>
      </c>
      <c r="Q93" s="217" t="n">
        <v>-699421.333333333</v>
      </c>
      <c r="R93" s="217" t="n">
        <v>-699421.333333333</v>
      </c>
      <c r="S93" s="217" t="n">
        <v>-699421.333333333</v>
      </c>
      <c r="T93" s="217" t="n">
        <v>0</v>
      </c>
      <c r="U93" s="217" t="n">
        <v>0</v>
      </c>
      <c r="V93" s="217" t="n">
        <v>0</v>
      </c>
      <c r="W93" s="217" t="n">
        <v>0</v>
      </c>
      <c r="X93" s="216"/>
    </row>
    <row r="94" customFormat="false" ht="15.75" hidden="false" customHeight="true" outlineLevel="0" collapsed="false">
      <c r="B94" s="207" t="s">
        <v>143</v>
      </c>
      <c r="C94" s="212"/>
      <c r="D94" s="208" t="n">
        <f aca="false">-D89*(1-D31)</f>
        <v>2622830</v>
      </c>
      <c r="E94" s="212"/>
      <c r="F94" s="212"/>
      <c r="G94" s="212"/>
      <c r="H94" s="212"/>
      <c r="I94" s="212"/>
      <c r="J94" s="212"/>
      <c r="K94" s="212"/>
      <c r="L94" s="212"/>
      <c r="M94" s="212"/>
      <c r="N94" s="212"/>
      <c r="O94" s="212"/>
      <c r="P94" s="212"/>
      <c r="Q94" s="212"/>
      <c r="R94" s="212"/>
      <c r="S94" s="212"/>
      <c r="T94" s="212"/>
      <c r="U94" s="212"/>
      <c r="V94" s="212"/>
      <c r="W94" s="212"/>
      <c r="X94" s="193"/>
    </row>
    <row r="95" customFormat="false" ht="15.75" hidden="false" customHeight="true" outlineLevel="0" collapsed="false">
      <c r="B95" s="207" t="s">
        <v>67</v>
      </c>
      <c r="C95" s="212"/>
      <c r="D95" s="212"/>
      <c r="E95" s="153" t="n">
        <f aca="false">-D85*$D$33</f>
        <v>-718291.17216</v>
      </c>
      <c r="F95" s="153" t="n">
        <f aca="false">-E85*$D$33</f>
        <v>-515936.723136</v>
      </c>
      <c r="G95" s="153" t="n">
        <f aca="false">-F85*$D$33</f>
        <v>-522526.994112</v>
      </c>
      <c r="H95" s="153" t="n">
        <f aca="false">-G85*$D$33</f>
        <v>-529117.265088</v>
      </c>
      <c r="I95" s="153" t="n">
        <f aca="false">-H85*$D$33</f>
        <v>-535707.536064</v>
      </c>
      <c r="J95" s="153" t="n">
        <f aca="false">-I85*$D$33</f>
        <v>-542297.80704</v>
      </c>
      <c r="K95" s="153" t="n">
        <f aca="false">-J85*$D$33</f>
        <v>-548888.078016</v>
      </c>
      <c r="L95" s="153" t="n">
        <f aca="false">-K85*$D$33</f>
        <v>-555478.348992</v>
      </c>
      <c r="M95" s="153" t="n">
        <f aca="false">-L85*$D$33</f>
        <v>-562068.619968</v>
      </c>
      <c r="N95" s="153" t="n">
        <f aca="false">-M85*$D$33</f>
        <v>-568658.890944</v>
      </c>
      <c r="O95" s="153" t="n">
        <f aca="false">-N85*$D$33</f>
        <v>-606648.36192</v>
      </c>
      <c r="P95" s="153" t="n">
        <f aca="false">-O85*$D$33</f>
        <v>-613238.632896</v>
      </c>
      <c r="Q95" s="153" t="n">
        <f aca="false">-P85*$D$33</f>
        <v>-619828.903872</v>
      </c>
      <c r="R95" s="153" t="n">
        <f aca="false">-Q85*$D$33</f>
        <v>-626419.174848</v>
      </c>
      <c r="S95" s="153" t="n">
        <f aca="false">-R85*$D$33</f>
        <v>-633009.445824</v>
      </c>
      <c r="T95" s="153" t="n">
        <f aca="false">-S85*$D$33</f>
        <v>-639599.7168</v>
      </c>
      <c r="U95" s="153" t="n">
        <f aca="false">-T85*$D$33</f>
        <v>-633298.25376</v>
      </c>
      <c r="V95" s="153" t="n">
        <f aca="false">-U85*$D$33</f>
        <v>-626996.79072</v>
      </c>
      <c r="W95" s="153" t="n">
        <f aca="false">-V85*$D$33</f>
        <v>-620695.32768</v>
      </c>
      <c r="X95" s="153" t="n">
        <f aca="false">-W85*$D$33</f>
        <v>-614393.86464</v>
      </c>
    </row>
    <row r="96" customFormat="false" ht="15.75" hidden="false" customHeight="true" outlineLevel="0" collapsed="false">
      <c r="B96" s="218" t="s">
        <v>70</v>
      </c>
      <c r="C96" s="219"/>
      <c r="D96" s="219" t="n">
        <v>0</v>
      </c>
      <c r="E96" s="220" t="n">
        <v>0</v>
      </c>
      <c r="F96" s="220" t="n">
        <v>0</v>
      </c>
      <c r="G96" s="220" t="n">
        <v>0</v>
      </c>
      <c r="H96" s="220" t="n">
        <v>0</v>
      </c>
      <c r="I96" s="220" t="n">
        <v>0</v>
      </c>
      <c r="J96" s="220" t="n">
        <v>0</v>
      </c>
      <c r="K96" s="220" t="n">
        <v>0</v>
      </c>
      <c r="L96" s="220" t="n">
        <v>0</v>
      </c>
      <c r="M96" s="220" t="n">
        <v>0</v>
      </c>
      <c r="N96" s="220" t="n">
        <v>0</v>
      </c>
      <c r="O96" s="220" t="n">
        <v>0</v>
      </c>
      <c r="P96" s="220" t="n">
        <v>0</v>
      </c>
      <c r="Q96" s="220" t="n">
        <v>0</v>
      </c>
      <c r="R96" s="220" t="n">
        <v>0</v>
      </c>
      <c r="S96" s="220" t="n">
        <v>0</v>
      </c>
      <c r="T96" s="220" t="n">
        <v>-655707.5</v>
      </c>
      <c r="U96" s="220" t="n">
        <v>-655707.5</v>
      </c>
      <c r="V96" s="220" t="n">
        <v>-655707.5</v>
      </c>
      <c r="W96" s="220" t="n">
        <v>-655707.5</v>
      </c>
      <c r="X96" s="221" t="n">
        <f aca="false">-W101-X95</f>
        <v>-1314788.87872</v>
      </c>
    </row>
    <row r="97" customFormat="false" ht="15.75" hidden="false" customHeight="true" outlineLevel="0" collapsed="false">
      <c r="B97" s="212"/>
      <c r="C97" s="212"/>
      <c r="D97" s="212"/>
      <c r="E97" s="212"/>
      <c r="F97" s="212"/>
      <c r="G97" s="212"/>
      <c r="H97" s="212"/>
      <c r="I97" s="212"/>
      <c r="J97" s="212"/>
      <c r="K97" s="212"/>
      <c r="L97" s="212"/>
      <c r="M97" s="212"/>
      <c r="N97" s="212"/>
      <c r="O97" s="212"/>
      <c r="P97" s="212"/>
      <c r="Q97" s="212"/>
      <c r="R97" s="212"/>
      <c r="S97" s="212"/>
      <c r="T97" s="212"/>
      <c r="U97" s="212"/>
      <c r="V97" s="212"/>
      <c r="W97" s="212"/>
      <c r="X97" s="193"/>
    </row>
    <row r="98" customFormat="false" ht="15.75" hidden="false" customHeight="true" outlineLevel="0" collapsed="false">
      <c r="B98" s="212"/>
      <c r="C98" s="212"/>
      <c r="D98" s="212"/>
      <c r="E98" s="212"/>
      <c r="F98" s="212"/>
      <c r="G98" s="212"/>
      <c r="H98" s="212"/>
      <c r="I98" s="212"/>
      <c r="J98" s="212"/>
      <c r="K98" s="212"/>
      <c r="L98" s="212"/>
      <c r="M98" s="212"/>
      <c r="N98" s="212"/>
      <c r="O98" s="212"/>
      <c r="P98" s="212"/>
      <c r="Q98" s="212"/>
      <c r="R98" s="212"/>
      <c r="S98" s="212"/>
      <c r="T98" s="212"/>
      <c r="U98" s="212"/>
      <c r="V98" s="212"/>
      <c r="W98" s="212"/>
      <c r="X98" s="193"/>
    </row>
    <row r="99" customFormat="false" ht="15.75" hidden="false" customHeight="true" outlineLevel="0" collapsed="false">
      <c r="B99" s="207" t="s">
        <v>144</v>
      </c>
      <c r="C99" s="208" t="n">
        <v>0</v>
      </c>
      <c r="D99" s="208" t="n">
        <f aca="false">SUM(D87:D96)</f>
        <v>1453808.8024</v>
      </c>
      <c r="E99" s="208" t="n">
        <f aca="false">SUM(E87:E96)</f>
        <v>-188741.979786667</v>
      </c>
      <c r="F99" s="208" t="n">
        <f aca="false">SUM(F87:F96)</f>
        <v>20934.9925440003</v>
      </c>
      <c r="G99" s="208" t="n">
        <f aca="false">SUM(G87:G96)</f>
        <v>21667.2448746667</v>
      </c>
      <c r="H99" s="208" t="n">
        <f aca="false">SUM(H87:H96)</f>
        <v>22399.4972053333</v>
      </c>
      <c r="I99" s="208" t="n">
        <f aca="false">SUM(I87:I96)</f>
        <v>23131.7495359998</v>
      </c>
      <c r="J99" s="208" t="n">
        <f aca="false">SUM(J87:J96)</f>
        <v>23864.0018666668</v>
      </c>
      <c r="K99" s="208" t="n">
        <f aca="false">SUM(K87:K96)</f>
        <v>24596.2541973335</v>
      </c>
      <c r="L99" s="208" t="n">
        <f aca="false">SUM(L87:L96)</f>
        <v>25328.5065279999</v>
      </c>
      <c r="M99" s="208" t="n">
        <f aca="false">SUM(M87:M96)</f>
        <v>26060.7588586669</v>
      </c>
      <c r="N99" s="208" t="n">
        <f aca="false">SUM(N87:N96)</f>
        <v>61681.0111893333</v>
      </c>
      <c r="O99" s="208" t="n">
        <f aca="false">SUM(O87:O96)</f>
        <v>31014.0635200002</v>
      </c>
      <c r="P99" s="208" t="n">
        <f aca="false">SUM(P87:P96)</f>
        <v>31746.3158506666</v>
      </c>
      <c r="Q99" s="208" t="n">
        <f aca="false">SUM(Q87:Q96)</f>
        <v>32478.5681813336</v>
      </c>
      <c r="R99" s="208" t="n">
        <f aca="false">SUM(R87:R96)</f>
        <v>33210.8205119999</v>
      </c>
      <c r="S99" s="208" t="n">
        <f aca="false">SUM(S87:S96)</f>
        <v>33943.0728426668</v>
      </c>
      <c r="T99" s="208" t="n">
        <f aca="false">SUM(T87:T96)</f>
        <v>64065.0096000002</v>
      </c>
      <c r="U99" s="208" t="n">
        <f aca="false">SUM(U87:U96)</f>
        <v>63364.8470400003</v>
      </c>
      <c r="V99" s="208" t="n">
        <f aca="false">SUM(V87:V96)</f>
        <v>62664.6844799998</v>
      </c>
      <c r="W99" s="208" t="n">
        <f aca="false">SUM(W87:W96)</f>
        <v>61964.5219200001</v>
      </c>
      <c r="X99" s="193"/>
    </row>
    <row r="100" customFormat="false" ht="15.75" hidden="false" customHeight="true" outlineLevel="0" collapsed="false">
      <c r="B100" s="207" t="s">
        <v>145</v>
      </c>
      <c r="C100" s="208" t="n">
        <v>0</v>
      </c>
      <c r="D100" s="208" t="n">
        <f aca="false">C101</f>
        <v>0</v>
      </c>
      <c r="E100" s="208" t="n">
        <f aca="false">D101</f>
        <v>1453808.8024</v>
      </c>
      <c r="F100" s="208" t="n">
        <f aca="false">E101</f>
        <v>1265066.82261333</v>
      </c>
      <c r="G100" s="208" t="n">
        <f aca="false">F101</f>
        <v>1286001.81515733</v>
      </c>
      <c r="H100" s="208" t="n">
        <f aca="false">G101</f>
        <v>1307669.060032</v>
      </c>
      <c r="I100" s="208" t="n">
        <f aca="false">H101</f>
        <v>1330068.55723733</v>
      </c>
      <c r="J100" s="208" t="n">
        <f aca="false">I101</f>
        <v>1353200.30677333</v>
      </c>
      <c r="K100" s="208" t="n">
        <f aca="false">J101</f>
        <v>1377064.30864</v>
      </c>
      <c r="L100" s="208" t="n">
        <f aca="false">K101</f>
        <v>1401660.56283733</v>
      </c>
      <c r="M100" s="208" t="n">
        <f aca="false">L101</f>
        <v>1426989.06936533</v>
      </c>
      <c r="N100" s="208" t="n">
        <f aca="false">M101</f>
        <v>1453049.828224</v>
      </c>
      <c r="O100" s="208" t="n">
        <f aca="false">N101</f>
        <v>1514730.83941333</v>
      </c>
      <c r="P100" s="208" t="n">
        <f aca="false">O101</f>
        <v>1545744.90293333</v>
      </c>
      <c r="Q100" s="208" t="n">
        <f aca="false">P101</f>
        <v>1577491.218784</v>
      </c>
      <c r="R100" s="208" t="n">
        <f aca="false">Q101</f>
        <v>1609969.78696533</v>
      </c>
      <c r="S100" s="208" t="n">
        <f aca="false">R101</f>
        <v>1643180.60747733</v>
      </c>
      <c r="T100" s="208" t="n">
        <f aca="false">S101</f>
        <v>1677123.68032</v>
      </c>
      <c r="U100" s="208" t="n">
        <f aca="false">T101</f>
        <v>1741188.68992</v>
      </c>
      <c r="V100" s="208" t="n">
        <f aca="false">U101</f>
        <v>1804553.53696</v>
      </c>
      <c r="W100" s="208" t="n">
        <f aca="false">V101</f>
        <v>1867218.22144</v>
      </c>
      <c r="X100" s="192"/>
    </row>
    <row r="101" customFormat="false" ht="15.75" hidden="false" customHeight="true" outlineLevel="0" collapsed="false">
      <c r="B101" s="207" t="s">
        <v>146</v>
      </c>
      <c r="C101" s="208" t="n">
        <v>0</v>
      </c>
      <c r="D101" s="208" t="n">
        <f aca="false">D99+D100</f>
        <v>1453808.8024</v>
      </c>
      <c r="E101" s="208" t="n">
        <f aca="false">E99+E100</f>
        <v>1265066.82261333</v>
      </c>
      <c r="F101" s="208" t="n">
        <f aca="false">F99+F100</f>
        <v>1286001.81515733</v>
      </c>
      <c r="G101" s="208" t="n">
        <f aca="false">G99+G100</f>
        <v>1307669.060032</v>
      </c>
      <c r="H101" s="208" t="n">
        <f aca="false">H99+H100</f>
        <v>1330068.55723733</v>
      </c>
      <c r="I101" s="208" t="n">
        <f aca="false">I99+I100</f>
        <v>1353200.30677333</v>
      </c>
      <c r="J101" s="208" t="n">
        <f aca="false">J99+J100</f>
        <v>1377064.30864</v>
      </c>
      <c r="K101" s="208" t="n">
        <f aca="false">K99+K100</f>
        <v>1401660.56283733</v>
      </c>
      <c r="L101" s="208" t="n">
        <f aca="false">L99+L100</f>
        <v>1426989.06936533</v>
      </c>
      <c r="M101" s="208" t="n">
        <f aca="false">M99+M100</f>
        <v>1453049.828224</v>
      </c>
      <c r="N101" s="208" t="n">
        <f aca="false">N99+N100</f>
        <v>1514730.83941333</v>
      </c>
      <c r="O101" s="208" t="n">
        <f aca="false">O99+O100</f>
        <v>1545744.90293333</v>
      </c>
      <c r="P101" s="208" t="n">
        <f aca="false">P99+P100</f>
        <v>1577491.218784</v>
      </c>
      <c r="Q101" s="208" t="n">
        <f aca="false">Q99+Q100</f>
        <v>1609969.78696533</v>
      </c>
      <c r="R101" s="208" t="n">
        <f aca="false">R99+R100</f>
        <v>1643180.60747733</v>
      </c>
      <c r="S101" s="208" t="n">
        <f aca="false">S99+S100</f>
        <v>1677123.68032</v>
      </c>
      <c r="T101" s="208" t="n">
        <f aca="false">T99+T100</f>
        <v>1741188.68992</v>
      </c>
      <c r="U101" s="208" t="n">
        <f aca="false">U99+U100</f>
        <v>1804553.53696</v>
      </c>
      <c r="V101" s="208" t="n">
        <f aca="false">V99+V100</f>
        <v>1867218.22144</v>
      </c>
      <c r="W101" s="208" t="n">
        <f aca="false">W99+W100</f>
        <v>1929182.74336</v>
      </c>
      <c r="X101" s="192"/>
    </row>
    <row r="102" customFormat="false" ht="15.75" hidden="false" customHeight="true" outlineLevel="0" collapsed="false">
      <c r="B102" s="207"/>
      <c r="C102" s="207"/>
      <c r="D102" s="207"/>
      <c r="E102" s="207"/>
      <c r="F102" s="207"/>
      <c r="G102" s="207"/>
      <c r="H102" s="207"/>
      <c r="I102" s="207"/>
      <c r="J102" s="207"/>
      <c r="K102" s="207"/>
      <c r="L102" s="207"/>
      <c r="M102" s="207"/>
      <c r="N102" s="207"/>
      <c r="O102" s="207"/>
      <c r="P102" s="207"/>
      <c r="Q102" s="207"/>
      <c r="R102" s="207"/>
      <c r="S102" s="207"/>
      <c r="T102" s="207"/>
      <c r="U102" s="207"/>
      <c r="V102" s="207"/>
      <c r="W102" s="207"/>
      <c r="X102" s="207"/>
    </row>
    <row r="103" customFormat="false" ht="15.75" hidden="false" customHeight="true" outlineLevel="0" collapsed="false">
      <c r="B103" s="207"/>
      <c r="C103" s="207"/>
      <c r="D103" s="207"/>
      <c r="E103" s="207"/>
      <c r="F103" s="212"/>
      <c r="G103" s="207"/>
      <c r="H103" s="207"/>
      <c r="I103" s="207"/>
      <c r="J103" s="207"/>
      <c r="K103" s="207"/>
      <c r="L103" s="207"/>
      <c r="M103" s="207"/>
      <c r="N103" s="207"/>
      <c r="O103" s="207"/>
      <c r="P103" s="207"/>
      <c r="Q103" s="207"/>
      <c r="R103" s="207"/>
      <c r="S103" s="207"/>
      <c r="T103" s="207"/>
      <c r="U103" s="207"/>
      <c r="V103" s="207"/>
      <c r="W103" s="207"/>
      <c r="X103" s="207"/>
    </row>
    <row r="104" customFormat="false" ht="15.75" hidden="false" customHeight="true" outlineLevel="0" collapsed="false">
      <c r="B104" s="222" t="s">
        <v>147</v>
      </c>
      <c r="C104" s="223"/>
      <c r="D104" s="224" t="n">
        <f aca="false">-D94</f>
        <v>-2622830</v>
      </c>
      <c r="E104" s="211" t="n">
        <f aca="false">-E95-E96</f>
        <v>718291.17216</v>
      </c>
      <c r="F104" s="211" t="n">
        <f aca="false">-F95-F96</f>
        <v>515936.723136</v>
      </c>
      <c r="G104" s="211" t="n">
        <f aca="false">-G95-G96</f>
        <v>522526.994112</v>
      </c>
      <c r="H104" s="211" t="n">
        <f aca="false">-H95-H96</f>
        <v>529117.265088</v>
      </c>
      <c r="I104" s="211" t="n">
        <f aca="false">-I95-I96</f>
        <v>535707.536064</v>
      </c>
      <c r="J104" s="211" t="n">
        <f aca="false">-J95-J96</f>
        <v>542297.80704</v>
      </c>
      <c r="K104" s="211" t="n">
        <f aca="false">-K95-K96</f>
        <v>548888.078016</v>
      </c>
      <c r="L104" s="211" t="n">
        <f aca="false">-L95-L96</f>
        <v>555478.348992</v>
      </c>
      <c r="M104" s="211" t="n">
        <f aca="false">-M95-M96</f>
        <v>562068.619968</v>
      </c>
      <c r="N104" s="211" t="n">
        <f aca="false">-N95-N96</f>
        <v>568658.890944</v>
      </c>
      <c r="O104" s="211" t="n">
        <f aca="false">-O95-O96</f>
        <v>606648.36192</v>
      </c>
      <c r="P104" s="211" t="n">
        <f aca="false">-P95-P96</f>
        <v>613238.632896</v>
      </c>
      <c r="Q104" s="211" t="n">
        <f aca="false">-Q95-Q96</f>
        <v>619828.903872</v>
      </c>
      <c r="R104" s="211" t="n">
        <f aca="false">-R95-R96</f>
        <v>626419.174848</v>
      </c>
      <c r="S104" s="211" t="n">
        <f aca="false">-S95-S96</f>
        <v>633009.445824</v>
      </c>
      <c r="T104" s="211" t="n">
        <f aca="false">-T95-T96</f>
        <v>1295307.2168</v>
      </c>
      <c r="U104" s="211" t="n">
        <f aca="false">-U95-U96</f>
        <v>1289005.75376</v>
      </c>
      <c r="V104" s="211" t="n">
        <f aca="false">-V95-V96</f>
        <v>1282704.29072</v>
      </c>
      <c r="W104" s="211" t="n">
        <f aca="false">-W95-W96</f>
        <v>1276402.82768</v>
      </c>
      <c r="X104" s="211" t="n">
        <f aca="false">-X95-X96</f>
        <v>1929182.74336</v>
      </c>
    </row>
    <row r="105" customFormat="false" ht="15.75" hidden="false" customHeight="true" outlineLevel="0" collapsed="false">
      <c r="B105" s="207" t="s">
        <v>75</v>
      </c>
      <c r="C105" s="161" t="n">
        <f aca="false">IRR(D104:X104)</f>
        <v>0.225273776048866</v>
      </c>
      <c r="D105" s="212"/>
      <c r="E105" s="212"/>
      <c r="F105" s="207"/>
      <c r="G105" s="207"/>
      <c r="H105" s="207"/>
      <c r="I105" s="207"/>
      <c r="J105" s="207"/>
      <c r="K105" s="207"/>
      <c r="L105" s="207"/>
      <c r="M105" s="207"/>
      <c r="N105" s="207"/>
      <c r="O105" s="207"/>
      <c r="P105" s="207"/>
      <c r="Q105" s="207"/>
      <c r="R105" s="207"/>
      <c r="S105" s="207"/>
      <c r="T105" s="207"/>
      <c r="U105" s="207"/>
      <c r="V105" s="207"/>
      <c r="W105" s="207"/>
      <c r="X105" s="207"/>
    </row>
    <row r="106" customFormat="false" ht="15.75" hidden="false" customHeight="true" outlineLevel="0" collapsed="false">
      <c r="B106" s="222" t="s">
        <v>148</v>
      </c>
      <c r="C106" s="223"/>
      <c r="D106" s="224" t="n">
        <f aca="false">D85-D94</f>
        <v>-1824728.6976</v>
      </c>
      <c r="E106" s="211" t="n">
        <f aca="false">E85</f>
        <v>573263.025706666</v>
      </c>
      <c r="F106" s="211" t="n">
        <f aca="false">F85-F96</f>
        <v>580585.549013333</v>
      </c>
      <c r="G106" s="211" t="n">
        <f aca="false">G85-G96</f>
        <v>587908.07232</v>
      </c>
      <c r="H106" s="211" t="n">
        <f aca="false">H85-H96</f>
        <v>595230.595626666</v>
      </c>
      <c r="I106" s="211" t="n">
        <f aca="false">I85-I96</f>
        <v>602553.118933333</v>
      </c>
      <c r="J106" s="211" t="n">
        <f aca="false">J85-J96</f>
        <v>609875.64224</v>
      </c>
      <c r="K106" s="211" t="n">
        <f aca="false">K85-K96</f>
        <v>617198.165546667</v>
      </c>
      <c r="L106" s="211" t="n">
        <f aca="false">L85-L96</f>
        <v>624520.688853333</v>
      </c>
      <c r="M106" s="211" t="n">
        <f aca="false">M85-M96</f>
        <v>631843.21216</v>
      </c>
      <c r="N106" s="211" t="n">
        <f aca="false">N85-N96</f>
        <v>674053.735466666</v>
      </c>
      <c r="O106" s="211" t="n">
        <f aca="false">O85-O96</f>
        <v>681376.258773333</v>
      </c>
      <c r="P106" s="211" t="n">
        <f aca="false">P85-P96</f>
        <v>688698.78208</v>
      </c>
      <c r="Q106" s="211" t="n">
        <f aca="false">Q85-Q96</f>
        <v>696021.305386666</v>
      </c>
      <c r="R106" s="211" t="n">
        <f aca="false">R85-R96</f>
        <v>703343.828693333</v>
      </c>
      <c r="S106" s="211" t="n">
        <f aca="false">S85-S96</f>
        <v>710666.352</v>
      </c>
      <c r="T106" s="211" t="n">
        <f aca="false">T85-T96</f>
        <v>1359372.2264</v>
      </c>
      <c r="U106" s="211" t="n">
        <f aca="false">U85-U96</f>
        <v>1352370.6008</v>
      </c>
      <c r="V106" s="211" t="n">
        <f aca="false">V85-V96</f>
        <v>1345368.9752</v>
      </c>
      <c r="W106" s="211" t="n">
        <f aca="false">W85-W96</f>
        <v>1338367.3496</v>
      </c>
      <c r="X106" s="216"/>
    </row>
    <row r="107" customFormat="false" ht="15.75" hidden="false" customHeight="true" outlineLevel="0" collapsed="false">
      <c r="B107" s="222" t="s">
        <v>76</v>
      </c>
      <c r="C107" s="161" t="n">
        <f aca="false">IRR(D106:W106)</f>
        <v>0.329196856181633</v>
      </c>
      <c r="D107" s="212"/>
      <c r="E107" s="212"/>
      <c r="F107" s="207"/>
      <c r="G107" s="207"/>
      <c r="H107" s="207"/>
      <c r="I107" s="207"/>
      <c r="J107" s="207"/>
      <c r="K107" s="207"/>
      <c r="L107" s="207"/>
      <c r="M107" s="207"/>
      <c r="N107" s="207"/>
      <c r="O107" s="207"/>
      <c r="P107" s="207"/>
      <c r="Q107" s="207"/>
      <c r="R107" s="207"/>
      <c r="S107" s="207"/>
      <c r="T107" s="207"/>
      <c r="U107" s="207"/>
      <c r="V107" s="207"/>
      <c r="W107" s="207"/>
      <c r="X107" s="207"/>
    </row>
    <row r="108" customFormat="false" ht="15.75" hidden="false" customHeight="true" outlineLevel="0" collapsed="false">
      <c r="B108" s="207"/>
      <c r="C108" s="207"/>
      <c r="D108" s="207"/>
      <c r="E108" s="207"/>
      <c r="F108" s="207"/>
      <c r="G108" s="207"/>
      <c r="H108" s="207"/>
      <c r="I108" s="207"/>
      <c r="J108" s="207"/>
      <c r="K108" s="207"/>
      <c r="L108" s="207"/>
      <c r="M108" s="207"/>
      <c r="N108" s="207"/>
      <c r="O108" s="207"/>
      <c r="P108" s="207"/>
      <c r="Q108" s="207"/>
      <c r="R108" s="207"/>
      <c r="S108" s="207"/>
      <c r="T108" s="207"/>
      <c r="U108" s="207"/>
      <c r="V108" s="207"/>
      <c r="W108" s="207"/>
      <c r="X108" s="207"/>
    </row>
    <row r="109" customFormat="false" ht="15.75" hidden="false" customHeight="true" outlineLevel="0" collapsed="false">
      <c r="B109" s="207" t="s">
        <v>149</v>
      </c>
      <c r="C109" s="208" t="n">
        <v>0</v>
      </c>
      <c r="D109" s="208" t="n">
        <f aca="false">D92</f>
        <v>10491320</v>
      </c>
      <c r="E109" s="208" t="n">
        <f aca="false">D109+E93</f>
        <v>9791898.66666667</v>
      </c>
      <c r="F109" s="208" t="n">
        <f aca="false">E109+F93</f>
        <v>9092477.33333333</v>
      </c>
      <c r="G109" s="208" t="n">
        <f aca="false">F109+G93</f>
        <v>8393056</v>
      </c>
      <c r="H109" s="208" t="n">
        <f aca="false">G109+H93</f>
        <v>7693634.66666667</v>
      </c>
      <c r="I109" s="208" t="n">
        <f aca="false">H109+I93</f>
        <v>6994213.33333333</v>
      </c>
      <c r="J109" s="208" t="n">
        <f aca="false">I109+J93</f>
        <v>6294792</v>
      </c>
      <c r="K109" s="208" t="n">
        <f aca="false">J109+K93</f>
        <v>5595370.66666667</v>
      </c>
      <c r="L109" s="208" t="n">
        <f aca="false">K109+L93</f>
        <v>4895949.33333334</v>
      </c>
      <c r="M109" s="208" t="n">
        <f aca="false">L109+M93</f>
        <v>4196528</v>
      </c>
      <c r="N109" s="208" t="n">
        <f aca="false">M109+N93</f>
        <v>3497106.66666667</v>
      </c>
      <c r="O109" s="208" t="n">
        <f aca="false">N109+O93</f>
        <v>2797685.33333334</v>
      </c>
      <c r="P109" s="208" t="n">
        <f aca="false">O109+P93</f>
        <v>2098264</v>
      </c>
      <c r="Q109" s="208" t="n">
        <f aca="false">P109+Q93</f>
        <v>1398842.66666667</v>
      </c>
      <c r="R109" s="208" t="n">
        <f aca="false">Q109+R93</f>
        <v>699421.333333335</v>
      </c>
      <c r="S109" s="208" t="n">
        <f aca="false">R109+S93</f>
        <v>0</v>
      </c>
      <c r="T109" s="208" t="n">
        <f aca="false">S109+T93</f>
        <v>0</v>
      </c>
      <c r="U109" s="208" t="n">
        <f aca="false">T109+U93</f>
        <v>0</v>
      </c>
      <c r="V109" s="208" t="n">
        <f aca="false">U109+V93</f>
        <v>0</v>
      </c>
      <c r="W109" s="208" t="n">
        <f aca="false">V109+W93</f>
        <v>0</v>
      </c>
      <c r="X109" s="2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2026-04-12T05:27:38Z</dcterms:created>
  <dc:creator>openpyxl</dc:creator>
  <dc:description/>
  <dc:language>zh-TW</dc:language>
  <cp:lastModifiedBy>王竣生</cp:lastModifiedBy>
  <dcterms:modified xsi:type="dcterms:W3CDTF">2026-04-14T14:47:23Z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