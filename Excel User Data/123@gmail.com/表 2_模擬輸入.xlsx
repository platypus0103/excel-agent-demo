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660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  <sheet name="滾算紀錄17" sheetId="19" state="visible" r:id="rId19"/>
    <sheet name="滾算紀錄18" sheetId="20" state="visible" r:id="rId20"/>
    <sheet name="滾算紀錄19" sheetId="21" state="visible" r:id="rId21"/>
    <sheet name="滾算紀錄20" sheetId="22" state="visible" r:id="rId22"/>
    <sheet name="滾算紀錄21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3" applyAlignment="1" pivotButton="0" quotePrefix="0" xfId="0">
      <alignment horizontal="center"/>
    </xf>
    <xf numFmtId="0" fontId="10" fillId="6" borderId="13" applyAlignment="1" pivotButton="0" quotePrefix="0" xfId="0">
      <alignment horizontal="center"/>
    </xf>
    <xf numFmtId="4" fontId="11" fillId="0" borderId="15" applyAlignment="1" pivotButton="0" quotePrefix="0" xfId="0">
      <alignment horizontal="right"/>
    </xf>
    <xf numFmtId="3" fontId="12" fillId="0" borderId="16" applyAlignment="1" pivotButton="0" quotePrefix="0" xfId="0">
      <alignment horizontal="left"/>
    </xf>
    <xf numFmtId="3" fontId="12" fillId="0" borderId="17" applyAlignment="1" pivotButton="0" quotePrefix="0" xfId="0">
      <alignment horizontal="left"/>
    </xf>
    <xf numFmtId="3" fontId="13" fillId="7" borderId="18" applyAlignment="1" pivotButton="0" quotePrefix="0" xfId="0">
      <alignment horizontal="left"/>
    </xf>
    <xf numFmtId="3" fontId="9" fillId="0" borderId="17" applyAlignment="1" pivotButton="0" quotePrefix="0" xfId="0">
      <alignment horizontal="left"/>
    </xf>
    <xf numFmtId="3" fontId="9" fillId="8" borderId="18" applyAlignment="1" pivotButton="0" quotePrefix="0" xfId="0">
      <alignment horizontal="center"/>
    </xf>
    <xf numFmtId="0" fontId="9" fillId="0" borderId="19" applyAlignment="1" pivotButton="0" quotePrefix="0" xfId="0">
      <alignment horizontal="left"/>
    </xf>
    <xf numFmtId="4" fontId="14" fillId="0" borderId="20" applyAlignment="1" pivotButton="0" quotePrefix="0" xfId="0">
      <alignment horizontal="right"/>
    </xf>
    <xf numFmtId="3" fontId="14" fillId="0" borderId="14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/>
    </xf>
    <xf numFmtId="4" fontId="16" fillId="0" borderId="22" applyAlignment="1" pivotButton="0" quotePrefix="0" xfId="0">
      <alignment horizontal="right"/>
    </xf>
    <xf numFmtId="3" fontId="14" fillId="5" borderId="23" applyAlignment="1" pivotButton="0" quotePrefix="0" xfId="0">
      <alignment horizontal="center"/>
    </xf>
    <xf numFmtId="4" fontId="16" fillId="9" borderId="24" applyAlignment="1" pivotButton="0" quotePrefix="0" xfId="0">
      <alignment horizontal="left"/>
    </xf>
    <xf numFmtId="3" fontId="14" fillId="0" borderId="16" applyAlignment="1" pivotButton="0" quotePrefix="0" xfId="0">
      <alignment horizontal="center"/>
    </xf>
    <xf numFmtId="3" fontId="14" fillId="0" borderId="17" applyAlignment="1" pivotButton="0" quotePrefix="0" xfId="0">
      <alignment horizontal="center"/>
    </xf>
    <xf numFmtId="3" fontId="14" fillId="0" borderId="19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21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7" applyAlignment="1" pivotButton="0" quotePrefix="0" xfId="0">
      <alignment horizontal="center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4" fontId="16" fillId="10" borderId="25" applyAlignment="1" pivotButton="0" quotePrefix="0" xfId="0">
      <alignment horizontal="left"/>
    </xf>
    <xf numFmtId="3" fontId="14" fillId="7" borderId="13" applyAlignment="1" pivotButton="0" quotePrefix="0" xfId="0">
      <alignment horizontal="center"/>
    </xf>
    <xf numFmtId="3" fontId="9" fillId="0" borderId="14" applyAlignment="1" pivotButton="0" quotePrefix="0" xfId="0">
      <alignment horizontal="left"/>
    </xf>
    <xf numFmtId="3" fontId="9" fillId="0" borderId="30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5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5" applyAlignment="1" pivotButton="0" quotePrefix="0" xfId="0">
      <alignment horizontal="right"/>
    </xf>
    <xf numFmtId="0" fontId="9" fillId="0" borderId="21" applyAlignment="1" pivotButton="0" quotePrefix="0" xfId="0">
      <alignment horizontal="center"/>
    </xf>
    <xf numFmtId="4" fontId="17" fillId="0" borderId="15" applyAlignment="1" pivotButton="0" quotePrefix="0" xfId="0">
      <alignment horizontal="right"/>
    </xf>
    <xf numFmtId="3" fontId="18" fillId="0" borderId="17" applyAlignment="1" pivotButton="0" quotePrefix="0" xfId="0">
      <alignment horizontal="center"/>
    </xf>
    <xf numFmtId="3" fontId="18" fillId="0" borderId="31" applyAlignment="1" pivotButton="0" quotePrefix="0" xfId="0">
      <alignment horizontal="center"/>
    </xf>
    <xf numFmtId="3" fontId="18" fillId="0" borderId="19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2" applyAlignment="1" pivotButton="0" quotePrefix="0" xfId="0">
      <alignment horizontal="right"/>
    </xf>
    <xf numFmtId="3" fontId="21" fillId="0" borderId="27" applyAlignment="1" pivotButton="0" quotePrefix="0" xfId="0">
      <alignment horizontal="center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4" fontId="23" fillId="0" borderId="22" applyAlignment="1" pivotButton="0" quotePrefix="0" xfId="0">
      <alignment horizontal="right"/>
    </xf>
    <xf numFmtId="3" fontId="22" fillId="0" borderId="27" applyAlignment="1" pivotButton="0" quotePrefix="0" xfId="0">
      <alignment horizontal="center"/>
    </xf>
    <xf numFmtId="3" fontId="21" fillId="0" borderId="33" applyAlignment="1" pivotButton="0" quotePrefix="0" xfId="0">
      <alignment horizontal="center"/>
    </xf>
    <xf numFmtId="4" fontId="21" fillId="0" borderId="34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3" applyAlignment="1" pivotButton="0" quotePrefix="0" xfId="0">
      <alignment horizontal="left"/>
    </xf>
    <xf numFmtId="3" fontId="10" fillId="11" borderId="13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3" applyAlignment="1" pivotButton="0" quotePrefix="0" xfId="0">
      <alignment horizontal="left"/>
    </xf>
    <xf numFmtId="3" fontId="8" fillId="0" borderId="32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5" applyAlignment="1" pivotButton="0" quotePrefix="0" xfId="0">
      <alignment horizontal="left"/>
    </xf>
    <xf numFmtId="3" fontId="8" fillId="0" borderId="35" applyAlignment="1" pivotButton="0" quotePrefix="0" xfId="0">
      <alignment horizontal="right"/>
    </xf>
    <xf numFmtId="3" fontId="8" fillId="0" borderId="35" applyAlignment="1" pivotButton="0" quotePrefix="0" xfId="0">
      <alignment horizontal="left"/>
    </xf>
    <xf numFmtId="3" fontId="8" fillId="13" borderId="13" applyAlignment="1" pivotButton="0" quotePrefix="0" xfId="0">
      <alignment horizontal="left"/>
    </xf>
    <xf numFmtId="4" fontId="8" fillId="0" borderId="36" applyAlignment="1" pivotButton="0" quotePrefix="0" xfId="0">
      <alignment horizontal="left"/>
    </xf>
    <xf numFmtId="3" fontId="8" fillId="0" borderId="36" applyAlignment="1" pivotButton="0" quotePrefix="0" xfId="0">
      <alignment horizontal="right"/>
    </xf>
    <xf numFmtId="3" fontId="8" fillId="0" borderId="3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2" applyAlignment="1" pivotButton="0" quotePrefix="0" xfId="0">
      <alignment horizontal="left"/>
    </xf>
    <xf numFmtId="3" fontId="8" fillId="0" borderId="32" applyAlignment="1" pivotButton="0" quotePrefix="0" xfId="0">
      <alignment horizontal="right"/>
    </xf>
    <xf numFmtId="3" fontId="8" fillId="5" borderId="37" applyAlignment="1" pivotButton="0" quotePrefix="0" xfId="0">
      <alignment horizontal="left"/>
    </xf>
    <xf numFmtId="3" fontId="8" fillId="7" borderId="13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4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38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38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5" fillId="14" borderId="41" applyAlignment="1" pivotButton="0" quotePrefix="0" xfId="0">
      <alignment horizontal="center"/>
    </xf>
    <xf numFmtId="0" fontId="0" fillId="0" borderId="33" pivotButton="0" quotePrefix="0" xfId="0"/>
    <xf numFmtId="0" fontId="0" fillId="0" borderId="42" pivotButton="0" quotePrefix="0" xfId="0"/>
    <xf numFmtId="166" fontId="26" fillId="0" borderId="0" pivotButton="0" quotePrefix="0" xfId="0"/>
    <xf numFmtId="166" fontId="8" fillId="0" borderId="43" applyAlignment="1" pivotButton="0" quotePrefix="0" xfId="0">
      <alignment horizontal="left"/>
    </xf>
    <xf numFmtId="166" fontId="27" fillId="0" borderId="43" applyAlignment="1" pivotButton="0" quotePrefix="0" xfId="0">
      <alignment horizontal="left"/>
    </xf>
    <xf numFmtId="166" fontId="27" fillId="0" borderId="43" applyAlignment="1" pivotButton="0" quotePrefix="0" xfId="0">
      <alignment horizontal="center"/>
    </xf>
    <xf numFmtId="166" fontId="8" fillId="0" borderId="44" applyAlignment="1" pivotButton="0" quotePrefix="0" xfId="0">
      <alignment horizontal="left"/>
    </xf>
    <xf numFmtId="166" fontId="27" fillId="0" borderId="44" applyAlignment="1" pivotButton="0" quotePrefix="0" xfId="0">
      <alignment horizontal="left"/>
    </xf>
    <xf numFmtId="166" fontId="27" fillId="0" borderId="44" applyAlignment="1" pivotButton="0" quotePrefix="0" xfId="0">
      <alignment horizontal="center"/>
    </xf>
    <xf numFmtId="166" fontId="27" fillId="0" borderId="0" applyAlignment="1" pivotButton="0" quotePrefix="0" xfId="0">
      <alignment horizontal="left"/>
    </xf>
    <xf numFmtId="166" fontId="28" fillId="14" borderId="41" applyAlignment="1" pivotButton="0" quotePrefix="0" xfId="0">
      <alignment horizontal="center"/>
    </xf>
    <xf numFmtId="166" fontId="27" fillId="15" borderId="45" applyAlignment="1" pivotButton="0" quotePrefix="0" xfId="0">
      <alignment horizontal="center"/>
    </xf>
    <xf numFmtId="0" fontId="0" fillId="0" borderId="46" pivotButton="0" quotePrefix="0" xfId="0"/>
    <xf numFmtId="0" fontId="0" fillId="0" borderId="47" pivotButton="0" quotePrefix="0" xfId="0"/>
    <xf numFmtId="166" fontId="27" fillId="0" borderId="48" applyAlignment="1" pivotButton="0" quotePrefix="0" xfId="0">
      <alignment horizontal="left"/>
    </xf>
    <xf numFmtId="166" fontId="27" fillId="0" borderId="49" applyAlignment="1" pivotButton="0" quotePrefix="0" xfId="0">
      <alignment horizontal="left"/>
    </xf>
    <xf numFmtId="166" fontId="8" fillId="0" borderId="50" applyAlignment="1" pivotButton="0" quotePrefix="0" xfId="0">
      <alignment horizontal="left"/>
    </xf>
    <xf numFmtId="166" fontId="27" fillId="0" borderId="14" applyAlignment="1" pivotButton="0" quotePrefix="0" xfId="0">
      <alignment horizontal="left" vertical="top"/>
    </xf>
    <xf numFmtId="0" fontId="0" fillId="0" borderId="14" pivotButton="0" quotePrefix="0" xfId="0"/>
    <xf numFmtId="166" fontId="27" fillId="0" borderId="51" applyAlignment="1" pivotButton="0" quotePrefix="0" xfId="0">
      <alignment horizontal="left"/>
    </xf>
    <xf numFmtId="166" fontId="27" fillId="16" borderId="41" applyAlignment="1" pivotButton="0" quotePrefix="0" xfId="0">
      <alignment horizontal="center"/>
    </xf>
    <xf numFmtId="166" fontId="27" fillId="0" borderId="50" applyAlignment="1" pivotButton="0" quotePrefix="0" xfId="0">
      <alignment horizontal="left"/>
    </xf>
    <xf numFmtId="166" fontId="27" fillId="0" borderId="43" applyAlignment="1" pivotButton="0" quotePrefix="0" xfId="0">
      <alignment horizontal="left" vertical="top"/>
    </xf>
    <xf numFmtId="166" fontId="27" fillId="0" borderId="43" applyAlignment="1" pivotButton="0" quotePrefix="0" xfId="0">
      <alignment horizontal="center" vertical="top"/>
    </xf>
    <xf numFmtId="0" fontId="0" fillId="0" borderId="43" pivotButton="0" quotePrefix="0" xfId="0"/>
    <xf numFmtId="166" fontId="27" fillId="0" borderId="44" applyAlignment="1" pivotButton="0" quotePrefix="0" xfId="0">
      <alignment horizontal="left" vertical="top"/>
    </xf>
    <xf numFmtId="166" fontId="8" fillId="0" borderId="44" applyAlignment="1" pivotButton="0" quotePrefix="0" xfId="0">
      <alignment horizontal="left" wrapText="1"/>
    </xf>
    <xf numFmtId="166" fontId="29" fillId="0" borderId="0" applyAlignment="1" pivotButton="0" quotePrefix="0" xfId="0">
      <alignment horizontal="left"/>
    </xf>
    <xf numFmtId="166" fontId="11" fillId="0" borderId="15" applyAlignment="1" pivotButton="0" quotePrefix="0" xfId="0">
      <alignment horizontal="right"/>
    </xf>
    <xf numFmtId="166" fontId="12" fillId="0" borderId="16" applyAlignment="1" pivotButton="0" quotePrefix="0" xfId="0">
      <alignment horizontal="left"/>
    </xf>
    <xf numFmtId="166" fontId="12" fillId="0" borderId="17" applyAlignment="1" pivotButton="0" quotePrefix="0" xfId="0">
      <alignment horizontal="left"/>
    </xf>
    <xf numFmtId="166" fontId="13" fillId="0" borderId="18" applyAlignment="1" pivotButton="0" quotePrefix="0" xfId="0">
      <alignment horizontal="left"/>
    </xf>
    <xf numFmtId="166" fontId="9" fillId="0" borderId="17" applyAlignment="1" pivotButton="0" quotePrefix="0" xfId="0">
      <alignment horizontal="left"/>
    </xf>
    <xf numFmtId="166" fontId="9" fillId="0" borderId="18" applyAlignment="1" pivotButton="0" quotePrefix="0" xfId="0">
      <alignment horizontal="center"/>
    </xf>
    <xf numFmtId="166" fontId="9" fillId="0" borderId="19" applyAlignment="1" pivotButton="0" quotePrefix="0" xfId="0">
      <alignment horizontal="left"/>
    </xf>
    <xf numFmtId="0" fontId="14" fillId="0" borderId="20" applyAlignment="1" pivotButton="0" quotePrefix="0" xfId="0">
      <alignment horizontal="right"/>
    </xf>
    <xf numFmtId="0" fontId="14" fillId="0" borderId="1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166" fontId="16" fillId="0" borderId="22" applyAlignment="1" pivotButton="0" quotePrefix="0" xfId="0">
      <alignment horizontal="right"/>
    </xf>
    <xf numFmtId="166" fontId="14" fillId="0" borderId="14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3" applyAlignment="1" pivotButton="0" quotePrefix="0" xfId="0">
      <alignment horizontal="center"/>
    </xf>
    <xf numFmtId="168" fontId="16" fillId="9" borderId="24" applyAlignment="1" pivotButton="0" quotePrefix="0" xfId="0">
      <alignment horizontal="left"/>
    </xf>
    <xf numFmtId="168" fontId="14" fillId="0" borderId="16" applyAlignment="1" pivotButton="0" quotePrefix="0" xfId="0">
      <alignment horizontal="center"/>
    </xf>
    <xf numFmtId="169" fontId="14" fillId="0" borderId="17" applyAlignment="1" pivotButton="0" quotePrefix="0" xfId="0">
      <alignment horizontal="center"/>
    </xf>
    <xf numFmtId="168" fontId="14" fillId="0" borderId="19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4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1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27" applyAlignment="1" pivotButton="0" quotePrefix="0" xfId="0">
      <alignment horizontal="center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6" fillId="10" borderId="25" applyAlignment="1" pivotButton="0" quotePrefix="0" xfId="0">
      <alignment horizontal="left"/>
    </xf>
    <xf numFmtId="169" fontId="14" fillId="0" borderId="14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4" applyAlignment="1" pivotButton="0" quotePrefix="0" xfId="0">
      <alignment horizontal="left"/>
    </xf>
    <xf numFmtId="168" fontId="17" fillId="10" borderId="25" applyAlignment="1" pivotButton="0" quotePrefix="0" xfId="0">
      <alignment horizontal="left"/>
    </xf>
    <xf numFmtId="168" fontId="31" fillId="0" borderId="15" applyAlignment="1" pivotButton="0" quotePrefix="0" xfId="0">
      <alignment horizontal="right"/>
    </xf>
    <xf numFmtId="169" fontId="21" fillId="0" borderId="27" applyAlignment="1" pivotButton="0" quotePrefix="0" xfId="0">
      <alignment horizontal="center"/>
    </xf>
    <xf numFmtId="169" fontId="18" fillId="0" borderId="31" applyAlignment="1" pivotButton="0" quotePrefix="0" xfId="0">
      <alignment horizontal="center"/>
    </xf>
    <xf numFmtId="168" fontId="18" fillId="0" borderId="31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2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8" fontId="23" fillId="0" borderId="22" applyAlignment="1" pivotButton="0" quotePrefix="0" xfId="0">
      <alignment horizontal="right"/>
    </xf>
    <xf numFmtId="168" fontId="22" fillId="0" borderId="27" applyAlignment="1" pivotButton="0" quotePrefix="0" xfId="0">
      <alignment horizontal="center"/>
    </xf>
    <xf numFmtId="169" fontId="21" fillId="0" borderId="33" applyAlignment="1" pivotButton="0" quotePrefix="0" xfId="0">
      <alignment horizontal="center"/>
    </xf>
    <xf numFmtId="168" fontId="21" fillId="0" borderId="33" applyAlignment="1" pivotButton="0" quotePrefix="0" xfId="0">
      <alignment horizontal="center"/>
    </xf>
    <xf numFmtId="166" fontId="32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8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3" applyAlignment="1" pivotButton="0" quotePrefix="0" xfId="0">
      <alignment horizontal="center"/>
    </xf>
    <xf numFmtId="168" fontId="9" fillId="0" borderId="30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7" applyAlignment="1" pivotButton="0" quotePrefix="0" xfId="0">
      <alignment horizontal="center"/>
    </xf>
    <xf numFmtId="168" fontId="33" fillId="0" borderId="0" applyAlignment="1" pivotButton="0" quotePrefix="0" xfId="0">
      <alignment horizontal="right"/>
    </xf>
    <xf numFmtId="168" fontId="21" fillId="0" borderId="27" applyAlignment="1" pivotButton="0" quotePrefix="0" xfId="0">
      <alignment horizontal="center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6" fontId="23" fillId="0" borderId="22" applyAlignment="1" pivotButton="0" quotePrefix="0" xfId="0">
      <alignment horizontal="right"/>
    </xf>
    <xf numFmtId="166" fontId="22" fillId="0" borderId="27" applyAlignment="1" pivotButton="0" quotePrefix="0" xfId="0">
      <alignment horizontal="center"/>
    </xf>
    <xf numFmtId="166" fontId="21" fillId="0" borderId="33" applyAlignment="1" pivotButton="0" quotePrefix="0" xfId="0">
      <alignment horizontal="center"/>
    </xf>
    <xf numFmtId="166" fontId="21" fillId="0" borderId="34" applyAlignment="1" pivotButton="0" quotePrefix="0" xfId="0">
      <alignment horizontal="center"/>
    </xf>
    <xf numFmtId="0" fontId="10" fillId="11" borderId="13" applyAlignment="1" pivotButton="0" quotePrefix="0" xfId="0">
      <alignment horizontal="left"/>
    </xf>
    <xf numFmtId="0" fontId="10" fillId="11" borderId="13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3" applyAlignment="1" pivotButton="0" quotePrefix="0" xfId="0">
      <alignment horizontal="center"/>
    </xf>
    <xf numFmtId="169" fontId="8" fillId="0" borderId="13" applyAlignment="1" pivotButton="0" quotePrefix="0" xfId="0">
      <alignment horizontal="center"/>
    </xf>
    <xf numFmtId="169" fontId="8" fillId="0" borderId="32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5" applyAlignment="1" pivotButton="0" quotePrefix="0" xfId="0">
      <alignment horizontal="left"/>
    </xf>
    <xf numFmtId="168" fontId="8" fillId="0" borderId="35" applyAlignment="1" pivotButton="0" quotePrefix="0" xfId="0">
      <alignment horizontal="right"/>
    </xf>
    <xf numFmtId="169" fontId="8" fillId="0" borderId="35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67" fontId="8" fillId="13" borderId="13" applyAlignment="1" pivotButton="0" quotePrefix="0" xfId="0">
      <alignment horizontal="center"/>
    </xf>
    <xf numFmtId="168" fontId="8" fillId="0" borderId="36" applyAlignment="1" pivotButton="0" quotePrefix="0" xfId="0">
      <alignment horizontal="left"/>
    </xf>
    <xf numFmtId="168" fontId="8" fillId="0" borderId="36" applyAlignment="1" pivotButton="0" quotePrefix="0" xfId="0">
      <alignment horizontal="right"/>
    </xf>
    <xf numFmtId="171" fontId="8" fillId="0" borderId="36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2" applyAlignment="1" pivotButton="0" quotePrefix="0" xfId="0">
      <alignment horizontal="left"/>
    </xf>
    <xf numFmtId="168" fontId="8" fillId="0" borderId="32" applyAlignment="1" pivotButton="0" quotePrefix="0" xfId="0">
      <alignment horizontal="right"/>
    </xf>
    <xf numFmtId="169" fontId="8" fillId="5" borderId="37" applyAlignment="1" pivotButton="0" quotePrefix="0" xfId="0">
      <alignment horizontal="center"/>
    </xf>
    <xf numFmtId="172" fontId="8" fillId="7" borderId="13" applyAlignment="1" pivotButton="0" quotePrefix="0" xfId="0">
      <alignment horizontal="left"/>
    </xf>
    <xf numFmtId="173" fontId="8" fillId="7" borderId="13" applyAlignment="1" pivotButton="0" quotePrefix="0" xfId="0">
      <alignment horizontal="left"/>
    </xf>
    <xf numFmtId="166" fontId="24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"/>
  <sheetViews>
    <sheetView tabSelected="1" topLeftCell="A54" workbookViewId="0">
      <selection activeCell="A58" sqref="A58:XFD58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25" t="inlineStr">
        <is>
          <t>電站基本資料</t>
        </is>
      </c>
      <c r="B1" s="126" t="n"/>
      <c r="C1" s="126" t="n"/>
      <c r="D1" s="127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11" t="inlineStr">
        <is>
          <t>-</t>
        </is>
      </c>
      <c r="D2" s="111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28" t="inlineStr">
        <is>
          <t>綜合損益表</t>
        </is>
      </c>
      <c r="B7" s="126" t="n"/>
      <c r="C7" s="126" t="n"/>
      <c r="D7" s="127" t="n"/>
    </row>
    <row r="8" ht="22.5" customHeight="1" thickBot="1">
      <c r="A8" s="129" t="inlineStr">
        <is>
          <t>收入</t>
        </is>
      </c>
      <c r="D8" s="130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08" t="inlineStr">
        <is>
          <t>電費收入</t>
        </is>
      </c>
      <c r="B10" s="109" t="inlineStr">
        <is>
          <t>年度AC併網總發電量</t>
        </is>
      </c>
      <c r="C10" s="109" t="n">
        <v>547002</v>
      </c>
      <c r="D10" s="108" t="n">
        <v>20</v>
      </c>
    </row>
    <row r="11" ht="21.75" customHeight="1">
      <c r="A11" s="131" t="n"/>
      <c r="B11" s="7" t="inlineStr">
        <is>
          <t>首年衰退率</t>
        </is>
      </c>
      <c r="C11" s="13" t="n">
        <v>0.01</v>
      </c>
      <c r="D11" s="131" t="n"/>
    </row>
    <row r="12" ht="21.75" customHeight="1">
      <c r="A12" s="131" t="n"/>
      <c r="B12" s="7" t="inlineStr">
        <is>
          <t>次年衰退率</t>
        </is>
      </c>
      <c r="C12" s="14" t="n">
        <v>0.004</v>
      </c>
      <c r="D12" s="131" t="n"/>
    </row>
    <row r="13" ht="22.5" customHeight="1" thickBot="1">
      <c r="A13" s="131" t="n"/>
      <c r="B13" s="112" t="inlineStr">
        <is>
          <t>躉售費率(FIT)</t>
        </is>
      </c>
      <c r="C13" s="112" t="n">
        <v>3.7152</v>
      </c>
      <c r="D13" s="131" t="n"/>
    </row>
    <row r="14" ht="22.5" customHeight="1" thickBot="1">
      <c r="A14" s="132" t="inlineStr">
        <is>
          <t>支出</t>
        </is>
      </c>
      <c r="B14" s="126" t="n"/>
      <c r="C14" s="126" t="n"/>
      <c r="D14" s="127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09" t="inlineStr">
        <is>
          <t>設備費用(價金)</t>
        </is>
      </c>
      <c r="B16" s="17" t="inlineStr">
        <is>
          <t>每kWp設備成本</t>
        </is>
      </c>
      <c r="C16" s="109" t="n">
        <v>35000</v>
      </c>
      <c r="D16" s="111" t="n">
        <v>20</v>
      </c>
    </row>
    <row r="17" ht="21.75" customHeight="1">
      <c r="A17" s="131" t="n"/>
      <c r="B17" s="7" t="inlineStr">
        <is>
          <t>信邦利潤率</t>
        </is>
      </c>
      <c r="C17" s="5" t="n">
        <v>0.3</v>
      </c>
      <c r="D17" s="131" t="n"/>
    </row>
    <row r="18" ht="21.75" customHeight="1">
      <c r="A18" s="133" t="n"/>
      <c r="B18" s="7" t="inlineStr">
        <is>
          <t>開發費</t>
        </is>
      </c>
      <c r="C18" s="5" t="n">
        <v>3000</v>
      </c>
      <c r="D18" s="133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11" t="inlineStr">
        <is>
          <t>-</t>
        </is>
      </c>
    </row>
    <row r="20" ht="20.25" customHeight="1">
      <c r="A20" s="131" t="n"/>
      <c r="B20" s="19" t="inlineStr">
        <is>
          <t>【方式1參數】租金總額</t>
        </is>
      </c>
      <c r="C20" s="5" t="n">
        <v>290201</v>
      </c>
      <c r="D20" s="111" t="n">
        <v>20</v>
      </c>
    </row>
    <row r="21" ht="21.75" customHeight="1">
      <c r="A21" s="133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28" t="inlineStr">
        <is>
          <t>現金流量表</t>
        </is>
      </c>
      <c r="B29" s="126" t="n"/>
      <c r="C29" s="127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09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t="18.75" customHeight="1" thickBot="1">
      <c r="A58" s="75" t="inlineStr">
        <is>
          <t>回收年限評估</t>
        </is>
      </c>
      <c r="B58" s="76" t="n"/>
      <c r="C58" s="77">
        <f>IF((C57)&gt;0,"回收","未回收")</f>
        <v/>
      </c>
      <c r="D58" s="77">
        <f>IF((D57)&gt;0,"回收","未回收")</f>
        <v/>
      </c>
      <c r="E58" s="77">
        <f>IF((E57)&gt;0,"回收","未回收")</f>
        <v/>
      </c>
      <c r="F58" s="77">
        <f>IF((F57)&gt;0,"回收","未回收")</f>
        <v/>
      </c>
      <c r="G58" s="77">
        <f>IF((G57)&gt;0,"回收","未回收")</f>
        <v/>
      </c>
      <c r="H58" s="77">
        <f>IF((H57)&gt;0,"回收","未回收")</f>
        <v/>
      </c>
      <c r="I58" s="77">
        <f>IF((I57)&gt;0,"回收","未回收")</f>
        <v/>
      </c>
      <c r="J58" s="77">
        <f>IF((J57)&gt;0,"回收","未回收")</f>
        <v/>
      </c>
      <c r="K58" s="77">
        <f>IF((K57)&gt;0,"回收","未回收")</f>
        <v/>
      </c>
      <c r="L58" s="77">
        <f>IF((L57)&gt;0,"回收","未回收")</f>
        <v/>
      </c>
      <c r="M58" s="77">
        <f>IF((M57)&gt;0,"回收","未回收")</f>
        <v/>
      </c>
      <c r="N58" s="77">
        <f>IF((N57)&gt;0,"回收","未回收")</f>
        <v/>
      </c>
      <c r="O58" s="77">
        <f>IF((O57)&gt;0,"回收","未回收")</f>
        <v/>
      </c>
      <c r="P58" s="77">
        <f>IF((P57)&gt;0,"回收","未回收")</f>
        <v/>
      </c>
      <c r="Q58" s="77">
        <f>IF((Q57)&gt;0,"回收","未回收")</f>
        <v/>
      </c>
      <c r="R58" s="77">
        <f>IF((R57)&gt;0,"回收","未回收")</f>
        <v/>
      </c>
      <c r="S58" s="77">
        <f>IF((S57)&gt;0,"回收","未回收")</f>
        <v/>
      </c>
      <c r="T58" s="77">
        <f>IF((T57)&gt;0,"回收","未回收")</f>
        <v/>
      </c>
      <c r="U58" s="77">
        <f>IF((U57)&gt;0,"回收","未回收")</f>
        <v/>
      </c>
      <c r="V58" s="77">
        <f>IF((V57)&gt;0,"回收","未回收")</f>
        <v/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t="18.75" customHeight="1">
      <c r="A59" s="28" t="n"/>
      <c r="B59" s="134" t="n"/>
      <c r="C59" s="134" t="n"/>
      <c r="D59" s="134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t="18.75" customHeight="1">
      <c r="A60" s="28" t="n"/>
      <c r="B60" s="134" t="n"/>
      <c r="C60" s="134" t="n"/>
      <c r="D60" s="134" t="n"/>
      <c r="E60" s="59" t="n"/>
      <c r="F60" s="59" t="n"/>
      <c r="G60" s="59" t="n"/>
      <c r="H60" s="59" t="n"/>
      <c r="I60" s="59" t="n"/>
      <c r="J60" s="59" t="n"/>
      <c r="K60" s="59" t="inlineStr">
        <is>
          <t>預估可建置量</t>
        </is>
      </c>
      <c r="L60" s="81" t="n">
        <v>0</v>
      </c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t="18.75" customHeight="1">
      <c r="A61" s="28" t="n"/>
      <c r="B61" s="134" t="n"/>
      <c r="C61" s="134" t="n"/>
      <c r="D61" s="134" t="n"/>
      <c r="E61" s="59" t="n"/>
      <c r="F61" s="59" t="n"/>
      <c r="G61" s="59" t="n"/>
      <c r="H61" s="59" t="n"/>
      <c r="I61" s="59" t="n"/>
      <c r="J61" s="59" t="n"/>
      <c r="K61" s="59" t="inlineStr">
        <is>
          <t>預估可建置量</t>
        </is>
      </c>
      <c r="L61" s="81" t="n">
        <v>0</v>
      </c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80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t="18.75" customHeight="1">
      <c r="B62" s="82" t="inlineStr">
        <is>
          <t>年份</t>
        </is>
      </c>
      <c r="C62" s="83" t="n">
        <v>2020</v>
      </c>
      <c r="D62" s="83" t="n">
        <v>2021</v>
      </c>
      <c r="E62" s="83" t="n">
        <v>2022</v>
      </c>
      <c r="F62" s="83" t="n">
        <v>2023</v>
      </c>
      <c r="G62" s="83" t="n">
        <v>2024</v>
      </c>
      <c r="H62" s="83" t="n">
        <v>2025</v>
      </c>
      <c r="I62" s="83" t="n">
        <v>2026</v>
      </c>
      <c r="J62" s="83" t="n">
        <v>2027</v>
      </c>
      <c r="K62" s="83" t="n">
        <v>2028</v>
      </c>
      <c r="L62" s="83" t="n">
        <v>2029</v>
      </c>
      <c r="M62" s="83" t="n">
        <v>2030</v>
      </c>
      <c r="N62" s="83" t="n">
        <v>2031</v>
      </c>
      <c r="O62" s="83" t="n">
        <v>2032</v>
      </c>
      <c r="P62" s="83" t="n">
        <v>2033</v>
      </c>
      <c r="Q62" s="83" t="n">
        <v>2034</v>
      </c>
      <c r="R62" s="83" t="n">
        <v>2035</v>
      </c>
      <c r="S62" s="83" t="n">
        <v>2036</v>
      </c>
      <c r="T62" s="83" t="n">
        <v>2037</v>
      </c>
      <c r="U62" s="83" t="n">
        <v>2038</v>
      </c>
      <c r="V62" s="83" t="n">
        <v>2039</v>
      </c>
      <c r="W62" s="84" t="n"/>
    </row>
    <row r="63" ht="18.75" customHeight="1">
      <c r="W63" s="84" t="n"/>
    </row>
    <row r="64" ht="18.75" customHeight="1">
      <c r="A64" s="85" t="inlineStr">
        <is>
          <t>(Unit : Currency)</t>
        </is>
      </c>
      <c r="B64" s="86" t="n">
        <v>0</v>
      </c>
      <c r="C64" s="86" t="n">
        <v>1</v>
      </c>
      <c r="D64" s="86" t="n">
        <v>2</v>
      </c>
      <c r="E64" s="86" t="n">
        <v>3</v>
      </c>
      <c r="F64" s="86" t="n">
        <v>4</v>
      </c>
      <c r="G64" s="86" t="n">
        <v>5</v>
      </c>
      <c r="H64" s="86" t="n">
        <v>6</v>
      </c>
      <c r="I64" s="86" t="n">
        <v>7</v>
      </c>
      <c r="J64" s="86" t="n">
        <v>8</v>
      </c>
      <c r="K64" s="86" t="n">
        <v>9</v>
      </c>
      <c r="L64" s="86" t="n">
        <v>10</v>
      </c>
      <c r="M64" s="86" t="n">
        <v>11</v>
      </c>
      <c r="N64" s="86" t="n">
        <v>12</v>
      </c>
      <c r="O64" s="86" t="n">
        <v>13</v>
      </c>
      <c r="P64" s="86" t="n">
        <v>14</v>
      </c>
      <c r="Q64" s="86" t="n">
        <v>15</v>
      </c>
      <c r="R64" s="86" t="n">
        <v>16</v>
      </c>
      <c r="S64" s="86" t="n">
        <v>17</v>
      </c>
      <c r="T64" s="86" t="n">
        <v>18</v>
      </c>
      <c r="U64" s="86" t="n">
        <v>19</v>
      </c>
      <c r="V64" s="86" t="n">
        <v>20</v>
      </c>
      <c r="W64" s="87" t="n"/>
    </row>
    <row r="65" ht="18.75" customHeight="1">
      <c r="A65" s="88" t="inlineStr">
        <is>
          <t>稅後淨利</t>
        </is>
      </c>
      <c r="B65" s="89" t="n"/>
      <c r="C65" s="89">
        <f>#REF!</f>
        <v/>
      </c>
      <c r="D65" s="89">
        <f>#REF!</f>
        <v/>
      </c>
      <c r="E65" s="89">
        <f>#REF!</f>
        <v/>
      </c>
      <c r="F65" s="89">
        <f>#REF!</f>
        <v/>
      </c>
      <c r="G65" s="89">
        <f>#REF!</f>
        <v/>
      </c>
      <c r="H65" s="89">
        <f>#REF!</f>
        <v/>
      </c>
      <c r="I65" s="89">
        <f>#REF!</f>
        <v/>
      </c>
      <c r="J65" s="89">
        <f>#REF!</f>
        <v/>
      </c>
      <c r="K65" s="89">
        <f>#REF!</f>
        <v/>
      </c>
      <c r="L65" s="89">
        <f>#REF!</f>
        <v/>
      </c>
      <c r="M65" s="89">
        <f>#REF!</f>
        <v/>
      </c>
      <c r="N65" s="89">
        <f>#REF!</f>
        <v/>
      </c>
      <c r="O65" s="89">
        <f>#REF!</f>
        <v/>
      </c>
      <c r="P65" s="89">
        <f>#REF!</f>
        <v/>
      </c>
      <c r="Q65" s="89">
        <f>#REF!</f>
        <v/>
      </c>
      <c r="R65" s="89">
        <f>#REF!</f>
        <v/>
      </c>
      <c r="S65" s="89">
        <f>#REF!</f>
        <v/>
      </c>
      <c r="T65" s="89">
        <f>#REF!</f>
        <v/>
      </c>
      <c r="U65" s="89">
        <f>#REF!</f>
        <v/>
      </c>
      <c r="V65" s="89">
        <f>#REF!</f>
        <v/>
      </c>
      <c r="W65" s="74" t="n"/>
    </row>
    <row r="66" ht="18.75" customHeight="1">
      <c r="A66" s="88" t="inlineStr">
        <is>
          <t>設備折舊</t>
        </is>
      </c>
      <c r="B66" s="89" t="n"/>
      <c r="C66" s="90">
        <f>-#REF!</f>
        <v/>
      </c>
      <c r="D66" s="90">
        <f>-#REF!</f>
        <v/>
      </c>
      <c r="E66" s="90">
        <f>-#REF!</f>
        <v/>
      </c>
      <c r="F66" s="90">
        <f>-#REF!</f>
        <v/>
      </c>
      <c r="G66" s="90">
        <f>-#REF!</f>
        <v/>
      </c>
      <c r="H66" s="90">
        <f>-#REF!</f>
        <v/>
      </c>
      <c r="I66" s="90">
        <f>-#REF!</f>
        <v/>
      </c>
      <c r="J66" s="90">
        <f>-#REF!</f>
        <v/>
      </c>
      <c r="K66" s="90">
        <f>-#REF!</f>
        <v/>
      </c>
      <c r="L66" s="90">
        <f>-#REF!</f>
        <v/>
      </c>
      <c r="M66" s="90">
        <f>-#REF!</f>
        <v/>
      </c>
      <c r="N66" s="90">
        <f>-#REF!</f>
        <v/>
      </c>
      <c r="O66" s="90">
        <f>-#REF!</f>
        <v/>
      </c>
      <c r="P66" s="90">
        <f>-#REF!</f>
        <v/>
      </c>
      <c r="Q66" s="90">
        <f>-#REF!</f>
        <v/>
      </c>
      <c r="R66" s="90">
        <f>-#REF!</f>
        <v/>
      </c>
      <c r="S66" s="90">
        <f>-#REF!</f>
        <v/>
      </c>
      <c r="T66" s="90">
        <f>-#REF!</f>
        <v/>
      </c>
      <c r="U66" s="90">
        <f>-#REF!</f>
        <v/>
      </c>
      <c r="V66" s="90">
        <f>-#REF!</f>
        <v/>
      </c>
      <c r="W66" s="74" t="n"/>
    </row>
    <row r="67" ht="18.75" customHeight="1">
      <c r="A67" s="88" t="inlineStr">
        <is>
          <t>營運活動現金流量</t>
        </is>
      </c>
      <c r="B67" s="89" t="n"/>
      <c r="C67" s="91">
        <f>SUM(C65:C66)</f>
        <v/>
      </c>
      <c r="D67" s="91">
        <f>SUM(D65:D66)</f>
        <v/>
      </c>
      <c r="E67" s="91">
        <f>SUM(E65:E66)</f>
        <v/>
      </c>
      <c r="F67" s="91">
        <f>SUM(F65:F66)</f>
        <v/>
      </c>
      <c r="G67" s="91">
        <f>SUM(G65:G66)</f>
        <v/>
      </c>
      <c r="H67" s="91">
        <f>SUM(H65:H66)</f>
        <v/>
      </c>
      <c r="I67" s="91">
        <f>SUM(I65:I66)</f>
        <v/>
      </c>
      <c r="J67" s="91">
        <f>SUM(J65:J66)</f>
        <v/>
      </c>
      <c r="K67" s="91">
        <f>SUM(K65:K66)</f>
        <v/>
      </c>
      <c r="L67" s="91">
        <f>SUM(L65:L66)</f>
        <v/>
      </c>
      <c r="M67" s="91">
        <f>SUM(M65:M66)</f>
        <v/>
      </c>
      <c r="N67" s="91">
        <f>SUM(N65:N66)</f>
        <v/>
      </c>
      <c r="O67" s="91">
        <f>SUM(O65:O66)</f>
        <v/>
      </c>
      <c r="P67" s="91">
        <f>SUM(P65:P66)</f>
        <v/>
      </c>
      <c r="Q67" s="91">
        <f>SUM(Q65:Q66)</f>
        <v/>
      </c>
      <c r="R67" s="91">
        <f>SUM(R65:R66)</f>
        <v/>
      </c>
      <c r="S67" s="91">
        <f>SUM(S65:S66)</f>
        <v/>
      </c>
      <c r="T67" s="91">
        <f>SUM(T65:T66)</f>
        <v/>
      </c>
      <c r="U67" s="91">
        <f>SUM(U65:U66)</f>
        <v/>
      </c>
      <c r="V67" s="91">
        <f>SUM(V65:V66)</f>
        <v/>
      </c>
      <c r="W67" s="92" t="n"/>
    </row>
    <row r="68" ht="18.75" customHeight="1">
      <c r="A68" s="88" t="n"/>
      <c r="B68" s="89" t="n"/>
      <c r="C68" s="89" t="n"/>
      <c r="D68" s="89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84" t="n"/>
    </row>
    <row r="69" ht="18.75" customHeight="1">
      <c r="A69" s="94" t="inlineStr">
        <is>
          <t>投資活動-設備支出</t>
        </is>
      </c>
      <c r="B69" s="95" t="n"/>
      <c r="C69" s="96">
        <f>B44</f>
        <v/>
      </c>
      <c r="D69" s="95" t="n">
        <v>0</v>
      </c>
      <c r="E69" s="95" t="n"/>
      <c r="F69" s="95" t="n">
        <v>0</v>
      </c>
      <c r="G69" s="95" t="n">
        <v>0</v>
      </c>
      <c r="H69" s="95" t="n">
        <v>0</v>
      </c>
      <c r="I69" s="95" t="n">
        <v>0</v>
      </c>
      <c r="J69" s="95" t="n">
        <v>0</v>
      </c>
      <c r="K69" s="95" t="n">
        <v>0</v>
      </c>
      <c r="L69" s="95" t="n">
        <v>0</v>
      </c>
      <c r="M69" s="95" t="n">
        <v>0</v>
      </c>
      <c r="N69" s="95" t="n">
        <v>0</v>
      </c>
      <c r="O69" s="95" t="n">
        <v>0</v>
      </c>
      <c r="P69" s="95" t="n">
        <v>0</v>
      </c>
      <c r="Q69" s="95" t="n">
        <v>0</v>
      </c>
      <c r="R69" s="95" t="n">
        <v>0</v>
      </c>
      <c r="S69" s="95" t="n">
        <v>0</v>
      </c>
      <c r="T69" s="95" t="n">
        <v>0</v>
      </c>
      <c r="U69" s="95" t="n">
        <v>0</v>
      </c>
      <c r="V69" s="95" t="n">
        <v>0</v>
      </c>
      <c r="W69" s="74" t="n"/>
    </row>
    <row r="70" ht="18.75" customHeight="1">
      <c r="A70" s="88" t="n"/>
      <c r="B70" s="89" t="n"/>
      <c r="C70" s="89" t="n"/>
      <c r="D70" s="89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84" t="n"/>
    </row>
    <row r="71" ht="18.75" customHeight="1">
      <c r="A71" s="88" t="n"/>
      <c r="B71" s="89" t="n"/>
      <c r="C71" s="89" t="n"/>
      <c r="D71" s="89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3" t="n"/>
      <c r="V71" s="93" t="n"/>
      <c r="W71" s="84" t="n"/>
    </row>
    <row r="72" ht="18.75" customHeight="1">
      <c r="A72" s="94" t="inlineStr">
        <is>
          <t>理財活動-借款</t>
        </is>
      </c>
      <c r="B72" s="95" t="n"/>
      <c r="C72" s="96">
        <f>#REF!*0.8</f>
        <v/>
      </c>
      <c r="D72" s="95" t="n"/>
      <c r="E72" s="95" t="n"/>
      <c r="F72" s="95" t="n">
        <v>0</v>
      </c>
      <c r="G72" s="95" t="n">
        <v>0</v>
      </c>
      <c r="H72" s="95" t="n">
        <v>0</v>
      </c>
      <c r="I72" s="95" t="n">
        <v>0</v>
      </c>
      <c r="J72" s="95" t="n">
        <v>0</v>
      </c>
      <c r="K72" s="95" t="n">
        <v>0</v>
      </c>
      <c r="L72" s="95" t="n">
        <v>0</v>
      </c>
      <c r="M72" s="95" t="n">
        <v>0</v>
      </c>
      <c r="N72" s="95" t="n">
        <v>0</v>
      </c>
      <c r="O72" s="95" t="n">
        <v>0</v>
      </c>
      <c r="P72" s="95" t="n">
        <v>0</v>
      </c>
      <c r="Q72" s="95" t="n">
        <v>0</v>
      </c>
      <c r="R72" s="95" t="n">
        <v>0</v>
      </c>
      <c r="S72" s="95" t="n">
        <v>0</v>
      </c>
      <c r="T72" s="95" t="n">
        <v>0</v>
      </c>
      <c r="U72" s="95" t="n">
        <v>0</v>
      </c>
      <c r="V72" s="95" t="n">
        <v>0</v>
      </c>
      <c r="W72" s="84" t="n"/>
    </row>
    <row r="73" ht="18.75" customHeight="1">
      <c r="A73" s="88" t="inlineStr">
        <is>
          <t>理財活動-還款</t>
        </is>
      </c>
      <c r="B73" s="89" t="n"/>
      <c r="C73" s="89" t="n"/>
      <c r="D73" s="89">
        <f>-#REF!</f>
        <v/>
      </c>
      <c r="E73" s="89">
        <f>-#REF!</f>
        <v/>
      </c>
      <c r="F73" s="89">
        <f>-#REF!</f>
        <v/>
      </c>
      <c r="G73" s="89">
        <f>-#REF!</f>
        <v/>
      </c>
      <c r="H73" s="89">
        <f>-#REF!</f>
        <v/>
      </c>
      <c r="I73" s="89">
        <f>-#REF!</f>
        <v/>
      </c>
      <c r="J73" s="89">
        <f>-#REF!</f>
        <v/>
      </c>
      <c r="K73" s="89">
        <f>-#REF!</f>
        <v/>
      </c>
      <c r="L73" s="89">
        <f>-#REF!</f>
        <v/>
      </c>
      <c r="M73" s="89">
        <f>-#REF!</f>
        <v/>
      </c>
      <c r="N73" s="89">
        <f>-#REF!</f>
        <v/>
      </c>
      <c r="O73" s="89">
        <f>-#REF!</f>
        <v/>
      </c>
      <c r="P73" s="89">
        <f>-#REF!</f>
        <v/>
      </c>
      <c r="Q73" s="89">
        <f>-#REF!</f>
        <v/>
      </c>
      <c r="R73" s="89">
        <f>-#REF!</f>
        <v/>
      </c>
      <c r="S73" s="93" t="n"/>
      <c r="T73" s="93" t="n"/>
      <c r="U73" s="93" t="n"/>
      <c r="V73" s="93" t="n"/>
      <c r="W73" s="74" t="n"/>
    </row>
    <row r="74" ht="18.75" customHeight="1">
      <c r="A74" s="88" t="inlineStr">
        <is>
          <t>理財活動-現金增資</t>
        </is>
      </c>
      <c r="B74" s="93" t="n"/>
      <c r="C74" s="89">
        <f>#REF!*0.2</f>
        <v/>
      </c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2" t="n"/>
    </row>
    <row r="75" ht="18.75" customHeight="1">
      <c r="A75" s="88" t="inlineStr">
        <is>
          <t>現金股利</t>
        </is>
      </c>
      <c r="B75" s="93" t="n"/>
      <c r="C75" s="93" t="n"/>
      <c r="D75" s="97">
        <f>-C65*0.9</f>
        <v/>
      </c>
      <c r="E75" s="89">
        <f>-D65*0.9</f>
        <v/>
      </c>
      <c r="F75" s="89">
        <f>-E65*0.9</f>
        <v/>
      </c>
      <c r="G75" s="89">
        <f>-F65*0.9</f>
        <v/>
      </c>
      <c r="H75" s="89">
        <f>-G65*0.9</f>
        <v/>
      </c>
      <c r="I75" s="89">
        <f>-H65*0.9</f>
        <v/>
      </c>
      <c r="J75" s="89">
        <f>-I65*0.9</f>
        <v/>
      </c>
      <c r="K75" s="89">
        <f>-J65*0.9</f>
        <v/>
      </c>
      <c r="L75" s="89">
        <f>-K65*0.9</f>
        <v/>
      </c>
      <c r="M75" s="89">
        <f>-L65*0.9</f>
        <v/>
      </c>
      <c r="N75" s="89">
        <f>-M65*0.9</f>
        <v/>
      </c>
      <c r="O75" s="89">
        <f>-N65*0.9</f>
        <v/>
      </c>
      <c r="P75" s="89">
        <f>-O65*0.9</f>
        <v/>
      </c>
      <c r="Q75" s="89">
        <f>-P65*0.9</f>
        <v/>
      </c>
      <c r="R75" s="89">
        <f>-Q65*0.9</f>
        <v/>
      </c>
      <c r="S75" s="89">
        <f>-R65*0.9</f>
        <v/>
      </c>
      <c r="T75" s="89">
        <f>-S65*0.9</f>
        <v/>
      </c>
      <c r="U75" s="93" t="n"/>
      <c r="V75" s="89">
        <f>-U65*0.9</f>
        <v/>
      </c>
      <c r="W75" s="92" t="n"/>
    </row>
    <row r="76" ht="18.75" customHeight="1">
      <c r="A76" s="98" t="inlineStr">
        <is>
          <t>年底減資</t>
        </is>
      </c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100">
        <f>-$C$74/4</f>
        <v/>
      </c>
      <c r="R76" s="100">
        <f>-$C$74/4</f>
        <v/>
      </c>
      <c r="S76" s="100">
        <f>-$C$74/4</f>
        <v/>
      </c>
      <c r="T76" s="100">
        <f>-$C$74/4</f>
        <v/>
      </c>
      <c r="U76" s="99" t="n"/>
      <c r="V76" s="99" t="n"/>
      <c r="W76" s="92" t="n"/>
    </row>
    <row r="77" ht="18.75" customHeight="1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2" t="n"/>
    </row>
    <row r="78" ht="18.75" customHeight="1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2" t="n"/>
    </row>
    <row r="79" ht="18.75" customHeight="1">
      <c r="A79" s="88" t="inlineStr">
        <is>
          <t>現金淨流入(出 )</t>
        </is>
      </c>
      <c r="B79" s="93">
        <f>SUM(B69:B78)</f>
        <v/>
      </c>
      <c r="C79" s="91">
        <f>SUM(C67:C78)</f>
        <v/>
      </c>
      <c r="D79" s="91">
        <f>SUM(D67:D78)</f>
        <v/>
      </c>
      <c r="E79" s="91">
        <f>SUM(E67:E78)</f>
        <v/>
      </c>
      <c r="F79" s="91">
        <f>SUM(F67:F78)</f>
        <v/>
      </c>
      <c r="G79" s="91">
        <f>SUM(G67:G78)</f>
        <v/>
      </c>
      <c r="H79" s="91">
        <f>SUM(H67:H78)</f>
        <v/>
      </c>
      <c r="I79" s="91">
        <f>SUM(I67:I78)</f>
        <v/>
      </c>
      <c r="J79" s="91">
        <f>SUM(J67:J78)</f>
        <v/>
      </c>
      <c r="K79" s="91">
        <f>SUM(K67:K78)</f>
        <v/>
      </c>
      <c r="L79" s="91">
        <f>SUM(L67:L78)</f>
        <v/>
      </c>
      <c r="M79" s="91">
        <f>SUM(M67:M78)</f>
        <v/>
      </c>
      <c r="N79" s="91">
        <f>SUM(N67:N78)</f>
        <v/>
      </c>
      <c r="O79" s="91">
        <f>SUM(O67:O78)</f>
        <v/>
      </c>
      <c r="P79" s="91">
        <f>SUM(P67:P78)</f>
        <v/>
      </c>
      <c r="Q79" s="91">
        <f>SUM(Q67:Q78)</f>
        <v/>
      </c>
      <c r="R79" s="91">
        <f>SUM(R67:R78)</f>
        <v/>
      </c>
      <c r="S79" s="91">
        <f>SUM(S67:S78)</f>
        <v/>
      </c>
      <c r="T79" s="91">
        <f>SUM(T67:T78)</f>
        <v/>
      </c>
      <c r="U79" s="91">
        <f>SUM(U67:U78)</f>
        <v/>
      </c>
      <c r="V79" s="91">
        <f>SUM(V67:V78)</f>
        <v/>
      </c>
      <c r="W79" s="92" t="n"/>
    </row>
    <row r="80" ht="18.75" customHeight="1">
      <c r="A80" s="88" t="inlineStr">
        <is>
          <t>期初淨現金</t>
        </is>
      </c>
      <c r="B80" s="93" t="n">
        <v>0</v>
      </c>
      <c r="C80" s="93">
        <f>B81</f>
        <v/>
      </c>
      <c r="D80" s="89">
        <f>C81</f>
        <v/>
      </c>
      <c r="E80" s="89">
        <f>D81</f>
        <v/>
      </c>
      <c r="F80" s="89">
        <f>E81</f>
        <v/>
      </c>
      <c r="G80" s="89">
        <f>F81</f>
        <v/>
      </c>
      <c r="H80" s="89">
        <f>G81</f>
        <v/>
      </c>
      <c r="I80" s="89">
        <f>H81</f>
        <v/>
      </c>
      <c r="J80" s="89">
        <f>I81</f>
        <v/>
      </c>
      <c r="K80" s="89">
        <f>J81</f>
        <v/>
      </c>
      <c r="L80" s="89">
        <f>K81</f>
        <v/>
      </c>
      <c r="M80" s="89">
        <f>L81</f>
        <v/>
      </c>
      <c r="N80" s="89">
        <f>M81</f>
        <v/>
      </c>
      <c r="O80" s="89">
        <f>N81</f>
        <v/>
      </c>
      <c r="P80" s="89">
        <f>O81</f>
        <v/>
      </c>
      <c r="Q80" s="89">
        <f>P81</f>
        <v/>
      </c>
      <c r="R80" s="89">
        <f>Q81</f>
        <v/>
      </c>
      <c r="S80" s="89">
        <f>R81</f>
        <v/>
      </c>
      <c r="T80" s="89">
        <f>S81</f>
        <v/>
      </c>
      <c r="U80" s="93" t="n"/>
      <c r="V80" s="93" t="n"/>
      <c r="W80" s="84" t="n"/>
    </row>
    <row r="81" ht="18.75" customHeight="1">
      <c r="A81" s="88" t="inlineStr">
        <is>
          <t>期未淨現金</t>
        </is>
      </c>
      <c r="B81" s="93">
        <f>B79</f>
        <v/>
      </c>
      <c r="C81" s="89">
        <f>C79+C80</f>
        <v/>
      </c>
      <c r="D81" s="89">
        <f>D79+D80</f>
        <v/>
      </c>
      <c r="E81" s="89">
        <f>E79+E80</f>
        <v/>
      </c>
      <c r="F81" s="89">
        <f>F79+F80</f>
        <v/>
      </c>
      <c r="G81" s="89">
        <f>G79+G80</f>
        <v/>
      </c>
      <c r="H81" s="89">
        <f>H79+H80</f>
        <v/>
      </c>
      <c r="I81" s="89">
        <f>I79+I80</f>
        <v/>
      </c>
      <c r="J81" s="89">
        <f>J79+J80</f>
        <v/>
      </c>
      <c r="K81" s="89">
        <f>K79+K80</f>
        <v/>
      </c>
      <c r="L81" s="89">
        <f>L79+L80</f>
        <v/>
      </c>
      <c r="M81" s="89">
        <f>M79+M80</f>
        <v/>
      </c>
      <c r="N81" s="89">
        <f>N79+N80</f>
        <v/>
      </c>
      <c r="O81" s="89">
        <f>O79+O80</f>
        <v/>
      </c>
      <c r="P81" s="89">
        <f>P79+P80</f>
        <v/>
      </c>
      <c r="Q81" s="89">
        <f>Q79+Q80</f>
        <v/>
      </c>
      <c r="R81" s="89">
        <f>R79+R80</f>
        <v/>
      </c>
      <c r="S81" s="89">
        <f>S79+S80</f>
        <v/>
      </c>
      <c r="T81" s="89">
        <f>T79+T80</f>
        <v/>
      </c>
      <c r="U81" s="93" t="n"/>
      <c r="V81" s="93" t="n"/>
      <c r="W81" s="84" t="n"/>
    </row>
    <row r="82" ht="18.75" customHeight="1">
      <c r="A82" s="88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101" t="n"/>
    </row>
    <row r="83" ht="18.75" customHeight="1">
      <c r="A83" s="88" t="n"/>
      <c r="B83" s="89" t="n"/>
      <c r="C83" s="89" t="n"/>
      <c r="D83" s="89" t="n"/>
      <c r="E83" s="93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101" t="n"/>
    </row>
    <row r="84" ht="18.75" customHeight="1">
      <c r="A84" s="102" t="inlineStr">
        <is>
          <t>成本法實際現金流</t>
        </is>
      </c>
      <c r="B84" s="103" t="n"/>
      <c r="C84" s="104">
        <f>-C74</f>
        <v/>
      </c>
      <c r="D84" s="91">
        <f>-D75-D76</f>
        <v/>
      </c>
      <c r="E84" s="91">
        <f>-E75-E76</f>
        <v/>
      </c>
      <c r="F84" s="91">
        <f>-F75-F76</f>
        <v/>
      </c>
      <c r="G84" s="91">
        <f>-G75-G76</f>
        <v/>
      </c>
      <c r="H84" s="91">
        <f>-H75-H76</f>
        <v/>
      </c>
      <c r="I84" s="91">
        <f>-I75-I76</f>
        <v/>
      </c>
      <c r="J84" s="91">
        <f>-J75-J76</f>
        <v/>
      </c>
      <c r="K84" s="91">
        <f>-K75-K76</f>
        <v/>
      </c>
      <c r="L84" s="91">
        <f>-L75-L76</f>
        <v/>
      </c>
      <c r="M84" s="91">
        <f>-M75-M76</f>
        <v/>
      </c>
      <c r="N84" s="91">
        <f>-N75-N76</f>
        <v/>
      </c>
      <c r="O84" s="91">
        <f>-O75-O76</f>
        <v/>
      </c>
      <c r="P84" s="91">
        <f>-P75-P76</f>
        <v/>
      </c>
      <c r="Q84" s="91">
        <f>-Q75-Q76</f>
        <v/>
      </c>
      <c r="R84" s="91">
        <f>-R75-R76</f>
        <v/>
      </c>
      <c r="S84" s="91">
        <f>-S75-S76</f>
        <v/>
      </c>
      <c r="T84" s="91">
        <f>-T75-T76</f>
        <v/>
      </c>
      <c r="U84" s="103">
        <f>-U75-U76</f>
        <v/>
      </c>
      <c r="V84" s="91">
        <f>-V75-V76</f>
        <v/>
      </c>
      <c r="W84" s="92" t="n"/>
    </row>
    <row r="85" ht="18.75" customHeight="1">
      <c r="A85" s="88" t="inlineStr">
        <is>
          <t>成本法IRR</t>
        </is>
      </c>
      <c r="B85" s="105">
        <f>IRR(C84:V84)</f>
        <v/>
      </c>
      <c r="C85" s="135" t="n"/>
      <c r="D85" s="135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101" t="n"/>
    </row>
    <row r="86" ht="18.75" customHeight="1">
      <c r="A86" s="102" t="inlineStr">
        <is>
          <t>權益法實際現金流</t>
        </is>
      </c>
      <c r="B86" s="103" t="n"/>
      <c r="C86" s="104">
        <f>#REF!-C74</f>
        <v/>
      </c>
      <c r="D86" s="91">
        <f>#REF!</f>
        <v/>
      </c>
      <c r="E86" s="91">
        <f>#REF!-E76</f>
        <v/>
      </c>
      <c r="F86" s="91">
        <f>#REF!-F76</f>
        <v/>
      </c>
      <c r="G86" s="91">
        <f>#REF!-G76</f>
        <v/>
      </c>
      <c r="H86" s="91">
        <f>#REF!-H76</f>
        <v/>
      </c>
      <c r="I86" s="91">
        <f>#REF!-I76</f>
        <v/>
      </c>
      <c r="J86" s="91">
        <f>#REF!-J76</f>
        <v/>
      </c>
      <c r="K86" s="91">
        <f>#REF!-K76</f>
        <v/>
      </c>
      <c r="L86" s="91">
        <f>#REF!-L76</f>
        <v/>
      </c>
      <c r="M86" s="91">
        <f>#REF!-M76</f>
        <v/>
      </c>
      <c r="N86" s="91">
        <f>#REF!-N76</f>
        <v/>
      </c>
      <c r="O86" s="91">
        <f>#REF!-O76</f>
        <v/>
      </c>
      <c r="P86" s="91">
        <f>#REF!-P76</f>
        <v/>
      </c>
      <c r="Q86" s="91">
        <f>#REF!-Q76</f>
        <v/>
      </c>
      <c r="R86" s="91">
        <f>#REF!-R76</f>
        <v/>
      </c>
      <c r="S86" s="91">
        <f>#REF!-S76</f>
        <v/>
      </c>
      <c r="T86" s="91">
        <f>#REF!-T76</f>
        <v/>
      </c>
      <c r="U86" s="91">
        <f>#REF!-U76</f>
        <v/>
      </c>
      <c r="V86" s="91">
        <f>#REF!-V76</f>
        <v/>
      </c>
      <c r="W86" s="74" t="n"/>
    </row>
    <row r="87" ht="18.75" customHeight="1">
      <c r="A87" s="102" t="inlineStr">
        <is>
          <t>權益法IRR</t>
        </is>
      </c>
      <c r="B87" s="105">
        <f>IRR(C86:V86)</f>
        <v/>
      </c>
      <c r="C87" s="135" t="n"/>
      <c r="D87" s="135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101" t="n"/>
    </row>
    <row r="88" ht="18.75" customHeight="1">
      <c r="A88" s="88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101" t="n"/>
    </row>
    <row r="89" ht="18.75" customHeight="1">
      <c r="A89" s="88" t="inlineStr">
        <is>
          <t>借款餘額</t>
        </is>
      </c>
      <c r="B89" s="93" t="n">
        <v>0</v>
      </c>
      <c r="C89" s="89">
        <f>C72</f>
        <v/>
      </c>
      <c r="D89" s="89">
        <f>C89+D72+D73</f>
        <v/>
      </c>
      <c r="E89" s="89">
        <f>D89+E72+E73</f>
        <v/>
      </c>
      <c r="F89" s="89">
        <f>E89+F72+F73</f>
        <v/>
      </c>
      <c r="G89" s="89">
        <f>F89+G72+G73</f>
        <v/>
      </c>
      <c r="H89" s="89">
        <f>G89+H72+H73</f>
        <v/>
      </c>
      <c r="I89" s="89">
        <f>H89+I72+I73</f>
        <v/>
      </c>
      <c r="J89" s="89">
        <f>I89+J72+J73</f>
        <v/>
      </c>
      <c r="K89" s="89">
        <f>J89+K72+K73</f>
        <v/>
      </c>
      <c r="L89" s="89">
        <f>K89+L72+L73</f>
        <v/>
      </c>
      <c r="M89" s="89">
        <f>L89+M72+M73</f>
        <v/>
      </c>
      <c r="N89" s="89">
        <f>M89+N72+N73</f>
        <v/>
      </c>
      <c r="O89" s="89">
        <f>N89+O72+O73</f>
        <v/>
      </c>
      <c r="P89" s="89">
        <f>O89+P72+P73</f>
        <v/>
      </c>
      <c r="Q89" s="89">
        <f>P89+Q72+Q73</f>
        <v/>
      </c>
      <c r="R89" s="89">
        <f>Q89+R72+R73</f>
        <v/>
      </c>
      <c r="S89" s="93" t="n"/>
      <c r="T89" s="93" t="n"/>
      <c r="U89" s="93" t="n"/>
      <c r="V89" s="93" t="n"/>
      <c r="W89" s="93" t="n"/>
    </row>
    <row r="90" ht="18.75" customHeight="1"/>
    <row r="91" ht="18.75" customHeight="1">
      <c r="A91" s="107" t="n"/>
    </row>
    <row r="92" ht="18.75" customHeight="1">
      <c r="F92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36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15000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36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36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36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36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36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36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36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36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36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36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36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36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36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36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36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  <row r="18">
      <c r="A18" t="n">
        <v>17</v>
      </c>
      <c r="B18" t="n">
        <v>19000</v>
      </c>
      <c r="C18" t="n">
        <v>7.34</v>
      </c>
      <c r="D18" t="n">
        <v>25.02</v>
      </c>
      <c r="E18" s="136" t="n">
        <v>0.3</v>
      </c>
      <c r="F18" t="n">
        <v>2242800.000000001</v>
      </c>
      <c r="G18" t="n">
        <v>5142.857142857145</v>
      </c>
      <c r="H18" t="n">
        <v>3000</v>
      </c>
      <c r="I18" t="inlineStr">
        <is>
          <t>第16次滾算，減少 1000 元 - 現金模式，每次減少 1000 元</t>
        </is>
      </c>
    </row>
    <row r="19">
      <c r="A19" t="n">
        <v>18</v>
      </c>
      <c r="B19" t="n">
        <v>18000</v>
      </c>
      <c r="C19" t="n">
        <v>7.93</v>
      </c>
      <c r="D19" t="n">
        <v>28.8</v>
      </c>
      <c r="E19" s="136" t="n">
        <v>0.3</v>
      </c>
      <c r="F19" t="n">
        <v>2055900.000000001</v>
      </c>
      <c r="G19" t="n">
        <v>4714.285714285717</v>
      </c>
      <c r="H19" t="n">
        <v>3000</v>
      </c>
      <c r="I19" t="inlineStr">
        <is>
          <t>第17次滾算，減少 1000 元 - 現金模式，每次減少 1000 元</t>
        </is>
      </c>
    </row>
    <row r="20">
      <c r="A20" t="n">
        <v>19</v>
      </c>
      <c r="B20" t="n">
        <v>17000</v>
      </c>
      <c r="C20" t="n">
        <v>8.58</v>
      </c>
      <c r="D20" t="n">
        <v>33.37</v>
      </c>
      <c r="E20" s="136" t="n">
        <v>0.3</v>
      </c>
      <c r="F20" t="n">
        <v>1869000</v>
      </c>
      <c r="G20" t="n">
        <v>4285.714285714286</v>
      </c>
      <c r="H20" t="n">
        <v>3000</v>
      </c>
      <c r="I20" t="inlineStr">
        <is>
          <t>第18次滾算，減少 1000 元 - 現金模式，每次減少 1000 元</t>
        </is>
      </c>
    </row>
    <row r="21">
      <c r="A21" t="n">
        <v>20</v>
      </c>
      <c r="B21" t="n">
        <v>16000</v>
      </c>
      <c r="C21" t="n">
        <v>9.279999999999999</v>
      </c>
      <c r="D21" t="n">
        <v>39</v>
      </c>
      <c r="E21" s="136" t="n">
        <v>0.3</v>
      </c>
      <c r="F21" t="n">
        <v>1682100.000000001</v>
      </c>
      <c r="G21" t="n">
        <v>3857.142857142859</v>
      </c>
      <c r="H21" t="n">
        <v>3000</v>
      </c>
      <c r="I21" t="inlineStr">
        <is>
          <t>第19次滾算，減少 1000 元 - 現金模式，每次減少 1000 元</t>
        </is>
      </c>
    </row>
    <row r="22">
      <c r="A22" t="n">
        <v>21</v>
      </c>
      <c r="B22" t="n">
        <v>15000</v>
      </c>
      <c r="C22" t="n">
        <v>10.04</v>
      </c>
      <c r="D22" t="n">
        <v>46.1</v>
      </c>
      <c r="E22" s="136" t="n">
        <v>0.3</v>
      </c>
      <c r="F22" t="n">
        <v>1495200.000000001</v>
      </c>
      <c r="G22" t="n">
        <v>3428.571428571431</v>
      </c>
      <c r="H22" t="n">
        <v>3000</v>
      </c>
      <c r="I22" t="inlineStr">
        <is>
          <t>第20次滾算，減少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初始價金摘要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35000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1.54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1.27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初始價金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35000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-45790.5</v>
      </c>
      <c r="E49" s="195" t="n">
        <v>-45790.5</v>
      </c>
      <c r="F49" s="195" t="n">
        <v>-45790.5</v>
      </c>
      <c r="G49" s="195" t="n">
        <v>-45790.5</v>
      </c>
      <c r="H49" s="195" t="n">
        <v>-45790.5</v>
      </c>
      <c r="I49" s="195" t="n">
        <v>-45790.5</v>
      </c>
      <c r="J49" s="195" t="n">
        <v>-45790.5</v>
      </c>
      <c r="K49" s="195" t="n">
        <v>-45790.5</v>
      </c>
      <c r="L49" s="195" t="n">
        <v>-45790.5</v>
      </c>
      <c r="M49" s="195" t="n">
        <v>-45790.5</v>
      </c>
      <c r="N49" s="195" t="n">
        <v>-45790.5</v>
      </c>
      <c r="O49" s="195" t="n">
        <v>-45790.5</v>
      </c>
      <c r="P49" s="195" t="n">
        <v>-45790.5</v>
      </c>
      <c r="Q49" s="195" t="n">
        <v>-45790.5</v>
      </c>
      <c r="R49" s="195" t="n">
        <v>-45790.5</v>
      </c>
      <c r="S49" s="195" t="n">
        <v>-45790.5</v>
      </c>
      <c r="T49" s="195" t="n">
        <v>-45790.5</v>
      </c>
      <c r="U49" s="195" t="n">
        <v>-45790.5</v>
      </c>
      <c r="V49" s="195" t="n">
        <v>-45790.5</v>
      </c>
      <c r="W49" s="195" t="n">
        <v>-45790.5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-1232709.333333333</v>
      </c>
      <c r="F93" s="245" t="n">
        <v>-1232709.333333333</v>
      </c>
      <c r="G93" s="245" t="n">
        <v>-1232709.333333333</v>
      </c>
      <c r="H93" s="245" t="n">
        <v>-1232709.333333333</v>
      </c>
      <c r="I93" s="245" t="n">
        <v>-1232709.333333333</v>
      </c>
      <c r="J93" s="245" t="n">
        <v>-1232709.333333333</v>
      </c>
      <c r="K93" s="245" t="n">
        <v>-1232709.333333333</v>
      </c>
      <c r="L93" s="245" t="n">
        <v>-1232709.333333333</v>
      </c>
      <c r="M93" s="245" t="n">
        <v>-1232709.333333333</v>
      </c>
      <c r="N93" s="245" t="n">
        <v>-1232709.333333333</v>
      </c>
      <c r="O93" s="245" t="n">
        <v>-1232709.333333333</v>
      </c>
      <c r="P93" s="245" t="n">
        <v>-1232709.333333333</v>
      </c>
      <c r="Q93" s="245" t="n">
        <v>-1232709.333333333</v>
      </c>
      <c r="R93" s="245" t="n">
        <v>-1232709.333333333</v>
      </c>
      <c r="S93" s="245" t="n">
        <v>-1232709.333333333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-1155665</v>
      </c>
      <c r="U96" s="249" t="n">
        <v>-1155665</v>
      </c>
      <c r="V96" s="249" t="n">
        <v>-1155665</v>
      </c>
      <c r="W96" s="249" t="n">
        <v>-1155665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2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34000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1.78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1.99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34000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-44482.2</v>
      </c>
      <c r="E49" s="195" t="n">
        <v>-44482.2</v>
      </c>
      <c r="F49" s="195" t="n">
        <v>-44482.2</v>
      </c>
      <c r="G49" s="195" t="n">
        <v>-44482.2</v>
      </c>
      <c r="H49" s="195" t="n">
        <v>-44482.2</v>
      </c>
      <c r="I49" s="195" t="n">
        <v>-44482.2</v>
      </c>
      <c r="J49" s="195" t="n">
        <v>-44482.2</v>
      </c>
      <c r="K49" s="195" t="n">
        <v>-44482.2</v>
      </c>
      <c r="L49" s="195" t="n">
        <v>-44482.2</v>
      </c>
      <c r="M49" s="195" t="n">
        <v>-44482.2</v>
      </c>
      <c r="N49" s="195" t="n">
        <v>-44482.2</v>
      </c>
      <c r="O49" s="195" t="n">
        <v>-44482.2</v>
      </c>
      <c r="P49" s="195" t="n">
        <v>-44482.2</v>
      </c>
      <c r="Q49" s="195" t="n">
        <v>-44482.2</v>
      </c>
      <c r="R49" s="195" t="n">
        <v>-44482.2</v>
      </c>
      <c r="S49" s="195" t="n">
        <v>-44482.2</v>
      </c>
      <c r="T49" s="195" t="n">
        <v>-44482.2</v>
      </c>
      <c r="U49" s="195" t="n">
        <v>-44482.2</v>
      </c>
      <c r="V49" s="195" t="n">
        <v>-44482.2</v>
      </c>
      <c r="W49" s="195" t="n">
        <v>-44482.2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-1199482.666666667</v>
      </c>
      <c r="F93" s="245" t="n">
        <v>-1199482.666666667</v>
      </c>
      <c r="G93" s="245" t="n">
        <v>-1199482.666666667</v>
      </c>
      <c r="H93" s="245" t="n">
        <v>-1199482.666666667</v>
      </c>
      <c r="I93" s="245" t="n">
        <v>-1199482.666666667</v>
      </c>
      <c r="J93" s="245" t="n">
        <v>-1199482.666666667</v>
      </c>
      <c r="K93" s="245" t="n">
        <v>-1199482.666666667</v>
      </c>
      <c r="L93" s="245" t="n">
        <v>-1199482.666666667</v>
      </c>
      <c r="M93" s="245" t="n">
        <v>-1199482.666666667</v>
      </c>
      <c r="N93" s="245" t="n">
        <v>-1199482.666666667</v>
      </c>
      <c r="O93" s="245" t="n">
        <v>-1199482.666666667</v>
      </c>
      <c r="P93" s="245" t="n">
        <v>-1199482.666666667</v>
      </c>
      <c r="Q93" s="245" t="n">
        <v>-1199482.666666667</v>
      </c>
      <c r="R93" s="245" t="n">
        <v>-1199482.666666667</v>
      </c>
      <c r="S93" s="245" t="n">
        <v>-1199482.666666667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-1124515</v>
      </c>
      <c r="U96" s="249" t="n">
        <v>-1124515</v>
      </c>
      <c r="V96" s="249" t="n">
        <v>-1124515</v>
      </c>
      <c r="W96" s="249" t="n">
        <v>-1124515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3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第2次滾算摘要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33000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2.03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2.75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第2次滾算，減少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33000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-43173.9</v>
      </c>
      <c r="E49" s="195" t="n">
        <v>-43173.9</v>
      </c>
      <c r="F49" s="195" t="n">
        <v>-43173.9</v>
      </c>
      <c r="G49" s="195" t="n">
        <v>-43173.9</v>
      </c>
      <c r="H49" s="195" t="n">
        <v>-43173.9</v>
      </c>
      <c r="I49" s="195" t="n">
        <v>-43173.9</v>
      </c>
      <c r="J49" s="195" t="n">
        <v>-43173.9</v>
      </c>
      <c r="K49" s="195" t="n">
        <v>-43173.9</v>
      </c>
      <c r="L49" s="195" t="n">
        <v>-43173.9</v>
      </c>
      <c r="M49" s="195" t="n">
        <v>-43173.9</v>
      </c>
      <c r="N49" s="195" t="n">
        <v>-43173.9</v>
      </c>
      <c r="O49" s="195" t="n">
        <v>-43173.9</v>
      </c>
      <c r="P49" s="195" t="n">
        <v>-43173.9</v>
      </c>
      <c r="Q49" s="195" t="n">
        <v>-43173.9</v>
      </c>
      <c r="R49" s="195" t="n">
        <v>-43173.9</v>
      </c>
      <c r="S49" s="195" t="n">
        <v>-43173.9</v>
      </c>
      <c r="T49" s="195" t="n">
        <v>-43173.9</v>
      </c>
      <c r="U49" s="195" t="n">
        <v>-43173.9</v>
      </c>
      <c r="V49" s="195" t="n">
        <v>-43173.9</v>
      </c>
      <c r="W49" s="195" t="n">
        <v>-43173.9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-1166256</v>
      </c>
      <c r="F93" s="245" t="n">
        <v>-1166256</v>
      </c>
      <c r="G93" s="245" t="n">
        <v>-1166256</v>
      </c>
      <c r="H93" s="245" t="n">
        <v>-1166256</v>
      </c>
      <c r="I93" s="245" t="n">
        <v>-1166256</v>
      </c>
      <c r="J93" s="245" t="n">
        <v>-1166256</v>
      </c>
      <c r="K93" s="245" t="n">
        <v>-1166256</v>
      </c>
      <c r="L93" s="245" t="n">
        <v>-1166256</v>
      </c>
      <c r="M93" s="245" t="n">
        <v>-1166256</v>
      </c>
      <c r="N93" s="245" t="n">
        <v>-1166256</v>
      </c>
      <c r="O93" s="245" t="n">
        <v>-1166256</v>
      </c>
      <c r="P93" s="245" t="n">
        <v>-1166256</v>
      </c>
      <c r="Q93" s="245" t="n">
        <v>-1166256</v>
      </c>
      <c r="R93" s="245" t="n">
        <v>-1166256</v>
      </c>
      <c r="S93" s="245" t="n">
        <v>-1166256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-1093365</v>
      </c>
      <c r="U96" s="249" t="n">
        <v>-1093365</v>
      </c>
      <c r="V96" s="249" t="n">
        <v>-1093365</v>
      </c>
      <c r="W96" s="249" t="n">
        <v>-1093365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4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第3次滾算摘要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32000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2.3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3.56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第3次滾算，減少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32000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-41865.6</v>
      </c>
      <c r="E49" s="195" t="n">
        <v>-41865.6</v>
      </c>
      <c r="F49" s="195" t="n">
        <v>-41865.6</v>
      </c>
      <c r="G49" s="195" t="n">
        <v>-41865.6</v>
      </c>
      <c r="H49" s="195" t="n">
        <v>-41865.6</v>
      </c>
      <c r="I49" s="195" t="n">
        <v>-41865.6</v>
      </c>
      <c r="J49" s="195" t="n">
        <v>-41865.6</v>
      </c>
      <c r="K49" s="195" t="n">
        <v>-41865.6</v>
      </c>
      <c r="L49" s="195" t="n">
        <v>-41865.6</v>
      </c>
      <c r="M49" s="195" t="n">
        <v>-41865.6</v>
      </c>
      <c r="N49" s="195" t="n">
        <v>-41865.6</v>
      </c>
      <c r="O49" s="195" t="n">
        <v>-41865.6</v>
      </c>
      <c r="P49" s="195" t="n">
        <v>-41865.6</v>
      </c>
      <c r="Q49" s="195" t="n">
        <v>-41865.6</v>
      </c>
      <c r="R49" s="195" t="n">
        <v>-41865.6</v>
      </c>
      <c r="S49" s="195" t="n">
        <v>-41865.6</v>
      </c>
      <c r="T49" s="195" t="n">
        <v>-41865.6</v>
      </c>
      <c r="U49" s="195" t="n">
        <v>-41865.6</v>
      </c>
      <c r="V49" s="195" t="n">
        <v>-41865.6</v>
      </c>
      <c r="W49" s="195" t="n">
        <v>-41865.6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-1133029.333333333</v>
      </c>
      <c r="F93" s="245" t="n">
        <v>-1133029.333333333</v>
      </c>
      <c r="G93" s="245" t="n">
        <v>-1133029.333333333</v>
      </c>
      <c r="H93" s="245" t="n">
        <v>-1133029.333333333</v>
      </c>
      <c r="I93" s="245" t="n">
        <v>-1133029.333333333</v>
      </c>
      <c r="J93" s="245" t="n">
        <v>-1133029.333333333</v>
      </c>
      <c r="K93" s="245" t="n">
        <v>-1133029.333333333</v>
      </c>
      <c r="L93" s="245" t="n">
        <v>-1133029.333333333</v>
      </c>
      <c r="M93" s="245" t="n">
        <v>-1133029.333333333</v>
      </c>
      <c r="N93" s="245" t="n">
        <v>-1133029.333333333</v>
      </c>
      <c r="O93" s="245" t="n">
        <v>-1133029.333333333</v>
      </c>
      <c r="P93" s="245" t="n">
        <v>-1133029.333333333</v>
      </c>
      <c r="Q93" s="245" t="n">
        <v>-1133029.333333333</v>
      </c>
      <c r="R93" s="245" t="n">
        <v>-1133029.333333333</v>
      </c>
      <c r="S93" s="245" t="n">
        <v>-1133029.333333333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-1062215</v>
      </c>
      <c r="U96" s="249" t="n">
        <v>-1062215</v>
      </c>
      <c r="V96" s="249" t="n">
        <v>-1062215</v>
      </c>
      <c r="W96" s="249" t="n">
        <v>-1062215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5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第4次滾算摘要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31000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2.57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4.43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第4次滾算，減少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31000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-40557.3</v>
      </c>
      <c r="E49" s="195" t="n">
        <v>-40557.3</v>
      </c>
      <c r="F49" s="195" t="n">
        <v>-40557.3</v>
      </c>
      <c r="G49" s="195" t="n">
        <v>-40557.3</v>
      </c>
      <c r="H49" s="195" t="n">
        <v>-40557.3</v>
      </c>
      <c r="I49" s="195" t="n">
        <v>-40557.3</v>
      </c>
      <c r="J49" s="195" t="n">
        <v>-40557.3</v>
      </c>
      <c r="K49" s="195" t="n">
        <v>-40557.3</v>
      </c>
      <c r="L49" s="195" t="n">
        <v>-40557.3</v>
      </c>
      <c r="M49" s="195" t="n">
        <v>-40557.3</v>
      </c>
      <c r="N49" s="195" t="n">
        <v>-40557.3</v>
      </c>
      <c r="O49" s="195" t="n">
        <v>-40557.3</v>
      </c>
      <c r="P49" s="195" t="n">
        <v>-40557.3</v>
      </c>
      <c r="Q49" s="195" t="n">
        <v>-40557.3</v>
      </c>
      <c r="R49" s="195" t="n">
        <v>-40557.3</v>
      </c>
      <c r="S49" s="195" t="n">
        <v>-40557.3</v>
      </c>
      <c r="T49" s="195" t="n">
        <v>-40557.3</v>
      </c>
      <c r="U49" s="195" t="n">
        <v>-40557.3</v>
      </c>
      <c r="V49" s="195" t="n">
        <v>-40557.3</v>
      </c>
      <c r="W49" s="195" t="n">
        <v>-40557.3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-1099802.666666667</v>
      </c>
      <c r="F93" s="245" t="n">
        <v>-1099802.666666667</v>
      </c>
      <c r="G93" s="245" t="n">
        <v>-1099802.666666667</v>
      </c>
      <c r="H93" s="245" t="n">
        <v>-1099802.666666667</v>
      </c>
      <c r="I93" s="245" t="n">
        <v>-1099802.666666667</v>
      </c>
      <c r="J93" s="245" t="n">
        <v>-1099802.666666667</v>
      </c>
      <c r="K93" s="245" t="n">
        <v>-1099802.666666667</v>
      </c>
      <c r="L93" s="245" t="n">
        <v>-1099802.666666667</v>
      </c>
      <c r="M93" s="245" t="n">
        <v>-1099802.666666667</v>
      </c>
      <c r="N93" s="245" t="n">
        <v>-1099802.666666667</v>
      </c>
      <c r="O93" s="245" t="n">
        <v>-1099802.666666667</v>
      </c>
      <c r="P93" s="245" t="n">
        <v>-1099802.666666667</v>
      </c>
      <c r="Q93" s="245" t="n">
        <v>-1099802.666666667</v>
      </c>
      <c r="R93" s="245" t="n">
        <v>-1099802.666666667</v>
      </c>
      <c r="S93" s="245" t="n">
        <v>-1099802.666666667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-1031065</v>
      </c>
      <c r="U96" s="249" t="n">
        <v>-1031065</v>
      </c>
      <c r="V96" s="249" t="n">
        <v>-1031065</v>
      </c>
      <c r="W96" s="249" t="n">
        <v>-1031065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6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第5次滾算摘要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30000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2.86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5.37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第5次滾算，減少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30000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-39249</v>
      </c>
      <c r="E49" s="195" t="n">
        <v>-39249</v>
      </c>
      <c r="F49" s="195" t="n">
        <v>-39249</v>
      </c>
      <c r="G49" s="195" t="n">
        <v>-39249</v>
      </c>
      <c r="H49" s="195" t="n">
        <v>-39249</v>
      </c>
      <c r="I49" s="195" t="n">
        <v>-39249</v>
      </c>
      <c r="J49" s="195" t="n">
        <v>-39249</v>
      </c>
      <c r="K49" s="195" t="n">
        <v>-39249</v>
      </c>
      <c r="L49" s="195" t="n">
        <v>-39249</v>
      </c>
      <c r="M49" s="195" t="n">
        <v>-39249</v>
      </c>
      <c r="N49" s="195" t="n">
        <v>-39249</v>
      </c>
      <c r="O49" s="195" t="n">
        <v>-39249</v>
      </c>
      <c r="P49" s="195" t="n">
        <v>-39249</v>
      </c>
      <c r="Q49" s="195" t="n">
        <v>-39249</v>
      </c>
      <c r="R49" s="195" t="n">
        <v>-39249</v>
      </c>
      <c r="S49" s="195" t="n">
        <v>-39249</v>
      </c>
      <c r="T49" s="195" t="n">
        <v>-39249</v>
      </c>
      <c r="U49" s="195" t="n">
        <v>-39249</v>
      </c>
      <c r="V49" s="195" t="n">
        <v>-39249</v>
      </c>
      <c r="W49" s="195" t="n">
        <v>-39249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-1066576</v>
      </c>
      <c r="F93" s="245" t="n">
        <v>-1066576</v>
      </c>
      <c r="G93" s="245" t="n">
        <v>-1066576</v>
      </c>
      <c r="H93" s="245" t="n">
        <v>-1066576</v>
      </c>
      <c r="I93" s="245" t="n">
        <v>-1066576</v>
      </c>
      <c r="J93" s="245" t="n">
        <v>-1066576</v>
      </c>
      <c r="K93" s="245" t="n">
        <v>-1066576</v>
      </c>
      <c r="L93" s="245" t="n">
        <v>-1066576</v>
      </c>
      <c r="M93" s="245" t="n">
        <v>-1066576</v>
      </c>
      <c r="N93" s="245" t="n">
        <v>-1066576</v>
      </c>
      <c r="O93" s="245" t="n">
        <v>-1066576</v>
      </c>
      <c r="P93" s="245" t="n">
        <v>-1066576</v>
      </c>
      <c r="Q93" s="245" t="n">
        <v>-1066576</v>
      </c>
      <c r="R93" s="245" t="n">
        <v>-1066576</v>
      </c>
      <c r="S93" s="245" t="n">
        <v>-1066576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-999915</v>
      </c>
      <c r="U96" s="249" t="n">
        <v>-999915</v>
      </c>
      <c r="V96" s="249" t="n">
        <v>-999915</v>
      </c>
      <c r="W96" s="249" t="n">
        <v>-999915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7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第6次滾算摘要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29000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3.16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6.37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第6次滾算，減少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29000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-37940.7</v>
      </c>
      <c r="E49" s="195" t="n">
        <v>-37940.7</v>
      </c>
      <c r="F49" s="195" t="n">
        <v>-37940.7</v>
      </c>
      <c r="G49" s="195" t="n">
        <v>-37940.7</v>
      </c>
      <c r="H49" s="195" t="n">
        <v>-37940.7</v>
      </c>
      <c r="I49" s="195" t="n">
        <v>-37940.7</v>
      </c>
      <c r="J49" s="195" t="n">
        <v>-37940.7</v>
      </c>
      <c r="K49" s="195" t="n">
        <v>-37940.7</v>
      </c>
      <c r="L49" s="195" t="n">
        <v>-37940.7</v>
      </c>
      <c r="M49" s="195" t="n">
        <v>-37940.7</v>
      </c>
      <c r="N49" s="195" t="n">
        <v>-37940.7</v>
      </c>
      <c r="O49" s="195" t="n">
        <v>-37940.7</v>
      </c>
      <c r="P49" s="195" t="n">
        <v>-37940.7</v>
      </c>
      <c r="Q49" s="195" t="n">
        <v>-37940.7</v>
      </c>
      <c r="R49" s="195" t="n">
        <v>-37940.7</v>
      </c>
      <c r="S49" s="195" t="n">
        <v>-37940.7</v>
      </c>
      <c r="T49" s="195" t="n">
        <v>-37940.7</v>
      </c>
      <c r="U49" s="195" t="n">
        <v>-37940.7</v>
      </c>
      <c r="V49" s="195" t="n">
        <v>-37940.7</v>
      </c>
      <c r="W49" s="195" t="n">
        <v>-37940.7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-1033349.333333333</v>
      </c>
      <c r="F93" s="245" t="n">
        <v>-1033349.333333333</v>
      </c>
      <c r="G93" s="245" t="n">
        <v>-1033349.333333333</v>
      </c>
      <c r="H93" s="245" t="n">
        <v>-1033349.333333333</v>
      </c>
      <c r="I93" s="245" t="n">
        <v>-1033349.333333333</v>
      </c>
      <c r="J93" s="245" t="n">
        <v>-1033349.333333333</v>
      </c>
      <c r="K93" s="245" t="n">
        <v>-1033349.333333333</v>
      </c>
      <c r="L93" s="245" t="n">
        <v>-1033349.333333333</v>
      </c>
      <c r="M93" s="245" t="n">
        <v>-1033349.333333333</v>
      </c>
      <c r="N93" s="245" t="n">
        <v>-1033349.333333333</v>
      </c>
      <c r="O93" s="245" t="n">
        <v>-1033349.333333333</v>
      </c>
      <c r="P93" s="245" t="n">
        <v>-1033349.333333333</v>
      </c>
      <c r="Q93" s="245" t="n">
        <v>-1033349.333333333</v>
      </c>
      <c r="R93" s="245" t="n">
        <v>-1033349.333333333</v>
      </c>
      <c r="S93" s="245" t="n">
        <v>-1033349.333333333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-968765</v>
      </c>
      <c r="U96" s="249" t="n">
        <v>-968765</v>
      </c>
      <c r="V96" s="249" t="n">
        <v>-968765</v>
      </c>
      <c r="W96" s="249" t="n">
        <v>-968765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8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第7次滾算摘要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28000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3.48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7.46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第7次滾算，減少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28000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-36632.4</v>
      </c>
      <c r="E49" s="195" t="n">
        <v>-36632.4</v>
      </c>
      <c r="F49" s="195" t="n">
        <v>-36632.4</v>
      </c>
      <c r="G49" s="195" t="n">
        <v>-36632.4</v>
      </c>
      <c r="H49" s="195" t="n">
        <v>-36632.4</v>
      </c>
      <c r="I49" s="195" t="n">
        <v>-36632.4</v>
      </c>
      <c r="J49" s="195" t="n">
        <v>-36632.4</v>
      </c>
      <c r="K49" s="195" t="n">
        <v>-36632.4</v>
      </c>
      <c r="L49" s="195" t="n">
        <v>-36632.4</v>
      </c>
      <c r="M49" s="195" t="n">
        <v>-36632.4</v>
      </c>
      <c r="N49" s="195" t="n">
        <v>-36632.4</v>
      </c>
      <c r="O49" s="195" t="n">
        <v>-36632.4</v>
      </c>
      <c r="P49" s="195" t="n">
        <v>-36632.4</v>
      </c>
      <c r="Q49" s="195" t="n">
        <v>-36632.4</v>
      </c>
      <c r="R49" s="195" t="n">
        <v>-36632.4</v>
      </c>
      <c r="S49" s="195" t="n">
        <v>-36632.4</v>
      </c>
      <c r="T49" s="195" t="n">
        <v>-36632.4</v>
      </c>
      <c r="U49" s="195" t="n">
        <v>-36632.4</v>
      </c>
      <c r="V49" s="195" t="n">
        <v>-36632.4</v>
      </c>
      <c r="W49" s="195" t="n">
        <v>-36632.4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-1000122.666666667</v>
      </c>
      <c r="F93" s="245" t="n">
        <v>-1000122.666666667</v>
      </c>
      <c r="G93" s="245" t="n">
        <v>-1000122.666666667</v>
      </c>
      <c r="H93" s="245" t="n">
        <v>-1000122.666666667</v>
      </c>
      <c r="I93" s="245" t="n">
        <v>-1000122.666666667</v>
      </c>
      <c r="J93" s="245" t="n">
        <v>-1000122.666666667</v>
      </c>
      <c r="K93" s="245" t="n">
        <v>-1000122.666666667</v>
      </c>
      <c r="L93" s="245" t="n">
        <v>-1000122.666666667</v>
      </c>
      <c r="M93" s="245" t="n">
        <v>-1000122.666666667</v>
      </c>
      <c r="N93" s="245" t="n">
        <v>-1000122.666666667</v>
      </c>
      <c r="O93" s="245" t="n">
        <v>-1000122.666666667</v>
      </c>
      <c r="P93" s="245" t="n">
        <v>-1000122.666666667</v>
      </c>
      <c r="Q93" s="245" t="n">
        <v>-1000122.666666667</v>
      </c>
      <c r="R93" s="245" t="n">
        <v>-1000122.666666667</v>
      </c>
      <c r="S93" s="245" t="n">
        <v>-1000122.666666667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-937615</v>
      </c>
      <c r="U96" s="249" t="n">
        <v>-937615</v>
      </c>
      <c r="V96" s="249" t="n">
        <v>-937615</v>
      </c>
      <c r="W96" s="249" t="n">
        <v>-937615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9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第8次滾算摘要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27000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3.82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8.65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第8次滾算，減少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27000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-35324.1</v>
      </c>
      <c r="E49" s="195" t="n">
        <v>-35324.1</v>
      </c>
      <c r="F49" s="195" t="n">
        <v>-35324.1</v>
      </c>
      <c r="G49" s="195" t="n">
        <v>-35324.1</v>
      </c>
      <c r="H49" s="195" t="n">
        <v>-35324.1</v>
      </c>
      <c r="I49" s="195" t="n">
        <v>-35324.1</v>
      </c>
      <c r="J49" s="195" t="n">
        <v>-35324.1</v>
      </c>
      <c r="K49" s="195" t="n">
        <v>-35324.1</v>
      </c>
      <c r="L49" s="195" t="n">
        <v>-35324.1</v>
      </c>
      <c r="M49" s="195" t="n">
        <v>-35324.1</v>
      </c>
      <c r="N49" s="195" t="n">
        <v>-35324.1</v>
      </c>
      <c r="O49" s="195" t="n">
        <v>-35324.1</v>
      </c>
      <c r="P49" s="195" t="n">
        <v>-35324.1</v>
      </c>
      <c r="Q49" s="195" t="n">
        <v>-35324.1</v>
      </c>
      <c r="R49" s="195" t="n">
        <v>-35324.1</v>
      </c>
      <c r="S49" s="195" t="n">
        <v>-35324.1</v>
      </c>
      <c r="T49" s="195" t="n">
        <v>-35324.1</v>
      </c>
      <c r="U49" s="195" t="n">
        <v>-35324.1</v>
      </c>
      <c r="V49" s="195" t="n">
        <v>-35324.1</v>
      </c>
      <c r="W49" s="195" t="n">
        <v>-35324.1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-966896</v>
      </c>
      <c r="F93" s="245" t="n">
        <v>-966896</v>
      </c>
      <c r="G93" s="245" t="n">
        <v>-966896</v>
      </c>
      <c r="H93" s="245" t="n">
        <v>-966896</v>
      </c>
      <c r="I93" s="245" t="n">
        <v>-966896</v>
      </c>
      <c r="J93" s="245" t="n">
        <v>-966896</v>
      </c>
      <c r="K93" s="245" t="n">
        <v>-966896</v>
      </c>
      <c r="L93" s="245" t="n">
        <v>-966896</v>
      </c>
      <c r="M93" s="245" t="n">
        <v>-966896</v>
      </c>
      <c r="N93" s="245" t="n">
        <v>-966896</v>
      </c>
      <c r="O93" s="245" t="n">
        <v>-966896</v>
      </c>
      <c r="P93" s="245" t="n">
        <v>-966896</v>
      </c>
      <c r="Q93" s="245" t="n">
        <v>-966896</v>
      </c>
      <c r="R93" s="245" t="n">
        <v>-966896</v>
      </c>
      <c r="S93" s="245" t="n">
        <v>-966896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-906465</v>
      </c>
      <c r="U96" s="249" t="n">
        <v>-906465</v>
      </c>
      <c r="V96" s="249" t="n">
        <v>-906465</v>
      </c>
      <c r="W96" s="249" t="n">
        <v>-906465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10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第9次滾算摘要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26000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4.17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9.96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第9次滾算，減少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26000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-34015.8</v>
      </c>
      <c r="E49" s="195" t="n">
        <v>-34015.8</v>
      </c>
      <c r="F49" s="195" t="n">
        <v>-34015.8</v>
      </c>
      <c r="G49" s="195" t="n">
        <v>-34015.8</v>
      </c>
      <c r="H49" s="195" t="n">
        <v>-34015.8</v>
      </c>
      <c r="I49" s="195" t="n">
        <v>-34015.8</v>
      </c>
      <c r="J49" s="195" t="n">
        <v>-34015.8</v>
      </c>
      <c r="K49" s="195" t="n">
        <v>-34015.8</v>
      </c>
      <c r="L49" s="195" t="n">
        <v>-34015.8</v>
      </c>
      <c r="M49" s="195" t="n">
        <v>-34015.8</v>
      </c>
      <c r="N49" s="195" t="n">
        <v>-34015.8</v>
      </c>
      <c r="O49" s="195" t="n">
        <v>-34015.8</v>
      </c>
      <c r="P49" s="195" t="n">
        <v>-34015.8</v>
      </c>
      <c r="Q49" s="195" t="n">
        <v>-34015.8</v>
      </c>
      <c r="R49" s="195" t="n">
        <v>-34015.8</v>
      </c>
      <c r="S49" s="195" t="n">
        <v>-34015.8</v>
      </c>
      <c r="T49" s="195" t="n">
        <v>-34015.8</v>
      </c>
      <c r="U49" s="195" t="n">
        <v>-34015.8</v>
      </c>
      <c r="V49" s="195" t="n">
        <v>-34015.8</v>
      </c>
      <c r="W49" s="195" t="n">
        <v>-34015.8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-933669.3333333334</v>
      </c>
      <c r="F93" s="245" t="n">
        <v>-933669.3333333334</v>
      </c>
      <c r="G93" s="245" t="n">
        <v>-933669.3333333334</v>
      </c>
      <c r="H93" s="245" t="n">
        <v>-933669.3333333334</v>
      </c>
      <c r="I93" s="245" t="n">
        <v>-933669.3333333334</v>
      </c>
      <c r="J93" s="245" t="n">
        <v>-933669.3333333334</v>
      </c>
      <c r="K93" s="245" t="n">
        <v>-933669.3333333334</v>
      </c>
      <c r="L93" s="245" t="n">
        <v>-933669.3333333334</v>
      </c>
      <c r="M93" s="245" t="n">
        <v>-933669.3333333334</v>
      </c>
      <c r="N93" s="245" t="n">
        <v>-933669.3333333334</v>
      </c>
      <c r="O93" s="245" t="n">
        <v>-933669.3333333334</v>
      </c>
      <c r="P93" s="245" t="n">
        <v>-933669.3333333334</v>
      </c>
      <c r="Q93" s="245" t="n">
        <v>-933669.3333333334</v>
      </c>
      <c r="R93" s="245" t="n">
        <v>-933669.3333333334</v>
      </c>
      <c r="S93" s="245" t="n">
        <v>-933669.3333333334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-875315</v>
      </c>
      <c r="U96" s="249" t="n">
        <v>-875315</v>
      </c>
      <c r="V96" s="249" t="n">
        <v>-875315</v>
      </c>
      <c r="W96" s="249" t="n">
        <v>-875315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11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第10次滾算摘要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25000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4.54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11.4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第10次滾算，減少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25000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-32707.5</v>
      </c>
      <c r="E49" s="195" t="n">
        <v>-32707.5</v>
      </c>
      <c r="F49" s="195" t="n">
        <v>-32707.5</v>
      </c>
      <c r="G49" s="195" t="n">
        <v>-32707.5</v>
      </c>
      <c r="H49" s="195" t="n">
        <v>-32707.5</v>
      </c>
      <c r="I49" s="195" t="n">
        <v>-32707.5</v>
      </c>
      <c r="J49" s="195" t="n">
        <v>-32707.5</v>
      </c>
      <c r="K49" s="195" t="n">
        <v>-32707.5</v>
      </c>
      <c r="L49" s="195" t="n">
        <v>-32707.5</v>
      </c>
      <c r="M49" s="195" t="n">
        <v>-32707.5</v>
      </c>
      <c r="N49" s="195" t="n">
        <v>-32707.5</v>
      </c>
      <c r="O49" s="195" t="n">
        <v>-32707.5</v>
      </c>
      <c r="P49" s="195" t="n">
        <v>-32707.5</v>
      </c>
      <c r="Q49" s="195" t="n">
        <v>-32707.5</v>
      </c>
      <c r="R49" s="195" t="n">
        <v>-32707.5</v>
      </c>
      <c r="S49" s="195" t="n">
        <v>-32707.5</v>
      </c>
      <c r="T49" s="195" t="n">
        <v>-32707.5</v>
      </c>
      <c r="U49" s="195" t="n">
        <v>-32707.5</v>
      </c>
      <c r="V49" s="195" t="n">
        <v>-32707.5</v>
      </c>
      <c r="W49" s="195" t="n">
        <v>-32707.5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-900442.6666666666</v>
      </c>
      <c r="F93" s="245" t="n">
        <v>-900442.6666666666</v>
      </c>
      <c r="G93" s="245" t="n">
        <v>-900442.6666666666</v>
      </c>
      <c r="H93" s="245" t="n">
        <v>-900442.6666666666</v>
      </c>
      <c r="I93" s="245" t="n">
        <v>-900442.6666666666</v>
      </c>
      <c r="J93" s="245" t="n">
        <v>-900442.6666666666</v>
      </c>
      <c r="K93" s="245" t="n">
        <v>-900442.6666666666</v>
      </c>
      <c r="L93" s="245" t="n">
        <v>-900442.6666666666</v>
      </c>
      <c r="M93" s="245" t="n">
        <v>-900442.6666666666</v>
      </c>
      <c r="N93" s="245" t="n">
        <v>-900442.6666666666</v>
      </c>
      <c r="O93" s="245" t="n">
        <v>-900442.6666666666</v>
      </c>
      <c r="P93" s="245" t="n">
        <v>-900442.6666666666</v>
      </c>
      <c r="Q93" s="245" t="n">
        <v>-900442.6666666666</v>
      </c>
      <c r="R93" s="245" t="n">
        <v>-900442.6666666666</v>
      </c>
      <c r="S93" s="245" t="n">
        <v>-900442.6666666666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-844165</v>
      </c>
      <c r="U96" s="249" t="n">
        <v>-844165</v>
      </c>
      <c r="V96" s="249" t="n">
        <v>-844165</v>
      </c>
      <c r="W96" s="249" t="n">
        <v>-844165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12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第11次滾算摘要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24000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4.94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13.0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第11次滾算，減少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24000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-31399.2</v>
      </c>
      <c r="E49" s="195" t="n">
        <v>-31399.2</v>
      </c>
      <c r="F49" s="195" t="n">
        <v>-31399.2</v>
      </c>
      <c r="G49" s="195" t="n">
        <v>-31399.2</v>
      </c>
      <c r="H49" s="195" t="n">
        <v>-31399.2</v>
      </c>
      <c r="I49" s="195" t="n">
        <v>-31399.2</v>
      </c>
      <c r="J49" s="195" t="n">
        <v>-31399.2</v>
      </c>
      <c r="K49" s="195" t="n">
        <v>-31399.2</v>
      </c>
      <c r="L49" s="195" t="n">
        <v>-31399.2</v>
      </c>
      <c r="M49" s="195" t="n">
        <v>-31399.2</v>
      </c>
      <c r="N49" s="195" t="n">
        <v>-31399.2</v>
      </c>
      <c r="O49" s="195" t="n">
        <v>-31399.2</v>
      </c>
      <c r="P49" s="195" t="n">
        <v>-31399.2</v>
      </c>
      <c r="Q49" s="195" t="n">
        <v>-31399.2</v>
      </c>
      <c r="R49" s="195" t="n">
        <v>-31399.2</v>
      </c>
      <c r="S49" s="195" t="n">
        <v>-31399.2</v>
      </c>
      <c r="T49" s="195" t="n">
        <v>-31399.2</v>
      </c>
      <c r="U49" s="195" t="n">
        <v>-31399.2</v>
      </c>
      <c r="V49" s="195" t="n">
        <v>-31399.2</v>
      </c>
      <c r="W49" s="195" t="n">
        <v>-31399.2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-867216</v>
      </c>
      <c r="F93" s="245" t="n">
        <v>-867216</v>
      </c>
      <c r="G93" s="245" t="n">
        <v>-867216</v>
      </c>
      <c r="H93" s="245" t="n">
        <v>-867216</v>
      </c>
      <c r="I93" s="245" t="n">
        <v>-867216</v>
      </c>
      <c r="J93" s="245" t="n">
        <v>-867216</v>
      </c>
      <c r="K93" s="245" t="n">
        <v>-867216</v>
      </c>
      <c r="L93" s="245" t="n">
        <v>-867216</v>
      </c>
      <c r="M93" s="245" t="n">
        <v>-867216</v>
      </c>
      <c r="N93" s="245" t="n">
        <v>-867216</v>
      </c>
      <c r="O93" s="245" t="n">
        <v>-867216</v>
      </c>
      <c r="P93" s="245" t="n">
        <v>-867216</v>
      </c>
      <c r="Q93" s="245" t="n">
        <v>-867216</v>
      </c>
      <c r="R93" s="245" t="n">
        <v>-867216</v>
      </c>
      <c r="S93" s="245" t="n">
        <v>-867216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-813015</v>
      </c>
      <c r="U96" s="249" t="n">
        <v>-813015</v>
      </c>
      <c r="V96" s="249" t="n">
        <v>-813015</v>
      </c>
      <c r="W96" s="249" t="n">
        <v>-813015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13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第12次滾算摘要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23000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5.36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14.79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第12次滾算，減少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23000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-30090.9</v>
      </c>
      <c r="E49" s="195" t="n">
        <v>-30090.9</v>
      </c>
      <c r="F49" s="195" t="n">
        <v>-30090.9</v>
      </c>
      <c r="G49" s="195" t="n">
        <v>-30090.9</v>
      </c>
      <c r="H49" s="195" t="n">
        <v>-30090.9</v>
      </c>
      <c r="I49" s="195" t="n">
        <v>-30090.9</v>
      </c>
      <c r="J49" s="195" t="n">
        <v>-30090.9</v>
      </c>
      <c r="K49" s="195" t="n">
        <v>-30090.9</v>
      </c>
      <c r="L49" s="195" t="n">
        <v>-30090.9</v>
      </c>
      <c r="M49" s="195" t="n">
        <v>-30090.9</v>
      </c>
      <c r="N49" s="195" t="n">
        <v>-30090.9</v>
      </c>
      <c r="O49" s="195" t="n">
        <v>-30090.9</v>
      </c>
      <c r="P49" s="195" t="n">
        <v>-30090.9</v>
      </c>
      <c r="Q49" s="195" t="n">
        <v>-30090.9</v>
      </c>
      <c r="R49" s="195" t="n">
        <v>-30090.9</v>
      </c>
      <c r="S49" s="195" t="n">
        <v>-30090.9</v>
      </c>
      <c r="T49" s="195" t="n">
        <v>-30090.9</v>
      </c>
      <c r="U49" s="195" t="n">
        <v>-30090.9</v>
      </c>
      <c r="V49" s="195" t="n">
        <v>-30090.9</v>
      </c>
      <c r="W49" s="195" t="n">
        <v>-30090.9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-833989.3333333334</v>
      </c>
      <c r="F93" s="245" t="n">
        <v>-833989.3333333334</v>
      </c>
      <c r="G93" s="245" t="n">
        <v>-833989.3333333334</v>
      </c>
      <c r="H93" s="245" t="n">
        <v>-833989.3333333334</v>
      </c>
      <c r="I93" s="245" t="n">
        <v>-833989.3333333334</v>
      </c>
      <c r="J93" s="245" t="n">
        <v>-833989.3333333334</v>
      </c>
      <c r="K93" s="245" t="n">
        <v>-833989.3333333334</v>
      </c>
      <c r="L93" s="245" t="n">
        <v>-833989.3333333334</v>
      </c>
      <c r="M93" s="245" t="n">
        <v>-833989.3333333334</v>
      </c>
      <c r="N93" s="245" t="n">
        <v>-833989.3333333334</v>
      </c>
      <c r="O93" s="245" t="n">
        <v>-833989.3333333334</v>
      </c>
      <c r="P93" s="245" t="n">
        <v>-833989.3333333334</v>
      </c>
      <c r="Q93" s="245" t="n">
        <v>-833989.3333333334</v>
      </c>
      <c r="R93" s="245" t="n">
        <v>-833989.3333333334</v>
      </c>
      <c r="S93" s="245" t="n">
        <v>-833989.3333333334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-781865</v>
      </c>
      <c r="U96" s="249" t="n">
        <v>-781865</v>
      </c>
      <c r="V96" s="249" t="n">
        <v>-781865</v>
      </c>
      <c r="W96" s="249" t="n">
        <v>-781865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14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第13次滾算摘要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22000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5.8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16.83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第13次滾算，減少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22000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-28782.6</v>
      </c>
      <c r="E49" s="195" t="n">
        <v>-28782.6</v>
      </c>
      <c r="F49" s="195" t="n">
        <v>-28782.6</v>
      </c>
      <c r="G49" s="195" t="n">
        <v>-28782.6</v>
      </c>
      <c r="H49" s="195" t="n">
        <v>-28782.6</v>
      </c>
      <c r="I49" s="195" t="n">
        <v>-28782.6</v>
      </c>
      <c r="J49" s="195" t="n">
        <v>-28782.6</v>
      </c>
      <c r="K49" s="195" t="n">
        <v>-28782.6</v>
      </c>
      <c r="L49" s="195" t="n">
        <v>-28782.6</v>
      </c>
      <c r="M49" s="195" t="n">
        <v>-28782.6</v>
      </c>
      <c r="N49" s="195" t="n">
        <v>-28782.6</v>
      </c>
      <c r="O49" s="195" t="n">
        <v>-28782.6</v>
      </c>
      <c r="P49" s="195" t="n">
        <v>-28782.6</v>
      </c>
      <c r="Q49" s="195" t="n">
        <v>-28782.6</v>
      </c>
      <c r="R49" s="195" t="n">
        <v>-28782.6</v>
      </c>
      <c r="S49" s="195" t="n">
        <v>-28782.6</v>
      </c>
      <c r="T49" s="195" t="n">
        <v>-28782.6</v>
      </c>
      <c r="U49" s="195" t="n">
        <v>-28782.6</v>
      </c>
      <c r="V49" s="195" t="n">
        <v>-28782.6</v>
      </c>
      <c r="W49" s="195" t="n">
        <v>-28782.6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-800762.6666666666</v>
      </c>
      <c r="F93" s="245" t="n">
        <v>-800762.6666666666</v>
      </c>
      <c r="G93" s="245" t="n">
        <v>-800762.6666666666</v>
      </c>
      <c r="H93" s="245" t="n">
        <v>-800762.6666666666</v>
      </c>
      <c r="I93" s="245" t="n">
        <v>-800762.6666666666</v>
      </c>
      <c r="J93" s="245" t="n">
        <v>-800762.6666666666</v>
      </c>
      <c r="K93" s="245" t="n">
        <v>-800762.6666666666</v>
      </c>
      <c r="L93" s="245" t="n">
        <v>-800762.6666666666</v>
      </c>
      <c r="M93" s="245" t="n">
        <v>-800762.6666666666</v>
      </c>
      <c r="N93" s="245" t="n">
        <v>-800762.6666666666</v>
      </c>
      <c r="O93" s="245" t="n">
        <v>-800762.6666666666</v>
      </c>
      <c r="P93" s="245" t="n">
        <v>-800762.6666666666</v>
      </c>
      <c r="Q93" s="245" t="n">
        <v>-800762.6666666666</v>
      </c>
      <c r="R93" s="245" t="n">
        <v>-800762.6666666666</v>
      </c>
      <c r="S93" s="245" t="n">
        <v>-800762.6666666666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-750715</v>
      </c>
      <c r="U96" s="249" t="n">
        <v>-750715</v>
      </c>
      <c r="V96" s="249" t="n">
        <v>-750715</v>
      </c>
      <c r="W96" s="249" t="n">
        <v>-750715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15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第14次滾算摘要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21000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6.28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19.16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第14次滾算，減少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21000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-27474.3</v>
      </c>
      <c r="E49" s="195" t="n">
        <v>-27474.3</v>
      </c>
      <c r="F49" s="195" t="n">
        <v>-27474.3</v>
      </c>
      <c r="G49" s="195" t="n">
        <v>-27474.3</v>
      </c>
      <c r="H49" s="195" t="n">
        <v>-27474.3</v>
      </c>
      <c r="I49" s="195" t="n">
        <v>-27474.3</v>
      </c>
      <c r="J49" s="195" t="n">
        <v>-27474.3</v>
      </c>
      <c r="K49" s="195" t="n">
        <v>-27474.3</v>
      </c>
      <c r="L49" s="195" t="n">
        <v>-27474.3</v>
      </c>
      <c r="M49" s="195" t="n">
        <v>-27474.3</v>
      </c>
      <c r="N49" s="195" t="n">
        <v>-27474.3</v>
      </c>
      <c r="O49" s="195" t="n">
        <v>-27474.3</v>
      </c>
      <c r="P49" s="195" t="n">
        <v>-27474.3</v>
      </c>
      <c r="Q49" s="195" t="n">
        <v>-27474.3</v>
      </c>
      <c r="R49" s="195" t="n">
        <v>-27474.3</v>
      </c>
      <c r="S49" s="195" t="n">
        <v>-27474.3</v>
      </c>
      <c r="T49" s="195" t="n">
        <v>-27474.3</v>
      </c>
      <c r="U49" s="195" t="n">
        <v>-27474.3</v>
      </c>
      <c r="V49" s="195" t="n">
        <v>-27474.3</v>
      </c>
      <c r="W49" s="195" t="n">
        <v>-27474.3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-767536</v>
      </c>
      <c r="F93" s="245" t="n">
        <v>-767536</v>
      </c>
      <c r="G93" s="245" t="n">
        <v>-767536</v>
      </c>
      <c r="H93" s="245" t="n">
        <v>-767536</v>
      </c>
      <c r="I93" s="245" t="n">
        <v>-767536</v>
      </c>
      <c r="J93" s="245" t="n">
        <v>-767536</v>
      </c>
      <c r="K93" s="245" t="n">
        <v>-767536</v>
      </c>
      <c r="L93" s="245" t="n">
        <v>-767536</v>
      </c>
      <c r="M93" s="245" t="n">
        <v>-767536</v>
      </c>
      <c r="N93" s="245" t="n">
        <v>-767536</v>
      </c>
      <c r="O93" s="245" t="n">
        <v>-767536</v>
      </c>
      <c r="P93" s="245" t="n">
        <v>-767536</v>
      </c>
      <c r="Q93" s="245" t="n">
        <v>-767536</v>
      </c>
      <c r="R93" s="245" t="n">
        <v>-767536</v>
      </c>
      <c r="S93" s="245" t="n">
        <v>-767536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-719565</v>
      </c>
      <c r="U96" s="249" t="n">
        <v>-719565</v>
      </c>
      <c r="V96" s="249" t="n">
        <v>-719565</v>
      </c>
      <c r="W96" s="249" t="n">
        <v>-719565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16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第15次滾算摘要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20000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6.79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21.86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第15次滾算，減少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20000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-26166</v>
      </c>
      <c r="E49" s="195" t="n">
        <v>-26166</v>
      </c>
      <c r="F49" s="195" t="n">
        <v>-26166</v>
      </c>
      <c r="G49" s="195" t="n">
        <v>-26166</v>
      </c>
      <c r="H49" s="195" t="n">
        <v>-26166</v>
      </c>
      <c r="I49" s="195" t="n">
        <v>-26166</v>
      </c>
      <c r="J49" s="195" t="n">
        <v>-26166</v>
      </c>
      <c r="K49" s="195" t="n">
        <v>-26166</v>
      </c>
      <c r="L49" s="195" t="n">
        <v>-26166</v>
      </c>
      <c r="M49" s="195" t="n">
        <v>-26166</v>
      </c>
      <c r="N49" s="195" t="n">
        <v>-26166</v>
      </c>
      <c r="O49" s="195" t="n">
        <v>-26166</v>
      </c>
      <c r="P49" s="195" t="n">
        <v>-26166</v>
      </c>
      <c r="Q49" s="195" t="n">
        <v>-26166</v>
      </c>
      <c r="R49" s="195" t="n">
        <v>-26166</v>
      </c>
      <c r="S49" s="195" t="n">
        <v>-26166</v>
      </c>
      <c r="T49" s="195" t="n">
        <v>-26166</v>
      </c>
      <c r="U49" s="195" t="n">
        <v>-26166</v>
      </c>
      <c r="V49" s="195" t="n">
        <v>-26166</v>
      </c>
      <c r="W49" s="195" t="n">
        <v>-26166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-734309.3333333334</v>
      </c>
      <c r="F93" s="245" t="n">
        <v>-734309.3333333334</v>
      </c>
      <c r="G93" s="245" t="n">
        <v>-734309.3333333334</v>
      </c>
      <c r="H93" s="245" t="n">
        <v>-734309.3333333334</v>
      </c>
      <c r="I93" s="245" t="n">
        <v>-734309.3333333334</v>
      </c>
      <c r="J93" s="245" t="n">
        <v>-734309.3333333334</v>
      </c>
      <c r="K93" s="245" t="n">
        <v>-734309.3333333334</v>
      </c>
      <c r="L93" s="245" t="n">
        <v>-734309.3333333334</v>
      </c>
      <c r="M93" s="245" t="n">
        <v>-734309.3333333334</v>
      </c>
      <c r="N93" s="245" t="n">
        <v>-734309.3333333334</v>
      </c>
      <c r="O93" s="245" t="n">
        <v>-734309.3333333334</v>
      </c>
      <c r="P93" s="245" t="n">
        <v>-734309.3333333334</v>
      </c>
      <c r="Q93" s="245" t="n">
        <v>-734309.3333333334</v>
      </c>
      <c r="R93" s="245" t="n">
        <v>-734309.3333333334</v>
      </c>
      <c r="S93" s="245" t="n">
        <v>-734309.3333333334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-688415</v>
      </c>
      <c r="U96" s="249" t="n">
        <v>-688415</v>
      </c>
      <c r="V96" s="249" t="n">
        <v>-688415</v>
      </c>
      <c r="W96" s="249" t="n">
        <v>-688415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17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第16次滾算摘要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19000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7.34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25.02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第16次滾算，減少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19000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-24857.7</v>
      </c>
      <c r="E49" s="195" t="n">
        <v>-24857.7</v>
      </c>
      <c r="F49" s="195" t="n">
        <v>-24857.7</v>
      </c>
      <c r="G49" s="195" t="n">
        <v>-24857.7</v>
      </c>
      <c r="H49" s="195" t="n">
        <v>-24857.7</v>
      </c>
      <c r="I49" s="195" t="n">
        <v>-24857.7</v>
      </c>
      <c r="J49" s="195" t="n">
        <v>-24857.7</v>
      </c>
      <c r="K49" s="195" t="n">
        <v>-24857.7</v>
      </c>
      <c r="L49" s="195" t="n">
        <v>-24857.7</v>
      </c>
      <c r="M49" s="195" t="n">
        <v>-24857.7</v>
      </c>
      <c r="N49" s="195" t="n">
        <v>-24857.7</v>
      </c>
      <c r="O49" s="195" t="n">
        <v>-24857.7</v>
      </c>
      <c r="P49" s="195" t="n">
        <v>-24857.7</v>
      </c>
      <c r="Q49" s="195" t="n">
        <v>-24857.7</v>
      </c>
      <c r="R49" s="195" t="n">
        <v>-24857.7</v>
      </c>
      <c r="S49" s="195" t="n">
        <v>-24857.7</v>
      </c>
      <c r="T49" s="195" t="n">
        <v>-24857.7</v>
      </c>
      <c r="U49" s="195" t="n">
        <v>-24857.7</v>
      </c>
      <c r="V49" s="195" t="n">
        <v>-24857.7</v>
      </c>
      <c r="W49" s="195" t="n">
        <v>-24857.7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-701082.6666666666</v>
      </c>
      <c r="F93" s="245" t="n">
        <v>-701082.6666666666</v>
      </c>
      <c r="G93" s="245" t="n">
        <v>-701082.6666666666</v>
      </c>
      <c r="H93" s="245" t="n">
        <v>-701082.6666666666</v>
      </c>
      <c r="I93" s="245" t="n">
        <v>-701082.6666666666</v>
      </c>
      <c r="J93" s="245" t="n">
        <v>-701082.6666666666</v>
      </c>
      <c r="K93" s="245" t="n">
        <v>-701082.6666666666</v>
      </c>
      <c r="L93" s="245" t="n">
        <v>-701082.6666666666</v>
      </c>
      <c r="M93" s="245" t="n">
        <v>-701082.6666666666</v>
      </c>
      <c r="N93" s="245" t="n">
        <v>-701082.6666666666</v>
      </c>
      <c r="O93" s="245" t="n">
        <v>-701082.6666666666</v>
      </c>
      <c r="P93" s="245" t="n">
        <v>-701082.6666666666</v>
      </c>
      <c r="Q93" s="245" t="n">
        <v>-701082.6666666666</v>
      </c>
      <c r="R93" s="245" t="n">
        <v>-701082.6666666666</v>
      </c>
      <c r="S93" s="245" t="n">
        <v>-701082.6666666666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-657265</v>
      </c>
      <c r="U96" s="249" t="n">
        <v>-657265</v>
      </c>
      <c r="V96" s="249" t="n">
        <v>-657265</v>
      </c>
      <c r="W96" s="249" t="n">
        <v>-657265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18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第17次滾算摘要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18000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7.93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28.8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第17次滾算，減少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18000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-23549.4</v>
      </c>
      <c r="E49" s="195" t="n">
        <v>-23549.4</v>
      </c>
      <c r="F49" s="195" t="n">
        <v>-23549.4</v>
      </c>
      <c r="G49" s="195" t="n">
        <v>-23549.4</v>
      </c>
      <c r="H49" s="195" t="n">
        <v>-23549.4</v>
      </c>
      <c r="I49" s="195" t="n">
        <v>-23549.4</v>
      </c>
      <c r="J49" s="195" t="n">
        <v>-23549.4</v>
      </c>
      <c r="K49" s="195" t="n">
        <v>-23549.4</v>
      </c>
      <c r="L49" s="195" t="n">
        <v>-23549.4</v>
      </c>
      <c r="M49" s="195" t="n">
        <v>-23549.4</v>
      </c>
      <c r="N49" s="195" t="n">
        <v>-23549.4</v>
      </c>
      <c r="O49" s="195" t="n">
        <v>-23549.4</v>
      </c>
      <c r="P49" s="195" t="n">
        <v>-23549.4</v>
      </c>
      <c r="Q49" s="195" t="n">
        <v>-23549.4</v>
      </c>
      <c r="R49" s="195" t="n">
        <v>-23549.4</v>
      </c>
      <c r="S49" s="195" t="n">
        <v>-23549.4</v>
      </c>
      <c r="T49" s="195" t="n">
        <v>-23549.4</v>
      </c>
      <c r="U49" s="195" t="n">
        <v>-23549.4</v>
      </c>
      <c r="V49" s="195" t="n">
        <v>-23549.4</v>
      </c>
      <c r="W49" s="195" t="n">
        <v>-23549.4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-667856</v>
      </c>
      <c r="F93" s="245" t="n">
        <v>-667856</v>
      </c>
      <c r="G93" s="245" t="n">
        <v>-667856</v>
      </c>
      <c r="H93" s="245" t="n">
        <v>-667856</v>
      </c>
      <c r="I93" s="245" t="n">
        <v>-667856</v>
      </c>
      <c r="J93" s="245" t="n">
        <v>-667856</v>
      </c>
      <c r="K93" s="245" t="n">
        <v>-667856</v>
      </c>
      <c r="L93" s="245" t="n">
        <v>-667856</v>
      </c>
      <c r="M93" s="245" t="n">
        <v>-667856</v>
      </c>
      <c r="N93" s="245" t="n">
        <v>-667856</v>
      </c>
      <c r="O93" s="245" t="n">
        <v>-667856</v>
      </c>
      <c r="P93" s="245" t="n">
        <v>-667856</v>
      </c>
      <c r="Q93" s="245" t="n">
        <v>-667856</v>
      </c>
      <c r="R93" s="245" t="n">
        <v>-667856</v>
      </c>
      <c r="S93" s="245" t="n">
        <v>-667856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-626115</v>
      </c>
      <c r="U96" s="249" t="n">
        <v>-626115</v>
      </c>
      <c r="V96" s="249" t="n">
        <v>-626115</v>
      </c>
      <c r="W96" s="249" t="n">
        <v>-626115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19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第18次滾算摘要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17000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8.58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33.37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第18次滾算，減少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17000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-22241.1</v>
      </c>
      <c r="E49" s="195" t="n">
        <v>-22241.1</v>
      </c>
      <c r="F49" s="195" t="n">
        <v>-22241.1</v>
      </c>
      <c r="G49" s="195" t="n">
        <v>-22241.1</v>
      </c>
      <c r="H49" s="195" t="n">
        <v>-22241.1</v>
      </c>
      <c r="I49" s="195" t="n">
        <v>-22241.1</v>
      </c>
      <c r="J49" s="195" t="n">
        <v>-22241.1</v>
      </c>
      <c r="K49" s="195" t="n">
        <v>-22241.1</v>
      </c>
      <c r="L49" s="195" t="n">
        <v>-22241.1</v>
      </c>
      <c r="M49" s="195" t="n">
        <v>-22241.1</v>
      </c>
      <c r="N49" s="195" t="n">
        <v>-22241.1</v>
      </c>
      <c r="O49" s="195" t="n">
        <v>-22241.1</v>
      </c>
      <c r="P49" s="195" t="n">
        <v>-22241.1</v>
      </c>
      <c r="Q49" s="195" t="n">
        <v>-22241.1</v>
      </c>
      <c r="R49" s="195" t="n">
        <v>-22241.1</v>
      </c>
      <c r="S49" s="195" t="n">
        <v>-22241.1</v>
      </c>
      <c r="T49" s="195" t="n">
        <v>-22241.1</v>
      </c>
      <c r="U49" s="195" t="n">
        <v>-22241.1</v>
      </c>
      <c r="V49" s="195" t="n">
        <v>-22241.1</v>
      </c>
      <c r="W49" s="195" t="n">
        <v>-22241.1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-634629.3333333334</v>
      </c>
      <c r="F93" s="245" t="n">
        <v>-634629.3333333334</v>
      </c>
      <c r="G93" s="245" t="n">
        <v>-634629.3333333334</v>
      </c>
      <c r="H93" s="245" t="n">
        <v>-634629.3333333334</v>
      </c>
      <c r="I93" s="245" t="n">
        <v>-634629.3333333334</v>
      </c>
      <c r="J93" s="245" t="n">
        <v>-634629.3333333334</v>
      </c>
      <c r="K93" s="245" t="n">
        <v>-634629.3333333334</v>
      </c>
      <c r="L93" s="245" t="n">
        <v>-634629.3333333334</v>
      </c>
      <c r="M93" s="245" t="n">
        <v>-634629.3333333334</v>
      </c>
      <c r="N93" s="245" t="n">
        <v>-634629.3333333334</v>
      </c>
      <c r="O93" s="245" t="n">
        <v>-634629.3333333334</v>
      </c>
      <c r="P93" s="245" t="n">
        <v>-634629.3333333334</v>
      </c>
      <c r="Q93" s="245" t="n">
        <v>-634629.3333333334</v>
      </c>
      <c r="R93" s="245" t="n">
        <v>-634629.3333333334</v>
      </c>
      <c r="S93" s="245" t="n">
        <v>-634629.3333333334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-594965</v>
      </c>
      <c r="U96" s="249" t="n">
        <v>-594965</v>
      </c>
      <c r="V96" s="249" t="n">
        <v>-594965</v>
      </c>
      <c r="W96" s="249" t="n">
        <v>-594965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20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第19次滾算摘要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16000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9.28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39.0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第19次滾算，減少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16000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-20932.8</v>
      </c>
      <c r="E49" s="195" t="n">
        <v>-20932.8</v>
      </c>
      <c r="F49" s="195" t="n">
        <v>-20932.8</v>
      </c>
      <c r="G49" s="195" t="n">
        <v>-20932.8</v>
      </c>
      <c r="H49" s="195" t="n">
        <v>-20932.8</v>
      </c>
      <c r="I49" s="195" t="n">
        <v>-20932.8</v>
      </c>
      <c r="J49" s="195" t="n">
        <v>-20932.8</v>
      </c>
      <c r="K49" s="195" t="n">
        <v>-20932.8</v>
      </c>
      <c r="L49" s="195" t="n">
        <v>-20932.8</v>
      </c>
      <c r="M49" s="195" t="n">
        <v>-20932.8</v>
      </c>
      <c r="N49" s="195" t="n">
        <v>-20932.8</v>
      </c>
      <c r="O49" s="195" t="n">
        <v>-20932.8</v>
      </c>
      <c r="P49" s="195" t="n">
        <v>-20932.8</v>
      </c>
      <c r="Q49" s="195" t="n">
        <v>-20932.8</v>
      </c>
      <c r="R49" s="195" t="n">
        <v>-20932.8</v>
      </c>
      <c r="S49" s="195" t="n">
        <v>-20932.8</v>
      </c>
      <c r="T49" s="195" t="n">
        <v>-20932.8</v>
      </c>
      <c r="U49" s="195" t="n">
        <v>-20932.8</v>
      </c>
      <c r="V49" s="195" t="n">
        <v>-20932.8</v>
      </c>
      <c r="W49" s="195" t="n">
        <v>-20932.8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-601402.6666666666</v>
      </c>
      <c r="F93" s="245" t="n">
        <v>-601402.6666666666</v>
      </c>
      <c r="G93" s="245" t="n">
        <v>-601402.6666666666</v>
      </c>
      <c r="H93" s="245" t="n">
        <v>-601402.6666666666</v>
      </c>
      <c r="I93" s="245" t="n">
        <v>-601402.6666666666</v>
      </c>
      <c r="J93" s="245" t="n">
        <v>-601402.6666666666</v>
      </c>
      <c r="K93" s="245" t="n">
        <v>-601402.6666666666</v>
      </c>
      <c r="L93" s="245" t="n">
        <v>-601402.6666666666</v>
      </c>
      <c r="M93" s="245" t="n">
        <v>-601402.6666666666</v>
      </c>
      <c r="N93" s="245" t="n">
        <v>-601402.6666666666</v>
      </c>
      <c r="O93" s="245" t="n">
        <v>-601402.6666666666</v>
      </c>
      <c r="P93" s="245" t="n">
        <v>-601402.6666666666</v>
      </c>
      <c r="Q93" s="245" t="n">
        <v>-601402.6666666666</v>
      </c>
      <c r="R93" s="245" t="n">
        <v>-601402.6666666666</v>
      </c>
      <c r="S93" s="245" t="n">
        <v>-601402.6666666666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-563815</v>
      </c>
      <c r="U96" s="249" t="n">
        <v>-563815</v>
      </c>
      <c r="V96" s="249" t="n">
        <v>-563815</v>
      </c>
      <c r="W96" s="249" t="n">
        <v>-563815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37" t="inlineStr">
        <is>
          <t>電站基本資料</t>
        </is>
      </c>
      <c r="C1" s="138" t="n"/>
      <c r="D1" s="138" t="n"/>
      <c r="E1" s="139" t="n"/>
      <c r="P1" s="140">
        <f>1-D11</f>
        <v/>
      </c>
      <c r="Q1" s="140">
        <f>P1-$D12</f>
        <v/>
      </c>
      <c r="R1" s="140">
        <f>Q1-$D12</f>
        <v/>
      </c>
      <c r="S1" s="140">
        <f>R1-$D12</f>
        <v/>
      </c>
      <c r="T1" s="140">
        <f>S1-$D12</f>
        <v/>
      </c>
      <c r="U1" s="140">
        <f>T1-$D12</f>
        <v/>
      </c>
      <c r="V1" s="140">
        <f>U1-$D12</f>
        <v/>
      </c>
      <c r="W1" s="140">
        <f>V1-$D12</f>
        <v/>
      </c>
      <c r="X1" s="140">
        <f>W1-$D12</f>
        <v/>
      </c>
      <c r="Y1" s="140">
        <f>X1-$D12</f>
        <v/>
      </c>
      <c r="Z1" s="140">
        <f>Y1-$D12</f>
        <v/>
      </c>
      <c r="AA1" s="140">
        <f>Z1-$D12</f>
        <v/>
      </c>
      <c r="AB1" s="140">
        <f>AA1-$D12</f>
        <v/>
      </c>
      <c r="AC1" s="140">
        <f>AB1-$D12</f>
        <v/>
      </c>
      <c r="AD1" s="140">
        <f>AC1-$D12</f>
        <v/>
      </c>
      <c r="AE1" s="140">
        <f>AD1-$D12</f>
        <v/>
      </c>
      <c r="AF1" s="140">
        <f>AE1-$D12</f>
        <v/>
      </c>
      <c r="AG1" s="140">
        <f>AF1-$D12</f>
        <v/>
      </c>
      <c r="AH1" s="140">
        <f>AG1-$D12</f>
        <v/>
      </c>
      <c r="AI1" s="140">
        <f>AH1-$D12</f>
        <v/>
      </c>
    </row>
    <row r="2" ht="21.75" customHeight="1">
      <c r="B2" s="141" t="inlineStr">
        <is>
          <t>電站名稱</t>
        </is>
      </c>
      <c r="C2" s="142" t="inlineStr">
        <is>
          <t>淡江大學-財務模擬案場</t>
        </is>
      </c>
      <c r="D2" s="143" t="inlineStr">
        <is>
          <t>-</t>
        </is>
      </c>
      <c r="E2" s="143" t="inlineStr">
        <is>
          <t>-</t>
        </is>
      </c>
    </row>
    <row r="3" ht="21.75" customHeight="1">
      <c r="B3" s="144" t="inlineStr">
        <is>
          <t>電站壽命</t>
        </is>
      </c>
      <c r="C3" s="145" t="n">
        <v>20</v>
      </c>
      <c r="D3" s="146" t="inlineStr">
        <is>
          <t>-</t>
        </is>
      </c>
      <c r="E3" s="146" t="inlineStr">
        <is>
          <t>-</t>
        </is>
      </c>
    </row>
    <row r="4" ht="21.75" customHeight="1">
      <c r="B4" s="144" t="inlineStr">
        <is>
          <t>建置量(kWp)</t>
        </is>
      </c>
      <c r="C4" s="145" t="n">
        <v>436.1</v>
      </c>
      <c r="D4" s="146" t="inlineStr">
        <is>
          <t>-</t>
        </is>
      </c>
      <c r="E4" s="146" t="inlineStr">
        <is>
          <t>-</t>
        </is>
      </c>
      <c r="M4" t="inlineStr">
        <is>
          <t>滾算紀錄編號: 21</t>
        </is>
      </c>
    </row>
    <row r="5" ht="22.5" customHeight="1">
      <c r="B5" s="145" t="inlineStr">
        <is>
          <t>起始年度</t>
        </is>
      </c>
      <c r="C5" s="145" t="n">
        <v>2023</v>
      </c>
      <c r="D5" s="145" t="inlineStr">
        <is>
          <t>結束年度</t>
        </is>
      </c>
      <c r="E5" s="145" t="n">
        <v>2042</v>
      </c>
      <c r="M5" t="inlineStr">
        <is>
          <t>第20次滾算摘要</t>
        </is>
      </c>
    </row>
    <row r="6" ht="20.25" customHeight="1">
      <c r="B6" s="147" t="n"/>
      <c r="C6" s="147" t="n"/>
      <c r="D6" s="147" t="n"/>
      <c r="E6" s="147" t="n"/>
      <c r="M6" t="inlineStr">
        <is>
          <t>價金: 15000</t>
        </is>
      </c>
    </row>
    <row r="7" ht="22.5" customHeight="1">
      <c r="B7" s="148" t="inlineStr">
        <is>
          <t>綜合損益表</t>
        </is>
      </c>
      <c r="C7" s="138" t="n"/>
      <c r="D7" s="138" t="n"/>
      <c r="E7" s="139" t="n"/>
      <c r="M7" t="inlineStr">
        <is>
          <t>專案IRR: 10.04</t>
        </is>
      </c>
    </row>
    <row r="8" ht="22.5" customHeight="1">
      <c r="B8" s="149" t="inlineStr">
        <is>
          <t>收入</t>
        </is>
      </c>
      <c r="C8" s="150" t="n"/>
      <c r="D8" s="150" t="n"/>
      <c r="E8" s="151" t="n"/>
      <c r="M8" t="inlineStr">
        <is>
          <t>權益法IRR: 46.1</t>
        </is>
      </c>
    </row>
    <row r="9" ht="22.5" customHeight="1">
      <c r="B9" s="152" t="inlineStr">
        <is>
          <t>收支項目</t>
        </is>
      </c>
      <c r="C9" s="153" t="inlineStr">
        <is>
          <t>相關參數</t>
        </is>
      </c>
      <c r="D9" s="153" t="inlineStr">
        <is>
          <t>參數數值</t>
        </is>
      </c>
      <c r="E9" s="154" t="inlineStr">
        <is>
          <t>年限</t>
        </is>
      </c>
      <c r="M9" t="inlineStr">
        <is>
          <t>利潤率: 30.00%</t>
        </is>
      </c>
    </row>
    <row r="10" ht="21.75" customHeight="1">
      <c r="B10" s="155" t="inlineStr">
        <is>
          <t>電費收入</t>
        </is>
      </c>
      <c r="C10" s="142" t="inlineStr">
        <is>
          <t>年度AC併網總發電量</t>
        </is>
      </c>
      <c r="D10" s="142" t="n">
        <v>547002</v>
      </c>
      <c r="E10" s="155" t="n">
        <v>20</v>
      </c>
      <c r="M10" t="inlineStr">
        <is>
          <t>第20次滾算，減少 1000 元 - 現金模式，每次減少 1000 元</t>
        </is>
      </c>
    </row>
    <row r="11" ht="21.75" customHeight="1">
      <c r="B11" s="156" t="n"/>
      <c r="C11" s="145" t="inlineStr">
        <is>
          <t>首年衰退率</t>
        </is>
      </c>
      <c r="D11" s="145" t="n">
        <v>0.01</v>
      </c>
      <c r="E11" s="156" t="n"/>
    </row>
    <row r="12" ht="21.75" customHeight="1">
      <c r="B12" s="156" t="n"/>
      <c r="C12" s="145" t="inlineStr">
        <is>
          <t>次年衰退率</t>
        </is>
      </c>
      <c r="D12" s="145" t="n">
        <v>0.004</v>
      </c>
      <c r="E12" s="156" t="n"/>
    </row>
    <row r="13" ht="22.5" customHeight="1">
      <c r="B13" s="156" t="n"/>
      <c r="C13" s="157" t="inlineStr">
        <is>
          <t>躉售費率(FIT)</t>
        </is>
      </c>
      <c r="D13" s="157" t="n">
        <v>3.7152</v>
      </c>
      <c r="E13" s="156" t="n"/>
    </row>
    <row r="14" ht="22.5" customHeight="1">
      <c r="B14" s="158" t="inlineStr">
        <is>
          <t>支出</t>
        </is>
      </c>
      <c r="C14" s="138" t="n"/>
      <c r="D14" s="138" t="n"/>
      <c r="E14" s="139" t="n"/>
    </row>
    <row r="15" ht="22.5" customHeight="1">
      <c r="B15" s="152" t="inlineStr">
        <is>
          <t>收支項目</t>
        </is>
      </c>
      <c r="C15" s="153" t="inlineStr">
        <is>
          <t>相關參數</t>
        </is>
      </c>
      <c r="D15" s="153" t="inlineStr">
        <is>
          <t>參數數值</t>
        </is>
      </c>
      <c r="E15" s="159" t="inlineStr">
        <is>
          <t>攤提年限</t>
        </is>
      </c>
    </row>
    <row r="16" ht="21.75" customHeight="1">
      <c r="B16" s="160" t="inlineStr">
        <is>
          <t>設備費用(價金)</t>
        </is>
      </c>
      <c r="C16" s="141" t="inlineStr">
        <is>
          <t>每kWp設備成本</t>
        </is>
      </c>
      <c r="D16" s="142" t="n">
        <v>15000</v>
      </c>
      <c r="E16" s="161" t="n">
        <v>20</v>
      </c>
    </row>
    <row r="17" ht="21.75" customHeight="1">
      <c r="B17" s="156" t="n"/>
      <c r="C17" s="145" t="inlineStr">
        <is>
          <t>信邦利潤率</t>
        </is>
      </c>
      <c r="D17" s="145" t="n">
        <v>0.3</v>
      </c>
      <c r="E17" s="156" t="n"/>
    </row>
    <row r="18" ht="21.75" customHeight="1">
      <c r="B18" s="162" t="n"/>
      <c r="C18" s="145" t="inlineStr">
        <is>
          <t>開發費</t>
        </is>
      </c>
      <c r="D18" s="145" t="n">
        <v>3000</v>
      </c>
      <c r="E18" s="162" t="n"/>
    </row>
    <row r="19" ht="54" customHeight="1">
      <c r="B19" s="163" t="inlineStr">
        <is>
          <t>租金費用</t>
        </is>
      </c>
      <c r="C19" s="164" t="inlineStr">
        <is>
          <t>租金計算方式
(1=固定攤提/2=電費抽成)</t>
        </is>
      </c>
      <c r="D19" s="145" t="n">
        <v>1</v>
      </c>
      <c r="E19" s="143" t="n">
        <v>0</v>
      </c>
    </row>
    <row r="20" ht="20.25" customHeight="1">
      <c r="B20" s="156" t="n"/>
      <c r="C20" s="165" t="inlineStr">
        <is>
          <t>【方式1參數】租金總額</t>
        </is>
      </c>
      <c r="D20" s="145" t="n">
        <v>290201</v>
      </c>
      <c r="E20" s="143" t="n">
        <v>20</v>
      </c>
    </row>
    <row r="21" ht="21.75" customHeight="1">
      <c r="B21" s="162" t="n"/>
      <c r="C21" s="145" t="inlineStr">
        <is>
          <t>【方式2參數】抽成比率</t>
        </is>
      </c>
      <c r="D21" s="145" t="n">
        <v>0</v>
      </c>
      <c r="E21" s="146" t="n">
        <v>0</v>
      </c>
    </row>
    <row r="22" ht="21.75" customHeight="1">
      <c r="B22" s="145" t="inlineStr">
        <is>
          <t>運維費用</t>
        </is>
      </c>
      <c r="C22" s="145" t="inlineStr">
        <is>
          <t>每kw運維成本</t>
        </is>
      </c>
      <c r="D22" s="145" t="n">
        <v>400</v>
      </c>
      <c r="E22" s="146" t="n">
        <v>20</v>
      </c>
    </row>
    <row r="23" ht="21.75" customHeight="1">
      <c r="B23" s="145" t="inlineStr">
        <is>
          <t>保險費用</t>
        </is>
      </c>
      <c r="C23" s="144" t="inlineStr">
        <is>
          <t>占整體設備費用比例</t>
        </is>
      </c>
      <c r="D23" s="145" t="n">
        <v>0.003</v>
      </c>
      <c r="E23" s="146" t="n">
        <v>20</v>
      </c>
    </row>
    <row r="24" ht="21.75" customHeight="1">
      <c r="B24" s="145" t="inlineStr">
        <is>
          <t>模組回收費用</t>
        </is>
      </c>
      <c r="C24" s="145" t="inlineStr">
        <is>
          <t>每kw模組回收成本</t>
        </is>
      </c>
      <c r="D24" s="145" t="n">
        <v>1000</v>
      </c>
      <c r="E24" s="146" t="n">
        <v>10</v>
      </c>
    </row>
    <row r="25" ht="21.75" customHeight="1">
      <c r="B25" s="145" t="inlineStr">
        <is>
          <t>利息費用</t>
        </is>
      </c>
      <c r="C25" s="145" t="inlineStr">
        <is>
          <t>銀行利率</t>
        </is>
      </c>
      <c r="D25" s="145" t="n">
        <v>0.025595</v>
      </c>
      <c r="E25" s="146" t="n">
        <v>0</v>
      </c>
    </row>
    <row r="26" ht="22.5" customHeight="1">
      <c r="B26" s="145" t="inlineStr">
        <is>
          <t>所得稅</t>
        </is>
      </c>
      <c r="C26" s="145" t="inlineStr">
        <is>
          <t>所得稅率</t>
        </is>
      </c>
      <c r="D26" s="145" t="n">
        <v>0.2</v>
      </c>
      <c r="E26" s="146" t="n">
        <v>0</v>
      </c>
    </row>
    <row r="27" ht="20.25" customHeight="1">
      <c r="B27" s="147" t="n"/>
      <c r="C27" s="147" t="n"/>
      <c r="D27" s="147" t="n"/>
      <c r="E27" s="147" t="n"/>
    </row>
    <row r="28" ht="20.25" customHeight="1">
      <c r="B28" s="147" t="n"/>
      <c r="C28" s="147" t="n"/>
      <c r="D28" s="147" t="n"/>
      <c r="E28" s="147" t="n"/>
    </row>
    <row r="29" ht="22.5" customHeight="1">
      <c r="B29" s="148" t="inlineStr">
        <is>
          <t>現金流量表</t>
        </is>
      </c>
      <c r="C29" s="138" t="n"/>
      <c r="D29" s="139" t="n"/>
      <c r="E29" s="147" t="n"/>
    </row>
    <row r="30" ht="22.5" customHeight="1">
      <c r="B30" s="152" t="inlineStr">
        <is>
          <t>金流項目</t>
        </is>
      </c>
      <c r="C30" s="153" t="inlineStr">
        <is>
          <t>相關參數</t>
        </is>
      </c>
      <c r="D30" s="159" t="inlineStr">
        <is>
          <t>參數數值</t>
        </is>
      </c>
      <c r="E30" s="147" t="n"/>
    </row>
    <row r="31" ht="18.75" customHeight="1">
      <c r="B31" s="141" t="inlineStr">
        <is>
          <t>貸款成數</t>
        </is>
      </c>
      <c r="C31" s="141" t="inlineStr">
        <is>
          <t>占總設備費用比例</t>
        </is>
      </c>
      <c r="D31" s="142" t="n">
        <v>0.8</v>
      </c>
      <c r="E31" s="147" t="n"/>
    </row>
    <row r="32" ht="18.75" customHeight="1">
      <c r="B32" s="142" t="inlineStr">
        <is>
          <t>貸款還款</t>
        </is>
      </c>
      <c r="C32" s="142" t="inlineStr">
        <is>
          <t>攤還期數</t>
        </is>
      </c>
      <c r="D32" s="142" t="n">
        <v>15</v>
      </c>
      <c r="E32" s="147" t="n"/>
    </row>
    <row r="33" ht="18.75" customHeight="1">
      <c r="B33" s="145" t="inlineStr">
        <is>
          <t>現金股利</t>
        </is>
      </c>
      <c r="C33" s="145" t="inlineStr">
        <is>
          <t>股利比率</t>
        </is>
      </c>
      <c r="D33" s="145" t="n">
        <v>0.9</v>
      </c>
      <c r="E33" s="147" t="n"/>
    </row>
    <row r="34" ht="18.75" customHeight="1">
      <c r="B34" s="145" t="inlineStr">
        <is>
          <t>年底減資</t>
        </is>
      </c>
      <c r="C34" s="145" t="inlineStr">
        <is>
          <t>攤還期數</t>
        </is>
      </c>
      <c r="D34" s="145" t="n">
        <v>4</v>
      </c>
      <c r="E34" s="147" t="n"/>
    </row>
    <row r="35" ht="18.75" customHeight="1"/>
    <row r="36" ht="18.75" customHeight="1"/>
    <row r="37" ht="18.75" customHeight="1">
      <c r="B37" s="80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66" t="n">
        <v>0</v>
      </c>
      <c r="C38" s="167" t="n"/>
      <c r="D38" s="168" t="n"/>
      <c r="E38" s="168" t="n"/>
      <c r="F38" s="169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1" t="n"/>
      <c r="U38" s="170" t="n"/>
      <c r="V38" s="170" t="n"/>
      <c r="W38" s="170" t="n"/>
      <c r="X38" s="172" t="n"/>
    </row>
    <row r="39" ht="18.75" customHeight="1">
      <c r="B39" s="173" t="inlineStr">
        <is>
          <t>(Unit : Currency)</t>
        </is>
      </c>
      <c r="C39" s="174" t="n">
        <v>0</v>
      </c>
      <c r="D39" s="175" t="n">
        <v>1</v>
      </c>
      <c r="E39" s="175" t="n">
        <v>2</v>
      </c>
      <c r="F39" s="175" t="n">
        <v>3</v>
      </c>
      <c r="G39" s="175" t="n">
        <v>4</v>
      </c>
      <c r="H39" s="175" t="n">
        <v>5</v>
      </c>
      <c r="I39" s="175" t="n">
        <v>6</v>
      </c>
      <c r="J39" s="175" t="n">
        <v>7</v>
      </c>
      <c r="K39" s="175" t="n">
        <v>8</v>
      </c>
      <c r="L39" s="175" t="n">
        <v>9</v>
      </c>
      <c r="M39" s="175" t="n">
        <v>10</v>
      </c>
      <c r="N39" s="175" t="n">
        <v>11</v>
      </c>
      <c r="O39" s="175" t="n">
        <v>12</v>
      </c>
      <c r="P39" s="175" t="n">
        <v>13</v>
      </c>
      <c r="Q39" s="175" t="n">
        <v>14</v>
      </c>
      <c r="R39" s="175" t="n">
        <v>15</v>
      </c>
      <c r="S39" s="175" t="n">
        <v>16</v>
      </c>
      <c r="T39" s="176" t="n">
        <v>17</v>
      </c>
      <c r="U39" s="175" t="n">
        <v>18</v>
      </c>
      <c r="V39" s="175" t="n">
        <v>19</v>
      </c>
      <c r="W39" s="175" t="n">
        <v>20</v>
      </c>
      <c r="X39" s="42" t="n"/>
    </row>
    <row r="40" ht="18.75" customHeight="1">
      <c r="B40" s="177" t="inlineStr">
        <is>
          <t>發電度數(KWH)</t>
        </is>
      </c>
      <c r="C40" s="178" t="n">
        <v>0</v>
      </c>
      <c r="D40" s="179">
        <f>$D$10*P1</f>
        <v/>
      </c>
      <c r="E40" s="179">
        <f>$D$10*Q1</f>
        <v/>
      </c>
      <c r="F40" s="179">
        <f>$D$10*R1</f>
        <v/>
      </c>
      <c r="G40" s="179">
        <f>$D$10*S1</f>
        <v/>
      </c>
      <c r="H40" s="179">
        <f>$D$10*T1</f>
        <v/>
      </c>
      <c r="I40" s="179">
        <f>$D$10*U1</f>
        <v/>
      </c>
      <c r="J40" s="179">
        <f>$D$10*V1</f>
        <v/>
      </c>
      <c r="K40" s="179">
        <f>$D$10*W1</f>
        <v/>
      </c>
      <c r="L40" s="179">
        <f>$D$10*X1</f>
        <v/>
      </c>
      <c r="M40" s="179">
        <f>$D$10*Y1</f>
        <v/>
      </c>
      <c r="N40" s="179">
        <f>$D$10*Z1</f>
        <v/>
      </c>
      <c r="O40" s="179">
        <f>$D$10*AA1</f>
        <v/>
      </c>
      <c r="P40" s="179">
        <f>$D$10*AB1</f>
        <v/>
      </c>
      <c r="Q40" s="179">
        <f>$D$10*AC1</f>
        <v/>
      </c>
      <c r="R40" s="179">
        <f>$D$10*AD1</f>
        <v/>
      </c>
      <c r="S40" s="179">
        <f>$D$10*AE1</f>
        <v/>
      </c>
      <c r="T40" s="179">
        <f>$D$10*AF1</f>
        <v/>
      </c>
      <c r="U40" s="179">
        <f>$D$10*AG1</f>
        <v/>
      </c>
      <c r="V40" s="179">
        <f>$D$10*AH1</f>
        <v/>
      </c>
      <c r="W40" s="179">
        <f>$D$10*AI1</f>
        <v/>
      </c>
      <c r="X40" s="180" t="n"/>
    </row>
    <row r="41" ht="18.75" customHeight="1">
      <c r="B41" s="181" t="inlineStr">
        <is>
          <t>Inflow : 電費收入</t>
        </is>
      </c>
      <c r="C41" s="182" t="inlineStr">
        <is>
          <t>-</t>
        </is>
      </c>
      <c r="D41" s="183">
        <f>D40*$D$13</f>
        <v/>
      </c>
      <c r="E41" s="183">
        <f>E40*$D$13</f>
        <v/>
      </c>
      <c r="F41" s="183">
        <f>F40*$D$13</f>
        <v/>
      </c>
      <c r="G41" s="183">
        <f>G40*$D$13</f>
        <v/>
      </c>
      <c r="H41" s="183">
        <f>H40*$D$13</f>
        <v/>
      </c>
      <c r="I41" s="183">
        <f>I40*$D$13</f>
        <v/>
      </c>
      <c r="J41" s="183">
        <f>J40*$D$13</f>
        <v/>
      </c>
      <c r="K41" s="183">
        <f>K40*$D$13</f>
        <v/>
      </c>
      <c r="L41" s="183">
        <f>L40*$D$13</f>
        <v/>
      </c>
      <c r="M41" s="183">
        <f>M40*$D$13</f>
        <v/>
      </c>
      <c r="N41" s="183">
        <f>N40*$D$13</f>
        <v/>
      </c>
      <c r="O41" s="183">
        <f>O40*$D$13</f>
        <v/>
      </c>
      <c r="P41" s="183">
        <f>P40*$D$13</f>
        <v/>
      </c>
      <c r="Q41" s="183">
        <f>Q40*$D$13</f>
        <v/>
      </c>
      <c r="R41" s="183">
        <f>R40*$D$13</f>
        <v/>
      </c>
      <c r="S41" s="183">
        <f>S40*$D$13</f>
        <v/>
      </c>
      <c r="T41" s="183">
        <f>T40*$D$13</f>
        <v/>
      </c>
      <c r="U41" s="183">
        <f>U40*$D$13</f>
        <v/>
      </c>
      <c r="V41" s="183">
        <f>V40*$D$13</f>
        <v/>
      </c>
      <c r="W41" s="183">
        <f>W40*$D$13</f>
        <v/>
      </c>
      <c r="X41" s="184" t="n"/>
    </row>
    <row r="42" ht="18.75" customHeight="1">
      <c r="B42" s="185" t="inlineStr">
        <is>
          <t>Inflow : 政府補助</t>
        </is>
      </c>
      <c r="C42" s="186" t="inlineStr">
        <is>
          <t>-</t>
        </is>
      </c>
      <c r="D42" s="187" t="n"/>
      <c r="E42" s="187" t="n"/>
      <c r="F42" s="187" t="n"/>
      <c r="G42" s="187" t="inlineStr">
        <is>
          <t>-</t>
        </is>
      </c>
      <c r="H42" s="187" t="inlineStr">
        <is>
          <t>-</t>
        </is>
      </c>
      <c r="I42" s="187" t="inlineStr">
        <is>
          <t>-</t>
        </is>
      </c>
      <c r="J42" s="187" t="inlineStr">
        <is>
          <t>-</t>
        </is>
      </c>
      <c r="K42" s="187" t="inlineStr">
        <is>
          <t>-</t>
        </is>
      </c>
      <c r="L42" s="187" t="inlineStr">
        <is>
          <t>-</t>
        </is>
      </c>
      <c r="M42" s="187" t="inlineStr">
        <is>
          <t>-</t>
        </is>
      </c>
      <c r="N42" s="187" t="inlineStr">
        <is>
          <t>-</t>
        </is>
      </c>
      <c r="O42" s="187" t="inlineStr">
        <is>
          <t>-</t>
        </is>
      </c>
      <c r="P42" s="187" t="inlineStr">
        <is>
          <t>-</t>
        </is>
      </c>
      <c r="Q42" s="187" t="inlineStr">
        <is>
          <t>-</t>
        </is>
      </c>
      <c r="R42" s="187" t="inlineStr">
        <is>
          <t>-</t>
        </is>
      </c>
      <c r="S42" s="187" t="inlineStr">
        <is>
          <t>-</t>
        </is>
      </c>
      <c r="T42" s="187" t="inlineStr">
        <is>
          <t>-</t>
        </is>
      </c>
      <c r="U42" s="187" t="inlineStr">
        <is>
          <t>-</t>
        </is>
      </c>
      <c r="V42" s="187" t="inlineStr">
        <is>
          <t>-</t>
        </is>
      </c>
      <c r="W42" s="187" t="inlineStr">
        <is>
          <t>-</t>
        </is>
      </c>
      <c r="X42" s="188" t="n"/>
    </row>
    <row r="43" ht="18.75" customHeight="1">
      <c r="B43" s="189" t="inlineStr">
        <is>
          <t>Inflow : 銀行借款</t>
        </is>
      </c>
      <c r="C43" s="190" t="n"/>
      <c r="D43" s="191" t="n"/>
      <c r="E43" s="191" t="n"/>
      <c r="F43" s="191" t="n"/>
      <c r="G43" s="191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191" t="n"/>
      <c r="U43" s="191" t="n"/>
      <c r="V43" s="191" t="n"/>
      <c r="W43" s="191" t="n"/>
      <c r="X43" s="192" t="n"/>
    </row>
    <row r="44" ht="18.75" customHeight="1">
      <c r="B44" s="193" t="inlineStr">
        <is>
          <t>Outflow : 設備費用</t>
        </is>
      </c>
      <c r="C44" s="194">
        <f>-(D16/(1-D17)+D18)*C4</f>
        <v/>
      </c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</row>
    <row r="45" ht="18.75" customHeight="1">
      <c r="B45" s="193" t="inlineStr">
        <is>
          <t>Outflow : 設備放置區域租金</t>
        </is>
      </c>
      <c r="C45" s="186" t="inlineStr">
        <is>
          <t>-</t>
        </is>
      </c>
      <c r="D45" s="195" t="n">
        <v>0</v>
      </c>
      <c r="E45" s="195" t="n">
        <v>-290201</v>
      </c>
      <c r="F45" s="195" t="n">
        <v>-290201</v>
      </c>
      <c r="G45" s="195" t="n">
        <v>-290201</v>
      </c>
      <c r="H45" s="195" t="n">
        <v>-290201</v>
      </c>
      <c r="I45" s="195" t="n">
        <v>-290201</v>
      </c>
      <c r="J45" s="195" t="n">
        <v>-290201</v>
      </c>
      <c r="K45" s="195" t="n">
        <v>-290201</v>
      </c>
      <c r="L45" s="195" t="n">
        <v>-290201</v>
      </c>
      <c r="M45" s="195" t="n">
        <v>-290201</v>
      </c>
      <c r="N45" s="195" t="n">
        <v>-290201</v>
      </c>
      <c r="O45" s="195" t="n">
        <v>-290201</v>
      </c>
      <c r="P45" s="195" t="n">
        <v>-290201</v>
      </c>
      <c r="Q45" s="195" t="n">
        <v>-290201</v>
      </c>
      <c r="R45" s="195" t="n">
        <v>-290201</v>
      </c>
      <c r="S45" s="195" t="n">
        <v>-290201</v>
      </c>
      <c r="T45" s="195" t="n">
        <v>-290201</v>
      </c>
      <c r="U45" s="195" t="n">
        <v>-290201</v>
      </c>
      <c r="V45" s="195" t="n">
        <v>-290201</v>
      </c>
      <c r="W45" s="195" t="n">
        <v>-290201</v>
      </c>
      <c r="X45" s="195" t="n"/>
    </row>
    <row r="46" ht="18.75" customHeight="1">
      <c r="B46" s="193" t="inlineStr">
        <is>
          <t>Outflow : 返還借款</t>
        </is>
      </c>
      <c r="C46" s="186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</row>
    <row r="47" ht="18.75" customHeight="1">
      <c r="B47" s="193" t="inlineStr">
        <is>
          <t>Outflow : 利息費用</t>
        </is>
      </c>
      <c r="C47" s="186" t="inlineStr">
        <is>
          <t>-</t>
        </is>
      </c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</row>
    <row r="48" ht="18.75" customHeight="1">
      <c r="B48" s="193" t="inlineStr">
        <is>
          <t>Outflow : 維運費</t>
        </is>
      </c>
      <c r="C48" s="186" t="inlineStr">
        <is>
          <t>-</t>
        </is>
      </c>
      <c r="D48" s="195" t="n">
        <v>-174440</v>
      </c>
      <c r="E48" s="195" t="n">
        <v>-174440</v>
      </c>
      <c r="F48" s="195" t="n">
        <v>-174440</v>
      </c>
      <c r="G48" s="195" t="n">
        <v>-174440</v>
      </c>
      <c r="H48" s="195" t="n">
        <v>-174440</v>
      </c>
      <c r="I48" s="195" t="n">
        <v>-174440</v>
      </c>
      <c r="J48" s="195" t="n">
        <v>-174440</v>
      </c>
      <c r="K48" s="195" t="n">
        <v>-174440</v>
      </c>
      <c r="L48" s="195" t="n">
        <v>-174440</v>
      </c>
      <c r="M48" s="195" t="n">
        <v>-174440</v>
      </c>
      <c r="N48" s="195" t="n">
        <v>-174440</v>
      </c>
      <c r="O48" s="195" t="n">
        <v>-174440</v>
      </c>
      <c r="P48" s="195" t="n">
        <v>-174440</v>
      </c>
      <c r="Q48" s="195" t="n">
        <v>-174440</v>
      </c>
      <c r="R48" s="195" t="n">
        <v>-174440</v>
      </c>
      <c r="S48" s="195" t="n">
        <v>-174440</v>
      </c>
      <c r="T48" s="195" t="n">
        <v>-174440</v>
      </c>
      <c r="U48" s="195" t="n">
        <v>-174440</v>
      </c>
      <c r="V48" s="195" t="n">
        <v>-174440</v>
      </c>
      <c r="W48" s="195" t="n">
        <v>-174440</v>
      </c>
      <c r="X48" s="195" t="n"/>
    </row>
    <row r="49" ht="18.75" customHeight="1">
      <c r="B49" s="193" t="inlineStr">
        <is>
          <t>Outflow : 保險費</t>
        </is>
      </c>
      <c r="C49" s="186" t="inlineStr">
        <is>
          <t>-</t>
        </is>
      </c>
      <c r="D49" s="195" t="n">
        <v>-19624.5</v>
      </c>
      <c r="E49" s="195" t="n">
        <v>-19624.5</v>
      </c>
      <c r="F49" s="195" t="n">
        <v>-19624.5</v>
      </c>
      <c r="G49" s="195" t="n">
        <v>-19624.5</v>
      </c>
      <c r="H49" s="195" t="n">
        <v>-19624.5</v>
      </c>
      <c r="I49" s="195" t="n">
        <v>-19624.5</v>
      </c>
      <c r="J49" s="195" t="n">
        <v>-19624.5</v>
      </c>
      <c r="K49" s="195" t="n">
        <v>-19624.5</v>
      </c>
      <c r="L49" s="195" t="n">
        <v>-19624.5</v>
      </c>
      <c r="M49" s="195" t="n">
        <v>-19624.5</v>
      </c>
      <c r="N49" s="195" t="n">
        <v>-19624.5</v>
      </c>
      <c r="O49" s="195" t="n">
        <v>-19624.5</v>
      </c>
      <c r="P49" s="195" t="n">
        <v>-19624.5</v>
      </c>
      <c r="Q49" s="195" t="n">
        <v>-19624.5</v>
      </c>
      <c r="R49" s="195" t="n">
        <v>-19624.5</v>
      </c>
      <c r="S49" s="195" t="n">
        <v>-19624.5</v>
      </c>
      <c r="T49" s="195" t="n">
        <v>-19624.5</v>
      </c>
      <c r="U49" s="195" t="n">
        <v>-19624.5</v>
      </c>
      <c r="V49" s="195" t="n">
        <v>-19624.5</v>
      </c>
      <c r="W49" s="195" t="n">
        <v>-19624.5</v>
      </c>
      <c r="X49" s="195" t="n"/>
    </row>
    <row r="50" ht="18.75" customHeight="1">
      <c r="B50" s="193" t="inlineStr">
        <is>
          <t>Outflow : 模組回收費</t>
        </is>
      </c>
      <c r="C50" s="186" t="n"/>
      <c r="D50" s="195" t="n">
        <v>-43610</v>
      </c>
      <c r="E50" s="195" t="n">
        <v>-43610</v>
      </c>
      <c r="F50" s="195" t="n">
        <v>-43610</v>
      </c>
      <c r="G50" s="195" t="n">
        <v>-43610</v>
      </c>
      <c r="H50" s="195" t="n">
        <v>-43610</v>
      </c>
      <c r="I50" s="195" t="n">
        <v>-43610</v>
      </c>
      <c r="J50" s="195" t="n">
        <v>-43610</v>
      </c>
      <c r="K50" s="195" t="n">
        <v>-43610</v>
      </c>
      <c r="L50" s="195" t="n">
        <v>-43610</v>
      </c>
      <c r="M50" s="195" t="n">
        <v>-43610</v>
      </c>
      <c r="N50" s="195" t="n">
        <v>0</v>
      </c>
      <c r="O50" s="195" t="n">
        <v>0</v>
      </c>
      <c r="P50" s="195" t="n">
        <v>0</v>
      </c>
      <c r="Q50" s="195" t="n">
        <v>0</v>
      </c>
      <c r="R50" s="195" t="n">
        <v>0</v>
      </c>
      <c r="S50" s="195" t="n">
        <v>0</v>
      </c>
      <c r="T50" s="195" t="n">
        <v>0</v>
      </c>
      <c r="U50" s="195" t="n">
        <v>0</v>
      </c>
      <c r="V50" s="195" t="n">
        <v>0</v>
      </c>
      <c r="W50" s="195" t="n">
        <v>0</v>
      </c>
      <c r="X50" s="195" t="n"/>
    </row>
    <row r="51" ht="18.75" customHeight="1">
      <c r="B51" s="193" t="inlineStr">
        <is>
          <t>Outflow : 其它費用(人事薪資…等)</t>
        </is>
      </c>
      <c r="C51" s="196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</row>
    <row r="52" ht="18.75" customHeight="1">
      <c r="B52" s="193" t="inlineStr">
        <is>
          <t>1%管理費</t>
        </is>
      </c>
      <c r="C52" s="196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</row>
    <row r="53" ht="18.75" customHeight="1">
      <c r="B53" s="197" t="inlineStr">
        <is>
          <t>績效獎金</t>
        </is>
      </c>
      <c r="C53" s="196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</row>
    <row r="54" ht="18.75" customHeight="1">
      <c r="B54" s="197" t="inlineStr">
        <is>
          <t>所得稅20%</t>
        </is>
      </c>
      <c r="C54" s="196" t="n"/>
      <c r="D54" s="195">
        <f>-(D64+D67+D68+D71+D72+D73+D74)*0.2</f>
        <v/>
      </c>
      <c r="E54" s="195">
        <f>-(E64+E67+E68+E71+E72+E73+E74)*0.2</f>
        <v/>
      </c>
      <c r="F54" s="195">
        <f>-(F64+F67+F68+F71+F72+F73+F74)*0.2</f>
        <v/>
      </c>
      <c r="G54" s="195">
        <f>-(G64+G67+G68+G71+G72+G73+G74)*0.2</f>
        <v/>
      </c>
      <c r="H54" s="195">
        <f>-(H64+H67+H68+H71+H72+H73+H74)*0.2</f>
        <v/>
      </c>
      <c r="I54" s="195">
        <f>-(I64+I67+I68+I71+I72+I73+I74)*0.2</f>
        <v/>
      </c>
      <c r="J54" s="195">
        <f>-(J64+J67+J68+J71+J72+J73+J74)*0.2</f>
        <v/>
      </c>
      <c r="K54" s="195">
        <f>-(K64+K67+K68+K71+K72+K73+K74)*0.2</f>
        <v/>
      </c>
      <c r="L54" s="195">
        <f>-(L64+L67+L68+L71+L72+L73+L74)*0.2</f>
        <v/>
      </c>
      <c r="M54" s="195">
        <f>-(M64+M67+M68+M71+M72+M73+M74)*0.2</f>
        <v/>
      </c>
      <c r="N54" s="195">
        <f>-(N64+N67+N68+N71+N72+N73+N74)*0.2</f>
        <v/>
      </c>
      <c r="O54" s="195">
        <f>-(O64+O67+O68+O71+O72+O73+O74)*0.2</f>
        <v/>
      </c>
      <c r="P54" s="195">
        <f>-(P64+P67+P68+P71+P72+P73+P74)*0.2</f>
        <v/>
      </c>
      <c r="Q54" s="195">
        <f>-(Q64+Q67+Q68+Q71+Q72+Q73+Q74)*0.2</f>
        <v/>
      </c>
      <c r="R54" s="195">
        <f>-(R64+R67+R68+R71+R72+R73+R74)*0.2</f>
        <v/>
      </c>
      <c r="S54" s="195">
        <f>-(S64+S67+S68+S71+S72+S73+S74)*0.2</f>
        <v/>
      </c>
      <c r="T54" s="195">
        <f>-(T64+T67+T68+T71+T72+T73+T74)*0.2</f>
        <v/>
      </c>
      <c r="U54" s="195">
        <f>-(U64+U67+U68+U71+U72+U73+U74)*0.2</f>
        <v/>
      </c>
      <c r="V54" s="195">
        <f>-(V64+V67+V68+V71+V72+V73+V74)*0.2</f>
        <v/>
      </c>
      <c r="W54" s="195">
        <f>-(W64+W67+W68+W71+W72+W73+W74)*0.2</f>
        <v/>
      </c>
      <c r="X54" s="187" t="n"/>
    </row>
    <row r="55" ht="18.75" customHeight="1">
      <c r="B55" s="198" t="inlineStr">
        <is>
          <t>現金流</t>
        </is>
      </c>
      <c r="C55" s="199">
        <f>C44</f>
        <v/>
      </c>
      <c r="D55" s="200">
        <f>SUM(D41:D54)</f>
        <v/>
      </c>
      <c r="E55" s="200">
        <f>SUM(E41:E54)</f>
        <v/>
      </c>
      <c r="F55" s="200">
        <f>SUM(F41:F54)</f>
        <v/>
      </c>
      <c r="G55" s="200">
        <f>SUM(G41:G54)</f>
        <v/>
      </c>
      <c r="H55" s="200">
        <f>SUM(H41:H54)</f>
        <v/>
      </c>
      <c r="I55" s="200">
        <f>SUM(I41:I54)</f>
        <v/>
      </c>
      <c r="J55" s="200">
        <f>SUM(J41:J54)</f>
        <v/>
      </c>
      <c r="K55" s="200">
        <f>SUM(K41:K54)</f>
        <v/>
      </c>
      <c r="L55" s="200">
        <f>SUM(L41:L54)</f>
        <v/>
      </c>
      <c r="M55" s="200">
        <f>SUM(M41:M54)</f>
        <v/>
      </c>
      <c r="N55" s="200">
        <f>SUM(N41:N54)</f>
        <v/>
      </c>
      <c r="O55" s="200">
        <f>SUM(O41:O54)</f>
        <v/>
      </c>
      <c r="P55" s="200">
        <f>SUM(P41:P54)</f>
        <v/>
      </c>
      <c r="Q55" s="200">
        <f>SUM(Q41:Q54)</f>
        <v/>
      </c>
      <c r="R55" s="200">
        <f>SUM(R41:R54)</f>
        <v/>
      </c>
      <c r="S55" s="200">
        <f>SUM(S41:S54)</f>
        <v/>
      </c>
      <c r="T55" s="200">
        <f>SUM(T41:T54)</f>
        <v/>
      </c>
      <c r="U55" s="200">
        <f>SUM(U41:U54)</f>
        <v/>
      </c>
      <c r="V55" s="200">
        <f>SUM(V41:V54)</f>
        <v/>
      </c>
      <c r="W55" s="200">
        <f>SUM(W41:W54)</f>
        <v/>
      </c>
      <c r="X55" s="201" t="n"/>
      <c r="Y55" s="202" t="n"/>
      <c r="Z55" s="203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</row>
    <row r="56" ht="18.75" customHeight="1">
      <c r="B56" s="204" t="inlineStr">
        <is>
          <t>累計現金流</t>
        </is>
      </c>
      <c r="D56" s="205">
        <f>C55+D55</f>
        <v/>
      </c>
      <c r="E56" s="205">
        <f>D56+E55</f>
        <v/>
      </c>
      <c r="F56" s="205">
        <f>E56+F55</f>
        <v/>
      </c>
      <c r="G56" s="205">
        <f>F56+G55</f>
        <v/>
      </c>
      <c r="H56" s="205">
        <f>G56+H55</f>
        <v/>
      </c>
      <c r="I56" s="205">
        <f>H56+I55</f>
        <v/>
      </c>
      <c r="J56" s="205">
        <f>I56+J55</f>
        <v/>
      </c>
      <c r="K56" s="205">
        <f>J56+K55</f>
        <v/>
      </c>
      <c r="L56" s="205">
        <f>K56+L55</f>
        <v/>
      </c>
      <c r="M56" s="205">
        <f>L56+M55</f>
        <v/>
      </c>
      <c r="N56" s="205">
        <f>M56+N55</f>
        <v/>
      </c>
      <c r="O56" s="205">
        <f>N56+O55</f>
        <v/>
      </c>
      <c r="P56" s="205">
        <f>O56+P55</f>
        <v/>
      </c>
      <c r="Q56" s="205">
        <f>P56+Q55</f>
        <v/>
      </c>
      <c r="R56" s="205">
        <f>Q56+R55</f>
        <v/>
      </c>
      <c r="S56" s="205">
        <f>R56+S55</f>
        <v/>
      </c>
      <c r="T56" s="205">
        <f>S56+T55</f>
        <v/>
      </c>
      <c r="U56" s="205">
        <f>T56+U55</f>
        <v/>
      </c>
      <c r="V56" s="205">
        <f>U56+V55</f>
        <v/>
      </c>
      <c r="W56" s="205">
        <f>V56+W55</f>
        <v/>
      </c>
      <c r="X56" s="205">
        <f>W56+X55</f>
        <v/>
      </c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</row>
    <row r="57" ht="18.75" customHeight="1">
      <c r="B57" s="206" t="inlineStr">
        <is>
          <t>回收年限評估</t>
        </is>
      </c>
      <c r="C57" s="207" t="n"/>
      <c r="D57" s="208">
        <f>IF((D56)&gt;0,"回收","未回收")</f>
        <v/>
      </c>
      <c r="E57" s="209">
        <f>IF((E56)&gt;0,"回收","未回收")</f>
        <v/>
      </c>
      <c r="F57" s="209">
        <f>IF((F56)&gt;0,"回收","未回收")</f>
        <v/>
      </c>
      <c r="G57" s="209">
        <f>IF((G56)&gt;0,"回收","未回收")</f>
        <v/>
      </c>
      <c r="H57" s="209">
        <f>IF((H56)&gt;0,"回收","未回收")</f>
        <v/>
      </c>
      <c r="I57" s="209">
        <f>IF((I56)&gt;0,"回收","未回收")</f>
        <v/>
      </c>
      <c r="J57" s="209">
        <f>IF((J56)&gt;0,"回收","未回收")</f>
        <v/>
      </c>
      <c r="K57" s="209">
        <f>IF((K56)&gt;0,"回收","未回收")</f>
        <v/>
      </c>
      <c r="L57" s="209">
        <f>IF((L56)&gt;0,"回收","未回收")</f>
        <v/>
      </c>
      <c r="M57" s="209">
        <f>IF((M56)&gt;0,"回收","未回收")</f>
        <v/>
      </c>
      <c r="N57" s="209">
        <f>IF((N56)&gt;0,"回收","未回收")</f>
        <v/>
      </c>
      <c r="O57" s="209">
        <f>IF((O56)&gt;0,"回收","未回收")</f>
        <v/>
      </c>
      <c r="P57" s="209">
        <f>IF((P56)&gt;0,"回收","未回收")</f>
        <v/>
      </c>
      <c r="Q57" s="209">
        <f>IF((Q56)&gt;0,"回收","未回收")</f>
        <v/>
      </c>
      <c r="R57" s="209">
        <f>IF((R56)&gt;0,"回收","未回收")</f>
        <v/>
      </c>
      <c r="S57" s="209">
        <f>IF((S56)&gt;0,"回收","未回收")</f>
        <v/>
      </c>
      <c r="T57" s="209">
        <f>IF((T56)&gt;0,"回收","未回收")</f>
        <v/>
      </c>
      <c r="U57" s="209">
        <f>IF((U56)&gt;0,"回收","未回收")</f>
        <v/>
      </c>
      <c r="V57" s="209">
        <f>IF((V56)&gt;0,"回收","未回收")</f>
        <v/>
      </c>
      <c r="W57" s="209">
        <f>IF((W56)&gt;0,"回收","未回收")</f>
        <v/>
      </c>
      <c r="X57" s="209">
        <f>IF((X56)&gt;0,"回收","未回收")</f>
        <v/>
      </c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</row>
    <row r="58" ht="18.75" customHeight="1">
      <c r="B58" s="210" t="inlineStr">
        <is>
          <t>專案法IRR</t>
        </is>
      </c>
      <c r="C58" s="211">
        <f>IRR(C55:W55)</f>
        <v/>
      </c>
      <c r="D58" s="212" t="n"/>
      <c r="E58" s="212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14" t="n"/>
      <c r="Z58" s="214" t="n"/>
      <c r="AA58" s="214" t="n"/>
      <c r="AB58" s="214" t="n"/>
      <c r="AC58" s="214" t="n"/>
      <c r="AD58" s="214" t="n"/>
      <c r="AE58" s="214" t="n"/>
      <c r="AF58" s="214" t="n"/>
      <c r="AG58" s="214" t="n"/>
      <c r="AH58" s="214" t="n"/>
      <c r="AI58" s="214" t="n"/>
      <c r="AJ58" s="214" t="n"/>
    </row>
    <row r="59" ht="18.75" customHeight="1">
      <c r="B59" s="213" t="n"/>
      <c r="C59" s="212" t="n"/>
      <c r="D59" s="212" t="n"/>
      <c r="E59" s="212" t="n"/>
      <c r="F59" s="213" t="n"/>
      <c r="G59" s="213" t="n"/>
      <c r="H59" s="213" t="n"/>
      <c r="I59" s="213" t="n"/>
      <c r="J59" s="213" t="n"/>
      <c r="K59" s="213" t="n"/>
      <c r="L59" s="213" t="n"/>
      <c r="M59" s="212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14" t="n"/>
      <c r="Z59" s="214" t="n"/>
      <c r="AA59" s="214" t="n"/>
      <c r="AB59" s="214" t="n"/>
      <c r="AC59" s="214" t="n"/>
      <c r="AD59" s="214" t="n"/>
      <c r="AE59" s="214" t="n"/>
      <c r="AF59" s="214" t="n"/>
      <c r="AG59" s="214" t="n"/>
      <c r="AH59" s="214" t="n"/>
      <c r="AI59" s="214" t="n"/>
      <c r="AJ59" s="214" t="n"/>
    </row>
    <row r="60" ht="18.75" customHeight="1">
      <c r="B60" s="80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66" t="n">
        <v>0</v>
      </c>
      <c r="C61" s="167" t="n"/>
      <c r="D61" s="168" t="n"/>
      <c r="E61" s="168" t="n"/>
      <c r="F61" s="169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5" t="inlineStr">
        <is>
          <t>償還年限</t>
        </is>
      </c>
      <c r="U61" s="170" t="n"/>
      <c r="V61" s="170" t="n"/>
      <c r="W61" s="170" t="n"/>
      <c r="X61" s="172" t="n"/>
    </row>
    <row r="62" ht="18.75" customHeight="1">
      <c r="B62" s="173" t="inlineStr">
        <is>
          <t>(Unit : Currency)</t>
        </is>
      </c>
      <c r="C62" s="174" t="n">
        <v>0</v>
      </c>
      <c r="D62" s="175" t="n">
        <v>1</v>
      </c>
      <c r="E62" s="175" t="n">
        <v>2</v>
      </c>
      <c r="F62" s="175" t="n">
        <v>3</v>
      </c>
      <c r="G62" s="175" t="n">
        <v>4</v>
      </c>
      <c r="H62" s="175" t="n">
        <v>5</v>
      </c>
      <c r="I62" s="175" t="n">
        <v>6</v>
      </c>
      <c r="J62" s="175" t="n">
        <v>7</v>
      </c>
      <c r="K62" s="175" t="n">
        <v>8</v>
      </c>
      <c r="L62" s="175" t="n">
        <v>9</v>
      </c>
      <c r="M62" s="175" t="n">
        <v>10</v>
      </c>
      <c r="N62" s="175" t="n">
        <v>11</v>
      </c>
      <c r="O62" s="175" t="n">
        <v>12</v>
      </c>
      <c r="P62" s="175" t="n">
        <v>13</v>
      </c>
      <c r="Q62" s="175" t="n">
        <v>14</v>
      </c>
      <c r="R62" s="175" t="n">
        <v>15</v>
      </c>
      <c r="S62" s="175" t="n">
        <v>16</v>
      </c>
      <c r="T62" s="216" t="n">
        <v>17</v>
      </c>
      <c r="U62" s="175" t="n">
        <v>18</v>
      </c>
      <c r="V62" s="175" t="n">
        <v>19</v>
      </c>
      <c r="W62" s="175" t="n">
        <v>20</v>
      </c>
      <c r="X62" s="42" t="n"/>
    </row>
    <row r="63" ht="18.75" customHeight="1">
      <c r="B63" s="177" t="inlineStr">
        <is>
          <t>發電度數(KWH)</t>
        </is>
      </c>
      <c r="C63" s="178" t="n">
        <v>0</v>
      </c>
      <c r="D63" s="179">
        <f>D40</f>
        <v/>
      </c>
      <c r="E63" s="179">
        <f>E40</f>
        <v/>
      </c>
      <c r="F63" s="179">
        <f>F40</f>
        <v/>
      </c>
      <c r="G63" s="179">
        <f>G40</f>
        <v/>
      </c>
      <c r="H63" s="179">
        <f>H40</f>
        <v/>
      </c>
      <c r="I63" s="179">
        <f>I40</f>
        <v/>
      </c>
      <c r="J63" s="179">
        <f>J40</f>
        <v/>
      </c>
      <c r="K63" s="179">
        <f>K40</f>
        <v/>
      </c>
      <c r="L63" s="179">
        <f>L40</f>
        <v/>
      </c>
      <c r="M63" s="179">
        <f>M40</f>
        <v/>
      </c>
      <c r="N63" s="179">
        <f>N40</f>
        <v/>
      </c>
      <c r="O63" s="179">
        <f>O40</f>
        <v/>
      </c>
      <c r="P63" s="179">
        <f>P40</f>
        <v/>
      </c>
      <c r="Q63" s="179">
        <f>Q40</f>
        <v/>
      </c>
      <c r="R63" s="179">
        <f>R40</f>
        <v/>
      </c>
      <c r="S63" s="179">
        <f>S40</f>
        <v/>
      </c>
      <c r="T63" s="179">
        <f>T40</f>
        <v/>
      </c>
      <c r="U63" s="179">
        <f>U40</f>
        <v/>
      </c>
      <c r="V63" s="179">
        <f>V40</f>
        <v/>
      </c>
      <c r="W63" s="179">
        <f>W40</f>
        <v/>
      </c>
      <c r="X63" s="180" t="n"/>
    </row>
    <row r="64" ht="18.75" customHeight="1">
      <c r="B64" s="181" t="inlineStr">
        <is>
          <t>Inflow : 電費收入</t>
        </is>
      </c>
      <c r="C64" s="182" t="inlineStr">
        <is>
          <t>-</t>
        </is>
      </c>
      <c r="D64" s="183">
        <f>D41</f>
        <v/>
      </c>
      <c r="E64" s="183">
        <f>E41</f>
        <v/>
      </c>
      <c r="F64" s="183">
        <f>F41</f>
        <v/>
      </c>
      <c r="G64" s="183">
        <f>G41</f>
        <v/>
      </c>
      <c r="H64" s="183">
        <f>H41</f>
        <v/>
      </c>
      <c r="I64" s="183">
        <f>I41</f>
        <v/>
      </c>
      <c r="J64" s="183">
        <f>J41</f>
        <v/>
      </c>
      <c r="K64" s="183">
        <f>K41</f>
        <v/>
      </c>
      <c r="L64" s="183">
        <f>L41</f>
        <v/>
      </c>
      <c r="M64" s="183">
        <f>M41</f>
        <v/>
      </c>
      <c r="N64" s="183">
        <f>N41</f>
        <v/>
      </c>
      <c r="O64" s="183">
        <f>O41</f>
        <v/>
      </c>
      <c r="P64" s="183">
        <f>P41</f>
        <v/>
      </c>
      <c r="Q64" s="183">
        <f>Q41</f>
        <v/>
      </c>
      <c r="R64" s="183">
        <f>R41</f>
        <v/>
      </c>
      <c r="S64" s="183">
        <f>S41</f>
        <v/>
      </c>
      <c r="T64" s="183">
        <f>T41</f>
        <v/>
      </c>
      <c r="U64" s="183">
        <f>U41</f>
        <v/>
      </c>
      <c r="V64" s="183">
        <f>V41</f>
        <v/>
      </c>
      <c r="W64" s="183">
        <f>W41</f>
        <v/>
      </c>
      <c r="X64" s="184" t="n"/>
    </row>
    <row r="65" ht="18.75" customHeight="1">
      <c r="B65" s="185" t="inlineStr">
        <is>
          <t>Inflow : 政府補助</t>
        </is>
      </c>
      <c r="C65" s="186" t="inlineStr">
        <is>
          <t>-</t>
        </is>
      </c>
      <c r="D65" s="187" t="n"/>
      <c r="E65" s="187" t="n"/>
      <c r="F65" s="187" t="n"/>
      <c r="G65" s="187" t="inlineStr">
        <is>
          <t>-</t>
        </is>
      </c>
      <c r="H65" s="187" t="inlineStr">
        <is>
          <t>-</t>
        </is>
      </c>
      <c r="I65" s="187" t="inlineStr">
        <is>
          <t>-</t>
        </is>
      </c>
      <c r="J65" s="187" t="inlineStr">
        <is>
          <t>-</t>
        </is>
      </c>
      <c r="K65" s="187" t="inlineStr">
        <is>
          <t>-</t>
        </is>
      </c>
      <c r="L65" s="187" t="inlineStr">
        <is>
          <t>-</t>
        </is>
      </c>
      <c r="M65" s="187" t="inlineStr">
        <is>
          <t>-</t>
        </is>
      </c>
      <c r="N65" s="187" t="inlineStr">
        <is>
          <t>-</t>
        </is>
      </c>
      <c r="O65" s="187" t="inlineStr">
        <is>
          <t>-</t>
        </is>
      </c>
      <c r="P65" s="187" t="inlineStr">
        <is>
          <t>-</t>
        </is>
      </c>
      <c r="Q65" s="187" t="inlineStr">
        <is>
          <t>-</t>
        </is>
      </c>
      <c r="R65" s="187" t="inlineStr">
        <is>
          <t>-</t>
        </is>
      </c>
      <c r="S65" s="187" t="inlineStr">
        <is>
          <t>-</t>
        </is>
      </c>
      <c r="T65" s="187" t="inlineStr">
        <is>
          <t>-</t>
        </is>
      </c>
      <c r="U65" s="187" t="inlineStr">
        <is>
          <t>-</t>
        </is>
      </c>
      <c r="V65" s="187" t="inlineStr">
        <is>
          <t>-</t>
        </is>
      </c>
      <c r="W65" s="187" t="inlineStr">
        <is>
          <t>-</t>
        </is>
      </c>
      <c r="X65" s="188" t="n"/>
    </row>
    <row r="66" ht="18.75" customHeight="1">
      <c r="B66" s="189" t="inlineStr">
        <is>
          <t>Inflow : 銀行借款</t>
        </is>
      </c>
      <c r="C66" s="190" t="n"/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2" t="n"/>
    </row>
    <row r="67" ht="18.75" customHeight="1">
      <c r="B67" s="193" t="inlineStr">
        <is>
          <t>Outflow : 設備折舊</t>
        </is>
      </c>
      <c r="C67" s="186" t="n"/>
      <c r="D67" s="217">
        <f>$C$44/$E$16</f>
        <v/>
      </c>
      <c r="E67" s="217">
        <f>$C$44/$E$16</f>
        <v/>
      </c>
      <c r="F67" s="217">
        <f>$C$44/$E$16</f>
        <v/>
      </c>
      <c r="G67" s="217">
        <f>$C$44/$E$16</f>
        <v/>
      </c>
      <c r="H67" s="217">
        <f>$C$44/$E$16</f>
        <v/>
      </c>
      <c r="I67" s="217">
        <f>$C$44/$E$16</f>
        <v/>
      </c>
      <c r="J67" s="217">
        <f>$C$44/$E$16</f>
        <v/>
      </c>
      <c r="K67" s="217">
        <f>$C$44/$E$16</f>
        <v/>
      </c>
      <c r="L67" s="217">
        <f>$C$44/$E$16</f>
        <v/>
      </c>
      <c r="M67" s="217">
        <f>$C$44/$E$16</f>
        <v/>
      </c>
      <c r="N67" s="217">
        <f>$C$44/$E$16</f>
        <v/>
      </c>
      <c r="O67" s="217">
        <f>$C$44/$E$16</f>
        <v/>
      </c>
      <c r="P67" s="217">
        <f>$C$44/$E$16</f>
        <v/>
      </c>
      <c r="Q67" s="217">
        <f>$C$44/$E$16</f>
        <v/>
      </c>
      <c r="R67" s="217">
        <f>$C$44/$E$16</f>
        <v/>
      </c>
      <c r="S67" s="217">
        <f>$C$44/$E$16</f>
        <v/>
      </c>
      <c r="T67" s="217">
        <f>$C$44/$E$16</f>
        <v/>
      </c>
      <c r="U67" s="217">
        <f>$C$44/$E$16</f>
        <v/>
      </c>
      <c r="V67" s="217">
        <f>$C$44/$E$16</f>
        <v/>
      </c>
      <c r="W67" s="217">
        <f>$C$44/$E$16</f>
        <v/>
      </c>
      <c r="X67" s="188" t="n"/>
    </row>
    <row r="68" ht="18.75" customHeight="1">
      <c r="B68" s="193" t="inlineStr">
        <is>
          <t>Outflow : 設備放置區域租金</t>
        </is>
      </c>
      <c r="C68" s="186" t="inlineStr">
        <is>
          <t>-</t>
        </is>
      </c>
      <c r="D68" s="195">
        <f>D44</f>
        <v/>
      </c>
      <c r="E68" s="195">
        <f>E44</f>
        <v/>
      </c>
      <c r="F68" s="195">
        <f>F44</f>
        <v/>
      </c>
      <c r="G68" s="195">
        <f>G44</f>
        <v/>
      </c>
      <c r="H68" s="195">
        <f>H44</f>
        <v/>
      </c>
      <c r="I68" s="195">
        <f>I44</f>
        <v/>
      </c>
      <c r="J68" s="195">
        <f>J44</f>
        <v/>
      </c>
      <c r="K68" s="195">
        <f>K44</f>
        <v/>
      </c>
      <c r="L68" s="195">
        <f>L44</f>
        <v/>
      </c>
      <c r="M68" s="195">
        <f>M44</f>
        <v/>
      </c>
      <c r="N68" s="195">
        <f>N44</f>
        <v/>
      </c>
      <c r="O68" s="195">
        <f>O44</f>
        <v/>
      </c>
      <c r="P68" s="195">
        <f>P44</f>
        <v/>
      </c>
      <c r="Q68" s="195">
        <f>Q44</f>
        <v/>
      </c>
      <c r="R68" s="195">
        <f>R44</f>
        <v/>
      </c>
      <c r="S68" s="195">
        <f>S44</f>
        <v/>
      </c>
      <c r="T68" s="195">
        <f>T44</f>
        <v/>
      </c>
      <c r="U68" s="195">
        <f>U44</f>
        <v/>
      </c>
      <c r="V68" s="195">
        <f>V44</f>
        <v/>
      </c>
      <c r="W68" s="195">
        <f>W44</f>
        <v/>
      </c>
      <c r="X68" s="188" t="n"/>
    </row>
    <row r="69" ht="18.75" customHeight="1">
      <c r="B69" s="193" t="inlineStr">
        <is>
          <t>Outflow : 返還借款</t>
        </is>
      </c>
      <c r="C69" s="186" t="n"/>
      <c r="D69" s="187" t="n"/>
      <c r="E69" s="187" t="n"/>
      <c r="F69" s="187" t="n"/>
      <c r="G69" s="187" t="n"/>
      <c r="H69" s="187" t="n"/>
      <c r="I69" s="187" t="n"/>
      <c r="J69" s="187" t="n"/>
      <c r="K69" s="187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8" t="n"/>
    </row>
    <row r="70" ht="18.75" customHeight="1">
      <c r="B70" s="193" t="inlineStr">
        <is>
          <t>Outflow : 利息費用</t>
        </is>
      </c>
      <c r="C70" s="186" t="inlineStr">
        <is>
          <t>-</t>
        </is>
      </c>
      <c r="D70" s="195">
        <f>-D109*$D25</f>
        <v/>
      </c>
      <c r="E70" s="195">
        <f>-E109*$D25</f>
        <v/>
      </c>
      <c r="F70" s="195">
        <f>-F109*$D25</f>
        <v/>
      </c>
      <c r="G70" s="195">
        <f>-G109*$D25</f>
        <v/>
      </c>
      <c r="H70" s="195">
        <f>-H109*$D25</f>
        <v/>
      </c>
      <c r="I70" s="195">
        <f>-I109*$D25</f>
        <v/>
      </c>
      <c r="J70" s="195">
        <f>-J109*$D25</f>
        <v/>
      </c>
      <c r="K70" s="195">
        <f>-K109*$D25</f>
        <v/>
      </c>
      <c r="L70" s="195">
        <f>-L109*$D25</f>
        <v/>
      </c>
      <c r="M70" s="195">
        <f>-M109*$D25</f>
        <v/>
      </c>
      <c r="N70" s="195">
        <f>-N109*$D25</f>
        <v/>
      </c>
      <c r="O70" s="195">
        <f>-O109*$D25</f>
        <v/>
      </c>
      <c r="P70" s="195">
        <f>-P109*$D25</f>
        <v/>
      </c>
      <c r="Q70" s="195">
        <f>-Q109*$D25</f>
        <v/>
      </c>
      <c r="R70" s="195">
        <f>-R109*$D25</f>
        <v/>
      </c>
      <c r="S70" s="195">
        <f>-S109*$D25</f>
        <v/>
      </c>
      <c r="T70" s="195">
        <f>-T109*$D25</f>
        <v/>
      </c>
      <c r="U70" s="195">
        <f>-U109*$D25</f>
        <v/>
      </c>
      <c r="V70" s="195">
        <f>-V109*$D25</f>
        <v/>
      </c>
      <c r="W70" s="195">
        <f>-W109*$D25</f>
        <v/>
      </c>
      <c r="X70" s="188" t="n"/>
    </row>
    <row r="71" ht="18.75" customHeight="1">
      <c r="B71" s="193" t="inlineStr">
        <is>
          <t>Outflow : 維運費</t>
        </is>
      </c>
      <c r="C71" s="186" t="inlineStr">
        <is>
          <t>-</t>
        </is>
      </c>
      <c r="D71" s="195">
        <f>D48</f>
        <v/>
      </c>
      <c r="E71" s="195">
        <f>E48</f>
        <v/>
      </c>
      <c r="F71" s="195">
        <f>F48</f>
        <v/>
      </c>
      <c r="G71" s="195">
        <f>G48</f>
        <v/>
      </c>
      <c r="H71" s="195">
        <f>H48</f>
        <v/>
      </c>
      <c r="I71" s="195">
        <f>I48</f>
        <v/>
      </c>
      <c r="J71" s="195">
        <f>J48</f>
        <v/>
      </c>
      <c r="K71" s="195">
        <f>K48</f>
        <v/>
      </c>
      <c r="L71" s="195">
        <f>L48</f>
        <v/>
      </c>
      <c r="M71" s="195">
        <f>M48</f>
        <v/>
      </c>
      <c r="N71" s="195">
        <f>N48</f>
        <v/>
      </c>
      <c r="O71" s="195">
        <f>O48</f>
        <v/>
      </c>
      <c r="P71" s="195">
        <f>P48</f>
        <v/>
      </c>
      <c r="Q71" s="195">
        <f>Q48</f>
        <v/>
      </c>
      <c r="R71" s="195">
        <f>R48</f>
        <v/>
      </c>
      <c r="S71" s="195">
        <f>S48</f>
        <v/>
      </c>
      <c r="T71" s="195">
        <f>T48</f>
        <v/>
      </c>
      <c r="U71" s="195">
        <f>U48</f>
        <v/>
      </c>
      <c r="V71" s="195">
        <f>V48</f>
        <v/>
      </c>
      <c r="W71" s="195">
        <f>W48</f>
        <v/>
      </c>
      <c r="X71" s="188" t="n"/>
    </row>
    <row r="72" ht="18.75" customHeight="1">
      <c r="B72" s="193" t="inlineStr">
        <is>
          <t>Outflow : 保險費</t>
        </is>
      </c>
      <c r="C72" s="186" t="inlineStr">
        <is>
          <t>-</t>
        </is>
      </c>
      <c r="D72" s="195">
        <f>D49</f>
        <v/>
      </c>
      <c r="E72" s="195">
        <f>E49</f>
        <v/>
      </c>
      <c r="F72" s="195">
        <f>F49</f>
        <v/>
      </c>
      <c r="G72" s="195">
        <f>G49</f>
        <v/>
      </c>
      <c r="H72" s="195">
        <f>H49</f>
        <v/>
      </c>
      <c r="I72" s="195">
        <f>I49</f>
        <v/>
      </c>
      <c r="J72" s="195">
        <f>J49</f>
        <v/>
      </c>
      <c r="K72" s="195">
        <f>K49</f>
        <v/>
      </c>
      <c r="L72" s="195">
        <f>L49</f>
        <v/>
      </c>
      <c r="M72" s="195">
        <f>M49</f>
        <v/>
      </c>
      <c r="N72" s="195">
        <f>N49</f>
        <v/>
      </c>
      <c r="O72" s="195">
        <f>O49</f>
        <v/>
      </c>
      <c r="P72" s="195">
        <f>P49</f>
        <v/>
      </c>
      <c r="Q72" s="195">
        <f>Q49</f>
        <v/>
      </c>
      <c r="R72" s="195">
        <f>R49</f>
        <v/>
      </c>
      <c r="S72" s="195">
        <f>S49</f>
        <v/>
      </c>
      <c r="T72" s="195">
        <f>T49</f>
        <v/>
      </c>
      <c r="U72" s="195">
        <f>U49</f>
        <v/>
      </c>
      <c r="V72" s="195">
        <f>V49</f>
        <v/>
      </c>
      <c r="W72" s="195">
        <f>W49</f>
        <v/>
      </c>
      <c r="X72" s="188" t="n"/>
    </row>
    <row r="73" ht="18.75" customHeight="1">
      <c r="B73" s="193" t="inlineStr">
        <is>
          <t>Outflow : 模組回收費</t>
        </is>
      </c>
      <c r="C73" s="186" t="n"/>
      <c r="D73" s="195">
        <f>D50</f>
        <v/>
      </c>
      <c r="E73" s="195">
        <f>E50</f>
        <v/>
      </c>
      <c r="F73" s="195">
        <f>F50</f>
        <v/>
      </c>
      <c r="G73" s="195">
        <f>G50</f>
        <v/>
      </c>
      <c r="H73" s="195">
        <f>H50</f>
        <v/>
      </c>
      <c r="I73" s="195">
        <f>I50</f>
        <v/>
      </c>
      <c r="J73" s="195">
        <f>J50</f>
        <v/>
      </c>
      <c r="K73" s="195">
        <f>K50</f>
        <v/>
      </c>
      <c r="L73" s="195">
        <f>L50</f>
        <v/>
      </c>
      <c r="M73" s="195">
        <f>M50</f>
        <v/>
      </c>
      <c r="N73" s="195">
        <f>N50</f>
        <v/>
      </c>
      <c r="O73" s="195">
        <f>O50</f>
        <v/>
      </c>
      <c r="P73" s="195">
        <f>P50</f>
        <v/>
      </c>
      <c r="Q73" s="195">
        <f>Q50</f>
        <v/>
      </c>
      <c r="R73" s="195">
        <f>R50</f>
        <v/>
      </c>
      <c r="S73" s="195">
        <f>S50</f>
        <v/>
      </c>
      <c r="T73" s="195">
        <f>T50</f>
        <v/>
      </c>
      <c r="U73" s="195">
        <f>U50</f>
        <v/>
      </c>
      <c r="V73" s="195">
        <f>V50</f>
        <v/>
      </c>
      <c r="W73" s="195">
        <f>W50</f>
        <v/>
      </c>
      <c r="X73" s="188" t="n"/>
    </row>
    <row r="74" ht="18.75" customHeight="1">
      <c r="B74" s="193" t="inlineStr">
        <is>
          <t>Outflow : 其它費用(人事薪資…等)</t>
        </is>
      </c>
      <c r="C74" s="196" t="n"/>
      <c r="D74" s="218" t="n"/>
      <c r="E74" s="219" t="n"/>
      <c r="F74" s="187" t="n"/>
      <c r="G74" s="187" t="n"/>
      <c r="H74" s="187" t="n"/>
      <c r="I74" s="187" t="n"/>
      <c r="J74" s="187" t="n"/>
      <c r="K74" s="187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8" t="n"/>
    </row>
    <row r="75" ht="18.75" customHeight="1">
      <c r="B75" s="193" t="inlineStr">
        <is>
          <t>1%管理費</t>
        </is>
      </c>
      <c r="C75" s="196" t="n"/>
      <c r="D75" s="187" t="n"/>
      <c r="E75" s="187" t="n"/>
      <c r="F75" s="187" t="n"/>
      <c r="G75" s="187" t="n"/>
      <c r="H75" s="187" t="n"/>
      <c r="I75" s="187" t="n"/>
      <c r="J75" s="187" t="n"/>
      <c r="K75" s="187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8" t="n"/>
    </row>
    <row r="76" ht="18.75" customHeight="1">
      <c r="B76" s="198" t="inlineStr">
        <is>
          <t>稅前淨利</t>
        </is>
      </c>
      <c r="C76" s="220" t="n"/>
      <c r="D76" s="200">
        <f>SUM(D64:D75)</f>
        <v/>
      </c>
      <c r="E76" s="200">
        <f>SUM(E64:E75)</f>
        <v/>
      </c>
      <c r="F76" s="200">
        <f>SUM(F64:F75)</f>
        <v/>
      </c>
      <c r="G76" s="200">
        <f>SUM(G64:G75)</f>
        <v/>
      </c>
      <c r="H76" s="200">
        <f>SUM(H64:H75)</f>
        <v/>
      </c>
      <c r="I76" s="200">
        <f>SUM(I64:I75)</f>
        <v/>
      </c>
      <c r="J76" s="200">
        <f>SUM(J64:J75)</f>
        <v/>
      </c>
      <c r="K76" s="200">
        <f>SUM(K64:K75)</f>
        <v/>
      </c>
      <c r="L76" s="200">
        <f>SUM(L64:L75)</f>
        <v/>
      </c>
      <c r="M76" s="200">
        <f>SUM(M64:M75)</f>
        <v/>
      </c>
      <c r="N76" s="200">
        <f>SUM(N64:N75)</f>
        <v/>
      </c>
      <c r="O76" s="200">
        <f>SUM(O64:O75)</f>
        <v/>
      </c>
      <c r="P76" s="200">
        <f>SUM(P64:P75)</f>
        <v/>
      </c>
      <c r="Q76" s="200">
        <f>SUM(Q64:Q75)</f>
        <v/>
      </c>
      <c r="R76" s="200">
        <f>SUM(R64:R75)</f>
        <v/>
      </c>
      <c r="S76" s="200">
        <f>SUM(S64:S75)</f>
        <v/>
      </c>
      <c r="T76" s="200">
        <f>SUM(T64:T75)</f>
        <v/>
      </c>
      <c r="U76" s="200">
        <f>SUM(U64:U75)</f>
        <v/>
      </c>
      <c r="V76" s="200">
        <f>SUM(V64:V75)</f>
        <v/>
      </c>
      <c r="W76" s="200">
        <f>SUM(W64:W75)</f>
        <v/>
      </c>
      <c r="X76" s="200">
        <f>SUM(X64:X75)</f>
        <v/>
      </c>
    </row>
    <row r="77" ht="18.75" customHeight="1">
      <c r="B77" s="197" t="inlineStr">
        <is>
          <t>所得稅20%</t>
        </is>
      </c>
      <c r="C77" s="196" t="n"/>
      <c r="D77" s="195">
        <f>-D76*0.2</f>
        <v/>
      </c>
      <c r="E77" s="195">
        <f>-E76*0.2</f>
        <v/>
      </c>
      <c r="F77" s="195">
        <f>-F76*0.2</f>
        <v/>
      </c>
      <c r="G77" s="195">
        <f>-G76*0.2</f>
        <v/>
      </c>
      <c r="H77" s="195">
        <f>-H76*0.2</f>
        <v/>
      </c>
      <c r="I77" s="195">
        <f>-I76*0.2</f>
        <v/>
      </c>
      <c r="J77" s="195">
        <f>-J76*0.2</f>
        <v/>
      </c>
      <c r="K77" s="195">
        <f>-K76*0.2</f>
        <v/>
      </c>
      <c r="L77" s="195">
        <f>-L76*0.2</f>
        <v/>
      </c>
      <c r="M77" s="195">
        <f>-M76*0.2</f>
        <v/>
      </c>
      <c r="N77" s="195">
        <f>-N76*0.2</f>
        <v/>
      </c>
      <c r="O77" s="195">
        <f>-O76*0.2</f>
        <v/>
      </c>
      <c r="P77" s="195">
        <f>-P76*0.2</f>
        <v/>
      </c>
      <c r="Q77" s="195">
        <f>-Q76*0.2</f>
        <v/>
      </c>
      <c r="R77" s="195">
        <f>-R76*0.2</f>
        <v/>
      </c>
      <c r="S77" s="195">
        <f>-S76*0.2</f>
        <v/>
      </c>
      <c r="T77" s="195">
        <f>-T76*0.2</f>
        <v/>
      </c>
      <c r="U77" s="195">
        <f>-U76*0.2</f>
        <v/>
      </c>
      <c r="V77" s="195">
        <f>-V76*0.2</f>
        <v/>
      </c>
      <c r="W77" s="195">
        <f>-W76*0.2</f>
        <v/>
      </c>
      <c r="X77" s="195">
        <f>-X76*0.2</f>
        <v/>
      </c>
    </row>
    <row r="78">
      <c r="B78" s="221" t="inlineStr">
        <is>
          <t>稅後淨利</t>
        </is>
      </c>
      <c r="D78" s="195">
        <f>SUM(D76:D77)</f>
        <v/>
      </c>
      <c r="E78" s="195">
        <f>SUM(E76:E77)</f>
        <v/>
      </c>
      <c r="F78" s="195">
        <f>SUM(F76:F77)</f>
        <v/>
      </c>
      <c r="G78" s="195">
        <f>SUM(G76:G77)</f>
        <v/>
      </c>
      <c r="H78" s="195">
        <f>SUM(H76:H77)</f>
        <v/>
      </c>
      <c r="I78" s="195">
        <f>SUM(I76:I77)</f>
        <v/>
      </c>
      <c r="J78" s="195">
        <f>SUM(J76:J77)</f>
        <v/>
      </c>
      <c r="K78" s="195">
        <f>SUM(K76:K77)</f>
        <v/>
      </c>
      <c r="L78" s="195">
        <f>SUM(L76:L77)</f>
        <v/>
      </c>
      <c r="M78" s="195">
        <f>SUM(M76:M77)</f>
        <v/>
      </c>
      <c r="N78" s="195">
        <f>SUM(N76:N77)</f>
        <v/>
      </c>
      <c r="O78" s="195">
        <f>SUM(O76:O77)</f>
        <v/>
      </c>
      <c r="P78" s="195">
        <f>SUM(P76:P77)</f>
        <v/>
      </c>
      <c r="Q78" s="195">
        <f>SUM(Q76:Q77)</f>
        <v/>
      </c>
      <c r="R78" s="195">
        <f>SUM(R76:R77)</f>
        <v/>
      </c>
      <c r="S78" s="195">
        <f>SUM(S76:S77)</f>
        <v/>
      </c>
      <c r="T78" s="195">
        <f>SUM(T76:T77)</f>
        <v/>
      </c>
      <c r="U78" s="195">
        <f>SUM(U76:U77)</f>
        <v/>
      </c>
      <c r="V78" s="195">
        <f>SUM(V76:V77)</f>
        <v/>
      </c>
      <c r="W78" s="195">
        <f>SUM(W76:W77)</f>
        <v/>
      </c>
      <c r="X78" s="195">
        <f>SUM(X76:X77)</f>
        <v/>
      </c>
    </row>
    <row r="79" ht="18.75" customHeight="1">
      <c r="B79" s="204" t="inlineStr">
        <is>
          <t>累計現金流</t>
        </is>
      </c>
      <c r="C79" s="222" t="n"/>
      <c r="D79" s="223" t="n"/>
      <c r="E79" s="223" t="n"/>
      <c r="F79" s="223" t="n"/>
      <c r="G79" s="223" t="n"/>
      <c r="H79" s="223" t="n"/>
      <c r="I79" s="223" t="n"/>
      <c r="J79" s="223" t="n"/>
      <c r="K79" s="223" t="n"/>
      <c r="L79" s="223" t="n"/>
      <c r="M79" s="223" t="n"/>
      <c r="N79" s="223" t="n"/>
      <c r="O79" s="223" t="n"/>
      <c r="P79" s="223" t="n"/>
      <c r="Q79" s="223" t="n"/>
      <c r="R79" s="223" t="n"/>
      <c r="S79" s="223" t="n"/>
      <c r="T79" s="223" t="n"/>
      <c r="U79" s="223" t="n"/>
      <c r="V79" s="223" t="n"/>
      <c r="W79" s="223" t="n"/>
      <c r="X79" s="224" t="n"/>
    </row>
    <row r="80" ht="18.75" customHeight="1">
      <c r="B80" s="225" t="inlineStr">
        <is>
          <t>回收年限評估</t>
        </is>
      </c>
      <c r="C80" s="226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27" t="n"/>
      <c r="S80" s="227" t="n"/>
      <c r="T80" s="227" t="n"/>
      <c r="U80" s="227" t="n"/>
      <c r="V80" s="227" t="n"/>
      <c r="W80" s="227" t="n"/>
      <c r="X80" s="228" t="n"/>
    </row>
    <row r="81" ht="18.75" customHeight="1">
      <c r="B81" s="213" t="n"/>
      <c r="C81" s="212" t="n"/>
      <c r="D81" s="212" t="n"/>
      <c r="E81" s="212" t="n"/>
      <c r="F81" s="213" t="n"/>
      <c r="G81" s="213" t="n"/>
      <c r="H81" s="213" t="n"/>
      <c r="I81" s="213" t="n"/>
      <c r="J81" s="213" t="n"/>
      <c r="K81" s="213" t="n"/>
      <c r="L81" s="213" t="n"/>
      <c r="M81" s="212" t="n"/>
      <c r="N81" s="213" t="n"/>
      <c r="O81" s="213" t="n"/>
      <c r="P81" s="213" t="n"/>
      <c r="Q81" s="213" t="n"/>
      <c r="R81" s="213" t="n"/>
      <c r="S81" s="213" t="n"/>
      <c r="T81" s="213" t="n"/>
      <c r="U81" s="213" t="n"/>
      <c r="V81" s="213" t="n"/>
      <c r="W81" s="213" t="n"/>
      <c r="X81" s="213" t="n"/>
    </row>
    <row r="82" ht="18.75" customHeight="1">
      <c r="C82" s="229" t="inlineStr">
        <is>
          <t>年份</t>
        </is>
      </c>
      <c r="D82" s="230">
        <f>D37</f>
        <v/>
      </c>
      <c r="E82" s="230">
        <f>E37</f>
        <v/>
      </c>
      <c r="F82" s="230">
        <f>F37</f>
        <v/>
      </c>
      <c r="G82" s="230">
        <f>G37</f>
        <v/>
      </c>
      <c r="H82" s="230">
        <f>H37</f>
        <v/>
      </c>
      <c r="I82" s="230">
        <f>I37</f>
        <v/>
      </c>
      <c r="J82" s="230">
        <f>J37</f>
        <v/>
      </c>
      <c r="K82" s="230">
        <f>K37</f>
        <v/>
      </c>
      <c r="L82" s="230">
        <f>L37</f>
        <v/>
      </c>
      <c r="M82" s="230">
        <f>M37</f>
        <v/>
      </c>
      <c r="N82" s="230">
        <f>N37</f>
        <v/>
      </c>
      <c r="O82" s="230">
        <f>O37</f>
        <v/>
      </c>
      <c r="P82" s="230">
        <f>P37</f>
        <v/>
      </c>
      <c r="Q82" s="230">
        <f>Q37</f>
        <v/>
      </c>
      <c r="R82" s="230">
        <f>R37</f>
        <v/>
      </c>
      <c r="S82" s="230">
        <f>S37</f>
        <v/>
      </c>
      <c r="T82" s="230">
        <f>T37</f>
        <v/>
      </c>
      <c r="U82" s="230">
        <f>U37</f>
        <v/>
      </c>
      <c r="V82" s="230">
        <f>V37</f>
        <v/>
      </c>
      <c r="W82" s="230">
        <f>W37</f>
        <v/>
      </c>
      <c r="X82" s="84" t="n"/>
    </row>
    <row r="83" ht="18.75" customHeight="1">
      <c r="X83" s="231" t="n"/>
    </row>
    <row r="84" ht="18.75" customHeight="1">
      <c r="B84" s="232" t="inlineStr">
        <is>
          <t>(Unit : Currency)</t>
        </is>
      </c>
      <c r="C84" s="232" t="n">
        <v>0</v>
      </c>
      <c r="D84" s="232" t="n">
        <v>1</v>
      </c>
      <c r="E84" s="232" t="n">
        <v>2</v>
      </c>
      <c r="F84" s="232" t="n">
        <v>3</v>
      </c>
      <c r="G84" s="232" t="n">
        <v>4</v>
      </c>
      <c r="H84" s="232" t="n">
        <v>5</v>
      </c>
      <c r="I84" s="232" t="n">
        <v>6</v>
      </c>
      <c r="J84" s="232" t="n">
        <v>7</v>
      </c>
      <c r="K84" s="232" t="n">
        <v>8</v>
      </c>
      <c r="L84" s="232" t="n">
        <v>9</v>
      </c>
      <c r="M84" s="232" t="n">
        <v>10</v>
      </c>
      <c r="N84" s="232" t="n">
        <v>11</v>
      </c>
      <c r="O84" s="232" t="n">
        <v>12</v>
      </c>
      <c r="P84" s="232" t="n">
        <v>13</v>
      </c>
      <c r="Q84" s="232" t="n">
        <v>14</v>
      </c>
      <c r="R84" s="232" t="n">
        <v>15</v>
      </c>
      <c r="S84" s="232" t="n">
        <v>16</v>
      </c>
      <c r="T84" s="232" t="n">
        <v>17</v>
      </c>
      <c r="U84" s="232" t="n">
        <v>18</v>
      </c>
      <c r="V84" s="232" t="n">
        <v>19</v>
      </c>
      <c r="W84" s="232" t="n">
        <v>20</v>
      </c>
      <c r="X84" s="87" t="n"/>
    </row>
    <row r="85" ht="18.75" customHeight="1">
      <c r="B85" s="233" t="inlineStr">
        <is>
          <t>稅後淨利</t>
        </is>
      </c>
      <c r="C85" s="233" t="n"/>
      <c r="D85" s="234">
        <f>D78</f>
        <v/>
      </c>
      <c r="E85" s="234">
        <f>E78</f>
        <v/>
      </c>
      <c r="F85" s="234">
        <f>F78</f>
        <v/>
      </c>
      <c r="G85" s="234">
        <f>G78</f>
        <v/>
      </c>
      <c r="H85" s="234">
        <f>H78</f>
        <v/>
      </c>
      <c r="I85" s="234">
        <f>I78</f>
        <v/>
      </c>
      <c r="J85" s="234">
        <f>J78</f>
        <v/>
      </c>
      <c r="K85" s="234">
        <f>K78</f>
        <v/>
      </c>
      <c r="L85" s="234">
        <f>L78</f>
        <v/>
      </c>
      <c r="M85" s="234">
        <f>M78</f>
        <v/>
      </c>
      <c r="N85" s="234">
        <f>N78</f>
        <v/>
      </c>
      <c r="O85" s="234">
        <f>O78</f>
        <v/>
      </c>
      <c r="P85" s="234">
        <f>P78</f>
        <v/>
      </c>
      <c r="Q85" s="234">
        <f>Q78</f>
        <v/>
      </c>
      <c r="R85" s="234">
        <f>R78</f>
        <v/>
      </c>
      <c r="S85" s="234">
        <f>S78</f>
        <v/>
      </c>
      <c r="T85" s="234">
        <f>T78</f>
        <v/>
      </c>
      <c r="U85" s="234">
        <f>U78</f>
        <v/>
      </c>
      <c r="V85" s="234">
        <f>V78</f>
        <v/>
      </c>
      <c r="W85" s="234">
        <f>W78</f>
        <v/>
      </c>
      <c r="X85" s="233" t="n"/>
      <c r="Y85" s="233" t="n"/>
    </row>
    <row r="86">
      <c r="B86" s="233" t="inlineStr">
        <is>
          <t>設備折舊</t>
        </is>
      </c>
      <c r="C86" s="233" t="n"/>
      <c r="D86" s="235">
        <f>-D67</f>
        <v/>
      </c>
      <c r="E86" s="235">
        <f>-E67</f>
        <v/>
      </c>
      <c r="F86" s="235">
        <f>-F67</f>
        <v/>
      </c>
      <c r="G86" s="235">
        <f>-G67</f>
        <v/>
      </c>
      <c r="H86" s="235">
        <f>-H67</f>
        <v/>
      </c>
      <c r="I86" s="235">
        <f>-I67</f>
        <v/>
      </c>
      <c r="J86" s="235">
        <f>-J67</f>
        <v/>
      </c>
      <c r="K86" s="235">
        <f>-K67</f>
        <v/>
      </c>
      <c r="L86" s="235">
        <f>-L67</f>
        <v/>
      </c>
      <c r="M86" s="235">
        <f>-M67</f>
        <v/>
      </c>
      <c r="N86" s="235">
        <f>-N67</f>
        <v/>
      </c>
      <c r="O86" s="235">
        <f>-O67</f>
        <v/>
      </c>
      <c r="P86" s="235">
        <f>-P67</f>
        <v/>
      </c>
      <c r="Q86" s="235">
        <f>-Q67</f>
        <v/>
      </c>
      <c r="R86" s="235">
        <f>-R67</f>
        <v/>
      </c>
      <c r="S86" s="235">
        <f>-S67</f>
        <v/>
      </c>
      <c r="T86" s="235">
        <f>-T67</f>
        <v/>
      </c>
      <c r="U86" s="235">
        <f>-U67</f>
        <v/>
      </c>
      <c r="V86" s="235">
        <f>-V67</f>
        <v/>
      </c>
      <c r="W86" s="235">
        <f>-W67</f>
        <v/>
      </c>
      <c r="X86" s="236" t="n"/>
      <c r="Y86" s="236" t="n"/>
    </row>
    <row r="87">
      <c r="B87" s="233" t="inlineStr">
        <is>
          <t>營運活動現金流量</t>
        </is>
      </c>
      <c r="C87" s="233" t="n"/>
      <c r="D87" s="237">
        <f>SUM(D85:D86)</f>
        <v/>
      </c>
      <c r="E87" s="237">
        <f>SUM(E85:E86)</f>
        <v/>
      </c>
      <c r="F87" s="237">
        <f>SUM(F85:F86)</f>
        <v/>
      </c>
      <c r="G87" s="237">
        <f>SUM(G85:G86)</f>
        <v/>
      </c>
      <c r="H87" s="237">
        <f>SUM(H85:H86)</f>
        <v/>
      </c>
      <c r="I87" s="237">
        <f>SUM(I85:I86)</f>
        <v/>
      </c>
      <c r="J87" s="237">
        <f>SUM(J85:J86)</f>
        <v/>
      </c>
      <c r="K87" s="237">
        <f>SUM(K85:K86)</f>
        <v/>
      </c>
      <c r="L87" s="237">
        <f>SUM(L85:L86)</f>
        <v/>
      </c>
      <c r="M87" s="237">
        <f>SUM(M85:M86)</f>
        <v/>
      </c>
      <c r="N87" s="237">
        <f>SUM(N85:N86)</f>
        <v/>
      </c>
      <c r="O87" s="237">
        <f>SUM(O85:O86)</f>
        <v/>
      </c>
      <c r="P87" s="237">
        <f>SUM(P85:P86)</f>
        <v/>
      </c>
      <c r="Q87" s="237">
        <f>SUM(Q85:Q86)</f>
        <v/>
      </c>
      <c r="R87" s="237">
        <f>SUM(R85:R86)</f>
        <v/>
      </c>
      <c r="S87" s="237">
        <f>SUM(S85:S86)</f>
        <v/>
      </c>
      <c r="T87" s="237">
        <f>SUM(T85:T86)</f>
        <v/>
      </c>
      <c r="U87" s="237">
        <f>SUM(U85:U86)</f>
        <v/>
      </c>
      <c r="V87" s="237">
        <f>SUM(V85:V86)</f>
        <v/>
      </c>
      <c r="W87" s="237">
        <f>SUM(W85:W86)</f>
        <v/>
      </c>
      <c r="X87" s="238" t="n"/>
    </row>
    <row r="88">
      <c r="B88" s="233" t="n"/>
      <c r="C88" s="233" t="n"/>
      <c r="D88" s="233" t="n"/>
      <c r="E88" s="233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40" t="n"/>
    </row>
    <row r="89">
      <c r="B89" s="241" t="inlineStr">
        <is>
          <t>投資活動-設備支出</t>
        </is>
      </c>
      <c r="C89" s="242" t="n"/>
      <c r="D89" s="243">
        <f>C44</f>
        <v/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4" t="n"/>
    </row>
    <row r="90">
      <c r="B90" s="233" t="n"/>
      <c r="C90" s="233" t="n"/>
      <c r="D90" s="233" t="n"/>
      <c r="E90" s="233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40" t="n"/>
    </row>
    <row r="91">
      <c r="B91" s="233" t="n"/>
      <c r="C91" s="233" t="n"/>
      <c r="D91" s="233" t="n"/>
      <c r="E91" s="233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40" t="n"/>
    </row>
    <row r="92">
      <c r="B92" s="241" t="inlineStr">
        <is>
          <t>理財活動-借款</t>
        </is>
      </c>
      <c r="C92" s="242" t="n"/>
      <c r="D92" s="243">
        <f>-D89*D31</f>
        <v/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0" t="n"/>
    </row>
    <row r="93">
      <c r="B93" s="233" t="inlineStr">
        <is>
          <t>理財活動-還款</t>
        </is>
      </c>
      <c r="C93" s="233" t="n"/>
      <c r="D93" s="245" t="n"/>
      <c r="E93" s="245" t="n">
        <v>-568176</v>
      </c>
      <c r="F93" s="245" t="n">
        <v>-568176</v>
      </c>
      <c r="G93" s="245" t="n">
        <v>-568176</v>
      </c>
      <c r="H93" s="245" t="n">
        <v>-568176</v>
      </c>
      <c r="I93" s="245" t="n">
        <v>-568176</v>
      </c>
      <c r="J93" s="245" t="n">
        <v>-568176</v>
      </c>
      <c r="K93" s="245" t="n">
        <v>-568176</v>
      </c>
      <c r="L93" s="245" t="n">
        <v>-568176</v>
      </c>
      <c r="M93" s="245" t="n">
        <v>-568176</v>
      </c>
      <c r="N93" s="245" t="n">
        <v>-568176</v>
      </c>
      <c r="O93" s="245" t="n">
        <v>-568176</v>
      </c>
      <c r="P93" s="245" t="n">
        <v>-568176</v>
      </c>
      <c r="Q93" s="245" t="n">
        <v>-568176</v>
      </c>
      <c r="R93" s="245" t="n">
        <v>-568176</v>
      </c>
      <c r="S93" s="245" t="n">
        <v>-568176</v>
      </c>
      <c r="T93" s="245" t="n">
        <v>0</v>
      </c>
      <c r="U93" s="245" t="n">
        <v>0</v>
      </c>
      <c r="V93" s="245" t="n">
        <v>0</v>
      </c>
      <c r="W93" s="245" t="n">
        <v>0</v>
      </c>
      <c r="X93" s="244" t="n"/>
    </row>
    <row r="94">
      <c r="B94" s="233" t="inlineStr">
        <is>
          <t>理財活動-現金增資</t>
        </is>
      </c>
      <c r="C94" s="239" t="n"/>
      <c r="D94" s="234">
        <f>-D89*(1-D31)</f>
        <v/>
      </c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8" t="n"/>
    </row>
    <row r="95">
      <c r="B95" s="233" t="inlineStr">
        <is>
          <t>現金股利</t>
        </is>
      </c>
      <c r="C95" s="239" t="n"/>
      <c r="D95" s="239" t="n"/>
      <c r="E95" s="246">
        <f>-D85*$D$33</f>
        <v/>
      </c>
      <c r="F95" s="246">
        <f>-E85*$D$33</f>
        <v/>
      </c>
      <c r="G95" s="246">
        <f>-F85*$D$33</f>
        <v/>
      </c>
      <c r="H95" s="246">
        <f>-G85*$D$33</f>
        <v/>
      </c>
      <c r="I95" s="246">
        <f>-H85*$D$33</f>
        <v/>
      </c>
      <c r="J95" s="246">
        <f>-I85*$D$33</f>
        <v/>
      </c>
      <c r="K95" s="246">
        <f>-J85*$D$33</f>
        <v/>
      </c>
      <c r="L95" s="246">
        <f>-K85*$D$33</f>
        <v/>
      </c>
      <c r="M95" s="246">
        <f>-L85*$D$33</f>
        <v/>
      </c>
      <c r="N95" s="246">
        <f>-M85*$D$33</f>
        <v/>
      </c>
      <c r="O95" s="246">
        <f>-N85*$D$33</f>
        <v/>
      </c>
      <c r="P95" s="246">
        <f>-O85*$D$33</f>
        <v/>
      </c>
      <c r="Q95" s="246">
        <f>-P85*$D$33</f>
        <v/>
      </c>
      <c r="R95" s="246">
        <f>-Q85*$D$33</f>
        <v/>
      </c>
      <c r="S95" s="246">
        <f>-R85*$D$33</f>
        <v/>
      </c>
      <c r="T95" s="246">
        <f>-S85*$D$33</f>
        <v/>
      </c>
      <c r="U95" s="246">
        <f>-T85*$D$33</f>
        <v/>
      </c>
      <c r="V95" s="246">
        <f>-U85*$D$33</f>
        <v/>
      </c>
      <c r="W95" s="246">
        <f>-V85*$D$33</f>
        <v/>
      </c>
      <c r="X95" s="246">
        <f>-W85*$D$33</f>
        <v/>
      </c>
    </row>
    <row r="96">
      <c r="B96" s="247" t="inlineStr">
        <is>
          <t>年底減資</t>
        </is>
      </c>
      <c r="C96" s="248" t="n"/>
      <c r="D96" s="248" t="n">
        <v>0</v>
      </c>
      <c r="E96" s="249" t="n">
        <v>0</v>
      </c>
      <c r="F96" s="249" t="n">
        <v>0</v>
      </c>
      <c r="G96" s="249" t="n">
        <v>0</v>
      </c>
      <c r="H96" s="249" t="n">
        <v>0</v>
      </c>
      <c r="I96" s="249" t="n">
        <v>0</v>
      </c>
      <c r="J96" s="249" t="n">
        <v>0</v>
      </c>
      <c r="K96" s="249" t="n">
        <v>0</v>
      </c>
      <c r="L96" s="249" t="n">
        <v>0</v>
      </c>
      <c r="M96" s="249" t="n">
        <v>0</v>
      </c>
      <c r="N96" s="249" t="n">
        <v>0</v>
      </c>
      <c r="O96" s="249" t="n">
        <v>0</v>
      </c>
      <c r="P96" s="249" t="n">
        <v>0</v>
      </c>
      <c r="Q96" s="249" t="n">
        <v>0</v>
      </c>
      <c r="R96" s="249" t="n">
        <v>0</v>
      </c>
      <c r="S96" s="249" t="n">
        <v>0</v>
      </c>
      <c r="T96" s="249" t="n">
        <v>-532665</v>
      </c>
      <c r="U96" s="249" t="n">
        <v>-532665</v>
      </c>
      <c r="V96" s="249" t="n">
        <v>-532665</v>
      </c>
      <c r="W96" s="249" t="n">
        <v>-532665</v>
      </c>
      <c r="X96" s="250">
        <f>-W101-X95</f>
        <v/>
      </c>
    </row>
    <row r="97">
      <c r="B97" s="239" t="n"/>
      <c r="C97" s="239" t="n"/>
      <c r="D97" s="239" t="n"/>
      <c r="E97" s="239" t="n"/>
      <c r="F97" s="239" t="n"/>
      <c r="G97" s="239" t="n"/>
      <c r="H97" s="239" t="n"/>
      <c r="I97" s="239" t="n"/>
      <c r="J97" s="239" t="n"/>
      <c r="K97" s="239" t="n"/>
      <c r="L97" s="239" t="n"/>
      <c r="M97" s="239" t="n"/>
      <c r="N97" s="239" t="n"/>
      <c r="O97" s="239" t="n"/>
      <c r="P97" s="239" t="n"/>
      <c r="Q97" s="239" t="n"/>
      <c r="R97" s="239" t="n"/>
      <c r="S97" s="239" t="n"/>
      <c r="T97" s="239" t="n"/>
      <c r="U97" s="239" t="n"/>
      <c r="V97" s="239" t="n"/>
      <c r="W97" s="239" t="n"/>
      <c r="X97" s="238" t="n"/>
    </row>
    <row r="98">
      <c r="B98" s="239" t="n"/>
      <c r="C98" s="239" t="n"/>
      <c r="D98" s="239" t="n"/>
      <c r="E98" s="239" t="n"/>
      <c r="F98" s="239" t="n"/>
      <c r="G98" s="239" t="n"/>
      <c r="H98" s="239" t="n"/>
      <c r="I98" s="239" t="n"/>
      <c r="J98" s="239" t="n"/>
      <c r="K98" s="239" t="n"/>
      <c r="L98" s="239" t="n"/>
      <c r="M98" s="239" t="n"/>
      <c r="N98" s="239" t="n"/>
      <c r="O98" s="239" t="n"/>
      <c r="P98" s="239" t="n"/>
      <c r="Q98" s="239" t="n"/>
      <c r="R98" s="239" t="n"/>
      <c r="S98" s="239" t="n"/>
      <c r="T98" s="239" t="n"/>
      <c r="U98" s="239" t="n"/>
      <c r="V98" s="239" t="n"/>
      <c r="W98" s="239" t="n"/>
      <c r="X98" s="238" t="n"/>
    </row>
    <row r="99">
      <c r="B99" s="233" t="inlineStr">
        <is>
          <t>現金淨流入(出 )</t>
        </is>
      </c>
      <c r="C99" s="234" t="n">
        <v>0</v>
      </c>
      <c r="D99" s="234">
        <f>SUM(D87:D96)</f>
        <v/>
      </c>
      <c r="E99" s="234">
        <f>SUM(E87:E96)</f>
        <v/>
      </c>
      <c r="F99" s="234">
        <f>SUM(F87:F96)</f>
        <v/>
      </c>
      <c r="G99" s="234">
        <f>SUM(G87:G96)</f>
        <v/>
      </c>
      <c r="H99" s="234">
        <f>SUM(H87:H96)</f>
        <v/>
      </c>
      <c r="I99" s="234">
        <f>SUM(I87:I96)</f>
        <v/>
      </c>
      <c r="J99" s="234">
        <f>SUM(J87:J96)</f>
        <v/>
      </c>
      <c r="K99" s="234">
        <f>SUM(K87:K96)</f>
        <v/>
      </c>
      <c r="L99" s="234">
        <f>SUM(L87:L96)</f>
        <v/>
      </c>
      <c r="M99" s="234">
        <f>SUM(M87:M96)</f>
        <v/>
      </c>
      <c r="N99" s="234">
        <f>SUM(N87:N96)</f>
        <v/>
      </c>
      <c r="O99" s="234">
        <f>SUM(O87:O96)</f>
        <v/>
      </c>
      <c r="P99" s="234">
        <f>SUM(P87:P96)</f>
        <v/>
      </c>
      <c r="Q99" s="234">
        <f>SUM(Q87:Q96)</f>
        <v/>
      </c>
      <c r="R99" s="234">
        <f>SUM(R87:R96)</f>
        <v/>
      </c>
      <c r="S99" s="234">
        <f>SUM(S87:S96)</f>
        <v/>
      </c>
      <c r="T99" s="234">
        <f>SUM(T87:T96)</f>
        <v/>
      </c>
      <c r="U99" s="234">
        <f>SUM(U87:U96)</f>
        <v/>
      </c>
      <c r="V99" s="234">
        <f>SUM(V87:V96)</f>
        <v/>
      </c>
      <c r="W99" s="234">
        <f>SUM(W87:W96)</f>
        <v/>
      </c>
      <c r="X99" s="238" t="n"/>
    </row>
    <row r="100">
      <c r="B100" s="233" t="inlineStr">
        <is>
          <t>期初淨現金</t>
        </is>
      </c>
      <c r="C100" s="234" t="n">
        <v>0</v>
      </c>
      <c r="D100" s="234">
        <f>C101</f>
        <v/>
      </c>
      <c r="E100" s="234">
        <f>D101</f>
        <v/>
      </c>
      <c r="F100" s="234">
        <f>E101</f>
        <v/>
      </c>
      <c r="G100" s="234">
        <f>F101</f>
        <v/>
      </c>
      <c r="H100" s="234">
        <f>G101</f>
        <v/>
      </c>
      <c r="I100" s="234">
        <f>H101</f>
        <v/>
      </c>
      <c r="J100" s="234">
        <f>I101</f>
        <v/>
      </c>
      <c r="K100" s="234">
        <f>J101</f>
        <v/>
      </c>
      <c r="L100" s="234">
        <f>K101</f>
        <v/>
      </c>
      <c r="M100" s="234">
        <f>L101</f>
        <v/>
      </c>
      <c r="N100" s="234">
        <f>M101</f>
        <v/>
      </c>
      <c r="O100" s="234">
        <f>N101</f>
        <v/>
      </c>
      <c r="P100" s="234">
        <f>O101</f>
        <v/>
      </c>
      <c r="Q100" s="234">
        <f>P101</f>
        <v/>
      </c>
      <c r="R100" s="234">
        <f>Q101</f>
        <v/>
      </c>
      <c r="S100" s="234">
        <f>R101</f>
        <v/>
      </c>
      <c r="T100" s="234">
        <f>S101</f>
        <v/>
      </c>
      <c r="U100" s="234">
        <f>T101</f>
        <v/>
      </c>
      <c r="V100" s="234">
        <f>U101</f>
        <v/>
      </c>
      <c r="W100" s="234">
        <f>V101</f>
        <v/>
      </c>
      <c r="X100" s="240" t="n"/>
    </row>
    <row r="101">
      <c r="B101" s="233" t="inlineStr">
        <is>
          <t>期未淨現金</t>
        </is>
      </c>
      <c r="C101" s="234" t="n">
        <v>0</v>
      </c>
      <c r="D101" s="234">
        <f>D99+D100</f>
        <v/>
      </c>
      <c r="E101" s="234">
        <f>E99+E100</f>
        <v/>
      </c>
      <c r="F101" s="234">
        <f>F99+F100</f>
        <v/>
      </c>
      <c r="G101" s="234">
        <f>G99+G100</f>
        <v/>
      </c>
      <c r="H101" s="234">
        <f>H99+H100</f>
        <v/>
      </c>
      <c r="I101" s="234">
        <f>I99+I100</f>
        <v/>
      </c>
      <c r="J101" s="234">
        <f>J99+J100</f>
        <v/>
      </c>
      <c r="K101" s="234">
        <f>K99+K100</f>
        <v/>
      </c>
      <c r="L101" s="234">
        <f>L99+L100</f>
        <v/>
      </c>
      <c r="M101" s="234">
        <f>M99+M100</f>
        <v/>
      </c>
      <c r="N101" s="234">
        <f>N99+N100</f>
        <v/>
      </c>
      <c r="O101" s="234">
        <f>O99+O100</f>
        <v/>
      </c>
      <c r="P101" s="234">
        <f>P99+P100</f>
        <v/>
      </c>
      <c r="Q101" s="234">
        <f>Q99+Q100</f>
        <v/>
      </c>
      <c r="R101" s="234">
        <f>R99+R100</f>
        <v/>
      </c>
      <c r="S101" s="234">
        <f>S99+S100</f>
        <v/>
      </c>
      <c r="T101" s="234">
        <f>T99+T100</f>
        <v/>
      </c>
      <c r="U101" s="234">
        <f>U99+U100</f>
        <v/>
      </c>
      <c r="V101" s="234">
        <f>V99+V100</f>
        <v/>
      </c>
      <c r="W101" s="234">
        <f>W99+W100</f>
        <v/>
      </c>
      <c r="X101" s="240" t="n"/>
    </row>
    <row r="102"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</row>
    <row r="103">
      <c r="B103" s="233" t="n"/>
      <c r="C103" s="233" t="n"/>
      <c r="D103" s="233" t="n"/>
      <c r="E103" s="233" t="n"/>
      <c r="F103" s="239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</row>
    <row r="104">
      <c r="B104" s="251" t="inlineStr">
        <is>
          <t>成本法實際現金流</t>
        </is>
      </c>
      <c r="C104" s="252" t="n"/>
      <c r="D104" s="253">
        <f>-D94</f>
        <v/>
      </c>
      <c r="E104" s="237">
        <f>-E95-E96</f>
        <v/>
      </c>
      <c r="F104" s="237">
        <f>-F95-F96</f>
        <v/>
      </c>
      <c r="G104" s="237">
        <f>-G95-G96</f>
        <v/>
      </c>
      <c r="H104" s="237">
        <f>-H95-H96</f>
        <v/>
      </c>
      <c r="I104" s="237">
        <f>-I95-I96</f>
        <v/>
      </c>
      <c r="J104" s="237">
        <f>-J95-J96</f>
        <v/>
      </c>
      <c r="K104" s="237">
        <f>-K95-K96</f>
        <v/>
      </c>
      <c r="L104" s="237">
        <f>-L95-L96</f>
        <v/>
      </c>
      <c r="M104" s="237">
        <f>-M95-M96</f>
        <v/>
      </c>
      <c r="N104" s="237">
        <f>-N95-N96</f>
        <v/>
      </c>
      <c r="O104" s="237">
        <f>-O95-O96</f>
        <v/>
      </c>
      <c r="P104" s="237">
        <f>-P95-P96</f>
        <v/>
      </c>
      <c r="Q104" s="237">
        <f>-Q95-Q96</f>
        <v/>
      </c>
      <c r="R104" s="237">
        <f>-R95-R96</f>
        <v/>
      </c>
      <c r="S104" s="237">
        <f>-S95-S96</f>
        <v/>
      </c>
      <c r="T104" s="237">
        <f>-T95-T96</f>
        <v/>
      </c>
      <c r="U104" s="237">
        <f>-U95-U96</f>
        <v/>
      </c>
      <c r="V104" s="237">
        <f>-V95-V96</f>
        <v/>
      </c>
      <c r="W104" s="237">
        <f>-W95-W96</f>
        <v/>
      </c>
      <c r="X104" s="237">
        <f>-X95-X96</f>
        <v/>
      </c>
    </row>
    <row r="105">
      <c r="B105" s="233" t="inlineStr">
        <is>
          <t>成本法IRR</t>
        </is>
      </c>
      <c r="C105" s="254">
        <f>IRR(D104:X104)</f>
        <v/>
      </c>
      <c r="D105" s="239" t="n"/>
      <c r="E105" s="239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</row>
    <row r="106">
      <c r="B106" s="251" t="inlineStr">
        <is>
          <t>權益法實際現金流</t>
        </is>
      </c>
      <c r="C106" s="252" t="n"/>
      <c r="D106" s="253">
        <f>D85-D94</f>
        <v/>
      </c>
      <c r="E106" s="237">
        <f>E85</f>
        <v/>
      </c>
      <c r="F106" s="237">
        <f>F85-F96</f>
        <v/>
      </c>
      <c r="G106" s="237">
        <f>G85-G96</f>
        <v/>
      </c>
      <c r="H106" s="237">
        <f>H85-H96</f>
        <v/>
      </c>
      <c r="I106" s="237">
        <f>I85-I96</f>
        <v/>
      </c>
      <c r="J106" s="237">
        <f>J85-J96</f>
        <v/>
      </c>
      <c r="K106" s="237">
        <f>K85-K96</f>
        <v/>
      </c>
      <c r="L106" s="237">
        <f>L85-L96</f>
        <v/>
      </c>
      <c r="M106" s="237">
        <f>M85-M96</f>
        <v/>
      </c>
      <c r="N106" s="237">
        <f>N85-N96</f>
        <v/>
      </c>
      <c r="O106" s="237">
        <f>O85-O96</f>
        <v/>
      </c>
      <c r="P106" s="237">
        <f>P85-P96</f>
        <v/>
      </c>
      <c r="Q106" s="237">
        <f>Q85-Q96</f>
        <v/>
      </c>
      <c r="R106" s="237">
        <f>R85-R96</f>
        <v/>
      </c>
      <c r="S106" s="237">
        <f>S85-S96</f>
        <v/>
      </c>
      <c r="T106" s="237">
        <f>T85-T96</f>
        <v/>
      </c>
      <c r="U106" s="237">
        <f>U85-U96</f>
        <v/>
      </c>
      <c r="V106" s="237">
        <f>V85-V96</f>
        <v/>
      </c>
      <c r="W106" s="237">
        <f>W85-W96</f>
        <v/>
      </c>
      <c r="X106" s="244" t="n"/>
    </row>
    <row r="107">
      <c r="B107" s="251" t="inlineStr">
        <is>
          <t>權益法IRR</t>
        </is>
      </c>
      <c r="C107" s="255">
        <f>IRR(D106:W106)</f>
        <v/>
      </c>
      <c r="D107" s="239" t="n"/>
      <c r="E107" s="239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</row>
    <row r="108"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</row>
    <row r="109">
      <c r="B109" s="233" t="inlineStr">
        <is>
          <t>借款餘額</t>
        </is>
      </c>
      <c r="C109" s="234" t="n">
        <v>0</v>
      </c>
      <c r="D109" s="234">
        <f>D92</f>
        <v/>
      </c>
      <c r="E109" s="234">
        <f>D109+E93</f>
        <v/>
      </c>
      <c r="F109" s="234">
        <f>E109+F93</f>
        <v/>
      </c>
      <c r="G109" s="234">
        <f>F109+G93</f>
        <v/>
      </c>
      <c r="H109" s="234">
        <f>G109+H93</f>
        <v/>
      </c>
      <c r="I109" s="234">
        <f>H109+I93</f>
        <v/>
      </c>
      <c r="J109" s="234">
        <f>I109+J93</f>
        <v/>
      </c>
      <c r="K109" s="234">
        <f>J109+K93</f>
        <v/>
      </c>
      <c r="L109" s="234">
        <f>K109+L93</f>
        <v/>
      </c>
      <c r="M109" s="234">
        <f>L109+M93</f>
        <v/>
      </c>
      <c r="N109" s="234">
        <f>M109+N93</f>
        <v/>
      </c>
      <c r="O109" s="234">
        <f>N109+O93</f>
        <v/>
      </c>
      <c r="P109" s="234">
        <f>O109+P93</f>
        <v/>
      </c>
      <c r="Q109" s="234">
        <f>P109+Q93</f>
        <v/>
      </c>
      <c r="R109" s="234">
        <f>Q109+R93</f>
        <v/>
      </c>
      <c r="S109" s="234">
        <f>R109+S93</f>
        <v/>
      </c>
      <c r="T109" s="234">
        <f>S109+T93</f>
        <v/>
      </c>
      <c r="U109" s="234">
        <f>T109+U93</f>
        <v/>
      </c>
      <c r="V109" s="234">
        <f>U109+V93</f>
        <v/>
      </c>
      <c r="W109" s="234">
        <f>V109+W93</f>
        <v/>
      </c>
      <c r="X109" s="239" t="n"/>
    </row>
    <row r="110"/>
    <row r="111">
      <c r="B111" s="256" t="n"/>
    </row>
    <row r="112" ht="16.5" customHeight="1">
      <c r="G112" s="25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2026-03-10T15:43:52Z</dcterms:modified>
  <cp:lastModifiedBy>王竣生</cp:lastModifiedBy>
</cp:coreProperties>
</file>