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空白範例" sheetId="1" state="visible" r:id="rId1"/>
    <sheet name="滾算紀錄單(總紀錄)" sheetId="2" state="visible" r:id="rId2"/>
    <sheet name="p1" sheetId="3" state="visible" r:id="rId3"/>
    <sheet name="p2" sheetId="4" state="visible" r:id="rId4"/>
    <sheet name="p4" sheetId="5" state="visible" r:id="rId5"/>
    <sheet name="p5" sheetId="6" state="visible" r:id="rId6"/>
    <sheet name="p6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0.00_);[RED]\(0.00\)"/>
    <numFmt numFmtId="165" formatCode="#,##0_ "/>
    <numFmt numFmtId="166" formatCode="_-* #,##0_-;\-* #,##0_-;_-* \-??_-;_-@_-"/>
    <numFmt numFmtId="167" formatCode="0_);[RED]\(0\)"/>
    <numFmt numFmtId="168" formatCode="\$#,##0.00_);[RED]&quot;($&quot;#,##0.00\)"/>
    <numFmt numFmtId="169" formatCode="\$#,##0_);[RED]&quot;($&quot;#,##0\)"/>
    <numFmt numFmtId="170" formatCode="_-\$* #,##0_-;&quot;-$&quot;* #,##0_-;_-\$* \-??_-;_-@_-"/>
  </numFmts>
  <fonts count="42">
    <font>
      <name val="新細明體"/>
      <charset val="1"/>
      <family val="2"/>
      <color theme="1"/>
      <sz val="11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Arial"/>
      <charset val="136"/>
      <family val="0"/>
      <sz val="10"/>
    </font>
    <font>
      <name val="新細明體"/>
      <charset val="1"/>
      <family val="2"/>
      <b val="1"/>
      <color theme="0"/>
      <sz val="12"/>
    </font>
    <font>
      <name val="Calibri"/>
      <charset val="1"/>
      <family val="2"/>
      <b val="1"/>
      <color theme="0"/>
      <sz val="12"/>
    </font>
    <font>
      <name val="新細明體"/>
      <charset val="1"/>
      <family val="2"/>
      <b val="1"/>
      <sz val="12"/>
    </font>
    <font>
      <name val="新細明體"/>
      <charset val="1"/>
      <family val="2"/>
      <color theme="0" tint="-0.15"/>
      <sz val="11"/>
    </font>
    <font>
      <name val="新細明體"/>
      <charset val="1"/>
      <family val="2"/>
      <color theme="1"/>
      <sz val="12"/>
    </font>
    <font>
      <name val="Microsoft JhengHei"/>
      <charset val="1"/>
      <family val="2"/>
      <color theme="1"/>
      <sz val="12"/>
    </font>
    <font>
      <name val="Calibri"/>
      <charset val="1"/>
      <family val="2"/>
      <color theme="1"/>
      <sz val="12"/>
    </font>
    <font>
      <name val="新細明體"/>
      <charset val="1"/>
      <family val="2"/>
      <color rgb="FF404040"/>
      <sz val="10"/>
    </font>
    <font>
      <name val="Calibri"/>
      <charset val="1"/>
      <family val="2"/>
      <color rgb="FF404040"/>
      <sz val="10"/>
    </font>
    <font>
      <name val="Calibri"/>
      <charset val="136"/>
      <family val="2"/>
      <b val="1"/>
      <color theme="0"/>
      <sz val="12"/>
    </font>
    <font>
      <name val="Calibri"/>
      <charset val="136"/>
      <family val="2"/>
      <color theme="1"/>
      <sz val="12"/>
    </font>
    <font>
      <name val="Calibri"/>
      <charset val="1"/>
      <family val="2"/>
      <color theme="1"/>
      <sz val="11"/>
    </font>
    <font>
      <name val="微軟正黑體"/>
      <charset val="136"/>
      <family val="2"/>
      <color rgb="FF404040"/>
      <sz val="10"/>
    </font>
    <font>
      <name val="Noto Sans CJK SC"/>
      <charset val="1"/>
      <family val="2"/>
      <color rgb="FF404040"/>
      <sz val="10"/>
    </font>
    <font>
      <name val="Noto Sans CJK SC"/>
      <charset val="1"/>
      <family val="2"/>
      <color theme="1"/>
      <sz val="12"/>
    </font>
    <font>
      <name val="Noto Sans CJK SC"/>
      <charset val="136"/>
      <family val="2"/>
      <color rgb="FF404040"/>
      <sz val="10"/>
    </font>
    <font>
      <name val="Noto Sans CJK SC"/>
      <charset val="1"/>
      <family val="2"/>
      <color theme="1"/>
      <sz val="11"/>
    </font>
    <font>
      <name val="微軟正黑體"/>
      <charset val="136"/>
      <family val="2"/>
      <color theme="1"/>
      <sz val="12"/>
    </font>
    <font>
      <name val="新細明體"/>
      <charset val="1"/>
      <family val="2"/>
      <color rgb="FFFFFFFF"/>
      <sz val="12"/>
    </font>
    <font>
      <name val="Arial"/>
      <charset val="1"/>
      <family val="2"/>
      <b val="1"/>
      <color theme="1"/>
      <sz val="14"/>
    </font>
    <font>
      <name val="微軟正黑體"/>
      <charset val="1"/>
      <family val="2"/>
      <b val="1"/>
      <color theme="1"/>
      <sz val="14"/>
    </font>
    <font>
      <name val="微軟正黑體"/>
      <charset val="1"/>
      <family val="2"/>
      <color theme="1"/>
      <sz val="12"/>
    </font>
    <font>
      <name val="Arial"/>
      <charset val="1"/>
      <family val="2"/>
      <color theme="1"/>
      <sz val="12"/>
    </font>
    <font>
      <name val="Arial"/>
      <charset val="1"/>
      <family val="2"/>
      <sz val="12"/>
    </font>
    <font>
      <name val="新細明體"/>
      <charset val="1"/>
      <family val="2"/>
      <color rgb="FF000000"/>
      <sz val="12"/>
    </font>
    <font>
      <name val="Arial"/>
      <charset val="1"/>
      <family val="2"/>
      <color rgb="FF000000"/>
      <sz val="12"/>
    </font>
    <font>
      <name val="細明體"/>
      <charset val="1"/>
      <family val="2"/>
      <color rgb="FF000000"/>
      <sz val="12"/>
    </font>
    <font>
      <name val="細明體"/>
      <charset val="136"/>
      <family val="3"/>
      <b val="1"/>
      <color rgb="FF000000"/>
      <sz val="12"/>
    </font>
    <font>
      <name val="Arial"/>
      <charset val="1"/>
      <family val="2"/>
      <b val="1"/>
      <color theme="1"/>
      <sz val="12"/>
    </font>
    <font>
      <name val="Arial"/>
      <charset val="1"/>
      <family val="2"/>
      <color rgb="FF000080"/>
      <sz val="12"/>
    </font>
    <font>
      <name val="新細明體"/>
      <charset val="1"/>
      <family val="2"/>
      <color rgb="FF000080"/>
      <sz val="12"/>
    </font>
    <font>
      <name val="細明體"/>
      <charset val="1"/>
      <family val="2"/>
      <b val="1"/>
      <color rgb="FF000000"/>
      <sz val="12"/>
    </font>
    <font>
      <name val="細明體"/>
      <charset val="1"/>
      <family val="2"/>
      <b val="1"/>
      <color theme="1"/>
      <sz val="12"/>
    </font>
    <font>
      <name val="新細明體"/>
      <charset val="1"/>
      <family val="2"/>
      <b val="1"/>
      <color theme="1"/>
      <sz val="12"/>
    </font>
    <font>
      <name val="新細明體"/>
      <charset val="136"/>
      <family val="1"/>
      <b val="1"/>
      <color theme="1"/>
      <sz val="12"/>
    </font>
    <font>
      <name val="Arial"/>
      <charset val="1"/>
      <family val="2"/>
      <b val="1"/>
      <color rgb="FFFF0000"/>
      <sz val="12"/>
    </font>
    <font>
      <name val="新細明體"/>
      <charset val="136"/>
      <family val="1"/>
      <b val="1"/>
      <color theme="1"/>
      <sz val="11"/>
    </font>
    <font>
      <name val="微軟正黑體"/>
      <charset val="1"/>
      <family val="2"/>
      <color rgb="FF000000"/>
      <sz val="12"/>
    </font>
  </fonts>
  <fills count="15">
    <fill>
      <patternFill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7" tint="0.7998"/>
        <bgColor rgb="FFDCE6F2"/>
      </patternFill>
    </fill>
    <fill>
      <patternFill patternType="solid">
        <fgColor theme="4" tint="0.7998"/>
        <bgColor rgb="FFE6E0EC"/>
      </patternFill>
    </fill>
    <fill>
      <patternFill patternType="solid">
        <fgColor theme="5" tint="0.3998"/>
        <bgColor rgb="FFFF99CC"/>
      </patternFill>
    </fill>
    <fill>
      <patternFill patternType="solid">
        <fgColor rgb="FF376092"/>
        <bgColor rgb="FF2F75B5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E6E0EC"/>
      </patternFill>
    </fill>
    <fill>
      <patternFill patternType="solid">
        <fgColor rgb="FF9BC2E6"/>
        <bgColor rgb="FFC6C6C6"/>
      </patternFill>
    </fill>
  </fills>
  <borders count="37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thin"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/>
      <right/>
      <top style="medium"/>
      <bottom/>
      <diagonal/>
    </border>
    <border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>
      <left/>
      <right style="medium"/>
      <top style="medium"/>
      <bottom/>
      <diagonal/>
    </border>
    <border>
      <left style="medium"/>
      <right style="thin"/>
      <top/>
      <bottom/>
      <diagonal/>
    </border>
    <border>
      <left/>
      <right style="medium"/>
      <top/>
      <bottom/>
      <diagonal/>
    </border>
    <border>
      <left style="medium"/>
      <right style="thin"/>
      <top/>
      <bottom style="medium"/>
      <diagonal/>
    </border>
    <border>
      <left style="thin">
        <color rgb="FFC6C6C6"/>
      </left>
      <right style="medium"/>
      <top style="thin">
        <color rgb="FFC6C6C6"/>
      </top>
      <bottom style="medium"/>
      <diagonal/>
    </border>
    <border>
      <left style="medium"/>
      <right style="thin"/>
      <top style="medium"/>
      <bottom style="thin">
        <color rgb="FFC6C6C6"/>
      </bottom>
      <diagonal/>
    </border>
    <border>
      <left style="medium"/>
      <right style="thin"/>
      <top style="thin">
        <color rgb="FFC6C6C6"/>
      </top>
      <bottom style="thin">
        <color rgb="FFC6C6C6"/>
      </bottom>
      <diagonal/>
    </border>
    <border>
      <left style="medium"/>
      <right style="thin"/>
      <top style="thin">
        <color rgb="FFC6C6C6"/>
      </top>
      <bottom style="medium"/>
      <diagonal/>
    </border>
    <border>
      <left style="thin"/>
      <right style="thin"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/>
      <top style="medium"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>
        <color rgb="FFC6C6C6"/>
      </left>
      <right style="thin">
        <color rgb="FFC6C6C6"/>
      </right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3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7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0" fontId="8" fillId="4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5" fontId="10" fillId="3" borderId="3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9" fontId="10" fillId="3" borderId="2" applyAlignment="1" pivotButton="0" quotePrefix="0" xfId="0">
      <alignment horizontal="center" vertical="center"/>
    </xf>
    <xf numFmtId="10" fontId="10" fillId="3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10" fillId="3" borderId="3" applyAlignment="1" pivotButton="0" quotePrefix="0" xfId="0">
      <alignment horizontal="center" vertical="center"/>
    </xf>
    <xf numFmtId="166" fontId="10" fillId="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center"/>
    </xf>
    <xf numFmtId="0" fontId="8" fillId="3" borderId="3" applyAlignment="1" pivotButton="0" quotePrefix="0" xfId="0">
      <alignment horizontal="general" vertical="center"/>
    </xf>
    <xf numFmtId="0" fontId="16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general" vertical="center"/>
    </xf>
    <xf numFmtId="0" fontId="10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0" fillId="0" borderId="15" applyAlignment="1" pivotButton="0" quotePrefix="0" xfId="0">
      <alignment horizontal="general" vertical="bottom"/>
    </xf>
    <xf numFmtId="0" fontId="8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165" fontId="10" fillId="3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9" fontId="10" fillId="3" borderId="2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10" fontId="10" fillId="3" borderId="2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/>
    </xf>
    <xf numFmtId="0" fontId="10" fillId="3" borderId="11" applyAlignment="1" pivotButton="0" quotePrefix="0" xfId="0">
      <alignment horizontal="left" vertical="center"/>
    </xf>
    <xf numFmtId="166" fontId="10" fillId="3" borderId="3" applyAlignment="1" pivotButton="0" quotePrefix="0" xfId="0">
      <alignment horizontal="right" vertical="center"/>
    </xf>
    <xf numFmtId="0" fontId="10" fillId="3" borderId="2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66" fontId="21" fillId="3" borderId="2" applyAlignment="1" pivotButton="0" quotePrefix="0" xfId="0">
      <alignment horizontal="general" vertical="center"/>
    </xf>
    <xf numFmtId="10" fontId="10" fillId="3" borderId="2" applyAlignment="1" pivotButton="0" quotePrefix="0" xfId="0">
      <alignment horizontal="general" vertical="center"/>
    </xf>
    <xf numFmtId="0" fontId="8" fillId="0" borderId="8" applyAlignment="1" pivotButton="0" quotePrefix="0" xfId="0">
      <alignment horizontal="general" vertical="center"/>
    </xf>
    <xf numFmtId="0" fontId="8" fillId="0" borderId="12" applyAlignment="1" pivotButton="0" quotePrefix="0" xfId="0">
      <alignment horizontal="general" vertical="center"/>
    </xf>
    <xf numFmtId="0" fontId="10" fillId="3" borderId="3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bottom"/>
    </xf>
    <xf numFmtId="0" fontId="22" fillId="6" borderId="16" applyAlignment="1" pivotButton="0" quotePrefix="0" xfId="0">
      <alignment horizontal="center" vertical="bottom"/>
    </xf>
    <xf numFmtId="164" fontId="23" fillId="0" borderId="17" applyAlignment="1" pivotButton="0" quotePrefix="0" xfId="0">
      <alignment horizontal="right" vertical="bottom"/>
    </xf>
    <xf numFmtId="164" fontId="24" fillId="0" borderId="18" applyAlignment="1" pivotButton="0" quotePrefix="0" xfId="0">
      <alignment horizontal="left" vertical="bottom"/>
    </xf>
    <xf numFmtId="164" fontId="24" fillId="0" borderId="19" applyAlignment="1" pivotButton="0" quotePrefix="0" xfId="0">
      <alignment horizontal="left" vertical="bottom"/>
    </xf>
    <xf numFmtId="164" fontId="25" fillId="0" borderId="20" applyAlignment="1" pivotButton="0" quotePrefix="0" xfId="0">
      <alignment horizontal="left" vertical="bottom"/>
    </xf>
    <xf numFmtId="164" fontId="8" fillId="0" borderId="19" applyAlignment="1" pivotButton="0" quotePrefix="0" xfId="0">
      <alignment horizontal="left" vertical="bottom"/>
    </xf>
    <xf numFmtId="164" fontId="8" fillId="0" borderId="20" applyAlignment="1" pivotButton="0" quotePrefix="0" xfId="0">
      <alignment horizontal="center" vertical="bottom"/>
    </xf>
    <xf numFmtId="164" fontId="8" fillId="0" borderId="21" applyAlignment="1" pivotButton="0" quotePrefix="0" xfId="0">
      <alignment horizontal="left" vertical="bottom"/>
    </xf>
    <xf numFmtId="0" fontId="26" fillId="0" borderId="22" applyAlignment="1" pivotButton="0" quotePrefix="0" xfId="0">
      <alignment horizontal="right" vertical="bottom"/>
    </xf>
    <xf numFmtId="0" fontId="26" fillId="0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8" fillId="0" borderId="23" applyAlignment="1" pivotButton="0" quotePrefix="0" xfId="0">
      <alignment horizontal="center" vertical="bottom"/>
    </xf>
    <xf numFmtId="164" fontId="28" fillId="0" borderId="24" applyAlignment="1" pivotButton="0" quotePrefix="0" xfId="0">
      <alignment horizontal="right" vertical="bottom"/>
    </xf>
    <xf numFmtId="164" fontId="26" fillId="0" borderId="6" applyAlignment="1" pivotButton="0" quotePrefix="0" xfId="0">
      <alignment horizontal="center" vertical="bottom"/>
    </xf>
    <xf numFmtId="167" fontId="26" fillId="0" borderId="0" applyAlignment="1" pivotButton="0" quotePrefix="0" xfId="0">
      <alignment horizontal="center" vertical="bottom"/>
    </xf>
    <xf numFmtId="164" fontId="8" fillId="7" borderId="25" applyAlignment="1" pivotButton="0" quotePrefix="0" xfId="0">
      <alignment horizontal="center" vertical="bottom"/>
    </xf>
    <xf numFmtId="168" fontId="29" fillId="8" borderId="26" applyAlignment="1" pivotButton="0" quotePrefix="0" xfId="0">
      <alignment horizontal="left" vertical="bottom"/>
    </xf>
    <xf numFmtId="168" fontId="26" fillId="0" borderId="18" applyAlignment="1" pivotButton="0" quotePrefix="0" xfId="0">
      <alignment horizontal="center" vertical="bottom"/>
    </xf>
    <xf numFmtId="169" fontId="26" fillId="0" borderId="19" applyAlignment="1" pivotButton="0" quotePrefix="0" xfId="0">
      <alignment horizontal="center" vertical="bottom"/>
    </xf>
    <xf numFmtId="168" fontId="8" fillId="0" borderId="21" applyAlignment="1" pivotButton="0" quotePrefix="0" xfId="0">
      <alignment horizontal="center" vertical="bottom"/>
    </xf>
    <xf numFmtId="168" fontId="29" fillId="8" borderId="27" applyAlignment="1" pivotButton="0" quotePrefix="0" xfId="0">
      <alignment horizontal="left" vertical="bottom"/>
    </xf>
    <xf numFmtId="168" fontId="26" fillId="0" borderId="6" applyAlignment="1" pivotButton="0" quotePrefix="0" xfId="0">
      <alignment horizontal="center" vertical="bottom"/>
    </xf>
    <xf numFmtId="168" fontId="8" fillId="0" borderId="0" applyAlignment="1" pivotButton="0" quotePrefix="0" xfId="0">
      <alignment horizontal="center" vertical="bottom"/>
    </xf>
    <xf numFmtId="168" fontId="26" fillId="0" borderId="0" applyAlignment="1" pivotButton="0" quotePrefix="0" xfId="0">
      <alignment horizontal="center" vertical="bottom"/>
    </xf>
    <xf numFmtId="168" fontId="8" fillId="0" borderId="23" applyAlignment="1" pivotButton="0" quotePrefix="0" xfId="0">
      <alignment horizontal="center" vertical="bottom"/>
    </xf>
    <xf numFmtId="168" fontId="29" fillId="8" borderId="28" applyAlignment="1" pivotButton="0" quotePrefix="0" xfId="0">
      <alignment horizontal="left" vertical="bottom"/>
    </xf>
    <xf numFmtId="168" fontId="8" fillId="0" borderId="29" applyAlignment="1" pivotButton="0" quotePrefix="0" xfId="0">
      <alignment horizontal="center" vertical="bottom"/>
    </xf>
    <xf numFmtId="168" fontId="8" fillId="0" borderId="30" applyAlignment="1" pivotButton="0" quotePrefix="0" xfId="0">
      <alignment horizontal="center" vertical="bottom"/>
    </xf>
    <xf numFmtId="168" fontId="8" fillId="0" borderId="31" applyAlignment="1" pivotButton="0" quotePrefix="0" xfId="0">
      <alignment horizontal="center" vertical="bottom"/>
    </xf>
    <xf numFmtId="168" fontId="29" fillId="9" borderId="27" applyAlignment="1" pivotButton="0" quotePrefix="0" xfId="0">
      <alignment horizontal="left" vertical="bottom"/>
    </xf>
    <xf numFmtId="169" fontId="26" fillId="0" borderId="6" applyAlignment="1" pivotButton="0" quotePrefix="0" xfId="0">
      <alignment horizontal="center" vertical="bottom"/>
    </xf>
    <xf numFmtId="169" fontId="8" fillId="0" borderId="0" applyAlignment="1" pivotButton="0" quotePrefix="0" xfId="0">
      <alignment horizontal="center" vertical="bottom"/>
    </xf>
    <xf numFmtId="168" fontId="8" fillId="0" borderId="6" applyAlignment="1" pivotButton="0" quotePrefix="0" xfId="0">
      <alignment horizontal="left" vertical="bottom"/>
    </xf>
    <xf numFmtId="168" fontId="30" fillId="9" borderId="27" applyAlignment="1" pivotButton="0" quotePrefix="0" xfId="0">
      <alignment horizontal="left" vertical="bottom"/>
    </xf>
    <xf numFmtId="168" fontId="31" fillId="0" borderId="17" applyAlignment="1" pivotButton="0" quotePrefix="0" xfId="0">
      <alignment horizontal="right" vertical="bottom"/>
    </xf>
    <xf numFmtId="169" fontId="32" fillId="0" borderId="29" applyAlignment="1" pivotButton="0" quotePrefix="0" xfId="0">
      <alignment horizontal="center" vertical="bottom"/>
    </xf>
    <xf numFmtId="169" fontId="33" fillId="0" borderId="32" applyAlignment="1" pivotButton="0" quotePrefix="0" xfId="0">
      <alignment horizontal="center" vertical="bottom"/>
    </xf>
    <xf numFmtId="168" fontId="34" fillId="0" borderId="32" applyAlignment="1" pivotButton="0" quotePrefix="0" xfId="0">
      <alignment horizontal="center" vertical="bottom"/>
    </xf>
    <xf numFmtId="168" fontId="28" fillId="0" borderId="0" applyAlignment="1" pivotButton="0" quotePrefix="0" xfId="0">
      <alignment horizontal="left" vertical="bottom"/>
    </xf>
    <xf numFmtId="168" fontId="28" fillId="0" borderId="0" applyAlignment="1" pivotButton="0" quotePrefix="0" xfId="0">
      <alignment horizontal="right" vertical="bottom"/>
    </xf>
    <xf numFmtId="168" fontId="35" fillId="0" borderId="24" applyAlignment="1" pivotButton="0" quotePrefix="0" xfId="0">
      <alignment horizontal="right" vertical="bottom"/>
    </xf>
    <xf numFmtId="169" fontId="32" fillId="0" borderId="30" applyAlignment="1" pivotButton="0" quotePrefix="0" xfId="0">
      <alignment horizontal="center" vertical="bottom"/>
    </xf>
    <xf numFmtId="168" fontId="36" fillId="0" borderId="24" applyAlignment="1" pivotButton="0" quotePrefix="0" xfId="0">
      <alignment horizontal="right" vertical="bottom"/>
    </xf>
    <xf numFmtId="168" fontId="37" fillId="0" borderId="29" applyAlignment="1" pivotButton="0" quotePrefix="0" xfId="0">
      <alignment horizontal="center" vertical="bottom"/>
    </xf>
    <xf numFmtId="169" fontId="32" fillId="0" borderId="13" applyAlignment="1" pivotButton="0" quotePrefix="0" xfId="0">
      <alignment horizontal="center" vertical="bottom"/>
    </xf>
    <xf numFmtId="168" fontId="32" fillId="0" borderId="13" applyAlignment="1" pivotButton="0" quotePrefix="0" xfId="0">
      <alignment horizontal="center" vertical="bottom"/>
    </xf>
    <xf numFmtId="164" fontId="38" fillId="0" borderId="0" applyAlignment="1" pivotButton="0" quotePrefix="0" xfId="0">
      <alignment horizontal="right" vertical="bottom"/>
    </xf>
    <xf numFmtId="10" fontId="8" fillId="0" borderId="0" applyAlignment="1" pivotButton="0" quotePrefix="0" xfId="0">
      <alignment horizontal="right" vertical="bottom"/>
    </xf>
    <xf numFmtId="164" fontId="8" fillId="0" borderId="0" applyAlignment="1" pivotButton="0" quotePrefix="0" xfId="0">
      <alignment horizontal="right" vertical="bottom"/>
    </xf>
    <xf numFmtId="164" fontId="8" fillId="0" borderId="0" applyAlignment="1" pivotButton="0" quotePrefix="0" xfId="0">
      <alignment horizontal="left" vertical="bottom"/>
    </xf>
    <xf numFmtId="164" fontId="28" fillId="0" borderId="0" applyAlignment="1" pivotButton="0" quotePrefix="0" xfId="0">
      <alignment horizontal="left" vertical="bottom"/>
    </xf>
    <xf numFmtId="0" fontId="28" fillId="0" borderId="0" applyAlignment="1" pivotButton="0" quotePrefix="0" xfId="0">
      <alignment horizontal="left" vertical="bottom"/>
    </xf>
    <xf numFmtId="164" fontId="8" fillId="10" borderId="20" applyAlignment="1" pivotButton="0" quotePrefix="0" xfId="0">
      <alignment horizontal="center" vertical="bottom"/>
    </xf>
    <xf numFmtId="0" fontId="39" fillId="0" borderId="0" applyAlignment="1" pivotButton="0" quotePrefix="0" xfId="0">
      <alignment horizontal="center" vertical="bottom"/>
    </xf>
    <xf numFmtId="169" fontId="26" fillId="11" borderId="16" applyAlignment="1" pivotButton="0" quotePrefix="0" xfId="0">
      <alignment horizontal="center" vertical="bottom"/>
    </xf>
    <xf numFmtId="168" fontId="8" fillId="0" borderId="10" applyAlignment="1" pivotButton="0" quotePrefix="0" xfId="0">
      <alignment horizontal="left" vertical="bottom"/>
    </xf>
    <xf numFmtId="168" fontId="8" fillId="0" borderId="0" applyAlignment="1" pivotButton="0" quotePrefix="0" xfId="0">
      <alignment horizontal="left" vertical="bottom"/>
    </xf>
    <xf numFmtId="168" fontId="34" fillId="0" borderId="19" applyAlignment="1" pivotButton="0" quotePrefix="0" xfId="0">
      <alignment horizontal="center" vertical="bottom"/>
    </xf>
    <xf numFmtId="168" fontId="40" fillId="0" borderId="0" applyAlignment="1" pivotButton="0" quotePrefix="0" xfId="0">
      <alignment horizontal="right" vertical="bottom"/>
    </xf>
    <xf numFmtId="168" fontId="37" fillId="0" borderId="30" applyAlignment="1" pivotButton="0" quotePrefix="0" xfId="0">
      <alignment horizontal="center" vertical="bottom"/>
    </xf>
    <xf numFmtId="168" fontId="37" fillId="0" borderId="31" applyAlignment="1" pivotButton="0" quotePrefix="0" xfId="0">
      <alignment horizontal="center" vertical="bottom"/>
    </xf>
    <xf numFmtId="164" fontId="36" fillId="0" borderId="24" applyAlignment="1" pivotButton="0" quotePrefix="0" xfId="0">
      <alignment horizontal="right" vertical="bottom"/>
    </xf>
    <xf numFmtId="164" fontId="37" fillId="0" borderId="29" applyAlignment="1" pivotButton="0" quotePrefix="0" xfId="0">
      <alignment horizontal="center" vertical="bottom"/>
    </xf>
    <xf numFmtId="164" fontId="37" fillId="0" borderId="13" applyAlignment="1" pivotButton="0" quotePrefix="0" xfId="0">
      <alignment horizontal="center" vertical="bottom"/>
    </xf>
    <xf numFmtId="164" fontId="37" fillId="0" borderId="14" applyAlignment="1" pivotButton="0" quotePrefix="0" xfId="0">
      <alignment horizontal="center" vertical="bottom"/>
    </xf>
    <xf numFmtId="0" fontId="22" fillId="12" borderId="16" applyAlignment="1" pivotButton="0" quotePrefix="0" xfId="0">
      <alignment horizontal="left" vertical="bottom"/>
    </xf>
    <xf numFmtId="0" fontId="22" fillId="12" borderId="16" applyAlignment="1" pivotButton="0" quotePrefix="0" xfId="0">
      <alignment horizontal="center" vertical="bottom"/>
    </xf>
    <xf numFmtId="0" fontId="41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168" fontId="41" fillId="0" borderId="0" applyAlignment="1" pivotButton="0" quotePrefix="0" xfId="0">
      <alignment horizontal="left" vertical="bottom"/>
    </xf>
    <xf numFmtId="169" fontId="41" fillId="0" borderId="0" applyAlignment="1" pivotButton="0" quotePrefix="0" xfId="0">
      <alignment horizontal="center" vertical="bottom"/>
    </xf>
    <xf numFmtId="169" fontId="41" fillId="13" borderId="16" applyAlignment="1" pivotButton="0" quotePrefix="0" xfId="0">
      <alignment horizontal="center" vertical="bottom"/>
    </xf>
    <xf numFmtId="169" fontId="41" fillId="0" borderId="16" applyAlignment="1" pivotButton="0" quotePrefix="0" xfId="0">
      <alignment horizontal="center" vertical="bottom"/>
    </xf>
    <xf numFmtId="169" fontId="41" fillId="0" borderId="33" applyAlignment="1" pivotButton="0" quotePrefix="0" xfId="0">
      <alignment horizontal="center" vertical="bottom"/>
    </xf>
    <xf numFmtId="168" fontId="41" fillId="0" borderId="0" applyAlignment="1" pivotButton="0" quotePrefix="0" xfId="0">
      <alignment horizontal="right" vertical="bottom"/>
    </xf>
    <xf numFmtId="168" fontId="41" fillId="0" borderId="34" applyAlignment="1" pivotButton="0" quotePrefix="0" xfId="0">
      <alignment horizontal="left" vertical="bottom"/>
    </xf>
    <xf numFmtId="168" fontId="41" fillId="0" borderId="34" applyAlignment="1" pivotButton="0" quotePrefix="0" xfId="0">
      <alignment horizontal="right" vertical="bottom"/>
    </xf>
    <xf numFmtId="169" fontId="41" fillId="0" borderId="34" applyAlignment="1" pivotButton="0" quotePrefix="0" xfId="0">
      <alignment horizontal="center" vertical="bottom"/>
    </xf>
    <xf numFmtId="168" fontId="28" fillId="0" borderId="0" applyAlignment="1" pivotButton="0" quotePrefix="0" xfId="0">
      <alignment horizontal="center" vertical="bottom"/>
    </xf>
    <xf numFmtId="169" fontId="41" fillId="0" borderId="0" applyAlignment="1" pivotButton="0" quotePrefix="0" xfId="0">
      <alignment horizontal="left" vertical="bottom"/>
    </xf>
    <xf numFmtId="167" fontId="41" fillId="14" borderId="16" applyAlignment="1" pivotButton="0" quotePrefix="0" xfId="0">
      <alignment horizontal="center" vertical="bottom"/>
    </xf>
    <xf numFmtId="168" fontId="41" fillId="0" borderId="35" applyAlignment="1" pivotButton="0" quotePrefix="0" xfId="0">
      <alignment horizontal="left" vertical="bottom"/>
    </xf>
    <xf numFmtId="168" fontId="41" fillId="0" borderId="35" applyAlignment="1" pivotButton="0" quotePrefix="0" xfId="0">
      <alignment horizontal="right" vertical="bottom"/>
    </xf>
    <xf numFmtId="170" fontId="41" fillId="0" borderId="35" applyAlignment="1" pivotButton="0" quotePrefix="0" xfId="0">
      <alignment horizontal="right" vertical="bottom"/>
    </xf>
    <xf numFmtId="170" fontId="29" fillId="0" borderId="0" applyAlignment="1" pivotButton="0" quotePrefix="0" xfId="0">
      <alignment horizontal="center" vertical="bottom"/>
    </xf>
    <xf numFmtId="168" fontId="41" fillId="0" borderId="33" applyAlignment="1" pivotButton="0" quotePrefix="0" xfId="0">
      <alignment horizontal="left" vertical="bottom"/>
    </xf>
    <xf numFmtId="168" fontId="41" fillId="0" borderId="33" applyAlignment="1" pivotButton="0" quotePrefix="0" xfId="0">
      <alignment horizontal="right" vertical="bottom"/>
    </xf>
    <xf numFmtId="169" fontId="41" fillId="7" borderId="36" applyAlignment="1" pivotButton="0" quotePrefix="0" xfId="0">
      <alignment horizontal="center" vertical="bottom"/>
    </xf>
    <xf numFmtId="10" fontId="41" fillId="11" borderId="16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6" fillId="0" borderId="2" applyAlignment="1" pivotButton="0" quotePrefix="0" xfId="0">
      <alignment horizontal="left" vertical="center"/>
    </xf>
    <xf numFmtId="164" fontId="7" fillId="0" borderId="0" applyAlignment="1" pivotButton="0" quotePrefix="0" xfId="0">
      <alignment horizontal="general" vertical="bottom"/>
    </xf>
    <xf numFmtId="0" fontId="8" fillId="0" borderId="3" applyAlignment="1" pivotButton="0" quotePrefix="0" xfId="0">
      <alignment horizontal="center" vertical="center"/>
    </xf>
    <xf numFmtId="0" fontId="9" fillId="3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3" fontId="0" fillId="0" borderId="0" applyAlignment="1" pivotButton="0" quotePrefix="0" xfId="0">
      <alignment horizontal="general" vertical="bottom"/>
    </xf>
    <xf numFmtId="0" fontId="8" fillId="4" borderId="6" applyAlignment="1" pivotButton="0" quotePrefix="0" xfId="0">
      <alignment horizontal="center" vertical="center"/>
    </xf>
    <xf numFmtId="0" fontId="0" fillId="0" borderId="15" pivotButton="0" quotePrefix="0" xfId="0"/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5" fontId="10" fillId="3" borderId="3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0" fillId="0" borderId="6" pivotButton="0" quotePrefix="0" xfId="0"/>
    <xf numFmtId="9" fontId="10" fillId="3" borderId="2" applyAlignment="1" pivotButton="0" quotePrefix="0" xfId="0">
      <alignment horizontal="center" vertical="center"/>
    </xf>
    <xf numFmtId="0" fontId="0" fillId="0" borderId="10" pivotButton="0" quotePrefix="0" xfId="0"/>
    <xf numFmtId="10" fontId="10" fillId="3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6" fontId="10" fillId="3" borderId="3" applyAlignment="1" pivotButton="0" quotePrefix="0" xfId="0">
      <alignment horizontal="center" vertical="center"/>
    </xf>
    <xf numFmtId="0" fontId="0" fillId="0" borderId="3" pivotButton="0" quotePrefix="0" xfId="0"/>
    <xf numFmtId="166" fontId="10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10" fontId="0" fillId="0" borderId="0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center"/>
    </xf>
    <xf numFmtId="0" fontId="8" fillId="3" borderId="3" applyAlignment="1" pivotButton="0" quotePrefix="0" xfId="0">
      <alignment horizontal="general" vertical="center"/>
    </xf>
    <xf numFmtId="0" fontId="16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general" vertical="center"/>
    </xf>
    <xf numFmtId="0" fontId="10" fillId="3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18" fillId="0" borderId="5" applyAlignment="1" pivotButton="0" quotePrefix="0" xfId="0">
      <alignment horizontal="left" vertical="center"/>
    </xf>
    <xf numFmtId="0" fontId="0" fillId="0" borderId="15" applyAlignment="1" pivotButton="0" quotePrefix="0" xfId="0">
      <alignment horizontal="general" vertical="bottom"/>
    </xf>
    <xf numFmtId="0" fontId="8" fillId="0" borderId="7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9" applyAlignment="1" pivotButton="0" quotePrefix="0" xfId="0">
      <alignment horizontal="left" vertical="center"/>
    </xf>
    <xf numFmtId="0" fontId="8" fillId="0" borderId="6" applyAlignment="1" pivotButton="0" quotePrefix="0" xfId="0">
      <alignment horizontal="left" vertical="center"/>
    </xf>
    <xf numFmtId="0" fontId="8" fillId="0" borderId="3" applyAlignment="1" pivotButton="0" quotePrefix="0" xfId="0">
      <alignment horizontal="left" vertical="center"/>
    </xf>
    <xf numFmtId="165" fontId="10" fillId="3" borderId="3" applyAlignment="1" pivotButton="0" quotePrefix="0" xfId="0">
      <alignment horizontal="left" vertical="center"/>
    </xf>
    <xf numFmtId="0" fontId="0" fillId="0" borderId="6" applyAlignment="1" pivotButton="0" quotePrefix="0" xfId="0">
      <alignment horizontal="general" vertical="bottom"/>
    </xf>
    <xf numFmtId="9" fontId="10" fillId="3" borderId="2" applyAlignment="1" pivotButton="0" quotePrefix="0" xfId="0">
      <alignment horizontal="left" vertical="center"/>
    </xf>
    <xf numFmtId="0" fontId="0" fillId="0" borderId="10" applyAlignment="1" pivotButton="0" quotePrefix="0" xfId="0">
      <alignment horizontal="general" vertical="bottom"/>
    </xf>
    <xf numFmtId="10" fontId="10" fillId="3" borderId="2" applyAlignment="1" pivotButton="0" quotePrefix="0" xfId="0">
      <alignment horizontal="left" vertical="center"/>
    </xf>
    <xf numFmtId="0" fontId="8" fillId="0" borderId="11" applyAlignment="1" pivotButton="0" quotePrefix="0" xfId="0">
      <alignment horizontal="left" vertical="center"/>
    </xf>
    <xf numFmtId="0" fontId="10" fillId="3" borderId="11" applyAlignment="1" pivotButton="0" quotePrefix="0" xfId="0">
      <alignment horizontal="left" vertical="center"/>
    </xf>
    <xf numFmtId="166" fontId="10" fillId="3" borderId="3" applyAlignment="1" pivotButton="0" quotePrefix="0" xfId="0">
      <alignment horizontal="right" vertical="center"/>
    </xf>
    <xf numFmtId="0" fontId="10" fillId="3" borderId="2" applyAlignment="1" pivotButton="0" quotePrefix="0" xfId="0">
      <alignment horizontal="general" vertical="center"/>
    </xf>
    <xf numFmtId="0" fontId="0" fillId="0" borderId="3" applyAlignment="1" pivotButton="0" quotePrefix="0" xfId="0">
      <alignment horizontal="general" vertical="bottom"/>
    </xf>
    <xf numFmtId="166" fontId="10" fillId="3" borderId="2" applyAlignment="1" pivotButton="0" quotePrefix="0" xfId="0">
      <alignment horizontal="general" vertical="center"/>
    </xf>
    <xf numFmtId="0" fontId="0" fillId="0" borderId="4" applyAlignment="1" pivotButton="0" quotePrefix="0" xfId="0">
      <alignment horizontal="general" vertical="bottom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166" fontId="21" fillId="3" borderId="2" applyAlignment="1" pivotButton="0" quotePrefix="0" xfId="0">
      <alignment horizontal="general" vertical="center"/>
    </xf>
    <xf numFmtId="10" fontId="10" fillId="3" borderId="2" applyAlignment="1" pivotButton="0" quotePrefix="0" xfId="0">
      <alignment horizontal="general" vertical="center"/>
    </xf>
    <xf numFmtId="0" fontId="8" fillId="0" borderId="8" applyAlignment="1" pivotButton="0" quotePrefix="0" xfId="0">
      <alignment horizontal="general" vertical="center"/>
    </xf>
    <xf numFmtId="0" fontId="8" fillId="0" borderId="12" applyAlignment="1" pivotButton="0" quotePrefix="0" xfId="0">
      <alignment horizontal="general" vertical="center"/>
    </xf>
    <xf numFmtId="0" fontId="10" fillId="3" borderId="3" applyAlignment="1" pivotButton="0" quotePrefix="0" xfId="0">
      <alignment horizontal="general" vertical="center"/>
    </xf>
    <xf numFmtId="0" fontId="8" fillId="0" borderId="0" applyAlignment="1" pivotButton="0" quotePrefix="0" xfId="0">
      <alignment horizontal="left" vertical="bottom"/>
    </xf>
    <xf numFmtId="0" fontId="22" fillId="6" borderId="16" applyAlignment="1" pivotButton="0" quotePrefix="0" xfId="0">
      <alignment horizontal="center" vertical="bottom"/>
    </xf>
    <xf numFmtId="164" fontId="23" fillId="0" borderId="17" applyAlignment="1" pivotButton="0" quotePrefix="0" xfId="0">
      <alignment horizontal="right" vertical="bottom"/>
    </xf>
    <xf numFmtId="164" fontId="24" fillId="0" borderId="18" applyAlignment="1" pivotButton="0" quotePrefix="0" xfId="0">
      <alignment horizontal="left" vertical="bottom"/>
    </xf>
    <xf numFmtId="164" fontId="24" fillId="0" borderId="19" applyAlignment="1" pivotButton="0" quotePrefix="0" xfId="0">
      <alignment horizontal="left" vertical="bottom"/>
    </xf>
    <xf numFmtId="164" fontId="25" fillId="0" borderId="20" applyAlignment="1" pivotButton="0" quotePrefix="0" xfId="0">
      <alignment horizontal="left" vertical="bottom"/>
    </xf>
    <xf numFmtId="164" fontId="8" fillId="0" borderId="19" applyAlignment="1" pivotButton="0" quotePrefix="0" xfId="0">
      <alignment horizontal="left" vertical="bottom"/>
    </xf>
    <xf numFmtId="164" fontId="8" fillId="0" borderId="20" applyAlignment="1" pivotButton="0" quotePrefix="0" xfId="0">
      <alignment horizontal="center" vertical="bottom"/>
    </xf>
    <xf numFmtId="164" fontId="8" fillId="0" borderId="21" applyAlignment="1" pivotButton="0" quotePrefix="0" xfId="0">
      <alignment horizontal="left" vertical="bottom"/>
    </xf>
    <xf numFmtId="0" fontId="26" fillId="0" borderId="22" applyAlignment="1" pivotButton="0" quotePrefix="0" xfId="0">
      <alignment horizontal="right" vertical="bottom"/>
    </xf>
    <xf numFmtId="0" fontId="26" fillId="0" borderId="6" applyAlignment="1" pivotButton="0" quotePrefix="0" xfId="0">
      <alignment horizontal="center" vertical="bottom"/>
    </xf>
    <xf numFmtId="0" fontId="26" fillId="0" borderId="0" applyAlignment="1" pivotButton="0" quotePrefix="0" xfId="0">
      <alignment horizontal="center" vertical="bottom"/>
    </xf>
    <xf numFmtId="0" fontId="27" fillId="0" borderId="0" applyAlignment="1" pivotButton="0" quotePrefix="0" xfId="0">
      <alignment horizontal="center" vertical="bottom"/>
    </xf>
    <xf numFmtId="0" fontId="8" fillId="0" borderId="23" applyAlignment="1" pivotButton="0" quotePrefix="0" xfId="0">
      <alignment horizontal="center" vertical="bottom"/>
    </xf>
    <xf numFmtId="164" fontId="28" fillId="0" borderId="24" applyAlignment="1" pivotButton="0" quotePrefix="0" xfId="0">
      <alignment horizontal="right" vertical="bottom"/>
    </xf>
    <xf numFmtId="164" fontId="26" fillId="0" borderId="6" applyAlignment="1" pivotButton="0" quotePrefix="0" xfId="0">
      <alignment horizontal="center" vertical="bottom"/>
    </xf>
    <xf numFmtId="167" fontId="26" fillId="0" borderId="0" applyAlignment="1" pivotButton="0" quotePrefix="0" xfId="0">
      <alignment horizontal="center" vertical="bottom"/>
    </xf>
    <xf numFmtId="164" fontId="8" fillId="7" borderId="25" applyAlignment="1" pivotButton="0" quotePrefix="0" xfId="0">
      <alignment horizontal="center" vertical="bottom"/>
    </xf>
    <xf numFmtId="168" fontId="29" fillId="8" borderId="26" applyAlignment="1" pivotButton="0" quotePrefix="0" xfId="0">
      <alignment horizontal="left" vertical="bottom"/>
    </xf>
    <xf numFmtId="168" fontId="26" fillId="0" borderId="18" applyAlignment="1" pivotButton="0" quotePrefix="0" xfId="0">
      <alignment horizontal="center" vertical="bottom"/>
    </xf>
    <xf numFmtId="169" fontId="26" fillId="0" borderId="19" applyAlignment="1" pivotButton="0" quotePrefix="0" xfId="0">
      <alignment horizontal="center" vertical="bottom"/>
    </xf>
    <xf numFmtId="168" fontId="8" fillId="0" borderId="21" applyAlignment="1" pivotButton="0" quotePrefix="0" xfId="0">
      <alignment horizontal="center" vertical="bottom"/>
    </xf>
    <xf numFmtId="168" fontId="29" fillId="8" borderId="27" applyAlignment="1" pivotButton="0" quotePrefix="0" xfId="0">
      <alignment horizontal="left" vertical="bottom"/>
    </xf>
    <xf numFmtId="168" fontId="26" fillId="0" borderId="6" applyAlignment="1" pivotButton="0" quotePrefix="0" xfId="0">
      <alignment horizontal="center" vertical="bottom"/>
    </xf>
    <xf numFmtId="168" fontId="8" fillId="0" borderId="0" applyAlignment="1" pivotButton="0" quotePrefix="0" xfId="0">
      <alignment horizontal="center" vertical="bottom"/>
    </xf>
    <xf numFmtId="168" fontId="26" fillId="0" borderId="0" applyAlignment="1" pivotButton="0" quotePrefix="0" xfId="0">
      <alignment horizontal="center" vertical="bottom"/>
    </xf>
    <xf numFmtId="168" fontId="8" fillId="0" borderId="23" applyAlignment="1" pivotButton="0" quotePrefix="0" xfId="0">
      <alignment horizontal="center" vertical="bottom"/>
    </xf>
    <xf numFmtId="168" fontId="29" fillId="8" borderId="28" applyAlignment="1" pivotButton="0" quotePrefix="0" xfId="0">
      <alignment horizontal="left" vertical="bottom"/>
    </xf>
    <xf numFmtId="168" fontId="8" fillId="0" borderId="29" applyAlignment="1" pivotButton="0" quotePrefix="0" xfId="0">
      <alignment horizontal="center" vertical="bottom"/>
    </xf>
    <xf numFmtId="168" fontId="8" fillId="0" borderId="30" applyAlignment="1" pivotButton="0" quotePrefix="0" xfId="0">
      <alignment horizontal="center" vertical="bottom"/>
    </xf>
    <xf numFmtId="168" fontId="8" fillId="0" borderId="31" applyAlignment="1" pivotButton="0" quotePrefix="0" xfId="0">
      <alignment horizontal="center" vertical="bottom"/>
    </xf>
    <xf numFmtId="168" fontId="29" fillId="9" borderId="27" applyAlignment="1" pivotButton="0" quotePrefix="0" xfId="0">
      <alignment horizontal="left" vertical="bottom"/>
    </xf>
    <xf numFmtId="169" fontId="26" fillId="0" borderId="6" applyAlignment="1" pivotButton="0" quotePrefix="0" xfId="0">
      <alignment horizontal="center" vertical="bottom"/>
    </xf>
    <xf numFmtId="169" fontId="8" fillId="0" borderId="0" applyAlignment="1" pivotButton="0" quotePrefix="0" xfId="0">
      <alignment horizontal="center" vertical="bottom"/>
    </xf>
    <xf numFmtId="168" fontId="8" fillId="0" borderId="6" applyAlignment="1" pivotButton="0" quotePrefix="0" xfId="0">
      <alignment horizontal="left" vertical="bottom"/>
    </xf>
    <xf numFmtId="168" fontId="30" fillId="9" borderId="27" applyAlignment="1" pivotButton="0" quotePrefix="0" xfId="0">
      <alignment horizontal="left" vertical="bottom"/>
    </xf>
    <xf numFmtId="168" fontId="31" fillId="0" borderId="17" applyAlignment="1" pivotButton="0" quotePrefix="0" xfId="0">
      <alignment horizontal="right" vertical="bottom"/>
    </xf>
    <xf numFmtId="169" fontId="32" fillId="0" borderId="29" applyAlignment="1" pivotButton="0" quotePrefix="0" xfId="0">
      <alignment horizontal="center" vertical="bottom"/>
    </xf>
    <xf numFmtId="169" fontId="33" fillId="0" borderId="32" applyAlignment="1" pivotButton="0" quotePrefix="0" xfId="0">
      <alignment horizontal="center" vertical="bottom"/>
    </xf>
    <xf numFmtId="168" fontId="34" fillId="0" borderId="32" applyAlignment="1" pivotButton="0" quotePrefix="0" xfId="0">
      <alignment horizontal="center" vertical="bottom"/>
    </xf>
    <xf numFmtId="168" fontId="28" fillId="0" borderId="0" applyAlignment="1" pivotButton="0" quotePrefix="0" xfId="0">
      <alignment horizontal="left" vertical="bottom"/>
    </xf>
    <xf numFmtId="168" fontId="28" fillId="0" borderId="0" applyAlignment="1" pivotButton="0" quotePrefix="0" xfId="0">
      <alignment horizontal="right" vertical="bottom"/>
    </xf>
    <xf numFmtId="168" fontId="35" fillId="0" borderId="24" applyAlignment="1" pivotButton="0" quotePrefix="0" xfId="0">
      <alignment horizontal="right" vertical="bottom"/>
    </xf>
    <xf numFmtId="169" fontId="32" fillId="0" borderId="30" applyAlignment="1" pivotButton="0" quotePrefix="0" xfId="0">
      <alignment horizontal="center" vertical="bottom"/>
    </xf>
    <xf numFmtId="168" fontId="36" fillId="0" borderId="24" applyAlignment="1" pivotButton="0" quotePrefix="0" xfId="0">
      <alignment horizontal="right" vertical="bottom"/>
    </xf>
    <xf numFmtId="168" fontId="37" fillId="0" borderId="29" applyAlignment="1" pivotButton="0" quotePrefix="0" xfId="0">
      <alignment horizontal="center" vertical="bottom"/>
    </xf>
    <xf numFmtId="169" fontId="32" fillId="0" borderId="13" applyAlignment="1" pivotButton="0" quotePrefix="0" xfId="0">
      <alignment horizontal="center" vertical="bottom"/>
    </xf>
    <xf numFmtId="168" fontId="32" fillId="0" borderId="13" applyAlignment="1" pivotButton="0" quotePrefix="0" xfId="0">
      <alignment horizontal="center" vertical="bottom"/>
    </xf>
    <xf numFmtId="164" fontId="38" fillId="0" borderId="0" applyAlignment="1" pivotButton="0" quotePrefix="0" xfId="0">
      <alignment horizontal="right" vertical="bottom"/>
    </xf>
    <xf numFmtId="10" fontId="8" fillId="0" borderId="0" applyAlignment="1" pivotButton="0" quotePrefix="0" xfId="0">
      <alignment horizontal="right" vertical="bottom"/>
    </xf>
    <xf numFmtId="164" fontId="8" fillId="0" borderId="0" applyAlignment="1" pivotButton="0" quotePrefix="0" xfId="0">
      <alignment horizontal="right" vertical="bottom"/>
    </xf>
    <xf numFmtId="164" fontId="8" fillId="0" borderId="0" applyAlignment="1" pivotButton="0" quotePrefix="0" xfId="0">
      <alignment horizontal="left" vertical="bottom"/>
    </xf>
    <xf numFmtId="164" fontId="28" fillId="0" borderId="0" applyAlignment="1" pivotButton="0" quotePrefix="0" xfId="0">
      <alignment horizontal="left" vertical="bottom"/>
    </xf>
    <xf numFmtId="0" fontId="28" fillId="0" borderId="0" applyAlignment="1" pivotButton="0" quotePrefix="0" xfId="0">
      <alignment horizontal="left" vertical="bottom"/>
    </xf>
    <xf numFmtId="164" fontId="8" fillId="10" borderId="20" applyAlignment="1" pivotButton="0" quotePrefix="0" xfId="0">
      <alignment horizontal="center" vertical="bottom"/>
    </xf>
    <xf numFmtId="0" fontId="39" fillId="0" borderId="0" applyAlignment="1" pivotButton="0" quotePrefix="0" xfId="0">
      <alignment horizontal="center" vertical="bottom"/>
    </xf>
    <xf numFmtId="169" fontId="26" fillId="11" borderId="16" applyAlignment="1" pivotButton="0" quotePrefix="0" xfId="0">
      <alignment horizontal="center" vertical="bottom"/>
    </xf>
    <xf numFmtId="168" fontId="8" fillId="0" borderId="10" applyAlignment="1" pivotButton="0" quotePrefix="0" xfId="0">
      <alignment horizontal="left" vertical="bottom"/>
    </xf>
    <xf numFmtId="168" fontId="8" fillId="0" borderId="0" applyAlignment="1" pivotButton="0" quotePrefix="0" xfId="0">
      <alignment horizontal="left" vertical="bottom"/>
    </xf>
    <xf numFmtId="168" fontId="34" fillId="0" borderId="19" applyAlignment="1" pivotButton="0" quotePrefix="0" xfId="0">
      <alignment horizontal="center" vertical="bottom"/>
    </xf>
    <xf numFmtId="168" fontId="40" fillId="0" borderId="0" applyAlignment="1" pivotButton="0" quotePrefix="0" xfId="0">
      <alignment horizontal="right" vertical="bottom"/>
    </xf>
    <xf numFmtId="168" fontId="37" fillId="0" borderId="30" applyAlignment="1" pivotButton="0" quotePrefix="0" xfId="0">
      <alignment horizontal="center" vertical="bottom"/>
    </xf>
    <xf numFmtId="168" fontId="37" fillId="0" borderId="31" applyAlignment="1" pivotButton="0" quotePrefix="0" xfId="0">
      <alignment horizontal="center" vertical="bottom"/>
    </xf>
    <xf numFmtId="164" fontId="36" fillId="0" borderId="24" applyAlignment="1" pivotButton="0" quotePrefix="0" xfId="0">
      <alignment horizontal="right" vertical="bottom"/>
    </xf>
    <xf numFmtId="164" fontId="37" fillId="0" borderId="29" applyAlignment="1" pivotButton="0" quotePrefix="0" xfId="0">
      <alignment horizontal="center" vertical="bottom"/>
    </xf>
    <xf numFmtId="164" fontId="37" fillId="0" borderId="13" applyAlignment="1" pivotButton="0" quotePrefix="0" xfId="0">
      <alignment horizontal="center" vertical="bottom"/>
    </xf>
    <xf numFmtId="164" fontId="37" fillId="0" borderId="14" applyAlignment="1" pivotButton="0" quotePrefix="0" xfId="0">
      <alignment horizontal="center" vertical="bottom"/>
    </xf>
    <xf numFmtId="0" fontId="22" fillId="12" borderId="16" applyAlignment="1" pivotButton="0" quotePrefix="0" xfId="0">
      <alignment horizontal="left" vertical="bottom"/>
    </xf>
    <xf numFmtId="0" fontId="22" fillId="12" borderId="16" applyAlignment="1" pivotButton="0" quotePrefix="0" xfId="0">
      <alignment horizontal="center" vertical="bottom"/>
    </xf>
    <xf numFmtId="0" fontId="41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bottom"/>
    </xf>
    <xf numFmtId="168" fontId="41" fillId="0" borderId="0" applyAlignment="1" pivotButton="0" quotePrefix="0" xfId="0">
      <alignment horizontal="left" vertical="bottom"/>
    </xf>
    <xf numFmtId="169" fontId="41" fillId="0" borderId="0" applyAlignment="1" pivotButton="0" quotePrefix="0" xfId="0">
      <alignment horizontal="center" vertical="bottom"/>
    </xf>
    <xf numFmtId="169" fontId="41" fillId="13" borderId="16" applyAlignment="1" pivotButton="0" quotePrefix="0" xfId="0">
      <alignment horizontal="center" vertical="bottom"/>
    </xf>
    <xf numFmtId="169" fontId="41" fillId="0" borderId="16" applyAlignment="1" pivotButton="0" quotePrefix="0" xfId="0">
      <alignment horizontal="center" vertical="bottom"/>
    </xf>
    <xf numFmtId="169" fontId="41" fillId="0" borderId="33" applyAlignment="1" pivotButton="0" quotePrefix="0" xfId="0">
      <alignment horizontal="center" vertical="bottom"/>
    </xf>
    <xf numFmtId="168" fontId="41" fillId="0" borderId="0" applyAlignment="1" pivotButton="0" quotePrefix="0" xfId="0">
      <alignment horizontal="right" vertical="bottom"/>
    </xf>
    <xf numFmtId="168" fontId="41" fillId="0" borderId="34" applyAlignment="1" pivotButton="0" quotePrefix="0" xfId="0">
      <alignment horizontal="left" vertical="bottom"/>
    </xf>
    <xf numFmtId="168" fontId="41" fillId="0" borderId="34" applyAlignment="1" pivotButton="0" quotePrefix="0" xfId="0">
      <alignment horizontal="right" vertical="bottom"/>
    </xf>
    <xf numFmtId="169" fontId="41" fillId="0" borderId="34" applyAlignment="1" pivotButton="0" quotePrefix="0" xfId="0">
      <alignment horizontal="center" vertical="bottom"/>
    </xf>
    <xf numFmtId="168" fontId="28" fillId="0" borderId="0" applyAlignment="1" pivotButton="0" quotePrefix="0" xfId="0">
      <alignment horizontal="center" vertical="bottom"/>
    </xf>
    <xf numFmtId="169" fontId="41" fillId="0" borderId="0" applyAlignment="1" pivotButton="0" quotePrefix="0" xfId="0">
      <alignment horizontal="left" vertical="bottom"/>
    </xf>
    <xf numFmtId="167" fontId="41" fillId="14" borderId="16" applyAlignment="1" pivotButton="0" quotePrefix="0" xfId="0">
      <alignment horizontal="center" vertical="bottom"/>
    </xf>
    <xf numFmtId="168" fontId="41" fillId="0" borderId="35" applyAlignment="1" pivotButton="0" quotePrefix="0" xfId="0">
      <alignment horizontal="left" vertical="bottom"/>
    </xf>
    <xf numFmtId="168" fontId="41" fillId="0" borderId="35" applyAlignment="1" pivotButton="0" quotePrefix="0" xfId="0">
      <alignment horizontal="right" vertical="bottom"/>
    </xf>
    <xf numFmtId="170" fontId="41" fillId="0" borderId="35" applyAlignment="1" pivotButton="0" quotePrefix="0" xfId="0">
      <alignment horizontal="right" vertical="bottom"/>
    </xf>
    <xf numFmtId="170" fontId="29" fillId="0" borderId="0" applyAlignment="1" pivotButton="0" quotePrefix="0" xfId="0">
      <alignment horizontal="center" vertical="bottom"/>
    </xf>
    <xf numFmtId="168" fontId="41" fillId="0" borderId="33" applyAlignment="1" pivotButton="0" quotePrefix="0" xfId="0">
      <alignment horizontal="left" vertical="bottom"/>
    </xf>
    <xf numFmtId="168" fontId="41" fillId="0" borderId="33" applyAlignment="1" pivotButton="0" quotePrefix="0" xfId="0">
      <alignment horizontal="right" vertical="bottom"/>
    </xf>
    <xf numFmtId="169" fontId="41" fillId="7" borderId="36" applyAlignment="1" pivotButton="0" quotePrefix="0" xfId="0">
      <alignment horizontal="center" vertical="bottom"/>
    </xf>
    <xf numFmtId="10" fontId="41" fillId="11" borderId="16" applyAlignment="1" pivotButton="0" quotePrefix="0" xfId="0">
      <alignment horizontal="lef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CE6F2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E0EC"/>
      <rgbColor rgb="FFCCFFCC"/>
      <rgbColor rgb="FFFFFF99"/>
      <rgbColor rgb="FF9BC2E6"/>
      <rgbColor rgb="FFFF99CC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H34"/>
  <sheetViews>
    <sheetView showFormulas="0" showGridLines="1" showRowColHeaders="1" showZeros="1" rightToLeft="0" tabSelected="1" showOutlineSymbols="1" defaultGridColor="1" view="normal" topLeftCell="A7" colorId="64" zoomScale="100" zoomScaleNormal="100" zoomScalePageLayoutView="100" workbookViewId="0">
      <selection pane="topLeft" activeCell="C17" activeCellId="0" sqref="C17"/>
    </sheetView>
  </sheetViews>
  <sheetFormatPr baseColWidth="8" defaultColWidth="8.73046875" defaultRowHeight="15.75" customHeight="0" zeroHeight="0" outlineLevelRow="0"/>
  <cols>
    <col width="28" customWidth="1" style="160" min="1" max="1"/>
    <col width="27" customWidth="1" style="160" min="2" max="2"/>
    <col width="10" customWidth="1" style="160" min="3" max="4"/>
    <col width="50" customWidth="1" style="160" min="5" max="5"/>
    <col width="8" customWidth="1" style="160" min="6" max="15"/>
    <col width="10" customWidth="1" style="160" min="16" max="27"/>
    <col width="11" customWidth="1" style="160" min="28" max="34"/>
    <col width="32.57" customWidth="1" style="160" min="35" max="35"/>
    <col width="9.140000000000001" customWidth="1" style="160" min="36" max="36"/>
  </cols>
  <sheetData>
    <row r="1" ht="22.5" customHeight="1" s="161">
      <c r="A1" s="162" t="inlineStr">
        <is>
          <t>電站基本資料(請填寫著色處)</t>
        </is>
      </c>
      <c r="B1" s="163" t="n"/>
      <c r="C1" s="163" t="n"/>
      <c r="D1" s="164" t="n"/>
      <c r="E1" s="165" t="inlineStr">
        <is>
          <t>說明</t>
        </is>
      </c>
      <c r="O1" s="166">
        <f>1-C11</f>
        <v/>
      </c>
      <c r="P1" s="166">
        <f>O1-$C12</f>
        <v/>
      </c>
      <c r="Q1" s="166">
        <f>P1-$C12</f>
        <v/>
      </c>
      <c r="R1" s="166">
        <f>Q1-$C12</f>
        <v/>
      </c>
      <c r="S1" s="166">
        <f>R1-$C12</f>
        <v/>
      </c>
      <c r="T1" s="166">
        <f>S1-$C12</f>
        <v/>
      </c>
      <c r="U1" s="166">
        <f>T1-$C12</f>
        <v/>
      </c>
      <c r="V1" s="166">
        <f>U1-$C12</f>
        <v/>
      </c>
      <c r="W1" s="166">
        <f>V1-$C12</f>
        <v/>
      </c>
      <c r="X1" s="166">
        <f>W1-$C12</f>
        <v/>
      </c>
      <c r="Y1" s="166">
        <f>X1-$C12</f>
        <v/>
      </c>
      <c r="Z1" s="166">
        <f>Y1-$C12</f>
        <v/>
      </c>
      <c r="AA1" s="166">
        <f>Z1-$C12</f>
        <v/>
      </c>
      <c r="AB1" s="166">
        <f>AA1-$C12</f>
        <v/>
      </c>
      <c r="AC1" s="166">
        <f>AB1-$C12</f>
        <v/>
      </c>
      <c r="AD1" s="166">
        <f>AC1-$C12</f>
        <v/>
      </c>
      <c r="AE1" s="166">
        <f>AD1-$C12</f>
        <v/>
      </c>
      <c r="AF1" s="166">
        <f>AE1-$C12</f>
        <v/>
      </c>
      <c r="AG1" s="166">
        <f>AF1-$C12</f>
        <v/>
      </c>
      <c r="AH1" s="166">
        <f>AG1-$C12</f>
        <v/>
      </c>
    </row>
    <row r="2" ht="21.75" customHeight="1" s="161">
      <c r="A2" s="167" t="inlineStr">
        <is>
          <t>電站名稱</t>
        </is>
      </c>
      <c r="B2" s="168" t="inlineStr">
        <is>
          <t>淡江大學</t>
        </is>
      </c>
      <c r="C2" s="169" t="inlineStr">
        <is>
          <t>-</t>
        </is>
      </c>
      <c r="D2" s="170" t="inlineStr">
        <is>
          <t>-</t>
        </is>
      </c>
      <c r="E2" s="171" t="inlineStr">
        <is>
          <t>填入本案場名稱</t>
        </is>
      </c>
    </row>
    <row r="3" ht="21.75" customHeight="1" s="161">
      <c r="A3" s="172" t="inlineStr">
        <is>
          <t>電站壽命</t>
        </is>
      </c>
      <c r="B3" s="173" t="n">
        <v>20</v>
      </c>
      <c r="C3" s="174" t="inlineStr">
        <is>
          <t>-</t>
        </is>
      </c>
      <c r="D3" s="175" t="inlineStr">
        <is>
          <t>-</t>
        </is>
      </c>
      <c r="E3" s="171" t="inlineStr">
        <is>
          <t>預設 20 年，代表財務評估年期。若合約年限不同可依實際情況修改</t>
        </is>
      </c>
    </row>
    <row r="4" ht="21.75" customHeight="1" s="161">
      <c r="A4" s="172" t="inlineStr">
        <is>
          <t>建置量(kWp)</t>
        </is>
      </c>
      <c r="B4" s="173" t="n">
        <v>436.1</v>
      </c>
      <c r="C4" s="174" t="inlineStr">
        <is>
          <t>-</t>
        </is>
      </c>
      <c r="D4" s="175" t="inlineStr">
        <is>
          <t>-</t>
        </is>
      </c>
      <c r="E4" s="171" t="inlineStr">
        <is>
          <t>填入裝置容量（kWp），通常由設計圖面或報價書取得</t>
        </is>
      </c>
    </row>
    <row r="5" ht="22.5" customHeight="1" s="161">
      <c r="A5" s="172" t="inlineStr">
        <is>
          <t>起始年度</t>
        </is>
      </c>
      <c r="B5" s="173" t="n">
        <v>2020</v>
      </c>
      <c r="C5" s="172" t="inlineStr">
        <is>
          <t>結束年度</t>
        </is>
      </c>
      <c r="D5" s="175">
        <f>B5+B3-1</f>
        <v/>
      </c>
      <c r="E5" s="171" t="inlineStr">
        <is>
          <t>填入電站預計掛表的西元年份（例：2025）。結束年度會自動計算</t>
        </is>
      </c>
    </row>
    <row r="6" ht="20.25" customHeight="1" s="161">
      <c r="A6" s="176" t="n"/>
      <c r="B6" s="176" t="n"/>
      <c r="C6" s="176" t="n"/>
      <c r="D6" s="176" t="n"/>
      <c r="E6" s="177" t="n"/>
    </row>
    <row r="7" ht="22.5" customHeight="1" s="161">
      <c r="A7" s="162" t="inlineStr">
        <is>
          <t>綜合損益表(請填寫著色處)</t>
        </is>
      </c>
      <c r="B7" s="163" t="n"/>
      <c r="C7" s="163" t="n"/>
      <c r="D7" s="164" t="n"/>
      <c r="E7" s="177" t="n"/>
    </row>
    <row r="8" ht="22.5" customHeight="1" s="161">
      <c r="A8" s="178" t="inlineStr">
        <is>
          <t>收入</t>
        </is>
      </c>
      <c r="D8" s="179" t="n"/>
      <c r="E8" s="177" t="n"/>
    </row>
    <row r="9" ht="22.5" customHeight="1" s="161">
      <c r="A9" s="180" t="inlineStr">
        <is>
          <t>收支項目</t>
        </is>
      </c>
      <c r="B9" s="181" t="inlineStr">
        <is>
          <t>相關參數</t>
        </is>
      </c>
      <c r="C9" s="181" t="inlineStr">
        <is>
          <t>參數數值</t>
        </is>
      </c>
      <c r="D9" s="182" t="inlineStr">
        <is>
          <t>年限</t>
        </is>
      </c>
      <c r="E9" s="165" t="inlineStr">
        <is>
          <t>說明</t>
        </is>
      </c>
    </row>
    <row r="10" ht="30" customHeight="1" s="161">
      <c r="A10" s="183" t="inlineStr">
        <is>
          <t>電費收入</t>
        </is>
      </c>
      <c r="B10" s="167" t="inlineStr">
        <is>
          <t>年度AC併網總發電量</t>
        </is>
      </c>
      <c r="C10" s="184" t="n">
        <v>547002</v>
      </c>
      <c r="D10" s="185">
        <f>B3</f>
        <v/>
      </c>
      <c r="E10" s="171" t="inlineStr">
        <is>
          <t>預估年發電量（kWh），通常來自 PVsyst 模擬或估算：裝置容量 × 年日照時數 × 系統效率</t>
        </is>
      </c>
    </row>
    <row r="11" ht="30" customHeight="1" s="161">
      <c r="A11" s="186" t="n"/>
      <c r="B11" s="172" t="inlineStr">
        <is>
          <t>首年衰退率</t>
        </is>
      </c>
      <c r="C11" s="187" t="n">
        <v>0.01</v>
      </c>
      <c r="D11" s="188" t="n"/>
      <c r="E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A12" s="186" t="n"/>
      <c r="B12" s="172" t="inlineStr">
        <is>
          <t>次年衰退率</t>
        </is>
      </c>
      <c r="C12" s="189" t="n">
        <v>0.004</v>
      </c>
      <c r="D12" s="188" t="n"/>
      <c r="E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A13" s="186" t="n"/>
      <c r="B13" s="190" t="inlineStr">
        <is>
          <t>躉售費率(FIT) / 綠電費率</t>
        </is>
      </c>
      <c r="C13" s="191" t="n">
        <v>4</v>
      </c>
      <c r="D13" s="188" t="n"/>
      <c r="E13" s="171" t="inlineStr">
        <is>
          <t>與台電簽訂的躉購費率或綠電合約費率，單位：元/度。請參考台電公告或合約內容</t>
        </is>
      </c>
    </row>
    <row r="14" ht="22.5" customHeight="1" s="161">
      <c r="A14" s="192" t="inlineStr">
        <is>
          <t>支出(請填寫著色處)</t>
        </is>
      </c>
      <c r="B14" s="163" t="n"/>
      <c r="C14" s="163" t="n"/>
      <c r="D14" s="164" t="n"/>
      <c r="E14" s="177" t="n"/>
    </row>
    <row r="15" ht="22.5" customHeight="1" s="161">
      <c r="A15" s="180" t="inlineStr">
        <is>
          <t>收支項目</t>
        </is>
      </c>
      <c r="B15" s="181" t="inlineStr">
        <is>
          <t>相關參數</t>
        </is>
      </c>
      <c r="C15" s="181" t="inlineStr">
        <is>
          <t>參數數值</t>
        </is>
      </c>
      <c r="D15" s="182" t="inlineStr">
        <is>
          <t>攤提年限</t>
        </is>
      </c>
      <c r="E15" s="165" t="inlineStr">
        <is>
          <t>說明</t>
        </is>
      </c>
    </row>
    <row r="16" ht="21.75" customHeight="1" s="161">
      <c r="A16" s="167" t="inlineStr">
        <is>
          <t>設備費用(價金)</t>
        </is>
      </c>
      <c r="B16" s="167" t="inlineStr">
        <is>
          <t>每kWp設備成本</t>
        </is>
      </c>
      <c r="C16" s="193" t="n">
        <v>30000</v>
      </c>
      <c r="D16" s="170">
        <f>B3</f>
        <v/>
      </c>
      <c r="E16" s="171" t="inlineStr">
        <is>
          <t>每峰瓩設備成本（元/kWp），包含模組、逆變器、支架等硬體，不含工程施工費</t>
        </is>
      </c>
    </row>
    <row r="17" ht="21.75" customHeight="1" s="161">
      <c r="A17" s="186" t="n"/>
      <c r="B17" s="172" t="inlineStr">
        <is>
          <t>信邦利潤率(ex:20%填0.2)</t>
        </is>
      </c>
      <c r="C17" s="173" t="n">
        <v>0.2</v>
      </c>
      <c r="D17" s="188" t="n"/>
      <c r="E17" s="171" t="inlineStr">
        <is>
          <t>公司在設備費用上加計的利潤比率，請填小數（例：20% → 填 0.2）</t>
        </is>
      </c>
    </row>
    <row r="18" ht="21.75" customHeight="1" s="161">
      <c r="A18" s="194" t="n"/>
      <c r="B18" s="172" t="inlineStr">
        <is>
          <t>開發費</t>
        </is>
      </c>
      <c r="C18" s="195" t="n">
        <v>2500</v>
      </c>
      <c r="D18" s="196" t="n"/>
      <c r="E18" s="171" t="inlineStr">
        <is>
          <t>前期開發費用（元），含可行性評估、申請規費、地主溝通等。若無則填 0</t>
        </is>
      </c>
    </row>
    <row r="19" ht="54" customHeight="1" s="161">
      <c r="A19" s="172" t="inlineStr">
        <is>
          <t>租金費用</t>
        </is>
      </c>
      <c r="B19" s="197" t="inlineStr">
        <is>
          <t>租金計算方式</t>
        </is>
      </c>
      <c r="C19" s="173" t="n">
        <v>1</v>
      </c>
      <c r="D19" s="170" t="inlineStr">
        <is>
          <t>-</t>
        </is>
      </c>
      <c r="E19" s="171" t="inlineStr">
        <is>
          <t>填 1 = 固定年租金（需填方式1參數）；填 2 = 依電費收入抽成（需填方式2參數）</t>
        </is>
      </c>
    </row>
    <row r="20" ht="20.25" customHeight="1" s="161">
      <c r="A20" s="186" t="n"/>
      <c r="B20" s="198" t="inlineStr">
        <is>
          <t>【方式1參數】每年相同價格</t>
        </is>
      </c>
      <c r="C20" s="195" t="n">
        <v>290201</v>
      </c>
      <c r="D20" s="170">
        <f>B3</f>
        <v/>
      </c>
      <c r="E20" s="171" t="inlineStr">
        <is>
          <t>租金計算方式選「1」時填寫，固定年租金金額（元/年），套用至整個電站壽命期</t>
        </is>
      </c>
    </row>
    <row r="21" ht="30" customHeight="1" s="161">
      <c r="A21" s="194" t="n"/>
      <c r="B21" s="172" t="inlineStr">
        <is>
          <t>【方式2參數】抽成比率</t>
        </is>
      </c>
      <c r="C21" s="173" t="n"/>
      <c r="D21" s="175" t="inlineStr">
        <is>
          <t>-</t>
        </is>
      </c>
      <c r="E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A22" s="172" t="inlineStr">
        <is>
          <t>運維費用</t>
        </is>
      </c>
      <c r="B22" s="172" t="inlineStr">
        <is>
          <t>每kw運維成本</t>
        </is>
      </c>
      <c r="C22" s="195" t="n">
        <v>400</v>
      </c>
      <c r="D22" s="175">
        <f>B3</f>
        <v/>
      </c>
      <c r="E22" s="171" t="inlineStr">
        <is>
          <t>每峰瓩每年運維費用（元/kWp/年），含清洗、巡檢、維修等。</t>
        </is>
      </c>
    </row>
    <row r="23" ht="30" customHeight="1" s="161">
      <c r="A23" s="172" t="inlineStr">
        <is>
          <t>保險費用</t>
        </is>
      </c>
      <c r="B23" s="172" t="inlineStr">
        <is>
          <t>占整體設備費用比例</t>
        </is>
      </c>
      <c r="C23" s="173" t="n">
        <v>0.003</v>
      </c>
      <c r="D23" s="175">
        <f>B3</f>
        <v/>
      </c>
      <c r="E23" s="171" t="inlineStr">
        <is>
          <t>保險費佔設備總費用比率，填小數（例：0.3% → 填 0.003）。預設 0.003，可依投保條件調整</t>
        </is>
      </c>
    </row>
    <row r="24" ht="30" customHeight="1" s="161">
      <c r="A24" s="172" t="inlineStr">
        <is>
          <t>模組回收費用</t>
        </is>
      </c>
      <c r="B24" s="172" t="inlineStr">
        <is>
          <t>每kw模組回收成本</t>
        </is>
      </c>
      <c r="C24" s="195" t="n">
        <v>1000</v>
      </c>
      <c r="D24" s="199" t="n">
        <v>10</v>
      </c>
      <c r="E24" s="171" t="inlineStr">
        <is>
          <t>每峰瓩模組廢棄回收費用（元/kWp），於第 1~10 年計提（攤提 10 年）。</t>
        </is>
      </c>
    </row>
    <row r="25" ht="30" customHeight="1" s="161">
      <c r="A25" s="172" t="inlineStr">
        <is>
          <t>利息費用</t>
        </is>
      </c>
      <c r="B25" s="172" t="inlineStr">
        <is>
          <t>銀行利率</t>
        </is>
      </c>
      <c r="C25" s="189" t="n">
        <v>0.0256</v>
      </c>
      <c r="D25" s="175" t="inlineStr">
        <is>
          <t>-</t>
        </is>
      </c>
      <c r="E25" s="171" t="inlineStr">
        <is>
          <t>向銀行貸款的年利率，填小數（例：2.56% → 填 0.0256）。請依銀行核准利率填入</t>
        </is>
      </c>
    </row>
    <row r="26" ht="30" customHeight="1" s="161">
      <c r="A26" s="172" t="inlineStr">
        <is>
          <t>所得稅</t>
        </is>
      </c>
      <c r="B26" s="172" t="inlineStr">
        <is>
          <t>所得稅率</t>
        </is>
      </c>
      <c r="C26" s="173" t="n">
        <v>0.2</v>
      </c>
      <c r="D26" s="175" t="inlineStr">
        <is>
          <t>-</t>
        </is>
      </c>
      <c r="E26" s="171" t="inlineStr">
        <is>
          <t>公司所得稅率，填小數（例：20% → 填 0.2）。預設 0.2，通常不需更改</t>
        </is>
      </c>
    </row>
    <row r="27" ht="20.25" customHeight="1" s="161">
      <c r="A27" s="176" t="n"/>
      <c r="B27" s="176" t="n"/>
      <c r="C27" s="176" t="n"/>
      <c r="D27" s="176" t="n"/>
      <c r="E27" s="177" t="n"/>
    </row>
    <row r="28" ht="20.25" customHeight="1" s="161">
      <c r="A28" s="176" t="n"/>
      <c r="B28" s="176" t="n"/>
      <c r="C28" s="176" t="n"/>
      <c r="D28" s="176" t="n"/>
      <c r="E28" s="177" t="n"/>
    </row>
    <row r="29" ht="22.5" customHeight="1" s="161">
      <c r="A29" s="162" t="inlineStr">
        <is>
          <t>現金流量表(請填寫著色處)</t>
        </is>
      </c>
      <c r="B29" s="163" t="n"/>
      <c r="C29" s="164" t="n"/>
      <c r="D29" s="176" t="n"/>
      <c r="E29" s="177" t="n"/>
    </row>
    <row r="30" ht="22.5" customHeight="1" s="161">
      <c r="A30" s="180" t="inlineStr">
        <is>
          <t>金流項目</t>
        </is>
      </c>
      <c r="B30" s="181" t="inlineStr">
        <is>
          <t>相關參數</t>
        </is>
      </c>
      <c r="C30" s="200" t="inlineStr">
        <is>
          <t>參數數值</t>
        </is>
      </c>
      <c r="D30" s="176" t="n"/>
      <c r="E30" s="165" t="inlineStr">
        <is>
          <t>說明</t>
        </is>
      </c>
    </row>
    <row r="31" ht="30" customHeight="1" s="161">
      <c r="A31" s="167" t="inlineStr">
        <is>
          <t>貸款成數</t>
        </is>
      </c>
      <c r="B31" s="167" t="inlineStr">
        <is>
          <t>占總設備費用比例</t>
        </is>
      </c>
      <c r="C31" s="201" t="n">
        <v>0.8</v>
      </c>
      <c r="D31" s="176" t="n"/>
      <c r="E31" s="171" t="inlineStr">
        <is>
          <t>貸款佔設備總費用比例，填小數（例：80% → 填 0.8）。預設 0.8 代表貸八成、自備二成</t>
        </is>
      </c>
    </row>
    <row r="32" ht="18.75" customHeight="1" s="161">
      <c r="A32" s="167" t="inlineStr">
        <is>
          <t>貸款還款</t>
        </is>
      </c>
      <c r="B32" s="167" t="inlineStr">
        <is>
          <t>攤還期數</t>
        </is>
      </c>
      <c r="C32" s="201" t="n">
        <v>15</v>
      </c>
      <c r="D32" s="176" t="n"/>
      <c r="E32" s="171" t="inlineStr">
        <is>
          <t>貸款還款年數（年）。預設 15 年，代表分 15 年平均攤還本金</t>
        </is>
      </c>
    </row>
    <row r="33" ht="18.75" customHeight="1" s="161">
      <c r="A33" s="172" t="inlineStr">
        <is>
          <t>現金股利</t>
        </is>
      </c>
      <c r="B33" s="172" t="inlineStr">
        <is>
          <t>股利比率</t>
        </is>
      </c>
      <c r="C33" s="173" t="n">
        <v>0.9</v>
      </c>
      <c r="D33" s="176" t="n"/>
      <c r="E33" s="171" t="inlineStr">
        <is>
          <t>稅後現金流中分配給股東的比例，填小數（例：90% → 填 0.9）</t>
        </is>
      </c>
    </row>
    <row r="34" ht="30" customHeight="1" s="161">
      <c r="A34" s="172" t="inlineStr">
        <is>
          <t>年底減資</t>
        </is>
      </c>
      <c r="B34" s="172" t="inlineStr">
        <is>
          <t>攤還期數</t>
        </is>
      </c>
      <c r="C34" s="173" t="n">
        <v>4</v>
      </c>
      <c r="D34" s="176" t="n"/>
      <c r="E34" s="171" t="inlineStr">
        <is>
          <t>年底減資返還股東的年數。預設 4 年，代表 倒數 4 年進行減資，加速資金返還</t>
        </is>
      </c>
    </row>
    <row r="35" ht="18.75" customHeight="1" s="161"/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10" customWidth="1" style="160" min="2" max="2"/>
    <col width="22" customWidth="1" style="160" min="3" max="3"/>
    <col width="11" customWidth="1" style="160" min="4" max="4"/>
    <col width="21" customWidth="1" style="160" min="5" max="5"/>
    <col width="12" customWidth="1" style="160" min="6" max="6"/>
    <col width="11" customWidth="1" style="160" min="7" max="7"/>
    <col width="14" customWidth="1" style="160" min="8" max="8"/>
    <col width="8" customWidth="1" style="160" min="9" max="9"/>
    <col width="50" customWidth="1" style="160" min="10" max="10"/>
  </cols>
  <sheetData>
    <row r="1" ht="15" customHeight="1" s="161">
      <c r="A1" s="160" t="inlineStr">
        <is>
          <t>編號</t>
        </is>
      </c>
      <c r="B1" s="160" t="inlineStr">
        <is>
          <t>價金每KW</t>
        </is>
      </c>
      <c r="C1" s="160" t="inlineStr">
        <is>
          <t>專案法IRR</t>
        </is>
      </c>
      <c r="D1" s="160" t="inlineStr">
        <is>
          <t>成本法IRR</t>
        </is>
      </c>
      <c r="E1" s="160" t="inlineStr">
        <is>
          <t>權益法IRR</t>
        </is>
      </c>
      <c r="F1" s="160" t="inlineStr">
        <is>
          <t>信邦利潤率</t>
        </is>
      </c>
      <c r="G1" s="160" t="inlineStr">
        <is>
          <t>信邦利潤</t>
        </is>
      </c>
      <c r="H1" s="160" t="inlineStr">
        <is>
          <t>每kw信邦利潤</t>
        </is>
      </c>
      <c r="I1" s="160" t="inlineStr">
        <is>
          <t>開發費</t>
        </is>
      </c>
      <c r="J1" s="160" t="inlineStr">
        <is>
          <t>備註</t>
        </is>
      </c>
    </row>
    <row r="2" ht="15" customHeight="1" s="161">
      <c r="A2" s="160" t="n">
        <v>1</v>
      </c>
      <c r="B2" s="160" t="n">
        <v>30000</v>
      </c>
      <c r="C2" s="202" t="n">
        <v>0.0523</v>
      </c>
      <c r="D2" s="202" t="n">
        <v>0.1162</v>
      </c>
      <c r="E2" s="202" t="n">
        <v>0.1398</v>
      </c>
      <c r="F2" s="202" t="n">
        <v>0.2</v>
      </c>
      <c r="G2" s="160" t="n">
        <v>3270750</v>
      </c>
      <c r="H2" s="160" t="n">
        <v>7500</v>
      </c>
      <c r="I2" s="160" t="n">
        <v>2500</v>
      </c>
      <c r="J2" s="160" t="inlineStr">
        <is>
          <t>初始價金 - 現金模式，每次減少 2000 元，邊界值 20000 元</t>
        </is>
      </c>
    </row>
    <row r="3" ht="15" customHeight="1" s="161">
      <c r="A3" s="160" t="n">
        <v>2</v>
      </c>
      <c r="B3" s="160" t="n">
        <v>28000</v>
      </c>
      <c r="C3" s="202" t="n">
        <v>0.0595</v>
      </c>
      <c r="D3" s="202" t="n">
        <v>0.1377</v>
      </c>
      <c r="E3" s="202" t="n">
        <v>0.1717</v>
      </c>
      <c r="F3" s="202" t="n">
        <v>0.2</v>
      </c>
      <c r="G3" s="160" t="n">
        <v>3052700</v>
      </c>
      <c r="H3" s="160" t="n">
        <v>7000</v>
      </c>
      <c r="I3" s="160" t="n">
        <v>2500</v>
      </c>
      <c r="J3" s="160" t="inlineStr">
        <is>
          <t>第1次滾算，減少 2000 元 - 現金模式，每次減少 2000 元</t>
        </is>
      </c>
    </row>
    <row r="4" ht="15" customHeight="1" s="161">
      <c r="A4" s="160" t="n">
        <v>4</v>
      </c>
      <c r="B4" s="160" t="n">
        <v>24000</v>
      </c>
      <c r="C4" s="202" t="n">
        <v>0.07630000000000001</v>
      </c>
      <c r="D4" s="202" t="n">
        <v>0.1913</v>
      </c>
      <c r="E4" s="202" t="n">
        <v>0.2622</v>
      </c>
      <c r="F4" s="202" t="n">
        <v>0.2</v>
      </c>
      <c r="G4" s="160" t="n">
        <v>2616600</v>
      </c>
      <c r="H4" s="160" t="n">
        <v>6000</v>
      </c>
      <c r="I4" s="160" t="n">
        <v>2500</v>
      </c>
      <c r="J4" s="160" t="inlineStr">
        <is>
          <t>第3次滾算，減少 2000 元 - 現金模式，每次減少 2000 元</t>
        </is>
      </c>
    </row>
    <row r="5" ht="15" customHeight="1" s="161">
      <c r="A5" s="160" t="n">
        <v>5</v>
      </c>
      <c r="B5" s="160" t="n">
        <v>22000</v>
      </c>
      <c r="C5" s="202" t="n">
        <v>0.0864</v>
      </c>
      <c r="D5" s="202" t="n">
        <v>0.2256</v>
      </c>
      <c r="E5" s="202" t="n">
        <v>0.33</v>
      </c>
      <c r="F5" s="202" t="n">
        <v>0.2</v>
      </c>
      <c r="G5" s="160" t="n">
        <v>2398550</v>
      </c>
      <c r="H5" s="160" t="n">
        <v>5500</v>
      </c>
      <c r="I5" s="160" t="n">
        <v>2500</v>
      </c>
      <c r="J5" s="160" t="inlineStr">
        <is>
          <t>第4次滾算，減少 2000 元 - 現金模式，每次減少 2000 元</t>
        </is>
      </c>
    </row>
    <row r="6" ht="15" customHeight="1" s="161">
      <c r="A6" s="160" t="n">
        <v>6</v>
      </c>
      <c r="B6" s="160" t="n">
        <v>20000</v>
      </c>
      <c r="C6" s="202" t="n">
        <v>0.098</v>
      </c>
      <c r="D6" s="202" t="n">
        <v>0.2672</v>
      </c>
      <c r="E6" s="202" t="n">
        <v>0.4243</v>
      </c>
      <c r="F6" s="202" t="n">
        <v>0.2</v>
      </c>
      <c r="G6" s="160" t="n">
        <v>2180500</v>
      </c>
      <c r="H6" s="160" t="n">
        <v>5000</v>
      </c>
      <c r="I6" s="160" t="n">
        <v>2500</v>
      </c>
      <c r="J6" s="160" t="inlineStr">
        <is>
          <t>第5次滾算，減少 2000 元 - 現金模式，每次減少 2000 元</t>
        </is>
      </c>
    </row>
    <row r="7" ht="15" customHeight="1" s="161"/>
    <row r="8"/>
    <row r="9"/>
    <row r="10"/>
    <row r="11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34" customWidth="1" style="160" min="2" max="2"/>
    <col width="27" customWidth="1" style="160" min="3" max="3"/>
    <col width="37" customWidth="1" style="160" min="4" max="5"/>
    <col width="50" customWidth="1" style="160" min="6" max="6"/>
    <col width="37" customWidth="1" style="160" min="7" max="12"/>
    <col width="39" customWidth="1" style="160" min="13" max="13"/>
    <col width="37" customWidth="1" style="160" min="14" max="23"/>
    <col width="30" customWidth="1" style="160" min="24" max="24"/>
    <col width="10" customWidth="1" style="160" min="25" max="27"/>
    <col width="11" customWidth="1" style="160" min="28" max="35"/>
    <col width="8" customWidth="1" style="160" min="36" max="36"/>
    <col width="9.140000000000001" customWidth="1" style="160" min="37" max="37"/>
  </cols>
  <sheetData>
    <row r="1" ht="22.5" customHeight="1" s="161">
      <c r="B1" s="162" t="inlineStr">
        <is>
          <t>電站基本資料</t>
        </is>
      </c>
      <c r="C1" s="203" t="n"/>
      <c r="D1" s="203" t="n"/>
      <c r="E1" s="204" t="n"/>
      <c r="F1" s="165" t="inlineStr">
        <is>
          <t>說明</t>
        </is>
      </c>
      <c r="P1" s="166">
        <f>1-D11</f>
        <v/>
      </c>
      <c r="Q1" s="166">
        <f>P1-$D12</f>
        <v/>
      </c>
      <c r="R1" s="166">
        <f>Q1-$D12</f>
        <v/>
      </c>
      <c r="S1" s="166">
        <f>R1-$D12</f>
        <v/>
      </c>
      <c r="T1" s="166">
        <f>S1-$D12</f>
        <v/>
      </c>
      <c r="U1" s="166">
        <f>T1-$D12</f>
        <v/>
      </c>
      <c r="V1" s="166">
        <f>U1-$D12</f>
        <v/>
      </c>
      <c r="W1" s="166">
        <f>V1-$D12</f>
        <v/>
      </c>
      <c r="X1" s="166">
        <f>W1-$D12</f>
        <v/>
      </c>
      <c r="Y1" s="166">
        <f>X1-$D12</f>
        <v/>
      </c>
      <c r="Z1" s="166">
        <f>Y1-$D12</f>
        <v/>
      </c>
      <c r="AA1" s="166">
        <f>Z1-$D12</f>
        <v/>
      </c>
      <c r="AB1" s="166">
        <f>AA1-$D12</f>
        <v/>
      </c>
      <c r="AC1" s="166">
        <f>AB1-$D12</f>
        <v/>
      </c>
      <c r="AD1" s="166">
        <f>AC1-$D12</f>
        <v/>
      </c>
      <c r="AE1" s="166">
        <f>AD1-$D12</f>
        <v/>
      </c>
      <c r="AF1" s="166">
        <f>AE1-$D12</f>
        <v/>
      </c>
      <c r="AG1" s="166">
        <f>AF1-$D12</f>
        <v/>
      </c>
      <c r="AH1" s="166">
        <f>AG1-$D12</f>
        <v/>
      </c>
      <c r="AI1" s="166">
        <f>AH1-$D12</f>
        <v/>
      </c>
    </row>
    <row r="2" ht="21.75" customHeight="1" s="161">
      <c r="B2" s="205" t="inlineStr">
        <is>
          <t>電站名稱</t>
        </is>
      </c>
      <c r="C2" s="206" t="inlineStr">
        <is>
          <t>淡江大學</t>
        </is>
      </c>
      <c r="D2" s="169" t="inlineStr">
        <is>
          <t>-</t>
        </is>
      </c>
      <c r="E2" s="170" t="inlineStr">
        <is>
          <t>-</t>
        </is>
      </c>
      <c r="F2" s="207" t="inlineStr">
        <is>
          <t>填入本案場名稱</t>
        </is>
      </c>
    </row>
    <row r="3" ht="21.75" customHeight="1" s="161">
      <c r="B3" s="208" t="inlineStr">
        <is>
          <t>電站壽命</t>
        </is>
      </c>
      <c r="C3" s="209" t="n">
        <v>20</v>
      </c>
      <c r="D3" s="174" t="inlineStr">
        <is>
          <t>-</t>
        </is>
      </c>
      <c r="E3" s="175" t="inlineStr">
        <is>
          <t>-</t>
        </is>
      </c>
      <c r="F3" s="171" t="inlineStr">
        <is>
          <t>預設 20 年，代表財務評估年期。若合約年限不同可依實際情況修改</t>
        </is>
      </c>
    </row>
    <row r="4" ht="21.75" customHeight="1" s="161">
      <c r="B4" s="208" t="inlineStr">
        <is>
          <t>建置量(kWp)</t>
        </is>
      </c>
      <c r="C4" s="209" t="n">
        <v>436.1</v>
      </c>
      <c r="D4" s="174" t="inlineStr">
        <is>
          <t>-</t>
        </is>
      </c>
      <c r="E4" s="175" t="inlineStr">
        <is>
          <t>-</t>
        </is>
      </c>
      <c r="F4" s="171" t="inlineStr">
        <is>
          <t>填入裝置容量（kWp），通常由設計圖面或報價書取得</t>
        </is>
      </c>
      <c r="M4" s="160" t="inlineStr">
        <is>
          <t>情境編號: 1</t>
        </is>
      </c>
    </row>
    <row r="5" ht="22.5" customHeight="1" s="161">
      <c r="B5" s="210" t="inlineStr">
        <is>
          <t>起始年度</t>
        </is>
      </c>
      <c r="C5" s="209" t="n">
        <v>2020</v>
      </c>
      <c r="D5" s="210" t="inlineStr">
        <is>
          <t>結束年度</t>
        </is>
      </c>
      <c r="E5" s="211" t="n">
        <v>2039</v>
      </c>
      <c r="F5" s="171" t="inlineStr">
        <is>
          <t>填入電站預計掛表的西元年份（例：2025）。結束年度會自動計算</t>
        </is>
      </c>
      <c r="M5" s="160" t="inlineStr">
        <is>
          <t>初始價金摘要</t>
        </is>
      </c>
    </row>
    <row r="6" ht="20.25" customHeight="1" s="161">
      <c r="B6" s="176" t="n"/>
      <c r="C6" s="176" t="n"/>
      <c r="D6" s="176" t="n"/>
      <c r="E6" s="176" t="n"/>
      <c r="M6" s="160" t="inlineStr">
        <is>
          <t>價金: 30000</t>
        </is>
      </c>
    </row>
    <row r="7" ht="22.5" customHeight="1" s="161">
      <c r="B7" s="162" t="inlineStr">
        <is>
          <t>綜合損益表</t>
        </is>
      </c>
      <c r="C7" s="203" t="n"/>
      <c r="D7" s="203" t="n"/>
      <c r="E7" s="204" t="n"/>
      <c r="M7" s="160" t="inlineStr">
        <is>
          <t>專案IRR: 5.23</t>
        </is>
      </c>
    </row>
    <row r="8" ht="22.5" customHeight="1" s="161">
      <c r="B8" s="178" t="inlineStr">
        <is>
          <t>收入</t>
        </is>
      </c>
      <c r="E8" s="212" t="n"/>
      <c r="M8" s="160" t="inlineStr">
        <is>
          <t>權益法IRR: 13.98</t>
        </is>
      </c>
    </row>
    <row r="9" ht="22.5" customHeight="1" s="161">
      <c r="B9" s="213" t="inlineStr">
        <is>
          <t>收支項目</t>
        </is>
      </c>
      <c r="C9" s="214" t="inlineStr">
        <is>
          <t>相關參數</t>
        </is>
      </c>
      <c r="D9" s="214" t="inlineStr">
        <is>
          <t>參數數值</t>
        </is>
      </c>
      <c r="E9" s="215" t="inlineStr">
        <is>
          <t>年限</t>
        </is>
      </c>
      <c r="F9" s="165" t="inlineStr">
        <is>
          <t>說明</t>
        </is>
      </c>
      <c r="M9" s="160" t="inlineStr">
        <is>
          <t>利潤率: 20.00%</t>
        </is>
      </c>
    </row>
    <row r="10" ht="30" customHeight="1" s="161">
      <c r="B10" s="216" t="inlineStr">
        <is>
          <t>電費收入</t>
        </is>
      </c>
      <c r="C10" s="217" t="inlineStr">
        <is>
          <t>年度AC併網總發電量</t>
        </is>
      </c>
      <c r="D10" s="218" t="n">
        <v>547002</v>
      </c>
      <c r="E10" s="185" t="n">
        <v>20</v>
      </c>
      <c r="F10" s="171" t="inlineStr">
        <is>
          <t>預估年發電量（kWh），通常來自 PVsyst 模擬或估算：裝置容量 × 年日照時數 × 系統效率</t>
        </is>
      </c>
      <c r="M10" s="160" t="inlineStr">
        <is>
          <t>初始價金 - 現金模式，每次減少 2000 元</t>
        </is>
      </c>
    </row>
    <row r="11" ht="30" customHeight="1" s="161">
      <c r="B11" s="219" t="n"/>
      <c r="C11" s="210" t="inlineStr">
        <is>
          <t>首年衰退率</t>
        </is>
      </c>
      <c r="D11" s="220" t="n">
        <v>0.01</v>
      </c>
      <c r="E11" s="221" t="n"/>
      <c r="F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B12" s="219" t="n"/>
      <c r="C12" s="210" t="inlineStr">
        <is>
          <t>次年衰退率</t>
        </is>
      </c>
      <c r="D12" s="222" t="n">
        <v>0.004</v>
      </c>
      <c r="E12" s="221" t="n"/>
      <c r="F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B13" s="219" t="n"/>
      <c r="C13" s="223" t="inlineStr">
        <is>
          <t>躉售費率(FIT) / 綠電費率</t>
        </is>
      </c>
      <c r="D13" s="224" t="n">
        <v>4</v>
      </c>
      <c r="E13" s="221" t="n"/>
      <c r="F13" s="171" t="inlineStr">
        <is>
          <t>與台電簽訂的躉購費率或綠電合約費率，單位：元/度。請參考台電公告或合約內容</t>
        </is>
      </c>
    </row>
    <row r="14" ht="22.5" customHeight="1" s="161">
      <c r="B14" s="192" t="inlineStr">
        <is>
          <t>支出</t>
        </is>
      </c>
      <c r="C14" s="203" t="n"/>
      <c r="D14" s="203" t="n"/>
      <c r="E14" s="204" t="n"/>
    </row>
    <row r="15" ht="22.5" customHeight="1" s="161">
      <c r="B15" s="213" t="inlineStr">
        <is>
          <t>收支項目</t>
        </is>
      </c>
      <c r="C15" s="214" t="inlineStr">
        <is>
          <t>相關參數</t>
        </is>
      </c>
      <c r="D15" s="214" t="inlineStr">
        <is>
          <t>參數數值</t>
        </is>
      </c>
      <c r="E15" s="215" t="inlineStr">
        <is>
          <t>攤提年限</t>
        </is>
      </c>
      <c r="F15" s="165" t="inlineStr">
        <is>
          <t>說明</t>
        </is>
      </c>
    </row>
    <row r="16" ht="21.75" customHeight="1" s="161">
      <c r="B16" s="217" t="inlineStr">
        <is>
          <t>設備費用(價金)</t>
        </is>
      </c>
      <c r="C16" s="217" t="inlineStr">
        <is>
          <t>每kWp設備成本</t>
        </is>
      </c>
      <c r="D16" s="225" t="n">
        <v>30000</v>
      </c>
      <c r="E16" s="170" t="n">
        <v>20</v>
      </c>
      <c r="F16" s="171" t="inlineStr">
        <is>
          <t>每峰瓩設備成本（元/kWp），包含模組、逆變器、支架等硬體，不含工程施工費</t>
        </is>
      </c>
    </row>
    <row r="17" ht="21.75" customHeight="1" s="161">
      <c r="B17" s="219" t="n"/>
      <c r="C17" s="210" t="inlineStr">
        <is>
          <t>信邦利潤率(ex:20%填0.2)</t>
        </is>
      </c>
      <c r="D17" s="226" t="n">
        <v>0.2</v>
      </c>
      <c r="E17" s="221" t="n"/>
      <c r="F17" s="171" t="inlineStr">
        <is>
          <t>公司在設備費用上加計的利潤比率，請填小數（例：20% → 填 0.2）</t>
        </is>
      </c>
    </row>
    <row r="18" ht="21.75" customHeight="1" s="161">
      <c r="B18" s="227" t="n"/>
      <c r="C18" s="210" t="inlineStr">
        <is>
          <t>開發費</t>
        </is>
      </c>
      <c r="D18" s="228" t="n">
        <v>2500</v>
      </c>
      <c r="E18" s="229" t="n"/>
      <c r="F18" s="171" t="inlineStr">
        <is>
          <t>前期開發費用（元），含可行性評估、申請規費、地主溝通等。若無則填 0</t>
        </is>
      </c>
    </row>
    <row r="19" ht="54" customHeight="1" s="161">
      <c r="B19" s="210" t="inlineStr">
        <is>
          <t>租金費用</t>
        </is>
      </c>
      <c r="C19" s="230" t="inlineStr">
        <is>
          <t>租金計算方式</t>
        </is>
      </c>
      <c r="D19" s="226" t="n">
        <v>1</v>
      </c>
      <c r="E19" s="170" t="n">
        <v>20</v>
      </c>
      <c r="F19" s="171" t="inlineStr">
        <is>
          <t>填 1 = 固定年租金（需填方式1參數）；填 2 = 依電費收入抽成（需填方式2參數）</t>
        </is>
      </c>
    </row>
    <row r="20" ht="20.25" customHeight="1" s="161">
      <c r="B20" s="219" t="n"/>
      <c r="C20" s="231" t="inlineStr">
        <is>
          <t>【方式1參數】每年相同價格</t>
        </is>
      </c>
      <c r="D20" s="228" t="n">
        <v>290201</v>
      </c>
      <c r="E20" s="170" t="n">
        <v>20</v>
      </c>
      <c r="F20" s="171" t="inlineStr">
        <is>
          <t>租金計算方式選「1」時填寫，固定年租金金額（元/年），套用至整個電站壽命期</t>
        </is>
      </c>
    </row>
    <row r="21" ht="30" customHeight="1" s="161">
      <c r="B21" s="227" t="n"/>
      <c r="C21" s="210" t="inlineStr">
        <is>
          <t>【方式2參數】抽成比率</t>
        </is>
      </c>
      <c r="D21" s="226" t="n">
        <v>0</v>
      </c>
      <c r="E21" s="175" t="n">
        <v>20</v>
      </c>
      <c r="F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B22" s="210" t="inlineStr">
        <is>
          <t>運維費用</t>
        </is>
      </c>
      <c r="C22" s="210" t="inlineStr">
        <is>
          <t>每kw運維成本</t>
        </is>
      </c>
      <c r="D22" s="232" t="n">
        <v>400</v>
      </c>
      <c r="E22" s="175" t="n">
        <v>20</v>
      </c>
      <c r="F22" s="171" t="inlineStr">
        <is>
          <t>每峰瓩每年運維費用（元/kWp/年），含清洗、巡檢、維修等。</t>
        </is>
      </c>
    </row>
    <row r="23" ht="30" customHeight="1" s="161">
      <c r="B23" s="210" t="inlineStr">
        <is>
          <t>保險費用</t>
        </is>
      </c>
      <c r="C23" s="210" t="inlineStr">
        <is>
          <t>占整體設備費用比例</t>
        </is>
      </c>
      <c r="D23" s="226" t="n">
        <v>0.003</v>
      </c>
      <c r="E23" s="175" t="n">
        <v>20</v>
      </c>
      <c r="F23" s="171" t="inlineStr">
        <is>
          <t>保險費佔設備總費用比率，填小數（例：0.3% → 填 0.003）。預設 0.003，可依投保條件調整</t>
        </is>
      </c>
    </row>
    <row r="24" ht="30" customHeight="1" s="161">
      <c r="B24" s="210" t="inlineStr">
        <is>
          <t>模組回收費用</t>
        </is>
      </c>
      <c r="C24" s="210" t="inlineStr">
        <is>
          <t>每kw模組回收成本</t>
        </is>
      </c>
      <c r="D24" s="232" t="n">
        <v>1000</v>
      </c>
      <c r="E24" s="199" t="n">
        <v>10</v>
      </c>
      <c r="F24" s="171" t="inlineStr">
        <is>
          <t>每峰瓩模組廢棄回收費用（元/kWp），於第 1~10 年計提（攤提 10 年）。</t>
        </is>
      </c>
    </row>
    <row r="25" ht="30" customHeight="1" s="161">
      <c r="B25" s="210" t="inlineStr">
        <is>
          <t>利息費用</t>
        </is>
      </c>
      <c r="C25" s="210" t="inlineStr">
        <is>
          <t>銀行利率</t>
        </is>
      </c>
      <c r="D25" s="233" t="n">
        <v>0.0256</v>
      </c>
      <c r="E25" s="175" t="n">
        <v>20</v>
      </c>
      <c r="F25" s="171" t="inlineStr">
        <is>
          <t>向銀行貸款的年利率，填小數（例：2.56% → 填 0.0256）。請依銀行核准利率填入</t>
        </is>
      </c>
    </row>
    <row r="26" ht="30" customHeight="1" s="161">
      <c r="B26" s="210" t="inlineStr">
        <is>
          <t>所得稅</t>
        </is>
      </c>
      <c r="C26" s="210" t="inlineStr">
        <is>
          <t>所得稅率</t>
        </is>
      </c>
      <c r="D26" s="226" t="n">
        <v>0.2</v>
      </c>
      <c r="E26" s="175" t="n">
        <v>20</v>
      </c>
      <c r="F26" s="171" t="inlineStr">
        <is>
          <t>公司所得稅率，填小數（例：20% → 填 0.2）。預設 0.2，通常不需更改</t>
        </is>
      </c>
    </row>
    <row r="27" ht="20.25" customHeight="1" s="161">
      <c r="B27" s="176" t="n"/>
      <c r="C27" s="176" t="n"/>
      <c r="D27" s="176" t="n"/>
      <c r="E27" s="176" t="n"/>
    </row>
    <row r="28" ht="20.25" customHeight="1" s="161">
      <c r="B28" s="176" t="n"/>
      <c r="C28" s="176" t="n"/>
      <c r="D28" s="176" t="n"/>
      <c r="E28" s="176" t="n"/>
    </row>
    <row r="29" ht="22.5" customHeight="1" s="161">
      <c r="B29" s="162" t="inlineStr">
        <is>
          <t>現金流量表</t>
        </is>
      </c>
      <c r="C29" s="203" t="n"/>
      <c r="D29" s="204" t="n"/>
      <c r="E29" s="176" t="n"/>
    </row>
    <row r="30" ht="22.5" customHeight="1" s="161">
      <c r="B30" s="213" t="inlineStr">
        <is>
          <t>金流項目</t>
        </is>
      </c>
      <c r="C30" s="234" t="inlineStr">
        <is>
          <t>相關參數</t>
        </is>
      </c>
      <c r="D30" s="235" t="inlineStr">
        <is>
          <t>參數數值</t>
        </is>
      </c>
      <c r="E30" s="176" t="n"/>
      <c r="F30" s="165" t="inlineStr">
        <is>
          <t>說明</t>
        </is>
      </c>
    </row>
    <row r="31" ht="30" customHeight="1" s="161">
      <c r="B31" s="217" t="inlineStr">
        <is>
          <t>貸款成數</t>
        </is>
      </c>
      <c r="C31" s="205" t="inlineStr">
        <is>
          <t>占總設備費用比例</t>
        </is>
      </c>
      <c r="D31" s="236" t="n">
        <v>0.8</v>
      </c>
      <c r="E31" s="176" t="n"/>
      <c r="F31" s="171" t="inlineStr">
        <is>
          <t>貸款佔設備總費用比例，填小數（例：80% → 填 0.8）。預設 0.8 代表貸八成、自備二成</t>
        </is>
      </c>
    </row>
    <row r="32" ht="18.75" customHeight="1" s="161">
      <c r="B32" s="217" t="inlineStr">
        <is>
          <t>貸款還款</t>
        </is>
      </c>
      <c r="C32" s="205" t="inlineStr">
        <is>
          <t>攤還期數</t>
        </is>
      </c>
      <c r="D32" s="236" t="n">
        <v>15</v>
      </c>
      <c r="E32" s="176" t="n"/>
      <c r="F32" s="171" t="inlineStr">
        <is>
          <t>貸款還款年數（年）。預設 15 年，代表分 15 年平均攤還本金</t>
        </is>
      </c>
    </row>
    <row r="33" ht="18.75" customHeight="1" s="161">
      <c r="B33" s="210" t="inlineStr">
        <is>
          <t>現金股利</t>
        </is>
      </c>
      <c r="C33" s="208" t="inlineStr">
        <is>
          <t>股利比率</t>
        </is>
      </c>
      <c r="D33" s="226" t="n">
        <v>0.9</v>
      </c>
      <c r="E33" s="176" t="n"/>
      <c r="F33" s="171" t="inlineStr">
        <is>
          <t>稅後現金流中分配給股東的比例，填小數（例：90% → 填 0.9）</t>
        </is>
      </c>
    </row>
    <row r="34" ht="30" customHeight="1" s="161">
      <c r="B34" s="210" t="inlineStr">
        <is>
          <t>年底減資</t>
        </is>
      </c>
      <c r="C34" s="208" t="inlineStr">
        <is>
          <t>攤還期數</t>
        </is>
      </c>
      <c r="D34" s="226" t="n">
        <v>4</v>
      </c>
      <c r="E34" s="176" t="n"/>
      <c r="F34" s="171" t="inlineStr">
        <is>
          <t>年底減資返還股東的年數。預設 4 年，代表 倒數 4 年進行減資，加速資金返還</t>
        </is>
      </c>
    </row>
    <row r="35" ht="18.75" customHeight="1" s="161"/>
    <row r="36" ht="18.75" customHeight="1" s="161"/>
    <row r="37" ht="18.75" customHeight="1" s="161">
      <c r="B37" s="237" t="n"/>
      <c r="C37" s="238" t="inlineStr">
        <is>
          <t>年份</t>
        </is>
      </c>
      <c r="D37" s="238" t="n">
        <v>2020</v>
      </c>
      <c r="E37" s="238" t="n">
        <v>2021</v>
      </c>
      <c r="F37" s="238" t="n">
        <v>2022</v>
      </c>
      <c r="G37" s="238" t="n">
        <v>2023</v>
      </c>
      <c r="H37" s="238" t="n">
        <v>2024</v>
      </c>
      <c r="I37" s="238" t="n">
        <v>2025</v>
      </c>
      <c r="J37" s="238" t="n">
        <v>2026</v>
      </c>
      <c r="K37" s="238" t="n">
        <v>2027</v>
      </c>
      <c r="L37" s="238" t="n">
        <v>2028</v>
      </c>
      <c r="M37" s="238" t="n">
        <v>2029</v>
      </c>
      <c r="N37" s="238" t="n">
        <v>2030</v>
      </c>
      <c r="O37" s="238" t="n">
        <v>2031</v>
      </c>
      <c r="P37" s="238" t="n">
        <v>2032</v>
      </c>
      <c r="Q37" s="238" t="n">
        <v>2033</v>
      </c>
      <c r="R37" s="238" t="n">
        <v>2034</v>
      </c>
      <c r="S37" s="238" t="n">
        <v>2035</v>
      </c>
      <c r="T37" s="238" t="n">
        <v>2036</v>
      </c>
      <c r="U37" s="238" t="n">
        <v>2037</v>
      </c>
      <c r="V37" s="238" t="n">
        <v>2038</v>
      </c>
      <c r="W37" s="238" t="n">
        <v>2039</v>
      </c>
      <c r="X37" s="238" t="n"/>
    </row>
    <row r="38" ht="18.75" customHeight="1" s="161">
      <c r="B38" s="239" t="n">
        <v>0</v>
      </c>
      <c r="C38" s="240" t="n"/>
      <c r="D38" s="241" t="n"/>
      <c r="E38" s="241" t="n"/>
      <c r="F38" s="242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4" t="n"/>
      <c r="U38" s="243" t="n"/>
      <c r="V38" s="243" t="n"/>
      <c r="W38" s="243" t="n"/>
      <c r="X38" s="245" t="n"/>
    </row>
    <row r="39" ht="18.75" customHeight="1" s="161">
      <c r="B39" s="246" t="inlineStr">
        <is>
          <t>(Unit : Currency)</t>
        </is>
      </c>
      <c r="C39" s="247" t="n">
        <v>0</v>
      </c>
      <c r="D39" s="248" t="n">
        <v>1</v>
      </c>
      <c r="E39" s="248" t="n">
        <v>2</v>
      </c>
      <c r="F39" s="248" t="n">
        <v>3</v>
      </c>
      <c r="G39" s="248" t="n">
        <v>4</v>
      </c>
      <c r="H39" s="248" t="n">
        <v>5</v>
      </c>
      <c r="I39" s="248" t="n">
        <v>6</v>
      </c>
      <c r="J39" s="248" t="n">
        <v>7</v>
      </c>
      <c r="K39" s="248" t="n">
        <v>8</v>
      </c>
      <c r="L39" s="248" t="n">
        <v>9</v>
      </c>
      <c r="M39" s="248" t="n">
        <v>10</v>
      </c>
      <c r="N39" s="248" t="n">
        <v>11</v>
      </c>
      <c r="O39" s="248" t="n">
        <v>12</v>
      </c>
      <c r="P39" s="248" t="n">
        <v>13</v>
      </c>
      <c r="Q39" s="248" t="n">
        <v>14</v>
      </c>
      <c r="R39" s="248" t="n">
        <v>15</v>
      </c>
      <c r="S39" s="248" t="n">
        <v>16</v>
      </c>
      <c r="T39" s="249" t="n">
        <v>17</v>
      </c>
      <c r="U39" s="248" t="n">
        <v>18</v>
      </c>
      <c r="V39" s="248" t="n">
        <v>19</v>
      </c>
      <c r="W39" s="248" t="n">
        <v>20</v>
      </c>
      <c r="X39" s="250" t="n"/>
    </row>
    <row r="40" ht="18.75" customHeight="1" s="161">
      <c r="B40" s="251" t="inlineStr">
        <is>
          <t>發電度數(KWH)</t>
        </is>
      </c>
      <c r="C40" s="252" t="n">
        <v>0</v>
      </c>
      <c r="D40" s="253">
        <f>$D$10*P1</f>
        <v/>
      </c>
      <c r="E40" s="253">
        <f>$D$10*Q1</f>
        <v/>
      </c>
      <c r="F40" s="253">
        <f>$D$10*R1</f>
        <v/>
      </c>
      <c r="G40" s="253">
        <f>$D$10*S1</f>
        <v/>
      </c>
      <c r="H40" s="253">
        <f>$D$10*T1</f>
        <v/>
      </c>
      <c r="I40" s="253">
        <f>$D$10*U1</f>
        <v/>
      </c>
      <c r="J40" s="253">
        <f>$D$10*V1</f>
        <v/>
      </c>
      <c r="K40" s="253">
        <f>$D$10*W1</f>
        <v/>
      </c>
      <c r="L40" s="253">
        <f>$D$10*X1</f>
        <v/>
      </c>
      <c r="M40" s="253">
        <f>$D$10*Y1</f>
        <v/>
      </c>
      <c r="N40" s="253">
        <f>$D$10*Z1</f>
        <v/>
      </c>
      <c r="O40" s="253">
        <f>$D$10*AA1</f>
        <v/>
      </c>
      <c r="P40" s="253">
        <f>$D$10*AB1</f>
        <v/>
      </c>
      <c r="Q40" s="253">
        <f>$D$10*AC1</f>
        <v/>
      </c>
      <c r="R40" s="253">
        <f>$D$10*AD1</f>
        <v/>
      </c>
      <c r="S40" s="253">
        <f>$D$10*AE1</f>
        <v/>
      </c>
      <c r="T40" s="253">
        <f>$D$10*AF1</f>
        <v/>
      </c>
      <c r="U40" s="253">
        <f>$D$10*AG1</f>
        <v/>
      </c>
      <c r="V40" s="253">
        <f>$D$10*AH1</f>
        <v/>
      </c>
      <c r="W40" s="253">
        <f>$D$10*AI1</f>
        <v/>
      </c>
      <c r="X40" s="254" t="n"/>
    </row>
    <row r="41" ht="18.75" customHeight="1" s="161">
      <c r="B41" s="255" t="inlineStr">
        <is>
          <t>Inflow : 電費收入</t>
        </is>
      </c>
      <c r="C41" s="256" t="inlineStr">
        <is>
          <t>-</t>
        </is>
      </c>
      <c r="D41" s="257">
        <f>D40*$D$13</f>
        <v/>
      </c>
      <c r="E41" s="257">
        <f>E40*$D$13</f>
        <v/>
      </c>
      <c r="F41" s="257">
        <f>F40*$D$13</f>
        <v/>
      </c>
      <c r="G41" s="257">
        <f>G40*$D$13</f>
        <v/>
      </c>
      <c r="H41" s="257">
        <f>H40*$D$13</f>
        <v/>
      </c>
      <c r="I41" s="257">
        <f>I40*$D$13</f>
        <v/>
      </c>
      <c r="J41" s="257">
        <f>J40*$D$13</f>
        <v/>
      </c>
      <c r="K41" s="257">
        <f>K40*$D$13</f>
        <v/>
      </c>
      <c r="L41" s="257">
        <f>L40*$D$13</f>
        <v/>
      </c>
      <c r="M41" s="257">
        <f>M40*$D$13</f>
        <v/>
      </c>
      <c r="N41" s="257">
        <f>N40*$D$13</f>
        <v/>
      </c>
      <c r="O41" s="257">
        <f>O40*$D$13</f>
        <v/>
      </c>
      <c r="P41" s="257">
        <f>P40*$D$13</f>
        <v/>
      </c>
      <c r="Q41" s="257">
        <f>Q40*$D$13</f>
        <v/>
      </c>
      <c r="R41" s="257">
        <f>R40*$D$13</f>
        <v/>
      </c>
      <c r="S41" s="257">
        <f>S40*$D$13</f>
        <v/>
      </c>
      <c r="T41" s="257">
        <f>T40*$D$13</f>
        <v/>
      </c>
      <c r="U41" s="257">
        <f>U40*$D$13</f>
        <v/>
      </c>
      <c r="V41" s="257">
        <f>V40*$D$13</f>
        <v/>
      </c>
      <c r="W41" s="257">
        <f>W40*$D$13</f>
        <v/>
      </c>
      <c r="X41" s="258" t="n"/>
    </row>
    <row r="42" ht="18.75" customHeight="1" s="161">
      <c r="B42" s="259" t="inlineStr">
        <is>
          <t>Inflow : 政府補助</t>
        </is>
      </c>
      <c r="C42" s="260" t="inlineStr">
        <is>
          <t>-</t>
        </is>
      </c>
      <c r="D42" s="261" t="n"/>
      <c r="E42" s="261" t="n"/>
      <c r="F42" s="261" t="n"/>
      <c r="G42" s="262" t="inlineStr">
        <is>
          <t>-</t>
        </is>
      </c>
      <c r="H42" s="262" t="inlineStr">
        <is>
          <t>-</t>
        </is>
      </c>
      <c r="I42" s="262" t="inlineStr">
        <is>
          <t>-</t>
        </is>
      </c>
      <c r="J42" s="262" t="inlineStr">
        <is>
          <t>-</t>
        </is>
      </c>
      <c r="K42" s="262" t="inlineStr">
        <is>
          <t>-</t>
        </is>
      </c>
      <c r="L42" s="262" t="inlineStr">
        <is>
          <t>-</t>
        </is>
      </c>
      <c r="M42" s="262" t="inlineStr">
        <is>
          <t>-</t>
        </is>
      </c>
      <c r="N42" s="262" t="inlineStr">
        <is>
          <t>-</t>
        </is>
      </c>
      <c r="O42" s="262" t="inlineStr">
        <is>
          <t>-</t>
        </is>
      </c>
      <c r="P42" s="262" t="inlineStr">
        <is>
          <t>-</t>
        </is>
      </c>
      <c r="Q42" s="262" t="inlineStr">
        <is>
          <t>-</t>
        </is>
      </c>
      <c r="R42" s="262" t="inlineStr">
        <is>
          <t>-</t>
        </is>
      </c>
      <c r="S42" s="262" t="inlineStr">
        <is>
          <t>-</t>
        </is>
      </c>
      <c r="T42" s="262" t="inlineStr">
        <is>
          <t>-</t>
        </is>
      </c>
      <c r="U42" s="262" t="inlineStr">
        <is>
          <t>-</t>
        </is>
      </c>
      <c r="V42" s="262" t="inlineStr">
        <is>
          <t>-</t>
        </is>
      </c>
      <c r="W42" s="262" t="inlineStr">
        <is>
          <t>-</t>
        </is>
      </c>
      <c r="X42" s="263" t="n"/>
    </row>
    <row r="43" ht="18.75" customHeight="1" s="161">
      <c r="B43" s="264" t="inlineStr">
        <is>
          <t>Inflow : 銀行借款</t>
        </is>
      </c>
      <c r="C43" s="265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6" t="n"/>
      <c r="S43" s="266" t="n"/>
      <c r="T43" s="266" t="n"/>
      <c r="U43" s="266" t="n"/>
      <c r="V43" s="266" t="n"/>
      <c r="W43" s="266" t="n"/>
      <c r="X43" s="267" t="n"/>
    </row>
    <row r="44" ht="18.75" customHeight="1" s="161">
      <c r="B44" s="268" t="inlineStr">
        <is>
          <t>Outflow : 設備費用</t>
        </is>
      </c>
      <c r="C44" s="269">
        <f>-(D16/(1-D17)+D18)*C4</f>
        <v/>
      </c>
      <c r="D44" s="270" t="n"/>
      <c r="E44" s="270" t="n"/>
      <c r="F44" s="270" t="n"/>
      <c r="G44" s="270" t="n"/>
      <c r="H44" s="270" t="n"/>
      <c r="I44" s="270" t="n"/>
      <c r="J44" s="270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</row>
    <row r="45" ht="18.75" customHeight="1" s="161">
      <c r="B45" s="268" t="inlineStr">
        <is>
          <t>Outflow : 設備放置區域租金</t>
        </is>
      </c>
      <c r="C45" s="260" t="inlineStr">
        <is>
          <t>-</t>
        </is>
      </c>
      <c r="D45" s="160" t="n">
        <v>-290201</v>
      </c>
      <c r="E45" s="270" t="n">
        <v>-290201</v>
      </c>
      <c r="F45" s="270" t="n">
        <v>-290201</v>
      </c>
      <c r="G45" s="270" t="n">
        <v>-290201</v>
      </c>
      <c r="H45" s="270" t="n">
        <v>-290201</v>
      </c>
      <c r="I45" s="270" t="n">
        <v>-290201</v>
      </c>
      <c r="J45" s="270" t="n">
        <v>-290201</v>
      </c>
      <c r="K45" s="270" t="n">
        <v>-290201</v>
      </c>
      <c r="L45" s="270" t="n">
        <v>-290201</v>
      </c>
      <c r="M45" s="270" t="n">
        <v>-290201</v>
      </c>
      <c r="N45" s="270" t="n">
        <v>-290201</v>
      </c>
      <c r="O45" s="270" t="n">
        <v>-290201</v>
      </c>
      <c r="P45" s="270" t="n">
        <v>-290201</v>
      </c>
      <c r="Q45" s="270" t="n">
        <v>-290201</v>
      </c>
      <c r="R45" s="270" t="n">
        <v>-290201</v>
      </c>
      <c r="S45" s="270" t="n">
        <v>-290201</v>
      </c>
      <c r="T45" s="270" t="n">
        <v>-290201</v>
      </c>
      <c r="U45" s="270" t="n">
        <v>-290201</v>
      </c>
      <c r="V45" s="270" t="n">
        <v>-290201</v>
      </c>
      <c r="W45" s="270" t="n">
        <v>-290201</v>
      </c>
      <c r="X45" s="270" t="n"/>
    </row>
    <row r="46" ht="18.75" customHeight="1" s="161">
      <c r="B46" s="268" t="inlineStr">
        <is>
          <t>Outflow : 返還借款</t>
        </is>
      </c>
      <c r="C46" s="260" t="n"/>
      <c r="D46" s="270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</row>
    <row r="47" ht="18.75" customHeight="1" s="161">
      <c r="B47" s="268" t="inlineStr">
        <is>
          <t>Outflow : 利息費用</t>
        </is>
      </c>
      <c r="C47" s="260" t="inlineStr">
        <is>
          <t>-</t>
        </is>
      </c>
      <c r="D47" s="270" t="n"/>
      <c r="E47" s="270" t="n"/>
      <c r="F47" s="270" t="n"/>
      <c r="G47" s="270" t="n"/>
      <c r="H47" s="270" t="n"/>
      <c r="I47" s="270" t="n"/>
      <c r="J47" s="270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</row>
    <row r="48" ht="18.75" customHeight="1" s="161">
      <c r="B48" s="268" t="inlineStr">
        <is>
          <t>Outflow : 維運費</t>
        </is>
      </c>
      <c r="C48" s="260" t="inlineStr">
        <is>
          <t>-</t>
        </is>
      </c>
      <c r="D48" s="270" t="n">
        <v>-174440</v>
      </c>
      <c r="E48" s="270" t="n">
        <v>-174440</v>
      </c>
      <c r="F48" s="270" t="n">
        <v>-174440</v>
      </c>
      <c r="G48" s="270" t="n">
        <v>-174440</v>
      </c>
      <c r="H48" s="270" t="n">
        <v>-174440</v>
      </c>
      <c r="I48" s="270" t="n">
        <v>-174440</v>
      </c>
      <c r="J48" s="270" t="n">
        <v>-174440</v>
      </c>
      <c r="K48" s="270" t="n">
        <v>-174440</v>
      </c>
      <c r="L48" s="270" t="n">
        <v>-174440</v>
      </c>
      <c r="M48" s="270" t="n">
        <v>-174440</v>
      </c>
      <c r="N48" s="270" t="n">
        <v>-174440</v>
      </c>
      <c r="O48" s="270" t="n">
        <v>-174440</v>
      </c>
      <c r="P48" s="270" t="n">
        <v>-174440</v>
      </c>
      <c r="Q48" s="270" t="n">
        <v>-174440</v>
      </c>
      <c r="R48" s="270" t="n">
        <v>-174440</v>
      </c>
      <c r="S48" s="270" t="n">
        <v>-174440</v>
      </c>
      <c r="T48" s="270" t="n">
        <v>-174440</v>
      </c>
      <c r="U48" s="270" t="n">
        <v>-174440</v>
      </c>
      <c r="V48" s="270" t="n">
        <v>-174440</v>
      </c>
      <c r="W48" s="270" t="n">
        <v>-174440</v>
      </c>
      <c r="X48" s="270" t="n"/>
    </row>
    <row r="49" ht="18.75" customHeight="1" s="161">
      <c r="B49" s="268" t="inlineStr">
        <is>
          <t>Outflow : 保險費</t>
        </is>
      </c>
      <c r="C49" s="260" t="inlineStr">
        <is>
          <t>-</t>
        </is>
      </c>
      <c r="D49" s="270" t="n">
        <v>-39249</v>
      </c>
      <c r="E49" s="270" t="n">
        <v>-39249</v>
      </c>
      <c r="F49" s="270" t="n">
        <v>-39249</v>
      </c>
      <c r="G49" s="270" t="n">
        <v>-39249</v>
      </c>
      <c r="H49" s="270" t="n">
        <v>-39249</v>
      </c>
      <c r="I49" s="270" t="n">
        <v>-39249</v>
      </c>
      <c r="J49" s="270" t="n">
        <v>-39249</v>
      </c>
      <c r="K49" s="270" t="n">
        <v>-39249</v>
      </c>
      <c r="L49" s="270" t="n">
        <v>-39249</v>
      </c>
      <c r="M49" s="270" t="n">
        <v>-39249</v>
      </c>
      <c r="N49" s="270" t="n">
        <v>-39249</v>
      </c>
      <c r="O49" s="270" t="n">
        <v>-39249</v>
      </c>
      <c r="P49" s="270" t="n">
        <v>-39249</v>
      </c>
      <c r="Q49" s="270" t="n">
        <v>-39249</v>
      </c>
      <c r="R49" s="270" t="n">
        <v>-39249</v>
      </c>
      <c r="S49" s="270" t="n">
        <v>-39249</v>
      </c>
      <c r="T49" s="270" t="n">
        <v>-39249</v>
      </c>
      <c r="U49" s="270" t="n">
        <v>-39249</v>
      </c>
      <c r="V49" s="270" t="n">
        <v>-39249</v>
      </c>
      <c r="W49" s="270" t="n">
        <v>-39249</v>
      </c>
      <c r="X49" s="270" t="n"/>
    </row>
    <row r="50" ht="18.75" customHeight="1" s="161">
      <c r="B50" s="268" t="inlineStr">
        <is>
          <t>Outflow : 模組回收費</t>
        </is>
      </c>
      <c r="C50" s="260" t="n"/>
      <c r="D50" s="270" t="n">
        <v>-43610</v>
      </c>
      <c r="E50" s="270" t="n">
        <v>-43610</v>
      </c>
      <c r="F50" s="270" t="n">
        <v>-43610</v>
      </c>
      <c r="G50" s="270" t="n">
        <v>-43610</v>
      </c>
      <c r="H50" s="270" t="n">
        <v>-43610</v>
      </c>
      <c r="I50" s="270" t="n">
        <v>-43610</v>
      </c>
      <c r="J50" s="270" t="n">
        <v>-43610</v>
      </c>
      <c r="K50" s="270" t="n">
        <v>-43610</v>
      </c>
      <c r="L50" s="270" t="n">
        <v>-43610</v>
      </c>
      <c r="M50" s="270" t="n">
        <v>-43610</v>
      </c>
      <c r="N50" s="270" t="n">
        <v>0</v>
      </c>
      <c r="O50" s="270" t="n">
        <v>0</v>
      </c>
      <c r="P50" s="270" t="n">
        <v>0</v>
      </c>
      <c r="Q50" s="270" t="n">
        <v>0</v>
      </c>
      <c r="R50" s="270" t="n">
        <v>0</v>
      </c>
      <c r="S50" s="270" t="n">
        <v>0</v>
      </c>
      <c r="T50" s="270" t="n">
        <v>0</v>
      </c>
      <c r="U50" s="270" t="n">
        <v>0</v>
      </c>
      <c r="V50" s="270" t="n">
        <v>0</v>
      </c>
      <c r="W50" s="270" t="n">
        <v>0</v>
      </c>
      <c r="X50" s="270" t="n"/>
    </row>
    <row r="51" ht="18.75" customHeight="1" s="161">
      <c r="B51" s="268" t="inlineStr">
        <is>
          <t>Outflow : 其它費用(人事薪資…等)</t>
        </is>
      </c>
      <c r="C51" s="271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</row>
    <row r="52" ht="18.75" customHeight="1" s="161">
      <c r="B52" s="268" t="inlineStr">
        <is>
          <t>1%管理費</t>
        </is>
      </c>
      <c r="C52" s="271" t="n"/>
      <c r="D52" s="270" t="n"/>
      <c r="E52" s="270" t="n"/>
      <c r="F52" s="270" t="n"/>
      <c r="G52" s="270" t="n"/>
      <c r="H52" s="270" t="n"/>
      <c r="I52" s="270" t="n"/>
      <c r="J52" s="270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</row>
    <row r="53" ht="18.75" customHeight="1" s="161">
      <c r="B53" s="272" t="inlineStr">
        <is>
          <t>績效獎金</t>
        </is>
      </c>
      <c r="C53" s="271" t="n"/>
      <c r="D53" s="270" t="n"/>
      <c r="E53" s="270" t="n"/>
      <c r="F53" s="270" t="n"/>
      <c r="G53" s="270" t="n"/>
      <c r="H53" s="270" t="n"/>
      <c r="I53" s="270" t="n"/>
      <c r="J53" s="270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</row>
    <row r="54" ht="18.75" customHeight="1" s="161">
      <c r="B54" s="272" t="inlineStr">
        <is>
          <t>所得稅20%</t>
        </is>
      </c>
      <c r="C54" s="271" t="n"/>
      <c r="D54" s="270">
        <f>-(D64+D67+D68+D71+D72+D73+D74)*0.2</f>
        <v/>
      </c>
      <c r="E54" s="270">
        <f>-(E64+E67+E68+E71+E72+E73+E74)*0.2</f>
        <v/>
      </c>
      <c r="F54" s="270">
        <f>-(F64+F67+F68+F71+F72+F73+F74)*0.2</f>
        <v/>
      </c>
      <c r="G54" s="270">
        <f>-(G64+G67+G68+G71+G72+G73+G74)*0.2</f>
        <v/>
      </c>
      <c r="H54" s="270">
        <f>-(H64+H67+H68+H71+H72+H73+H74)*0.2</f>
        <v/>
      </c>
      <c r="I54" s="270">
        <f>-(I64+I67+I68+I71+I72+I73+I74)*0.2</f>
        <v/>
      </c>
      <c r="J54" s="270">
        <f>-(J64+J67+J68+J71+J72+J73+J74)*0.2</f>
        <v/>
      </c>
      <c r="K54" s="270">
        <f>-(K64+K67+K68+K71+K72+K73+K74)*0.2</f>
        <v/>
      </c>
      <c r="L54" s="270">
        <f>-(L64+L67+L68+L71+L72+L73+L74)*0.2</f>
        <v/>
      </c>
      <c r="M54" s="270">
        <f>-(M64+M67+M68+M71+M72+M73+M74)*0.2</f>
        <v/>
      </c>
      <c r="N54" s="270">
        <f>-(N64+N67+N68+N71+N72+N73+N74)*0.2</f>
        <v/>
      </c>
      <c r="O54" s="270">
        <f>-(O64+O67+O68+O71+O72+O73+O74)*0.2</f>
        <v/>
      </c>
      <c r="P54" s="270">
        <f>-(P64+P67+P68+P71+P72+P73+P74)*0.2</f>
        <v/>
      </c>
      <c r="Q54" s="270">
        <f>-(Q64+Q67+Q68+Q71+Q72+Q73+Q74)*0.2</f>
        <v/>
      </c>
      <c r="R54" s="270">
        <f>-(R64+R67+R68+R71+R72+R73+R74)*0.2</f>
        <v/>
      </c>
      <c r="S54" s="270">
        <f>-(S64+S67+S68+S71+S72+S73+S74)*0.2</f>
        <v/>
      </c>
      <c r="T54" s="270">
        <f>-(T64+T67+T68+T71+T72+T73+T74)*0.2</f>
        <v/>
      </c>
      <c r="U54" s="270">
        <f>-(U64+U67+U68+U71+U72+U73+U74)*0.2</f>
        <v/>
      </c>
      <c r="V54" s="270">
        <f>-(V64+V67+V68+V71+V72+V73+V74)*0.2</f>
        <v/>
      </c>
      <c r="W54" s="270">
        <f>-(W64+W67+W68+W71+W72+W73+W74)*0.2</f>
        <v/>
      </c>
      <c r="X54" s="261" t="n"/>
    </row>
    <row r="55" ht="18.75" customHeight="1" s="161">
      <c r="B55" s="273" t="inlineStr">
        <is>
          <t>現金流</t>
        </is>
      </c>
      <c r="C55" s="274">
        <f>C44</f>
        <v/>
      </c>
      <c r="D55" s="275">
        <f>SUM(D41:D54)</f>
        <v/>
      </c>
      <c r="E55" s="275">
        <f>SUM(E41:E54)</f>
        <v/>
      </c>
      <c r="F55" s="275">
        <f>SUM(F41:F54)</f>
        <v/>
      </c>
      <c r="G55" s="275">
        <f>SUM(G41:G54)</f>
        <v/>
      </c>
      <c r="H55" s="275">
        <f>SUM(H41:H54)</f>
        <v/>
      </c>
      <c r="I55" s="275">
        <f>SUM(I41:I54)</f>
        <v/>
      </c>
      <c r="J55" s="275">
        <f>SUM(J41:J54)</f>
        <v/>
      </c>
      <c r="K55" s="275">
        <f>SUM(K41:K54)</f>
        <v/>
      </c>
      <c r="L55" s="275">
        <f>SUM(L41:L54)</f>
        <v/>
      </c>
      <c r="M55" s="275">
        <f>SUM(M41:M54)</f>
        <v/>
      </c>
      <c r="N55" s="275">
        <f>SUM(N41:N54)</f>
        <v/>
      </c>
      <c r="O55" s="275">
        <f>SUM(O41:O54)</f>
        <v/>
      </c>
      <c r="P55" s="275">
        <f>SUM(P41:P54)</f>
        <v/>
      </c>
      <c r="Q55" s="275">
        <f>SUM(Q41:Q54)</f>
        <v/>
      </c>
      <c r="R55" s="275">
        <f>SUM(R41:R54)</f>
        <v/>
      </c>
      <c r="S55" s="275">
        <f>SUM(S41:S54)</f>
        <v/>
      </c>
      <c r="T55" s="275">
        <f>SUM(T41:T54)</f>
        <v/>
      </c>
      <c r="U55" s="275">
        <f>SUM(U41:U54)</f>
        <v/>
      </c>
      <c r="V55" s="275">
        <f>SUM(V41:V54)</f>
        <v/>
      </c>
      <c r="W55" s="275">
        <f>SUM(W41:W54)</f>
        <v/>
      </c>
      <c r="X55" s="276" t="n"/>
      <c r="Y55" s="277" t="n"/>
      <c r="Z55" s="278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</row>
    <row r="56" ht="18.75" customHeight="1" s="161">
      <c r="B56" s="279" t="inlineStr">
        <is>
          <t>累計現金流</t>
        </is>
      </c>
      <c r="D56" s="280">
        <f>C55+D55</f>
        <v/>
      </c>
      <c r="E56" s="280">
        <f>D56+E55</f>
        <v/>
      </c>
      <c r="F56" s="280">
        <f>E56+F55</f>
        <v/>
      </c>
      <c r="G56" s="280">
        <f>F56+G55</f>
        <v/>
      </c>
      <c r="H56" s="280">
        <f>G56+H55</f>
        <v/>
      </c>
      <c r="I56" s="280">
        <f>H56+I55</f>
        <v/>
      </c>
      <c r="J56" s="280">
        <f>I56+J55</f>
        <v/>
      </c>
      <c r="K56" s="280">
        <f>J56+K55</f>
        <v/>
      </c>
      <c r="L56" s="280">
        <f>K56+L55</f>
        <v/>
      </c>
      <c r="M56" s="280">
        <f>L56+M55</f>
        <v/>
      </c>
      <c r="N56" s="280">
        <f>M56+N55</f>
        <v/>
      </c>
      <c r="O56" s="280">
        <f>N56+O55</f>
        <v/>
      </c>
      <c r="P56" s="280">
        <f>O56+P55</f>
        <v/>
      </c>
      <c r="Q56" s="280">
        <f>P56+Q55</f>
        <v/>
      </c>
      <c r="R56" s="280">
        <f>Q56+R55</f>
        <v/>
      </c>
      <c r="S56" s="280">
        <f>R56+S55</f>
        <v/>
      </c>
      <c r="T56" s="280">
        <f>S56+T55</f>
        <v/>
      </c>
      <c r="U56" s="280">
        <f>T56+U55</f>
        <v/>
      </c>
      <c r="V56" s="280">
        <f>U56+V55</f>
        <v/>
      </c>
      <c r="W56" s="280">
        <f>V56+W55</f>
        <v/>
      </c>
      <c r="X56" s="280">
        <f>W56+X55</f>
        <v/>
      </c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</row>
    <row r="57" ht="18.75" customHeight="1" s="161">
      <c r="B57" s="281" t="inlineStr">
        <is>
          <t>回收年限評估</t>
        </is>
      </c>
      <c r="C57" s="282" t="n"/>
      <c r="D57" s="283">
        <f>IF((D56)&gt;0,"回收","未回收")</f>
        <v/>
      </c>
      <c r="E57" s="284">
        <f>IF((E56)&gt;0,"回收","未回收")</f>
        <v/>
      </c>
      <c r="F57" s="284">
        <f>IF((F56)&gt;0,"回收","未回收")</f>
        <v/>
      </c>
      <c r="G57" s="284">
        <f>IF((G56)&gt;0,"回收","未回收")</f>
        <v/>
      </c>
      <c r="H57" s="284">
        <f>IF((H56)&gt;0,"回收","未回收")</f>
        <v/>
      </c>
      <c r="I57" s="284">
        <f>IF((I56)&gt;0,"回收","未回收")</f>
        <v/>
      </c>
      <c r="J57" s="284">
        <f>IF((J56)&gt;0,"回收","未回收")</f>
        <v/>
      </c>
      <c r="K57" s="284">
        <f>IF((K56)&gt;0,"回收","未回收")</f>
        <v/>
      </c>
      <c r="L57" s="284">
        <f>IF((L56)&gt;0,"回收","未回收")</f>
        <v/>
      </c>
      <c r="M57" s="284">
        <f>IF((M56)&gt;0,"回收","未回收")</f>
        <v/>
      </c>
      <c r="N57" s="284">
        <f>IF((N56)&gt;0,"回收","未回收")</f>
        <v/>
      </c>
      <c r="O57" s="284">
        <f>IF((O56)&gt;0,"回收","未回收")</f>
        <v/>
      </c>
      <c r="P57" s="284">
        <f>IF((P56)&gt;0,"回收","未回收")</f>
        <v/>
      </c>
      <c r="Q57" s="284">
        <f>IF((Q56)&gt;0,"回收","未回收")</f>
        <v/>
      </c>
      <c r="R57" s="284">
        <f>IF((R56)&gt;0,"回收","未回收")</f>
        <v/>
      </c>
      <c r="S57" s="284">
        <f>IF((S56)&gt;0,"回收","未回收")</f>
        <v/>
      </c>
      <c r="T57" s="284">
        <f>IF((T56)&gt;0,"回收","未回收")</f>
        <v/>
      </c>
      <c r="U57" s="284">
        <f>IF((U56)&gt;0,"回收","未回收")</f>
        <v/>
      </c>
      <c r="V57" s="284">
        <f>IF((V56)&gt;0,"回收","未回收")</f>
        <v/>
      </c>
      <c r="W57" s="284">
        <f>IF((W56)&gt;0,"回收","未回收")</f>
        <v/>
      </c>
      <c r="X57" s="284">
        <f>IF((X56)&gt;0,"回收","未回收")</f>
        <v/>
      </c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</row>
    <row r="58" ht="18.75" customHeight="1" s="161">
      <c r="B58" s="285" t="inlineStr">
        <is>
          <t>專案法IRR</t>
        </is>
      </c>
      <c r="C58" s="286">
        <f>IRR(C55:W55)</f>
        <v/>
      </c>
      <c r="D58" s="287" t="n"/>
      <c r="E58" s="287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</row>
    <row r="59" ht="18.75" customHeight="1" s="161">
      <c r="B59" s="288" t="n"/>
      <c r="C59" s="287" t="n"/>
      <c r="D59" s="287" t="n"/>
      <c r="E59" s="287" t="n"/>
      <c r="F59" s="288" t="n"/>
      <c r="G59" s="288" t="n"/>
      <c r="H59" s="288" t="n"/>
      <c r="I59" s="288" t="n"/>
      <c r="J59" s="288" t="n"/>
      <c r="K59" s="288" t="n"/>
      <c r="L59" s="288" t="n"/>
      <c r="M59" s="287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</row>
    <row r="60" ht="18.75" customHeight="1" s="161">
      <c r="B60" s="237" t="n"/>
      <c r="C60" s="238" t="inlineStr">
        <is>
          <t>年份</t>
        </is>
      </c>
      <c r="D60" s="238">
        <f>D37</f>
        <v/>
      </c>
      <c r="E60" s="238">
        <f>E37</f>
        <v/>
      </c>
      <c r="F60" s="238">
        <f>F37</f>
        <v/>
      </c>
      <c r="G60" s="238">
        <f>G37</f>
        <v/>
      </c>
      <c r="H60" s="238">
        <f>H37</f>
        <v/>
      </c>
      <c r="I60" s="238">
        <f>I37</f>
        <v/>
      </c>
      <c r="J60" s="238">
        <f>J37</f>
        <v/>
      </c>
      <c r="K60" s="238">
        <f>K37</f>
        <v/>
      </c>
      <c r="L60" s="238">
        <f>L37</f>
        <v/>
      </c>
      <c r="M60" s="238">
        <f>M37</f>
        <v/>
      </c>
      <c r="N60" s="238">
        <f>N37</f>
        <v/>
      </c>
      <c r="O60" s="238">
        <f>O37</f>
        <v/>
      </c>
      <c r="P60" s="238">
        <f>P37</f>
        <v/>
      </c>
      <c r="Q60" s="238">
        <f>Q37</f>
        <v/>
      </c>
      <c r="R60" s="238">
        <f>R37</f>
        <v/>
      </c>
      <c r="S60" s="238">
        <f>S37</f>
        <v/>
      </c>
      <c r="T60" s="238">
        <f>T37</f>
        <v/>
      </c>
      <c r="U60" s="238">
        <f>U37</f>
        <v/>
      </c>
      <c r="V60" s="238">
        <f>V37</f>
        <v/>
      </c>
      <c r="W60" s="238">
        <f>W37</f>
        <v/>
      </c>
      <c r="X60" s="238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</row>
    <row r="61" ht="18.75" customHeight="1" s="161">
      <c r="B61" s="239" t="n">
        <v>0</v>
      </c>
      <c r="C61" s="240" t="n"/>
      <c r="D61" s="241" t="n"/>
      <c r="E61" s="241" t="n"/>
      <c r="F61" s="242" t="n"/>
      <c r="G61" s="243" t="n"/>
      <c r="H61" s="243" t="n"/>
      <c r="I61" s="243" t="n"/>
      <c r="J61" s="243" t="n"/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91" t="inlineStr">
        <is>
          <t>償還年限</t>
        </is>
      </c>
      <c r="U61" s="243" t="n"/>
      <c r="V61" s="243" t="n"/>
      <c r="W61" s="243" t="n"/>
      <c r="X61" s="245" t="n"/>
    </row>
    <row r="62" ht="18.75" customHeight="1" s="161">
      <c r="B62" s="246" t="inlineStr">
        <is>
          <t>(Unit : Currency)</t>
        </is>
      </c>
      <c r="C62" s="247" t="n">
        <v>0</v>
      </c>
      <c r="D62" s="248" t="n">
        <v>1</v>
      </c>
      <c r="E62" s="248" t="n">
        <v>2</v>
      </c>
      <c r="F62" s="248" t="n">
        <v>3</v>
      </c>
      <c r="G62" s="248" t="n">
        <v>4</v>
      </c>
      <c r="H62" s="248" t="n">
        <v>5</v>
      </c>
      <c r="I62" s="248" t="n">
        <v>6</v>
      </c>
      <c r="J62" s="248" t="n">
        <v>7</v>
      </c>
      <c r="K62" s="248" t="n">
        <v>8</v>
      </c>
      <c r="L62" s="248" t="n">
        <v>9</v>
      </c>
      <c r="M62" s="248" t="n">
        <v>10</v>
      </c>
      <c r="N62" s="248" t="n">
        <v>11</v>
      </c>
      <c r="O62" s="248" t="n">
        <v>12</v>
      </c>
      <c r="P62" s="248" t="n">
        <v>13</v>
      </c>
      <c r="Q62" s="248" t="n">
        <v>14</v>
      </c>
      <c r="R62" s="248" t="n">
        <v>15</v>
      </c>
      <c r="S62" s="248" t="n">
        <v>16</v>
      </c>
      <c r="T62" s="292" t="n">
        <v>17</v>
      </c>
      <c r="U62" s="248" t="n">
        <v>18</v>
      </c>
      <c r="V62" s="248" t="n">
        <v>19</v>
      </c>
      <c r="W62" s="248" t="n">
        <v>20</v>
      </c>
      <c r="X62" s="250" t="n"/>
    </row>
    <row r="63" ht="18.75" customHeight="1" s="161">
      <c r="B63" s="251" t="inlineStr">
        <is>
          <t>發電度數(KWH)</t>
        </is>
      </c>
      <c r="C63" s="252" t="n">
        <v>0</v>
      </c>
      <c r="D63" s="253">
        <f>D40</f>
        <v/>
      </c>
      <c r="E63" s="253">
        <f>E40</f>
        <v/>
      </c>
      <c r="F63" s="253">
        <f>F40</f>
        <v/>
      </c>
      <c r="G63" s="253">
        <f>G40</f>
        <v/>
      </c>
      <c r="H63" s="253">
        <f>H40</f>
        <v/>
      </c>
      <c r="I63" s="253">
        <f>I40</f>
        <v/>
      </c>
      <c r="J63" s="253">
        <f>J40</f>
        <v/>
      </c>
      <c r="K63" s="253">
        <f>K40</f>
        <v/>
      </c>
      <c r="L63" s="253">
        <f>L40</f>
        <v/>
      </c>
      <c r="M63" s="253">
        <f>M40</f>
        <v/>
      </c>
      <c r="N63" s="253">
        <f>N40</f>
        <v/>
      </c>
      <c r="O63" s="253">
        <f>O40</f>
        <v/>
      </c>
      <c r="P63" s="253">
        <f>P40</f>
        <v/>
      </c>
      <c r="Q63" s="253">
        <f>Q40</f>
        <v/>
      </c>
      <c r="R63" s="253">
        <f>R40</f>
        <v/>
      </c>
      <c r="S63" s="253">
        <f>S40</f>
        <v/>
      </c>
      <c r="T63" s="253">
        <f>T40</f>
        <v/>
      </c>
      <c r="U63" s="253">
        <f>U40</f>
        <v/>
      </c>
      <c r="V63" s="253">
        <f>V40</f>
        <v/>
      </c>
      <c r="W63" s="253">
        <f>W40</f>
        <v/>
      </c>
      <c r="X63" s="254" t="n"/>
    </row>
    <row r="64" ht="18.75" customHeight="1" s="161">
      <c r="B64" s="255" t="inlineStr">
        <is>
          <t>Inflow : 電費收入</t>
        </is>
      </c>
      <c r="C64" s="256" t="inlineStr">
        <is>
          <t>-</t>
        </is>
      </c>
      <c r="D64" s="257">
        <f>D41</f>
        <v/>
      </c>
      <c r="E64" s="257">
        <f>E41</f>
        <v/>
      </c>
      <c r="F64" s="257">
        <f>F41</f>
        <v/>
      </c>
      <c r="G64" s="257">
        <f>G41</f>
        <v/>
      </c>
      <c r="H64" s="257">
        <f>H41</f>
        <v/>
      </c>
      <c r="I64" s="257">
        <f>I41</f>
        <v/>
      </c>
      <c r="J64" s="257">
        <f>J41</f>
        <v/>
      </c>
      <c r="K64" s="257">
        <f>K41</f>
        <v/>
      </c>
      <c r="L64" s="257">
        <f>L41</f>
        <v/>
      </c>
      <c r="M64" s="257">
        <f>M41</f>
        <v/>
      </c>
      <c r="N64" s="257">
        <f>N41</f>
        <v/>
      </c>
      <c r="O64" s="257">
        <f>O41</f>
        <v/>
      </c>
      <c r="P64" s="257">
        <f>P41</f>
        <v/>
      </c>
      <c r="Q64" s="257">
        <f>Q41</f>
        <v/>
      </c>
      <c r="R64" s="257">
        <f>R41</f>
        <v/>
      </c>
      <c r="S64" s="257">
        <f>S41</f>
        <v/>
      </c>
      <c r="T64" s="257">
        <f>T41</f>
        <v/>
      </c>
      <c r="U64" s="257">
        <f>U41</f>
        <v/>
      </c>
      <c r="V64" s="257">
        <f>V41</f>
        <v/>
      </c>
      <c r="W64" s="257">
        <f>W41</f>
        <v/>
      </c>
      <c r="X64" s="258" t="n"/>
    </row>
    <row r="65" ht="18.75" customHeight="1" s="161">
      <c r="B65" s="259" t="inlineStr">
        <is>
          <t>Inflow : 政府補助</t>
        </is>
      </c>
      <c r="C65" s="260" t="inlineStr">
        <is>
          <t>-</t>
        </is>
      </c>
      <c r="D65" s="261" t="n"/>
      <c r="E65" s="261" t="n"/>
      <c r="F65" s="261" t="n"/>
      <c r="G65" s="262" t="inlineStr">
        <is>
          <t>-</t>
        </is>
      </c>
      <c r="H65" s="262" t="inlineStr">
        <is>
          <t>-</t>
        </is>
      </c>
      <c r="I65" s="262" t="inlineStr">
        <is>
          <t>-</t>
        </is>
      </c>
      <c r="J65" s="262" t="inlineStr">
        <is>
          <t>-</t>
        </is>
      </c>
      <c r="K65" s="262" t="inlineStr">
        <is>
          <t>-</t>
        </is>
      </c>
      <c r="L65" s="262" t="inlineStr">
        <is>
          <t>-</t>
        </is>
      </c>
      <c r="M65" s="262" t="inlineStr">
        <is>
          <t>-</t>
        </is>
      </c>
      <c r="N65" s="262" t="inlineStr">
        <is>
          <t>-</t>
        </is>
      </c>
      <c r="O65" s="262" t="inlineStr">
        <is>
          <t>-</t>
        </is>
      </c>
      <c r="P65" s="262" t="inlineStr">
        <is>
          <t>-</t>
        </is>
      </c>
      <c r="Q65" s="262" t="inlineStr">
        <is>
          <t>-</t>
        </is>
      </c>
      <c r="R65" s="262" t="inlineStr">
        <is>
          <t>-</t>
        </is>
      </c>
      <c r="S65" s="262" t="inlineStr">
        <is>
          <t>-</t>
        </is>
      </c>
      <c r="T65" s="262" t="inlineStr">
        <is>
          <t>-</t>
        </is>
      </c>
      <c r="U65" s="262" t="inlineStr">
        <is>
          <t>-</t>
        </is>
      </c>
      <c r="V65" s="262" t="inlineStr">
        <is>
          <t>-</t>
        </is>
      </c>
      <c r="W65" s="262" t="inlineStr">
        <is>
          <t>-</t>
        </is>
      </c>
      <c r="X65" s="263" t="n"/>
    </row>
    <row r="66" ht="18.75" customHeight="1" s="161">
      <c r="B66" s="264" t="inlineStr">
        <is>
          <t>Inflow : 銀行借款</t>
        </is>
      </c>
      <c r="C66" s="265" t="n"/>
      <c r="D66" s="266" t="n"/>
      <c r="E66" s="266" t="n"/>
      <c r="F66" s="266" t="n"/>
      <c r="G66" s="266" t="n"/>
      <c r="H66" s="266" t="n"/>
      <c r="I66" s="266" t="n"/>
      <c r="J66" s="266" t="n"/>
      <c r="K66" s="266" t="n"/>
      <c r="L66" s="266" t="n"/>
      <c r="M66" s="266" t="n"/>
      <c r="N66" s="266" t="n"/>
      <c r="O66" s="266" t="n"/>
      <c r="P66" s="266" t="n"/>
      <c r="Q66" s="266" t="n"/>
      <c r="R66" s="266" t="n"/>
      <c r="S66" s="266" t="n"/>
      <c r="T66" s="266" t="n"/>
      <c r="U66" s="266" t="n"/>
      <c r="V66" s="266" t="n"/>
      <c r="W66" s="266" t="n"/>
      <c r="X66" s="267" t="n"/>
    </row>
    <row r="67" ht="18.75" customHeight="1" s="161">
      <c r="B67" s="268" t="inlineStr">
        <is>
          <t>Outflow : 設備折舊</t>
        </is>
      </c>
      <c r="C67" s="260" t="n"/>
      <c r="D67" s="293">
        <f>$C$44/$E$16</f>
        <v/>
      </c>
      <c r="E67" s="293">
        <f>$C$44/$E$16</f>
        <v/>
      </c>
      <c r="F67" s="293">
        <f>$C$44/$E$16</f>
        <v/>
      </c>
      <c r="G67" s="293">
        <f>$C$44/$E$16</f>
        <v/>
      </c>
      <c r="H67" s="293">
        <f>$C$44/$E$16</f>
        <v/>
      </c>
      <c r="I67" s="293">
        <f>$C$44/$E$16</f>
        <v/>
      </c>
      <c r="J67" s="293">
        <f>$C$44/$E$16</f>
        <v/>
      </c>
      <c r="K67" s="293">
        <f>$C$44/$E$16</f>
        <v/>
      </c>
      <c r="L67" s="293">
        <f>$C$44/$E$16</f>
        <v/>
      </c>
      <c r="M67" s="293">
        <f>$C$44/$E$16</f>
        <v/>
      </c>
      <c r="N67" s="293">
        <f>$C$44/$E$16</f>
        <v/>
      </c>
      <c r="O67" s="293">
        <f>$C$44/$E$16</f>
        <v/>
      </c>
      <c r="P67" s="293">
        <f>$C$44/$E$16</f>
        <v/>
      </c>
      <c r="Q67" s="293">
        <f>$C$44/$E$16</f>
        <v/>
      </c>
      <c r="R67" s="293">
        <f>$C$44/$E$16</f>
        <v/>
      </c>
      <c r="S67" s="293">
        <f>$C$44/$E$16</f>
        <v/>
      </c>
      <c r="T67" s="293">
        <f>$C$44/$E$16</f>
        <v/>
      </c>
      <c r="U67" s="293">
        <f>$C$44/$E$16</f>
        <v/>
      </c>
      <c r="V67" s="293">
        <f>$C$44/$E$16</f>
        <v/>
      </c>
      <c r="W67" s="293">
        <f>$C$44/$E$16</f>
        <v/>
      </c>
      <c r="X67" s="263" t="n"/>
    </row>
    <row r="68" ht="18.75" customHeight="1" s="161">
      <c r="B68" s="268" t="inlineStr">
        <is>
          <t>Outflow : 設備放置區域租金</t>
        </is>
      </c>
      <c r="C68" s="260" t="inlineStr">
        <is>
          <t>-</t>
        </is>
      </c>
      <c r="D68" s="270">
        <f>D44</f>
        <v/>
      </c>
      <c r="E68" s="270">
        <f>E45</f>
        <v/>
      </c>
      <c r="F68" s="270">
        <f>F45</f>
        <v/>
      </c>
      <c r="G68" s="270">
        <f>G45</f>
        <v/>
      </c>
      <c r="H68" s="270">
        <f>H45</f>
        <v/>
      </c>
      <c r="I68" s="270">
        <f>I45</f>
        <v/>
      </c>
      <c r="J68" s="270">
        <f>J45</f>
        <v/>
      </c>
      <c r="K68" s="270">
        <f>K45</f>
        <v/>
      </c>
      <c r="L68" s="270">
        <f>L45</f>
        <v/>
      </c>
      <c r="M68" s="270">
        <f>M45</f>
        <v/>
      </c>
      <c r="N68" s="270">
        <f>N45</f>
        <v/>
      </c>
      <c r="O68" s="270">
        <f>O45</f>
        <v/>
      </c>
      <c r="P68" s="270">
        <f>P45</f>
        <v/>
      </c>
      <c r="Q68" s="270">
        <f>Q45</f>
        <v/>
      </c>
      <c r="R68" s="270">
        <f>R45</f>
        <v/>
      </c>
      <c r="S68" s="270">
        <f>S45</f>
        <v/>
      </c>
      <c r="T68" s="270">
        <f>T45</f>
        <v/>
      </c>
      <c r="U68" s="270">
        <f>U45</f>
        <v/>
      </c>
      <c r="V68" s="270">
        <f>V45</f>
        <v/>
      </c>
      <c r="W68" s="270">
        <f>W45</f>
        <v/>
      </c>
      <c r="X68" s="263" t="n"/>
    </row>
    <row r="69" ht="18.75" customHeight="1" s="161">
      <c r="B69" s="268" t="inlineStr">
        <is>
          <t>Outflow : 返還借款</t>
        </is>
      </c>
      <c r="C69" s="260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3" t="n"/>
    </row>
    <row r="70" ht="18.75" customHeight="1" s="161">
      <c r="B70" s="268" t="inlineStr">
        <is>
          <t>Outflow : 利息費用</t>
        </is>
      </c>
      <c r="C70" s="260" t="inlineStr">
        <is>
          <t>-</t>
        </is>
      </c>
      <c r="D70" s="270">
        <f>-D109*$D25</f>
        <v/>
      </c>
      <c r="E70" s="270">
        <f>-E109*$D25</f>
        <v/>
      </c>
      <c r="F70" s="270">
        <f>-F109*$D25</f>
        <v/>
      </c>
      <c r="G70" s="270">
        <f>-G109*$D25</f>
        <v/>
      </c>
      <c r="H70" s="270">
        <f>-H109*$D25</f>
        <v/>
      </c>
      <c r="I70" s="270">
        <f>-I109*$D25</f>
        <v/>
      </c>
      <c r="J70" s="270">
        <f>-J109*$D25</f>
        <v/>
      </c>
      <c r="K70" s="270">
        <f>-K109*$D25</f>
        <v/>
      </c>
      <c r="L70" s="270">
        <f>-L109*$D25</f>
        <v/>
      </c>
      <c r="M70" s="270">
        <f>-M109*$D25</f>
        <v/>
      </c>
      <c r="N70" s="270">
        <f>-N109*$D25</f>
        <v/>
      </c>
      <c r="O70" s="270">
        <f>-O109*$D25</f>
        <v/>
      </c>
      <c r="P70" s="270">
        <f>-P109*$D25</f>
        <v/>
      </c>
      <c r="Q70" s="270">
        <f>-Q109*$D25</f>
        <v/>
      </c>
      <c r="R70" s="270">
        <f>-R109*$D25</f>
        <v/>
      </c>
      <c r="S70" s="270">
        <f>-S109*$D25</f>
        <v/>
      </c>
      <c r="T70" s="270">
        <f>-T109*$D25</f>
        <v/>
      </c>
      <c r="U70" s="270">
        <f>-U109*$D25</f>
        <v/>
      </c>
      <c r="V70" s="270">
        <f>-V109*$D25</f>
        <v/>
      </c>
      <c r="W70" s="270">
        <f>-W109*$D25</f>
        <v/>
      </c>
      <c r="X70" s="263" t="n"/>
    </row>
    <row r="71" ht="18.75" customHeight="1" s="161">
      <c r="B71" s="268" t="inlineStr">
        <is>
          <t>Outflow : 維運費</t>
        </is>
      </c>
      <c r="C71" s="260" t="inlineStr">
        <is>
          <t>-</t>
        </is>
      </c>
      <c r="D71" s="270">
        <f>D48</f>
        <v/>
      </c>
      <c r="E71" s="270">
        <f>E48</f>
        <v/>
      </c>
      <c r="F71" s="270">
        <f>F48</f>
        <v/>
      </c>
      <c r="G71" s="270">
        <f>G48</f>
        <v/>
      </c>
      <c r="H71" s="270">
        <f>H48</f>
        <v/>
      </c>
      <c r="I71" s="270">
        <f>I48</f>
        <v/>
      </c>
      <c r="J71" s="270">
        <f>J48</f>
        <v/>
      </c>
      <c r="K71" s="270">
        <f>K48</f>
        <v/>
      </c>
      <c r="L71" s="270">
        <f>L48</f>
        <v/>
      </c>
      <c r="M71" s="270">
        <f>M48</f>
        <v/>
      </c>
      <c r="N71" s="270">
        <f>N48</f>
        <v/>
      </c>
      <c r="O71" s="270">
        <f>O48</f>
        <v/>
      </c>
      <c r="P71" s="270">
        <f>P48</f>
        <v/>
      </c>
      <c r="Q71" s="270">
        <f>Q48</f>
        <v/>
      </c>
      <c r="R71" s="270">
        <f>R48</f>
        <v/>
      </c>
      <c r="S71" s="270">
        <f>S48</f>
        <v/>
      </c>
      <c r="T71" s="270">
        <f>T48</f>
        <v/>
      </c>
      <c r="U71" s="270">
        <f>U48</f>
        <v/>
      </c>
      <c r="V71" s="270">
        <f>V48</f>
        <v/>
      </c>
      <c r="W71" s="270">
        <f>W48</f>
        <v/>
      </c>
      <c r="X71" s="263" t="n"/>
    </row>
    <row r="72" ht="18.75" customHeight="1" s="161">
      <c r="B72" s="268" t="inlineStr">
        <is>
          <t>Outflow : 保險費</t>
        </is>
      </c>
      <c r="C72" s="260" t="inlineStr">
        <is>
          <t>-</t>
        </is>
      </c>
      <c r="D72" s="270">
        <f>D49</f>
        <v/>
      </c>
      <c r="E72" s="270">
        <f>E49</f>
        <v/>
      </c>
      <c r="F72" s="270">
        <f>F49</f>
        <v/>
      </c>
      <c r="G72" s="270">
        <f>G49</f>
        <v/>
      </c>
      <c r="H72" s="270">
        <f>H49</f>
        <v/>
      </c>
      <c r="I72" s="270">
        <f>I49</f>
        <v/>
      </c>
      <c r="J72" s="270">
        <f>J49</f>
        <v/>
      </c>
      <c r="K72" s="270">
        <f>K49</f>
        <v/>
      </c>
      <c r="L72" s="270">
        <f>L49</f>
        <v/>
      </c>
      <c r="M72" s="270">
        <f>M49</f>
        <v/>
      </c>
      <c r="N72" s="270">
        <f>N49</f>
        <v/>
      </c>
      <c r="O72" s="270">
        <f>O49</f>
        <v/>
      </c>
      <c r="P72" s="270">
        <f>P49</f>
        <v/>
      </c>
      <c r="Q72" s="270">
        <f>Q49</f>
        <v/>
      </c>
      <c r="R72" s="270">
        <f>R49</f>
        <v/>
      </c>
      <c r="S72" s="270">
        <f>S49</f>
        <v/>
      </c>
      <c r="T72" s="270">
        <f>T49</f>
        <v/>
      </c>
      <c r="U72" s="270">
        <f>U49</f>
        <v/>
      </c>
      <c r="V72" s="270">
        <f>V49</f>
        <v/>
      </c>
      <c r="W72" s="270">
        <f>W49</f>
        <v/>
      </c>
      <c r="X72" s="263" t="n"/>
    </row>
    <row r="73" ht="18.75" customHeight="1" s="161">
      <c r="B73" s="268" t="inlineStr">
        <is>
          <t>Outflow : 模組回收費</t>
        </is>
      </c>
      <c r="C73" s="260" t="n"/>
      <c r="D73" s="270">
        <f>D50</f>
        <v/>
      </c>
      <c r="E73" s="270">
        <f>E50</f>
        <v/>
      </c>
      <c r="F73" s="270">
        <f>F50</f>
        <v/>
      </c>
      <c r="G73" s="270">
        <f>G50</f>
        <v/>
      </c>
      <c r="H73" s="270">
        <f>H50</f>
        <v/>
      </c>
      <c r="I73" s="270">
        <f>I50</f>
        <v/>
      </c>
      <c r="J73" s="270">
        <f>J50</f>
        <v/>
      </c>
      <c r="K73" s="270">
        <f>K50</f>
        <v/>
      </c>
      <c r="L73" s="270">
        <f>L50</f>
        <v/>
      </c>
      <c r="M73" s="270">
        <f>M50</f>
        <v/>
      </c>
      <c r="N73" s="270">
        <f>N50</f>
        <v/>
      </c>
      <c r="O73" s="270">
        <f>O50</f>
        <v/>
      </c>
      <c r="P73" s="270">
        <f>P50</f>
        <v/>
      </c>
      <c r="Q73" s="270">
        <f>Q50</f>
        <v/>
      </c>
      <c r="R73" s="270">
        <f>R50</f>
        <v/>
      </c>
      <c r="S73" s="270">
        <f>S50</f>
        <v/>
      </c>
      <c r="T73" s="270">
        <f>T50</f>
        <v/>
      </c>
      <c r="U73" s="270">
        <f>U50</f>
        <v/>
      </c>
      <c r="V73" s="270">
        <f>V50</f>
        <v/>
      </c>
      <c r="W73" s="270">
        <f>W50</f>
        <v/>
      </c>
      <c r="X73" s="263" t="n"/>
    </row>
    <row r="74" ht="18.75" customHeight="1" s="161">
      <c r="B74" s="268" t="inlineStr">
        <is>
          <t>Outflow : 其它費用(人事薪資…等)</t>
        </is>
      </c>
      <c r="C74" s="271" t="n"/>
      <c r="D74" s="294" t="n"/>
      <c r="E74" s="295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3" t="n"/>
    </row>
    <row r="75" ht="18.75" customHeight="1" s="161">
      <c r="B75" s="268" t="inlineStr">
        <is>
          <t>1%管理費</t>
        </is>
      </c>
      <c r="C75" s="27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3" t="n"/>
    </row>
    <row r="76" ht="18.75" customHeight="1" s="161">
      <c r="B76" s="273" t="inlineStr">
        <is>
          <t>稅前淨利</t>
        </is>
      </c>
      <c r="C76" s="296" t="n"/>
      <c r="D76" s="275">
        <f>SUM(D64:D75)</f>
        <v/>
      </c>
      <c r="E76" s="275">
        <f>SUM(E64:E75)</f>
        <v/>
      </c>
      <c r="F76" s="275">
        <f>SUM(F64:F75)</f>
        <v/>
      </c>
      <c r="G76" s="275">
        <f>SUM(G64:G75)</f>
        <v/>
      </c>
      <c r="H76" s="275">
        <f>SUM(H64:H75)</f>
        <v/>
      </c>
      <c r="I76" s="275">
        <f>SUM(I64:I75)</f>
        <v/>
      </c>
      <c r="J76" s="275">
        <f>SUM(J64:J75)</f>
        <v/>
      </c>
      <c r="K76" s="275">
        <f>SUM(K64:K75)</f>
        <v/>
      </c>
      <c r="L76" s="275">
        <f>SUM(L64:L75)</f>
        <v/>
      </c>
      <c r="M76" s="275">
        <f>SUM(M64:M75)</f>
        <v/>
      </c>
      <c r="N76" s="275">
        <f>SUM(N64:N75)</f>
        <v/>
      </c>
      <c r="O76" s="275">
        <f>SUM(O64:O75)</f>
        <v/>
      </c>
      <c r="P76" s="275">
        <f>SUM(P64:P75)</f>
        <v/>
      </c>
      <c r="Q76" s="275">
        <f>SUM(Q64:Q75)</f>
        <v/>
      </c>
      <c r="R76" s="275">
        <f>SUM(R64:R75)</f>
        <v/>
      </c>
      <c r="S76" s="275">
        <f>SUM(S64:S75)</f>
        <v/>
      </c>
      <c r="T76" s="275">
        <f>SUM(T64:T75)</f>
        <v/>
      </c>
      <c r="U76" s="275">
        <f>SUM(U64:U75)</f>
        <v/>
      </c>
      <c r="V76" s="275">
        <f>SUM(V64:V75)</f>
        <v/>
      </c>
      <c r="W76" s="275">
        <f>SUM(W64:W75)</f>
        <v/>
      </c>
      <c r="X76" s="275">
        <f>SUM(X64:X75)</f>
        <v/>
      </c>
    </row>
    <row r="77" ht="18.75" customHeight="1" s="161">
      <c r="B77" s="272" t="inlineStr">
        <is>
          <t>所得稅20%</t>
        </is>
      </c>
      <c r="C77" s="271" t="n"/>
      <c r="D77" s="270">
        <f>-D76*0.2</f>
        <v/>
      </c>
      <c r="E77" s="270">
        <f>-E76*0.2</f>
        <v/>
      </c>
      <c r="F77" s="270">
        <f>-F76*0.2</f>
        <v/>
      </c>
      <c r="G77" s="270">
        <f>-G76*0.2</f>
        <v/>
      </c>
      <c r="H77" s="270">
        <f>-H76*0.2</f>
        <v/>
      </c>
      <c r="I77" s="270">
        <f>-I76*0.2</f>
        <v/>
      </c>
      <c r="J77" s="270">
        <f>-J76*0.2</f>
        <v/>
      </c>
      <c r="K77" s="270">
        <f>-K76*0.2</f>
        <v/>
      </c>
      <c r="L77" s="270">
        <f>-L76*0.2</f>
        <v/>
      </c>
      <c r="M77" s="270">
        <f>-M76*0.2</f>
        <v/>
      </c>
      <c r="N77" s="270">
        <f>-N76*0.2</f>
        <v/>
      </c>
      <c r="O77" s="270">
        <f>-O76*0.2</f>
        <v/>
      </c>
      <c r="P77" s="270">
        <f>-P76*0.2</f>
        <v/>
      </c>
      <c r="Q77" s="270">
        <f>-Q76*0.2</f>
        <v/>
      </c>
      <c r="R77" s="270">
        <f>-R76*0.2</f>
        <v/>
      </c>
      <c r="S77" s="270">
        <f>-S76*0.2</f>
        <v/>
      </c>
      <c r="T77" s="270">
        <f>-T76*0.2</f>
        <v/>
      </c>
      <c r="U77" s="270">
        <f>-U76*0.2</f>
        <v/>
      </c>
      <c r="V77" s="270">
        <f>-V76*0.2</f>
        <v/>
      </c>
      <c r="W77" s="270">
        <f>-W76*0.2</f>
        <v/>
      </c>
      <c r="X77" s="270">
        <f>-X76*0.2</f>
        <v/>
      </c>
    </row>
    <row r="78" ht="15.75" customHeight="1" s="161">
      <c r="B78" s="297" t="inlineStr">
        <is>
          <t>稅後淨利</t>
        </is>
      </c>
      <c r="D78" s="270">
        <f>SUM(D76:D77)</f>
        <v/>
      </c>
      <c r="E78" s="270">
        <f>SUM(E76:E77)</f>
        <v/>
      </c>
      <c r="F78" s="270">
        <f>SUM(F76:F77)</f>
        <v/>
      </c>
      <c r="G78" s="270">
        <f>SUM(G76:G77)</f>
        <v/>
      </c>
      <c r="H78" s="270">
        <f>SUM(H76:H77)</f>
        <v/>
      </c>
      <c r="I78" s="270">
        <f>SUM(I76:I77)</f>
        <v/>
      </c>
      <c r="J78" s="270">
        <f>SUM(J76:J77)</f>
        <v/>
      </c>
      <c r="K78" s="270">
        <f>SUM(K76:K77)</f>
        <v/>
      </c>
      <c r="L78" s="270">
        <f>SUM(L76:L77)</f>
        <v/>
      </c>
      <c r="M78" s="270">
        <f>SUM(M76:M77)</f>
        <v/>
      </c>
      <c r="N78" s="270">
        <f>SUM(N76:N77)</f>
        <v/>
      </c>
      <c r="O78" s="270">
        <f>SUM(O76:O77)</f>
        <v/>
      </c>
      <c r="P78" s="270">
        <f>SUM(P76:P77)</f>
        <v/>
      </c>
      <c r="Q78" s="270">
        <f>SUM(Q76:Q77)</f>
        <v/>
      </c>
      <c r="R78" s="270">
        <f>SUM(R76:R77)</f>
        <v/>
      </c>
      <c r="S78" s="270">
        <f>SUM(S76:S77)</f>
        <v/>
      </c>
      <c r="T78" s="270">
        <f>SUM(T76:T77)</f>
        <v/>
      </c>
      <c r="U78" s="270">
        <f>SUM(U76:U77)</f>
        <v/>
      </c>
      <c r="V78" s="270">
        <f>SUM(V76:V77)</f>
        <v/>
      </c>
      <c r="W78" s="270">
        <f>SUM(W76:W77)</f>
        <v/>
      </c>
      <c r="X78" s="270">
        <f>SUM(X76:X77)</f>
        <v/>
      </c>
    </row>
    <row r="79" ht="18.75" customHeight="1" s="161">
      <c r="B79" s="279" t="inlineStr">
        <is>
          <t>累計現金流</t>
        </is>
      </c>
      <c r="C79" s="282" t="n"/>
      <c r="D79" s="298" t="n"/>
      <c r="E79" s="298" t="n"/>
      <c r="F79" s="298" t="n"/>
      <c r="G79" s="298" t="n"/>
      <c r="H79" s="298" t="n"/>
      <c r="I79" s="298" t="n"/>
      <c r="J79" s="298" t="n"/>
      <c r="K79" s="298" t="n"/>
      <c r="L79" s="298" t="n"/>
      <c r="M79" s="298" t="n"/>
      <c r="N79" s="298" t="n"/>
      <c r="O79" s="298" t="n"/>
      <c r="P79" s="298" t="n"/>
      <c r="Q79" s="298" t="n"/>
      <c r="R79" s="298" t="n"/>
      <c r="S79" s="298" t="n"/>
      <c r="T79" s="298" t="n"/>
      <c r="U79" s="298" t="n"/>
      <c r="V79" s="298" t="n"/>
      <c r="W79" s="298" t="n"/>
      <c r="X79" s="299" t="n"/>
    </row>
    <row r="80" ht="18.75" customHeight="1" s="161">
      <c r="B80" s="300" t="inlineStr">
        <is>
          <t>回收年限評估</t>
        </is>
      </c>
      <c r="C80" s="301" t="n"/>
      <c r="D80" s="302" t="n"/>
      <c r="E80" s="302" t="n"/>
      <c r="F80" s="302" t="n"/>
      <c r="G80" s="302" t="n"/>
      <c r="H80" s="302" t="n"/>
      <c r="I80" s="302" t="n"/>
      <c r="J80" s="302" t="n"/>
      <c r="K80" s="302" t="n"/>
      <c r="L80" s="302" t="n"/>
      <c r="M80" s="302" t="n"/>
      <c r="N80" s="302" t="n"/>
      <c r="O80" s="302" t="n"/>
      <c r="P80" s="302" t="n"/>
      <c r="Q80" s="302" t="n"/>
      <c r="R80" s="302" t="n"/>
      <c r="S80" s="302" t="n"/>
      <c r="T80" s="302" t="n"/>
      <c r="U80" s="302" t="n"/>
      <c r="V80" s="302" t="n"/>
      <c r="W80" s="302" t="n"/>
      <c r="X80" s="303" t="n"/>
    </row>
    <row r="81" ht="18.75" customHeight="1" s="161">
      <c r="B81" s="288" t="n"/>
      <c r="C81" s="287" t="n"/>
      <c r="D81" s="287" t="n"/>
      <c r="E81" s="287" t="n"/>
      <c r="F81" s="288" t="n"/>
      <c r="G81" s="288" t="n"/>
      <c r="H81" s="288" t="n"/>
      <c r="I81" s="288" t="n"/>
      <c r="J81" s="288" t="n"/>
      <c r="K81" s="288" t="n"/>
      <c r="L81" s="288" t="n"/>
      <c r="M81" s="287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</row>
    <row r="82" ht="18.75" customHeight="1" s="161">
      <c r="C82" s="304" t="inlineStr">
        <is>
          <t>年份</t>
        </is>
      </c>
      <c r="D82" s="305">
        <f>D37</f>
        <v/>
      </c>
      <c r="E82" s="305">
        <f>E37</f>
        <v/>
      </c>
      <c r="F82" s="305">
        <f>F37</f>
        <v/>
      </c>
      <c r="G82" s="305">
        <f>G37</f>
        <v/>
      </c>
      <c r="H82" s="305">
        <f>H37</f>
        <v/>
      </c>
      <c r="I82" s="305">
        <f>I37</f>
        <v/>
      </c>
      <c r="J82" s="305">
        <f>J37</f>
        <v/>
      </c>
      <c r="K82" s="305">
        <f>K37</f>
        <v/>
      </c>
      <c r="L82" s="305">
        <f>L37</f>
        <v/>
      </c>
      <c r="M82" s="305">
        <f>M37</f>
        <v/>
      </c>
      <c r="N82" s="305">
        <f>N37</f>
        <v/>
      </c>
      <c r="O82" s="305">
        <f>O37</f>
        <v/>
      </c>
      <c r="P82" s="305">
        <f>P37</f>
        <v/>
      </c>
      <c r="Q82" s="305">
        <f>Q37</f>
        <v/>
      </c>
      <c r="R82" s="305">
        <f>R37</f>
        <v/>
      </c>
      <c r="S82" s="305">
        <f>S37</f>
        <v/>
      </c>
      <c r="T82" s="305">
        <f>T37</f>
        <v/>
      </c>
      <c r="U82" s="305">
        <f>U37</f>
        <v/>
      </c>
      <c r="V82" s="305">
        <f>V37</f>
        <v/>
      </c>
      <c r="W82" s="305">
        <f>W37</f>
        <v/>
      </c>
      <c r="X82" s="290" t="n"/>
    </row>
    <row r="83" ht="18.75" customHeight="1" s="161">
      <c r="X83" s="289" t="n"/>
    </row>
    <row r="84" ht="18.75" customHeight="1" s="161">
      <c r="B84" s="306" t="inlineStr">
        <is>
          <t>(Unit : Currency)</t>
        </is>
      </c>
      <c r="C84" s="306" t="n">
        <v>0</v>
      </c>
      <c r="D84" s="306" t="n">
        <v>1</v>
      </c>
      <c r="E84" s="306" t="n">
        <v>2</v>
      </c>
      <c r="F84" s="306" t="n">
        <v>3</v>
      </c>
      <c r="G84" s="306" t="n">
        <v>4</v>
      </c>
      <c r="H84" s="306" t="n">
        <v>5</v>
      </c>
      <c r="I84" s="306" t="n">
        <v>6</v>
      </c>
      <c r="J84" s="306" t="n">
        <v>7</v>
      </c>
      <c r="K84" s="306" t="n">
        <v>8</v>
      </c>
      <c r="L84" s="306" t="n">
        <v>9</v>
      </c>
      <c r="M84" s="306" t="n">
        <v>10</v>
      </c>
      <c r="N84" s="306" t="n">
        <v>11</v>
      </c>
      <c r="O84" s="306" t="n">
        <v>12</v>
      </c>
      <c r="P84" s="306" t="n">
        <v>13</v>
      </c>
      <c r="Q84" s="306" t="n">
        <v>14</v>
      </c>
      <c r="R84" s="306" t="n">
        <v>15</v>
      </c>
      <c r="S84" s="306" t="n">
        <v>16</v>
      </c>
      <c r="T84" s="306" t="n">
        <v>17</v>
      </c>
      <c r="U84" s="306" t="n">
        <v>18</v>
      </c>
      <c r="V84" s="306" t="n">
        <v>19</v>
      </c>
      <c r="W84" s="306" t="n">
        <v>20</v>
      </c>
      <c r="X84" s="307" t="n"/>
    </row>
    <row r="85" ht="18.75" customHeight="1" s="161">
      <c r="B85" s="308" t="inlineStr">
        <is>
          <t>稅後淨利</t>
        </is>
      </c>
      <c r="C85" s="308" t="n"/>
      <c r="D85" s="309">
        <f>D78</f>
        <v/>
      </c>
      <c r="E85" s="309">
        <f>E78</f>
        <v/>
      </c>
      <c r="F85" s="309">
        <f>F78</f>
        <v/>
      </c>
      <c r="G85" s="309">
        <f>G78</f>
        <v/>
      </c>
      <c r="H85" s="309">
        <f>H78</f>
        <v/>
      </c>
      <c r="I85" s="309">
        <f>I78</f>
        <v/>
      </c>
      <c r="J85" s="309">
        <f>J78</f>
        <v/>
      </c>
      <c r="K85" s="309">
        <f>K78</f>
        <v/>
      </c>
      <c r="L85" s="309">
        <f>L78</f>
        <v/>
      </c>
      <c r="M85" s="309">
        <f>M78</f>
        <v/>
      </c>
      <c r="N85" s="309">
        <f>N78</f>
        <v/>
      </c>
      <c r="O85" s="309">
        <f>O78</f>
        <v/>
      </c>
      <c r="P85" s="309">
        <f>P78</f>
        <v/>
      </c>
      <c r="Q85" s="309">
        <f>Q78</f>
        <v/>
      </c>
      <c r="R85" s="309">
        <f>R78</f>
        <v/>
      </c>
      <c r="S85" s="309">
        <f>S78</f>
        <v/>
      </c>
      <c r="T85" s="309">
        <f>T78</f>
        <v/>
      </c>
      <c r="U85" s="309">
        <f>U78</f>
        <v/>
      </c>
      <c r="V85" s="309">
        <f>V78</f>
        <v/>
      </c>
      <c r="W85" s="309">
        <f>W78</f>
        <v/>
      </c>
      <c r="X85" s="308" t="n"/>
      <c r="Y85" s="308" t="n"/>
    </row>
    <row r="86" ht="15.75" customHeight="1" s="161">
      <c r="B86" s="308" t="inlineStr">
        <is>
          <t>設備折舊</t>
        </is>
      </c>
      <c r="C86" s="308" t="n"/>
      <c r="D86" s="310">
        <f>-D67</f>
        <v/>
      </c>
      <c r="E86" s="310">
        <f>-E67</f>
        <v/>
      </c>
      <c r="F86" s="310">
        <f>-F67</f>
        <v/>
      </c>
      <c r="G86" s="310">
        <f>-G67</f>
        <v/>
      </c>
      <c r="H86" s="310">
        <f>-H67</f>
        <v/>
      </c>
      <c r="I86" s="310">
        <f>-I67</f>
        <v/>
      </c>
      <c r="J86" s="310">
        <f>-J67</f>
        <v/>
      </c>
      <c r="K86" s="310">
        <f>-K67</f>
        <v/>
      </c>
      <c r="L86" s="310">
        <f>-L67</f>
        <v/>
      </c>
      <c r="M86" s="310">
        <f>-M67</f>
        <v/>
      </c>
      <c r="N86" s="310">
        <f>-N67</f>
        <v/>
      </c>
      <c r="O86" s="310">
        <f>-O67</f>
        <v/>
      </c>
      <c r="P86" s="310">
        <f>-P67</f>
        <v/>
      </c>
      <c r="Q86" s="310">
        <f>-Q67</f>
        <v/>
      </c>
      <c r="R86" s="310">
        <f>-R67</f>
        <v/>
      </c>
      <c r="S86" s="310">
        <f>-S67</f>
        <v/>
      </c>
      <c r="T86" s="310">
        <f>-T67</f>
        <v/>
      </c>
      <c r="U86" s="310">
        <f>-U67</f>
        <v/>
      </c>
      <c r="V86" s="310">
        <f>-V67</f>
        <v/>
      </c>
      <c r="W86" s="310">
        <f>-W67</f>
        <v/>
      </c>
      <c r="X86" s="311" t="n"/>
      <c r="Y86" s="311" t="n"/>
    </row>
    <row r="87" ht="15.75" customHeight="1" s="161">
      <c r="B87" s="308" t="inlineStr">
        <is>
          <t>營運活動現金流量</t>
        </is>
      </c>
      <c r="C87" s="308" t="n"/>
      <c r="D87" s="312">
        <f>SUM(D85:D86)</f>
        <v/>
      </c>
      <c r="E87" s="312">
        <f>SUM(E85:E86)</f>
        <v/>
      </c>
      <c r="F87" s="312">
        <f>SUM(F85:F86)</f>
        <v/>
      </c>
      <c r="G87" s="312">
        <f>SUM(G85:G86)</f>
        <v/>
      </c>
      <c r="H87" s="312">
        <f>SUM(H85:H86)</f>
        <v/>
      </c>
      <c r="I87" s="312">
        <f>SUM(I85:I86)</f>
        <v/>
      </c>
      <c r="J87" s="312">
        <f>SUM(J85:J86)</f>
        <v/>
      </c>
      <c r="K87" s="312">
        <f>SUM(K85:K86)</f>
        <v/>
      </c>
      <c r="L87" s="312">
        <f>SUM(L85:L86)</f>
        <v/>
      </c>
      <c r="M87" s="312">
        <f>SUM(M85:M86)</f>
        <v/>
      </c>
      <c r="N87" s="312">
        <f>SUM(N85:N86)</f>
        <v/>
      </c>
      <c r="O87" s="312">
        <f>SUM(O85:O86)</f>
        <v/>
      </c>
      <c r="P87" s="312">
        <f>SUM(P85:P86)</f>
        <v/>
      </c>
      <c r="Q87" s="312">
        <f>SUM(Q85:Q86)</f>
        <v/>
      </c>
      <c r="R87" s="312">
        <f>SUM(R85:R86)</f>
        <v/>
      </c>
      <c r="S87" s="312">
        <f>SUM(S85:S86)</f>
        <v/>
      </c>
      <c r="T87" s="312">
        <f>SUM(T85:T86)</f>
        <v/>
      </c>
      <c r="U87" s="312">
        <f>SUM(U85:U86)</f>
        <v/>
      </c>
      <c r="V87" s="312">
        <f>SUM(V85:V86)</f>
        <v/>
      </c>
      <c r="W87" s="312">
        <f>SUM(W85:W86)</f>
        <v/>
      </c>
      <c r="X87" s="278" t="n"/>
    </row>
    <row r="88" ht="15.75" customHeight="1" s="161">
      <c r="B88" s="308" t="n"/>
      <c r="C88" s="308" t="n"/>
      <c r="D88" s="308" t="n"/>
      <c r="E88" s="308" t="n"/>
      <c r="F88" s="313" t="n"/>
      <c r="G88" s="313" t="n"/>
      <c r="H88" s="313" t="n"/>
      <c r="I88" s="313" t="n"/>
      <c r="J88" s="313" t="n"/>
      <c r="K88" s="313" t="n"/>
      <c r="L88" s="313" t="n"/>
      <c r="M88" s="313" t="n"/>
      <c r="N88" s="313" t="n"/>
      <c r="O88" s="313" t="n"/>
      <c r="P88" s="313" t="n"/>
      <c r="Q88" s="313" t="n"/>
      <c r="R88" s="313" t="n"/>
      <c r="S88" s="313" t="n"/>
      <c r="T88" s="313" t="n"/>
      <c r="U88" s="313" t="n"/>
      <c r="V88" s="313" t="n"/>
      <c r="W88" s="313" t="n"/>
      <c r="X88" s="277" t="n"/>
    </row>
    <row r="89" ht="15.75" customHeight="1" s="161">
      <c r="B89" s="314" t="inlineStr">
        <is>
          <t>投資活動-設備支出</t>
        </is>
      </c>
      <c r="C89" s="315" t="n"/>
      <c r="D89" s="316">
        <f>C44</f>
        <v/>
      </c>
      <c r="E89" s="315" t="n"/>
      <c r="F89" s="315" t="n"/>
      <c r="G89" s="315" t="n"/>
      <c r="H89" s="315" t="n"/>
      <c r="I89" s="315" t="n"/>
      <c r="J89" s="315" t="n"/>
      <c r="K89" s="315" t="n"/>
      <c r="L89" s="315" t="n"/>
      <c r="M89" s="315" t="n"/>
      <c r="N89" s="315" t="n"/>
      <c r="O89" s="315" t="n"/>
      <c r="P89" s="315" t="n"/>
      <c r="Q89" s="315" t="n"/>
      <c r="R89" s="315" t="n"/>
      <c r="S89" s="315" t="n"/>
      <c r="T89" s="315" t="n"/>
      <c r="U89" s="315" t="n"/>
      <c r="V89" s="315" t="n"/>
      <c r="W89" s="315" t="n"/>
      <c r="X89" s="317" t="n"/>
    </row>
    <row r="90" ht="15.75" customHeight="1" s="161">
      <c r="B90" s="308" t="n"/>
      <c r="C90" s="308" t="n"/>
      <c r="D90" s="308" t="n"/>
      <c r="E90" s="308" t="n"/>
      <c r="F90" s="313" t="n"/>
      <c r="G90" s="313" t="n"/>
      <c r="H90" s="313" t="n"/>
      <c r="I90" s="313" t="n"/>
      <c r="J90" s="313" t="n"/>
      <c r="K90" s="313" t="n"/>
      <c r="L90" s="313" t="n"/>
      <c r="M90" s="313" t="n"/>
      <c r="N90" s="313" t="n"/>
      <c r="O90" s="313" t="n"/>
      <c r="P90" s="313" t="n"/>
      <c r="Q90" s="313" t="n"/>
      <c r="R90" s="313" t="n"/>
      <c r="S90" s="313" t="n"/>
      <c r="T90" s="313" t="n"/>
      <c r="U90" s="313" t="n"/>
      <c r="V90" s="313" t="n"/>
      <c r="W90" s="313" t="n"/>
      <c r="X90" s="277" t="n"/>
    </row>
    <row r="91" ht="15.75" customHeight="1" s="161">
      <c r="B91" s="308" t="n"/>
      <c r="C91" s="308" t="n"/>
      <c r="D91" s="308" t="n"/>
      <c r="E91" s="308" t="n"/>
      <c r="F91" s="313" t="n"/>
      <c r="G91" s="313" t="n"/>
      <c r="H91" s="313" t="n"/>
      <c r="I91" s="313" t="n"/>
      <c r="J91" s="313" t="n"/>
      <c r="K91" s="313" t="n"/>
      <c r="L91" s="313" t="n"/>
      <c r="M91" s="313" t="n"/>
      <c r="N91" s="313" t="n"/>
      <c r="O91" s="313" t="n"/>
      <c r="P91" s="313" t="n"/>
      <c r="Q91" s="313" t="n"/>
      <c r="R91" s="313" t="n"/>
      <c r="S91" s="313" t="n"/>
      <c r="T91" s="313" t="n"/>
      <c r="U91" s="313" t="n"/>
      <c r="V91" s="313" t="n"/>
      <c r="W91" s="313" t="n"/>
      <c r="X91" s="277" t="n"/>
    </row>
    <row r="92" ht="15.75" customHeight="1" s="161">
      <c r="B92" s="314" t="inlineStr">
        <is>
          <t>理財活動-借款</t>
        </is>
      </c>
      <c r="C92" s="315" t="n"/>
      <c r="D92" s="316">
        <f>-D89*D31</f>
        <v/>
      </c>
      <c r="E92" s="315" t="n"/>
      <c r="F92" s="315" t="n"/>
      <c r="G92" s="315" t="n"/>
      <c r="H92" s="315" t="n"/>
      <c r="I92" s="315" t="n"/>
      <c r="J92" s="315" t="n"/>
      <c r="K92" s="315" t="n"/>
      <c r="L92" s="315" t="n"/>
      <c r="M92" s="315" t="n"/>
      <c r="N92" s="315" t="n"/>
      <c r="O92" s="315" t="n"/>
      <c r="P92" s="315" t="n"/>
      <c r="Q92" s="315" t="n"/>
      <c r="R92" s="315" t="n"/>
      <c r="S92" s="315" t="n"/>
      <c r="T92" s="315" t="n"/>
      <c r="U92" s="315" t="n"/>
      <c r="V92" s="315" t="n"/>
      <c r="W92" s="315" t="n"/>
      <c r="X92" s="277" t="n"/>
    </row>
    <row r="93" ht="15.75" customHeight="1" s="161">
      <c r="B93" s="308" t="inlineStr">
        <is>
          <t>理財活動-還款</t>
        </is>
      </c>
      <c r="C93" s="308" t="n"/>
      <c r="D93" s="318" t="n"/>
      <c r="E93" s="318" t="n">
        <v>-930346.666666667</v>
      </c>
      <c r="F93" s="318" t="n">
        <v>-930346.666666667</v>
      </c>
      <c r="G93" s="318" t="n">
        <v>-930346.666666667</v>
      </c>
      <c r="H93" s="318" t="n">
        <v>-930346.666666667</v>
      </c>
      <c r="I93" s="318" t="n">
        <v>-930346.666666667</v>
      </c>
      <c r="J93" s="318" t="n">
        <v>-930346.666666667</v>
      </c>
      <c r="K93" s="318" t="n">
        <v>-930346.666666667</v>
      </c>
      <c r="L93" s="318" t="n">
        <v>-930346.666666667</v>
      </c>
      <c r="M93" s="318" t="n">
        <v>-930346.666666667</v>
      </c>
      <c r="N93" s="318" t="n">
        <v>-930346.666666667</v>
      </c>
      <c r="O93" s="318" t="n">
        <v>-930346.666666667</v>
      </c>
      <c r="P93" s="318" t="n">
        <v>-930346.666666667</v>
      </c>
      <c r="Q93" s="318" t="n">
        <v>-930346.666666667</v>
      </c>
      <c r="R93" s="318" t="n">
        <v>-930346.666666667</v>
      </c>
      <c r="S93" s="318" t="n">
        <v>-930346.666666667</v>
      </c>
      <c r="T93" s="318" t="n">
        <v>0</v>
      </c>
      <c r="U93" s="318" t="n">
        <v>0</v>
      </c>
      <c r="V93" s="318" t="n">
        <v>0</v>
      </c>
      <c r="W93" s="318" t="n">
        <v>0</v>
      </c>
      <c r="X93" s="317" t="n"/>
    </row>
    <row r="94" ht="15.75" customHeight="1" s="161">
      <c r="B94" s="308" t="inlineStr">
        <is>
          <t>理財活動-現金增資</t>
        </is>
      </c>
      <c r="C94" s="313" t="n"/>
      <c r="D94" s="309">
        <f>-D89*(1-D31)</f>
        <v/>
      </c>
      <c r="E94" s="313" t="n"/>
      <c r="F94" s="313" t="n"/>
      <c r="G94" s="313" t="n"/>
      <c r="H94" s="313" t="n"/>
      <c r="I94" s="313" t="n"/>
      <c r="J94" s="313" t="n"/>
      <c r="K94" s="313" t="n"/>
      <c r="L94" s="313" t="n"/>
      <c r="M94" s="313" t="n"/>
      <c r="N94" s="313" t="n"/>
      <c r="O94" s="313" t="n"/>
      <c r="P94" s="313" t="n"/>
      <c r="Q94" s="313" t="n"/>
      <c r="R94" s="313" t="n"/>
      <c r="S94" s="313" t="n"/>
      <c r="T94" s="313" t="n"/>
      <c r="U94" s="313" t="n"/>
      <c r="V94" s="313" t="n"/>
      <c r="W94" s="313" t="n"/>
      <c r="X94" s="278" t="n"/>
    </row>
    <row r="95" ht="15.75" customHeight="1" s="161">
      <c r="B95" s="308" t="inlineStr">
        <is>
          <t>現金股利</t>
        </is>
      </c>
      <c r="C95" s="313" t="n"/>
      <c r="D95" s="313" t="n"/>
      <c r="E95" s="319">
        <f>-D85*$D$33</f>
        <v/>
      </c>
      <c r="F95" s="319">
        <f>-E85*$D$33</f>
        <v/>
      </c>
      <c r="G95" s="319">
        <f>-F85*$D$33</f>
        <v/>
      </c>
      <c r="H95" s="319">
        <f>-G85*$D$33</f>
        <v/>
      </c>
      <c r="I95" s="319">
        <f>-H85*$D$33</f>
        <v/>
      </c>
      <c r="J95" s="319">
        <f>-I85*$D$33</f>
        <v/>
      </c>
      <c r="K95" s="319">
        <f>-J85*$D$33</f>
        <v/>
      </c>
      <c r="L95" s="319">
        <f>-K85*$D$33</f>
        <v/>
      </c>
      <c r="M95" s="319">
        <f>-L85*$D$33</f>
        <v/>
      </c>
      <c r="N95" s="319">
        <f>-M85*$D$33</f>
        <v/>
      </c>
      <c r="O95" s="319">
        <f>-N85*$D$33</f>
        <v/>
      </c>
      <c r="P95" s="319">
        <f>-O85*$D$33</f>
        <v/>
      </c>
      <c r="Q95" s="319">
        <f>-P85*$D$33</f>
        <v/>
      </c>
      <c r="R95" s="319">
        <f>-Q85*$D$33</f>
        <v/>
      </c>
      <c r="S95" s="319">
        <f>-R85*$D$33</f>
        <v/>
      </c>
      <c r="T95" s="319">
        <f>-S85*$D$33</f>
        <v/>
      </c>
      <c r="U95" s="319">
        <f>-T85*$D$33</f>
        <v/>
      </c>
      <c r="V95" s="319">
        <f>-U85*$D$33</f>
        <v/>
      </c>
      <c r="W95" s="319">
        <f>-V85*$D$33</f>
        <v/>
      </c>
      <c r="X95" s="319">
        <f>-W85*$D$33</f>
        <v/>
      </c>
    </row>
    <row r="96" ht="15.75" customHeight="1" s="161">
      <c r="B96" s="320" t="inlineStr">
        <is>
          <t>年底減資</t>
        </is>
      </c>
      <c r="C96" s="321" t="n"/>
      <c r="D96" s="321" t="n">
        <v>0</v>
      </c>
      <c r="E96" s="322" t="n">
        <v>0</v>
      </c>
      <c r="F96" s="322" t="n">
        <v>0</v>
      </c>
      <c r="G96" s="322" t="n">
        <v>0</v>
      </c>
      <c r="H96" s="322" t="n">
        <v>0</v>
      </c>
      <c r="I96" s="322" t="n">
        <v>0</v>
      </c>
      <c r="J96" s="322" t="n">
        <v>0</v>
      </c>
      <c r="K96" s="322" t="n">
        <v>0</v>
      </c>
      <c r="L96" s="322" t="n">
        <v>0</v>
      </c>
      <c r="M96" s="322" t="n">
        <v>0</v>
      </c>
      <c r="N96" s="322" t="n">
        <v>0</v>
      </c>
      <c r="O96" s="322" t="n">
        <v>0</v>
      </c>
      <c r="P96" s="322" t="n">
        <v>0</v>
      </c>
      <c r="Q96" s="322" t="n">
        <v>0</v>
      </c>
      <c r="R96" s="322" t="n">
        <v>0</v>
      </c>
      <c r="S96" s="322" t="n">
        <v>0</v>
      </c>
      <c r="T96" s="322" t="n">
        <v>-872200</v>
      </c>
      <c r="U96" s="322" t="n">
        <v>-872200</v>
      </c>
      <c r="V96" s="322" t="n">
        <v>-872200</v>
      </c>
      <c r="W96" s="322" t="n">
        <v>-872200</v>
      </c>
      <c r="X96" s="323">
        <f>-W101-X95</f>
        <v/>
      </c>
    </row>
    <row r="97" ht="15.75" customHeight="1" s="161">
      <c r="B97" s="313" t="n"/>
      <c r="C97" s="313" t="n"/>
      <c r="D97" s="313" t="n"/>
      <c r="E97" s="313" t="n"/>
      <c r="F97" s="313" t="n"/>
      <c r="G97" s="313" t="n"/>
      <c r="H97" s="313" t="n"/>
      <c r="I97" s="313" t="n"/>
      <c r="J97" s="313" t="n"/>
      <c r="K97" s="313" t="n"/>
      <c r="L97" s="313" t="n"/>
      <c r="M97" s="313" t="n"/>
      <c r="N97" s="313" t="n"/>
      <c r="O97" s="313" t="n"/>
      <c r="P97" s="313" t="n"/>
      <c r="Q97" s="313" t="n"/>
      <c r="R97" s="313" t="n"/>
      <c r="S97" s="313" t="n"/>
      <c r="T97" s="313" t="n"/>
      <c r="U97" s="313" t="n"/>
      <c r="V97" s="313" t="n"/>
      <c r="W97" s="313" t="n"/>
      <c r="X97" s="278" t="n"/>
    </row>
    <row r="98" ht="15.75" customHeight="1" s="161">
      <c r="B98" s="313" t="n"/>
      <c r="C98" s="313" t="n"/>
      <c r="D98" s="313" t="n"/>
      <c r="E98" s="313" t="n"/>
      <c r="F98" s="313" t="n"/>
      <c r="G98" s="313" t="n"/>
      <c r="H98" s="313" t="n"/>
      <c r="I98" s="313" t="n"/>
      <c r="J98" s="313" t="n"/>
      <c r="K98" s="313" t="n"/>
      <c r="L98" s="313" t="n"/>
      <c r="M98" s="313" t="n"/>
      <c r="N98" s="313" t="n"/>
      <c r="O98" s="313" t="n"/>
      <c r="P98" s="313" t="n"/>
      <c r="Q98" s="313" t="n"/>
      <c r="R98" s="313" t="n"/>
      <c r="S98" s="313" t="n"/>
      <c r="T98" s="313" t="n"/>
      <c r="U98" s="313" t="n"/>
      <c r="V98" s="313" t="n"/>
      <c r="W98" s="313" t="n"/>
      <c r="X98" s="278" t="n"/>
    </row>
    <row r="99" ht="15.75" customHeight="1" s="161">
      <c r="B99" s="308" t="inlineStr">
        <is>
          <t>現金淨流入(出 )</t>
        </is>
      </c>
      <c r="C99" s="309" t="n">
        <v>0</v>
      </c>
      <c r="D99" s="309">
        <f>SUM(D87:D96)</f>
        <v/>
      </c>
      <c r="E99" s="309">
        <f>SUM(E87:E96)</f>
        <v/>
      </c>
      <c r="F99" s="309">
        <f>SUM(F87:F96)</f>
        <v/>
      </c>
      <c r="G99" s="309">
        <f>SUM(G87:G96)</f>
        <v/>
      </c>
      <c r="H99" s="309">
        <f>SUM(H87:H96)</f>
        <v/>
      </c>
      <c r="I99" s="309">
        <f>SUM(I87:I96)</f>
        <v/>
      </c>
      <c r="J99" s="309">
        <f>SUM(J87:J96)</f>
        <v/>
      </c>
      <c r="K99" s="309">
        <f>SUM(K87:K96)</f>
        <v/>
      </c>
      <c r="L99" s="309">
        <f>SUM(L87:L96)</f>
        <v/>
      </c>
      <c r="M99" s="309">
        <f>SUM(M87:M96)</f>
        <v/>
      </c>
      <c r="N99" s="309">
        <f>SUM(N87:N96)</f>
        <v/>
      </c>
      <c r="O99" s="309">
        <f>SUM(O87:O96)</f>
        <v/>
      </c>
      <c r="P99" s="309">
        <f>SUM(P87:P96)</f>
        <v/>
      </c>
      <c r="Q99" s="309">
        <f>SUM(Q87:Q96)</f>
        <v/>
      </c>
      <c r="R99" s="309">
        <f>SUM(R87:R96)</f>
        <v/>
      </c>
      <c r="S99" s="309">
        <f>SUM(S87:S96)</f>
        <v/>
      </c>
      <c r="T99" s="309">
        <f>SUM(T87:T96)</f>
        <v/>
      </c>
      <c r="U99" s="309">
        <f>SUM(U87:U96)</f>
        <v/>
      </c>
      <c r="V99" s="309">
        <f>SUM(V87:V96)</f>
        <v/>
      </c>
      <c r="W99" s="309">
        <f>SUM(W87:W96)</f>
        <v/>
      </c>
      <c r="X99" s="278" t="n"/>
    </row>
    <row r="100" ht="15.75" customHeight="1" s="161">
      <c r="B100" s="308" t="inlineStr">
        <is>
          <t>期初淨現金</t>
        </is>
      </c>
      <c r="C100" s="309" t="n">
        <v>0</v>
      </c>
      <c r="D100" s="309">
        <f>C101</f>
        <v/>
      </c>
      <c r="E100" s="309">
        <f>D101</f>
        <v/>
      </c>
      <c r="F100" s="309">
        <f>E101</f>
        <v/>
      </c>
      <c r="G100" s="309">
        <f>F101</f>
        <v/>
      </c>
      <c r="H100" s="309">
        <f>G101</f>
        <v/>
      </c>
      <c r="I100" s="309">
        <f>H101</f>
        <v/>
      </c>
      <c r="J100" s="309">
        <f>I101</f>
        <v/>
      </c>
      <c r="K100" s="309">
        <f>J101</f>
        <v/>
      </c>
      <c r="L100" s="309">
        <f>K101</f>
        <v/>
      </c>
      <c r="M100" s="309">
        <f>L101</f>
        <v/>
      </c>
      <c r="N100" s="309">
        <f>M101</f>
        <v/>
      </c>
      <c r="O100" s="309">
        <f>N101</f>
        <v/>
      </c>
      <c r="P100" s="309">
        <f>O101</f>
        <v/>
      </c>
      <c r="Q100" s="309">
        <f>P101</f>
        <v/>
      </c>
      <c r="R100" s="309">
        <f>Q101</f>
        <v/>
      </c>
      <c r="S100" s="309">
        <f>R101</f>
        <v/>
      </c>
      <c r="T100" s="309">
        <f>S101</f>
        <v/>
      </c>
      <c r="U100" s="309">
        <f>T101</f>
        <v/>
      </c>
      <c r="V100" s="309">
        <f>U101</f>
        <v/>
      </c>
      <c r="W100" s="309">
        <f>V101</f>
        <v/>
      </c>
      <c r="X100" s="277" t="n"/>
    </row>
    <row r="101" ht="15.75" customHeight="1" s="161">
      <c r="B101" s="308" t="inlineStr">
        <is>
          <t>期未淨現金</t>
        </is>
      </c>
      <c r="C101" s="309" t="n">
        <v>0</v>
      </c>
      <c r="D101" s="309">
        <f>D99+D100</f>
        <v/>
      </c>
      <c r="E101" s="309">
        <f>E99+E100</f>
        <v/>
      </c>
      <c r="F101" s="309">
        <f>F99+F100</f>
        <v/>
      </c>
      <c r="G101" s="309">
        <f>G99+G100</f>
        <v/>
      </c>
      <c r="H101" s="309">
        <f>H99+H100</f>
        <v/>
      </c>
      <c r="I101" s="309">
        <f>I99+I100</f>
        <v/>
      </c>
      <c r="J101" s="309">
        <f>J99+J100</f>
        <v/>
      </c>
      <c r="K101" s="309">
        <f>K99+K100</f>
        <v/>
      </c>
      <c r="L101" s="309">
        <f>L99+L100</f>
        <v/>
      </c>
      <c r="M101" s="309">
        <f>M99+M100</f>
        <v/>
      </c>
      <c r="N101" s="309">
        <f>N99+N100</f>
        <v/>
      </c>
      <c r="O101" s="309">
        <f>O99+O100</f>
        <v/>
      </c>
      <c r="P101" s="309">
        <f>P99+P100</f>
        <v/>
      </c>
      <c r="Q101" s="309">
        <f>Q99+Q100</f>
        <v/>
      </c>
      <c r="R101" s="309">
        <f>R99+R100</f>
        <v/>
      </c>
      <c r="S101" s="309">
        <f>S99+S100</f>
        <v/>
      </c>
      <c r="T101" s="309">
        <f>T99+T100</f>
        <v/>
      </c>
      <c r="U101" s="309">
        <f>U99+U100</f>
        <v/>
      </c>
      <c r="V101" s="309">
        <f>V99+V100</f>
        <v/>
      </c>
      <c r="W101" s="309">
        <f>W99+W100</f>
        <v/>
      </c>
      <c r="X101" s="277" t="n"/>
    </row>
    <row r="102" ht="15.75" customHeight="1" s="161">
      <c r="B102" s="308" t="n"/>
      <c r="C102" s="308" t="n"/>
      <c r="D102" s="308" t="n"/>
      <c r="E102" s="308" t="n"/>
      <c r="F102" s="308" t="n"/>
      <c r="G102" s="308" t="n"/>
      <c r="H102" s="308" t="n"/>
      <c r="I102" s="308" t="n"/>
      <c r="J102" s="308" t="n"/>
      <c r="K102" s="308" t="n"/>
      <c r="L102" s="308" t="n"/>
      <c r="M102" s="308" t="n"/>
      <c r="N102" s="308" t="n"/>
      <c r="O102" s="308" t="n"/>
      <c r="P102" s="308" t="n"/>
      <c r="Q102" s="308" t="n"/>
      <c r="R102" s="308" t="n"/>
      <c r="S102" s="308" t="n"/>
      <c r="T102" s="308" t="n"/>
      <c r="U102" s="308" t="n"/>
      <c r="V102" s="308" t="n"/>
      <c r="W102" s="308" t="n"/>
      <c r="X102" s="308" t="n"/>
    </row>
    <row r="103" ht="15.75" customHeight="1" s="161">
      <c r="B103" s="308" t="n"/>
      <c r="C103" s="308" t="n"/>
      <c r="D103" s="308" t="n"/>
      <c r="E103" s="308" t="n"/>
      <c r="F103" s="313" t="n"/>
      <c r="G103" s="308" t="n"/>
      <c r="H103" s="308" t="n"/>
      <c r="I103" s="308" t="n"/>
      <c r="J103" s="308" t="n"/>
      <c r="K103" s="308" t="n"/>
      <c r="L103" s="308" t="n"/>
      <c r="M103" s="308" t="n"/>
      <c r="N103" s="308" t="n"/>
      <c r="O103" s="308" t="n"/>
      <c r="P103" s="308" t="n"/>
      <c r="Q103" s="308" t="n"/>
      <c r="R103" s="308" t="n"/>
      <c r="S103" s="308" t="n"/>
      <c r="T103" s="308" t="n"/>
      <c r="U103" s="308" t="n"/>
      <c r="V103" s="308" t="n"/>
      <c r="W103" s="308" t="n"/>
      <c r="X103" s="308" t="n"/>
    </row>
    <row r="104" ht="15.75" customHeight="1" s="161">
      <c r="B104" s="324" t="inlineStr">
        <is>
          <t>成本法實際現金流</t>
        </is>
      </c>
      <c r="C104" s="325" t="n"/>
      <c r="D104" s="326">
        <f>-D94</f>
        <v/>
      </c>
      <c r="E104" s="312">
        <f>-E95-E96</f>
        <v/>
      </c>
      <c r="F104" s="312">
        <f>-F95-F96</f>
        <v/>
      </c>
      <c r="G104" s="312">
        <f>-G95-G96</f>
        <v/>
      </c>
      <c r="H104" s="312">
        <f>-H95-H96</f>
        <v/>
      </c>
      <c r="I104" s="312">
        <f>-I95-I96</f>
        <v/>
      </c>
      <c r="J104" s="312">
        <f>-J95-J96</f>
        <v/>
      </c>
      <c r="K104" s="312">
        <f>-K95-K96</f>
        <v/>
      </c>
      <c r="L104" s="312">
        <f>-L95-L96</f>
        <v/>
      </c>
      <c r="M104" s="312">
        <f>-M95-M96</f>
        <v/>
      </c>
      <c r="N104" s="312">
        <f>-N95-N96</f>
        <v/>
      </c>
      <c r="O104" s="312">
        <f>-O95-O96</f>
        <v/>
      </c>
      <c r="P104" s="312">
        <f>-P95-P96</f>
        <v/>
      </c>
      <c r="Q104" s="312">
        <f>-Q95-Q96</f>
        <v/>
      </c>
      <c r="R104" s="312">
        <f>-R95-R96</f>
        <v/>
      </c>
      <c r="S104" s="312">
        <f>-S95-S96</f>
        <v/>
      </c>
      <c r="T104" s="312">
        <f>-T95-T96</f>
        <v/>
      </c>
      <c r="U104" s="312">
        <f>-U95-U96</f>
        <v/>
      </c>
      <c r="V104" s="312">
        <f>-V95-V96</f>
        <v/>
      </c>
      <c r="W104" s="312">
        <f>-W95-W96</f>
        <v/>
      </c>
      <c r="X104" s="312">
        <f>-X95-X96</f>
        <v/>
      </c>
    </row>
    <row r="105" ht="15.75" customHeight="1" s="161">
      <c r="B105" s="308" t="inlineStr">
        <is>
          <t>成本法IRR</t>
        </is>
      </c>
      <c r="C105" s="327">
        <f>IRR(D104:X104)</f>
        <v/>
      </c>
      <c r="D105" s="313" t="n"/>
      <c r="E105" s="313" t="n"/>
      <c r="F105" s="308" t="n"/>
      <c r="G105" s="308" t="n"/>
      <c r="H105" s="308" t="n"/>
      <c r="I105" s="308" t="n"/>
      <c r="J105" s="308" t="n"/>
      <c r="K105" s="308" t="n"/>
      <c r="L105" s="308" t="n"/>
      <c r="M105" s="308" t="n"/>
      <c r="N105" s="308" t="n"/>
      <c r="O105" s="308" t="n"/>
      <c r="P105" s="308" t="n"/>
      <c r="Q105" s="308" t="n"/>
      <c r="R105" s="308" t="n"/>
      <c r="S105" s="308" t="n"/>
      <c r="T105" s="308" t="n"/>
      <c r="U105" s="308" t="n"/>
      <c r="V105" s="308" t="n"/>
      <c r="W105" s="308" t="n"/>
      <c r="X105" s="308" t="n"/>
    </row>
    <row r="106" ht="15.75" customHeight="1" s="161">
      <c r="B106" s="324" t="inlineStr">
        <is>
          <t>權益法實際現金流</t>
        </is>
      </c>
      <c r="C106" s="325" t="n"/>
      <c r="D106" s="326">
        <f>D85-D94</f>
        <v/>
      </c>
      <c r="E106" s="312">
        <f>E85</f>
        <v/>
      </c>
      <c r="F106" s="312">
        <f>F85-F96</f>
        <v/>
      </c>
      <c r="G106" s="312">
        <f>G85-G96</f>
        <v/>
      </c>
      <c r="H106" s="312">
        <f>H85-H96</f>
        <v/>
      </c>
      <c r="I106" s="312">
        <f>I85-I96</f>
        <v/>
      </c>
      <c r="J106" s="312">
        <f>J85-J96</f>
        <v/>
      </c>
      <c r="K106" s="312">
        <f>K85-K96</f>
        <v/>
      </c>
      <c r="L106" s="312">
        <f>L85-L96</f>
        <v/>
      </c>
      <c r="M106" s="312">
        <f>M85-M96</f>
        <v/>
      </c>
      <c r="N106" s="312">
        <f>N85-N96</f>
        <v/>
      </c>
      <c r="O106" s="312">
        <f>O85-O96</f>
        <v/>
      </c>
      <c r="P106" s="312">
        <f>P85-P96</f>
        <v/>
      </c>
      <c r="Q106" s="312">
        <f>Q85-Q96</f>
        <v/>
      </c>
      <c r="R106" s="312">
        <f>R85-R96</f>
        <v/>
      </c>
      <c r="S106" s="312">
        <f>S85-S96</f>
        <v/>
      </c>
      <c r="T106" s="312">
        <f>T85-T96</f>
        <v/>
      </c>
      <c r="U106" s="312">
        <f>U85-U96</f>
        <v/>
      </c>
      <c r="V106" s="312">
        <f>V85-V96</f>
        <v/>
      </c>
      <c r="W106" s="312">
        <f>W85-W96</f>
        <v/>
      </c>
      <c r="X106" s="317" t="n"/>
    </row>
    <row r="107" ht="15.75" customHeight="1" s="161">
      <c r="B107" s="324" t="inlineStr">
        <is>
          <t>權益法IRR</t>
        </is>
      </c>
      <c r="C107" s="327">
        <f>IRR(D106:W106)</f>
        <v/>
      </c>
      <c r="D107" s="313" t="n"/>
      <c r="E107" s="313" t="n"/>
      <c r="F107" s="308" t="n"/>
      <c r="G107" s="308" t="n"/>
      <c r="H107" s="308" t="n"/>
      <c r="I107" s="308" t="n"/>
      <c r="J107" s="308" t="n"/>
      <c r="K107" s="308" t="n"/>
      <c r="L107" s="308" t="n"/>
      <c r="M107" s="308" t="n"/>
      <c r="N107" s="308" t="n"/>
      <c r="O107" s="308" t="n"/>
      <c r="P107" s="308" t="n"/>
      <c r="Q107" s="308" t="n"/>
      <c r="R107" s="308" t="n"/>
      <c r="S107" s="308" t="n"/>
      <c r="T107" s="308" t="n"/>
      <c r="U107" s="308" t="n"/>
      <c r="V107" s="308" t="n"/>
      <c r="W107" s="308" t="n"/>
      <c r="X107" s="308" t="n"/>
    </row>
    <row r="108" ht="15.75" customHeight="1" s="161">
      <c r="B108" s="308" t="n"/>
      <c r="C108" s="308" t="n"/>
      <c r="D108" s="308" t="n"/>
      <c r="E108" s="308" t="n"/>
      <c r="F108" s="308" t="n"/>
      <c r="G108" s="308" t="n"/>
      <c r="H108" s="308" t="n"/>
      <c r="I108" s="308" t="n"/>
      <c r="J108" s="308" t="n"/>
      <c r="K108" s="308" t="n"/>
      <c r="L108" s="308" t="n"/>
      <c r="M108" s="308" t="n"/>
      <c r="N108" s="308" t="n"/>
      <c r="O108" s="308" t="n"/>
      <c r="P108" s="308" t="n"/>
      <c r="Q108" s="308" t="n"/>
      <c r="R108" s="308" t="n"/>
      <c r="S108" s="308" t="n"/>
      <c r="T108" s="308" t="n"/>
      <c r="U108" s="308" t="n"/>
      <c r="V108" s="308" t="n"/>
      <c r="W108" s="308" t="n"/>
      <c r="X108" s="308" t="n"/>
    </row>
    <row r="109" ht="15.75" customHeight="1" s="161">
      <c r="B109" s="308" t="inlineStr">
        <is>
          <t>借款餘額</t>
        </is>
      </c>
      <c r="C109" s="309" t="n">
        <v>0</v>
      </c>
      <c r="D109" s="309">
        <f>D92</f>
        <v/>
      </c>
      <c r="E109" s="309">
        <f>D109+E93</f>
        <v/>
      </c>
      <c r="F109" s="309">
        <f>E109+F93</f>
        <v/>
      </c>
      <c r="G109" s="309">
        <f>F109+G93</f>
        <v/>
      </c>
      <c r="H109" s="309">
        <f>G109+H93</f>
        <v/>
      </c>
      <c r="I109" s="309">
        <f>H109+I93</f>
        <v/>
      </c>
      <c r="J109" s="309">
        <f>I109+J93</f>
        <v/>
      </c>
      <c r="K109" s="309">
        <f>J109+K93</f>
        <v/>
      </c>
      <c r="L109" s="309">
        <f>K109+L93</f>
        <v/>
      </c>
      <c r="M109" s="309">
        <f>L109+M93</f>
        <v/>
      </c>
      <c r="N109" s="309">
        <f>M109+N93</f>
        <v/>
      </c>
      <c r="O109" s="309">
        <f>N109+O93</f>
        <v/>
      </c>
      <c r="P109" s="309">
        <f>O109+P93</f>
        <v/>
      </c>
      <c r="Q109" s="309">
        <f>P109+Q93</f>
        <v/>
      </c>
      <c r="R109" s="309">
        <f>Q109+R93</f>
        <v/>
      </c>
      <c r="S109" s="309">
        <f>R109+S93</f>
        <v/>
      </c>
      <c r="T109" s="309">
        <f>S109+T93</f>
        <v/>
      </c>
      <c r="U109" s="309">
        <f>T109+U93</f>
        <v/>
      </c>
      <c r="V109" s="309">
        <f>U109+V93</f>
        <v/>
      </c>
      <c r="W109" s="309">
        <f>V109+W93</f>
        <v/>
      </c>
      <c r="X109" s="3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34" customWidth="1" style="160" min="2" max="2"/>
    <col width="27" customWidth="1" style="160" min="3" max="3"/>
    <col width="37" customWidth="1" style="160" min="4" max="5"/>
    <col width="50" customWidth="1" style="160" min="6" max="6"/>
    <col width="37" customWidth="1" style="160" min="7" max="12"/>
    <col width="50" customWidth="1" style="160" min="13" max="13"/>
    <col width="37" customWidth="1" style="160" min="14" max="23"/>
    <col width="30" customWidth="1" style="160" min="24" max="24"/>
    <col width="10" customWidth="1" style="160" min="25" max="27"/>
    <col width="11" customWidth="1" style="160" min="28" max="35"/>
    <col width="8" customWidth="1" style="160" min="36" max="36"/>
    <col width="9.140000000000001" customWidth="1" style="160" min="37" max="37"/>
  </cols>
  <sheetData>
    <row r="1" ht="22.5" customHeight="1" s="161">
      <c r="B1" s="162" t="inlineStr">
        <is>
          <t>電站基本資料</t>
        </is>
      </c>
      <c r="C1" s="203" t="n"/>
      <c r="D1" s="203" t="n"/>
      <c r="E1" s="204" t="n"/>
      <c r="F1" s="165" t="inlineStr">
        <is>
          <t>說明</t>
        </is>
      </c>
      <c r="P1" s="166">
        <f>1-D11</f>
        <v/>
      </c>
      <c r="Q1" s="166">
        <f>P1-$D12</f>
        <v/>
      </c>
      <c r="R1" s="166">
        <f>Q1-$D12</f>
        <v/>
      </c>
      <c r="S1" s="166">
        <f>R1-$D12</f>
        <v/>
      </c>
      <c r="T1" s="166">
        <f>S1-$D12</f>
        <v/>
      </c>
      <c r="U1" s="166">
        <f>T1-$D12</f>
        <v/>
      </c>
      <c r="V1" s="166">
        <f>U1-$D12</f>
        <v/>
      </c>
      <c r="W1" s="166">
        <f>V1-$D12</f>
        <v/>
      </c>
      <c r="X1" s="166">
        <f>W1-$D12</f>
        <v/>
      </c>
      <c r="Y1" s="166">
        <f>X1-$D12</f>
        <v/>
      </c>
      <c r="Z1" s="166">
        <f>Y1-$D12</f>
        <v/>
      </c>
      <c r="AA1" s="166">
        <f>Z1-$D12</f>
        <v/>
      </c>
      <c r="AB1" s="166">
        <f>AA1-$D12</f>
        <v/>
      </c>
      <c r="AC1" s="166">
        <f>AB1-$D12</f>
        <v/>
      </c>
      <c r="AD1" s="166">
        <f>AC1-$D12</f>
        <v/>
      </c>
      <c r="AE1" s="166">
        <f>AD1-$D12</f>
        <v/>
      </c>
      <c r="AF1" s="166">
        <f>AE1-$D12</f>
        <v/>
      </c>
      <c r="AG1" s="166">
        <f>AF1-$D12</f>
        <v/>
      </c>
      <c r="AH1" s="166">
        <f>AG1-$D12</f>
        <v/>
      </c>
      <c r="AI1" s="166">
        <f>AH1-$D12</f>
        <v/>
      </c>
    </row>
    <row r="2" ht="21.75" customHeight="1" s="161">
      <c r="B2" s="205" t="inlineStr">
        <is>
          <t>電站名稱</t>
        </is>
      </c>
      <c r="C2" s="206" t="inlineStr">
        <is>
          <t>淡江大學</t>
        </is>
      </c>
      <c r="D2" s="169" t="inlineStr">
        <is>
          <t>-</t>
        </is>
      </c>
      <c r="E2" s="170" t="inlineStr">
        <is>
          <t>-</t>
        </is>
      </c>
      <c r="F2" s="207" t="inlineStr">
        <is>
          <t>填入本案場名稱</t>
        </is>
      </c>
    </row>
    <row r="3" ht="21.75" customHeight="1" s="161">
      <c r="B3" s="208" t="inlineStr">
        <is>
          <t>電站壽命</t>
        </is>
      </c>
      <c r="C3" s="209" t="n">
        <v>20</v>
      </c>
      <c r="D3" s="174" t="inlineStr">
        <is>
          <t>-</t>
        </is>
      </c>
      <c r="E3" s="175" t="inlineStr">
        <is>
          <t>-</t>
        </is>
      </c>
      <c r="F3" s="171" t="inlineStr">
        <is>
          <t>預設 20 年，代表財務評估年期。若合約年限不同可依實際情況修改</t>
        </is>
      </c>
    </row>
    <row r="4" ht="21.75" customHeight="1" s="161">
      <c r="B4" s="208" t="inlineStr">
        <is>
          <t>建置量(kWp)</t>
        </is>
      </c>
      <c r="C4" s="209" t="n">
        <v>436.1</v>
      </c>
      <c r="D4" s="174" t="inlineStr">
        <is>
          <t>-</t>
        </is>
      </c>
      <c r="E4" s="175" t="inlineStr">
        <is>
          <t>-</t>
        </is>
      </c>
      <c r="F4" s="171" t="inlineStr">
        <is>
          <t>填入裝置容量（kWp），通常由設計圖面或報價書取得</t>
        </is>
      </c>
      <c r="M4" s="160" t="inlineStr">
        <is>
          <t>情境編號: 2</t>
        </is>
      </c>
    </row>
    <row r="5" ht="22.5" customHeight="1" s="161">
      <c r="B5" s="210" t="inlineStr">
        <is>
          <t>起始年度</t>
        </is>
      </c>
      <c r="C5" s="209" t="n">
        <v>2020</v>
      </c>
      <c r="D5" s="210" t="inlineStr">
        <is>
          <t>結束年度</t>
        </is>
      </c>
      <c r="E5" s="211" t="n">
        <v>2039</v>
      </c>
      <c r="F5" s="171" t="inlineStr">
        <is>
          <t>填入電站預計掛表的西元年份（例：2025）。結束年度會自動計算</t>
        </is>
      </c>
      <c r="M5" s="160" t="inlineStr">
        <is>
          <t>第1次滾算摘要</t>
        </is>
      </c>
    </row>
    <row r="6" ht="20.25" customHeight="1" s="161">
      <c r="B6" s="176" t="n"/>
      <c r="C6" s="176" t="n"/>
      <c r="D6" s="176" t="n"/>
      <c r="E6" s="176" t="n"/>
      <c r="M6" s="160" t="inlineStr">
        <is>
          <t>價金: 28000</t>
        </is>
      </c>
    </row>
    <row r="7" ht="22.5" customHeight="1" s="161">
      <c r="B7" s="162" t="inlineStr">
        <is>
          <t>綜合損益表</t>
        </is>
      </c>
      <c r="C7" s="203" t="n"/>
      <c r="D7" s="203" t="n"/>
      <c r="E7" s="204" t="n"/>
      <c r="M7" s="160" t="inlineStr">
        <is>
          <t>專案IRR: 5.95</t>
        </is>
      </c>
    </row>
    <row r="8" ht="22.5" customHeight="1" s="161">
      <c r="B8" s="178" t="inlineStr">
        <is>
          <t>收入</t>
        </is>
      </c>
      <c r="E8" s="212" t="n"/>
      <c r="M8" s="160" t="inlineStr">
        <is>
          <t>權益法IRR: 17.17</t>
        </is>
      </c>
    </row>
    <row r="9" ht="22.5" customHeight="1" s="161">
      <c r="B9" s="213" t="inlineStr">
        <is>
          <t>收支項目</t>
        </is>
      </c>
      <c r="C9" s="214" t="inlineStr">
        <is>
          <t>相關參數</t>
        </is>
      </c>
      <c r="D9" s="214" t="inlineStr">
        <is>
          <t>參數數值</t>
        </is>
      </c>
      <c r="E9" s="215" t="inlineStr">
        <is>
          <t>年限</t>
        </is>
      </c>
      <c r="F9" s="165" t="inlineStr">
        <is>
          <t>說明</t>
        </is>
      </c>
      <c r="M9" s="160" t="inlineStr">
        <is>
          <t>利潤率: 20.00%</t>
        </is>
      </c>
    </row>
    <row r="10" ht="30" customHeight="1" s="161">
      <c r="B10" s="216" t="inlineStr">
        <is>
          <t>電費收入</t>
        </is>
      </c>
      <c r="C10" s="217" t="inlineStr">
        <is>
          <t>年度AC併網總發電量</t>
        </is>
      </c>
      <c r="D10" s="218" t="n">
        <v>547002</v>
      </c>
      <c r="E10" s="185" t="n">
        <v>20</v>
      </c>
      <c r="F10" s="171" t="inlineStr">
        <is>
          <t>預估年發電量（kWh），通常來自 PVsyst 模擬或估算：裝置容量 × 年日照時數 × 系統效率</t>
        </is>
      </c>
      <c r="M10" s="160" t="inlineStr">
        <is>
          <t>第1次滾算，減少 2000 元 - 現金模式，每次減少 2000 元</t>
        </is>
      </c>
    </row>
    <row r="11" ht="30" customHeight="1" s="161">
      <c r="B11" s="219" t="n"/>
      <c r="C11" s="210" t="inlineStr">
        <is>
          <t>首年衰退率</t>
        </is>
      </c>
      <c r="D11" s="220" t="n">
        <v>0.01</v>
      </c>
      <c r="E11" s="221" t="n"/>
      <c r="F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B12" s="219" t="n"/>
      <c r="C12" s="210" t="inlineStr">
        <is>
          <t>次年衰退率</t>
        </is>
      </c>
      <c r="D12" s="222" t="n">
        <v>0.004</v>
      </c>
      <c r="E12" s="221" t="n"/>
      <c r="F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B13" s="219" t="n"/>
      <c r="C13" s="223" t="inlineStr">
        <is>
          <t>躉售費率(FIT) / 綠電費率</t>
        </is>
      </c>
      <c r="D13" s="224" t="n">
        <v>4</v>
      </c>
      <c r="E13" s="221" t="n"/>
      <c r="F13" s="171" t="inlineStr">
        <is>
          <t>與台電簽訂的躉購費率或綠電合約費率，單位：元/度。請參考台電公告或合約內容</t>
        </is>
      </c>
    </row>
    <row r="14" ht="22.5" customHeight="1" s="161">
      <c r="B14" s="192" t="inlineStr">
        <is>
          <t>支出</t>
        </is>
      </c>
      <c r="C14" s="203" t="n"/>
      <c r="D14" s="203" t="n"/>
      <c r="E14" s="204" t="n"/>
    </row>
    <row r="15" ht="22.5" customHeight="1" s="161">
      <c r="B15" s="213" t="inlineStr">
        <is>
          <t>收支項目</t>
        </is>
      </c>
      <c r="C15" s="214" t="inlineStr">
        <is>
          <t>相關參數</t>
        </is>
      </c>
      <c r="D15" s="214" t="inlineStr">
        <is>
          <t>參數數值</t>
        </is>
      </c>
      <c r="E15" s="215" t="inlineStr">
        <is>
          <t>攤提年限</t>
        </is>
      </c>
      <c r="F15" s="165" t="inlineStr">
        <is>
          <t>說明</t>
        </is>
      </c>
    </row>
    <row r="16" ht="21.75" customHeight="1" s="161">
      <c r="B16" s="217" t="inlineStr">
        <is>
          <t>設備費用(價金)</t>
        </is>
      </c>
      <c r="C16" s="217" t="inlineStr">
        <is>
          <t>每kWp設備成本</t>
        </is>
      </c>
      <c r="D16" s="225" t="n">
        <v>28000</v>
      </c>
      <c r="E16" s="170" t="n">
        <v>20</v>
      </c>
      <c r="F16" s="171" t="inlineStr">
        <is>
          <t>每峰瓩設備成本（元/kWp），包含模組、逆變器、支架等硬體，不含工程施工費</t>
        </is>
      </c>
    </row>
    <row r="17" ht="21.75" customHeight="1" s="161">
      <c r="B17" s="219" t="n"/>
      <c r="C17" s="210" t="inlineStr">
        <is>
          <t>信邦利潤率(ex:20%填0.2)</t>
        </is>
      </c>
      <c r="D17" s="226" t="n">
        <v>0.2</v>
      </c>
      <c r="E17" s="221" t="n"/>
      <c r="F17" s="171" t="inlineStr">
        <is>
          <t>公司在設備費用上加計的利潤比率，請填小數（例：20% → 填 0.2）</t>
        </is>
      </c>
    </row>
    <row r="18" ht="21.75" customHeight="1" s="161">
      <c r="B18" s="227" t="n"/>
      <c r="C18" s="210" t="inlineStr">
        <is>
          <t>開發費</t>
        </is>
      </c>
      <c r="D18" s="228" t="n">
        <v>2500</v>
      </c>
      <c r="E18" s="229" t="n"/>
      <c r="F18" s="171" t="inlineStr">
        <is>
          <t>前期開發費用（元），含可行性評估、申請規費、地主溝通等。若無則填 0</t>
        </is>
      </c>
    </row>
    <row r="19" ht="54" customHeight="1" s="161">
      <c r="B19" s="210" t="inlineStr">
        <is>
          <t>租金費用</t>
        </is>
      </c>
      <c r="C19" s="230" t="inlineStr">
        <is>
          <t>租金計算方式</t>
        </is>
      </c>
      <c r="D19" s="226" t="n">
        <v>1</v>
      </c>
      <c r="E19" s="170" t="n">
        <v>20</v>
      </c>
      <c r="F19" s="171" t="inlineStr">
        <is>
          <t>填 1 = 固定年租金（需填方式1參數）；填 2 = 依電費收入抽成（需填方式2參數）</t>
        </is>
      </c>
    </row>
    <row r="20" ht="20.25" customHeight="1" s="161">
      <c r="B20" s="219" t="n"/>
      <c r="C20" s="231" t="inlineStr">
        <is>
          <t>【方式1參數】每年相同價格</t>
        </is>
      </c>
      <c r="D20" s="228" t="n">
        <v>290201</v>
      </c>
      <c r="E20" s="170" t="n">
        <v>20</v>
      </c>
      <c r="F20" s="171" t="inlineStr">
        <is>
          <t>租金計算方式選「1」時填寫，固定年租金金額（元/年），套用至整個電站壽命期</t>
        </is>
      </c>
    </row>
    <row r="21" ht="30" customHeight="1" s="161">
      <c r="B21" s="227" t="n"/>
      <c r="C21" s="210" t="inlineStr">
        <is>
          <t>【方式2參數】抽成比率</t>
        </is>
      </c>
      <c r="D21" s="226" t="n">
        <v>0</v>
      </c>
      <c r="E21" s="175" t="n">
        <v>20</v>
      </c>
      <c r="F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B22" s="210" t="inlineStr">
        <is>
          <t>運維費用</t>
        </is>
      </c>
      <c r="C22" s="210" t="inlineStr">
        <is>
          <t>每kw運維成本</t>
        </is>
      </c>
      <c r="D22" s="232" t="n">
        <v>400</v>
      </c>
      <c r="E22" s="175" t="n">
        <v>20</v>
      </c>
      <c r="F22" s="171" t="inlineStr">
        <is>
          <t>每峰瓩每年運維費用（元/kWp/年），含清洗、巡檢、維修等。</t>
        </is>
      </c>
    </row>
    <row r="23" ht="30" customHeight="1" s="161">
      <c r="B23" s="210" t="inlineStr">
        <is>
          <t>保險費用</t>
        </is>
      </c>
      <c r="C23" s="210" t="inlineStr">
        <is>
          <t>占整體設備費用比例</t>
        </is>
      </c>
      <c r="D23" s="226" t="n">
        <v>0.003</v>
      </c>
      <c r="E23" s="175" t="n">
        <v>20</v>
      </c>
      <c r="F23" s="171" t="inlineStr">
        <is>
          <t>保險費佔設備總費用比率，填小數（例：0.3% → 填 0.003）。預設 0.003，可依投保條件調整</t>
        </is>
      </c>
    </row>
    <row r="24" ht="30" customHeight="1" s="161">
      <c r="B24" s="210" t="inlineStr">
        <is>
          <t>模組回收費用</t>
        </is>
      </c>
      <c r="C24" s="210" t="inlineStr">
        <is>
          <t>每kw模組回收成本</t>
        </is>
      </c>
      <c r="D24" s="232" t="n">
        <v>1000</v>
      </c>
      <c r="E24" s="199" t="n">
        <v>10</v>
      </c>
      <c r="F24" s="171" t="inlineStr">
        <is>
          <t>每峰瓩模組廢棄回收費用（元/kWp），於第 1~10 年計提（攤提 10 年）。</t>
        </is>
      </c>
    </row>
    <row r="25" ht="30" customHeight="1" s="161">
      <c r="B25" s="210" t="inlineStr">
        <is>
          <t>利息費用</t>
        </is>
      </c>
      <c r="C25" s="210" t="inlineStr">
        <is>
          <t>銀行利率</t>
        </is>
      </c>
      <c r="D25" s="233" t="n">
        <v>0.0256</v>
      </c>
      <c r="E25" s="175" t="n">
        <v>20</v>
      </c>
      <c r="F25" s="171" t="inlineStr">
        <is>
          <t>向銀行貸款的年利率，填小數（例：2.56% → 填 0.0256）。請依銀行核准利率填入</t>
        </is>
      </c>
    </row>
    <row r="26" ht="30" customHeight="1" s="161">
      <c r="B26" s="210" t="inlineStr">
        <is>
          <t>所得稅</t>
        </is>
      </c>
      <c r="C26" s="210" t="inlineStr">
        <is>
          <t>所得稅率</t>
        </is>
      </c>
      <c r="D26" s="226" t="n">
        <v>0.2</v>
      </c>
      <c r="E26" s="175" t="n">
        <v>20</v>
      </c>
      <c r="F26" s="171" t="inlineStr">
        <is>
          <t>公司所得稅率，填小數（例：20% → 填 0.2）。預設 0.2，通常不需更改</t>
        </is>
      </c>
    </row>
    <row r="27" ht="20.25" customHeight="1" s="161">
      <c r="B27" s="176" t="n"/>
      <c r="C27" s="176" t="n"/>
      <c r="D27" s="176" t="n"/>
      <c r="E27" s="176" t="n"/>
    </row>
    <row r="28" ht="20.25" customHeight="1" s="161">
      <c r="B28" s="176" t="n"/>
      <c r="C28" s="176" t="n"/>
      <c r="D28" s="176" t="n"/>
      <c r="E28" s="176" t="n"/>
    </row>
    <row r="29" ht="22.5" customHeight="1" s="161">
      <c r="B29" s="162" t="inlineStr">
        <is>
          <t>現金流量表</t>
        </is>
      </c>
      <c r="C29" s="203" t="n"/>
      <c r="D29" s="204" t="n"/>
      <c r="E29" s="176" t="n"/>
    </row>
    <row r="30" ht="22.5" customHeight="1" s="161">
      <c r="B30" s="213" t="inlineStr">
        <is>
          <t>金流項目</t>
        </is>
      </c>
      <c r="C30" s="234" t="inlineStr">
        <is>
          <t>相關參數</t>
        </is>
      </c>
      <c r="D30" s="235" t="inlineStr">
        <is>
          <t>參數數值</t>
        </is>
      </c>
      <c r="E30" s="176" t="n"/>
      <c r="F30" s="165" t="inlineStr">
        <is>
          <t>說明</t>
        </is>
      </c>
    </row>
    <row r="31" ht="30" customHeight="1" s="161">
      <c r="B31" s="217" t="inlineStr">
        <is>
          <t>貸款成數</t>
        </is>
      </c>
      <c r="C31" s="205" t="inlineStr">
        <is>
          <t>占總設備費用比例</t>
        </is>
      </c>
      <c r="D31" s="236" t="n">
        <v>0.8</v>
      </c>
      <c r="E31" s="176" t="n"/>
      <c r="F31" s="171" t="inlineStr">
        <is>
          <t>貸款佔設備總費用比例，填小數（例：80% → 填 0.8）。預設 0.8 代表貸八成、自備二成</t>
        </is>
      </c>
    </row>
    <row r="32" ht="18.75" customHeight="1" s="161">
      <c r="B32" s="217" t="inlineStr">
        <is>
          <t>貸款還款</t>
        </is>
      </c>
      <c r="C32" s="205" t="inlineStr">
        <is>
          <t>攤還期數</t>
        </is>
      </c>
      <c r="D32" s="236" t="n">
        <v>15</v>
      </c>
      <c r="E32" s="176" t="n"/>
      <c r="F32" s="171" t="inlineStr">
        <is>
          <t>貸款還款年數（年）。預設 15 年，代表分 15 年平均攤還本金</t>
        </is>
      </c>
    </row>
    <row r="33" ht="18.75" customHeight="1" s="161">
      <c r="B33" s="210" t="inlineStr">
        <is>
          <t>現金股利</t>
        </is>
      </c>
      <c r="C33" s="208" t="inlineStr">
        <is>
          <t>股利比率</t>
        </is>
      </c>
      <c r="D33" s="226" t="n">
        <v>0.9</v>
      </c>
      <c r="E33" s="176" t="n"/>
      <c r="F33" s="171" t="inlineStr">
        <is>
          <t>稅後現金流中分配給股東的比例，填小數（例：90% → 填 0.9）</t>
        </is>
      </c>
    </row>
    <row r="34" ht="30" customHeight="1" s="161">
      <c r="B34" s="210" t="inlineStr">
        <is>
          <t>年底減資</t>
        </is>
      </c>
      <c r="C34" s="208" t="inlineStr">
        <is>
          <t>攤還期數</t>
        </is>
      </c>
      <c r="D34" s="226" t="n">
        <v>4</v>
      </c>
      <c r="E34" s="176" t="n"/>
      <c r="F34" s="171" t="inlineStr">
        <is>
          <t>年底減資返還股東的年數。預設 4 年，代表 倒數 4 年進行減資，加速資金返還</t>
        </is>
      </c>
    </row>
    <row r="35" ht="18.75" customHeight="1" s="161"/>
    <row r="36" ht="18.75" customHeight="1" s="161"/>
    <row r="37" ht="18.75" customHeight="1" s="161">
      <c r="B37" s="237" t="n"/>
      <c r="C37" s="238" t="inlineStr">
        <is>
          <t>年份</t>
        </is>
      </c>
      <c r="D37" s="238" t="n">
        <v>2020</v>
      </c>
      <c r="E37" s="238" t="n">
        <v>2021</v>
      </c>
      <c r="F37" s="238" t="n">
        <v>2022</v>
      </c>
      <c r="G37" s="238" t="n">
        <v>2023</v>
      </c>
      <c r="H37" s="238" t="n">
        <v>2024</v>
      </c>
      <c r="I37" s="238" t="n">
        <v>2025</v>
      </c>
      <c r="J37" s="238" t="n">
        <v>2026</v>
      </c>
      <c r="K37" s="238" t="n">
        <v>2027</v>
      </c>
      <c r="L37" s="238" t="n">
        <v>2028</v>
      </c>
      <c r="M37" s="238" t="n">
        <v>2029</v>
      </c>
      <c r="N37" s="238" t="n">
        <v>2030</v>
      </c>
      <c r="O37" s="238" t="n">
        <v>2031</v>
      </c>
      <c r="P37" s="238" t="n">
        <v>2032</v>
      </c>
      <c r="Q37" s="238" t="n">
        <v>2033</v>
      </c>
      <c r="R37" s="238" t="n">
        <v>2034</v>
      </c>
      <c r="S37" s="238" t="n">
        <v>2035</v>
      </c>
      <c r="T37" s="238" t="n">
        <v>2036</v>
      </c>
      <c r="U37" s="238" t="n">
        <v>2037</v>
      </c>
      <c r="V37" s="238" t="n">
        <v>2038</v>
      </c>
      <c r="W37" s="238" t="n">
        <v>2039</v>
      </c>
      <c r="X37" s="238" t="n"/>
    </row>
    <row r="38" ht="18.75" customHeight="1" s="161">
      <c r="B38" s="239" t="n">
        <v>0</v>
      </c>
      <c r="C38" s="240" t="n"/>
      <c r="D38" s="241" t="n"/>
      <c r="E38" s="241" t="n"/>
      <c r="F38" s="242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4" t="n"/>
      <c r="U38" s="243" t="n"/>
      <c r="V38" s="243" t="n"/>
      <c r="W38" s="243" t="n"/>
      <c r="X38" s="245" t="n"/>
    </row>
    <row r="39" ht="18.75" customHeight="1" s="161">
      <c r="B39" s="246" t="inlineStr">
        <is>
          <t>(Unit : Currency)</t>
        </is>
      </c>
      <c r="C39" s="247" t="n">
        <v>0</v>
      </c>
      <c r="D39" s="248" t="n">
        <v>1</v>
      </c>
      <c r="E39" s="248" t="n">
        <v>2</v>
      </c>
      <c r="F39" s="248" t="n">
        <v>3</v>
      </c>
      <c r="G39" s="248" t="n">
        <v>4</v>
      </c>
      <c r="H39" s="248" t="n">
        <v>5</v>
      </c>
      <c r="I39" s="248" t="n">
        <v>6</v>
      </c>
      <c r="J39" s="248" t="n">
        <v>7</v>
      </c>
      <c r="K39" s="248" t="n">
        <v>8</v>
      </c>
      <c r="L39" s="248" t="n">
        <v>9</v>
      </c>
      <c r="M39" s="248" t="n">
        <v>10</v>
      </c>
      <c r="N39" s="248" t="n">
        <v>11</v>
      </c>
      <c r="O39" s="248" t="n">
        <v>12</v>
      </c>
      <c r="P39" s="248" t="n">
        <v>13</v>
      </c>
      <c r="Q39" s="248" t="n">
        <v>14</v>
      </c>
      <c r="R39" s="248" t="n">
        <v>15</v>
      </c>
      <c r="S39" s="248" t="n">
        <v>16</v>
      </c>
      <c r="T39" s="249" t="n">
        <v>17</v>
      </c>
      <c r="U39" s="248" t="n">
        <v>18</v>
      </c>
      <c r="V39" s="248" t="n">
        <v>19</v>
      </c>
      <c r="W39" s="248" t="n">
        <v>20</v>
      </c>
      <c r="X39" s="250" t="n"/>
    </row>
    <row r="40" ht="18.75" customHeight="1" s="161">
      <c r="B40" s="251" t="inlineStr">
        <is>
          <t>發電度數(KWH)</t>
        </is>
      </c>
      <c r="C40" s="252" t="n">
        <v>0</v>
      </c>
      <c r="D40" s="253">
        <f>$D$10*P1</f>
        <v/>
      </c>
      <c r="E40" s="253">
        <f>$D$10*Q1</f>
        <v/>
      </c>
      <c r="F40" s="253">
        <f>$D$10*R1</f>
        <v/>
      </c>
      <c r="G40" s="253">
        <f>$D$10*S1</f>
        <v/>
      </c>
      <c r="H40" s="253">
        <f>$D$10*T1</f>
        <v/>
      </c>
      <c r="I40" s="253">
        <f>$D$10*U1</f>
        <v/>
      </c>
      <c r="J40" s="253">
        <f>$D$10*V1</f>
        <v/>
      </c>
      <c r="K40" s="253">
        <f>$D$10*W1</f>
        <v/>
      </c>
      <c r="L40" s="253">
        <f>$D$10*X1</f>
        <v/>
      </c>
      <c r="M40" s="253">
        <f>$D$10*Y1</f>
        <v/>
      </c>
      <c r="N40" s="253">
        <f>$D$10*Z1</f>
        <v/>
      </c>
      <c r="O40" s="253">
        <f>$D$10*AA1</f>
        <v/>
      </c>
      <c r="P40" s="253">
        <f>$D$10*AB1</f>
        <v/>
      </c>
      <c r="Q40" s="253">
        <f>$D$10*AC1</f>
        <v/>
      </c>
      <c r="R40" s="253">
        <f>$D$10*AD1</f>
        <v/>
      </c>
      <c r="S40" s="253">
        <f>$D$10*AE1</f>
        <v/>
      </c>
      <c r="T40" s="253">
        <f>$D$10*AF1</f>
        <v/>
      </c>
      <c r="U40" s="253">
        <f>$D$10*AG1</f>
        <v/>
      </c>
      <c r="V40" s="253">
        <f>$D$10*AH1</f>
        <v/>
      </c>
      <c r="W40" s="253">
        <f>$D$10*AI1</f>
        <v/>
      </c>
      <c r="X40" s="254" t="n"/>
    </row>
    <row r="41" ht="18.75" customHeight="1" s="161">
      <c r="B41" s="255" t="inlineStr">
        <is>
          <t>Inflow : 電費收入</t>
        </is>
      </c>
      <c r="C41" s="256" t="inlineStr">
        <is>
          <t>-</t>
        </is>
      </c>
      <c r="D41" s="257">
        <f>D40*$D$13</f>
        <v/>
      </c>
      <c r="E41" s="257">
        <f>E40*$D$13</f>
        <v/>
      </c>
      <c r="F41" s="257">
        <f>F40*$D$13</f>
        <v/>
      </c>
      <c r="G41" s="257">
        <f>G40*$D$13</f>
        <v/>
      </c>
      <c r="H41" s="257">
        <f>H40*$D$13</f>
        <v/>
      </c>
      <c r="I41" s="257">
        <f>I40*$D$13</f>
        <v/>
      </c>
      <c r="J41" s="257">
        <f>J40*$D$13</f>
        <v/>
      </c>
      <c r="K41" s="257">
        <f>K40*$D$13</f>
        <v/>
      </c>
      <c r="L41" s="257">
        <f>L40*$D$13</f>
        <v/>
      </c>
      <c r="M41" s="257">
        <f>M40*$D$13</f>
        <v/>
      </c>
      <c r="N41" s="257">
        <f>N40*$D$13</f>
        <v/>
      </c>
      <c r="O41" s="257">
        <f>O40*$D$13</f>
        <v/>
      </c>
      <c r="P41" s="257">
        <f>P40*$D$13</f>
        <v/>
      </c>
      <c r="Q41" s="257">
        <f>Q40*$D$13</f>
        <v/>
      </c>
      <c r="R41" s="257">
        <f>R40*$D$13</f>
        <v/>
      </c>
      <c r="S41" s="257">
        <f>S40*$D$13</f>
        <v/>
      </c>
      <c r="T41" s="257">
        <f>T40*$D$13</f>
        <v/>
      </c>
      <c r="U41" s="257">
        <f>U40*$D$13</f>
        <v/>
      </c>
      <c r="V41" s="257">
        <f>V40*$D$13</f>
        <v/>
      </c>
      <c r="W41" s="257">
        <f>W40*$D$13</f>
        <v/>
      </c>
      <c r="X41" s="258" t="n"/>
    </row>
    <row r="42" ht="18.75" customHeight="1" s="161">
      <c r="B42" s="259" t="inlineStr">
        <is>
          <t>Inflow : 政府補助</t>
        </is>
      </c>
      <c r="C42" s="260" t="inlineStr">
        <is>
          <t>-</t>
        </is>
      </c>
      <c r="D42" s="261" t="n"/>
      <c r="E42" s="261" t="n"/>
      <c r="F42" s="261" t="n"/>
      <c r="G42" s="262" t="inlineStr">
        <is>
          <t>-</t>
        </is>
      </c>
      <c r="H42" s="262" t="inlineStr">
        <is>
          <t>-</t>
        </is>
      </c>
      <c r="I42" s="262" t="inlineStr">
        <is>
          <t>-</t>
        </is>
      </c>
      <c r="J42" s="262" t="inlineStr">
        <is>
          <t>-</t>
        </is>
      </c>
      <c r="K42" s="262" t="inlineStr">
        <is>
          <t>-</t>
        </is>
      </c>
      <c r="L42" s="262" t="inlineStr">
        <is>
          <t>-</t>
        </is>
      </c>
      <c r="M42" s="262" t="inlineStr">
        <is>
          <t>-</t>
        </is>
      </c>
      <c r="N42" s="262" t="inlineStr">
        <is>
          <t>-</t>
        </is>
      </c>
      <c r="O42" s="262" t="inlineStr">
        <is>
          <t>-</t>
        </is>
      </c>
      <c r="P42" s="262" t="inlineStr">
        <is>
          <t>-</t>
        </is>
      </c>
      <c r="Q42" s="262" t="inlineStr">
        <is>
          <t>-</t>
        </is>
      </c>
      <c r="R42" s="262" t="inlineStr">
        <is>
          <t>-</t>
        </is>
      </c>
      <c r="S42" s="262" t="inlineStr">
        <is>
          <t>-</t>
        </is>
      </c>
      <c r="T42" s="262" t="inlineStr">
        <is>
          <t>-</t>
        </is>
      </c>
      <c r="U42" s="262" t="inlineStr">
        <is>
          <t>-</t>
        </is>
      </c>
      <c r="V42" s="262" t="inlineStr">
        <is>
          <t>-</t>
        </is>
      </c>
      <c r="W42" s="262" t="inlineStr">
        <is>
          <t>-</t>
        </is>
      </c>
      <c r="X42" s="263" t="n"/>
    </row>
    <row r="43" ht="18.75" customHeight="1" s="161">
      <c r="B43" s="264" t="inlineStr">
        <is>
          <t>Inflow : 銀行借款</t>
        </is>
      </c>
      <c r="C43" s="265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6" t="n"/>
      <c r="S43" s="266" t="n"/>
      <c r="T43" s="266" t="n"/>
      <c r="U43" s="266" t="n"/>
      <c r="V43" s="266" t="n"/>
      <c r="W43" s="266" t="n"/>
      <c r="X43" s="267" t="n"/>
    </row>
    <row r="44" ht="18.75" customHeight="1" s="161">
      <c r="B44" s="268" t="inlineStr">
        <is>
          <t>Outflow : 設備費用</t>
        </is>
      </c>
      <c r="C44" s="269">
        <f>-(D16/(1-D17)+D18)*C4</f>
        <v/>
      </c>
      <c r="D44" s="270" t="n"/>
      <c r="E44" s="270" t="n"/>
      <c r="F44" s="270" t="n"/>
      <c r="G44" s="270" t="n"/>
      <c r="H44" s="270" t="n"/>
      <c r="I44" s="270" t="n"/>
      <c r="J44" s="270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</row>
    <row r="45" ht="18.75" customHeight="1" s="161">
      <c r="B45" s="268" t="inlineStr">
        <is>
          <t>Outflow : 設備放置區域租金</t>
        </is>
      </c>
      <c r="C45" s="260" t="inlineStr">
        <is>
          <t>-</t>
        </is>
      </c>
      <c r="D45" s="160" t="n">
        <v>-290201</v>
      </c>
      <c r="E45" s="270" t="n">
        <v>-290201</v>
      </c>
      <c r="F45" s="270" t="n">
        <v>-290201</v>
      </c>
      <c r="G45" s="270" t="n">
        <v>-290201</v>
      </c>
      <c r="H45" s="270" t="n">
        <v>-290201</v>
      </c>
      <c r="I45" s="270" t="n">
        <v>-290201</v>
      </c>
      <c r="J45" s="270" t="n">
        <v>-290201</v>
      </c>
      <c r="K45" s="270" t="n">
        <v>-290201</v>
      </c>
      <c r="L45" s="270" t="n">
        <v>-290201</v>
      </c>
      <c r="M45" s="270" t="n">
        <v>-290201</v>
      </c>
      <c r="N45" s="270" t="n">
        <v>-290201</v>
      </c>
      <c r="O45" s="270" t="n">
        <v>-290201</v>
      </c>
      <c r="P45" s="270" t="n">
        <v>-290201</v>
      </c>
      <c r="Q45" s="270" t="n">
        <v>-290201</v>
      </c>
      <c r="R45" s="270" t="n">
        <v>-290201</v>
      </c>
      <c r="S45" s="270" t="n">
        <v>-290201</v>
      </c>
      <c r="T45" s="270" t="n">
        <v>-290201</v>
      </c>
      <c r="U45" s="270" t="n">
        <v>-290201</v>
      </c>
      <c r="V45" s="270" t="n">
        <v>-290201</v>
      </c>
      <c r="W45" s="270" t="n">
        <v>-290201</v>
      </c>
      <c r="X45" s="270" t="n"/>
    </row>
    <row r="46" ht="18.75" customHeight="1" s="161">
      <c r="B46" s="268" t="inlineStr">
        <is>
          <t>Outflow : 返還借款</t>
        </is>
      </c>
      <c r="C46" s="260" t="n"/>
      <c r="D46" s="270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</row>
    <row r="47" ht="18.75" customHeight="1" s="161">
      <c r="B47" s="268" t="inlineStr">
        <is>
          <t>Outflow : 利息費用</t>
        </is>
      </c>
      <c r="C47" s="260" t="inlineStr">
        <is>
          <t>-</t>
        </is>
      </c>
      <c r="D47" s="270" t="n"/>
      <c r="E47" s="270" t="n"/>
      <c r="F47" s="270" t="n"/>
      <c r="G47" s="270" t="n"/>
      <c r="H47" s="270" t="n"/>
      <c r="I47" s="270" t="n"/>
      <c r="J47" s="270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</row>
    <row r="48" ht="18.75" customHeight="1" s="161">
      <c r="B48" s="268" t="inlineStr">
        <is>
          <t>Outflow : 維運費</t>
        </is>
      </c>
      <c r="C48" s="260" t="inlineStr">
        <is>
          <t>-</t>
        </is>
      </c>
      <c r="D48" s="270" t="n">
        <v>-174440</v>
      </c>
      <c r="E48" s="270" t="n">
        <v>-174440</v>
      </c>
      <c r="F48" s="270" t="n">
        <v>-174440</v>
      </c>
      <c r="G48" s="270" t="n">
        <v>-174440</v>
      </c>
      <c r="H48" s="270" t="n">
        <v>-174440</v>
      </c>
      <c r="I48" s="270" t="n">
        <v>-174440</v>
      </c>
      <c r="J48" s="270" t="n">
        <v>-174440</v>
      </c>
      <c r="K48" s="270" t="n">
        <v>-174440</v>
      </c>
      <c r="L48" s="270" t="n">
        <v>-174440</v>
      </c>
      <c r="M48" s="270" t="n">
        <v>-174440</v>
      </c>
      <c r="N48" s="270" t="n">
        <v>-174440</v>
      </c>
      <c r="O48" s="270" t="n">
        <v>-174440</v>
      </c>
      <c r="P48" s="270" t="n">
        <v>-174440</v>
      </c>
      <c r="Q48" s="270" t="n">
        <v>-174440</v>
      </c>
      <c r="R48" s="270" t="n">
        <v>-174440</v>
      </c>
      <c r="S48" s="270" t="n">
        <v>-174440</v>
      </c>
      <c r="T48" s="270" t="n">
        <v>-174440</v>
      </c>
      <c r="U48" s="270" t="n">
        <v>-174440</v>
      </c>
      <c r="V48" s="270" t="n">
        <v>-174440</v>
      </c>
      <c r="W48" s="270" t="n">
        <v>-174440</v>
      </c>
      <c r="X48" s="270" t="n"/>
    </row>
    <row r="49" ht="18.75" customHeight="1" s="161">
      <c r="B49" s="268" t="inlineStr">
        <is>
          <t>Outflow : 保險費</t>
        </is>
      </c>
      <c r="C49" s="260" t="inlineStr">
        <is>
          <t>-</t>
        </is>
      </c>
      <c r="D49" s="270" t="n">
        <v>-36632.4</v>
      </c>
      <c r="E49" s="270" t="n">
        <v>-36632.4</v>
      </c>
      <c r="F49" s="270" t="n">
        <v>-36632.4</v>
      </c>
      <c r="G49" s="270" t="n">
        <v>-36632.4</v>
      </c>
      <c r="H49" s="270" t="n">
        <v>-36632.4</v>
      </c>
      <c r="I49" s="270" t="n">
        <v>-36632.4</v>
      </c>
      <c r="J49" s="270" t="n">
        <v>-36632.4</v>
      </c>
      <c r="K49" s="270" t="n">
        <v>-36632.4</v>
      </c>
      <c r="L49" s="270" t="n">
        <v>-36632.4</v>
      </c>
      <c r="M49" s="270" t="n">
        <v>-36632.4</v>
      </c>
      <c r="N49" s="270" t="n">
        <v>-36632.4</v>
      </c>
      <c r="O49" s="270" t="n">
        <v>-36632.4</v>
      </c>
      <c r="P49" s="270" t="n">
        <v>-36632.4</v>
      </c>
      <c r="Q49" s="270" t="n">
        <v>-36632.4</v>
      </c>
      <c r="R49" s="270" t="n">
        <v>-36632.4</v>
      </c>
      <c r="S49" s="270" t="n">
        <v>-36632.4</v>
      </c>
      <c r="T49" s="270" t="n">
        <v>-36632.4</v>
      </c>
      <c r="U49" s="270" t="n">
        <v>-36632.4</v>
      </c>
      <c r="V49" s="270" t="n">
        <v>-36632.4</v>
      </c>
      <c r="W49" s="270" t="n">
        <v>-36632.4</v>
      </c>
      <c r="X49" s="270" t="n"/>
    </row>
    <row r="50" ht="18.75" customHeight="1" s="161">
      <c r="B50" s="268" t="inlineStr">
        <is>
          <t>Outflow : 模組回收費</t>
        </is>
      </c>
      <c r="C50" s="260" t="n"/>
      <c r="D50" s="270" t="n">
        <v>-43610</v>
      </c>
      <c r="E50" s="270" t="n">
        <v>-43610</v>
      </c>
      <c r="F50" s="270" t="n">
        <v>-43610</v>
      </c>
      <c r="G50" s="270" t="n">
        <v>-43610</v>
      </c>
      <c r="H50" s="270" t="n">
        <v>-43610</v>
      </c>
      <c r="I50" s="270" t="n">
        <v>-43610</v>
      </c>
      <c r="J50" s="270" t="n">
        <v>-43610</v>
      </c>
      <c r="K50" s="270" t="n">
        <v>-43610</v>
      </c>
      <c r="L50" s="270" t="n">
        <v>-43610</v>
      </c>
      <c r="M50" s="270" t="n">
        <v>-43610</v>
      </c>
      <c r="N50" s="270" t="n">
        <v>0</v>
      </c>
      <c r="O50" s="270" t="n">
        <v>0</v>
      </c>
      <c r="P50" s="270" t="n">
        <v>0</v>
      </c>
      <c r="Q50" s="270" t="n">
        <v>0</v>
      </c>
      <c r="R50" s="270" t="n">
        <v>0</v>
      </c>
      <c r="S50" s="270" t="n">
        <v>0</v>
      </c>
      <c r="T50" s="270" t="n">
        <v>0</v>
      </c>
      <c r="U50" s="270" t="n">
        <v>0</v>
      </c>
      <c r="V50" s="270" t="n">
        <v>0</v>
      </c>
      <c r="W50" s="270" t="n">
        <v>0</v>
      </c>
      <c r="X50" s="270" t="n"/>
    </row>
    <row r="51" ht="18.75" customHeight="1" s="161">
      <c r="B51" s="268" t="inlineStr">
        <is>
          <t>Outflow : 其它費用(人事薪資…等)</t>
        </is>
      </c>
      <c r="C51" s="271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</row>
    <row r="52" ht="18.75" customHeight="1" s="161">
      <c r="B52" s="268" t="inlineStr">
        <is>
          <t>1%管理費</t>
        </is>
      </c>
      <c r="C52" s="271" t="n"/>
      <c r="D52" s="270" t="n"/>
      <c r="E52" s="270" t="n"/>
      <c r="F52" s="270" t="n"/>
      <c r="G52" s="270" t="n"/>
      <c r="H52" s="270" t="n"/>
      <c r="I52" s="270" t="n"/>
      <c r="J52" s="270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</row>
    <row r="53" ht="18.75" customHeight="1" s="161">
      <c r="B53" s="272" t="inlineStr">
        <is>
          <t>績效獎金</t>
        </is>
      </c>
      <c r="C53" s="271" t="n"/>
      <c r="D53" s="270" t="n"/>
      <c r="E53" s="270" t="n"/>
      <c r="F53" s="270" t="n"/>
      <c r="G53" s="270" t="n"/>
      <c r="H53" s="270" t="n"/>
      <c r="I53" s="270" t="n"/>
      <c r="J53" s="270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</row>
    <row r="54" ht="18.75" customHeight="1" s="161">
      <c r="B54" s="272" t="inlineStr">
        <is>
          <t>所得稅20%</t>
        </is>
      </c>
      <c r="C54" s="271" t="n"/>
      <c r="D54" s="270">
        <f>-(D64+D67+D68+D71+D72+D73+D74)*0.2</f>
        <v/>
      </c>
      <c r="E54" s="270">
        <f>-(E64+E67+E68+E71+E72+E73+E74)*0.2</f>
        <v/>
      </c>
      <c r="F54" s="270">
        <f>-(F64+F67+F68+F71+F72+F73+F74)*0.2</f>
        <v/>
      </c>
      <c r="G54" s="270">
        <f>-(G64+G67+G68+G71+G72+G73+G74)*0.2</f>
        <v/>
      </c>
      <c r="H54" s="270">
        <f>-(H64+H67+H68+H71+H72+H73+H74)*0.2</f>
        <v/>
      </c>
      <c r="I54" s="270">
        <f>-(I64+I67+I68+I71+I72+I73+I74)*0.2</f>
        <v/>
      </c>
      <c r="J54" s="270">
        <f>-(J64+J67+J68+J71+J72+J73+J74)*0.2</f>
        <v/>
      </c>
      <c r="K54" s="270">
        <f>-(K64+K67+K68+K71+K72+K73+K74)*0.2</f>
        <v/>
      </c>
      <c r="L54" s="270">
        <f>-(L64+L67+L68+L71+L72+L73+L74)*0.2</f>
        <v/>
      </c>
      <c r="M54" s="270">
        <f>-(M64+M67+M68+M71+M72+M73+M74)*0.2</f>
        <v/>
      </c>
      <c r="N54" s="270">
        <f>-(N64+N67+N68+N71+N72+N73+N74)*0.2</f>
        <v/>
      </c>
      <c r="O54" s="270">
        <f>-(O64+O67+O68+O71+O72+O73+O74)*0.2</f>
        <v/>
      </c>
      <c r="P54" s="270">
        <f>-(P64+P67+P68+P71+P72+P73+P74)*0.2</f>
        <v/>
      </c>
      <c r="Q54" s="270">
        <f>-(Q64+Q67+Q68+Q71+Q72+Q73+Q74)*0.2</f>
        <v/>
      </c>
      <c r="R54" s="270">
        <f>-(R64+R67+R68+R71+R72+R73+R74)*0.2</f>
        <v/>
      </c>
      <c r="S54" s="270">
        <f>-(S64+S67+S68+S71+S72+S73+S74)*0.2</f>
        <v/>
      </c>
      <c r="T54" s="270">
        <f>-(T64+T67+T68+T71+T72+T73+T74)*0.2</f>
        <v/>
      </c>
      <c r="U54" s="270">
        <f>-(U64+U67+U68+U71+U72+U73+U74)*0.2</f>
        <v/>
      </c>
      <c r="V54" s="270">
        <f>-(V64+V67+V68+V71+V72+V73+V74)*0.2</f>
        <v/>
      </c>
      <c r="W54" s="270">
        <f>-(W64+W67+W68+W71+W72+W73+W74)*0.2</f>
        <v/>
      </c>
      <c r="X54" s="261" t="n"/>
    </row>
    <row r="55" ht="18.75" customHeight="1" s="161">
      <c r="B55" s="273" t="inlineStr">
        <is>
          <t>現金流</t>
        </is>
      </c>
      <c r="C55" s="274">
        <f>C44</f>
        <v/>
      </c>
      <c r="D55" s="275">
        <f>SUM(D41:D54)</f>
        <v/>
      </c>
      <c r="E55" s="275">
        <f>SUM(E41:E54)</f>
        <v/>
      </c>
      <c r="F55" s="275">
        <f>SUM(F41:F54)</f>
        <v/>
      </c>
      <c r="G55" s="275">
        <f>SUM(G41:G54)</f>
        <v/>
      </c>
      <c r="H55" s="275">
        <f>SUM(H41:H54)</f>
        <v/>
      </c>
      <c r="I55" s="275">
        <f>SUM(I41:I54)</f>
        <v/>
      </c>
      <c r="J55" s="275">
        <f>SUM(J41:J54)</f>
        <v/>
      </c>
      <c r="K55" s="275">
        <f>SUM(K41:K54)</f>
        <v/>
      </c>
      <c r="L55" s="275">
        <f>SUM(L41:L54)</f>
        <v/>
      </c>
      <c r="M55" s="275">
        <f>SUM(M41:M54)</f>
        <v/>
      </c>
      <c r="N55" s="275">
        <f>SUM(N41:N54)</f>
        <v/>
      </c>
      <c r="O55" s="275">
        <f>SUM(O41:O54)</f>
        <v/>
      </c>
      <c r="P55" s="275">
        <f>SUM(P41:P54)</f>
        <v/>
      </c>
      <c r="Q55" s="275">
        <f>SUM(Q41:Q54)</f>
        <v/>
      </c>
      <c r="R55" s="275">
        <f>SUM(R41:R54)</f>
        <v/>
      </c>
      <c r="S55" s="275">
        <f>SUM(S41:S54)</f>
        <v/>
      </c>
      <c r="T55" s="275">
        <f>SUM(T41:T54)</f>
        <v/>
      </c>
      <c r="U55" s="275">
        <f>SUM(U41:U54)</f>
        <v/>
      </c>
      <c r="V55" s="275">
        <f>SUM(V41:V54)</f>
        <v/>
      </c>
      <c r="W55" s="275">
        <f>SUM(W41:W54)</f>
        <v/>
      </c>
      <c r="X55" s="276" t="n"/>
      <c r="Y55" s="277" t="n"/>
      <c r="Z55" s="278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</row>
    <row r="56" ht="18.75" customHeight="1" s="161">
      <c r="B56" s="279" t="inlineStr">
        <is>
          <t>累計現金流</t>
        </is>
      </c>
      <c r="D56" s="280">
        <f>C55+D55</f>
        <v/>
      </c>
      <c r="E56" s="280">
        <f>D56+E55</f>
        <v/>
      </c>
      <c r="F56" s="280">
        <f>E56+F55</f>
        <v/>
      </c>
      <c r="G56" s="280">
        <f>F56+G55</f>
        <v/>
      </c>
      <c r="H56" s="280">
        <f>G56+H55</f>
        <v/>
      </c>
      <c r="I56" s="280">
        <f>H56+I55</f>
        <v/>
      </c>
      <c r="J56" s="280">
        <f>I56+J55</f>
        <v/>
      </c>
      <c r="K56" s="280">
        <f>J56+K55</f>
        <v/>
      </c>
      <c r="L56" s="280">
        <f>K56+L55</f>
        <v/>
      </c>
      <c r="M56" s="280">
        <f>L56+M55</f>
        <v/>
      </c>
      <c r="N56" s="280">
        <f>M56+N55</f>
        <v/>
      </c>
      <c r="O56" s="280">
        <f>N56+O55</f>
        <v/>
      </c>
      <c r="P56" s="280">
        <f>O56+P55</f>
        <v/>
      </c>
      <c r="Q56" s="280">
        <f>P56+Q55</f>
        <v/>
      </c>
      <c r="R56" s="280">
        <f>Q56+R55</f>
        <v/>
      </c>
      <c r="S56" s="280">
        <f>R56+S55</f>
        <v/>
      </c>
      <c r="T56" s="280">
        <f>S56+T55</f>
        <v/>
      </c>
      <c r="U56" s="280">
        <f>T56+U55</f>
        <v/>
      </c>
      <c r="V56" s="280">
        <f>U56+V55</f>
        <v/>
      </c>
      <c r="W56" s="280">
        <f>V56+W55</f>
        <v/>
      </c>
      <c r="X56" s="280">
        <f>W56+X55</f>
        <v/>
      </c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</row>
    <row r="57" ht="18.75" customHeight="1" s="161">
      <c r="B57" s="281" t="inlineStr">
        <is>
          <t>回收年限評估</t>
        </is>
      </c>
      <c r="C57" s="282" t="n"/>
      <c r="D57" s="283">
        <f>IF((D56)&gt;0,"回收","未回收")</f>
        <v/>
      </c>
      <c r="E57" s="284">
        <f>IF((E56)&gt;0,"回收","未回收")</f>
        <v/>
      </c>
      <c r="F57" s="284">
        <f>IF((F56)&gt;0,"回收","未回收")</f>
        <v/>
      </c>
      <c r="G57" s="284">
        <f>IF((G56)&gt;0,"回收","未回收")</f>
        <v/>
      </c>
      <c r="H57" s="284">
        <f>IF((H56)&gt;0,"回收","未回收")</f>
        <v/>
      </c>
      <c r="I57" s="284">
        <f>IF((I56)&gt;0,"回收","未回收")</f>
        <v/>
      </c>
      <c r="J57" s="284">
        <f>IF((J56)&gt;0,"回收","未回收")</f>
        <v/>
      </c>
      <c r="K57" s="284">
        <f>IF((K56)&gt;0,"回收","未回收")</f>
        <v/>
      </c>
      <c r="L57" s="284">
        <f>IF((L56)&gt;0,"回收","未回收")</f>
        <v/>
      </c>
      <c r="M57" s="284">
        <f>IF((M56)&gt;0,"回收","未回收")</f>
        <v/>
      </c>
      <c r="N57" s="284">
        <f>IF((N56)&gt;0,"回收","未回收")</f>
        <v/>
      </c>
      <c r="O57" s="284">
        <f>IF((O56)&gt;0,"回收","未回收")</f>
        <v/>
      </c>
      <c r="P57" s="284">
        <f>IF((P56)&gt;0,"回收","未回收")</f>
        <v/>
      </c>
      <c r="Q57" s="284">
        <f>IF((Q56)&gt;0,"回收","未回收")</f>
        <v/>
      </c>
      <c r="R57" s="284">
        <f>IF((R56)&gt;0,"回收","未回收")</f>
        <v/>
      </c>
      <c r="S57" s="284">
        <f>IF((S56)&gt;0,"回收","未回收")</f>
        <v/>
      </c>
      <c r="T57" s="284">
        <f>IF((T56)&gt;0,"回收","未回收")</f>
        <v/>
      </c>
      <c r="U57" s="284">
        <f>IF((U56)&gt;0,"回收","未回收")</f>
        <v/>
      </c>
      <c r="V57" s="284">
        <f>IF((V56)&gt;0,"回收","未回收")</f>
        <v/>
      </c>
      <c r="W57" s="284">
        <f>IF((W56)&gt;0,"回收","未回收")</f>
        <v/>
      </c>
      <c r="X57" s="284">
        <f>IF((X56)&gt;0,"回收","未回收")</f>
        <v/>
      </c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</row>
    <row r="58" ht="18.75" customHeight="1" s="161">
      <c r="B58" s="285" t="inlineStr">
        <is>
          <t>專案法IRR</t>
        </is>
      </c>
      <c r="C58" s="286">
        <f>IRR(C55:W55)</f>
        <v/>
      </c>
      <c r="D58" s="287" t="n"/>
      <c r="E58" s="287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</row>
    <row r="59" ht="18.75" customHeight="1" s="161">
      <c r="B59" s="288" t="n"/>
      <c r="C59" s="287" t="n"/>
      <c r="D59" s="287" t="n"/>
      <c r="E59" s="287" t="n"/>
      <c r="F59" s="288" t="n"/>
      <c r="G59" s="288" t="n"/>
      <c r="H59" s="288" t="n"/>
      <c r="I59" s="288" t="n"/>
      <c r="J59" s="288" t="n"/>
      <c r="K59" s="288" t="n"/>
      <c r="L59" s="288" t="n"/>
      <c r="M59" s="287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</row>
    <row r="60" ht="18.75" customHeight="1" s="161">
      <c r="B60" s="237" t="n"/>
      <c r="C60" s="238" t="inlineStr">
        <is>
          <t>年份</t>
        </is>
      </c>
      <c r="D60" s="238">
        <f>D37</f>
        <v/>
      </c>
      <c r="E60" s="238">
        <f>E37</f>
        <v/>
      </c>
      <c r="F60" s="238">
        <f>F37</f>
        <v/>
      </c>
      <c r="G60" s="238">
        <f>G37</f>
        <v/>
      </c>
      <c r="H60" s="238">
        <f>H37</f>
        <v/>
      </c>
      <c r="I60" s="238">
        <f>I37</f>
        <v/>
      </c>
      <c r="J60" s="238">
        <f>J37</f>
        <v/>
      </c>
      <c r="K60" s="238">
        <f>K37</f>
        <v/>
      </c>
      <c r="L60" s="238">
        <f>L37</f>
        <v/>
      </c>
      <c r="M60" s="238">
        <f>M37</f>
        <v/>
      </c>
      <c r="N60" s="238">
        <f>N37</f>
        <v/>
      </c>
      <c r="O60" s="238">
        <f>O37</f>
        <v/>
      </c>
      <c r="P60" s="238">
        <f>P37</f>
        <v/>
      </c>
      <c r="Q60" s="238">
        <f>Q37</f>
        <v/>
      </c>
      <c r="R60" s="238">
        <f>R37</f>
        <v/>
      </c>
      <c r="S60" s="238">
        <f>S37</f>
        <v/>
      </c>
      <c r="T60" s="238">
        <f>T37</f>
        <v/>
      </c>
      <c r="U60" s="238">
        <f>U37</f>
        <v/>
      </c>
      <c r="V60" s="238">
        <f>V37</f>
        <v/>
      </c>
      <c r="W60" s="238">
        <f>W37</f>
        <v/>
      </c>
      <c r="X60" s="238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</row>
    <row r="61" ht="18.75" customHeight="1" s="161">
      <c r="B61" s="239" t="n">
        <v>0</v>
      </c>
      <c r="C61" s="240" t="n"/>
      <c r="D61" s="241" t="n"/>
      <c r="E61" s="241" t="n"/>
      <c r="F61" s="242" t="n"/>
      <c r="G61" s="243" t="n"/>
      <c r="H61" s="243" t="n"/>
      <c r="I61" s="243" t="n"/>
      <c r="J61" s="243" t="n"/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91" t="inlineStr">
        <is>
          <t>償還年限</t>
        </is>
      </c>
      <c r="U61" s="243" t="n"/>
      <c r="V61" s="243" t="n"/>
      <c r="W61" s="243" t="n"/>
      <c r="X61" s="245" t="n"/>
    </row>
    <row r="62" ht="18.75" customHeight="1" s="161">
      <c r="B62" s="246" t="inlineStr">
        <is>
          <t>(Unit : Currency)</t>
        </is>
      </c>
      <c r="C62" s="247" t="n">
        <v>0</v>
      </c>
      <c r="D62" s="248" t="n">
        <v>1</v>
      </c>
      <c r="E62" s="248" t="n">
        <v>2</v>
      </c>
      <c r="F62" s="248" t="n">
        <v>3</v>
      </c>
      <c r="G62" s="248" t="n">
        <v>4</v>
      </c>
      <c r="H62" s="248" t="n">
        <v>5</v>
      </c>
      <c r="I62" s="248" t="n">
        <v>6</v>
      </c>
      <c r="J62" s="248" t="n">
        <v>7</v>
      </c>
      <c r="K62" s="248" t="n">
        <v>8</v>
      </c>
      <c r="L62" s="248" t="n">
        <v>9</v>
      </c>
      <c r="M62" s="248" t="n">
        <v>10</v>
      </c>
      <c r="N62" s="248" t="n">
        <v>11</v>
      </c>
      <c r="O62" s="248" t="n">
        <v>12</v>
      </c>
      <c r="P62" s="248" t="n">
        <v>13</v>
      </c>
      <c r="Q62" s="248" t="n">
        <v>14</v>
      </c>
      <c r="R62" s="248" t="n">
        <v>15</v>
      </c>
      <c r="S62" s="248" t="n">
        <v>16</v>
      </c>
      <c r="T62" s="292" t="n">
        <v>17</v>
      </c>
      <c r="U62" s="248" t="n">
        <v>18</v>
      </c>
      <c r="V62" s="248" t="n">
        <v>19</v>
      </c>
      <c r="W62" s="248" t="n">
        <v>20</v>
      </c>
      <c r="X62" s="250" t="n"/>
    </row>
    <row r="63" ht="18.75" customHeight="1" s="161">
      <c r="B63" s="251" t="inlineStr">
        <is>
          <t>發電度數(KWH)</t>
        </is>
      </c>
      <c r="C63" s="252" t="n">
        <v>0</v>
      </c>
      <c r="D63" s="253">
        <f>D40</f>
        <v/>
      </c>
      <c r="E63" s="253">
        <f>E40</f>
        <v/>
      </c>
      <c r="F63" s="253">
        <f>F40</f>
        <v/>
      </c>
      <c r="G63" s="253">
        <f>G40</f>
        <v/>
      </c>
      <c r="H63" s="253">
        <f>H40</f>
        <v/>
      </c>
      <c r="I63" s="253">
        <f>I40</f>
        <v/>
      </c>
      <c r="J63" s="253">
        <f>J40</f>
        <v/>
      </c>
      <c r="K63" s="253">
        <f>K40</f>
        <v/>
      </c>
      <c r="L63" s="253">
        <f>L40</f>
        <v/>
      </c>
      <c r="M63" s="253">
        <f>M40</f>
        <v/>
      </c>
      <c r="N63" s="253">
        <f>N40</f>
        <v/>
      </c>
      <c r="O63" s="253">
        <f>O40</f>
        <v/>
      </c>
      <c r="P63" s="253">
        <f>P40</f>
        <v/>
      </c>
      <c r="Q63" s="253">
        <f>Q40</f>
        <v/>
      </c>
      <c r="R63" s="253">
        <f>R40</f>
        <v/>
      </c>
      <c r="S63" s="253">
        <f>S40</f>
        <v/>
      </c>
      <c r="T63" s="253">
        <f>T40</f>
        <v/>
      </c>
      <c r="U63" s="253">
        <f>U40</f>
        <v/>
      </c>
      <c r="V63" s="253">
        <f>V40</f>
        <v/>
      </c>
      <c r="W63" s="253">
        <f>W40</f>
        <v/>
      </c>
      <c r="X63" s="254" t="n"/>
    </row>
    <row r="64" ht="18.75" customHeight="1" s="161">
      <c r="B64" s="255" t="inlineStr">
        <is>
          <t>Inflow : 電費收入</t>
        </is>
      </c>
      <c r="C64" s="256" t="inlineStr">
        <is>
          <t>-</t>
        </is>
      </c>
      <c r="D64" s="257">
        <f>D41</f>
        <v/>
      </c>
      <c r="E64" s="257">
        <f>E41</f>
        <v/>
      </c>
      <c r="F64" s="257">
        <f>F41</f>
        <v/>
      </c>
      <c r="G64" s="257">
        <f>G41</f>
        <v/>
      </c>
      <c r="H64" s="257">
        <f>H41</f>
        <v/>
      </c>
      <c r="I64" s="257">
        <f>I41</f>
        <v/>
      </c>
      <c r="J64" s="257">
        <f>J41</f>
        <v/>
      </c>
      <c r="K64" s="257">
        <f>K41</f>
        <v/>
      </c>
      <c r="L64" s="257">
        <f>L41</f>
        <v/>
      </c>
      <c r="M64" s="257">
        <f>M41</f>
        <v/>
      </c>
      <c r="N64" s="257">
        <f>N41</f>
        <v/>
      </c>
      <c r="O64" s="257">
        <f>O41</f>
        <v/>
      </c>
      <c r="P64" s="257">
        <f>P41</f>
        <v/>
      </c>
      <c r="Q64" s="257">
        <f>Q41</f>
        <v/>
      </c>
      <c r="R64" s="257">
        <f>R41</f>
        <v/>
      </c>
      <c r="S64" s="257">
        <f>S41</f>
        <v/>
      </c>
      <c r="T64" s="257">
        <f>T41</f>
        <v/>
      </c>
      <c r="U64" s="257">
        <f>U41</f>
        <v/>
      </c>
      <c r="V64" s="257">
        <f>V41</f>
        <v/>
      </c>
      <c r="W64" s="257">
        <f>W41</f>
        <v/>
      </c>
      <c r="X64" s="258" t="n"/>
    </row>
    <row r="65" ht="18.75" customHeight="1" s="161">
      <c r="B65" s="259" t="inlineStr">
        <is>
          <t>Inflow : 政府補助</t>
        </is>
      </c>
      <c r="C65" s="260" t="inlineStr">
        <is>
          <t>-</t>
        </is>
      </c>
      <c r="D65" s="261" t="n"/>
      <c r="E65" s="261" t="n"/>
      <c r="F65" s="261" t="n"/>
      <c r="G65" s="262" t="inlineStr">
        <is>
          <t>-</t>
        </is>
      </c>
      <c r="H65" s="262" t="inlineStr">
        <is>
          <t>-</t>
        </is>
      </c>
      <c r="I65" s="262" t="inlineStr">
        <is>
          <t>-</t>
        </is>
      </c>
      <c r="J65" s="262" t="inlineStr">
        <is>
          <t>-</t>
        </is>
      </c>
      <c r="K65" s="262" t="inlineStr">
        <is>
          <t>-</t>
        </is>
      </c>
      <c r="L65" s="262" t="inlineStr">
        <is>
          <t>-</t>
        </is>
      </c>
      <c r="M65" s="262" t="inlineStr">
        <is>
          <t>-</t>
        </is>
      </c>
      <c r="N65" s="262" t="inlineStr">
        <is>
          <t>-</t>
        </is>
      </c>
      <c r="O65" s="262" t="inlineStr">
        <is>
          <t>-</t>
        </is>
      </c>
      <c r="P65" s="262" t="inlineStr">
        <is>
          <t>-</t>
        </is>
      </c>
      <c r="Q65" s="262" t="inlineStr">
        <is>
          <t>-</t>
        </is>
      </c>
      <c r="R65" s="262" t="inlineStr">
        <is>
          <t>-</t>
        </is>
      </c>
      <c r="S65" s="262" t="inlineStr">
        <is>
          <t>-</t>
        </is>
      </c>
      <c r="T65" s="262" t="inlineStr">
        <is>
          <t>-</t>
        </is>
      </c>
      <c r="U65" s="262" t="inlineStr">
        <is>
          <t>-</t>
        </is>
      </c>
      <c r="V65" s="262" t="inlineStr">
        <is>
          <t>-</t>
        </is>
      </c>
      <c r="W65" s="262" t="inlineStr">
        <is>
          <t>-</t>
        </is>
      </c>
      <c r="X65" s="263" t="n"/>
    </row>
    <row r="66" ht="18.75" customHeight="1" s="161">
      <c r="B66" s="264" t="inlineStr">
        <is>
          <t>Inflow : 銀行借款</t>
        </is>
      </c>
      <c r="C66" s="265" t="n"/>
      <c r="D66" s="266" t="n"/>
      <c r="E66" s="266" t="n"/>
      <c r="F66" s="266" t="n"/>
      <c r="G66" s="266" t="n"/>
      <c r="H66" s="266" t="n"/>
      <c r="I66" s="266" t="n"/>
      <c r="J66" s="266" t="n"/>
      <c r="K66" s="266" t="n"/>
      <c r="L66" s="266" t="n"/>
      <c r="M66" s="266" t="n"/>
      <c r="N66" s="266" t="n"/>
      <c r="O66" s="266" t="n"/>
      <c r="P66" s="266" t="n"/>
      <c r="Q66" s="266" t="n"/>
      <c r="R66" s="266" t="n"/>
      <c r="S66" s="266" t="n"/>
      <c r="T66" s="266" t="n"/>
      <c r="U66" s="266" t="n"/>
      <c r="V66" s="266" t="n"/>
      <c r="W66" s="266" t="n"/>
      <c r="X66" s="267" t="n"/>
    </row>
    <row r="67" ht="18.75" customHeight="1" s="161">
      <c r="B67" s="268" t="inlineStr">
        <is>
          <t>Outflow : 設備折舊</t>
        </is>
      </c>
      <c r="C67" s="260" t="n"/>
      <c r="D67" s="293">
        <f>$C$44/$E$16</f>
        <v/>
      </c>
      <c r="E67" s="293">
        <f>$C$44/$E$16</f>
        <v/>
      </c>
      <c r="F67" s="293">
        <f>$C$44/$E$16</f>
        <v/>
      </c>
      <c r="G67" s="293">
        <f>$C$44/$E$16</f>
        <v/>
      </c>
      <c r="H67" s="293">
        <f>$C$44/$E$16</f>
        <v/>
      </c>
      <c r="I67" s="293">
        <f>$C$44/$E$16</f>
        <v/>
      </c>
      <c r="J67" s="293">
        <f>$C$44/$E$16</f>
        <v/>
      </c>
      <c r="K67" s="293">
        <f>$C$44/$E$16</f>
        <v/>
      </c>
      <c r="L67" s="293">
        <f>$C$44/$E$16</f>
        <v/>
      </c>
      <c r="M67" s="293">
        <f>$C$44/$E$16</f>
        <v/>
      </c>
      <c r="N67" s="293">
        <f>$C$44/$E$16</f>
        <v/>
      </c>
      <c r="O67" s="293">
        <f>$C$44/$E$16</f>
        <v/>
      </c>
      <c r="P67" s="293">
        <f>$C$44/$E$16</f>
        <v/>
      </c>
      <c r="Q67" s="293">
        <f>$C$44/$E$16</f>
        <v/>
      </c>
      <c r="R67" s="293">
        <f>$C$44/$E$16</f>
        <v/>
      </c>
      <c r="S67" s="293">
        <f>$C$44/$E$16</f>
        <v/>
      </c>
      <c r="T67" s="293">
        <f>$C$44/$E$16</f>
        <v/>
      </c>
      <c r="U67" s="293">
        <f>$C$44/$E$16</f>
        <v/>
      </c>
      <c r="V67" s="293">
        <f>$C$44/$E$16</f>
        <v/>
      </c>
      <c r="W67" s="293">
        <f>$C$44/$E$16</f>
        <v/>
      </c>
      <c r="X67" s="263" t="n"/>
    </row>
    <row r="68" ht="18.75" customHeight="1" s="161">
      <c r="B68" s="268" t="inlineStr">
        <is>
          <t>Outflow : 設備放置區域租金</t>
        </is>
      </c>
      <c r="C68" s="260" t="inlineStr">
        <is>
          <t>-</t>
        </is>
      </c>
      <c r="D68" s="270">
        <f>D44</f>
        <v/>
      </c>
      <c r="E68" s="270">
        <f>E45</f>
        <v/>
      </c>
      <c r="F68" s="270">
        <f>F45</f>
        <v/>
      </c>
      <c r="G68" s="270">
        <f>G45</f>
        <v/>
      </c>
      <c r="H68" s="270">
        <f>H45</f>
        <v/>
      </c>
      <c r="I68" s="270">
        <f>I45</f>
        <v/>
      </c>
      <c r="J68" s="270">
        <f>J45</f>
        <v/>
      </c>
      <c r="K68" s="270">
        <f>K45</f>
        <v/>
      </c>
      <c r="L68" s="270">
        <f>L45</f>
        <v/>
      </c>
      <c r="M68" s="270">
        <f>M45</f>
        <v/>
      </c>
      <c r="N68" s="270">
        <f>N45</f>
        <v/>
      </c>
      <c r="O68" s="270">
        <f>O45</f>
        <v/>
      </c>
      <c r="P68" s="270">
        <f>P45</f>
        <v/>
      </c>
      <c r="Q68" s="270">
        <f>Q45</f>
        <v/>
      </c>
      <c r="R68" s="270">
        <f>R45</f>
        <v/>
      </c>
      <c r="S68" s="270">
        <f>S45</f>
        <v/>
      </c>
      <c r="T68" s="270">
        <f>T45</f>
        <v/>
      </c>
      <c r="U68" s="270">
        <f>U45</f>
        <v/>
      </c>
      <c r="V68" s="270">
        <f>V45</f>
        <v/>
      </c>
      <c r="W68" s="270">
        <f>W45</f>
        <v/>
      </c>
      <c r="X68" s="263" t="n"/>
    </row>
    <row r="69" ht="18.75" customHeight="1" s="161">
      <c r="B69" s="268" t="inlineStr">
        <is>
          <t>Outflow : 返還借款</t>
        </is>
      </c>
      <c r="C69" s="260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3" t="n"/>
    </row>
    <row r="70" ht="18.75" customHeight="1" s="161">
      <c r="B70" s="268" t="inlineStr">
        <is>
          <t>Outflow : 利息費用</t>
        </is>
      </c>
      <c r="C70" s="260" t="inlineStr">
        <is>
          <t>-</t>
        </is>
      </c>
      <c r="D70" s="270">
        <f>-D109*$D25</f>
        <v/>
      </c>
      <c r="E70" s="270">
        <f>-E109*$D25</f>
        <v/>
      </c>
      <c r="F70" s="270">
        <f>-F109*$D25</f>
        <v/>
      </c>
      <c r="G70" s="270">
        <f>-G109*$D25</f>
        <v/>
      </c>
      <c r="H70" s="270">
        <f>-H109*$D25</f>
        <v/>
      </c>
      <c r="I70" s="270">
        <f>-I109*$D25</f>
        <v/>
      </c>
      <c r="J70" s="270">
        <f>-J109*$D25</f>
        <v/>
      </c>
      <c r="K70" s="270">
        <f>-K109*$D25</f>
        <v/>
      </c>
      <c r="L70" s="270">
        <f>-L109*$D25</f>
        <v/>
      </c>
      <c r="M70" s="270">
        <f>-M109*$D25</f>
        <v/>
      </c>
      <c r="N70" s="270">
        <f>-N109*$D25</f>
        <v/>
      </c>
      <c r="O70" s="270">
        <f>-O109*$D25</f>
        <v/>
      </c>
      <c r="P70" s="270">
        <f>-P109*$D25</f>
        <v/>
      </c>
      <c r="Q70" s="270">
        <f>-Q109*$D25</f>
        <v/>
      </c>
      <c r="R70" s="270">
        <f>-R109*$D25</f>
        <v/>
      </c>
      <c r="S70" s="270">
        <f>-S109*$D25</f>
        <v/>
      </c>
      <c r="T70" s="270">
        <f>-T109*$D25</f>
        <v/>
      </c>
      <c r="U70" s="270">
        <f>-U109*$D25</f>
        <v/>
      </c>
      <c r="V70" s="270">
        <f>-V109*$D25</f>
        <v/>
      </c>
      <c r="W70" s="270">
        <f>-W109*$D25</f>
        <v/>
      </c>
      <c r="X70" s="263" t="n"/>
    </row>
    <row r="71" ht="18.75" customHeight="1" s="161">
      <c r="B71" s="268" t="inlineStr">
        <is>
          <t>Outflow : 維運費</t>
        </is>
      </c>
      <c r="C71" s="260" t="inlineStr">
        <is>
          <t>-</t>
        </is>
      </c>
      <c r="D71" s="270">
        <f>D48</f>
        <v/>
      </c>
      <c r="E71" s="270">
        <f>E48</f>
        <v/>
      </c>
      <c r="F71" s="270">
        <f>F48</f>
        <v/>
      </c>
      <c r="G71" s="270">
        <f>G48</f>
        <v/>
      </c>
      <c r="H71" s="270">
        <f>H48</f>
        <v/>
      </c>
      <c r="I71" s="270">
        <f>I48</f>
        <v/>
      </c>
      <c r="J71" s="270">
        <f>J48</f>
        <v/>
      </c>
      <c r="K71" s="270">
        <f>K48</f>
        <v/>
      </c>
      <c r="L71" s="270">
        <f>L48</f>
        <v/>
      </c>
      <c r="M71" s="270">
        <f>M48</f>
        <v/>
      </c>
      <c r="N71" s="270">
        <f>N48</f>
        <v/>
      </c>
      <c r="O71" s="270">
        <f>O48</f>
        <v/>
      </c>
      <c r="P71" s="270">
        <f>P48</f>
        <v/>
      </c>
      <c r="Q71" s="270">
        <f>Q48</f>
        <v/>
      </c>
      <c r="R71" s="270">
        <f>R48</f>
        <v/>
      </c>
      <c r="S71" s="270">
        <f>S48</f>
        <v/>
      </c>
      <c r="T71" s="270">
        <f>T48</f>
        <v/>
      </c>
      <c r="U71" s="270">
        <f>U48</f>
        <v/>
      </c>
      <c r="V71" s="270">
        <f>V48</f>
        <v/>
      </c>
      <c r="W71" s="270">
        <f>W48</f>
        <v/>
      </c>
      <c r="X71" s="263" t="n"/>
    </row>
    <row r="72" ht="18.75" customHeight="1" s="161">
      <c r="B72" s="268" t="inlineStr">
        <is>
          <t>Outflow : 保險費</t>
        </is>
      </c>
      <c r="C72" s="260" t="inlineStr">
        <is>
          <t>-</t>
        </is>
      </c>
      <c r="D72" s="270">
        <f>D49</f>
        <v/>
      </c>
      <c r="E72" s="270">
        <f>E49</f>
        <v/>
      </c>
      <c r="F72" s="270">
        <f>F49</f>
        <v/>
      </c>
      <c r="G72" s="270">
        <f>G49</f>
        <v/>
      </c>
      <c r="H72" s="270">
        <f>H49</f>
        <v/>
      </c>
      <c r="I72" s="270">
        <f>I49</f>
        <v/>
      </c>
      <c r="J72" s="270">
        <f>J49</f>
        <v/>
      </c>
      <c r="K72" s="270">
        <f>K49</f>
        <v/>
      </c>
      <c r="L72" s="270">
        <f>L49</f>
        <v/>
      </c>
      <c r="M72" s="270">
        <f>M49</f>
        <v/>
      </c>
      <c r="N72" s="270">
        <f>N49</f>
        <v/>
      </c>
      <c r="O72" s="270">
        <f>O49</f>
        <v/>
      </c>
      <c r="P72" s="270">
        <f>P49</f>
        <v/>
      </c>
      <c r="Q72" s="270">
        <f>Q49</f>
        <v/>
      </c>
      <c r="R72" s="270">
        <f>R49</f>
        <v/>
      </c>
      <c r="S72" s="270">
        <f>S49</f>
        <v/>
      </c>
      <c r="T72" s="270">
        <f>T49</f>
        <v/>
      </c>
      <c r="U72" s="270">
        <f>U49</f>
        <v/>
      </c>
      <c r="V72" s="270">
        <f>V49</f>
        <v/>
      </c>
      <c r="W72" s="270">
        <f>W49</f>
        <v/>
      </c>
      <c r="X72" s="263" t="n"/>
    </row>
    <row r="73" ht="18.75" customHeight="1" s="161">
      <c r="B73" s="268" t="inlineStr">
        <is>
          <t>Outflow : 模組回收費</t>
        </is>
      </c>
      <c r="C73" s="260" t="n"/>
      <c r="D73" s="270">
        <f>D50</f>
        <v/>
      </c>
      <c r="E73" s="270">
        <f>E50</f>
        <v/>
      </c>
      <c r="F73" s="270">
        <f>F50</f>
        <v/>
      </c>
      <c r="G73" s="270">
        <f>G50</f>
        <v/>
      </c>
      <c r="H73" s="270">
        <f>H50</f>
        <v/>
      </c>
      <c r="I73" s="270">
        <f>I50</f>
        <v/>
      </c>
      <c r="J73" s="270">
        <f>J50</f>
        <v/>
      </c>
      <c r="K73" s="270">
        <f>K50</f>
        <v/>
      </c>
      <c r="L73" s="270">
        <f>L50</f>
        <v/>
      </c>
      <c r="M73" s="270">
        <f>M50</f>
        <v/>
      </c>
      <c r="N73" s="270">
        <f>N50</f>
        <v/>
      </c>
      <c r="O73" s="270">
        <f>O50</f>
        <v/>
      </c>
      <c r="P73" s="270">
        <f>P50</f>
        <v/>
      </c>
      <c r="Q73" s="270">
        <f>Q50</f>
        <v/>
      </c>
      <c r="R73" s="270">
        <f>R50</f>
        <v/>
      </c>
      <c r="S73" s="270">
        <f>S50</f>
        <v/>
      </c>
      <c r="T73" s="270">
        <f>T50</f>
        <v/>
      </c>
      <c r="U73" s="270">
        <f>U50</f>
        <v/>
      </c>
      <c r="V73" s="270">
        <f>V50</f>
        <v/>
      </c>
      <c r="W73" s="270">
        <f>W50</f>
        <v/>
      </c>
      <c r="X73" s="263" t="n"/>
    </row>
    <row r="74" ht="18.75" customHeight="1" s="161">
      <c r="B74" s="268" t="inlineStr">
        <is>
          <t>Outflow : 其它費用(人事薪資…等)</t>
        </is>
      </c>
      <c r="C74" s="271" t="n"/>
      <c r="D74" s="294" t="n"/>
      <c r="E74" s="295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3" t="n"/>
    </row>
    <row r="75" ht="18.75" customHeight="1" s="161">
      <c r="B75" s="268" t="inlineStr">
        <is>
          <t>1%管理費</t>
        </is>
      </c>
      <c r="C75" s="27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3" t="n"/>
    </row>
    <row r="76" ht="18.75" customHeight="1" s="161">
      <c r="B76" s="273" t="inlineStr">
        <is>
          <t>稅前淨利</t>
        </is>
      </c>
      <c r="C76" s="296" t="n"/>
      <c r="D76" s="275">
        <f>SUM(D64:D75)</f>
        <v/>
      </c>
      <c r="E76" s="275">
        <f>SUM(E64:E75)</f>
        <v/>
      </c>
      <c r="F76" s="275">
        <f>SUM(F64:F75)</f>
        <v/>
      </c>
      <c r="G76" s="275">
        <f>SUM(G64:G75)</f>
        <v/>
      </c>
      <c r="H76" s="275">
        <f>SUM(H64:H75)</f>
        <v/>
      </c>
      <c r="I76" s="275">
        <f>SUM(I64:I75)</f>
        <v/>
      </c>
      <c r="J76" s="275">
        <f>SUM(J64:J75)</f>
        <v/>
      </c>
      <c r="K76" s="275">
        <f>SUM(K64:K75)</f>
        <v/>
      </c>
      <c r="L76" s="275">
        <f>SUM(L64:L75)</f>
        <v/>
      </c>
      <c r="M76" s="275">
        <f>SUM(M64:M75)</f>
        <v/>
      </c>
      <c r="N76" s="275">
        <f>SUM(N64:N75)</f>
        <v/>
      </c>
      <c r="O76" s="275">
        <f>SUM(O64:O75)</f>
        <v/>
      </c>
      <c r="P76" s="275">
        <f>SUM(P64:P75)</f>
        <v/>
      </c>
      <c r="Q76" s="275">
        <f>SUM(Q64:Q75)</f>
        <v/>
      </c>
      <c r="R76" s="275">
        <f>SUM(R64:R75)</f>
        <v/>
      </c>
      <c r="S76" s="275">
        <f>SUM(S64:S75)</f>
        <v/>
      </c>
      <c r="T76" s="275">
        <f>SUM(T64:T75)</f>
        <v/>
      </c>
      <c r="U76" s="275">
        <f>SUM(U64:U75)</f>
        <v/>
      </c>
      <c r="V76" s="275">
        <f>SUM(V64:V75)</f>
        <v/>
      </c>
      <c r="W76" s="275">
        <f>SUM(W64:W75)</f>
        <v/>
      </c>
      <c r="X76" s="275">
        <f>SUM(X64:X75)</f>
        <v/>
      </c>
    </row>
    <row r="77" ht="18.75" customHeight="1" s="161">
      <c r="B77" s="272" t="inlineStr">
        <is>
          <t>所得稅20%</t>
        </is>
      </c>
      <c r="C77" s="271" t="n"/>
      <c r="D77" s="270">
        <f>-D76*0.2</f>
        <v/>
      </c>
      <c r="E77" s="270">
        <f>-E76*0.2</f>
        <v/>
      </c>
      <c r="F77" s="270">
        <f>-F76*0.2</f>
        <v/>
      </c>
      <c r="G77" s="270">
        <f>-G76*0.2</f>
        <v/>
      </c>
      <c r="H77" s="270">
        <f>-H76*0.2</f>
        <v/>
      </c>
      <c r="I77" s="270">
        <f>-I76*0.2</f>
        <v/>
      </c>
      <c r="J77" s="270">
        <f>-J76*0.2</f>
        <v/>
      </c>
      <c r="K77" s="270">
        <f>-K76*0.2</f>
        <v/>
      </c>
      <c r="L77" s="270">
        <f>-L76*0.2</f>
        <v/>
      </c>
      <c r="M77" s="270">
        <f>-M76*0.2</f>
        <v/>
      </c>
      <c r="N77" s="270">
        <f>-N76*0.2</f>
        <v/>
      </c>
      <c r="O77" s="270">
        <f>-O76*0.2</f>
        <v/>
      </c>
      <c r="P77" s="270">
        <f>-P76*0.2</f>
        <v/>
      </c>
      <c r="Q77" s="270">
        <f>-Q76*0.2</f>
        <v/>
      </c>
      <c r="R77" s="270">
        <f>-R76*0.2</f>
        <v/>
      </c>
      <c r="S77" s="270">
        <f>-S76*0.2</f>
        <v/>
      </c>
      <c r="T77" s="270">
        <f>-T76*0.2</f>
        <v/>
      </c>
      <c r="U77" s="270">
        <f>-U76*0.2</f>
        <v/>
      </c>
      <c r="V77" s="270">
        <f>-V76*0.2</f>
        <v/>
      </c>
      <c r="W77" s="270">
        <f>-W76*0.2</f>
        <v/>
      </c>
      <c r="X77" s="270">
        <f>-X76*0.2</f>
        <v/>
      </c>
    </row>
    <row r="78" ht="15.75" customHeight="1" s="161">
      <c r="B78" s="297" t="inlineStr">
        <is>
          <t>稅後淨利</t>
        </is>
      </c>
      <c r="D78" s="270">
        <f>SUM(D76:D77)</f>
        <v/>
      </c>
      <c r="E78" s="270">
        <f>SUM(E76:E77)</f>
        <v/>
      </c>
      <c r="F78" s="270">
        <f>SUM(F76:F77)</f>
        <v/>
      </c>
      <c r="G78" s="270">
        <f>SUM(G76:G77)</f>
        <v/>
      </c>
      <c r="H78" s="270">
        <f>SUM(H76:H77)</f>
        <v/>
      </c>
      <c r="I78" s="270">
        <f>SUM(I76:I77)</f>
        <v/>
      </c>
      <c r="J78" s="270">
        <f>SUM(J76:J77)</f>
        <v/>
      </c>
      <c r="K78" s="270">
        <f>SUM(K76:K77)</f>
        <v/>
      </c>
      <c r="L78" s="270">
        <f>SUM(L76:L77)</f>
        <v/>
      </c>
      <c r="M78" s="270">
        <f>SUM(M76:M77)</f>
        <v/>
      </c>
      <c r="N78" s="270">
        <f>SUM(N76:N77)</f>
        <v/>
      </c>
      <c r="O78" s="270">
        <f>SUM(O76:O77)</f>
        <v/>
      </c>
      <c r="P78" s="270">
        <f>SUM(P76:P77)</f>
        <v/>
      </c>
      <c r="Q78" s="270">
        <f>SUM(Q76:Q77)</f>
        <v/>
      </c>
      <c r="R78" s="270">
        <f>SUM(R76:R77)</f>
        <v/>
      </c>
      <c r="S78" s="270">
        <f>SUM(S76:S77)</f>
        <v/>
      </c>
      <c r="T78" s="270">
        <f>SUM(T76:T77)</f>
        <v/>
      </c>
      <c r="U78" s="270">
        <f>SUM(U76:U77)</f>
        <v/>
      </c>
      <c r="V78" s="270">
        <f>SUM(V76:V77)</f>
        <v/>
      </c>
      <c r="W78" s="270">
        <f>SUM(W76:W77)</f>
        <v/>
      </c>
      <c r="X78" s="270">
        <f>SUM(X76:X77)</f>
        <v/>
      </c>
    </row>
    <row r="79" ht="18.75" customHeight="1" s="161">
      <c r="B79" s="279" t="inlineStr">
        <is>
          <t>累計現金流</t>
        </is>
      </c>
      <c r="C79" s="282" t="n"/>
      <c r="D79" s="298" t="n"/>
      <c r="E79" s="298" t="n"/>
      <c r="F79" s="298" t="n"/>
      <c r="G79" s="298" t="n"/>
      <c r="H79" s="298" t="n"/>
      <c r="I79" s="298" t="n"/>
      <c r="J79" s="298" t="n"/>
      <c r="K79" s="298" t="n"/>
      <c r="L79" s="298" t="n"/>
      <c r="M79" s="298" t="n"/>
      <c r="N79" s="298" t="n"/>
      <c r="O79" s="298" t="n"/>
      <c r="P79" s="298" t="n"/>
      <c r="Q79" s="298" t="n"/>
      <c r="R79" s="298" t="n"/>
      <c r="S79" s="298" t="n"/>
      <c r="T79" s="298" t="n"/>
      <c r="U79" s="298" t="n"/>
      <c r="V79" s="298" t="n"/>
      <c r="W79" s="298" t="n"/>
      <c r="X79" s="299" t="n"/>
    </row>
    <row r="80" ht="18.75" customHeight="1" s="161">
      <c r="B80" s="300" t="inlineStr">
        <is>
          <t>回收年限評估</t>
        </is>
      </c>
      <c r="C80" s="301" t="n"/>
      <c r="D80" s="302" t="n"/>
      <c r="E80" s="302" t="n"/>
      <c r="F80" s="302" t="n"/>
      <c r="G80" s="302" t="n"/>
      <c r="H80" s="302" t="n"/>
      <c r="I80" s="302" t="n"/>
      <c r="J80" s="302" t="n"/>
      <c r="K80" s="302" t="n"/>
      <c r="L80" s="302" t="n"/>
      <c r="M80" s="302" t="n"/>
      <c r="N80" s="302" t="n"/>
      <c r="O80" s="302" t="n"/>
      <c r="P80" s="302" t="n"/>
      <c r="Q80" s="302" t="n"/>
      <c r="R80" s="302" t="n"/>
      <c r="S80" s="302" t="n"/>
      <c r="T80" s="302" t="n"/>
      <c r="U80" s="302" t="n"/>
      <c r="V80" s="302" t="n"/>
      <c r="W80" s="302" t="n"/>
      <c r="X80" s="303" t="n"/>
    </row>
    <row r="81" ht="18.75" customHeight="1" s="161">
      <c r="B81" s="288" t="n"/>
      <c r="C81" s="287" t="n"/>
      <c r="D81" s="287" t="n"/>
      <c r="E81" s="287" t="n"/>
      <c r="F81" s="288" t="n"/>
      <c r="G81" s="288" t="n"/>
      <c r="H81" s="288" t="n"/>
      <c r="I81" s="288" t="n"/>
      <c r="J81" s="288" t="n"/>
      <c r="K81" s="288" t="n"/>
      <c r="L81" s="288" t="n"/>
      <c r="M81" s="287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</row>
    <row r="82" ht="18.75" customHeight="1" s="161">
      <c r="C82" s="304" t="inlineStr">
        <is>
          <t>年份</t>
        </is>
      </c>
      <c r="D82" s="305">
        <f>D37</f>
        <v/>
      </c>
      <c r="E82" s="305">
        <f>E37</f>
        <v/>
      </c>
      <c r="F82" s="305">
        <f>F37</f>
        <v/>
      </c>
      <c r="G82" s="305">
        <f>G37</f>
        <v/>
      </c>
      <c r="H82" s="305">
        <f>H37</f>
        <v/>
      </c>
      <c r="I82" s="305">
        <f>I37</f>
        <v/>
      </c>
      <c r="J82" s="305">
        <f>J37</f>
        <v/>
      </c>
      <c r="K82" s="305">
        <f>K37</f>
        <v/>
      </c>
      <c r="L82" s="305">
        <f>L37</f>
        <v/>
      </c>
      <c r="M82" s="305">
        <f>M37</f>
        <v/>
      </c>
      <c r="N82" s="305">
        <f>N37</f>
        <v/>
      </c>
      <c r="O82" s="305">
        <f>O37</f>
        <v/>
      </c>
      <c r="P82" s="305">
        <f>P37</f>
        <v/>
      </c>
      <c r="Q82" s="305">
        <f>Q37</f>
        <v/>
      </c>
      <c r="R82" s="305">
        <f>R37</f>
        <v/>
      </c>
      <c r="S82" s="305">
        <f>S37</f>
        <v/>
      </c>
      <c r="T82" s="305">
        <f>T37</f>
        <v/>
      </c>
      <c r="U82" s="305">
        <f>U37</f>
        <v/>
      </c>
      <c r="V82" s="305">
        <f>V37</f>
        <v/>
      </c>
      <c r="W82" s="305">
        <f>W37</f>
        <v/>
      </c>
      <c r="X82" s="290" t="n"/>
    </row>
    <row r="83" ht="18.75" customHeight="1" s="161">
      <c r="X83" s="289" t="n"/>
    </row>
    <row r="84" ht="18.75" customHeight="1" s="161">
      <c r="B84" s="306" t="inlineStr">
        <is>
          <t>(Unit : Currency)</t>
        </is>
      </c>
      <c r="C84" s="306" t="n">
        <v>0</v>
      </c>
      <c r="D84" s="306" t="n">
        <v>1</v>
      </c>
      <c r="E84" s="306" t="n">
        <v>2</v>
      </c>
      <c r="F84" s="306" t="n">
        <v>3</v>
      </c>
      <c r="G84" s="306" t="n">
        <v>4</v>
      </c>
      <c r="H84" s="306" t="n">
        <v>5</v>
      </c>
      <c r="I84" s="306" t="n">
        <v>6</v>
      </c>
      <c r="J84" s="306" t="n">
        <v>7</v>
      </c>
      <c r="K84" s="306" t="n">
        <v>8</v>
      </c>
      <c r="L84" s="306" t="n">
        <v>9</v>
      </c>
      <c r="M84" s="306" t="n">
        <v>10</v>
      </c>
      <c r="N84" s="306" t="n">
        <v>11</v>
      </c>
      <c r="O84" s="306" t="n">
        <v>12</v>
      </c>
      <c r="P84" s="306" t="n">
        <v>13</v>
      </c>
      <c r="Q84" s="306" t="n">
        <v>14</v>
      </c>
      <c r="R84" s="306" t="n">
        <v>15</v>
      </c>
      <c r="S84" s="306" t="n">
        <v>16</v>
      </c>
      <c r="T84" s="306" t="n">
        <v>17</v>
      </c>
      <c r="U84" s="306" t="n">
        <v>18</v>
      </c>
      <c r="V84" s="306" t="n">
        <v>19</v>
      </c>
      <c r="W84" s="306" t="n">
        <v>20</v>
      </c>
      <c r="X84" s="307" t="n"/>
    </row>
    <row r="85" ht="18.75" customHeight="1" s="161">
      <c r="B85" s="308" t="inlineStr">
        <is>
          <t>稅後淨利</t>
        </is>
      </c>
      <c r="C85" s="308" t="n"/>
      <c r="D85" s="309">
        <f>D78</f>
        <v/>
      </c>
      <c r="E85" s="309">
        <f>E78</f>
        <v/>
      </c>
      <c r="F85" s="309">
        <f>F78</f>
        <v/>
      </c>
      <c r="G85" s="309">
        <f>G78</f>
        <v/>
      </c>
      <c r="H85" s="309">
        <f>H78</f>
        <v/>
      </c>
      <c r="I85" s="309">
        <f>I78</f>
        <v/>
      </c>
      <c r="J85" s="309">
        <f>J78</f>
        <v/>
      </c>
      <c r="K85" s="309">
        <f>K78</f>
        <v/>
      </c>
      <c r="L85" s="309">
        <f>L78</f>
        <v/>
      </c>
      <c r="M85" s="309">
        <f>M78</f>
        <v/>
      </c>
      <c r="N85" s="309">
        <f>N78</f>
        <v/>
      </c>
      <c r="O85" s="309">
        <f>O78</f>
        <v/>
      </c>
      <c r="P85" s="309">
        <f>P78</f>
        <v/>
      </c>
      <c r="Q85" s="309">
        <f>Q78</f>
        <v/>
      </c>
      <c r="R85" s="309">
        <f>R78</f>
        <v/>
      </c>
      <c r="S85" s="309">
        <f>S78</f>
        <v/>
      </c>
      <c r="T85" s="309">
        <f>T78</f>
        <v/>
      </c>
      <c r="U85" s="309">
        <f>U78</f>
        <v/>
      </c>
      <c r="V85" s="309">
        <f>V78</f>
        <v/>
      </c>
      <c r="W85" s="309">
        <f>W78</f>
        <v/>
      </c>
      <c r="X85" s="308" t="n"/>
      <c r="Y85" s="308" t="n"/>
    </row>
    <row r="86" ht="15.75" customHeight="1" s="161">
      <c r="B86" s="308" t="inlineStr">
        <is>
          <t>設備折舊</t>
        </is>
      </c>
      <c r="C86" s="308" t="n"/>
      <c r="D86" s="310">
        <f>-D67</f>
        <v/>
      </c>
      <c r="E86" s="310">
        <f>-E67</f>
        <v/>
      </c>
      <c r="F86" s="310">
        <f>-F67</f>
        <v/>
      </c>
      <c r="G86" s="310">
        <f>-G67</f>
        <v/>
      </c>
      <c r="H86" s="310">
        <f>-H67</f>
        <v/>
      </c>
      <c r="I86" s="310">
        <f>-I67</f>
        <v/>
      </c>
      <c r="J86" s="310">
        <f>-J67</f>
        <v/>
      </c>
      <c r="K86" s="310">
        <f>-K67</f>
        <v/>
      </c>
      <c r="L86" s="310">
        <f>-L67</f>
        <v/>
      </c>
      <c r="M86" s="310">
        <f>-M67</f>
        <v/>
      </c>
      <c r="N86" s="310">
        <f>-N67</f>
        <v/>
      </c>
      <c r="O86" s="310">
        <f>-O67</f>
        <v/>
      </c>
      <c r="P86" s="310">
        <f>-P67</f>
        <v/>
      </c>
      <c r="Q86" s="310">
        <f>-Q67</f>
        <v/>
      </c>
      <c r="R86" s="310">
        <f>-R67</f>
        <v/>
      </c>
      <c r="S86" s="310">
        <f>-S67</f>
        <v/>
      </c>
      <c r="T86" s="310">
        <f>-T67</f>
        <v/>
      </c>
      <c r="U86" s="310">
        <f>-U67</f>
        <v/>
      </c>
      <c r="V86" s="310">
        <f>-V67</f>
        <v/>
      </c>
      <c r="W86" s="310">
        <f>-W67</f>
        <v/>
      </c>
      <c r="X86" s="311" t="n"/>
      <c r="Y86" s="311" t="n"/>
    </row>
    <row r="87" ht="15.75" customHeight="1" s="161">
      <c r="B87" s="308" t="inlineStr">
        <is>
          <t>營運活動現金流量</t>
        </is>
      </c>
      <c r="C87" s="308" t="n"/>
      <c r="D87" s="312">
        <f>SUM(D85:D86)</f>
        <v/>
      </c>
      <c r="E87" s="312">
        <f>SUM(E85:E86)</f>
        <v/>
      </c>
      <c r="F87" s="312">
        <f>SUM(F85:F86)</f>
        <v/>
      </c>
      <c r="G87" s="312">
        <f>SUM(G85:G86)</f>
        <v/>
      </c>
      <c r="H87" s="312">
        <f>SUM(H85:H86)</f>
        <v/>
      </c>
      <c r="I87" s="312">
        <f>SUM(I85:I86)</f>
        <v/>
      </c>
      <c r="J87" s="312">
        <f>SUM(J85:J86)</f>
        <v/>
      </c>
      <c r="K87" s="312">
        <f>SUM(K85:K86)</f>
        <v/>
      </c>
      <c r="L87" s="312">
        <f>SUM(L85:L86)</f>
        <v/>
      </c>
      <c r="M87" s="312">
        <f>SUM(M85:M86)</f>
        <v/>
      </c>
      <c r="N87" s="312">
        <f>SUM(N85:N86)</f>
        <v/>
      </c>
      <c r="O87" s="312">
        <f>SUM(O85:O86)</f>
        <v/>
      </c>
      <c r="P87" s="312">
        <f>SUM(P85:P86)</f>
        <v/>
      </c>
      <c r="Q87" s="312">
        <f>SUM(Q85:Q86)</f>
        <v/>
      </c>
      <c r="R87" s="312">
        <f>SUM(R85:R86)</f>
        <v/>
      </c>
      <c r="S87" s="312">
        <f>SUM(S85:S86)</f>
        <v/>
      </c>
      <c r="T87" s="312">
        <f>SUM(T85:T86)</f>
        <v/>
      </c>
      <c r="U87" s="312">
        <f>SUM(U85:U86)</f>
        <v/>
      </c>
      <c r="V87" s="312">
        <f>SUM(V85:V86)</f>
        <v/>
      </c>
      <c r="W87" s="312">
        <f>SUM(W85:W86)</f>
        <v/>
      </c>
      <c r="X87" s="278" t="n"/>
    </row>
    <row r="88" ht="15.75" customHeight="1" s="161">
      <c r="B88" s="308" t="n"/>
      <c r="C88" s="308" t="n"/>
      <c r="D88" s="308" t="n"/>
      <c r="E88" s="308" t="n"/>
      <c r="F88" s="313" t="n"/>
      <c r="G88" s="313" t="n"/>
      <c r="H88" s="313" t="n"/>
      <c r="I88" s="313" t="n"/>
      <c r="J88" s="313" t="n"/>
      <c r="K88" s="313" t="n"/>
      <c r="L88" s="313" t="n"/>
      <c r="M88" s="313" t="n"/>
      <c r="N88" s="313" t="n"/>
      <c r="O88" s="313" t="n"/>
      <c r="P88" s="313" t="n"/>
      <c r="Q88" s="313" t="n"/>
      <c r="R88" s="313" t="n"/>
      <c r="S88" s="313" t="n"/>
      <c r="T88" s="313" t="n"/>
      <c r="U88" s="313" t="n"/>
      <c r="V88" s="313" t="n"/>
      <c r="W88" s="313" t="n"/>
      <c r="X88" s="277" t="n"/>
    </row>
    <row r="89" ht="15.75" customHeight="1" s="161">
      <c r="B89" s="314" t="inlineStr">
        <is>
          <t>投資活動-設備支出</t>
        </is>
      </c>
      <c r="C89" s="315" t="n"/>
      <c r="D89" s="316">
        <f>C44</f>
        <v/>
      </c>
      <c r="E89" s="315" t="n"/>
      <c r="F89" s="315" t="n"/>
      <c r="G89" s="315" t="n"/>
      <c r="H89" s="315" t="n"/>
      <c r="I89" s="315" t="n"/>
      <c r="J89" s="315" t="n"/>
      <c r="K89" s="315" t="n"/>
      <c r="L89" s="315" t="n"/>
      <c r="M89" s="315" t="n"/>
      <c r="N89" s="315" t="n"/>
      <c r="O89" s="315" t="n"/>
      <c r="P89" s="315" t="n"/>
      <c r="Q89" s="315" t="n"/>
      <c r="R89" s="315" t="n"/>
      <c r="S89" s="315" t="n"/>
      <c r="T89" s="315" t="n"/>
      <c r="U89" s="315" t="n"/>
      <c r="V89" s="315" t="n"/>
      <c r="W89" s="315" t="n"/>
      <c r="X89" s="317" t="n"/>
    </row>
    <row r="90" ht="15.75" customHeight="1" s="161">
      <c r="B90" s="308" t="n"/>
      <c r="C90" s="308" t="n"/>
      <c r="D90" s="308" t="n"/>
      <c r="E90" s="308" t="n"/>
      <c r="F90" s="313" t="n"/>
      <c r="G90" s="313" t="n"/>
      <c r="H90" s="313" t="n"/>
      <c r="I90" s="313" t="n"/>
      <c r="J90" s="313" t="n"/>
      <c r="K90" s="313" t="n"/>
      <c r="L90" s="313" t="n"/>
      <c r="M90" s="313" t="n"/>
      <c r="N90" s="313" t="n"/>
      <c r="O90" s="313" t="n"/>
      <c r="P90" s="313" t="n"/>
      <c r="Q90" s="313" t="n"/>
      <c r="R90" s="313" t="n"/>
      <c r="S90" s="313" t="n"/>
      <c r="T90" s="313" t="n"/>
      <c r="U90" s="313" t="n"/>
      <c r="V90" s="313" t="n"/>
      <c r="W90" s="313" t="n"/>
      <c r="X90" s="277" t="n"/>
    </row>
    <row r="91" ht="15.75" customHeight="1" s="161">
      <c r="B91" s="308" t="n"/>
      <c r="C91" s="308" t="n"/>
      <c r="D91" s="308" t="n"/>
      <c r="E91" s="308" t="n"/>
      <c r="F91" s="313" t="n"/>
      <c r="G91" s="313" t="n"/>
      <c r="H91" s="313" t="n"/>
      <c r="I91" s="313" t="n"/>
      <c r="J91" s="313" t="n"/>
      <c r="K91" s="313" t="n"/>
      <c r="L91" s="313" t="n"/>
      <c r="M91" s="313" t="n"/>
      <c r="N91" s="313" t="n"/>
      <c r="O91" s="313" t="n"/>
      <c r="P91" s="313" t="n"/>
      <c r="Q91" s="313" t="n"/>
      <c r="R91" s="313" t="n"/>
      <c r="S91" s="313" t="n"/>
      <c r="T91" s="313" t="n"/>
      <c r="U91" s="313" t="n"/>
      <c r="V91" s="313" t="n"/>
      <c r="W91" s="313" t="n"/>
      <c r="X91" s="277" t="n"/>
    </row>
    <row r="92" ht="15.75" customHeight="1" s="161">
      <c r="B92" s="314" t="inlineStr">
        <is>
          <t>理財活動-借款</t>
        </is>
      </c>
      <c r="C92" s="315" t="n"/>
      <c r="D92" s="316">
        <f>-D89*D31</f>
        <v/>
      </c>
      <c r="E92" s="315" t="n"/>
      <c r="F92" s="315" t="n"/>
      <c r="G92" s="315" t="n"/>
      <c r="H92" s="315" t="n"/>
      <c r="I92" s="315" t="n"/>
      <c r="J92" s="315" t="n"/>
      <c r="K92" s="315" t="n"/>
      <c r="L92" s="315" t="n"/>
      <c r="M92" s="315" t="n"/>
      <c r="N92" s="315" t="n"/>
      <c r="O92" s="315" t="n"/>
      <c r="P92" s="315" t="n"/>
      <c r="Q92" s="315" t="n"/>
      <c r="R92" s="315" t="n"/>
      <c r="S92" s="315" t="n"/>
      <c r="T92" s="315" t="n"/>
      <c r="U92" s="315" t="n"/>
      <c r="V92" s="315" t="n"/>
      <c r="W92" s="315" t="n"/>
      <c r="X92" s="277" t="n"/>
    </row>
    <row r="93" ht="15.75" customHeight="1" s="161">
      <c r="B93" s="308" t="inlineStr">
        <is>
          <t>理財活動-還款</t>
        </is>
      </c>
      <c r="C93" s="308" t="n"/>
      <c r="D93" s="318" t="n"/>
      <c r="E93" s="318" t="n">
        <v>-872200</v>
      </c>
      <c r="F93" s="318" t="n">
        <v>-872200</v>
      </c>
      <c r="G93" s="318" t="n">
        <v>-872200</v>
      </c>
      <c r="H93" s="318" t="n">
        <v>-872200</v>
      </c>
      <c r="I93" s="318" t="n">
        <v>-872200</v>
      </c>
      <c r="J93" s="318" t="n">
        <v>-872200</v>
      </c>
      <c r="K93" s="318" t="n">
        <v>-872200</v>
      </c>
      <c r="L93" s="318" t="n">
        <v>-872200</v>
      </c>
      <c r="M93" s="318" t="n">
        <v>-872200</v>
      </c>
      <c r="N93" s="318" t="n">
        <v>-872200</v>
      </c>
      <c r="O93" s="318" t="n">
        <v>-872200</v>
      </c>
      <c r="P93" s="318" t="n">
        <v>-872200</v>
      </c>
      <c r="Q93" s="318" t="n">
        <v>-872200</v>
      </c>
      <c r="R93" s="318" t="n">
        <v>-872200</v>
      </c>
      <c r="S93" s="318" t="n">
        <v>-872200</v>
      </c>
      <c r="T93" s="318" t="n">
        <v>0</v>
      </c>
      <c r="U93" s="318" t="n">
        <v>0</v>
      </c>
      <c r="V93" s="318" t="n">
        <v>0</v>
      </c>
      <c r="W93" s="318" t="n">
        <v>0</v>
      </c>
      <c r="X93" s="317" t="n"/>
    </row>
    <row r="94" ht="15.75" customHeight="1" s="161">
      <c r="B94" s="308" t="inlineStr">
        <is>
          <t>理財活動-現金增資</t>
        </is>
      </c>
      <c r="C94" s="313" t="n"/>
      <c r="D94" s="309">
        <f>-D89*(1-D31)</f>
        <v/>
      </c>
      <c r="E94" s="313" t="n"/>
      <c r="F94" s="313" t="n"/>
      <c r="G94" s="313" t="n"/>
      <c r="H94" s="313" t="n"/>
      <c r="I94" s="313" t="n"/>
      <c r="J94" s="313" t="n"/>
      <c r="K94" s="313" t="n"/>
      <c r="L94" s="313" t="n"/>
      <c r="M94" s="313" t="n"/>
      <c r="N94" s="313" t="n"/>
      <c r="O94" s="313" t="n"/>
      <c r="P94" s="313" t="n"/>
      <c r="Q94" s="313" t="n"/>
      <c r="R94" s="313" t="n"/>
      <c r="S94" s="313" t="n"/>
      <c r="T94" s="313" t="n"/>
      <c r="U94" s="313" t="n"/>
      <c r="V94" s="313" t="n"/>
      <c r="W94" s="313" t="n"/>
      <c r="X94" s="278" t="n"/>
    </row>
    <row r="95" ht="15.75" customHeight="1" s="161">
      <c r="B95" s="308" t="inlineStr">
        <is>
          <t>現金股利</t>
        </is>
      </c>
      <c r="C95" s="313" t="n"/>
      <c r="D95" s="313" t="n"/>
      <c r="E95" s="319">
        <f>-D85*$D$33</f>
        <v/>
      </c>
      <c r="F95" s="319">
        <f>-E85*$D$33</f>
        <v/>
      </c>
      <c r="G95" s="319">
        <f>-F85*$D$33</f>
        <v/>
      </c>
      <c r="H95" s="319">
        <f>-G85*$D$33</f>
        <v/>
      </c>
      <c r="I95" s="319">
        <f>-H85*$D$33</f>
        <v/>
      </c>
      <c r="J95" s="319">
        <f>-I85*$D$33</f>
        <v/>
      </c>
      <c r="K95" s="319">
        <f>-J85*$D$33</f>
        <v/>
      </c>
      <c r="L95" s="319">
        <f>-K85*$D$33</f>
        <v/>
      </c>
      <c r="M95" s="319">
        <f>-L85*$D$33</f>
        <v/>
      </c>
      <c r="N95" s="319">
        <f>-M85*$D$33</f>
        <v/>
      </c>
      <c r="O95" s="319">
        <f>-N85*$D$33</f>
        <v/>
      </c>
      <c r="P95" s="319">
        <f>-O85*$D$33</f>
        <v/>
      </c>
      <c r="Q95" s="319">
        <f>-P85*$D$33</f>
        <v/>
      </c>
      <c r="R95" s="319">
        <f>-Q85*$D$33</f>
        <v/>
      </c>
      <c r="S95" s="319">
        <f>-R85*$D$33</f>
        <v/>
      </c>
      <c r="T95" s="319">
        <f>-S85*$D$33</f>
        <v/>
      </c>
      <c r="U95" s="319">
        <f>-T85*$D$33</f>
        <v/>
      </c>
      <c r="V95" s="319">
        <f>-U85*$D$33</f>
        <v/>
      </c>
      <c r="W95" s="319">
        <f>-V85*$D$33</f>
        <v/>
      </c>
      <c r="X95" s="319">
        <f>-W85*$D$33</f>
        <v/>
      </c>
    </row>
    <row r="96" ht="15.75" customHeight="1" s="161">
      <c r="B96" s="320" t="inlineStr">
        <is>
          <t>年底減資</t>
        </is>
      </c>
      <c r="C96" s="321" t="n"/>
      <c r="D96" s="321" t="n">
        <v>0</v>
      </c>
      <c r="E96" s="322" t="n">
        <v>0</v>
      </c>
      <c r="F96" s="322" t="n">
        <v>0</v>
      </c>
      <c r="G96" s="322" t="n">
        <v>0</v>
      </c>
      <c r="H96" s="322" t="n">
        <v>0</v>
      </c>
      <c r="I96" s="322" t="n">
        <v>0</v>
      </c>
      <c r="J96" s="322" t="n">
        <v>0</v>
      </c>
      <c r="K96" s="322" t="n">
        <v>0</v>
      </c>
      <c r="L96" s="322" t="n">
        <v>0</v>
      </c>
      <c r="M96" s="322" t="n">
        <v>0</v>
      </c>
      <c r="N96" s="322" t="n">
        <v>0</v>
      </c>
      <c r="O96" s="322" t="n">
        <v>0</v>
      </c>
      <c r="P96" s="322" t="n">
        <v>0</v>
      </c>
      <c r="Q96" s="322" t="n">
        <v>0</v>
      </c>
      <c r="R96" s="322" t="n">
        <v>0</v>
      </c>
      <c r="S96" s="322" t="n">
        <v>0</v>
      </c>
      <c r="T96" s="322" t="n">
        <v>-817687.5</v>
      </c>
      <c r="U96" s="322" t="n">
        <v>-817687.5</v>
      </c>
      <c r="V96" s="322" t="n">
        <v>-817687.5</v>
      </c>
      <c r="W96" s="322" t="n">
        <v>-817687.5</v>
      </c>
      <c r="X96" s="323">
        <f>-W101-X95</f>
        <v/>
      </c>
    </row>
    <row r="97" ht="15.75" customHeight="1" s="161">
      <c r="B97" s="313" t="n"/>
      <c r="C97" s="313" t="n"/>
      <c r="D97" s="313" t="n"/>
      <c r="E97" s="313" t="n"/>
      <c r="F97" s="313" t="n"/>
      <c r="G97" s="313" t="n"/>
      <c r="H97" s="313" t="n"/>
      <c r="I97" s="313" t="n"/>
      <c r="J97" s="313" t="n"/>
      <c r="K97" s="313" t="n"/>
      <c r="L97" s="313" t="n"/>
      <c r="M97" s="313" t="n"/>
      <c r="N97" s="313" t="n"/>
      <c r="O97" s="313" t="n"/>
      <c r="P97" s="313" t="n"/>
      <c r="Q97" s="313" t="n"/>
      <c r="R97" s="313" t="n"/>
      <c r="S97" s="313" t="n"/>
      <c r="T97" s="313" t="n"/>
      <c r="U97" s="313" t="n"/>
      <c r="V97" s="313" t="n"/>
      <c r="W97" s="313" t="n"/>
      <c r="X97" s="278" t="n"/>
    </row>
    <row r="98" ht="15.75" customHeight="1" s="161">
      <c r="B98" s="313" t="n"/>
      <c r="C98" s="313" t="n"/>
      <c r="D98" s="313" t="n"/>
      <c r="E98" s="313" t="n"/>
      <c r="F98" s="313" t="n"/>
      <c r="G98" s="313" t="n"/>
      <c r="H98" s="313" t="n"/>
      <c r="I98" s="313" t="n"/>
      <c r="J98" s="313" t="n"/>
      <c r="K98" s="313" t="n"/>
      <c r="L98" s="313" t="n"/>
      <c r="M98" s="313" t="n"/>
      <c r="N98" s="313" t="n"/>
      <c r="O98" s="313" t="n"/>
      <c r="P98" s="313" t="n"/>
      <c r="Q98" s="313" t="n"/>
      <c r="R98" s="313" t="n"/>
      <c r="S98" s="313" t="n"/>
      <c r="T98" s="313" t="n"/>
      <c r="U98" s="313" t="n"/>
      <c r="V98" s="313" t="n"/>
      <c r="W98" s="313" t="n"/>
      <c r="X98" s="278" t="n"/>
    </row>
    <row r="99" ht="15.75" customHeight="1" s="161">
      <c r="B99" s="308" t="inlineStr">
        <is>
          <t>現金淨流入(出 )</t>
        </is>
      </c>
      <c r="C99" s="309" t="n">
        <v>0</v>
      </c>
      <c r="D99" s="309">
        <f>SUM(D87:D96)</f>
        <v/>
      </c>
      <c r="E99" s="309">
        <f>SUM(E87:E96)</f>
        <v/>
      </c>
      <c r="F99" s="309">
        <f>SUM(F87:F96)</f>
        <v/>
      </c>
      <c r="G99" s="309">
        <f>SUM(G87:G96)</f>
        <v/>
      </c>
      <c r="H99" s="309">
        <f>SUM(H87:H96)</f>
        <v/>
      </c>
      <c r="I99" s="309">
        <f>SUM(I87:I96)</f>
        <v/>
      </c>
      <c r="J99" s="309">
        <f>SUM(J87:J96)</f>
        <v/>
      </c>
      <c r="K99" s="309">
        <f>SUM(K87:K96)</f>
        <v/>
      </c>
      <c r="L99" s="309">
        <f>SUM(L87:L96)</f>
        <v/>
      </c>
      <c r="M99" s="309">
        <f>SUM(M87:M96)</f>
        <v/>
      </c>
      <c r="N99" s="309">
        <f>SUM(N87:N96)</f>
        <v/>
      </c>
      <c r="O99" s="309">
        <f>SUM(O87:O96)</f>
        <v/>
      </c>
      <c r="P99" s="309">
        <f>SUM(P87:P96)</f>
        <v/>
      </c>
      <c r="Q99" s="309">
        <f>SUM(Q87:Q96)</f>
        <v/>
      </c>
      <c r="R99" s="309">
        <f>SUM(R87:R96)</f>
        <v/>
      </c>
      <c r="S99" s="309">
        <f>SUM(S87:S96)</f>
        <v/>
      </c>
      <c r="T99" s="309">
        <f>SUM(T87:T96)</f>
        <v/>
      </c>
      <c r="U99" s="309">
        <f>SUM(U87:U96)</f>
        <v/>
      </c>
      <c r="V99" s="309">
        <f>SUM(V87:V96)</f>
        <v/>
      </c>
      <c r="W99" s="309">
        <f>SUM(W87:W96)</f>
        <v/>
      </c>
      <c r="X99" s="278" t="n"/>
    </row>
    <row r="100" ht="15.75" customHeight="1" s="161">
      <c r="B100" s="308" t="inlineStr">
        <is>
          <t>期初淨現金</t>
        </is>
      </c>
      <c r="C100" s="309" t="n">
        <v>0</v>
      </c>
      <c r="D100" s="309">
        <f>C101</f>
        <v/>
      </c>
      <c r="E100" s="309">
        <f>D101</f>
        <v/>
      </c>
      <c r="F100" s="309">
        <f>E101</f>
        <v/>
      </c>
      <c r="G100" s="309">
        <f>F101</f>
        <v/>
      </c>
      <c r="H100" s="309">
        <f>G101</f>
        <v/>
      </c>
      <c r="I100" s="309">
        <f>H101</f>
        <v/>
      </c>
      <c r="J100" s="309">
        <f>I101</f>
        <v/>
      </c>
      <c r="K100" s="309">
        <f>J101</f>
        <v/>
      </c>
      <c r="L100" s="309">
        <f>K101</f>
        <v/>
      </c>
      <c r="M100" s="309">
        <f>L101</f>
        <v/>
      </c>
      <c r="N100" s="309">
        <f>M101</f>
        <v/>
      </c>
      <c r="O100" s="309">
        <f>N101</f>
        <v/>
      </c>
      <c r="P100" s="309">
        <f>O101</f>
        <v/>
      </c>
      <c r="Q100" s="309">
        <f>P101</f>
        <v/>
      </c>
      <c r="R100" s="309">
        <f>Q101</f>
        <v/>
      </c>
      <c r="S100" s="309">
        <f>R101</f>
        <v/>
      </c>
      <c r="T100" s="309">
        <f>S101</f>
        <v/>
      </c>
      <c r="U100" s="309">
        <f>T101</f>
        <v/>
      </c>
      <c r="V100" s="309">
        <f>U101</f>
        <v/>
      </c>
      <c r="W100" s="309">
        <f>V101</f>
        <v/>
      </c>
      <c r="X100" s="277" t="n"/>
    </row>
    <row r="101" ht="15.75" customHeight="1" s="161">
      <c r="B101" s="308" t="inlineStr">
        <is>
          <t>期未淨現金</t>
        </is>
      </c>
      <c r="C101" s="309" t="n">
        <v>0</v>
      </c>
      <c r="D101" s="309">
        <f>D99+D100</f>
        <v/>
      </c>
      <c r="E101" s="309">
        <f>E99+E100</f>
        <v/>
      </c>
      <c r="F101" s="309">
        <f>F99+F100</f>
        <v/>
      </c>
      <c r="G101" s="309">
        <f>G99+G100</f>
        <v/>
      </c>
      <c r="H101" s="309">
        <f>H99+H100</f>
        <v/>
      </c>
      <c r="I101" s="309">
        <f>I99+I100</f>
        <v/>
      </c>
      <c r="J101" s="309">
        <f>J99+J100</f>
        <v/>
      </c>
      <c r="K101" s="309">
        <f>K99+K100</f>
        <v/>
      </c>
      <c r="L101" s="309">
        <f>L99+L100</f>
        <v/>
      </c>
      <c r="M101" s="309">
        <f>M99+M100</f>
        <v/>
      </c>
      <c r="N101" s="309">
        <f>N99+N100</f>
        <v/>
      </c>
      <c r="O101" s="309">
        <f>O99+O100</f>
        <v/>
      </c>
      <c r="P101" s="309">
        <f>P99+P100</f>
        <v/>
      </c>
      <c r="Q101" s="309">
        <f>Q99+Q100</f>
        <v/>
      </c>
      <c r="R101" s="309">
        <f>R99+R100</f>
        <v/>
      </c>
      <c r="S101" s="309">
        <f>S99+S100</f>
        <v/>
      </c>
      <c r="T101" s="309">
        <f>T99+T100</f>
        <v/>
      </c>
      <c r="U101" s="309">
        <f>U99+U100</f>
        <v/>
      </c>
      <c r="V101" s="309">
        <f>V99+V100</f>
        <v/>
      </c>
      <c r="W101" s="309">
        <f>W99+W100</f>
        <v/>
      </c>
      <c r="X101" s="277" t="n"/>
    </row>
    <row r="102" ht="15.75" customHeight="1" s="161">
      <c r="B102" s="308" t="n"/>
      <c r="C102" s="308" t="n"/>
      <c r="D102" s="308" t="n"/>
      <c r="E102" s="308" t="n"/>
      <c r="F102" s="308" t="n"/>
      <c r="G102" s="308" t="n"/>
      <c r="H102" s="308" t="n"/>
      <c r="I102" s="308" t="n"/>
      <c r="J102" s="308" t="n"/>
      <c r="K102" s="308" t="n"/>
      <c r="L102" s="308" t="n"/>
      <c r="M102" s="308" t="n"/>
      <c r="N102" s="308" t="n"/>
      <c r="O102" s="308" t="n"/>
      <c r="P102" s="308" t="n"/>
      <c r="Q102" s="308" t="n"/>
      <c r="R102" s="308" t="n"/>
      <c r="S102" s="308" t="n"/>
      <c r="T102" s="308" t="n"/>
      <c r="U102" s="308" t="n"/>
      <c r="V102" s="308" t="n"/>
      <c r="W102" s="308" t="n"/>
      <c r="X102" s="308" t="n"/>
    </row>
    <row r="103" ht="15.75" customHeight="1" s="161">
      <c r="B103" s="308" t="n"/>
      <c r="C103" s="308" t="n"/>
      <c r="D103" s="308" t="n"/>
      <c r="E103" s="308" t="n"/>
      <c r="F103" s="313" t="n"/>
      <c r="G103" s="308" t="n"/>
      <c r="H103" s="308" t="n"/>
      <c r="I103" s="308" t="n"/>
      <c r="J103" s="308" t="n"/>
      <c r="K103" s="308" t="n"/>
      <c r="L103" s="308" t="n"/>
      <c r="M103" s="308" t="n"/>
      <c r="N103" s="308" t="n"/>
      <c r="O103" s="308" t="n"/>
      <c r="P103" s="308" t="n"/>
      <c r="Q103" s="308" t="n"/>
      <c r="R103" s="308" t="n"/>
      <c r="S103" s="308" t="n"/>
      <c r="T103" s="308" t="n"/>
      <c r="U103" s="308" t="n"/>
      <c r="V103" s="308" t="n"/>
      <c r="W103" s="308" t="n"/>
      <c r="X103" s="308" t="n"/>
    </row>
    <row r="104" ht="15.75" customHeight="1" s="161">
      <c r="B104" s="324" t="inlineStr">
        <is>
          <t>成本法實際現金流</t>
        </is>
      </c>
      <c r="C104" s="325" t="n"/>
      <c r="D104" s="326">
        <f>-D94</f>
        <v/>
      </c>
      <c r="E104" s="312">
        <f>-E95-E96</f>
        <v/>
      </c>
      <c r="F104" s="312">
        <f>-F95-F96</f>
        <v/>
      </c>
      <c r="G104" s="312">
        <f>-G95-G96</f>
        <v/>
      </c>
      <c r="H104" s="312">
        <f>-H95-H96</f>
        <v/>
      </c>
      <c r="I104" s="312">
        <f>-I95-I96</f>
        <v/>
      </c>
      <c r="J104" s="312">
        <f>-J95-J96</f>
        <v/>
      </c>
      <c r="K104" s="312">
        <f>-K95-K96</f>
        <v/>
      </c>
      <c r="L104" s="312">
        <f>-L95-L96</f>
        <v/>
      </c>
      <c r="M104" s="312">
        <f>-M95-M96</f>
        <v/>
      </c>
      <c r="N104" s="312">
        <f>-N95-N96</f>
        <v/>
      </c>
      <c r="O104" s="312">
        <f>-O95-O96</f>
        <v/>
      </c>
      <c r="P104" s="312">
        <f>-P95-P96</f>
        <v/>
      </c>
      <c r="Q104" s="312">
        <f>-Q95-Q96</f>
        <v/>
      </c>
      <c r="R104" s="312">
        <f>-R95-R96</f>
        <v/>
      </c>
      <c r="S104" s="312">
        <f>-S95-S96</f>
        <v/>
      </c>
      <c r="T104" s="312">
        <f>-T95-T96</f>
        <v/>
      </c>
      <c r="U104" s="312">
        <f>-U95-U96</f>
        <v/>
      </c>
      <c r="V104" s="312">
        <f>-V95-V96</f>
        <v/>
      </c>
      <c r="W104" s="312">
        <f>-W95-W96</f>
        <v/>
      </c>
      <c r="X104" s="312">
        <f>-X95-X96</f>
        <v/>
      </c>
    </row>
    <row r="105" ht="15.75" customHeight="1" s="161">
      <c r="B105" s="308" t="inlineStr">
        <is>
          <t>成本法IRR</t>
        </is>
      </c>
      <c r="C105" s="327">
        <f>IRR(D104:X104)</f>
        <v/>
      </c>
      <c r="D105" s="313" t="n"/>
      <c r="E105" s="313" t="n"/>
      <c r="F105" s="308" t="n"/>
      <c r="G105" s="308" t="n"/>
      <c r="H105" s="308" t="n"/>
      <c r="I105" s="308" t="n"/>
      <c r="J105" s="308" t="n"/>
      <c r="K105" s="308" t="n"/>
      <c r="L105" s="308" t="n"/>
      <c r="M105" s="308" t="n"/>
      <c r="N105" s="308" t="n"/>
      <c r="O105" s="308" t="n"/>
      <c r="P105" s="308" t="n"/>
      <c r="Q105" s="308" t="n"/>
      <c r="R105" s="308" t="n"/>
      <c r="S105" s="308" t="n"/>
      <c r="T105" s="308" t="n"/>
      <c r="U105" s="308" t="n"/>
      <c r="V105" s="308" t="n"/>
      <c r="W105" s="308" t="n"/>
      <c r="X105" s="308" t="n"/>
    </row>
    <row r="106" ht="15.75" customHeight="1" s="161">
      <c r="B106" s="324" t="inlineStr">
        <is>
          <t>權益法實際現金流</t>
        </is>
      </c>
      <c r="C106" s="325" t="n"/>
      <c r="D106" s="326">
        <f>D85-D94</f>
        <v/>
      </c>
      <c r="E106" s="312">
        <f>E85</f>
        <v/>
      </c>
      <c r="F106" s="312">
        <f>F85-F96</f>
        <v/>
      </c>
      <c r="G106" s="312">
        <f>G85-G96</f>
        <v/>
      </c>
      <c r="H106" s="312">
        <f>H85-H96</f>
        <v/>
      </c>
      <c r="I106" s="312">
        <f>I85-I96</f>
        <v/>
      </c>
      <c r="J106" s="312">
        <f>J85-J96</f>
        <v/>
      </c>
      <c r="K106" s="312">
        <f>K85-K96</f>
        <v/>
      </c>
      <c r="L106" s="312">
        <f>L85-L96</f>
        <v/>
      </c>
      <c r="M106" s="312">
        <f>M85-M96</f>
        <v/>
      </c>
      <c r="N106" s="312">
        <f>N85-N96</f>
        <v/>
      </c>
      <c r="O106" s="312">
        <f>O85-O96</f>
        <v/>
      </c>
      <c r="P106" s="312">
        <f>P85-P96</f>
        <v/>
      </c>
      <c r="Q106" s="312">
        <f>Q85-Q96</f>
        <v/>
      </c>
      <c r="R106" s="312">
        <f>R85-R96</f>
        <v/>
      </c>
      <c r="S106" s="312">
        <f>S85-S96</f>
        <v/>
      </c>
      <c r="T106" s="312">
        <f>T85-T96</f>
        <v/>
      </c>
      <c r="U106" s="312">
        <f>U85-U96</f>
        <v/>
      </c>
      <c r="V106" s="312">
        <f>V85-V96</f>
        <v/>
      </c>
      <c r="W106" s="312">
        <f>W85-W96</f>
        <v/>
      </c>
      <c r="X106" s="317" t="n"/>
    </row>
    <row r="107" ht="15.75" customHeight="1" s="161">
      <c r="B107" s="324" t="inlineStr">
        <is>
          <t>權益法IRR</t>
        </is>
      </c>
      <c r="C107" s="327">
        <f>IRR(D106:W106)</f>
        <v/>
      </c>
      <c r="D107" s="313" t="n"/>
      <c r="E107" s="313" t="n"/>
      <c r="F107" s="308" t="n"/>
      <c r="G107" s="308" t="n"/>
      <c r="H107" s="308" t="n"/>
      <c r="I107" s="308" t="n"/>
      <c r="J107" s="308" t="n"/>
      <c r="K107" s="308" t="n"/>
      <c r="L107" s="308" t="n"/>
      <c r="M107" s="308" t="n"/>
      <c r="N107" s="308" t="n"/>
      <c r="O107" s="308" t="n"/>
      <c r="P107" s="308" t="n"/>
      <c r="Q107" s="308" t="n"/>
      <c r="R107" s="308" t="n"/>
      <c r="S107" s="308" t="n"/>
      <c r="T107" s="308" t="n"/>
      <c r="U107" s="308" t="n"/>
      <c r="V107" s="308" t="n"/>
      <c r="W107" s="308" t="n"/>
      <c r="X107" s="308" t="n"/>
    </row>
    <row r="108" ht="15.75" customHeight="1" s="161">
      <c r="B108" s="308" t="n"/>
      <c r="C108" s="308" t="n"/>
      <c r="D108" s="308" t="n"/>
      <c r="E108" s="308" t="n"/>
      <c r="F108" s="308" t="n"/>
      <c r="G108" s="308" t="n"/>
      <c r="H108" s="308" t="n"/>
      <c r="I108" s="308" t="n"/>
      <c r="J108" s="308" t="n"/>
      <c r="K108" s="308" t="n"/>
      <c r="L108" s="308" t="n"/>
      <c r="M108" s="308" t="n"/>
      <c r="N108" s="308" t="n"/>
      <c r="O108" s="308" t="n"/>
      <c r="P108" s="308" t="n"/>
      <c r="Q108" s="308" t="n"/>
      <c r="R108" s="308" t="n"/>
      <c r="S108" s="308" t="n"/>
      <c r="T108" s="308" t="n"/>
      <c r="U108" s="308" t="n"/>
      <c r="V108" s="308" t="n"/>
      <c r="W108" s="308" t="n"/>
      <c r="X108" s="308" t="n"/>
    </row>
    <row r="109" ht="15.75" customHeight="1" s="161">
      <c r="B109" s="308" t="inlineStr">
        <is>
          <t>借款餘額</t>
        </is>
      </c>
      <c r="C109" s="309" t="n">
        <v>0</v>
      </c>
      <c r="D109" s="309">
        <f>D92</f>
        <v/>
      </c>
      <c r="E109" s="309">
        <f>D109+E93</f>
        <v/>
      </c>
      <c r="F109" s="309">
        <f>E109+F93</f>
        <v/>
      </c>
      <c r="G109" s="309">
        <f>F109+G93</f>
        <v/>
      </c>
      <c r="H109" s="309">
        <f>G109+H93</f>
        <v/>
      </c>
      <c r="I109" s="309">
        <f>H109+I93</f>
        <v/>
      </c>
      <c r="J109" s="309">
        <f>I109+J93</f>
        <v/>
      </c>
      <c r="K109" s="309">
        <f>J109+K93</f>
        <v/>
      </c>
      <c r="L109" s="309">
        <f>K109+L93</f>
        <v/>
      </c>
      <c r="M109" s="309">
        <f>L109+M93</f>
        <v/>
      </c>
      <c r="N109" s="309">
        <f>M109+N93</f>
        <v/>
      </c>
      <c r="O109" s="309">
        <f>N109+O93</f>
        <v/>
      </c>
      <c r="P109" s="309">
        <f>O109+P93</f>
        <v/>
      </c>
      <c r="Q109" s="309">
        <f>P109+Q93</f>
        <v/>
      </c>
      <c r="R109" s="309">
        <f>Q109+R93</f>
        <v/>
      </c>
      <c r="S109" s="309">
        <f>R109+S93</f>
        <v/>
      </c>
      <c r="T109" s="309">
        <f>S109+T93</f>
        <v/>
      </c>
      <c r="U109" s="309">
        <f>T109+U93</f>
        <v/>
      </c>
      <c r="V109" s="309">
        <f>U109+V93</f>
        <v/>
      </c>
      <c r="W109" s="309">
        <f>V109+W93</f>
        <v/>
      </c>
      <c r="X109" s="3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34" customWidth="1" style="160" min="2" max="2"/>
    <col width="27" customWidth="1" style="160" min="3" max="3"/>
    <col width="37" customWidth="1" style="160" min="4" max="5"/>
    <col width="50" customWidth="1" style="160" min="6" max="6"/>
    <col width="37" customWidth="1" style="160" min="7" max="12"/>
    <col width="50" customWidth="1" style="160" min="13" max="13"/>
    <col width="37" customWidth="1" style="160" min="14" max="23"/>
    <col width="30" customWidth="1" style="160" min="24" max="24"/>
    <col width="10" customWidth="1" style="160" min="25" max="27"/>
    <col width="11" customWidth="1" style="160" min="28" max="35"/>
    <col width="8" customWidth="1" style="160" min="36" max="36"/>
    <col width="9.140000000000001" customWidth="1" style="160" min="37" max="37"/>
  </cols>
  <sheetData>
    <row r="1" ht="22.5" customHeight="1" s="161">
      <c r="B1" s="162" t="inlineStr">
        <is>
          <t>電站基本資料</t>
        </is>
      </c>
      <c r="C1" s="203" t="n"/>
      <c r="D1" s="203" t="n"/>
      <c r="E1" s="204" t="n"/>
      <c r="F1" s="165" t="inlineStr">
        <is>
          <t>說明</t>
        </is>
      </c>
      <c r="P1" s="166">
        <f>1-D11</f>
        <v/>
      </c>
      <c r="Q1" s="166">
        <f>P1-$D12</f>
        <v/>
      </c>
      <c r="R1" s="166">
        <f>Q1-$D12</f>
        <v/>
      </c>
      <c r="S1" s="166">
        <f>R1-$D12</f>
        <v/>
      </c>
      <c r="T1" s="166">
        <f>S1-$D12</f>
        <v/>
      </c>
      <c r="U1" s="166">
        <f>T1-$D12</f>
        <v/>
      </c>
      <c r="V1" s="166">
        <f>U1-$D12</f>
        <v/>
      </c>
      <c r="W1" s="166">
        <f>V1-$D12</f>
        <v/>
      </c>
      <c r="X1" s="166">
        <f>W1-$D12</f>
        <v/>
      </c>
      <c r="Y1" s="166">
        <f>X1-$D12</f>
        <v/>
      </c>
      <c r="Z1" s="166">
        <f>Y1-$D12</f>
        <v/>
      </c>
      <c r="AA1" s="166">
        <f>Z1-$D12</f>
        <v/>
      </c>
      <c r="AB1" s="166">
        <f>AA1-$D12</f>
        <v/>
      </c>
      <c r="AC1" s="166">
        <f>AB1-$D12</f>
        <v/>
      </c>
      <c r="AD1" s="166">
        <f>AC1-$D12</f>
        <v/>
      </c>
      <c r="AE1" s="166">
        <f>AD1-$D12</f>
        <v/>
      </c>
      <c r="AF1" s="166">
        <f>AE1-$D12</f>
        <v/>
      </c>
      <c r="AG1" s="166">
        <f>AF1-$D12</f>
        <v/>
      </c>
      <c r="AH1" s="166">
        <f>AG1-$D12</f>
        <v/>
      </c>
      <c r="AI1" s="166">
        <f>AH1-$D12</f>
        <v/>
      </c>
    </row>
    <row r="2" ht="21.75" customHeight="1" s="161">
      <c r="B2" s="205" t="inlineStr">
        <is>
          <t>電站名稱</t>
        </is>
      </c>
      <c r="C2" s="206" t="inlineStr">
        <is>
          <t>淡江大學</t>
        </is>
      </c>
      <c r="D2" s="169" t="inlineStr">
        <is>
          <t>-</t>
        </is>
      </c>
      <c r="E2" s="170" t="inlineStr">
        <is>
          <t>-</t>
        </is>
      </c>
      <c r="F2" s="207" t="inlineStr">
        <is>
          <t>填入本案場名稱</t>
        </is>
      </c>
    </row>
    <row r="3" ht="21.75" customHeight="1" s="161">
      <c r="B3" s="208" t="inlineStr">
        <is>
          <t>電站壽命</t>
        </is>
      </c>
      <c r="C3" s="209" t="n">
        <v>20</v>
      </c>
      <c r="D3" s="174" t="inlineStr">
        <is>
          <t>-</t>
        </is>
      </c>
      <c r="E3" s="175" t="inlineStr">
        <is>
          <t>-</t>
        </is>
      </c>
      <c r="F3" s="171" t="inlineStr">
        <is>
          <t>預設 20 年，代表財務評估年期。若合約年限不同可依實際情況修改</t>
        </is>
      </c>
    </row>
    <row r="4" ht="21.75" customHeight="1" s="161">
      <c r="B4" s="208" t="inlineStr">
        <is>
          <t>建置量(kWp)</t>
        </is>
      </c>
      <c r="C4" s="209" t="n">
        <v>436.1</v>
      </c>
      <c r="D4" s="174" t="inlineStr">
        <is>
          <t>-</t>
        </is>
      </c>
      <c r="E4" s="175" t="inlineStr">
        <is>
          <t>-</t>
        </is>
      </c>
      <c r="F4" s="171" t="inlineStr">
        <is>
          <t>填入裝置容量（kWp），通常由設計圖面或報價書取得</t>
        </is>
      </c>
      <c r="M4" s="160" t="inlineStr">
        <is>
          <t>情境編號: 4</t>
        </is>
      </c>
    </row>
    <row r="5" ht="22.5" customHeight="1" s="161">
      <c r="B5" s="210" t="inlineStr">
        <is>
          <t>起始年度</t>
        </is>
      </c>
      <c r="C5" s="209" t="n">
        <v>2020</v>
      </c>
      <c r="D5" s="210" t="inlineStr">
        <is>
          <t>結束年度</t>
        </is>
      </c>
      <c r="E5" s="211" t="n">
        <v>2039</v>
      </c>
      <c r="F5" s="171" t="inlineStr">
        <is>
          <t>填入電站預計掛表的西元年份（例：2025）。結束年度會自動計算</t>
        </is>
      </c>
      <c r="M5" s="160" t="inlineStr">
        <is>
          <t>第3次滾算摘要</t>
        </is>
      </c>
    </row>
    <row r="6" ht="20.25" customHeight="1" s="161">
      <c r="B6" s="176" t="n"/>
      <c r="C6" s="176" t="n"/>
      <c r="D6" s="176" t="n"/>
      <c r="E6" s="176" t="n"/>
      <c r="M6" s="160" t="inlineStr">
        <is>
          <t>價金: 24000</t>
        </is>
      </c>
    </row>
    <row r="7" ht="22.5" customHeight="1" s="161">
      <c r="B7" s="162" t="inlineStr">
        <is>
          <t>綜合損益表</t>
        </is>
      </c>
      <c r="C7" s="203" t="n"/>
      <c r="D7" s="203" t="n"/>
      <c r="E7" s="204" t="n"/>
      <c r="M7" s="160" t="inlineStr">
        <is>
          <t>專案IRR: 7.63</t>
        </is>
      </c>
    </row>
    <row r="8" ht="22.5" customHeight="1" s="161">
      <c r="B8" s="178" t="inlineStr">
        <is>
          <t>收入</t>
        </is>
      </c>
      <c r="E8" s="212" t="n"/>
      <c r="M8" s="160" t="inlineStr">
        <is>
          <t>權益法IRR: 26.22</t>
        </is>
      </c>
    </row>
    <row r="9" ht="22.5" customHeight="1" s="161">
      <c r="B9" s="213" t="inlineStr">
        <is>
          <t>收支項目</t>
        </is>
      </c>
      <c r="C9" s="214" t="inlineStr">
        <is>
          <t>相關參數</t>
        </is>
      </c>
      <c r="D9" s="214" t="inlineStr">
        <is>
          <t>參數數值</t>
        </is>
      </c>
      <c r="E9" s="215" t="inlineStr">
        <is>
          <t>年限</t>
        </is>
      </c>
      <c r="F9" s="165" t="inlineStr">
        <is>
          <t>說明</t>
        </is>
      </c>
      <c r="M9" s="160" t="inlineStr">
        <is>
          <t>利潤率: 20.00%</t>
        </is>
      </c>
    </row>
    <row r="10" ht="30" customHeight="1" s="161">
      <c r="B10" s="216" t="inlineStr">
        <is>
          <t>電費收入</t>
        </is>
      </c>
      <c r="C10" s="217" t="inlineStr">
        <is>
          <t>年度AC併網總發電量</t>
        </is>
      </c>
      <c r="D10" s="218" t="n">
        <v>547002</v>
      </c>
      <c r="E10" s="185" t="n">
        <v>20</v>
      </c>
      <c r="F10" s="171" t="inlineStr">
        <is>
          <t>預估年發電量（kWh），通常來自 PVsyst 模擬或估算：裝置容量 × 年日照時數 × 系統效率</t>
        </is>
      </c>
      <c r="M10" s="160" t="inlineStr">
        <is>
          <t>第3次滾算，減少 2000 元 - 現金模式，每次減少 2000 元</t>
        </is>
      </c>
    </row>
    <row r="11" ht="30" customHeight="1" s="161">
      <c r="B11" s="219" t="n"/>
      <c r="C11" s="210" t="inlineStr">
        <is>
          <t>首年衰退率</t>
        </is>
      </c>
      <c r="D11" s="220" t="n">
        <v>0.01</v>
      </c>
      <c r="E11" s="221" t="n"/>
      <c r="F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B12" s="219" t="n"/>
      <c r="C12" s="210" t="inlineStr">
        <is>
          <t>次年衰退率</t>
        </is>
      </c>
      <c r="D12" s="222" t="n">
        <v>0.004</v>
      </c>
      <c r="E12" s="221" t="n"/>
      <c r="F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B13" s="219" t="n"/>
      <c r="C13" s="223" t="inlineStr">
        <is>
          <t>躉售費率(FIT) / 綠電費率</t>
        </is>
      </c>
      <c r="D13" s="224" t="n">
        <v>4</v>
      </c>
      <c r="E13" s="221" t="n"/>
      <c r="F13" s="171" t="inlineStr">
        <is>
          <t>與台電簽訂的躉購費率或綠電合約費率，單位：元/度。請參考台電公告或合約內容</t>
        </is>
      </c>
    </row>
    <row r="14" ht="22.5" customHeight="1" s="161">
      <c r="B14" s="192" t="inlineStr">
        <is>
          <t>支出</t>
        </is>
      </c>
      <c r="C14" s="203" t="n"/>
      <c r="D14" s="203" t="n"/>
      <c r="E14" s="204" t="n"/>
    </row>
    <row r="15" ht="22.5" customHeight="1" s="161">
      <c r="B15" s="213" t="inlineStr">
        <is>
          <t>收支項目</t>
        </is>
      </c>
      <c r="C15" s="214" t="inlineStr">
        <is>
          <t>相關參數</t>
        </is>
      </c>
      <c r="D15" s="214" t="inlineStr">
        <is>
          <t>參數數值</t>
        </is>
      </c>
      <c r="E15" s="215" t="inlineStr">
        <is>
          <t>攤提年限</t>
        </is>
      </c>
      <c r="F15" s="165" t="inlineStr">
        <is>
          <t>說明</t>
        </is>
      </c>
    </row>
    <row r="16" ht="21.75" customHeight="1" s="161">
      <c r="B16" s="217" t="inlineStr">
        <is>
          <t>設備費用(價金)</t>
        </is>
      </c>
      <c r="C16" s="217" t="inlineStr">
        <is>
          <t>每kWp設備成本</t>
        </is>
      </c>
      <c r="D16" s="225" t="n">
        <v>24000</v>
      </c>
      <c r="E16" s="170" t="n">
        <v>20</v>
      </c>
      <c r="F16" s="171" t="inlineStr">
        <is>
          <t>每峰瓩設備成本（元/kWp），包含模組、逆變器、支架等硬體，不含工程施工費</t>
        </is>
      </c>
    </row>
    <row r="17" ht="21.75" customHeight="1" s="161">
      <c r="B17" s="219" t="n"/>
      <c r="C17" s="210" t="inlineStr">
        <is>
          <t>信邦利潤率(ex:20%填0.2)</t>
        </is>
      </c>
      <c r="D17" s="226" t="n">
        <v>0.2</v>
      </c>
      <c r="E17" s="221" t="n"/>
      <c r="F17" s="171" t="inlineStr">
        <is>
          <t>公司在設備費用上加計的利潤比率，請填小數（例：20% → 填 0.2）</t>
        </is>
      </c>
    </row>
    <row r="18" ht="21.75" customHeight="1" s="161">
      <c r="B18" s="227" t="n"/>
      <c r="C18" s="210" t="inlineStr">
        <is>
          <t>開發費</t>
        </is>
      </c>
      <c r="D18" s="228" t="n">
        <v>2500</v>
      </c>
      <c r="E18" s="229" t="n"/>
      <c r="F18" s="171" t="inlineStr">
        <is>
          <t>前期開發費用（元），含可行性評估、申請規費、地主溝通等。若無則填 0</t>
        </is>
      </c>
    </row>
    <row r="19" ht="54" customHeight="1" s="161">
      <c r="B19" s="210" t="inlineStr">
        <is>
          <t>租金費用</t>
        </is>
      </c>
      <c r="C19" s="230" t="inlineStr">
        <is>
          <t>租金計算方式</t>
        </is>
      </c>
      <c r="D19" s="226" t="n">
        <v>1</v>
      </c>
      <c r="E19" s="170" t="n">
        <v>20</v>
      </c>
      <c r="F19" s="171" t="inlineStr">
        <is>
          <t>填 1 = 固定年租金（需填方式1參數）；填 2 = 依電費收入抽成（需填方式2參數）</t>
        </is>
      </c>
    </row>
    <row r="20" ht="20.25" customHeight="1" s="161">
      <c r="B20" s="219" t="n"/>
      <c r="C20" s="231" t="inlineStr">
        <is>
          <t>【方式1參數】每年相同價格</t>
        </is>
      </c>
      <c r="D20" s="228" t="n">
        <v>290201</v>
      </c>
      <c r="E20" s="170" t="n">
        <v>20</v>
      </c>
      <c r="F20" s="171" t="inlineStr">
        <is>
          <t>租金計算方式選「1」時填寫，固定年租金金額（元/年），套用至整個電站壽命期</t>
        </is>
      </c>
    </row>
    <row r="21" ht="30" customHeight="1" s="161">
      <c r="B21" s="227" t="n"/>
      <c r="C21" s="210" t="inlineStr">
        <is>
          <t>【方式2參數】抽成比率</t>
        </is>
      </c>
      <c r="D21" s="226" t="n">
        <v>0</v>
      </c>
      <c r="E21" s="175" t="n">
        <v>20</v>
      </c>
      <c r="F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B22" s="210" t="inlineStr">
        <is>
          <t>運維費用</t>
        </is>
      </c>
      <c r="C22" s="210" t="inlineStr">
        <is>
          <t>每kw運維成本</t>
        </is>
      </c>
      <c r="D22" s="232" t="n">
        <v>400</v>
      </c>
      <c r="E22" s="175" t="n">
        <v>20</v>
      </c>
      <c r="F22" s="171" t="inlineStr">
        <is>
          <t>每峰瓩每年運維費用（元/kWp/年），含清洗、巡檢、維修等。</t>
        </is>
      </c>
    </row>
    <row r="23" ht="30" customHeight="1" s="161">
      <c r="B23" s="210" t="inlineStr">
        <is>
          <t>保險費用</t>
        </is>
      </c>
      <c r="C23" s="210" t="inlineStr">
        <is>
          <t>占整體設備費用比例</t>
        </is>
      </c>
      <c r="D23" s="226" t="n">
        <v>0.003</v>
      </c>
      <c r="E23" s="175" t="n">
        <v>20</v>
      </c>
      <c r="F23" s="171" t="inlineStr">
        <is>
          <t>保險費佔設備總費用比率，填小數（例：0.3% → 填 0.003）。預設 0.003，可依投保條件調整</t>
        </is>
      </c>
    </row>
    <row r="24" ht="30" customHeight="1" s="161">
      <c r="B24" s="210" t="inlineStr">
        <is>
          <t>模組回收費用</t>
        </is>
      </c>
      <c r="C24" s="210" t="inlineStr">
        <is>
          <t>每kw模組回收成本</t>
        </is>
      </c>
      <c r="D24" s="232" t="n">
        <v>1000</v>
      </c>
      <c r="E24" s="199" t="n">
        <v>10</v>
      </c>
      <c r="F24" s="171" t="inlineStr">
        <is>
          <t>每峰瓩模組廢棄回收費用（元/kWp），於第 1~10 年計提（攤提 10 年）。</t>
        </is>
      </c>
    </row>
    <row r="25" ht="30" customHeight="1" s="161">
      <c r="B25" s="210" t="inlineStr">
        <is>
          <t>利息費用</t>
        </is>
      </c>
      <c r="C25" s="210" t="inlineStr">
        <is>
          <t>銀行利率</t>
        </is>
      </c>
      <c r="D25" s="233" t="n">
        <v>0.0256</v>
      </c>
      <c r="E25" s="175" t="n">
        <v>20</v>
      </c>
      <c r="F25" s="171" t="inlineStr">
        <is>
          <t>向銀行貸款的年利率，填小數（例：2.56% → 填 0.0256）。請依銀行核准利率填入</t>
        </is>
      </c>
    </row>
    <row r="26" ht="30" customHeight="1" s="161">
      <c r="B26" s="210" t="inlineStr">
        <is>
          <t>所得稅</t>
        </is>
      </c>
      <c r="C26" s="210" t="inlineStr">
        <is>
          <t>所得稅率</t>
        </is>
      </c>
      <c r="D26" s="226" t="n">
        <v>0.2</v>
      </c>
      <c r="E26" s="175" t="n">
        <v>20</v>
      </c>
      <c r="F26" s="171" t="inlineStr">
        <is>
          <t>公司所得稅率，填小數（例：20% → 填 0.2）。預設 0.2，通常不需更改</t>
        </is>
      </c>
    </row>
    <row r="27" ht="20.25" customHeight="1" s="161">
      <c r="B27" s="176" t="n"/>
      <c r="C27" s="176" t="n"/>
      <c r="D27" s="176" t="n"/>
      <c r="E27" s="176" t="n"/>
    </row>
    <row r="28" ht="20.25" customHeight="1" s="161">
      <c r="B28" s="176" t="n"/>
      <c r="C28" s="176" t="n"/>
      <c r="D28" s="176" t="n"/>
      <c r="E28" s="176" t="n"/>
    </row>
    <row r="29" ht="22.5" customHeight="1" s="161">
      <c r="B29" s="162" t="inlineStr">
        <is>
          <t>現金流量表</t>
        </is>
      </c>
      <c r="C29" s="203" t="n"/>
      <c r="D29" s="204" t="n"/>
      <c r="E29" s="176" t="n"/>
    </row>
    <row r="30" ht="22.5" customHeight="1" s="161">
      <c r="B30" s="213" t="inlineStr">
        <is>
          <t>金流項目</t>
        </is>
      </c>
      <c r="C30" s="234" t="inlineStr">
        <is>
          <t>相關參數</t>
        </is>
      </c>
      <c r="D30" s="235" t="inlineStr">
        <is>
          <t>參數數值</t>
        </is>
      </c>
      <c r="E30" s="176" t="n"/>
      <c r="F30" s="165" t="inlineStr">
        <is>
          <t>說明</t>
        </is>
      </c>
    </row>
    <row r="31" ht="30" customHeight="1" s="161">
      <c r="B31" s="217" t="inlineStr">
        <is>
          <t>貸款成數</t>
        </is>
      </c>
      <c r="C31" s="205" t="inlineStr">
        <is>
          <t>占總設備費用比例</t>
        </is>
      </c>
      <c r="D31" s="236" t="n">
        <v>0.8</v>
      </c>
      <c r="E31" s="176" t="n"/>
      <c r="F31" s="171" t="inlineStr">
        <is>
          <t>貸款佔設備總費用比例，填小數（例：80% → 填 0.8）。預設 0.8 代表貸八成、自備二成</t>
        </is>
      </c>
    </row>
    <row r="32" ht="18.75" customHeight="1" s="161">
      <c r="B32" s="217" t="inlineStr">
        <is>
          <t>貸款還款</t>
        </is>
      </c>
      <c r="C32" s="205" t="inlineStr">
        <is>
          <t>攤還期數</t>
        </is>
      </c>
      <c r="D32" s="236" t="n">
        <v>15</v>
      </c>
      <c r="E32" s="176" t="n"/>
      <c r="F32" s="171" t="inlineStr">
        <is>
          <t>貸款還款年數（年）。預設 15 年，代表分 15 年平均攤還本金</t>
        </is>
      </c>
    </row>
    <row r="33" ht="18.75" customHeight="1" s="161">
      <c r="B33" s="210" t="inlineStr">
        <is>
          <t>現金股利</t>
        </is>
      </c>
      <c r="C33" s="208" t="inlineStr">
        <is>
          <t>股利比率</t>
        </is>
      </c>
      <c r="D33" s="226" t="n">
        <v>0.9</v>
      </c>
      <c r="E33" s="176" t="n"/>
      <c r="F33" s="171" t="inlineStr">
        <is>
          <t>稅後現金流中分配給股東的比例，填小數（例：90% → 填 0.9）</t>
        </is>
      </c>
    </row>
    <row r="34" ht="30" customHeight="1" s="161">
      <c r="B34" s="210" t="inlineStr">
        <is>
          <t>年底減資</t>
        </is>
      </c>
      <c r="C34" s="208" t="inlineStr">
        <is>
          <t>攤還期數</t>
        </is>
      </c>
      <c r="D34" s="226" t="n">
        <v>4</v>
      </c>
      <c r="E34" s="176" t="n"/>
      <c r="F34" s="171" t="inlineStr">
        <is>
          <t>年底減資返還股東的年數。預設 4 年，代表 倒數 4 年進行減資，加速資金返還</t>
        </is>
      </c>
    </row>
    <row r="35" ht="18.75" customHeight="1" s="161"/>
    <row r="36" ht="18.75" customHeight="1" s="161"/>
    <row r="37" ht="18.75" customHeight="1" s="161">
      <c r="B37" s="237" t="n"/>
      <c r="C37" s="238" t="inlineStr">
        <is>
          <t>年份</t>
        </is>
      </c>
      <c r="D37" s="238" t="n">
        <v>2020</v>
      </c>
      <c r="E37" s="238" t="n">
        <v>2021</v>
      </c>
      <c r="F37" s="238" t="n">
        <v>2022</v>
      </c>
      <c r="G37" s="238" t="n">
        <v>2023</v>
      </c>
      <c r="H37" s="238" t="n">
        <v>2024</v>
      </c>
      <c r="I37" s="238" t="n">
        <v>2025</v>
      </c>
      <c r="J37" s="238" t="n">
        <v>2026</v>
      </c>
      <c r="K37" s="238" t="n">
        <v>2027</v>
      </c>
      <c r="L37" s="238" t="n">
        <v>2028</v>
      </c>
      <c r="M37" s="238" t="n">
        <v>2029</v>
      </c>
      <c r="N37" s="238" t="n">
        <v>2030</v>
      </c>
      <c r="O37" s="238" t="n">
        <v>2031</v>
      </c>
      <c r="P37" s="238" t="n">
        <v>2032</v>
      </c>
      <c r="Q37" s="238" t="n">
        <v>2033</v>
      </c>
      <c r="R37" s="238" t="n">
        <v>2034</v>
      </c>
      <c r="S37" s="238" t="n">
        <v>2035</v>
      </c>
      <c r="T37" s="238" t="n">
        <v>2036</v>
      </c>
      <c r="U37" s="238" t="n">
        <v>2037</v>
      </c>
      <c r="V37" s="238" t="n">
        <v>2038</v>
      </c>
      <c r="W37" s="238" t="n">
        <v>2039</v>
      </c>
      <c r="X37" s="238" t="n"/>
    </row>
    <row r="38" ht="18.75" customHeight="1" s="161">
      <c r="B38" s="239" t="n">
        <v>0</v>
      </c>
      <c r="C38" s="240" t="n"/>
      <c r="D38" s="241" t="n"/>
      <c r="E38" s="241" t="n"/>
      <c r="F38" s="242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4" t="n"/>
      <c r="U38" s="243" t="n"/>
      <c r="V38" s="243" t="n"/>
      <c r="W38" s="243" t="n"/>
      <c r="X38" s="245" t="n"/>
    </row>
    <row r="39" ht="18.75" customHeight="1" s="161">
      <c r="B39" s="246" t="inlineStr">
        <is>
          <t>(Unit : Currency)</t>
        </is>
      </c>
      <c r="C39" s="247" t="n">
        <v>0</v>
      </c>
      <c r="D39" s="248" t="n">
        <v>1</v>
      </c>
      <c r="E39" s="248" t="n">
        <v>2</v>
      </c>
      <c r="F39" s="248" t="n">
        <v>3</v>
      </c>
      <c r="G39" s="248" t="n">
        <v>4</v>
      </c>
      <c r="H39" s="248" t="n">
        <v>5</v>
      </c>
      <c r="I39" s="248" t="n">
        <v>6</v>
      </c>
      <c r="J39" s="248" t="n">
        <v>7</v>
      </c>
      <c r="K39" s="248" t="n">
        <v>8</v>
      </c>
      <c r="L39" s="248" t="n">
        <v>9</v>
      </c>
      <c r="M39" s="248" t="n">
        <v>10</v>
      </c>
      <c r="N39" s="248" t="n">
        <v>11</v>
      </c>
      <c r="O39" s="248" t="n">
        <v>12</v>
      </c>
      <c r="P39" s="248" t="n">
        <v>13</v>
      </c>
      <c r="Q39" s="248" t="n">
        <v>14</v>
      </c>
      <c r="R39" s="248" t="n">
        <v>15</v>
      </c>
      <c r="S39" s="248" t="n">
        <v>16</v>
      </c>
      <c r="T39" s="249" t="n">
        <v>17</v>
      </c>
      <c r="U39" s="248" t="n">
        <v>18</v>
      </c>
      <c r="V39" s="248" t="n">
        <v>19</v>
      </c>
      <c r="W39" s="248" t="n">
        <v>20</v>
      </c>
      <c r="X39" s="250" t="n"/>
    </row>
    <row r="40" ht="18.75" customHeight="1" s="161">
      <c r="B40" s="251" t="inlineStr">
        <is>
          <t>發電度數(KWH)</t>
        </is>
      </c>
      <c r="C40" s="252" t="n">
        <v>0</v>
      </c>
      <c r="D40" s="253">
        <f>$D$10*P1</f>
        <v/>
      </c>
      <c r="E40" s="253">
        <f>$D$10*Q1</f>
        <v/>
      </c>
      <c r="F40" s="253">
        <f>$D$10*R1</f>
        <v/>
      </c>
      <c r="G40" s="253">
        <f>$D$10*S1</f>
        <v/>
      </c>
      <c r="H40" s="253">
        <f>$D$10*T1</f>
        <v/>
      </c>
      <c r="I40" s="253">
        <f>$D$10*U1</f>
        <v/>
      </c>
      <c r="J40" s="253">
        <f>$D$10*V1</f>
        <v/>
      </c>
      <c r="K40" s="253">
        <f>$D$10*W1</f>
        <v/>
      </c>
      <c r="L40" s="253">
        <f>$D$10*X1</f>
        <v/>
      </c>
      <c r="M40" s="253">
        <f>$D$10*Y1</f>
        <v/>
      </c>
      <c r="N40" s="253">
        <f>$D$10*Z1</f>
        <v/>
      </c>
      <c r="O40" s="253">
        <f>$D$10*AA1</f>
        <v/>
      </c>
      <c r="P40" s="253">
        <f>$D$10*AB1</f>
        <v/>
      </c>
      <c r="Q40" s="253">
        <f>$D$10*AC1</f>
        <v/>
      </c>
      <c r="R40" s="253">
        <f>$D$10*AD1</f>
        <v/>
      </c>
      <c r="S40" s="253">
        <f>$D$10*AE1</f>
        <v/>
      </c>
      <c r="T40" s="253">
        <f>$D$10*AF1</f>
        <v/>
      </c>
      <c r="U40" s="253">
        <f>$D$10*AG1</f>
        <v/>
      </c>
      <c r="V40" s="253">
        <f>$D$10*AH1</f>
        <v/>
      </c>
      <c r="W40" s="253">
        <f>$D$10*AI1</f>
        <v/>
      </c>
      <c r="X40" s="254" t="n"/>
    </row>
    <row r="41" ht="18.75" customHeight="1" s="161">
      <c r="B41" s="255" t="inlineStr">
        <is>
          <t>Inflow : 電費收入</t>
        </is>
      </c>
      <c r="C41" s="256" t="inlineStr">
        <is>
          <t>-</t>
        </is>
      </c>
      <c r="D41" s="257">
        <f>D40*$D$13</f>
        <v/>
      </c>
      <c r="E41" s="257">
        <f>E40*$D$13</f>
        <v/>
      </c>
      <c r="F41" s="257">
        <f>F40*$D$13</f>
        <v/>
      </c>
      <c r="G41" s="257">
        <f>G40*$D$13</f>
        <v/>
      </c>
      <c r="H41" s="257">
        <f>H40*$D$13</f>
        <v/>
      </c>
      <c r="I41" s="257">
        <f>I40*$D$13</f>
        <v/>
      </c>
      <c r="J41" s="257">
        <f>J40*$D$13</f>
        <v/>
      </c>
      <c r="K41" s="257">
        <f>K40*$D$13</f>
        <v/>
      </c>
      <c r="L41" s="257">
        <f>L40*$D$13</f>
        <v/>
      </c>
      <c r="M41" s="257">
        <f>M40*$D$13</f>
        <v/>
      </c>
      <c r="N41" s="257">
        <f>N40*$D$13</f>
        <v/>
      </c>
      <c r="O41" s="257">
        <f>O40*$D$13</f>
        <v/>
      </c>
      <c r="P41" s="257">
        <f>P40*$D$13</f>
        <v/>
      </c>
      <c r="Q41" s="257">
        <f>Q40*$D$13</f>
        <v/>
      </c>
      <c r="R41" s="257">
        <f>R40*$D$13</f>
        <v/>
      </c>
      <c r="S41" s="257">
        <f>S40*$D$13</f>
        <v/>
      </c>
      <c r="T41" s="257">
        <f>T40*$D$13</f>
        <v/>
      </c>
      <c r="U41" s="257">
        <f>U40*$D$13</f>
        <v/>
      </c>
      <c r="V41" s="257">
        <f>V40*$D$13</f>
        <v/>
      </c>
      <c r="W41" s="257">
        <f>W40*$D$13</f>
        <v/>
      </c>
      <c r="X41" s="258" t="n"/>
    </row>
    <row r="42" ht="18.75" customHeight="1" s="161">
      <c r="B42" s="259" t="inlineStr">
        <is>
          <t>Inflow : 政府補助</t>
        </is>
      </c>
      <c r="C42" s="260" t="inlineStr">
        <is>
          <t>-</t>
        </is>
      </c>
      <c r="D42" s="261" t="n"/>
      <c r="E42" s="261" t="n"/>
      <c r="F42" s="261" t="n"/>
      <c r="G42" s="262" t="inlineStr">
        <is>
          <t>-</t>
        </is>
      </c>
      <c r="H42" s="262" t="inlineStr">
        <is>
          <t>-</t>
        </is>
      </c>
      <c r="I42" s="262" t="inlineStr">
        <is>
          <t>-</t>
        </is>
      </c>
      <c r="J42" s="262" t="inlineStr">
        <is>
          <t>-</t>
        </is>
      </c>
      <c r="K42" s="262" t="inlineStr">
        <is>
          <t>-</t>
        </is>
      </c>
      <c r="L42" s="262" t="inlineStr">
        <is>
          <t>-</t>
        </is>
      </c>
      <c r="M42" s="262" t="inlineStr">
        <is>
          <t>-</t>
        </is>
      </c>
      <c r="N42" s="262" t="inlineStr">
        <is>
          <t>-</t>
        </is>
      </c>
      <c r="O42" s="262" t="inlineStr">
        <is>
          <t>-</t>
        </is>
      </c>
      <c r="P42" s="262" t="inlineStr">
        <is>
          <t>-</t>
        </is>
      </c>
      <c r="Q42" s="262" t="inlineStr">
        <is>
          <t>-</t>
        </is>
      </c>
      <c r="R42" s="262" t="inlineStr">
        <is>
          <t>-</t>
        </is>
      </c>
      <c r="S42" s="262" t="inlineStr">
        <is>
          <t>-</t>
        </is>
      </c>
      <c r="T42" s="262" t="inlineStr">
        <is>
          <t>-</t>
        </is>
      </c>
      <c r="U42" s="262" t="inlineStr">
        <is>
          <t>-</t>
        </is>
      </c>
      <c r="V42" s="262" t="inlineStr">
        <is>
          <t>-</t>
        </is>
      </c>
      <c r="W42" s="262" t="inlineStr">
        <is>
          <t>-</t>
        </is>
      </c>
      <c r="X42" s="263" t="n"/>
    </row>
    <row r="43" ht="18.75" customHeight="1" s="161">
      <c r="B43" s="264" t="inlineStr">
        <is>
          <t>Inflow : 銀行借款</t>
        </is>
      </c>
      <c r="C43" s="265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6" t="n"/>
      <c r="S43" s="266" t="n"/>
      <c r="T43" s="266" t="n"/>
      <c r="U43" s="266" t="n"/>
      <c r="V43" s="266" t="n"/>
      <c r="W43" s="266" t="n"/>
      <c r="X43" s="267" t="n"/>
    </row>
    <row r="44" ht="18.75" customHeight="1" s="161">
      <c r="B44" s="268" t="inlineStr">
        <is>
          <t>Outflow : 設備費用</t>
        </is>
      </c>
      <c r="C44" s="269">
        <f>-(D16/(1-D17)+D18)*C4</f>
        <v/>
      </c>
      <c r="D44" s="270" t="n"/>
      <c r="E44" s="270" t="n"/>
      <c r="F44" s="270" t="n"/>
      <c r="G44" s="270" t="n"/>
      <c r="H44" s="270" t="n"/>
      <c r="I44" s="270" t="n"/>
      <c r="J44" s="270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</row>
    <row r="45" ht="18.75" customHeight="1" s="161">
      <c r="B45" s="268" t="inlineStr">
        <is>
          <t>Outflow : 設備放置區域租金</t>
        </is>
      </c>
      <c r="C45" s="260" t="inlineStr">
        <is>
          <t>-</t>
        </is>
      </c>
      <c r="D45" s="160" t="n">
        <v>-290201</v>
      </c>
      <c r="E45" s="270" t="n">
        <v>-290201</v>
      </c>
      <c r="F45" s="270" t="n">
        <v>-290201</v>
      </c>
      <c r="G45" s="270" t="n">
        <v>-290201</v>
      </c>
      <c r="H45" s="270" t="n">
        <v>-290201</v>
      </c>
      <c r="I45" s="270" t="n">
        <v>-290201</v>
      </c>
      <c r="J45" s="270" t="n">
        <v>-290201</v>
      </c>
      <c r="K45" s="270" t="n">
        <v>-290201</v>
      </c>
      <c r="L45" s="270" t="n">
        <v>-290201</v>
      </c>
      <c r="M45" s="270" t="n">
        <v>-290201</v>
      </c>
      <c r="N45" s="270" t="n">
        <v>-290201</v>
      </c>
      <c r="O45" s="270" t="n">
        <v>-290201</v>
      </c>
      <c r="P45" s="270" t="n">
        <v>-290201</v>
      </c>
      <c r="Q45" s="270" t="n">
        <v>-290201</v>
      </c>
      <c r="R45" s="270" t="n">
        <v>-290201</v>
      </c>
      <c r="S45" s="270" t="n">
        <v>-290201</v>
      </c>
      <c r="T45" s="270" t="n">
        <v>-290201</v>
      </c>
      <c r="U45" s="270" t="n">
        <v>-290201</v>
      </c>
      <c r="V45" s="270" t="n">
        <v>-290201</v>
      </c>
      <c r="W45" s="270" t="n">
        <v>-290201</v>
      </c>
      <c r="X45" s="270" t="n"/>
    </row>
    <row r="46" ht="18.75" customHeight="1" s="161">
      <c r="B46" s="268" t="inlineStr">
        <is>
          <t>Outflow : 返還借款</t>
        </is>
      </c>
      <c r="C46" s="260" t="n"/>
      <c r="D46" s="270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</row>
    <row r="47" ht="18.75" customHeight="1" s="161">
      <c r="B47" s="268" t="inlineStr">
        <is>
          <t>Outflow : 利息費用</t>
        </is>
      </c>
      <c r="C47" s="260" t="inlineStr">
        <is>
          <t>-</t>
        </is>
      </c>
      <c r="D47" s="270" t="n"/>
      <c r="E47" s="270" t="n"/>
      <c r="F47" s="270" t="n"/>
      <c r="G47" s="270" t="n"/>
      <c r="H47" s="270" t="n"/>
      <c r="I47" s="270" t="n"/>
      <c r="J47" s="270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</row>
    <row r="48" ht="18.75" customHeight="1" s="161">
      <c r="B48" s="268" t="inlineStr">
        <is>
          <t>Outflow : 維運費</t>
        </is>
      </c>
      <c r="C48" s="260" t="inlineStr">
        <is>
          <t>-</t>
        </is>
      </c>
      <c r="D48" s="270" t="n">
        <v>-174440</v>
      </c>
      <c r="E48" s="270" t="n">
        <v>-174440</v>
      </c>
      <c r="F48" s="270" t="n">
        <v>-174440</v>
      </c>
      <c r="G48" s="270" t="n">
        <v>-174440</v>
      </c>
      <c r="H48" s="270" t="n">
        <v>-174440</v>
      </c>
      <c r="I48" s="270" t="n">
        <v>-174440</v>
      </c>
      <c r="J48" s="270" t="n">
        <v>-174440</v>
      </c>
      <c r="K48" s="270" t="n">
        <v>-174440</v>
      </c>
      <c r="L48" s="270" t="n">
        <v>-174440</v>
      </c>
      <c r="M48" s="270" t="n">
        <v>-174440</v>
      </c>
      <c r="N48" s="270" t="n">
        <v>-174440</v>
      </c>
      <c r="O48" s="270" t="n">
        <v>-174440</v>
      </c>
      <c r="P48" s="270" t="n">
        <v>-174440</v>
      </c>
      <c r="Q48" s="270" t="n">
        <v>-174440</v>
      </c>
      <c r="R48" s="270" t="n">
        <v>-174440</v>
      </c>
      <c r="S48" s="270" t="n">
        <v>-174440</v>
      </c>
      <c r="T48" s="270" t="n">
        <v>-174440</v>
      </c>
      <c r="U48" s="270" t="n">
        <v>-174440</v>
      </c>
      <c r="V48" s="270" t="n">
        <v>-174440</v>
      </c>
      <c r="W48" s="270" t="n">
        <v>-174440</v>
      </c>
      <c r="X48" s="270" t="n"/>
    </row>
    <row r="49" ht="18.75" customHeight="1" s="161">
      <c r="B49" s="268" t="inlineStr">
        <is>
          <t>Outflow : 保險費</t>
        </is>
      </c>
      <c r="C49" s="260" t="inlineStr">
        <is>
          <t>-</t>
        </is>
      </c>
      <c r="D49" s="270" t="n">
        <v>-31399.2</v>
      </c>
      <c r="E49" s="270" t="n">
        <v>-31399.2</v>
      </c>
      <c r="F49" s="270" t="n">
        <v>-31399.2</v>
      </c>
      <c r="G49" s="270" t="n">
        <v>-31399.2</v>
      </c>
      <c r="H49" s="270" t="n">
        <v>-31399.2</v>
      </c>
      <c r="I49" s="270" t="n">
        <v>-31399.2</v>
      </c>
      <c r="J49" s="270" t="n">
        <v>-31399.2</v>
      </c>
      <c r="K49" s="270" t="n">
        <v>-31399.2</v>
      </c>
      <c r="L49" s="270" t="n">
        <v>-31399.2</v>
      </c>
      <c r="M49" s="270" t="n">
        <v>-31399.2</v>
      </c>
      <c r="N49" s="270" t="n">
        <v>-31399.2</v>
      </c>
      <c r="O49" s="270" t="n">
        <v>-31399.2</v>
      </c>
      <c r="P49" s="270" t="n">
        <v>-31399.2</v>
      </c>
      <c r="Q49" s="270" t="n">
        <v>-31399.2</v>
      </c>
      <c r="R49" s="270" t="n">
        <v>-31399.2</v>
      </c>
      <c r="S49" s="270" t="n">
        <v>-31399.2</v>
      </c>
      <c r="T49" s="270" t="n">
        <v>-31399.2</v>
      </c>
      <c r="U49" s="270" t="n">
        <v>-31399.2</v>
      </c>
      <c r="V49" s="270" t="n">
        <v>-31399.2</v>
      </c>
      <c r="W49" s="270" t="n">
        <v>-31399.2</v>
      </c>
      <c r="X49" s="270" t="n"/>
    </row>
    <row r="50" ht="18.75" customHeight="1" s="161">
      <c r="B50" s="268" t="inlineStr">
        <is>
          <t>Outflow : 模組回收費</t>
        </is>
      </c>
      <c r="C50" s="260" t="n"/>
      <c r="D50" s="270" t="n">
        <v>-43610</v>
      </c>
      <c r="E50" s="270" t="n">
        <v>-43610</v>
      </c>
      <c r="F50" s="270" t="n">
        <v>-43610</v>
      </c>
      <c r="G50" s="270" t="n">
        <v>-43610</v>
      </c>
      <c r="H50" s="270" t="n">
        <v>-43610</v>
      </c>
      <c r="I50" s="270" t="n">
        <v>-43610</v>
      </c>
      <c r="J50" s="270" t="n">
        <v>-43610</v>
      </c>
      <c r="K50" s="270" t="n">
        <v>-43610</v>
      </c>
      <c r="L50" s="270" t="n">
        <v>-43610</v>
      </c>
      <c r="M50" s="270" t="n">
        <v>-43610</v>
      </c>
      <c r="N50" s="270" t="n">
        <v>0</v>
      </c>
      <c r="O50" s="270" t="n">
        <v>0</v>
      </c>
      <c r="P50" s="270" t="n">
        <v>0</v>
      </c>
      <c r="Q50" s="270" t="n">
        <v>0</v>
      </c>
      <c r="R50" s="270" t="n">
        <v>0</v>
      </c>
      <c r="S50" s="270" t="n">
        <v>0</v>
      </c>
      <c r="T50" s="270" t="n">
        <v>0</v>
      </c>
      <c r="U50" s="270" t="n">
        <v>0</v>
      </c>
      <c r="V50" s="270" t="n">
        <v>0</v>
      </c>
      <c r="W50" s="270" t="n">
        <v>0</v>
      </c>
      <c r="X50" s="270" t="n"/>
    </row>
    <row r="51" ht="18.75" customHeight="1" s="161">
      <c r="B51" s="268" t="inlineStr">
        <is>
          <t>Outflow : 其它費用(人事薪資…等)</t>
        </is>
      </c>
      <c r="C51" s="271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</row>
    <row r="52" ht="18.75" customHeight="1" s="161">
      <c r="B52" s="268" t="inlineStr">
        <is>
          <t>1%管理費</t>
        </is>
      </c>
      <c r="C52" s="271" t="n"/>
      <c r="D52" s="270" t="n"/>
      <c r="E52" s="270" t="n"/>
      <c r="F52" s="270" t="n"/>
      <c r="G52" s="270" t="n"/>
      <c r="H52" s="270" t="n"/>
      <c r="I52" s="270" t="n"/>
      <c r="J52" s="270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</row>
    <row r="53" ht="18.75" customHeight="1" s="161">
      <c r="B53" s="272" t="inlineStr">
        <is>
          <t>績效獎金</t>
        </is>
      </c>
      <c r="C53" s="271" t="n"/>
      <c r="D53" s="270" t="n"/>
      <c r="E53" s="270" t="n"/>
      <c r="F53" s="270" t="n"/>
      <c r="G53" s="270" t="n"/>
      <c r="H53" s="270" t="n"/>
      <c r="I53" s="270" t="n"/>
      <c r="J53" s="270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</row>
    <row r="54" ht="18.75" customHeight="1" s="161">
      <c r="B54" s="272" t="inlineStr">
        <is>
          <t>所得稅20%</t>
        </is>
      </c>
      <c r="C54" s="271" t="n"/>
      <c r="D54" s="270">
        <f>-(D64+D67+D68+D71+D72+D73+D74)*0.2</f>
        <v/>
      </c>
      <c r="E54" s="270">
        <f>-(E64+E67+E68+E71+E72+E73+E74)*0.2</f>
        <v/>
      </c>
      <c r="F54" s="270">
        <f>-(F64+F67+F68+F71+F72+F73+F74)*0.2</f>
        <v/>
      </c>
      <c r="G54" s="270">
        <f>-(G64+G67+G68+G71+G72+G73+G74)*0.2</f>
        <v/>
      </c>
      <c r="H54" s="270">
        <f>-(H64+H67+H68+H71+H72+H73+H74)*0.2</f>
        <v/>
      </c>
      <c r="I54" s="270">
        <f>-(I64+I67+I68+I71+I72+I73+I74)*0.2</f>
        <v/>
      </c>
      <c r="J54" s="270">
        <f>-(J64+J67+J68+J71+J72+J73+J74)*0.2</f>
        <v/>
      </c>
      <c r="K54" s="270">
        <f>-(K64+K67+K68+K71+K72+K73+K74)*0.2</f>
        <v/>
      </c>
      <c r="L54" s="270">
        <f>-(L64+L67+L68+L71+L72+L73+L74)*0.2</f>
        <v/>
      </c>
      <c r="M54" s="270">
        <f>-(M64+M67+M68+M71+M72+M73+M74)*0.2</f>
        <v/>
      </c>
      <c r="N54" s="270">
        <f>-(N64+N67+N68+N71+N72+N73+N74)*0.2</f>
        <v/>
      </c>
      <c r="O54" s="270">
        <f>-(O64+O67+O68+O71+O72+O73+O74)*0.2</f>
        <v/>
      </c>
      <c r="P54" s="270">
        <f>-(P64+P67+P68+P71+P72+P73+P74)*0.2</f>
        <v/>
      </c>
      <c r="Q54" s="270">
        <f>-(Q64+Q67+Q68+Q71+Q72+Q73+Q74)*0.2</f>
        <v/>
      </c>
      <c r="R54" s="270">
        <f>-(R64+R67+R68+R71+R72+R73+R74)*0.2</f>
        <v/>
      </c>
      <c r="S54" s="270">
        <f>-(S64+S67+S68+S71+S72+S73+S74)*0.2</f>
        <v/>
      </c>
      <c r="T54" s="270">
        <f>-(T64+T67+T68+T71+T72+T73+T74)*0.2</f>
        <v/>
      </c>
      <c r="U54" s="270">
        <f>-(U64+U67+U68+U71+U72+U73+U74)*0.2</f>
        <v/>
      </c>
      <c r="V54" s="270">
        <f>-(V64+V67+V68+V71+V72+V73+V74)*0.2</f>
        <v/>
      </c>
      <c r="W54" s="270">
        <f>-(W64+W67+W68+W71+W72+W73+W74)*0.2</f>
        <v/>
      </c>
      <c r="X54" s="261" t="n"/>
    </row>
    <row r="55" ht="18.75" customHeight="1" s="161">
      <c r="B55" s="273" t="inlineStr">
        <is>
          <t>現金流</t>
        </is>
      </c>
      <c r="C55" s="274">
        <f>C44</f>
        <v/>
      </c>
      <c r="D55" s="275">
        <f>SUM(D41:D54)</f>
        <v/>
      </c>
      <c r="E55" s="275">
        <f>SUM(E41:E54)</f>
        <v/>
      </c>
      <c r="F55" s="275">
        <f>SUM(F41:F54)</f>
        <v/>
      </c>
      <c r="G55" s="275">
        <f>SUM(G41:G54)</f>
        <v/>
      </c>
      <c r="H55" s="275">
        <f>SUM(H41:H54)</f>
        <v/>
      </c>
      <c r="I55" s="275">
        <f>SUM(I41:I54)</f>
        <v/>
      </c>
      <c r="J55" s="275">
        <f>SUM(J41:J54)</f>
        <v/>
      </c>
      <c r="K55" s="275">
        <f>SUM(K41:K54)</f>
        <v/>
      </c>
      <c r="L55" s="275">
        <f>SUM(L41:L54)</f>
        <v/>
      </c>
      <c r="M55" s="275">
        <f>SUM(M41:M54)</f>
        <v/>
      </c>
      <c r="N55" s="275">
        <f>SUM(N41:N54)</f>
        <v/>
      </c>
      <c r="O55" s="275">
        <f>SUM(O41:O54)</f>
        <v/>
      </c>
      <c r="P55" s="275">
        <f>SUM(P41:P54)</f>
        <v/>
      </c>
      <c r="Q55" s="275">
        <f>SUM(Q41:Q54)</f>
        <v/>
      </c>
      <c r="R55" s="275">
        <f>SUM(R41:R54)</f>
        <v/>
      </c>
      <c r="S55" s="275">
        <f>SUM(S41:S54)</f>
        <v/>
      </c>
      <c r="T55" s="275">
        <f>SUM(T41:T54)</f>
        <v/>
      </c>
      <c r="U55" s="275">
        <f>SUM(U41:U54)</f>
        <v/>
      </c>
      <c r="V55" s="275">
        <f>SUM(V41:V54)</f>
        <v/>
      </c>
      <c r="W55" s="275">
        <f>SUM(W41:W54)</f>
        <v/>
      </c>
      <c r="X55" s="276" t="n"/>
      <c r="Y55" s="277" t="n"/>
      <c r="Z55" s="278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</row>
    <row r="56" ht="18.75" customHeight="1" s="161">
      <c r="B56" s="279" t="inlineStr">
        <is>
          <t>累計現金流</t>
        </is>
      </c>
      <c r="D56" s="280">
        <f>C55+D55</f>
        <v/>
      </c>
      <c r="E56" s="280">
        <f>D56+E55</f>
        <v/>
      </c>
      <c r="F56" s="280">
        <f>E56+F55</f>
        <v/>
      </c>
      <c r="G56" s="280">
        <f>F56+G55</f>
        <v/>
      </c>
      <c r="H56" s="280">
        <f>G56+H55</f>
        <v/>
      </c>
      <c r="I56" s="280">
        <f>H56+I55</f>
        <v/>
      </c>
      <c r="J56" s="280">
        <f>I56+J55</f>
        <v/>
      </c>
      <c r="K56" s="280">
        <f>J56+K55</f>
        <v/>
      </c>
      <c r="L56" s="280">
        <f>K56+L55</f>
        <v/>
      </c>
      <c r="M56" s="280">
        <f>L56+M55</f>
        <v/>
      </c>
      <c r="N56" s="280">
        <f>M56+N55</f>
        <v/>
      </c>
      <c r="O56" s="280">
        <f>N56+O55</f>
        <v/>
      </c>
      <c r="P56" s="280">
        <f>O56+P55</f>
        <v/>
      </c>
      <c r="Q56" s="280">
        <f>P56+Q55</f>
        <v/>
      </c>
      <c r="R56" s="280">
        <f>Q56+R55</f>
        <v/>
      </c>
      <c r="S56" s="280">
        <f>R56+S55</f>
        <v/>
      </c>
      <c r="T56" s="280">
        <f>S56+T55</f>
        <v/>
      </c>
      <c r="U56" s="280">
        <f>T56+U55</f>
        <v/>
      </c>
      <c r="V56" s="280">
        <f>U56+V55</f>
        <v/>
      </c>
      <c r="W56" s="280">
        <f>V56+W55</f>
        <v/>
      </c>
      <c r="X56" s="280">
        <f>W56+X55</f>
        <v/>
      </c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</row>
    <row r="57" ht="18.75" customHeight="1" s="161">
      <c r="B57" s="281" t="inlineStr">
        <is>
          <t>回收年限評估</t>
        </is>
      </c>
      <c r="C57" s="282" t="n"/>
      <c r="D57" s="283">
        <f>IF((D56)&gt;0,"回收","未回收")</f>
        <v/>
      </c>
      <c r="E57" s="284">
        <f>IF((E56)&gt;0,"回收","未回收")</f>
        <v/>
      </c>
      <c r="F57" s="284">
        <f>IF((F56)&gt;0,"回收","未回收")</f>
        <v/>
      </c>
      <c r="G57" s="284">
        <f>IF((G56)&gt;0,"回收","未回收")</f>
        <v/>
      </c>
      <c r="H57" s="284">
        <f>IF((H56)&gt;0,"回收","未回收")</f>
        <v/>
      </c>
      <c r="I57" s="284">
        <f>IF((I56)&gt;0,"回收","未回收")</f>
        <v/>
      </c>
      <c r="J57" s="284">
        <f>IF((J56)&gt;0,"回收","未回收")</f>
        <v/>
      </c>
      <c r="K57" s="284">
        <f>IF((K56)&gt;0,"回收","未回收")</f>
        <v/>
      </c>
      <c r="L57" s="284">
        <f>IF((L56)&gt;0,"回收","未回收")</f>
        <v/>
      </c>
      <c r="M57" s="284">
        <f>IF((M56)&gt;0,"回收","未回收")</f>
        <v/>
      </c>
      <c r="N57" s="284">
        <f>IF((N56)&gt;0,"回收","未回收")</f>
        <v/>
      </c>
      <c r="O57" s="284">
        <f>IF((O56)&gt;0,"回收","未回收")</f>
        <v/>
      </c>
      <c r="P57" s="284">
        <f>IF((P56)&gt;0,"回收","未回收")</f>
        <v/>
      </c>
      <c r="Q57" s="284">
        <f>IF((Q56)&gt;0,"回收","未回收")</f>
        <v/>
      </c>
      <c r="R57" s="284">
        <f>IF((R56)&gt;0,"回收","未回收")</f>
        <v/>
      </c>
      <c r="S57" s="284">
        <f>IF((S56)&gt;0,"回收","未回收")</f>
        <v/>
      </c>
      <c r="T57" s="284">
        <f>IF((T56)&gt;0,"回收","未回收")</f>
        <v/>
      </c>
      <c r="U57" s="284">
        <f>IF((U56)&gt;0,"回收","未回收")</f>
        <v/>
      </c>
      <c r="V57" s="284">
        <f>IF((V56)&gt;0,"回收","未回收")</f>
        <v/>
      </c>
      <c r="W57" s="284">
        <f>IF((W56)&gt;0,"回收","未回收")</f>
        <v/>
      </c>
      <c r="X57" s="284">
        <f>IF((X56)&gt;0,"回收","未回收")</f>
        <v/>
      </c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</row>
    <row r="58" ht="18.75" customHeight="1" s="161">
      <c r="B58" s="285" t="inlineStr">
        <is>
          <t>專案法IRR</t>
        </is>
      </c>
      <c r="C58" s="286">
        <f>IRR(C55:W55)</f>
        <v/>
      </c>
      <c r="D58" s="287" t="n"/>
      <c r="E58" s="287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</row>
    <row r="59" ht="18.75" customHeight="1" s="161">
      <c r="B59" s="288" t="n"/>
      <c r="C59" s="287" t="n"/>
      <c r="D59" s="287" t="n"/>
      <c r="E59" s="287" t="n"/>
      <c r="F59" s="288" t="n"/>
      <c r="G59" s="288" t="n"/>
      <c r="H59" s="288" t="n"/>
      <c r="I59" s="288" t="n"/>
      <c r="J59" s="288" t="n"/>
      <c r="K59" s="288" t="n"/>
      <c r="L59" s="288" t="n"/>
      <c r="M59" s="287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</row>
    <row r="60" ht="18.75" customHeight="1" s="161">
      <c r="B60" s="237" t="n"/>
      <c r="C60" s="238" t="inlineStr">
        <is>
          <t>年份</t>
        </is>
      </c>
      <c r="D60" s="238">
        <f>D37</f>
        <v/>
      </c>
      <c r="E60" s="238">
        <f>E37</f>
        <v/>
      </c>
      <c r="F60" s="238">
        <f>F37</f>
        <v/>
      </c>
      <c r="G60" s="238">
        <f>G37</f>
        <v/>
      </c>
      <c r="H60" s="238">
        <f>H37</f>
        <v/>
      </c>
      <c r="I60" s="238">
        <f>I37</f>
        <v/>
      </c>
      <c r="J60" s="238">
        <f>J37</f>
        <v/>
      </c>
      <c r="K60" s="238">
        <f>K37</f>
        <v/>
      </c>
      <c r="L60" s="238">
        <f>L37</f>
        <v/>
      </c>
      <c r="M60" s="238">
        <f>M37</f>
        <v/>
      </c>
      <c r="N60" s="238">
        <f>N37</f>
        <v/>
      </c>
      <c r="O60" s="238">
        <f>O37</f>
        <v/>
      </c>
      <c r="P60" s="238">
        <f>P37</f>
        <v/>
      </c>
      <c r="Q60" s="238">
        <f>Q37</f>
        <v/>
      </c>
      <c r="R60" s="238">
        <f>R37</f>
        <v/>
      </c>
      <c r="S60" s="238">
        <f>S37</f>
        <v/>
      </c>
      <c r="T60" s="238">
        <f>T37</f>
        <v/>
      </c>
      <c r="U60" s="238">
        <f>U37</f>
        <v/>
      </c>
      <c r="V60" s="238">
        <f>V37</f>
        <v/>
      </c>
      <c r="W60" s="238">
        <f>W37</f>
        <v/>
      </c>
      <c r="X60" s="238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</row>
    <row r="61" ht="18.75" customHeight="1" s="161">
      <c r="B61" s="239" t="n">
        <v>0</v>
      </c>
      <c r="C61" s="240" t="n"/>
      <c r="D61" s="241" t="n"/>
      <c r="E61" s="241" t="n"/>
      <c r="F61" s="242" t="n"/>
      <c r="G61" s="243" t="n"/>
      <c r="H61" s="243" t="n"/>
      <c r="I61" s="243" t="n"/>
      <c r="J61" s="243" t="n"/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91" t="inlineStr">
        <is>
          <t>償還年限</t>
        </is>
      </c>
      <c r="U61" s="243" t="n"/>
      <c r="V61" s="243" t="n"/>
      <c r="W61" s="243" t="n"/>
      <c r="X61" s="245" t="n"/>
    </row>
    <row r="62" ht="18.75" customHeight="1" s="161">
      <c r="B62" s="246" t="inlineStr">
        <is>
          <t>(Unit : Currency)</t>
        </is>
      </c>
      <c r="C62" s="247" t="n">
        <v>0</v>
      </c>
      <c r="D62" s="248" t="n">
        <v>1</v>
      </c>
      <c r="E62" s="248" t="n">
        <v>2</v>
      </c>
      <c r="F62" s="248" t="n">
        <v>3</v>
      </c>
      <c r="G62" s="248" t="n">
        <v>4</v>
      </c>
      <c r="H62" s="248" t="n">
        <v>5</v>
      </c>
      <c r="I62" s="248" t="n">
        <v>6</v>
      </c>
      <c r="J62" s="248" t="n">
        <v>7</v>
      </c>
      <c r="K62" s="248" t="n">
        <v>8</v>
      </c>
      <c r="L62" s="248" t="n">
        <v>9</v>
      </c>
      <c r="M62" s="248" t="n">
        <v>10</v>
      </c>
      <c r="N62" s="248" t="n">
        <v>11</v>
      </c>
      <c r="O62" s="248" t="n">
        <v>12</v>
      </c>
      <c r="P62" s="248" t="n">
        <v>13</v>
      </c>
      <c r="Q62" s="248" t="n">
        <v>14</v>
      </c>
      <c r="R62" s="248" t="n">
        <v>15</v>
      </c>
      <c r="S62" s="248" t="n">
        <v>16</v>
      </c>
      <c r="T62" s="292" t="n">
        <v>17</v>
      </c>
      <c r="U62" s="248" t="n">
        <v>18</v>
      </c>
      <c r="V62" s="248" t="n">
        <v>19</v>
      </c>
      <c r="W62" s="248" t="n">
        <v>20</v>
      </c>
      <c r="X62" s="250" t="n"/>
    </row>
    <row r="63" ht="18.75" customHeight="1" s="161">
      <c r="B63" s="251" t="inlineStr">
        <is>
          <t>發電度數(KWH)</t>
        </is>
      </c>
      <c r="C63" s="252" t="n">
        <v>0</v>
      </c>
      <c r="D63" s="253">
        <f>D40</f>
        <v/>
      </c>
      <c r="E63" s="253">
        <f>E40</f>
        <v/>
      </c>
      <c r="F63" s="253">
        <f>F40</f>
        <v/>
      </c>
      <c r="G63" s="253">
        <f>G40</f>
        <v/>
      </c>
      <c r="H63" s="253">
        <f>H40</f>
        <v/>
      </c>
      <c r="I63" s="253">
        <f>I40</f>
        <v/>
      </c>
      <c r="J63" s="253">
        <f>J40</f>
        <v/>
      </c>
      <c r="K63" s="253">
        <f>K40</f>
        <v/>
      </c>
      <c r="L63" s="253">
        <f>L40</f>
        <v/>
      </c>
      <c r="M63" s="253">
        <f>M40</f>
        <v/>
      </c>
      <c r="N63" s="253">
        <f>N40</f>
        <v/>
      </c>
      <c r="O63" s="253">
        <f>O40</f>
        <v/>
      </c>
      <c r="P63" s="253">
        <f>P40</f>
        <v/>
      </c>
      <c r="Q63" s="253">
        <f>Q40</f>
        <v/>
      </c>
      <c r="R63" s="253">
        <f>R40</f>
        <v/>
      </c>
      <c r="S63" s="253">
        <f>S40</f>
        <v/>
      </c>
      <c r="T63" s="253">
        <f>T40</f>
        <v/>
      </c>
      <c r="U63" s="253">
        <f>U40</f>
        <v/>
      </c>
      <c r="V63" s="253">
        <f>V40</f>
        <v/>
      </c>
      <c r="W63" s="253">
        <f>W40</f>
        <v/>
      </c>
      <c r="X63" s="254" t="n"/>
    </row>
    <row r="64" ht="18.75" customHeight="1" s="161">
      <c r="B64" s="255" t="inlineStr">
        <is>
          <t>Inflow : 電費收入</t>
        </is>
      </c>
      <c r="C64" s="256" t="inlineStr">
        <is>
          <t>-</t>
        </is>
      </c>
      <c r="D64" s="257">
        <f>D41</f>
        <v/>
      </c>
      <c r="E64" s="257">
        <f>E41</f>
        <v/>
      </c>
      <c r="F64" s="257">
        <f>F41</f>
        <v/>
      </c>
      <c r="G64" s="257">
        <f>G41</f>
        <v/>
      </c>
      <c r="H64" s="257">
        <f>H41</f>
        <v/>
      </c>
      <c r="I64" s="257">
        <f>I41</f>
        <v/>
      </c>
      <c r="J64" s="257">
        <f>J41</f>
        <v/>
      </c>
      <c r="K64" s="257">
        <f>K41</f>
        <v/>
      </c>
      <c r="L64" s="257">
        <f>L41</f>
        <v/>
      </c>
      <c r="M64" s="257">
        <f>M41</f>
        <v/>
      </c>
      <c r="N64" s="257">
        <f>N41</f>
        <v/>
      </c>
      <c r="O64" s="257">
        <f>O41</f>
        <v/>
      </c>
      <c r="P64" s="257">
        <f>P41</f>
        <v/>
      </c>
      <c r="Q64" s="257">
        <f>Q41</f>
        <v/>
      </c>
      <c r="R64" s="257">
        <f>R41</f>
        <v/>
      </c>
      <c r="S64" s="257">
        <f>S41</f>
        <v/>
      </c>
      <c r="T64" s="257">
        <f>T41</f>
        <v/>
      </c>
      <c r="U64" s="257">
        <f>U41</f>
        <v/>
      </c>
      <c r="V64" s="257">
        <f>V41</f>
        <v/>
      </c>
      <c r="W64" s="257">
        <f>W41</f>
        <v/>
      </c>
      <c r="X64" s="258" t="n"/>
    </row>
    <row r="65" ht="18.75" customHeight="1" s="161">
      <c r="B65" s="259" t="inlineStr">
        <is>
          <t>Inflow : 政府補助</t>
        </is>
      </c>
      <c r="C65" s="260" t="inlineStr">
        <is>
          <t>-</t>
        </is>
      </c>
      <c r="D65" s="261" t="n"/>
      <c r="E65" s="261" t="n"/>
      <c r="F65" s="261" t="n"/>
      <c r="G65" s="262" t="inlineStr">
        <is>
          <t>-</t>
        </is>
      </c>
      <c r="H65" s="262" t="inlineStr">
        <is>
          <t>-</t>
        </is>
      </c>
      <c r="I65" s="262" t="inlineStr">
        <is>
          <t>-</t>
        </is>
      </c>
      <c r="J65" s="262" t="inlineStr">
        <is>
          <t>-</t>
        </is>
      </c>
      <c r="K65" s="262" t="inlineStr">
        <is>
          <t>-</t>
        </is>
      </c>
      <c r="L65" s="262" t="inlineStr">
        <is>
          <t>-</t>
        </is>
      </c>
      <c r="M65" s="262" t="inlineStr">
        <is>
          <t>-</t>
        </is>
      </c>
      <c r="N65" s="262" t="inlineStr">
        <is>
          <t>-</t>
        </is>
      </c>
      <c r="O65" s="262" t="inlineStr">
        <is>
          <t>-</t>
        </is>
      </c>
      <c r="P65" s="262" t="inlineStr">
        <is>
          <t>-</t>
        </is>
      </c>
      <c r="Q65" s="262" t="inlineStr">
        <is>
          <t>-</t>
        </is>
      </c>
      <c r="R65" s="262" t="inlineStr">
        <is>
          <t>-</t>
        </is>
      </c>
      <c r="S65" s="262" t="inlineStr">
        <is>
          <t>-</t>
        </is>
      </c>
      <c r="T65" s="262" t="inlineStr">
        <is>
          <t>-</t>
        </is>
      </c>
      <c r="U65" s="262" t="inlineStr">
        <is>
          <t>-</t>
        </is>
      </c>
      <c r="V65" s="262" t="inlineStr">
        <is>
          <t>-</t>
        </is>
      </c>
      <c r="W65" s="262" t="inlineStr">
        <is>
          <t>-</t>
        </is>
      </c>
      <c r="X65" s="263" t="n"/>
    </row>
    <row r="66" ht="18.75" customHeight="1" s="161">
      <c r="B66" s="264" t="inlineStr">
        <is>
          <t>Inflow : 銀行借款</t>
        </is>
      </c>
      <c r="C66" s="265" t="n"/>
      <c r="D66" s="266" t="n"/>
      <c r="E66" s="266" t="n"/>
      <c r="F66" s="266" t="n"/>
      <c r="G66" s="266" t="n"/>
      <c r="H66" s="266" t="n"/>
      <c r="I66" s="266" t="n"/>
      <c r="J66" s="266" t="n"/>
      <c r="K66" s="266" t="n"/>
      <c r="L66" s="266" t="n"/>
      <c r="M66" s="266" t="n"/>
      <c r="N66" s="266" t="n"/>
      <c r="O66" s="266" t="n"/>
      <c r="P66" s="266" t="n"/>
      <c r="Q66" s="266" t="n"/>
      <c r="R66" s="266" t="n"/>
      <c r="S66" s="266" t="n"/>
      <c r="T66" s="266" t="n"/>
      <c r="U66" s="266" t="n"/>
      <c r="V66" s="266" t="n"/>
      <c r="W66" s="266" t="n"/>
      <c r="X66" s="267" t="n"/>
    </row>
    <row r="67" ht="18.75" customHeight="1" s="161">
      <c r="B67" s="268" t="inlineStr">
        <is>
          <t>Outflow : 設備折舊</t>
        </is>
      </c>
      <c r="C67" s="260" t="n"/>
      <c r="D67" s="293">
        <f>$C$44/$E$16</f>
        <v/>
      </c>
      <c r="E67" s="293">
        <f>$C$44/$E$16</f>
        <v/>
      </c>
      <c r="F67" s="293">
        <f>$C$44/$E$16</f>
        <v/>
      </c>
      <c r="G67" s="293">
        <f>$C$44/$E$16</f>
        <v/>
      </c>
      <c r="H67" s="293">
        <f>$C$44/$E$16</f>
        <v/>
      </c>
      <c r="I67" s="293">
        <f>$C$44/$E$16</f>
        <v/>
      </c>
      <c r="J67" s="293">
        <f>$C$44/$E$16</f>
        <v/>
      </c>
      <c r="K67" s="293">
        <f>$C$44/$E$16</f>
        <v/>
      </c>
      <c r="L67" s="293">
        <f>$C$44/$E$16</f>
        <v/>
      </c>
      <c r="M67" s="293">
        <f>$C$44/$E$16</f>
        <v/>
      </c>
      <c r="N67" s="293">
        <f>$C$44/$E$16</f>
        <v/>
      </c>
      <c r="O67" s="293">
        <f>$C$44/$E$16</f>
        <v/>
      </c>
      <c r="P67" s="293">
        <f>$C$44/$E$16</f>
        <v/>
      </c>
      <c r="Q67" s="293">
        <f>$C$44/$E$16</f>
        <v/>
      </c>
      <c r="R67" s="293">
        <f>$C$44/$E$16</f>
        <v/>
      </c>
      <c r="S67" s="293">
        <f>$C$44/$E$16</f>
        <v/>
      </c>
      <c r="T67" s="293">
        <f>$C$44/$E$16</f>
        <v/>
      </c>
      <c r="U67" s="293">
        <f>$C$44/$E$16</f>
        <v/>
      </c>
      <c r="V67" s="293">
        <f>$C$44/$E$16</f>
        <v/>
      </c>
      <c r="W67" s="293">
        <f>$C$44/$E$16</f>
        <v/>
      </c>
      <c r="X67" s="263" t="n"/>
    </row>
    <row r="68" ht="18.75" customHeight="1" s="161">
      <c r="B68" s="268" t="inlineStr">
        <is>
          <t>Outflow : 設備放置區域租金</t>
        </is>
      </c>
      <c r="C68" s="260" t="inlineStr">
        <is>
          <t>-</t>
        </is>
      </c>
      <c r="D68" s="270">
        <f>D44</f>
        <v/>
      </c>
      <c r="E68" s="270">
        <f>E45</f>
        <v/>
      </c>
      <c r="F68" s="270">
        <f>F45</f>
        <v/>
      </c>
      <c r="G68" s="270">
        <f>G45</f>
        <v/>
      </c>
      <c r="H68" s="270">
        <f>H45</f>
        <v/>
      </c>
      <c r="I68" s="270">
        <f>I45</f>
        <v/>
      </c>
      <c r="J68" s="270">
        <f>J45</f>
        <v/>
      </c>
      <c r="K68" s="270">
        <f>K45</f>
        <v/>
      </c>
      <c r="L68" s="270">
        <f>L45</f>
        <v/>
      </c>
      <c r="M68" s="270">
        <f>M45</f>
        <v/>
      </c>
      <c r="N68" s="270">
        <f>N45</f>
        <v/>
      </c>
      <c r="O68" s="270">
        <f>O45</f>
        <v/>
      </c>
      <c r="P68" s="270">
        <f>P45</f>
        <v/>
      </c>
      <c r="Q68" s="270">
        <f>Q45</f>
        <v/>
      </c>
      <c r="R68" s="270">
        <f>R45</f>
        <v/>
      </c>
      <c r="S68" s="270">
        <f>S45</f>
        <v/>
      </c>
      <c r="T68" s="270">
        <f>T45</f>
        <v/>
      </c>
      <c r="U68" s="270">
        <f>U45</f>
        <v/>
      </c>
      <c r="V68" s="270">
        <f>V45</f>
        <v/>
      </c>
      <c r="W68" s="270">
        <f>W45</f>
        <v/>
      </c>
      <c r="X68" s="263" t="n"/>
    </row>
    <row r="69" ht="18.75" customHeight="1" s="161">
      <c r="B69" s="268" t="inlineStr">
        <is>
          <t>Outflow : 返還借款</t>
        </is>
      </c>
      <c r="C69" s="260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3" t="n"/>
    </row>
    <row r="70" ht="18.75" customHeight="1" s="161">
      <c r="B70" s="268" t="inlineStr">
        <is>
          <t>Outflow : 利息費用</t>
        </is>
      </c>
      <c r="C70" s="260" t="inlineStr">
        <is>
          <t>-</t>
        </is>
      </c>
      <c r="D70" s="270">
        <f>-D109*$D25</f>
        <v/>
      </c>
      <c r="E70" s="270">
        <f>-E109*$D25</f>
        <v/>
      </c>
      <c r="F70" s="270">
        <f>-F109*$D25</f>
        <v/>
      </c>
      <c r="G70" s="270">
        <f>-G109*$D25</f>
        <v/>
      </c>
      <c r="H70" s="270">
        <f>-H109*$D25</f>
        <v/>
      </c>
      <c r="I70" s="270">
        <f>-I109*$D25</f>
        <v/>
      </c>
      <c r="J70" s="270">
        <f>-J109*$D25</f>
        <v/>
      </c>
      <c r="K70" s="270">
        <f>-K109*$D25</f>
        <v/>
      </c>
      <c r="L70" s="270">
        <f>-L109*$D25</f>
        <v/>
      </c>
      <c r="M70" s="270">
        <f>-M109*$D25</f>
        <v/>
      </c>
      <c r="N70" s="270">
        <f>-N109*$D25</f>
        <v/>
      </c>
      <c r="O70" s="270">
        <f>-O109*$D25</f>
        <v/>
      </c>
      <c r="P70" s="270">
        <f>-P109*$D25</f>
        <v/>
      </c>
      <c r="Q70" s="270">
        <f>-Q109*$D25</f>
        <v/>
      </c>
      <c r="R70" s="270">
        <f>-R109*$D25</f>
        <v/>
      </c>
      <c r="S70" s="270">
        <f>-S109*$D25</f>
        <v/>
      </c>
      <c r="T70" s="270">
        <f>-T109*$D25</f>
        <v/>
      </c>
      <c r="U70" s="270">
        <f>-U109*$D25</f>
        <v/>
      </c>
      <c r="V70" s="270">
        <f>-V109*$D25</f>
        <v/>
      </c>
      <c r="W70" s="270">
        <f>-W109*$D25</f>
        <v/>
      </c>
      <c r="X70" s="263" t="n"/>
    </row>
    <row r="71" ht="18.75" customHeight="1" s="161">
      <c r="B71" s="268" t="inlineStr">
        <is>
          <t>Outflow : 維運費</t>
        </is>
      </c>
      <c r="C71" s="260" t="inlineStr">
        <is>
          <t>-</t>
        </is>
      </c>
      <c r="D71" s="270">
        <f>D48</f>
        <v/>
      </c>
      <c r="E71" s="270">
        <f>E48</f>
        <v/>
      </c>
      <c r="F71" s="270">
        <f>F48</f>
        <v/>
      </c>
      <c r="G71" s="270">
        <f>G48</f>
        <v/>
      </c>
      <c r="H71" s="270">
        <f>H48</f>
        <v/>
      </c>
      <c r="I71" s="270">
        <f>I48</f>
        <v/>
      </c>
      <c r="J71" s="270">
        <f>J48</f>
        <v/>
      </c>
      <c r="K71" s="270">
        <f>K48</f>
        <v/>
      </c>
      <c r="L71" s="270">
        <f>L48</f>
        <v/>
      </c>
      <c r="M71" s="270">
        <f>M48</f>
        <v/>
      </c>
      <c r="N71" s="270">
        <f>N48</f>
        <v/>
      </c>
      <c r="O71" s="270">
        <f>O48</f>
        <v/>
      </c>
      <c r="P71" s="270">
        <f>P48</f>
        <v/>
      </c>
      <c r="Q71" s="270">
        <f>Q48</f>
        <v/>
      </c>
      <c r="R71" s="270">
        <f>R48</f>
        <v/>
      </c>
      <c r="S71" s="270">
        <f>S48</f>
        <v/>
      </c>
      <c r="T71" s="270">
        <f>T48</f>
        <v/>
      </c>
      <c r="U71" s="270">
        <f>U48</f>
        <v/>
      </c>
      <c r="V71" s="270">
        <f>V48</f>
        <v/>
      </c>
      <c r="W71" s="270">
        <f>W48</f>
        <v/>
      </c>
      <c r="X71" s="263" t="n"/>
    </row>
    <row r="72" ht="18.75" customHeight="1" s="161">
      <c r="B72" s="268" t="inlineStr">
        <is>
          <t>Outflow : 保險費</t>
        </is>
      </c>
      <c r="C72" s="260" t="inlineStr">
        <is>
          <t>-</t>
        </is>
      </c>
      <c r="D72" s="270">
        <f>D49</f>
        <v/>
      </c>
      <c r="E72" s="270">
        <f>E49</f>
        <v/>
      </c>
      <c r="F72" s="270">
        <f>F49</f>
        <v/>
      </c>
      <c r="G72" s="270">
        <f>G49</f>
        <v/>
      </c>
      <c r="H72" s="270">
        <f>H49</f>
        <v/>
      </c>
      <c r="I72" s="270">
        <f>I49</f>
        <v/>
      </c>
      <c r="J72" s="270">
        <f>J49</f>
        <v/>
      </c>
      <c r="K72" s="270">
        <f>K49</f>
        <v/>
      </c>
      <c r="L72" s="270">
        <f>L49</f>
        <v/>
      </c>
      <c r="M72" s="270">
        <f>M49</f>
        <v/>
      </c>
      <c r="N72" s="270">
        <f>N49</f>
        <v/>
      </c>
      <c r="O72" s="270">
        <f>O49</f>
        <v/>
      </c>
      <c r="P72" s="270">
        <f>P49</f>
        <v/>
      </c>
      <c r="Q72" s="270">
        <f>Q49</f>
        <v/>
      </c>
      <c r="R72" s="270">
        <f>R49</f>
        <v/>
      </c>
      <c r="S72" s="270">
        <f>S49</f>
        <v/>
      </c>
      <c r="T72" s="270">
        <f>T49</f>
        <v/>
      </c>
      <c r="U72" s="270">
        <f>U49</f>
        <v/>
      </c>
      <c r="V72" s="270">
        <f>V49</f>
        <v/>
      </c>
      <c r="W72" s="270">
        <f>W49</f>
        <v/>
      </c>
      <c r="X72" s="263" t="n"/>
    </row>
    <row r="73" ht="18.75" customHeight="1" s="161">
      <c r="B73" s="268" t="inlineStr">
        <is>
          <t>Outflow : 模組回收費</t>
        </is>
      </c>
      <c r="C73" s="260" t="n"/>
      <c r="D73" s="270">
        <f>D50</f>
        <v/>
      </c>
      <c r="E73" s="270">
        <f>E50</f>
        <v/>
      </c>
      <c r="F73" s="270">
        <f>F50</f>
        <v/>
      </c>
      <c r="G73" s="270">
        <f>G50</f>
        <v/>
      </c>
      <c r="H73" s="270">
        <f>H50</f>
        <v/>
      </c>
      <c r="I73" s="270">
        <f>I50</f>
        <v/>
      </c>
      <c r="J73" s="270">
        <f>J50</f>
        <v/>
      </c>
      <c r="K73" s="270">
        <f>K50</f>
        <v/>
      </c>
      <c r="L73" s="270">
        <f>L50</f>
        <v/>
      </c>
      <c r="M73" s="270">
        <f>M50</f>
        <v/>
      </c>
      <c r="N73" s="270">
        <f>N50</f>
        <v/>
      </c>
      <c r="O73" s="270">
        <f>O50</f>
        <v/>
      </c>
      <c r="P73" s="270">
        <f>P50</f>
        <v/>
      </c>
      <c r="Q73" s="270">
        <f>Q50</f>
        <v/>
      </c>
      <c r="R73" s="270">
        <f>R50</f>
        <v/>
      </c>
      <c r="S73" s="270">
        <f>S50</f>
        <v/>
      </c>
      <c r="T73" s="270">
        <f>T50</f>
        <v/>
      </c>
      <c r="U73" s="270">
        <f>U50</f>
        <v/>
      </c>
      <c r="V73" s="270">
        <f>V50</f>
        <v/>
      </c>
      <c r="W73" s="270">
        <f>W50</f>
        <v/>
      </c>
      <c r="X73" s="263" t="n"/>
    </row>
    <row r="74" ht="18.75" customHeight="1" s="161">
      <c r="B74" s="268" t="inlineStr">
        <is>
          <t>Outflow : 其它費用(人事薪資…等)</t>
        </is>
      </c>
      <c r="C74" s="271" t="n"/>
      <c r="D74" s="294" t="n"/>
      <c r="E74" s="295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3" t="n"/>
    </row>
    <row r="75" ht="18.75" customHeight="1" s="161">
      <c r="B75" s="268" t="inlineStr">
        <is>
          <t>1%管理費</t>
        </is>
      </c>
      <c r="C75" s="27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3" t="n"/>
    </row>
    <row r="76" ht="18.75" customHeight="1" s="161">
      <c r="B76" s="273" t="inlineStr">
        <is>
          <t>稅前淨利</t>
        </is>
      </c>
      <c r="C76" s="296" t="n"/>
      <c r="D76" s="275">
        <f>SUM(D64:D75)</f>
        <v/>
      </c>
      <c r="E76" s="275">
        <f>SUM(E64:E75)</f>
        <v/>
      </c>
      <c r="F76" s="275">
        <f>SUM(F64:F75)</f>
        <v/>
      </c>
      <c r="G76" s="275">
        <f>SUM(G64:G75)</f>
        <v/>
      </c>
      <c r="H76" s="275">
        <f>SUM(H64:H75)</f>
        <v/>
      </c>
      <c r="I76" s="275">
        <f>SUM(I64:I75)</f>
        <v/>
      </c>
      <c r="J76" s="275">
        <f>SUM(J64:J75)</f>
        <v/>
      </c>
      <c r="K76" s="275">
        <f>SUM(K64:K75)</f>
        <v/>
      </c>
      <c r="L76" s="275">
        <f>SUM(L64:L75)</f>
        <v/>
      </c>
      <c r="M76" s="275">
        <f>SUM(M64:M75)</f>
        <v/>
      </c>
      <c r="N76" s="275">
        <f>SUM(N64:N75)</f>
        <v/>
      </c>
      <c r="O76" s="275">
        <f>SUM(O64:O75)</f>
        <v/>
      </c>
      <c r="P76" s="275">
        <f>SUM(P64:P75)</f>
        <v/>
      </c>
      <c r="Q76" s="275">
        <f>SUM(Q64:Q75)</f>
        <v/>
      </c>
      <c r="R76" s="275">
        <f>SUM(R64:R75)</f>
        <v/>
      </c>
      <c r="S76" s="275">
        <f>SUM(S64:S75)</f>
        <v/>
      </c>
      <c r="T76" s="275">
        <f>SUM(T64:T75)</f>
        <v/>
      </c>
      <c r="U76" s="275">
        <f>SUM(U64:U75)</f>
        <v/>
      </c>
      <c r="V76" s="275">
        <f>SUM(V64:V75)</f>
        <v/>
      </c>
      <c r="W76" s="275">
        <f>SUM(W64:W75)</f>
        <v/>
      </c>
      <c r="X76" s="275">
        <f>SUM(X64:X75)</f>
        <v/>
      </c>
    </row>
    <row r="77" ht="18.75" customHeight="1" s="161">
      <c r="B77" s="272" t="inlineStr">
        <is>
          <t>所得稅20%</t>
        </is>
      </c>
      <c r="C77" s="271" t="n"/>
      <c r="D77" s="270">
        <f>-D76*0.2</f>
        <v/>
      </c>
      <c r="E77" s="270">
        <f>-E76*0.2</f>
        <v/>
      </c>
      <c r="F77" s="270">
        <f>-F76*0.2</f>
        <v/>
      </c>
      <c r="G77" s="270">
        <f>-G76*0.2</f>
        <v/>
      </c>
      <c r="H77" s="270">
        <f>-H76*0.2</f>
        <v/>
      </c>
      <c r="I77" s="270">
        <f>-I76*0.2</f>
        <v/>
      </c>
      <c r="J77" s="270">
        <f>-J76*0.2</f>
        <v/>
      </c>
      <c r="K77" s="270">
        <f>-K76*0.2</f>
        <v/>
      </c>
      <c r="L77" s="270">
        <f>-L76*0.2</f>
        <v/>
      </c>
      <c r="M77" s="270">
        <f>-M76*0.2</f>
        <v/>
      </c>
      <c r="N77" s="270">
        <f>-N76*0.2</f>
        <v/>
      </c>
      <c r="O77" s="270">
        <f>-O76*0.2</f>
        <v/>
      </c>
      <c r="P77" s="270">
        <f>-P76*0.2</f>
        <v/>
      </c>
      <c r="Q77" s="270">
        <f>-Q76*0.2</f>
        <v/>
      </c>
      <c r="R77" s="270">
        <f>-R76*0.2</f>
        <v/>
      </c>
      <c r="S77" s="270">
        <f>-S76*0.2</f>
        <v/>
      </c>
      <c r="T77" s="270">
        <f>-T76*0.2</f>
        <v/>
      </c>
      <c r="U77" s="270">
        <f>-U76*0.2</f>
        <v/>
      </c>
      <c r="V77" s="270">
        <f>-V76*0.2</f>
        <v/>
      </c>
      <c r="W77" s="270">
        <f>-W76*0.2</f>
        <v/>
      </c>
      <c r="X77" s="270">
        <f>-X76*0.2</f>
        <v/>
      </c>
    </row>
    <row r="78" ht="15.75" customHeight="1" s="161">
      <c r="B78" s="297" t="inlineStr">
        <is>
          <t>稅後淨利</t>
        </is>
      </c>
      <c r="D78" s="270">
        <f>SUM(D76:D77)</f>
        <v/>
      </c>
      <c r="E78" s="270">
        <f>SUM(E76:E77)</f>
        <v/>
      </c>
      <c r="F78" s="270">
        <f>SUM(F76:F77)</f>
        <v/>
      </c>
      <c r="G78" s="270">
        <f>SUM(G76:G77)</f>
        <v/>
      </c>
      <c r="H78" s="270">
        <f>SUM(H76:H77)</f>
        <v/>
      </c>
      <c r="I78" s="270">
        <f>SUM(I76:I77)</f>
        <v/>
      </c>
      <c r="J78" s="270">
        <f>SUM(J76:J77)</f>
        <v/>
      </c>
      <c r="K78" s="270">
        <f>SUM(K76:K77)</f>
        <v/>
      </c>
      <c r="L78" s="270">
        <f>SUM(L76:L77)</f>
        <v/>
      </c>
      <c r="M78" s="270">
        <f>SUM(M76:M77)</f>
        <v/>
      </c>
      <c r="N78" s="270">
        <f>SUM(N76:N77)</f>
        <v/>
      </c>
      <c r="O78" s="270">
        <f>SUM(O76:O77)</f>
        <v/>
      </c>
      <c r="P78" s="270">
        <f>SUM(P76:P77)</f>
        <v/>
      </c>
      <c r="Q78" s="270">
        <f>SUM(Q76:Q77)</f>
        <v/>
      </c>
      <c r="R78" s="270">
        <f>SUM(R76:R77)</f>
        <v/>
      </c>
      <c r="S78" s="270">
        <f>SUM(S76:S77)</f>
        <v/>
      </c>
      <c r="T78" s="270">
        <f>SUM(T76:T77)</f>
        <v/>
      </c>
      <c r="U78" s="270">
        <f>SUM(U76:U77)</f>
        <v/>
      </c>
      <c r="V78" s="270">
        <f>SUM(V76:V77)</f>
        <v/>
      </c>
      <c r="W78" s="270">
        <f>SUM(W76:W77)</f>
        <v/>
      </c>
      <c r="X78" s="270">
        <f>SUM(X76:X77)</f>
        <v/>
      </c>
    </row>
    <row r="79" ht="18.75" customHeight="1" s="161">
      <c r="B79" s="279" t="inlineStr">
        <is>
          <t>累計現金流</t>
        </is>
      </c>
      <c r="C79" s="282" t="n"/>
      <c r="D79" s="298" t="n"/>
      <c r="E79" s="298" t="n"/>
      <c r="F79" s="298" t="n"/>
      <c r="G79" s="298" t="n"/>
      <c r="H79" s="298" t="n"/>
      <c r="I79" s="298" t="n"/>
      <c r="J79" s="298" t="n"/>
      <c r="K79" s="298" t="n"/>
      <c r="L79" s="298" t="n"/>
      <c r="M79" s="298" t="n"/>
      <c r="N79" s="298" t="n"/>
      <c r="O79" s="298" t="n"/>
      <c r="P79" s="298" t="n"/>
      <c r="Q79" s="298" t="n"/>
      <c r="R79" s="298" t="n"/>
      <c r="S79" s="298" t="n"/>
      <c r="T79" s="298" t="n"/>
      <c r="U79" s="298" t="n"/>
      <c r="V79" s="298" t="n"/>
      <c r="W79" s="298" t="n"/>
      <c r="X79" s="299" t="n"/>
    </row>
    <row r="80" ht="18.75" customHeight="1" s="161">
      <c r="B80" s="300" t="inlineStr">
        <is>
          <t>回收年限評估</t>
        </is>
      </c>
      <c r="C80" s="301" t="n"/>
      <c r="D80" s="302" t="n"/>
      <c r="E80" s="302" t="n"/>
      <c r="F80" s="302" t="n"/>
      <c r="G80" s="302" t="n"/>
      <c r="H80" s="302" t="n"/>
      <c r="I80" s="302" t="n"/>
      <c r="J80" s="302" t="n"/>
      <c r="K80" s="302" t="n"/>
      <c r="L80" s="302" t="n"/>
      <c r="M80" s="302" t="n"/>
      <c r="N80" s="302" t="n"/>
      <c r="O80" s="302" t="n"/>
      <c r="P80" s="302" t="n"/>
      <c r="Q80" s="302" t="n"/>
      <c r="R80" s="302" t="n"/>
      <c r="S80" s="302" t="n"/>
      <c r="T80" s="302" t="n"/>
      <c r="U80" s="302" t="n"/>
      <c r="V80" s="302" t="n"/>
      <c r="W80" s="302" t="n"/>
      <c r="X80" s="303" t="n"/>
    </row>
    <row r="81" ht="18.75" customHeight="1" s="161">
      <c r="B81" s="288" t="n"/>
      <c r="C81" s="287" t="n"/>
      <c r="D81" s="287" t="n"/>
      <c r="E81" s="287" t="n"/>
      <c r="F81" s="288" t="n"/>
      <c r="G81" s="288" t="n"/>
      <c r="H81" s="288" t="n"/>
      <c r="I81" s="288" t="n"/>
      <c r="J81" s="288" t="n"/>
      <c r="K81" s="288" t="n"/>
      <c r="L81" s="288" t="n"/>
      <c r="M81" s="287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</row>
    <row r="82" ht="18.75" customHeight="1" s="161">
      <c r="C82" s="304" t="inlineStr">
        <is>
          <t>年份</t>
        </is>
      </c>
      <c r="D82" s="305">
        <f>D37</f>
        <v/>
      </c>
      <c r="E82" s="305">
        <f>E37</f>
        <v/>
      </c>
      <c r="F82" s="305">
        <f>F37</f>
        <v/>
      </c>
      <c r="G82" s="305">
        <f>G37</f>
        <v/>
      </c>
      <c r="H82" s="305">
        <f>H37</f>
        <v/>
      </c>
      <c r="I82" s="305">
        <f>I37</f>
        <v/>
      </c>
      <c r="J82" s="305">
        <f>J37</f>
        <v/>
      </c>
      <c r="K82" s="305">
        <f>K37</f>
        <v/>
      </c>
      <c r="L82" s="305">
        <f>L37</f>
        <v/>
      </c>
      <c r="M82" s="305">
        <f>M37</f>
        <v/>
      </c>
      <c r="N82" s="305">
        <f>N37</f>
        <v/>
      </c>
      <c r="O82" s="305">
        <f>O37</f>
        <v/>
      </c>
      <c r="P82" s="305">
        <f>P37</f>
        <v/>
      </c>
      <c r="Q82" s="305">
        <f>Q37</f>
        <v/>
      </c>
      <c r="R82" s="305">
        <f>R37</f>
        <v/>
      </c>
      <c r="S82" s="305">
        <f>S37</f>
        <v/>
      </c>
      <c r="T82" s="305">
        <f>T37</f>
        <v/>
      </c>
      <c r="U82" s="305">
        <f>U37</f>
        <v/>
      </c>
      <c r="V82" s="305">
        <f>V37</f>
        <v/>
      </c>
      <c r="W82" s="305">
        <f>W37</f>
        <v/>
      </c>
      <c r="X82" s="290" t="n"/>
    </row>
    <row r="83" ht="18.75" customHeight="1" s="161">
      <c r="X83" s="289" t="n"/>
    </row>
    <row r="84" ht="18.75" customHeight="1" s="161">
      <c r="B84" s="306" t="inlineStr">
        <is>
          <t>(Unit : Currency)</t>
        </is>
      </c>
      <c r="C84" s="306" t="n">
        <v>0</v>
      </c>
      <c r="D84" s="306" t="n">
        <v>1</v>
      </c>
      <c r="E84" s="306" t="n">
        <v>2</v>
      </c>
      <c r="F84" s="306" t="n">
        <v>3</v>
      </c>
      <c r="G84" s="306" t="n">
        <v>4</v>
      </c>
      <c r="H84" s="306" t="n">
        <v>5</v>
      </c>
      <c r="I84" s="306" t="n">
        <v>6</v>
      </c>
      <c r="J84" s="306" t="n">
        <v>7</v>
      </c>
      <c r="K84" s="306" t="n">
        <v>8</v>
      </c>
      <c r="L84" s="306" t="n">
        <v>9</v>
      </c>
      <c r="M84" s="306" t="n">
        <v>10</v>
      </c>
      <c r="N84" s="306" t="n">
        <v>11</v>
      </c>
      <c r="O84" s="306" t="n">
        <v>12</v>
      </c>
      <c r="P84" s="306" t="n">
        <v>13</v>
      </c>
      <c r="Q84" s="306" t="n">
        <v>14</v>
      </c>
      <c r="R84" s="306" t="n">
        <v>15</v>
      </c>
      <c r="S84" s="306" t="n">
        <v>16</v>
      </c>
      <c r="T84" s="306" t="n">
        <v>17</v>
      </c>
      <c r="U84" s="306" t="n">
        <v>18</v>
      </c>
      <c r="V84" s="306" t="n">
        <v>19</v>
      </c>
      <c r="W84" s="306" t="n">
        <v>20</v>
      </c>
      <c r="X84" s="307" t="n"/>
    </row>
    <row r="85" ht="18.75" customHeight="1" s="161">
      <c r="B85" s="308" t="inlineStr">
        <is>
          <t>稅後淨利</t>
        </is>
      </c>
      <c r="C85" s="308" t="n"/>
      <c r="D85" s="309">
        <f>D78</f>
        <v/>
      </c>
      <c r="E85" s="309">
        <f>E78</f>
        <v/>
      </c>
      <c r="F85" s="309">
        <f>F78</f>
        <v/>
      </c>
      <c r="G85" s="309">
        <f>G78</f>
        <v/>
      </c>
      <c r="H85" s="309">
        <f>H78</f>
        <v/>
      </c>
      <c r="I85" s="309">
        <f>I78</f>
        <v/>
      </c>
      <c r="J85" s="309">
        <f>J78</f>
        <v/>
      </c>
      <c r="K85" s="309">
        <f>K78</f>
        <v/>
      </c>
      <c r="L85" s="309">
        <f>L78</f>
        <v/>
      </c>
      <c r="M85" s="309">
        <f>M78</f>
        <v/>
      </c>
      <c r="N85" s="309">
        <f>N78</f>
        <v/>
      </c>
      <c r="O85" s="309">
        <f>O78</f>
        <v/>
      </c>
      <c r="P85" s="309">
        <f>P78</f>
        <v/>
      </c>
      <c r="Q85" s="309">
        <f>Q78</f>
        <v/>
      </c>
      <c r="R85" s="309">
        <f>R78</f>
        <v/>
      </c>
      <c r="S85" s="309">
        <f>S78</f>
        <v/>
      </c>
      <c r="T85" s="309">
        <f>T78</f>
        <v/>
      </c>
      <c r="U85" s="309">
        <f>U78</f>
        <v/>
      </c>
      <c r="V85" s="309">
        <f>V78</f>
        <v/>
      </c>
      <c r="W85" s="309">
        <f>W78</f>
        <v/>
      </c>
      <c r="X85" s="308" t="n"/>
      <c r="Y85" s="308" t="n"/>
    </row>
    <row r="86" ht="15.75" customHeight="1" s="161">
      <c r="B86" s="308" t="inlineStr">
        <is>
          <t>設備折舊</t>
        </is>
      </c>
      <c r="C86" s="308" t="n"/>
      <c r="D86" s="310">
        <f>-D67</f>
        <v/>
      </c>
      <c r="E86" s="310">
        <f>-E67</f>
        <v/>
      </c>
      <c r="F86" s="310">
        <f>-F67</f>
        <v/>
      </c>
      <c r="G86" s="310">
        <f>-G67</f>
        <v/>
      </c>
      <c r="H86" s="310">
        <f>-H67</f>
        <v/>
      </c>
      <c r="I86" s="310">
        <f>-I67</f>
        <v/>
      </c>
      <c r="J86" s="310">
        <f>-J67</f>
        <v/>
      </c>
      <c r="K86" s="310">
        <f>-K67</f>
        <v/>
      </c>
      <c r="L86" s="310">
        <f>-L67</f>
        <v/>
      </c>
      <c r="M86" s="310">
        <f>-M67</f>
        <v/>
      </c>
      <c r="N86" s="310">
        <f>-N67</f>
        <v/>
      </c>
      <c r="O86" s="310">
        <f>-O67</f>
        <v/>
      </c>
      <c r="P86" s="310">
        <f>-P67</f>
        <v/>
      </c>
      <c r="Q86" s="310">
        <f>-Q67</f>
        <v/>
      </c>
      <c r="R86" s="310">
        <f>-R67</f>
        <v/>
      </c>
      <c r="S86" s="310">
        <f>-S67</f>
        <v/>
      </c>
      <c r="T86" s="310">
        <f>-T67</f>
        <v/>
      </c>
      <c r="U86" s="310">
        <f>-U67</f>
        <v/>
      </c>
      <c r="V86" s="310">
        <f>-V67</f>
        <v/>
      </c>
      <c r="W86" s="310">
        <f>-W67</f>
        <v/>
      </c>
      <c r="X86" s="311" t="n"/>
      <c r="Y86" s="311" t="n"/>
    </row>
    <row r="87" ht="15.75" customHeight="1" s="161">
      <c r="B87" s="308" t="inlineStr">
        <is>
          <t>營運活動現金流量</t>
        </is>
      </c>
      <c r="C87" s="308" t="n"/>
      <c r="D87" s="312">
        <f>SUM(D85:D86)</f>
        <v/>
      </c>
      <c r="E87" s="312">
        <f>SUM(E85:E86)</f>
        <v/>
      </c>
      <c r="F87" s="312">
        <f>SUM(F85:F86)</f>
        <v/>
      </c>
      <c r="G87" s="312">
        <f>SUM(G85:G86)</f>
        <v/>
      </c>
      <c r="H87" s="312">
        <f>SUM(H85:H86)</f>
        <v/>
      </c>
      <c r="I87" s="312">
        <f>SUM(I85:I86)</f>
        <v/>
      </c>
      <c r="J87" s="312">
        <f>SUM(J85:J86)</f>
        <v/>
      </c>
      <c r="K87" s="312">
        <f>SUM(K85:K86)</f>
        <v/>
      </c>
      <c r="L87" s="312">
        <f>SUM(L85:L86)</f>
        <v/>
      </c>
      <c r="M87" s="312">
        <f>SUM(M85:M86)</f>
        <v/>
      </c>
      <c r="N87" s="312">
        <f>SUM(N85:N86)</f>
        <v/>
      </c>
      <c r="O87" s="312">
        <f>SUM(O85:O86)</f>
        <v/>
      </c>
      <c r="P87" s="312">
        <f>SUM(P85:P86)</f>
        <v/>
      </c>
      <c r="Q87" s="312">
        <f>SUM(Q85:Q86)</f>
        <v/>
      </c>
      <c r="R87" s="312">
        <f>SUM(R85:R86)</f>
        <v/>
      </c>
      <c r="S87" s="312">
        <f>SUM(S85:S86)</f>
        <v/>
      </c>
      <c r="T87" s="312">
        <f>SUM(T85:T86)</f>
        <v/>
      </c>
      <c r="U87" s="312">
        <f>SUM(U85:U86)</f>
        <v/>
      </c>
      <c r="V87" s="312">
        <f>SUM(V85:V86)</f>
        <v/>
      </c>
      <c r="W87" s="312">
        <f>SUM(W85:W86)</f>
        <v/>
      </c>
      <c r="X87" s="278" t="n"/>
    </row>
    <row r="88" ht="15.75" customHeight="1" s="161">
      <c r="B88" s="308" t="n"/>
      <c r="C88" s="308" t="n"/>
      <c r="D88" s="308" t="n"/>
      <c r="E88" s="308" t="n"/>
      <c r="F88" s="313" t="n"/>
      <c r="G88" s="313" t="n"/>
      <c r="H88" s="313" t="n"/>
      <c r="I88" s="313" t="n"/>
      <c r="J88" s="313" t="n"/>
      <c r="K88" s="313" t="n"/>
      <c r="L88" s="313" t="n"/>
      <c r="M88" s="313" t="n"/>
      <c r="N88" s="313" t="n"/>
      <c r="O88" s="313" t="n"/>
      <c r="P88" s="313" t="n"/>
      <c r="Q88" s="313" t="n"/>
      <c r="R88" s="313" t="n"/>
      <c r="S88" s="313" t="n"/>
      <c r="T88" s="313" t="n"/>
      <c r="U88" s="313" t="n"/>
      <c r="V88" s="313" t="n"/>
      <c r="W88" s="313" t="n"/>
      <c r="X88" s="277" t="n"/>
    </row>
    <row r="89" ht="15.75" customHeight="1" s="161">
      <c r="B89" s="314" t="inlineStr">
        <is>
          <t>投資活動-設備支出</t>
        </is>
      </c>
      <c r="C89" s="315" t="n"/>
      <c r="D89" s="316">
        <f>C44</f>
        <v/>
      </c>
      <c r="E89" s="315" t="n"/>
      <c r="F89" s="315" t="n"/>
      <c r="G89" s="315" t="n"/>
      <c r="H89" s="315" t="n"/>
      <c r="I89" s="315" t="n"/>
      <c r="J89" s="315" t="n"/>
      <c r="K89" s="315" t="n"/>
      <c r="L89" s="315" t="n"/>
      <c r="M89" s="315" t="n"/>
      <c r="N89" s="315" t="n"/>
      <c r="O89" s="315" t="n"/>
      <c r="P89" s="315" t="n"/>
      <c r="Q89" s="315" t="n"/>
      <c r="R89" s="315" t="n"/>
      <c r="S89" s="315" t="n"/>
      <c r="T89" s="315" t="n"/>
      <c r="U89" s="315" t="n"/>
      <c r="V89" s="315" t="n"/>
      <c r="W89" s="315" t="n"/>
      <c r="X89" s="317" t="n"/>
    </row>
    <row r="90" ht="15.75" customHeight="1" s="161">
      <c r="B90" s="308" t="n"/>
      <c r="C90" s="308" t="n"/>
      <c r="D90" s="308" t="n"/>
      <c r="E90" s="308" t="n"/>
      <c r="F90" s="313" t="n"/>
      <c r="G90" s="313" t="n"/>
      <c r="H90" s="313" t="n"/>
      <c r="I90" s="313" t="n"/>
      <c r="J90" s="313" t="n"/>
      <c r="K90" s="313" t="n"/>
      <c r="L90" s="313" t="n"/>
      <c r="M90" s="313" t="n"/>
      <c r="N90" s="313" t="n"/>
      <c r="O90" s="313" t="n"/>
      <c r="P90" s="313" t="n"/>
      <c r="Q90" s="313" t="n"/>
      <c r="R90" s="313" t="n"/>
      <c r="S90" s="313" t="n"/>
      <c r="T90" s="313" t="n"/>
      <c r="U90" s="313" t="n"/>
      <c r="V90" s="313" t="n"/>
      <c r="W90" s="313" t="n"/>
      <c r="X90" s="277" t="n"/>
    </row>
    <row r="91" ht="15.75" customHeight="1" s="161">
      <c r="B91" s="308" t="n"/>
      <c r="C91" s="308" t="n"/>
      <c r="D91" s="308" t="n"/>
      <c r="E91" s="308" t="n"/>
      <c r="F91" s="313" t="n"/>
      <c r="G91" s="313" t="n"/>
      <c r="H91" s="313" t="n"/>
      <c r="I91" s="313" t="n"/>
      <c r="J91" s="313" t="n"/>
      <c r="K91" s="313" t="n"/>
      <c r="L91" s="313" t="n"/>
      <c r="M91" s="313" t="n"/>
      <c r="N91" s="313" t="n"/>
      <c r="O91" s="313" t="n"/>
      <c r="P91" s="313" t="n"/>
      <c r="Q91" s="313" t="n"/>
      <c r="R91" s="313" t="n"/>
      <c r="S91" s="313" t="n"/>
      <c r="T91" s="313" t="n"/>
      <c r="U91" s="313" t="n"/>
      <c r="V91" s="313" t="n"/>
      <c r="W91" s="313" t="n"/>
      <c r="X91" s="277" t="n"/>
    </row>
    <row r="92" ht="15.75" customHeight="1" s="161">
      <c r="B92" s="314" t="inlineStr">
        <is>
          <t>理財活動-借款</t>
        </is>
      </c>
      <c r="C92" s="315" t="n"/>
      <c r="D92" s="316">
        <f>-D89*D31</f>
        <v/>
      </c>
      <c r="E92" s="315" t="n"/>
      <c r="F92" s="315" t="n"/>
      <c r="G92" s="315" t="n"/>
      <c r="H92" s="315" t="n"/>
      <c r="I92" s="315" t="n"/>
      <c r="J92" s="315" t="n"/>
      <c r="K92" s="315" t="n"/>
      <c r="L92" s="315" t="n"/>
      <c r="M92" s="315" t="n"/>
      <c r="N92" s="315" t="n"/>
      <c r="O92" s="315" t="n"/>
      <c r="P92" s="315" t="n"/>
      <c r="Q92" s="315" t="n"/>
      <c r="R92" s="315" t="n"/>
      <c r="S92" s="315" t="n"/>
      <c r="T92" s="315" t="n"/>
      <c r="U92" s="315" t="n"/>
      <c r="V92" s="315" t="n"/>
      <c r="W92" s="315" t="n"/>
      <c r="X92" s="277" t="n"/>
    </row>
    <row r="93" ht="15.75" customHeight="1" s="161">
      <c r="B93" s="308" t="inlineStr">
        <is>
          <t>理財活動-還款</t>
        </is>
      </c>
      <c r="C93" s="308" t="n"/>
      <c r="D93" s="318" t="n"/>
      <c r="E93" s="318" t="n">
        <v>-755906.666666667</v>
      </c>
      <c r="F93" s="318" t="n">
        <v>-755906.666666667</v>
      </c>
      <c r="G93" s="318" t="n">
        <v>-755906.666666667</v>
      </c>
      <c r="H93" s="318" t="n">
        <v>-755906.666666667</v>
      </c>
      <c r="I93" s="318" t="n">
        <v>-755906.666666667</v>
      </c>
      <c r="J93" s="318" t="n">
        <v>-755906.666666667</v>
      </c>
      <c r="K93" s="318" t="n">
        <v>-755906.666666667</v>
      </c>
      <c r="L93" s="318" t="n">
        <v>-755906.666666667</v>
      </c>
      <c r="M93" s="318" t="n">
        <v>-755906.666666667</v>
      </c>
      <c r="N93" s="318" t="n">
        <v>-755906.666666667</v>
      </c>
      <c r="O93" s="318" t="n">
        <v>-755906.666666667</v>
      </c>
      <c r="P93" s="318" t="n">
        <v>-755906.666666667</v>
      </c>
      <c r="Q93" s="318" t="n">
        <v>-755906.666666667</v>
      </c>
      <c r="R93" s="318" t="n">
        <v>-755906.666666667</v>
      </c>
      <c r="S93" s="318" t="n">
        <v>-755906.666666667</v>
      </c>
      <c r="T93" s="318" t="n">
        <v>0</v>
      </c>
      <c r="U93" s="318" t="n">
        <v>0</v>
      </c>
      <c r="V93" s="318" t="n">
        <v>0</v>
      </c>
      <c r="W93" s="318" t="n">
        <v>0</v>
      </c>
      <c r="X93" s="317" t="n"/>
    </row>
    <row r="94" ht="15.75" customHeight="1" s="161">
      <c r="B94" s="308" t="inlineStr">
        <is>
          <t>理財活動-現金增資</t>
        </is>
      </c>
      <c r="C94" s="313" t="n"/>
      <c r="D94" s="309">
        <f>-D89*(1-D31)</f>
        <v/>
      </c>
      <c r="E94" s="313" t="n"/>
      <c r="F94" s="313" t="n"/>
      <c r="G94" s="313" t="n"/>
      <c r="H94" s="313" t="n"/>
      <c r="I94" s="313" t="n"/>
      <c r="J94" s="313" t="n"/>
      <c r="K94" s="313" t="n"/>
      <c r="L94" s="313" t="n"/>
      <c r="M94" s="313" t="n"/>
      <c r="N94" s="313" t="n"/>
      <c r="O94" s="313" t="n"/>
      <c r="P94" s="313" t="n"/>
      <c r="Q94" s="313" t="n"/>
      <c r="R94" s="313" t="n"/>
      <c r="S94" s="313" t="n"/>
      <c r="T94" s="313" t="n"/>
      <c r="U94" s="313" t="n"/>
      <c r="V94" s="313" t="n"/>
      <c r="W94" s="313" t="n"/>
      <c r="X94" s="278" t="n"/>
    </row>
    <row r="95" ht="15.75" customHeight="1" s="161">
      <c r="B95" s="308" t="inlineStr">
        <is>
          <t>現金股利</t>
        </is>
      </c>
      <c r="C95" s="313" t="n"/>
      <c r="D95" s="313" t="n"/>
      <c r="E95" s="319">
        <f>-D85*$D$33</f>
        <v/>
      </c>
      <c r="F95" s="319">
        <f>-E85*$D$33</f>
        <v/>
      </c>
      <c r="G95" s="319">
        <f>-F85*$D$33</f>
        <v/>
      </c>
      <c r="H95" s="319">
        <f>-G85*$D$33</f>
        <v/>
      </c>
      <c r="I95" s="319">
        <f>-H85*$D$33</f>
        <v/>
      </c>
      <c r="J95" s="319">
        <f>-I85*$D$33</f>
        <v/>
      </c>
      <c r="K95" s="319">
        <f>-J85*$D$33</f>
        <v/>
      </c>
      <c r="L95" s="319">
        <f>-K85*$D$33</f>
        <v/>
      </c>
      <c r="M95" s="319">
        <f>-L85*$D$33</f>
        <v/>
      </c>
      <c r="N95" s="319">
        <f>-M85*$D$33</f>
        <v/>
      </c>
      <c r="O95" s="319">
        <f>-N85*$D$33</f>
        <v/>
      </c>
      <c r="P95" s="319">
        <f>-O85*$D$33</f>
        <v/>
      </c>
      <c r="Q95" s="319">
        <f>-P85*$D$33</f>
        <v/>
      </c>
      <c r="R95" s="319">
        <f>-Q85*$D$33</f>
        <v/>
      </c>
      <c r="S95" s="319">
        <f>-R85*$D$33</f>
        <v/>
      </c>
      <c r="T95" s="319">
        <f>-S85*$D$33</f>
        <v/>
      </c>
      <c r="U95" s="319">
        <f>-T85*$D$33</f>
        <v/>
      </c>
      <c r="V95" s="319">
        <f>-U85*$D$33</f>
        <v/>
      </c>
      <c r="W95" s="319">
        <f>-V85*$D$33</f>
        <v/>
      </c>
      <c r="X95" s="319">
        <f>-W85*$D$33</f>
        <v/>
      </c>
    </row>
    <row r="96" ht="15.75" customHeight="1" s="161">
      <c r="B96" s="320" t="inlineStr">
        <is>
          <t>年底減資</t>
        </is>
      </c>
      <c r="C96" s="321" t="n"/>
      <c r="D96" s="321" t="n">
        <v>0</v>
      </c>
      <c r="E96" s="322" t="n">
        <v>0</v>
      </c>
      <c r="F96" s="322" t="n">
        <v>0</v>
      </c>
      <c r="G96" s="322" t="n">
        <v>0</v>
      </c>
      <c r="H96" s="322" t="n">
        <v>0</v>
      </c>
      <c r="I96" s="322" t="n">
        <v>0</v>
      </c>
      <c r="J96" s="322" t="n">
        <v>0</v>
      </c>
      <c r="K96" s="322" t="n">
        <v>0</v>
      </c>
      <c r="L96" s="322" t="n">
        <v>0</v>
      </c>
      <c r="M96" s="322" t="n">
        <v>0</v>
      </c>
      <c r="N96" s="322" t="n">
        <v>0</v>
      </c>
      <c r="O96" s="322" t="n">
        <v>0</v>
      </c>
      <c r="P96" s="322" t="n">
        <v>0</v>
      </c>
      <c r="Q96" s="322" t="n">
        <v>0</v>
      </c>
      <c r="R96" s="322" t="n">
        <v>0</v>
      </c>
      <c r="S96" s="322" t="n">
        <v>0</v>
      </c>
      <c r="T96" s="322" t="n">
        <v>-708662.5</v>
      </c>
      <c r="U96" s="322" t="n">
        <v>-708662.5</v>
      </c>
      <c r="V96" s="322" t="n">
        <v>-708662.5</v>
      </c>
      <c r="W96" s="322" t="n">
        <v>-708662.5</v>
      </c>
      <c r="X96" s="323">
        <f>-W101-X95</f>
        <v/>
      </c>
    </row>
    <row r="97" ht="15.75" customHeight="1" s="161">
      <c r="B97" s="313" t="n"/>
      <c r="C97" s="313" t="n"/>
      <c r="D97" s="313" t="n"/>
      <c r="E97" s="313" t="n"/>
      <c r="F97" s="313" t="n"/>
      <c r="G97" s="313" t="n"/>
      <c r="H97" s="313" t="n"/>
      <c r="I97" s="313" t="n"/>
      <c r="J97" s="313" t="n"/>
      <c r="K97" s="313" t="n"/>
      <c r="L97" s="313" t="n"/>
      <c r="M97" s="313" t="n"/>
      <c r="N97" s="313" t="n"/>
      <c r="O97" s="313" t="n"/>
      <c r="P97" s="313" t="n"/>
      <c r="Q97" s="313" t="n"/>
      <c r="R97" s="313" t="n"/>
      <c r="S97" s="313" t="n"/>
      <c r="T97" s="313" t="n"/>
      <c r="U97" s="313" t="n"/>
      <c r="V97" s="313" t="n"/>
      <c r="W97" s="313" t="n"/>
      <c r="X97" s="278" t="n"/>
    </row>
    <row r="98" ht="15.75" customHeight="1" s="161">
      <c r="B98" s="313" t="n"/>
      <c r="C98" s="313" t="n"/>
      <c r="D98" s="313" t="n"/>
      <c r="E98" s="313" t="n"/>
      <c r="F98" s="313" t="n"/>
      <c r="G98" s="313" t="n"/>
      <c r="H98" s="313" t="n"/>
      <c r="I98" s="313" t="n"/>
      <c r="J98" s="313" t="n"/>
      <c r="K98" s="313" t="n"/>
      <c r="L98" s="313" t="n"/>
      <c r="M98" s="313" t="n"/>
      <c r="N98" s="313" t="n"/>
      <c r="O98" s="313" t="n"/>
      <c r="P98" s="313" t="n"/>
      <c r="Q98" s="313" t="n"/>
      <c r="R98" s="313" t="n"/>
      <c r="S98" s="313" t="n"/>
      <c r="T98" s="313" t="n"/>
      <c r="U98" s="313" t="n"/>
      <c r="V98" s="313" t="n"/>
      <c r="W98" s="313" t="n"/>
      <c r="X98" s="278" t="n"/>
    </row>
    <row r="99" ht="15.75" customHeight="1" s="161">
      <c r="B99" s="308" t="inlineStr">
        <is>
          <t>現金淨流入(出 )</t>
        </is>
      </c>
      <c r="C99" s="309" t="n">
        <v>0</v>
      </c>
      <c r="D99" s="309">
        <f>SUM(D87:D96)</f>
        <v/>
      </c>
      <c r="E99" s="309">
        <f>SUM(E87:E96)</f>
        <v/>
      </c>
      <c r="F99" s="309">
        <f>SUM(F87:F96)</f>
        <v/>
      </c>
      <c r="G99" s="309">
        <f>SUM(G87:G96)</f>
        <v/>
      </c>
      <c r="H99" s="309">
        <f>SUM(H87:H96)</f>
        <v/>
      </c>
      <c r="I99" s="309">
        <f>SUM(I87:I96)</f>
        <v/>
      </c>
      <c r="J99" s="309">
        <f>SUM(J87:J96)</f>
        <v/>
      </c>
      <c r="K99" s="309">
        <f>SUM(K87:K96)</f>
        <v/>
      </c>
      <c r="L99" s="309">
        <f>SUM(L87:L96)</f>
        <v/>
      </c>
      <c r="M99" s="309">
        <f>SUM(M87:M96)</f>
        <v/>
      </c>
      <c r="N99" s="309">
        <f>SUM(N87:N96)</f>
        <v/>
      </c>
      <c r="O99" s="309">
        <f>SUM(O87:O96)</f>
        <v/>
      </c>
      <c r="P99" s="309">
        <f>SUM(P87:P96)</f>
        <v/>
      </c>
      <c r="Q99" s="309">
        <f>SUM(Q87:Q96)</f>
        <v/>
      </c>
      <c r="R99" s="309">
        <f>SUM(R87:R96)</f>
        <v/>
      </c>
      <c r="S99" s="309">
        <f>SUM(S87:S96)</f>
        <v/>
      </c>
      <c r="T99" s="309">
        <f>SUM(T87:T96)</f>
        <v/>
      </c>
      <c r="U99" s="309">
        <f>SUM(U87:U96)</f>
        <v/>
      </c>
      <c r="V99" s="309">
        <f>SUM(V87:V96)</f>
        <v/>
      </c>
      <c r="W99" s="309">
        <f>SUM(W87:W96)</f>
        <v/>
      </c>
      <c r="X99" s="278" t="n"/>
    </row>
    <row r="100" ht="15.75" customHeight="1" s="161">
      <c r="B100" s="308" t="inlineStr">
        <is>
          <t>期初淨現金</t>
        </is>
      </c>
      <c r="C100" s="309" t="n">
        <v>0</v>
      </c>
      <c r="D100" s="309">
        <f>C101</f>
        <v/>
      </c>
      <c r="E100" s="309">
        <f>D101</f>
        <v/>
      </c>
      <c r="F100" s="309">
        <f>E101</f>
        <v/>
      </c>
      <c r="G100" s="309">
        <f>F101</f>
        <v/>
      </c>
      <c r="H100" s="309">
        <f>G101</f>
        <v/>
      </c>
      <c r="I100" s="309">
        <f>H101</f>
        <v/>
      </c>
      <c r="J100" s="309">
        <f>I101</f>
        <v/>
      </c>
      <c r="K100" s="309">
        <f>J101</f>
        <v/>
      </c>
      <c r="L100" s="309">
        <f>K101</f>
        <v/>
      </c>
      <c r="M100" s="309">
        <f>L101</f>
        <v/>
      </c>
      <c r="N100" s="309">
        <f>M101</f>
        <v/>
      </c>
      <c r="O100" s="309">
        <f>N101</f>
        <v/>
      </c>
      <c r="P100" s="309">
        <f>O101</f>
        <v/>
      </c>
      <c r="Q100" s="309">
        <f>P101</f>
        <v/>
      </c>
      <c r="R100" s="309">
        <f>Q101</f>
        <v/>
      </c>
      <c r="S100" s="309">
        <f>R101</f>
        <v/>
      </c>
      <c r="T100" s="309">
        <f>S101</f>
        <v/>
      </c>
      <c r="U100" s="309">
        <f>T101</f>
        <v/>
      </c>
      <c r="V100" s="309">
        <f>U101</f>
        <v/>
      </c>
      <c r="W100" s="309">
        <f>V101</f>
        <v/>
      </c>
      <c r="X100" s="277" t="n"/>
    </row>
    <row r="101" ht="15.75" customHeight="1" s="161">
      <c r="B101" s="308" t="inlineStr">
        <is>
          <t>期未淨現金</t>
        </is>
      </c>
      <c r="C101" s="309" t="n">
        <v>0</v>
      </c>
      <c r="D101" s="309">
        <f>D99+D100</f>
        <v/>
      </c>
      <c r="E101" s="309">
        <f>E99+E100</f>
        <v/>
      </c>
      <c r="F101" s="309">
        <f>F99+F100</f>
        <v/>
      </c>
      <c r="G101" s="309">
        <f>G99+G100</f>
        <v/>
      </c>
      <c r="H101" s="309">
        <f>H99+H100</f>
        <v/>
      </c>
      <c r="I101" s="309">
        <f>I99+I100</f>
        <v/>
      </c>
      <c r="J101" s="309">
        <f>J99+J100</f>
        <v/>
      </c>
      <c r="K101" s="309">
        <f>K99+K100</f>
        <v/>
      </c>
      <c r="L101" s="309">
        <f>L99+L100</f>
        <v/>
      </c>
      <c r="M101" s="309">
        <f>M99+M100</f>
        <v/>
      </c>
      <c r="N101" s="309">
        <f>N99+N100</f>
        <v/>
      </c>
      <c r="O101" s="309">
        <f>O99+O100</f>
        <v/>
      </c>
      <c r="P101" s="309">
        <f>P99+P100</f>
        <v/>
      </c>
      <c r="Q101" s="309">
        <f>Q99+Q100</f>
        <v/>
      </c>
      <c r="R101" s="309">
        <f>R99+R100</f>
        <v/>
      </c>
      <c r="S101" s="309">
        <f>S99+S100</f>
        <v/>
      </c>
      <c r="T101" s="309">
        <f>T99+T100</f>
        <v/>
      </c>
      <c r="U101" s="309">
        <f>U99+U100</f>
        <v/>
      </c>
      <c r="V101" s="309">
        <f>V99+V100</f>
        <v/>
      </c>
      <c r="W101" s="309">
        <f>W99+W100</f>
        <v/>
      </c>
      <c r="X101" s="277" t="n"/>
    </row>
    <row r="102" ht="15.75" customHeight="1" s="161">
      <c r="B102" s="308" t="n"/>
      <c r="C102" s="308" t="n"/>
      <c r="D102" s="308" t="n"/>
      <c r="E102" s="308" t="n"/>
      <c r="F102" s="308" t="n"/>
      <c r="G102" s="308" t="n"/>
      <c r="H102" s="308" t="n"/>
      <c r="I102" s="308" t="n"/>
      <c r="J102" s="308" t="n"/>
      <c r="K102" s="308" t="n"/>
      <c r="L102" s="308" t="n"/>
      <c r="M102" s="308" t="n"/>
      <c r="N102" s="308" t="n"/>
      <c r="O102" s="308" t="n"/>
      <c r="P102" s="308" t="n"/>
      <c r="Q102" s="308" t="n"/>
      <c r="R102" s="308" t="n"/>
      <c r="S102" s="308" t="n"/>
      <c r="T102" s="308" t="n"/>
      <c r="U102" s="308" t="n"/>
      <c r="V102" s="308" t="n"/>
      <c r="W102" s="308" t="n"/>
      <c r="X102" s="308" t="n"/>
    </row>
    <row r="103" ht="15.75" customHeight="1" s="161">
      <c r="B103" s="308" t="n"/>
      <c r="C103" s="308" t="n"/>
      <c r="D103" s="308" t="n"/>
      <c r="E103" s="308" t="n"/>
      <c r="F103" s="313" t="n"/>
      <c r="G103" s="308" t="n"/>
      <c r="H103" s="308" t="n"/>
      <c r="I103" s="308" t="n"/>
      <c r="J103" s="308" t="n"/>
      <c r="K103" s="308" t="n"/>
      <c r="L103" s="308" t="n"/>
      <c r="M103" s="308" t="n"/>
      <c r="N103" s="308" t="n"/>
      <c r="O103" s="308" t="n"/>
      <c r="P103" s="308" t="n"/>
      <c r="Q103" s="308" t="n"/>
      <c r="R103" s="308" t="n"/>
      <c r="S103" s="308" t="n"/>
      <c r="T103" s="308" t="n"/>
      <c r="U103" s="308" t="n"/>
      <c r="V103" s="308" t="n"/>
      <c r="W103" s="308" t="n"/>
      <c r="X103" s="308" t="n"/>
    </row>
    <row r="104" ht="15.75" customHeight="1" s="161">
      <c r="B104" s="324" t="inlineStr">
        <is>
          <t>成本法實際現金流</t>
        </is>
      </c>
      <c r="C104" s="325" t="n"/>
      <c r="D104" s="326">
        <f>-D94</f>
        <v/>
      </c>
      <c r="E104" s="312">
        <f>-E95-E96</f>
        <v/>
      </c>
      <c r="F104" s="312">
        <f>-F95-F96</f>
        <v/>
      </c>
      <c r="G104" s="312">
        <f>-G95-G96</f>
        <v/>
      </c>
      <c r="H104" s="312">
        <f>-H95-H96</f>
        <v/>
      </c>
      <c r="I104" s="312">
        <f>-I95-I96</f>
        <v/>
      </c>
      <c r="J104" s="312">
        <f>-J95-J96</f>
        <v/>
      </c>
      <c r="K104" s="312">
        <f>-K95-K96</f>
        <v/>
      </c>
      <c r="L104" s="312">
        <f>-L95-L96</f>
        <v/>
      </c>
      <c r="M104" s="312">
        <f>-M95-M96</f>
        <v/>
      </c>
      <c r="N104" s="312">
        <f>-N95-N96</f>
        <v/>
      </c>
      <c r="O104" s="312">
        <f>-O95-O96</f>
        <v/>
      </c>
      <c r="P104" s="312">
        <f>-P95-P96</f>
        <v/>
      </c>
      <c r="Q104" s="312">
        <f>-Q95-Q96</f>
        <v/>
      </c>
      <c r="R104" s="312">
        <f>-R95-R96</f>
        <v/>
      </c>
      <c r="S104" s="312">
        <f>-S95-S96</f>
        <v/>
      </c>
      <c r="T104" s="312">
        <f>-T95-T96</f>
        <v/>
      </c>
      <c r="U104" s="312">
        <f>-U95-U96</f>
        <v/>
      </c>
      <c r="V104" s="312">
        <f>-V95-V96</f>
        <v/>
      </c>
      <c r="W104" s="312">
        <f>-W95-W96</f>
        <v/>
      </c>
      <c r="X104" s="312">
        <f>-X95-X96</f>
        <v/>
      </c>
    </row>
    <row r="105" ht="15.75" customHeight="1" s="161">
      <c r="B105" s="308" t="inlineStr">
        <is>
          <t>成本法IRR</t>
        </is>
      </c>
      <c r="C105" s="327">
        <f>IRR(D104:X104)</f>
        <v/>
      </c>
      <c r="D105" s="313" t="n"/>
      <c r="E105" s="313" t="n"/>
      <c r="F105" s="308" t="n"/>
      <c r="G105" s="308" t="n"/>
      <c r="H105" s="308" t="n"/>
      <c r="I105" s="308" t="n"/>
      <c r="J105" s="308" t="n"/>
      <c r="K105" s="308" t="n"/>
      <c r="L105" s="308" t="n"/>
      <c r="M105" s="308" t="n"/>
      <c r="N105" s="308" t="n"/>
      <c r="O105" s="308" t="n"/>
      <c r="P105" s="308" t="n"/>
      <c r="Q105" s="308" t="n"/>
      <c r="R105" s="308" t="n"/>
      <c r="S105" s="308" t="n"/>
      <c r="T105" s="308" t="n"/>
      <c r="U105" s="308" t="n"/>
      <c r="V105" s="308" t="n"/>
      <c r="W105" s="308" t="n"/>
      <c r="X105" s="308" t="n"/>
    </row>
    <row r="106" ht="15.75" customHeight="1" s="161">
      <c r="B106" s="324" t="inlineStr">
        <is>
          <t>權益法實際現金流</t>
        </is>
      </c>
      <c r="C106" s="325" t="n"/>
      <c r="D106" s="326">
        <f>D85-D94</f>
        <v/>
      </c>
      <c r="E106" s="312">
        <f>E85</f>
        <v/>
      </c>
      <c r="F106" s="312">
        <f>F85-F96</f>
        <v/>
      </c>
      <c r="G106" s="312">
        <f>G85-G96</f>
        <v/>
      </c>
      <c r="H106" s="312">
        <f>H85-H96</f>
        <v/>
      </c>
      <c r="I106" s="312">
        <f>I85-I96</f>
        <v/>
      </c>
      <c r="J106" s="312">
        <f>J85-J96</f>
        <v/>
      </c>
      <c r="K106" s="312">
        <f>K85-K96</f>
        <v/>
      </c>
      <c r="L106" s="312">
        <f>L85-L96</f>
        <v/>
      </c>
      <c r="M106" s="312">
        <f>M85-M96</f>
        <v/>
      </c>
      <c r="N106" s="312">
        <f>N85-N96</f>
        <v/>
      </c>
      <c r="O106" s="312">
        <f>O85-O96</f>
        <v/>
      </c>
      <c r="P106" s="312">
        <f>P85-P96</f>
        <v/>
      </c>
      <c r="Q106" s="312">
        <f>Q85-Q96</f>
        <v/>
      </c>
      <c r="R106" s="312">
        <f>R85-R96</f>
        <v/>
      </c>
      <c r="S106" s="312">
        <f>S85-S96</f>
        <v/>
      </c>
      <c r="T106" s="312">
        <f>T85-T96</f>
        <v/>
      </c>
      <c r="U106" s="312">
        <f>U85-U96</f>
        <v/>
      </c>
      <c r="V106" s="312">
        <f>V85-V96</f>
        <v/>
      </c>
      <c r="W106" s="312">
        <f>W85-W96</f>
        <v/>
      </c>
      <c r="X106" s="317" t="n"/>
    </row>
    <row r="107" ht="15.75" customHeight="1" s="161">
      <c r="B107" s="324" t="inlineStr">
        <is>
          <t>權益法IRR</t>
        </is>
      </c>
      <c r="C107" s="327">
        <f>IRR(D106:W106)</f>
        <v/>
      </c>
      <c r="D107" s="313" t="n"/>
      <c r="E107" s="313" t="n"/>
      <c r="F107" s="308" t="n"/>
      <c r="G107" s="308" t="n"/>
      <c r="H107" s="308" t="n"/>
      <c r="I107" s="308" t="n"/>
      <c r="J107" s="308" t="n"/>
      <c r="K107" s="308" t="n"/>
      <c r="L107" s="308" t="n"/>
      <c r="M107" s="308" t="n"/>
      <c r="N107" s="308" t="n"/>
      <c r="O107" s="308" t="n"/>
      <c r="P107" s="308" t="n"/>
      <c r="Q107" s="308" t="n"/>
      <c r="R107" s="308" t="n"/>
      <c r="S107" s="308" t="n"/>
      <c r="T107" s="308" t="n"/>
      <c r="U107" s="308" t="n"/>
      <c r="V107" s="308" t="n"/>
      <c r="W107" s="308" t="n"/>
      <c r="X107" s="308" t="n"/>
    </row>
    <row r="108" ht="15.75" customHeight="1" s="161">
      <c r="B108" s="308" t="n"/>
      <c r="C108" s="308" t="n"/>
      <c r="D108" s="308" t="n"/>
      <c r="E108" s="308" t="n"/>
      <c r="F108" s="308" t="n"/>
      <c r="G108" s="308" t="n"/>
      <c r="H108" s="308" t="n"/>
      <c r="I108" s="308" t="n"/>
      <c r="J108" s="308" t="n"/>
      <c r="K108" s="308" t="n"/>
      <c r="L108" s="308" t="n"/>
      <c r="M108" s="308" t="n"/>
      <c r="N108" s="308" t="n"/>
      <c r="O108" s="308" t="n"/>
      <c r="P108" s="308" t="n"/>
      <c r="Q108" s="308" t="n"/>
      <c r="R108" s="308" t="n"/>
      <c r="S108" s="308" t="n"/>
      <c r="T108" s="308" t="n"/>
      <c r="U108" s="308" t="n"/>
      <c r="V108" s="308" t="n"/>
      <c r="W108" s="308" t="n"/>
      <c r="X108" s="308" t="n"/>
    </row>
    <row r="109" ht="15.75" customHeight="1" s="161">
      <c r="B109" s="308" t="inlineStr">
        <is>
          <t>借款餘額</t>
        </is>
      </c>
      <c r="C109" s="309" t="n">
        <v>0</v>
      </c>
      <c r="D109" s="309">
        <f>D92</f>
        <v/>
      </c>
      <c r="E109" s="309">
        <f>D109+E93</f>
        <v/>
      </c>
      <c r="F109" s="309">
        <f>E109+F93</f>
        <v/>
      </c>
      <c r="G109" s="309">
        <f>F109+G93</f>
        <v/>
      </c>
      <c r="H109" s="309">
        <f>G109+H93</f>
        <v/>
      </c>
      <c r="I109" s="309">
        <f>H109+I93</f>
        <v/>
      </c>
      <c r="J109" s="309">
        <f>I109+J93</f>
        <v/>
      </c>
      <c r="K109" s="309">
        <f>J109+K93</f>
        <v/>
      </c>
      <c r="L109" s="309">
        <f>K109+L93</f>
        <v/>
      </c>
      <c r="M109" s="309">
        <f>L109+M93</f>
        <v/>
      </c>
      <c r="N109" s="309">
        <f>M109+N93</f>
        <v/>
      </c>
      <c r="O109" s="309">
        <f>N109+O93</f>
        <v/>
      </c>
      <c r="P109" s="309">
        <f>O109+P93</f>
        <v/>
      </c>
      <c r="Q109" s="309">
        <f>P109+Q93</f>
        <v/>
      </c>
      <c r="R109" s="309">
        <f>Q109+R93</f>
        <v/>
      </c>
      <c r="S109" s="309">
        <f>R109+S93</f>
        <v/>
      </c>
      <c r="T109" s="309">
        <f>S109+T93</f>
        <v/>
      </c>
      <c r="U109" s="309">
        <f>T109+U93</f>
        <v/>
      </c>
      <c r="V109" s="309">
        <f>U109+V93</f>
        <v/>
      </c>
      <c r="W109" s="309">
        <f>V109+W93</f>
        <v/>
      </c>
      <c r="X109" s="3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34" customWidth="1" style="160" min="2" max="2"/>
    <col width="27" customWidth="1" style="160" min="3" max="3"/>
    <col width="37" customWidth="1" style="160" min="4" max="5"/>
    <col width="50" customWidth="1" style="160" min="6" max="6"/>
    <col width="37" customWidth="1" style="160" min="7" max="12"/>
    <col width="50" customWidth="1" style="160" min="13" max="13"/>
    <col width="37" customWidth="1" style="160" min="14" max="23"/>
    <col width="30" customWidth="1" style="160" min="24" max="24"/>
    <col width="10" customWidth="1" style="160" min="25" max="27"/>
    <col width="11" customWidth="1" style="160" min="28" max="35"/>
    <col width="8" customWidth="1" style="160" min="36" max="36"/>
    <col width="9.140000000000001" customWidth="1" style="160" min="37" max="37"/>
  </cols>
  <sheetData>
    <row r="1" ht="22.5" customHeight="1" s="161">
      <c r="B1" s="162" t="inlineStr">
        <is>
          <t>電站基本資料</t>
        </is>
      </c>
      <c r="C1" s="203" t="n"/>
      <c r="D1" s="203" t="n"/>
      <c r="E1" s="204" t="n"/>
      <c r="F1" s="165" t="inlineStr">
        <is>
          <t>說明</t>
        </is>
      </c>
      <c r="P1" s="166">
        <f>1-D11</f>
        <v/>
      </c>
      <c r="Q1" s="166">
        <f>P1-$D12</f>
        <v/>
      </c>
      <c r="R1" s="166">
        <f>Q1-$D12</f>
        <v/>
      </c>
      <c r="S1" s="166">
        <f>R1-$D12</f>
        <v/>
      </c>
      <c r="T1" s="166">
        <f>S1-$D12</f>
        <v/>
      </c>
      <c r="U1" s="166">
        <f>T1-$D12</f>
        <v/>
      </c>
      <c r="V1" s="166">
        <f>U1-$D12</f>
        <v/>
      </c>
      <c r="W1" s="166">
        <f>V1-$D12</f>
        <v/>
      </c>
      <c r="X1" s="166">
        <f>W1-$D12</f>
        <v/>
      </c>
      <c r="Y1" s="166">
        <f>X1-$D12</f>
        <v/>
      </c>
      <c r="Z1" s="166">
        <f>Y1-$D12</f>
        <v/>
      </c>
      <c r="AA1" s="166">
        <f>Z1-$D12</f>
        <v/>
      </c>
      <c r="AB1" s="166">
        <f>AA1-$D12</f>
        <v/>
      </c>
      <c r="AC1" s="166">
        <f>AB1-$D12</f>
        <v/>
      </c>
      <c r="AD1" s="166">
        <f>AC1-$D12</f>
        <v/>
      </c>
      <c r="AE1" s="166">
        <f>AD1-$D12</f>
        <v/>
      </c>
      <c r="AF1" s="166">
        <f>AE1-$D12</f>
        <v/>
      </c>
      <c r="AG1" s="166">
        <f>AF1-$D12</f>
        <v/>
      </c>
      <c r="AH1" s="166">
        <f>AG1-$D12</f>
        <v/>
      </c>
      <c r="AI1" s="166">
        <f>AH1-$D12</f>
        <v/>
      </c>
    </row>
    <row r="2" ht="21.75" customHeight="1" s="161">
      <c r="B2" s="205" t="inlineStr">
        <is>
          <t>電站名稱</t>
        </is>
      </c>
      <c r="C2" s="206" t="inlineStr">
        <is>
          <t>淡江大學</t>
        </is>
      </c>
      <c r="D2" s="169" t="inlineStr">
        <is>
          <t>-</t>
        </is>
      </c>
      <c r="E2" s="170" t="inlineStr">
        <is>
          <t>-</t>
        </is>
      </c>
      <c r="F2" s="207" t="inlineStr">
        <is>
          <t>填入本案場名稱</t>
        </is>
      </c>
    </row>
    <row r="3" ht="21.75" customHeight="1" s="161">
      <c r="B3" s="208" t="inlineStr">
        <is>
          <t>電站壽命</t>
        </is>
      </c>
      <c r="C3" s="209" t="n">
        <v>20</v>
      </c>
      <c r="D3" s="174" t="inlineStr">
        <is>
          <t>-</t>
        </is>
      </c>
      <c r="E3" s="175" t="inlineStr">
        <is>
          <t>-</t>
        </is>
      </c>
      <c r="F3" s="171" t="inlineStr">
        <is>
          <t>預設 20 年，代表財務評估年期。若合約年限不同可依實際情況修改</t>
        </is>
      </c>
    </row>
    <row r="4" ht="21.75" customHeight="1" s="161">
      <c r="B4" s="208" t="inlineStr">
        <is>
          <t>建置量(kWp)</t>
        </is>
      </c>
      <c r="C4" s="209" t="n">
        <v>436.1</v>
      </c>
      <c r="D4" s="174" t="inlineStr">
        <is>
          <t>-</t>
        </is>
      </c>
      <c r="E4" s="175" t="inlineStr">
        <is>
          <t>-</t>
        </is>
      </c>
      <c r="F4" s="171" t="inlineStr">
        <is>
          <t>填入裝置容量（kWp），通常由設計圖面或報價書取得</t>
        </is>
      </c>
      <c r="M4" s="160" t="inlineStr">
        <is>
          <t>情境編號: 5</t>
        </is>
      </c>
    </row>
    <row r="5" ht="22.5" customHeight="1" s="161">
      <c r="B5" s="210" t="inlineStr">
        <is>
          <t>起始年度</t>
        </is>
      </c>
      <c r="C5" s="209" t="n">
        <v>2020</v>
      </c>
      <c r="D5" s="210" t="inlineStr">
        <is>
          <t>結束年度</t>
        </is>
      </c>
      <c r="E5" s="211" t="n">
        <v>2039</v>
      </c>
      <c r="F5" s="171" t="inlineStr">
        <is>
          <t>填入電站預計掛表的西元年份（例：2025）。結束年度會自動計算</t>
        </is>
      </c>
      <c r="M5" s="160" t="inlineStr">
        <is>
          <t>第4次滾算摘要</t>
        </is>
      </c>
    </row>
    <row r="6" ht="20.25" customHeight="1" s="161">
      <c r="B6" s="176" t="n"/>
      <c r="C6" s="176" t="n"/>
      <c r="D6" s="176" t="n"/>
      <c r="E6" s="176" t="n"/>
      <c r="M6" s="160" t="inlineStr">
        <is>
          <t>價金: 22000</t>
        </is>
      </c>
    </row>
    <row r="7" ht="22.5" customHeight="1" s="161">
      <c r="B7" s="162" t="inlineStr">
        <is>
          <t>綜合損益表</t>
        </is>
      </c>
      <c r="C7" s="203" t="n"/>
      <c r="D7" s="203" t="n"/>
      <c r="E7" s="204" t="n"/>
      <c r="M7" s="160" t="inlineStr">
        <is>
          <t>專案IRR: 8.64</t>
        </is>
      </c>
    </row>
    <row r="8" ht="22.5" customHeight="1" s="161">
      <c r="B8" s="178" t="inlineStr">
        <is>
          <t>收入</t>
        </is>
      </c>
      <c r="E8" s="212" t="n"/>
      <c r="M8" s="160" t="inlineStr">
        <is>
          <t>權益法IRR: 33.0</t>
        </is>
      </c>
    </row>
    <row r="9" ht="22.5" customHeight="1" s="161">
      <c r="B9" s="213" t="inlineStr">
        <is>
          <t>收支項目</t>
        </is>
      </c>
      <c r="C9" s="214" t="inlineStr">
        <is>
          <t>相關參數</t>
        </is>
      </c>
      <c r="D9" s="214" t="inlineStr">
        <is>
          <t>參數數值</t>
        </is>
      </c>
      <c r="E9" s="215" t="inlineStr">
        <is>
          <t>年限</t>
        </is>
      </c>
      <c r="F9" s="165" t="inlineStr">
        <is>
          <t>說明</t>
        </is>
      </c>
      <c r="M9" s="160" t="inlineStr">
        <is>
          <t>利潤率: 20.00%</t>
        </is>
      </c>
    </row>
    <row r="10" ht="30" customHeight="1" s="161">
      <c r="B10" s="216" t="inlineStr">
        <is>
          <t>電費收入</t>
        </is>
      </c>
      <c r="C10" s="217" t="inlineStr">
        <is>
          <t>年度AC併網總發電量</t>
        </is>
      </c>
      <c r="D10" s="218" t="n">
        <v>547002</v>
      </c>
      <c r="E10" s="185" t="n">
        <v>20</v>
      </c>
      <c r="F10" s="171" t="inlineStr">
        <is>
          <t>預估年發電量（kWh），通常來自 PVsyst 模擬或估算：裝置容量 × 年日照時數 × 系統效率</t>
        </is>
      </c>
      <c r="M10" s="160" t="inlineStr">
        <is>
          <t>第4次滾算，減少 2000 元 - 現金模式，每次減少 2000 元</t>
        </is>
      </c>
    </row>
    <row r="11" ht="30" customHeight="1" s="161">
      <c r="B11" s="219" t="n"/>
      <c r="C11" s="210" t="inlineStr">
        <is>
          <t>首年衰退率</t>
        </is>
      </c>
      <c r="D11" s="220" t="n">
        <v>0.01</v>
      </c>
      <c r="E11" s="221" t="n"/>
      <c r="F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B12" s="219" t="n"/>
      <c r="C12" s="210" t="inlineStr">
        <is>
          <t>次年衰退率</t>
        </is>
      </c>
      <c r="D12" s="222" t="n">
        <v>0.004</v>
      </c>
      <c r="E12" s="221" t="n"/>
      <c r="F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B13" s="219" t="n"/>
      <c r="C13" s="223" t="inlineStr">
        <is>
          <t>躉售費率(FIT) / 綠電費率</t>
        </is>
      </c>
      <c r="D13" s="224" t="n">
        <v>4</v>
      </c>
      <c r="E13" s="221" t="n"/>
      <c r="F13" s="171" t="inlineStr">
        <is>
          <t>與台電簽訂的躉購費率或綠電合約費率，單位：元/度。請參考台電公告或合約內容</t>
        </is>
      </c>
    </row>
    <row r="14" ht="22.5" customHeight="1" s="161">
      <c r="B14" s="192" t="inlineStr">
        <is>
          <t>支出</t>
        </is>
      </c>
      <c r="C14" s="203" t="n"/>
      <c r="D14" s="203" t="n"/>
      <c r="E14" s="204" t="n"/>
    </row>
    <row r="15" ht="22.5" customHeight="1" s="161">
      <c r="B15" s="213" t="inlineStr">
        <is>
          <t>收支項目</t>
        </is>
      </c>
      <c r="C15" s="214" t="inlineStr">
        <is>
          <t>相關參數</t>
        </is>
      </c>
      <c r="D15" s="214" t="inlineStr">
        <is>
          <t>參數數值</t>
        </is>
      </c>
      <c r="E15" s="215" t="inlineStr">
        <is>
          <t>攤提年限</t>
        </is>
      </c>
      <c r="F15" s="165" t="inlineStr">
        <is>
          <t>說明</t>
        </is>
      </c>
    </row>
    <row r="16" ht="21.75" customHeight="1" s="161">
      <c r="B16" s="217" t="inlineStr">
        <is>
          <t>設備費用(價金)</t>
        </is>
      </c>
      <c r="C16" s="217" t="inlineStr">
        <is>
          <t>每kWp設備成本</t>
        </is>
      </c>
      <c r="D16" s="225" t="n">
        <v>22000</v>
      </c>
      <c r="E16" s="170" t="n">
        <v>20</v>
      </c>
      <c r="F16" s="171" t="inlineStr">
        <is>
          <t>每峰瓩設備成本（元/kWp），包含模組、逆變器、支架等硬體，不含工程施工費</t>
        </is>
      </c>
    </row>
    <row r="17" ht="21.75" customHeight="1" s="161">
      <c r="B17" s="219" t="n"/>
      <c r="C17" s="210" t="inlineStr">
        <is>
          <t>信邦利潤率(ex:20%填0.2)</t>
        </is>
      </c>
      <c r="D17" s="226" t="n">
        <v>0.2</v>
      </c>
      <c r="E17" s="221" t="n"/>
      <c r="F17" s="171" t="inlineStr">
        <is>
          <t>公司在設備費用上加計的利潤比率，請填小數（例：20% → 填 0.2）</t>
        </is>
      </c>
    </row>
    <row r="18" ht="21.75" customHeight="1" s="161">
      <c r="B18" s="227" t="n"/>
      <c r="C18" s="210" t="inlineStr">
        <is>
          <t>開發費</t>
        </is>
      </c>
      <c r="D18" s="228" t="n">
        <v>2500</v>
      </c>
      <c r="E18" s="229" t="n"/>
      <c r="F18" s="171" t="inlineStr">
        <is>
          <t>前期開發費用（元），含可行性評估、申請規費、地主溝通等。若無則填 0</t>
        </is>
      </c>
    </row>
    <row r="19" ht="54" customHeight="1" s="161">
      <c r="B19" s="210" t="inlineStr">
        <is>
          <t>租金費用</t>
        </is>
      </c>
      <c r="C19" s="230" t="inlineStr">
        <is>
          <t>租金計算方式</t>
        </is>
      </c>
      <c r="D19" s="226" t="n">
        <v>1</v>
      </c>
      <c r="E19" s="170" t="n">
        <v>20</v>
      </c>
      <c r="F19" s="171" t="inlineStr">
        <is>
          <t>填 1 = 固定年租金（需填方式1參數）；填 2 = 依電費收入抽成（需填方式2參數）</t>
        </is>
      </c>
    </row>
    <row r="20" ht="20.25" customHeight="1" s="161">
      <c r="B20" s="219" t="n"/>
      <c r="C20" s="231" t="inlineStr">
        <is>
          <t>【方式1參數】每年相同價格</t>
        </is>
      </c>
      <c r="D20" s="228" t="n">
        <v>290201</v>
      </c>
      <c r="E20" s="170" t="n">
        <v>20</v>
      </c>
      <c r="F20" s="171" t="inlineStr">
        <is>
          <t>租金計算方式選「1」時填寫，固定年租金金額（元/年），套用至整個電站壽命期</t>
        </is>
      </c>
    </row>
    <row r="21" ht="30" customHeight="1" s="161">
      <c r="B21" s="227" t="n"/>
      <c r="C21" s="210" t="inlineStr">
        <is>
          <t>【方式2參數】抽成比率</t>
        </is>
      </c>
      <c r="D21" s="226" t="n">
        <v>0</v>
      </c>
      <c r="E21" s="175" t="n">
        <v>20</v>
      </c>
      <c r="F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B22" s="210" t="inlineStr">
        <is>
          <t>運維費用</t>
        </is>
      </c>
      <c r="C22" s="210" t="inlineStr">
        <is>
          <t>每kw運維成本</t>
        </is>
      </c>
      <c r="D22" s="232" t="n">
        <v>400</v>
      </c>
      <c r="E22" s="175" t="n">
        <v>20</v>
      </c>
      <c r="F22" s="171" t="inlineStr">
        <is>
          <t>每峰瓩每年運維費用（元/kWp/年），含清洗、巡檢、維修等。</t>
        </is>
      </c>
    </row>
    <row r="23" ht="30" customHeight="1" s="161">
      <c r="B23" s="210" t="inlineStr">
        <is>
          <t>保險費用</t>
        </is>
      </c>
      <c r="C23" s="210" t="inlineStr">
        <is>
          <t>占整體設備費用比例</t>
        </is>
      </c>
      <c r="D23" s="226" t="n">
        <v>0.003</v>
      </c>
      <c r="E23" s="175" t="n">
        <v>20</v>
      </c>
      <c r="F23" s="171" t="inlineStr">
        <is>
          <t>保險費佔設備總費用比率，填小數（例：0.3% → 填 0.003）。預設 0.003，可依投保條件調整</t>
        </is>
      </c>
    </row>
    <row r="24" ht="30" customHeight="1" s="161">
      <c r="B24" s="210" t="inlineStr">
        <is>
          <t>模組回收費用</t>
        </is>
      </c>
      <c r="C24" s="210" t="inlineStr">
        <is>
          <t>每kw模組回收成本</t>
        </is>
      </c>
      <c r="D24" s="232" t="n">
        <v>1000</v>
      </c>
      <c r="E24" s="199" t="n">
        <v>10</v>
      </c>
      <c r="F24" s="171" t="inlineStr">
        <is>
          <t>每峰瓩模組廢棄回收費用（元/kWp），於第 1~10 年計提（攤提 10 年）。</t>
        </is>
      </c>
    </row>
    <row r="25" ht="30" customHeight="1" s="161">
      <c r="B25" s="210" t="inlineStr">
        <is>
          <t>利息費用</t>
        </is>
      </c>
      <c r="C25" s="210" t="inlineStr">
        <is>
          <t>銀行利率</t>
        </is>
      </c>
      <c r="D25" s="233" t="n">
        <v>0.0256</v>
      </c>
      <c r="E25" s="175" t="n">
        <v>20</v>
      </c>
      <c r="F25" s="171" t="inlineStr">
        <is>
          <t>向銀行貸款的年利率，填小數（例：2.56% → 填 0.0256）。請依銀行核准利率填入</t>
        </is>
      </c>
    </row>
    <row r="26" ht="30" customHeight="1" s="161">
      <c r="B26" s="210" t="inlineStr">
        <is>
          <t>所得稅</t>
        </is>
      </c>
      <c r="C26" s="210" t="inlineStr">
        <is>
          <t>所得稅率</t>
        </is>
      </c>
      <c r="D26" s="226" t="n">
        <v>0.2</v>
      </c>
      <c r="E26" s="175" t="n">
        <v>20</v>
      </c>
      <c r="F26" s="171" t="inlineStr">
        <is>
          <t>公司所得稅率，填小數（例：20% → 填 0.2）。預設 0.2，通常不需更改</t>
        </is>
      </c>
    </row>
    <row r="27" ht="20.25" customHeight="1" s="161">
      <c r="B27" s="176" t="n"/>
      <c r="C27" s="176" t="n"/>
      <c r="D27" s="176" t="n"/>
      <c r="E27" s="176" t="n"/>
    </row>
    <row r="28" ht="20.25" customHeight="1" s="161">
      <c r="B28" s="176" t="n"/>
      <c r="C28" s="176" t="n"/>
      <c r="D28" s="176" t="n"/>
      <c r="E28" s="176" t="n"/>
    </row>
    <row r="29" ht="22.5" customHeight="1" s="161">
      <c r="B29" s="162" t="inlineStr">
        <is>
          <t>現金流量表</t>
        </is>
      </c>
      <c r="C29" s="203" t="n"/>
      <c r="D29" s="204" t="n"/>
      <c r="E29" s="176" t="n"/>
    </row>
    <row r="30" ht="22.5" customHeight="1" s="161">
      <c r="B30" s="213" t="inlineStr">
        <is>
          <t>金流項目</t>
        </is>
      </c>
      <c r="C30" s="234" t="inlineStr">
        <is>
          <t>相關參數</t>
        </is>
      </c>
      <c r="D30" s="235" t="inlineStr">
        <is>
          <t>參數數值</t>
        </is>
      </c>
      <c r="E30" s="176" t="n"/>
      <c r="F30" s="165" t="inlineStr">
        <is>
          <t>說明</t>
        </is>
      </c>
    </row>
    <row r="31" ht="30" customHeight="1" s="161">
      <c r="B31" s="217" t="inlineStr">
        <is>
          <t>貸款成數</t>
        </is>
      </c>
      <c r="C31" s="205" t="inlineStr">
        <is>
          <t>占總設備費用比例</t>
        </is>
      </c>
      <c r="D31" s="236" t="n">
        <v>0.8</v>
      </c>
      <c r="E31" s="176" t="n"/>
      <c r="F31" s="171" t="inlineStr">
        <is>
          <t>貸款佔設備總費用比例，填小數（例：80% → 填 0.8）。預設 0.8 代表貸八成、自備二成</t>
        </is>
      </c>
    </row>
    <row r="32" ht="18.75" customHeight="1" s="161">
      <c r="B32" s="217" t="inlineStr">
        <is>
          <t>貸款還款</t>
        </is>
      </c>
      <c r="C32" s="205" t="inlineStr">
        <is>
          <t>攤還期數</t>
        </is>
      </c>
      <c r="D32" s="236" t="n">
        <v>15</v>
      </c>
      <c r="E32" s="176" t="n"/>
      <c r="F32" s="171" t="inlineStr">
        <is>
          <t>貸款還款年數（年）。預設 15 年，代表分 15 年平均攤還本金</t>
        </is>
      </c>
    </row>
    <row r="33" ht="18.75" customHeight="1" s="161">
      <c r="B33" s="210" t="inlineStr">
        <is>
          <t>現金股利</t>
        </is>
      </c>
      <c r="C33" s="208" t="inlineStr">
        <is>
          <t>股利比率</t>
        </is>
      </c>
      <c r="D33" s="226" t="n">
        <v>0.9</v>
      </c>
      <c r="E33" s="176" t="n"/>
      <c r="F33" s="171" t="inlineStr">
        <is>
          <t>稅後現金流中分配給股東的比例，填小數（例：90% → 填 0.9）</t>
        </is>
      </c>
    </row>
    <row r="34" ht="30" customHeight="1" s="161">
      <c r="B34" s="210" t="inlineStr">
        <is>
          <t>年底減資</t>
        </is>
      </c>
      <c r="C34" s="208" t="inlineStr">
        <is>
          <t>攤還期數</t>
        </is>
      </c>
      <c r="D34" s="226" t="n">
        <v>4</v>
      </c>
      <c r="E34" s="176" t="n"/>
      <c r="F34" s="171" t="inlineStr">
        <is>
          <t>年底減資返還股東的年數。預設 4 年，代表 倒數 4 年進行減資，加速資金返還</t>
        </is>
      </c>
    </row>
    <row r="35" ht="18.75" customHeight="1" s="161"/>
    <row r="36" ht="18.75" customHeight="1" s="161"/>
    <row r="37" ht="18.75" customHeight="1" s="161">
      <c r="B37" s="237" t="n"/>
      <c r="C37" s="238" t="inlineStr">
        <is>
          <t>年份</t>
        </is>
      </c>
      <c r="D37" s="238" t="n">
        <v>2020</v>
      </c>
      <c r="E37" s="238" t="n">
        <v>2021</v>
      </c>
      <c r="F37" s="238" t="n">
        <v>2022</v>
      </c>
      <c r="G37" s="238" t="n">
        <v>2023</v>
      </c>
      <c r="H37" s="238" t="n">
        <v>2024</v>
      </c>
      <c r="I37" s="238" t="n">
        <v>2025</v>
      </c>
      <c r="J37" s="238" t="n">
        <v>2026</v>
      </c>
      <c r="K37" s="238" t="n">
        <v>2027</v>
      </c>
      <c r="L37" s="238" t="n">
        <v>2028</v>
      </c>
      <c r="M37" s="238" t="n">
        <v>2029</v>
      </c>
      <c r="N37" s="238" t="n">
        <v>2030</v>
      </c>
      <c r="O37" s="238" t="n">
        <v>2031</v>
      </c>
      <c r="P37" s="238" t="n">
        <v>2032</v>
      </c>
      <c r="Q37" s="238" t="n">
        <v>2033</v>
      </c>
      <c r="R37" s="238" t="n">
        <v>2034</v>
      </c>
      <c r="S37" s="238" t="n">
        <v>2035</v>
      </c>
      <c r="T37" s="238" t="n">
        <v>2036</v>
      </c>
      <c r="U37" s="238" t="n">
        <v>2037</v>
      </c>
      <c r="V37" s="238" t="n">
        <v>2038</v>
      </c>
      <c r="W37" s="238" t="n">
        <v>2039</v>
      </c>
      <c r="X37" s="238" t="n"/>
    </row>
    <row r="38" ht="18.75" customHeight="1" s="161">
      <c r="B38" s="239" t="n">
        <v>0</v>
      </c>
      <c r="C38" s="240" t="n"/>
      <c r="D38" s="241" t="n"/>
      <c r="E38" s="241" t="n"/>
      <c r="F38" s="242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4" t="n"/>
      <c r="U38" s="243" t="n"/>
      <c r="V38" s="243" t="n"/>
      <c r="W38" s="243" t="n"/>
      <c r="X38" s="245" t="n"/>
    </row>
    <row r="39" ht="18.75" customHeight="1" s="161">
      <c r="B39" s="246" t="inlineStr">
        <is>
          <t>(Unit : Currency)</t>
        </is>
      </c>
      <c r="C39" s="247" t="n">
        <v>0</v>
      </c>
      <c r="D39" s="248" t="n">
        <v>1</v>
      </c>
      <c r="E39" s="248" t="n">
        <v>2</v>
      </c>
      <c r="F39" s="248" t="n">
        <v>3</v>
      </c>
      <c r="G39" s="248" t="n">
        <v>4</v>
      </c>
      <c r="H39" s="248" t="n">
        <v>5</v>
      </c>
      <c r="I39" s="248" t="n">
        <v>6</v>
      </c>
      <c r="J39" s="248" t="n">
        <v>7</v>
      </c>
      <c r="K39" s="248" t="n">
        <v>8</v>
      </c>
      <c r="L39" s="248" t="n">
        <v>9</v>
      </c>
      <c r="M39" s="248" t="n">
        <v>10</v>
      </c>
      <c r="N39" s="248" t="n">
        <v>11</v>
      </c>
      <c r="O39" s="248" t="n">
        <v>12</v>
      </c>
      <c r="P39" s="248" t="n">
        <v>13</v>
      </c>
      <c r="Q39" s="248" t="n">
        <v>14</v>
      </c>
      <c r="R39" s="248" t="n">
        <v>15</v>
      </c>
      <c r="S39" s="248" t="n">
        <v>16</v>
      </c>
      <c r="T39" s="249" t="n">
        <v>17</v>
      </c>
      <c r="U39" s="248" t="n">
        <v>18</v>
      </c>
      <c r="V39" s="248" t="n">
        <v>19</v>
      </c>
      <c r="W39" s="248" t="n">
        <v>20</v>
      </c>
      <c r="X39" s="250" t="n"/>
    </row>
    <row r="40" ht="18.75" customHeight="1" s="161">
      <c r="B40" s="251" t="inlineStr">
        <is>
          <t>發電度數(KWH)</t>
        </is>
      </c>
      <c r="C40" s="252" t="n">
        <v>0</v>
      </c>
      <c r="D40" s="253">
        <f>$D$10*P1</f>
        <v/>
      </c>
      <c r="E40" s="253">
        <f>$D$10*Q1</f>
        <v/>
      </c>
      <c r="F40" s="253">
        <f>$D$10*R1</f>
        <v/>
      </c>
      <c r="G40" s="253">
        <f>$D$10*S1</f>
        <v/>
      </c>
      <c r="H40" s="253">
        <f>$D$10*T1</f>
        <v/>
      </c>
      <c r="I40" s="253">
        <f>$D$10*U1</f>
        <v/>
      </c>
      <c r="J40" s="253">
        <f>$D$10*V1</f>
        <v/>
      </c>
      <c r="K40" s="253">
        <f>$D$10*W1</f>
        <v/>
      </c>
      <c r="L40" s="253">
        <f>$D$10*X1</f>
        <v/>
      </c>
      <c r="M40" s="253">
        <f>$D$10*Y1</f>
        <v/>
      </c>
      <c r="N40" s="253">
        <f>$D$10*Z1</f>
        <v/>
      </c>
      <c r="O40" s="253">
        <f>$D$10*AA1</f>
        <v/>
      </c>
      <c r="P40" s="253">
        <f>$D$10*AB1</f>
        <v/>
      </c>
      <c r="Q40" s="253">
        <f>$D$10*AC1</f>
        <v/>
      </c>
      <c r="R40" s="253">
        <f>$D$10*AD1</f>
        <v/>
      </c>
      <c r="S40" s="253">
        <f>$D$10*AE1</f>
        <v/>
      </c>
      <c r="T40" s="253">
        <f>$D$10*AF1</f>
        <v/>
      </c>
      <c r="U40" s="253">
        <f>$D$10*AG1</f>
        <v/>
      </c>
      <c r="V40" s="253">
        <f>$D$10*AH1</f>
        <v/>
      </c>
      <c r="W40" s="253">
        <f>$D$10*AI1</f>
        <v/>
      </c>
      <c r="X40" s="254" t="n"/>
    </row>
    <row r="41" ht="18.75" customHeight="1" s="161">
      <c r="B41" s="255" t="inlineStr">
        <is>
          <t>Inflow : 電費收入</t>
        </is>
      </c>
      <c r="C41" s="256" t="inlineStr">
        <is>
          <t>-</t>
        </is>
      </c>
      <c r="D41" s="257">
        <f>D40*$D$13</f>
        <v/>
      </c>
      <c r="E41" s="257">
        <f>E40*$D$13</f>
        <v/>
      </c>
      <c r="F41" s="257">
        <f>F40*$D$13</f>
        <v/>
      </c>
      <c r="G41" s="257">
        <f>G40*$D$13</f>
        <v/>
      </c>
      <c r="H41" s="257">
        <f>H40*$D$13</f>
        <v/>
      </c>
      <c r="I41" s="257">
        <f>I40*$D$13</f>
        <v/>
      </c>
      <c r="J41" s="257">
        <f>J40*$D$13</f>
        <v/>
      </c>
      <c r="K41" s="257">
        <f>K40*$D$13</f>
        <v/>
      </c>
      <c r="L41" s="257">
        <f>L40*$D$13</f>
        <v/>
      </c>
      <c r="M41" s="257">
        <f>M40*$D$13</f>
        <v/>
      </c>
      <c r="N41" s="257">
        <f>N40*$D$13</f>
        <v/>
      </c>
      <c r="O41" s="257">
        <f>O40*$D$13</f>
        <v/>
      </c>
      <c r="P41" s="257">
        <f>P40*$D$13</f>
        <v/>
      </c>
      <c r="Q41" s="257">
        <f>Q40*$D$13</f>
        <v/>
      </c>
      <c r="R41" s="257">
        <f>R40*$D$13</f>
        <v/>
      </c>
      <c r="S41" s="257">
        <f>S40*$D$13</f>
        <v/>
      </c>
      <c r="T41" s="257">
        <f>T40*$D$13</f>
        <v/>
      </c>
      <c r="U41" s="257">
        <f>U40*$D$13</f>
        <v/>
      </c>
      <c r="V41" s="257">
        <f>V40*$D$13</f>
        <v/>
      </c>
      <c r="W41" s="257">
        <f>W40*$D$13</f>
        <v/>
      </c>
      <c r="X41" s="258" t="n"/>
    </row>
    <row r="42" ht="18.75" customHeight="1" s="161">
      <c r="B42" s="259" t="inlineStr">
        <is>
          <t>Inflow : 政府補助</t>
        </is>
      </c>
      <c r="C42" s="260" t="inlineStr">
        <is>
          <t>-</t>
        </is>
      </c>
      <c r="D42" s="261" t="n"/>
      <c r="E42" s="261" t="n"/>
      <c r="F42" s="261" t="n"/>
      <c r="G42" s="262" t="inlineStr">
        <is>
          <t>-</t>
        </is>
      </c>
      <c r="H42" s="262" t="inlineStr">
        <is>
          <t>-</t>
        </is>
      </c>
      <c r="I42" s="262" t="inlineStr">
        <is>
          <t>-</t>
        </is>
      </c>
      <c r="J42" s="262" t="inlineStr">
        <is>
          <t>-</t>
        </is>
      </c>
      <c r="K42" s="262" t="inlineStr">
        <is>
          <t>-</t>
        </is>
      </c>
      <c r="L42" s="262" t="inlineStr">
        <is>
          <t>-</t>
        </is>
      </c>
      <c r="M42" s="262" t="inlineStr">
        <is>
          <t>-</t>
        </is>
      </c>
      <c r="N42" s="262" t="inlineStr">
        <is>
          <t>-</t>
        </is>
      </c>
      <c r="O42" s="262" t="inlineStr">
        <is>
          <t>-</t>
        </is>
      </c>
      <c r="P42" s="262" t="inlineStr">
        <is>
          <t>-</t>
        </is>
      </c>
      <c r="Q42" s="262" t="inlineStr">
        <is>
          <t>-</t>
        </is>
      </c>
      <c r="R42" s="262" t="inlineStr">
        <is>
          <t>-</t>
        </is>
      </c>
      <c r="S42" s="262" t="inlineStr">
        <is>
          <t>-</t>
        </is>
      </c>
      <c r="T42" s="262" t="inlineStr">
        <is>
          <t>-</t>
        </is>
      </c>
      <c r="U42" s="262" t="inlineStr">
        <is>
          <t>-</t>
        </is>
      </c>
      <c r="V42" s="262" t="inlineStr">
        <is>
          <t>-</t>
        </is>
      </c>
      <c r="W42" s="262" t="inlineStr">
        <is>
          <t>-</t>
        </is>
      </c>
      <c r="X42" s="263" t="n"/>
    </row>
    <row r="43" ht="18.75" customHeight="1" s="161">
      <c r="B43" s="264" t="inlineStr">
        <is>
          <t>Inflow : 銀行借款</t>
        </is>
      </c>
      <c r="C43" s="265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6" t="n"/>
      <c r="S43" s="266" t="n"/>
      <c r="T43" s="266" t="n"/>
      <c r="U43" s="266" t="n"/>
      <c r="V43" s="266" t="n"/>
      <c r="W43" s="266" t="n"/>
      <c r="X43" s="267" t="n"/>
    </row>
    <row r="44" ht="18.75" customHeight="1" s="161">
      <c r="B44" s="268" t="inlineStr">
        <is>
          <t>Outflow : 設備費用</t>
        </is>
      </c>
      <c r="C44" s="269">
        <f>-(D16/(1-D17)+D18)*C4</f>
        <v/>
      </c>
      <c r="D44" s="270" t="n"/>
      <c r="E44" s="270" t="n"/>
      <c r="F44" s="270" t="n"/>
      <c r="G44" s="270" t="n"/>
      <c r="H44" s="270" t="n"/>
      <c r="I44" s="270" t="n"/>
      <c r="J44" s="270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</row>
    <row r="45" ht="18.75" customHeight="1" s="161">
      <c r="B45" s="268" t="inlineStr">
        <is>
          <t>Outflow : 設備放置區域租金</t>
        </is>
      </c>
      <c r="C45" s="260" t="inlineStr">
        <is>
          <t>-</t>
        </is>
      </c>
      <c r="D45" s="160" t="n">
        <v>-290201</v>
      </c>
      <c r="E45" s="270" t="n">
        <v>-290201</v>
      </c>
      <c r="F45" s="270" t="n">
        <v>-290201</v>
      </c>
      <c r="G45" s="270" t="n">
        <v>-290201</v>
      </c>
      <c r="H45" s="270" t="n">
        <v>-290201</v>
      </c>
      <c r="I45" s="270" t="n">
        <v>-290201</v>
      </c>
      <c r="J45" s="270" t="n">
        <v>-290201</v>
      </c>
      <c r="K45" s="270" t="n">
        <v>-290201</v>
      </c>
      <c r="L45" s="270" t="n">
        <v>-290201</v>
      </c>
      <c r="M45" s="270" t="n">
        <v>-290201</v>
      </c>
      <c r="N45" s="270" t="n">
        <v>-290201</v>
      </c>
      <c r="O45" s="270" t="n">
        <v>-290201</v>
      </c>
      <c r="P45" s="270" t="n">
        <v>-290201</v>
      </c>
      <c r="Q45" s="270" t="n">
        <v>-290201</v>
      </c>
      <c r="R45" s="270" t="n">
        <v>-290201</v>
      </c>
      <c r="S45" s="270" t="n">
        <v>-290201</v>
      </c>
      <c r="T45" s="270" t="n">
        <v>-290201</v>
      </c>
      <c r="U45" s="270" t="n">
        <v>-290201</v>
      </c>
      <c r="V45" s="270" t="n">
        <v>-290201</v>
      </c>
      <c r="W45" s="270" t="n">
        <v>-290201</v>
      </c>
      <c r="X45" s="270" t="n"/>
    </row>
    <row r="46" ht="18.75" customHeight="1" s="161">
      <c r="B46" s="268" t="inlineStr">
        <is>
          <t>Outflow : 返還借款</t>
        </is>
      </c>
      <c r="C46" s="260" t="n"/>
      <c r="D46" s="270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</row>
    <row r="47" ht="18.75" customHeight="1" s="161">
      <c r="B47" s="268" t="inlineStr">
        <is>
          <t>Outflow : 利息費用</t>
        </is>
      </c>
      <c r="C47" s="260" t="inlineStr">
        <is>
          <t>-</t>
        </is>
      </c>
      <c r="D47" s="270" t="n"/>
      <c r="E47" s="270" t="n"/>
      <c r="F47" s="270" t="n"/>
      <c r="G47" s="270" t="n"/>
      <c r="H47" s="270" t="n"/>
      <c r="I47" s="270" t="n"/>
      <c r="J47" s="270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</row>
    <row r="48" ht="18.75" customHeight="1" s="161">
      <c r="B48" s="268" t="inlineStr">
        <is>
          <t>Outflow : 維運費</t>
        </is>
      </c>
      <c r="C48" s="260" t="inlineStr">
        <is>
          <t>-</t>
        </is>
      </c>
      <c r="D48" s="270" t="n">
        <v>-174440</v>
      </c>
      <c r="E48" s="270" t="n">
        <v>-174440</v>
      </c>
      <c r="F48" s="270" t="n">
        <v>-174440</v>
      </c>
      <c r="G48" s="270" t="n">
        <v>-174440</v>
      </c>
      <c r="H48" s="270" t="n">
        <v>-174440</v>
      </c>
      <c r="I48" s="270" t="n">
        <v>-174440</v>
      </c>
      <c r="J48" s="270" t="n">
        <v>-174440</v>
      </c>
      <c r="K48" s="270" t="n">
        <v>-174440</v>
      </c>
      <c r="L48" s="270" t="n">
        <v>-174440</v>
      </c>
      <c r="M48" s="270" t="n">
        <v>-174440</v>
      </c>
      <c r="N48" s="270" t="n">
        <v>-174440</v>
      </c>
      <c r="O48" s="270" t="n">
        <v>-174440</v>
      </c>
      <c r="P48" s="270" t="n">
        <v>-174440</v>
      </c>
      <c r="Q48" s="270" t="n">
        <v>-174440</v>
      </c>
      <c r="R48" s="270" t="n">
        <v>-174440</v>
      </c>
      <c r="S48" s="270" t="n">
        <v>-174440</v>
      </c>
      <c r="T48" s="270" t="n">
        <v>-174440</v>
      </c>
      <c r="U48" s="270" t="n">
        <v>-174440</v>
      </c>
      <c r="V48" s="270" t="n">
        <v>-174440</v>
      </c>
      <c r="W48" s="270" t="n">
        <v>-174440</v>
      </c>
      <c r="X48" s="270" t="n"/>
    </row>
    <row r="49" ht="18.75" customHeight="1" s="161">
      <c r="B49" s="268" t="inlineStr">
        <is>
          <t>Outflow : 保險費</t>
        </is>
      </c>
      <c r="C49" s="260" t="inlineStr">
        <is>
          <t>-</t>
        </is>
      </c>
      <c r="D49" s="270" t="n">
        <v>-28782.6</v>
      </c>
      <c r="E49" s="270" t="n">
        <v>-28782.6</v>
      </c>
      <c r="F49" s="270" t="n">
        <v>-28782.6</v>
      </c>
      <c r="G49" s="270" t="n">
        <v>-28782.6</v>
      </c>
      <c r="H49" s="270" t="n">
        <v>-28782.6</v>
      </c>
      <c r="I49" s="270" t="n">
        <v>-28782.6</v>
      </c>
      <c r="J49" s="270" t="n">
        <v>-28782.6</v>
      </c>
      <c r="K49" s="270" t="n">
        <v>-28782.6</v>
      </c>
      <c r="L49" s="270" t="n">
        <v>-28782.6</v>
      </c>
      <c r="M49" s="270" t="n">
        <v>-28782.6</v>
      </c>
      <c r="N49" s="270" t="n">
        <v>-28782.6</v>
      </c>
      <c r="O49" s="270" t="n">
        <v>-28782.6</v>
      </c>
      <c r="P49" s="270" t="n">
        <v>-28782.6</v>
      </c>
      <c r="Q49" s="270" t="n">
        <v>-28782.6</v>
      </c>
      <c r="R49" s="270" t="n">
        <v>-28782.6</v>
      </c>
      <c r="S49" s="270" t="n">
        <v>-28782.6</v>
      </c>
      <c r="T49" s="270" t="n">
        <v>-28782.6</v>
      </c>
      <c r="U49" s="270" t="n">
        <v>-28782.6</v>
      </c>
      <c r="V49" s="270" t="n">
        <v>-28782.6</v>
      </c>
      <c r="W49" s="270" t="n">
        <v>-28782.6</v>
      </c>
      <c r="X49" s="270" t="n"/>
    </row>
    <row r="50" ht="18.75" customHeight="1" s="161">
      <c r="B50" s="268" t="inlineStr">
        <is>
          <t>Outflow : 模組回收費</t>
        </is>
      </c>
      <c r="C50" s="260" t="n"/>
      <c r="D50" s="270" t="n">
        <v>-43610</v>
      </c>
      <c r="E50" s="270" t="n">
        <v>-43610</v>
      </c>
      <c r="F50" s="270" t="n">
        <v>-43610</v>
      </c>
      <c r="G50" s="270" t="n">
        <v>-43610</v>
      </c>
      <c r="H50" s="270" t="n">
        <v>-43610</v>
      </c>
      <c r="I50" s="270" t="n">
        <v>-43610</v>
      </c>
      <c r="J50" s="270" t="n">
        <v>-43610</v>
      </c>
      <c r="K50" s="270" t="n">
        <v>-43610</v>
      </c>
      <c r="L50" s="270" t="n">
        <v>-43610</v>
      </c>
      <c r="M50" s="270" t="n">
        <v>-43610</v>
      </c>
      <c r="N50" s="270" t="n">
        <v>0</v>
      </c>
      <c r="O50" s="270" t="n">
        <v>0</v>
      </c>
      <c r="P50" s="270" t="n">
        <v>0</v>
      </c>
      <c r="Q50" s="270" t="n">
        <v>0</v>
      </c>
      <c r="R50" s="270" t="n">
        <v>0</v>
      </c>
      <c r="S50" s="270" t="n">
        <v>0</v>
      </c>
      <c r="T50" s="270" t="n">
        <v>0</v>
      </c>
      <c r="U50" s="270" t="n">
        <v>0</v>
      </c>
      <c r="V50" s="270" t="n">
        <v>0</v>
      </c>
      <c r="W50" s="270" t="n">
        <v>0</v>
      </c>
      <c r="X50" s="270" t="n"/>
    </row>
    <row r="51" ht="18.75" customHeight="1" s="161">
      <c r="B51" s="268" t="inlineStr">
        <is>
          <t>Outflow : 其它費用(人事薪資…等)</t>
        </is>
      </c>
      <c r="C51" s="271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</row>
    <row r="52" ht="18.75" customHeight="1" s="161">
      <c r="B52" s="268" t="inlineStr">
        <is>
          <t>1%管理費</t>
        </is>
      </c>
      <c r="C52" s="271" t="n"/>
      <c r="D52" s="270" t="n"/>
      <c r="E52" s="270" t="n"/>
      <c r="F52" s="270" t="n"/>
      <c r="G52" s="270" t="n"/>
      <c r="H52" s="270" t="n"/>
      <c r="I52" s="270" t="n"/>
      <c r="J52" s="270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</row>
    <row r="53" ht="18.75" customHeight="1" s="161">
      <c r="B53" s="272" t="inlineStr">
        <is>
          <t>績效獎金</t>
        </is>
      </c>
      <c r="C53" s="271" t="n"/>
      <c r="D53" s="270" t="n"/>
      <c r="E53" s="270" t="n"/>
      <c r="F53" s="270" t="n"/>
      <c r="G53" s="270" t="n"/>
      <c r="H53" s="270" t="n"/>
      <c r="I53" s="270" t="n"/>
      <c r="J53" s="270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</row>
    <row r="54" ht="18.75" customHeight="1" s="161">
      <c r="B54" s="272" t="inlineStr">
        <is>
          <t>所得稅20%</t>
        </is>
      </c>
      <c r="C54" s="271" t="n"/>
      <c r="D54" s="270">
        <f>-(D64+D67+D68+D71+D72+D73+D74)*0.2</f>
        <v/>
      </c>
      <c r="E54" s="270">
        <f>-(E64+E67+E68+E71+E72+E73+E74)*0.2</f>
        <v/>
      </c>
      <c r="F54" s="270">
        <f>-(F64+F67+F68+F71+F72+F73+F74)*0.2</f>
        <v/>
      </c>
      <c r="G54" s="270">
        <f>-(G64+G67+G68+G71+G72+G73+G74)*0.2</f>
        <v/>
      </c>
      <c r="H54" s="270">
        <f>-(H64+H67+H68+H71+H72+H73+H74)*0.2</f>
        <v/>
      </c>
      <c r="I54" s="270">
        <f>-(I64+I67+I68+I71+I72+I73+I74)*0.2</f>
        <v/>
      </c>
      <c r="J54" s="270">
        <f>-(J64+J67+J68+J71+J72+J73+J74)*0.2</f>
        <v/>
      </c>
      <c r="K54" s="270">
        <f>-(K64+K67+K68+K71+K72+K73+K74)*0.2</f>
        <v/>
      </c>
      <c r="L54" s="270">
        <f>-(L64+L67+L68+L71+L72+L73+L74)*0.2</f>
        <v/>
      </c>
      <c r="M54" s="270">
        <f>-(M64+M67+M68+M71+M72+M73+M74)*0.2</f>
        <v/>
      </c>
      <c r="N54" s="270">
        <f>-(N64+N67+N68+N71+N72+N73+N74)*0.2</f>
        <v/>
      </c>
      <c r="O54" s="270">
        <f>-(O64+O67+O68+O71+O72+O73+O74)*0.2</f>
        <v/>
      </c>
      <c r="P54" s="270">
        <f>-(P64+P67+P68+P71+P72+P73+P74)*0.2</f>
        <v/>
      </c>
      <c r="Q54" s="270">
        <f>-(Q64+Q67+Q68+Q71+Q72+Q73+Q74)*0.2</f>
        <v/>
      </c>
      <c r="R54" s="270">
        <f>-(R64+R67+R68+R71+R72+R73+R74)*0.2</f>
        <v/>
      </c>
      <c r="S54" s="270">
        <f>-(S64+S67+S68+S71+S72+S73+S74)*0.2</f>
        <v/>
      </c>
      <c r="T54" s="270">
        <f>-(T64+T67+T68+T71+T72+T73+T74)*0.2</f>
        <v/>
      </c>
      <c r="U54" s="270">
        <f>-(U64+U67+U68+U71+U72+U73+U74)*0.2</f>
        <v/>
      </c>
      <c r="V54" s="270">
        <f>-(V64+V67+V68+V71+V72+V73+V74)*0.2</f>
        <v/>
      </c>
      <c r="W54" s="270">
        <f>-(W64+W67+W68+W71+W72+W73+W74)*0.2</f>
        <v/>
      </c>
      <c r="X54" s="261" t="n"/>
    </row>
    <row r="55" ht="18.75" customHeight="1" s="161">
      <c r="B55" s="273" t="inlineStr">
        <is>
          <t>現金流</t>
        </is>
      </c>
      <c r="C55" s="274">
        <f>C44</f>
        <v/>
      </c>
      <c r="D55" s="275">
        <f>SUM(D41:D54)</f>
        <v/>
      </c>
      <c r="E55" s="275">
        <f>SUM(E41:E54)</f>
        <v/>
      </c>
      <c r="F55" s="275">
        <f>SUM(F41:F54)</f>
        <v/>
      </c>
      <c r="G55" s="275">
        <f>SUM(G41:G54)</f>
        <v/>
      </c>
      <c r="H55" s="275">
        <f>SUM(H41:H54)</f>
        <v/>
      </c>
      <c r="I55" s="275">
        <f>SUM(I41:I54)</f>
        <v/>
      </c>
      <c r="J55" s="275">
        <f>SUM(J41:J54)</f>
        <v/>
      </c>
      <c r="K55" s="275">
        <f>SUM(K41:K54)</f>
        <v/>
      </c>
      <c r="L55" s="275">
        <f>SUM(L41:L54)</f>
        <v/>
      </c>
      <c r="M55" s="275">
        <f>SUM(M41:M54)</f>
        <v/>
      </c>
      <c r="N55" s="275">
        <f>SUM(N41:N54)</f>
        <v/>
      </c>
      <c r="O55" s="275">
        <f>SUM(O41:O54)</f>
        <v/>
      </c>
      <c r="P55" s="275">
        <f>SUM(P41:P54)</f>
        <v/>
      </c>
      <c r="Q55" s="275">
        <f>SUM(Q41:Q54)</f>
        <v/>
      </c>
      <c r="R55" s="275">
        <f>SUM(R41:R54)</f>
        <v/>
      </c>
      <c r="S55" s="275">
        <f>SUM(S41:S54)</f>
        <v/>
      </c>
      <c r="T55" s="275">
        <f>SUM(T41:T54)</f>
        <v/>
      </c>
      <c r="U55" s="275">
        <f>SUM(U41:U54)</f>
        <v/>
      </c>
      <c r="V55" s="275">
        <f>SUM(V41:V54)</f>
        <v/>
      </c>
      <c r="W55" s="275">
        <f>SUM(W41:W54)</f>
        <v/>
      </c>
      <c r="X55" s="276" t="n"/>
      <c r="Y55" s="277" t="n"/>
      <c r="Z55" s="278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</row>
    <row r="56" ht="18.75" customHeight="1" s="161">
      <c r="B56" s="279" t="inlineStr">
        <is>
          <t>累計現金流</t>
        </is>
      </c>
      <c r="D56" s="280">
        <f>C55+D55</f>
        <v/>
      </c>
      <c r="E56" s="280">
        <f>D56+E55</f>
        <v/>
      </c>
      <c r="F56" s="280">
        <f>E56+F55</f>
        <v/>
      </c>
      <c r="G56" s="280">
        <f>F56+G55</f>
        <v/>
      </c>
      <c r="H56" s="280">
        <f>G56+H55</f>
        <v/>
      </c>
      <c r="I56" s="280">
        <f>H56+I55</f>
        <v/>
      </c>
      <c r="J56" s="280">
        <f>I56+J55</f>
        <v/>
      </c>
      <c r="K56" s="280">
        <f>J56+K55</f>
        <v/>
      </c>
      <c r="L56" s="280">
        <f>K56+L55</f>
        <v/>
      </c>
      <c r="M56" s="280">
        <f>L56+M55</f>
        <v/>
      </c>
      <c r="N56" s="280">
        <f>M56+N55</f>
        <v/>
      </c>
      <c r="O56" s="280">
        <f>N56+O55</f>
        <v/>
      </c>
      <c r="P56" s="280">
        <f>O56+P55</f>
        <v/>
      </c>
      <c r="Q56" s="280">
        <f>P56+Q55</f>
        <v/>
      </c>
      <c r="R56" s="280">
        <f>Q56+R55</f>
        <v/>
      </c>
      <c r="S56" s="280">
        <f>R56+S55</f>
        <v/>
      </c>
      <c r="T56" s="280">
        <f>S56+T55</f>
        <v/>
      </c>
      <c r="U56" s="280">
        <f>T56+U55</f>
        <v/>
      </c>
      <c r="V56" s="280">
        <f>U56+V55</f>
        <v/>
      </c>
      <c r="W56" s="280">
        <f>V56+W55</f>
        <v/>
      </c>
      <c r="X56" s="280">
        <f>W56+X55</f>
        <v/>
      </c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</row>
    <row r="57" ht="18.75" customHeight="1" s="161">
      <c r="B57" s="281" t="inlineStr">
        <is>
          <t>回收年限評估</t>
        </is>
      </c>
      <c r="C57" s="282" t="n"/>
      <c r="D57" s="283">
        <f>IF((D56)&gt;0,"回收","未回收")</f>
        <v/>
      </c>
      <c r="E57" s="284">
        <f>IF((E56)&gt;0,"回收","未回收")</f>
        <v/>
      </c>
      <c r="F57" s="284">
        <f>IF((F56)&gt;0,"回收","未回收")</f>
        <v/>
      </c>
      <c r="G57" s="284">
        <f>IF((G56)&gt;0,"回收","未回收")</f>
        <v/>
      </c>
      <c r="H57" s="284">
        <f>IF((H56)&gt;0,"回收","未回收")</f>
        <v/>
      </c>
      <c r="I57" s="284">
        <f>IF((I56)&gt;0,"回收","未回收")</f>
        <v/>
      </c>
      <c r="J57" s="284">
        <f>IF((J56)&gt;0,"回收","未回收")</f>
        <v/>
      </c>
      <c r="K57" s="284">
        <f>IF((K56)&gt;0,"回收","未回收")</f>
        <v/>
      </c>
      <c r="L57" s="284">
        <f>IF((L56)&gt;0,"回收","未回收")</f>
        <v/>
      </c>
      <c r="M57" s="284">
        <f>IF((M56)&gt;0,"回收","未回收")</f>
        <v/>
      </c>
      <c r="N57" s="284">
        <f>IF((N56)&gt;0,"回收","未回收")</f>
        <v/>
      </c>
      <c r="O57" s="284">
        <f>IF((O56)&gt;0,"回收","未回收")</f>
        <v/>
      </c>
      <c r="P57" s="284">
        <f>IF((P56)&gt;0,"回收","未回收")</f>
        <v/>
      </c>
      <c r="Q57" s="284">
        <f>IF((Q56)&gt;0,"回收","未回收")</f>
        <v/>
      </c>
      <c r="R57" s="284">
        <f>IF((R56)&gt;0,"回收","未回收")</f>
        <v/>
      </c>
      <c r="S57" s="284">
        <f>IF((S56)&gt;0,"回收","未回收")</f>
        <v/>
      </c>
      <c r="T57" s="284">
        <f>IF((T56)&gt;0,"回收","未回收")</f>
        <v/>
      </c>
      <c r="U57" s="284">
        <f>IF((U56)&gt;0,"回收","未回收")</f>
        <v/>
      </c>
      <c r="V57" s="284">
        <f>IF((V56)&gt;0,"回收","未回收")</f>
        <v/>
      </c>
      <c r="W57" s="284">
        <f>IF((W56)&gt;0,"回收","未回收")</f>
        <v/>
      </c>
      <c r="X57" s="284">
        <f>IF((X56)&gt;0,"回收","未回收")</f>
        <v/>
      </c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</row>
    <row r="58" ht="18.75" customHeight="1" s="161">
      <c r="B58" s="285" t="inlineStr">
        <is>
          <t>專案法IRR</t>
        </is>
      </c>
      <c r="C58" s="286">
        <f>IRR(C55:W55)</f>
        <v/>
      </c>
      <c r="D58" s="287" t="n"/>
      <c r="E58" s="287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</row>
    <row r="59" ht="18.75" customHeight="1" s="161">
      <c r="B59" s="288" t="n"/>
      <c r="C59" s="287" t="n"/>
      <c r="D59" s="287" t="n"/>
      <c r="E59" s="287" t="n"/>
      <c r="F59" s="288" t="n"/>
      <c r="G59" s="288" t="n"/>
      <c r="H59" s="288" t="n"/>
      <c r="I59" s="288" t="n"/>
      <c r="J59" s="288" t="n"/>
      <c r="K59" s="288" t="n"/>
      <c r="L59" s="288" t="n"/>
      <c r="M59" s="287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</row>
    <row r="60" ht="18.75" customHeight="1" s="161">
      <c r="B60" s="237" t="n"/>
      <c r="C60" s="238" t="inlineStr">
        <is>
          <t>年份</t>
        </is>
      </c>
      <c r="D60" s="238">
        <f>D37</f>
        <v/>
      </c>
      <c r="E60" s="238">
        <f>E37</f>
        <v/>
      </c>
      <c r="F60" s="238">
        <f>F37</f>
        <v/>
      </c>
      <c r="G60" s="238">
        <f>G37</f>
        <v/>
      </c>
      <c r="H60" s="238">
        <f>H37</f>
        <v/>
      </c>
      <c r="I60" s="238">
        <f>I37</f>
        <v/>
      </c>
      <c r="J60" s="238">
        <f>J37</f>
        <v/>
      </c>
      <c r="K60" s="238">
        <f>K37</f>
        <v/>
      </c>
      <c r="L60" s="238">
        <f>L37</f>
        <v/>
      </c>
      <c r="M60" s="238">
        <f>M37</f>
        <v/>
      </c>
      <c r="N60" s="238">
        <f>N37</f>
        <v/>
      </c>
      <c r="O60" s="238">
        <f>O37</f>
        <v/>
      </c>
      <c r="P60" s="238">
        <f>P37</f>
        <v/>
      </c>
      <c r="Q60" s="238">
        <f>Q37</f>
        <v/>
      </c>
      <c r="R60" s="238">
        <f>R37</f>
        <v/>
      </c>
      <c r="S60" s="238">
        <f>S37</f>
        <v/>
      </c>
      <c r="T60" s="238">
        <f>T37</f>
        <v/>
      </c>
      <c r="U60" s="238">
        <f>U37</f>
        <v/>
      </c>
      <c r="V60" s="238">
        <f>V37</f>
        <v/>
      </c>
      <c r="W60" s="238">
        <f>W37</f>
        <v/>
      </c>
      <c r="X60" s="238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</row>
    <row r="61" ht="18.75" customHeight="1" s="161">
      <c r="B61" s="239" t="n">
        <v>0</v>
      </c>
      <c r="C61" s="240" t="n"/>
      <c r="D61" s="241" t="n"/>
      <c r="E61" s="241" t="n"/>
      <c r="F61" s="242" t="n"/>
      <c r="G61" s="243" t="n"/>
      <c r="H61" s="243" t="n"/>
      <c r="I61" s="243" t="n"/>
      <c r="J61" s="243" t="n"/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91" t="inlineStr">
        <is>
          <t>償還年限</t>
        </is>
      </c>
      <c r="U61" s="243" t="n"/>
      <c r="V61" s="243" t="n"/>
      <c r="W61" s="243" t="n"/>
      <c r="X61" s="245" t="n"/>
    </row>
    <row r="62" ht="18.75" customHeight="1" s="161">
      <c r="B62" s="246" t="inlineStr">
        <is>
          <t>(Unit : Currency)</t>
        </is>
      </c>
      <c r="C62" s="247" t="n">
        <v>0</v>
      </c>
      <c r="D62" s="248" t="n">
        <v>1</v>
      </c>
      <c r="E62" s="248" t="n">
        <v>2</v>
      </c>
      <c r="F62" s="248" t="n">
        <v>3</v>
      </c>
      <c r="G62" s="248" t="n">
        <v>4</v>
      </c>
      <c r="H62" s="248" t="n">
        <v>5</v>
      </c>
      <c r="I62" s="248" t="n">
        <v>6</v>
      </c>
      <c r="J62" s="248" t="n">
        <v>7</v>
      </c>
      <c r="K62" s="248" t="n">
        <v>8</v>
      </c>
      <c r="L62" s="248" t="n">
        <v>9</v>
      </c>
      <c r="M62" s="248" t="n">
        <v>10</v>
      </c>
      <c r="N62" s="248" t="n">
        <v>11</v>
      </c>
      <c r="O62" s="248" t="n">
        <v>12</v>
      </c>
      <c r="P62" s="248" t="n">
        <v>13</v>
      </c>
      <c r="Q62" s="248" t="n">
        <v>14</v>
      </c>
      <c r="R62" s="248" t="n">
        <v>15</v>
      </c>
      <c r="S62" s="248" t="n">
        <v>16</v>
      </c>
      <c r="T62" s="292" t="n">
        <v>17</v>
      </c>
      <c r="U62" s="248" t="n">
        <v>18</v>
      </c>
      <c r="V62" s="248" t="n">
        <v>19</v>
      </c>
      <c r="W62" s="248" t="n">
        <v>20</v>
      </c>
      <c r="X62" s="250" t="n"/>
    </row>
    <row r="63" ht="18.75" customHeight="1" s="161">
      <c r="B63" s="251" t="inlineStr">
        <is>
          <t>發電度數(KWH)</t>
        </is>
      </c>
      <c r="C63" s="252" t="n">
        <v>0</v>
      </c>
      <c r="D63" s="253">
        <f>D40</f>
        <v/>
      </c>
      <c r="E63" s="253">
        <f>E40</f>
        <v/>
      </c>
      <c r="F63" s="253">
        <f>F40</f>
        <v/>
      </c>
      <c r="G63" s="253">
        <f>G40</f>
        <v/>
      </c>
      <c r="H63" s="253">
        <f>H40</f>
        <v/>
      </c>
      <c r="I63" s="253">
        <f>I40</f>
        <v/>
      </c>
      <c r="J63" s="253">
        <f>J40</f>
        <v/>
      </c>
      <c r="K63" s="253">
        <f>K40</f>
        <v/>
      </c>
      <c r="L63" s="253">
        <f>L40</f>
        <v/>
      </c>
      <c r="M63" s="253">
        <f>M40</f>
        <v/>
      </c>
      <c r="N63" s="253">
        <f>N40</f>
        <v/>
      </c>
      <c r="O63" s="253">
        <f>O40</f>
        <v/>
      </c>
      <c r="P63" s="253">
        <f>P40</f>
        <v/>
      </c>
      <c r="Q63" s="253">
        <f>Q40</f>
        <v/>
      </c>
      <c r="R63" s="253">
        <f>R40</f>
        <v/>
      </c>
      <c r="S63" s="253">
        <f>S40</f>
        <v/>
      </c>
      <c r="T63" s="253">
        <f>T40</f>
        <v/>
      </c>
      <c r="U63" s="253">
        <f>U40</f>
        <v/>
      </c>
      <c r="V63" s="253">
        <f>V40</f>
        <v/>
      </c>
      <c r="W63" s="253">
        <f>W40</f>
        <v/>
      </c>
      <c r="X63" s="254" t="n"/>
    </row>
    <row r="64" ht="18.75" customHeight="1" s="161">
      <c r="B64" s="255" t="inlineStr">
        <is>
          <t>Inflow : 電費收入</t>
        </is>
      </c>
      <c r="C64" s="256" t="inlineStr">
        <is>
          <t>-</t>
        </is>
      </c>
      <c r="D64" s="257">
        <f>D41</f>
        <v/>
      </c>
      <c r="E64" s="257">
        <f>E41</f>
        <v/>
      </c>
      <c r="F64" s="257">
        <f>F41</f>
        <v/>
      </c>
      <c r="G64" s="257">
        <f>G41</f>
        <v/>
      </c>
      <c r="H64" s="257">
        <f>H41</f>
        <v/>
      </c>
      <c r="I64" s="257">
        <f>I41</f>
        <v/>
      </c>
      <c r="J64" s="257">
        <f>J41</f>
        <v/>
      </c>
      <c r="K64" s="257">
        <f>K41</f>
        <v/>
      </c>
      <c r="L64" s="257">
        <f>L41</f>
        <v/>
      </c>
      <c r="M64" s="257">
        <f>M41</f>
        <v/>
      </c>
      <c r="N64" s="257">
        <f>N41</f>
        <v/>
      </c>
      <c r="O64" s="257">
        <f>O41</f>
        <v/>
      </c>
      <c r="P64" s="257">
        <f>P41</f>
        <v/>
      </c>
      <c r="Q64" s="257">
        <f>Q41</f>
        <v/>
      </c>
      <c r="R64" s="257">
        <f>R41</f>
        <v/>
      </c>
      <c r="S64" s="257">
        <f>S41</f>
        <v/>
      </c>
      <c r="T64" s="257">
        <f>T41</f>
        <v/>
      </c>
      <c r="U64" s="257">
        <f>U41</f>
        <v/>
      </c>
      <c r="V64" s="257">
        <f>V41</f>
        <v/>
      </c>
      <c r="W64" s="257">
        <f>W41</f>
        <v/>
      </c>
      <c r="X64" s="258" t="n"/>
    </row>
    <row r="65" ht="18.75" customHeight="1" s="161">
      <c r="B65" s="259" t="inlineStr">
        <is>
          <t>Inflow : 政府補助</t>
        </is>
      </c>
      <c r="C65" s="260" t="inlineStr">
        <is>
          <t>-</t>
        </is>
      </c>
      <c r="D65" s="261" t="n"/>
      <c r="E65" s="261" t="n"/>
      <c r="F65" s="261" t="n"/>
      <c r="G65" s="262" t="inlineStr">
        <is>
          <t>-</t>
        </is>
      </c>
      <c r="H65" s="262" t="inlineStr">
        <is>
          <t>-</t>
        </is>
      </c>
      <c r="I65" s="262" t="inlineStr">
        <is>
          <t>-</t>
        </is>
      </c>
      <c r="J65" s="262" t="inlineStr">
        <is>
          <t>-</t>
        </is>
      </c>
      <c r="K65" s="262" t="inlineStr">
        <is>
          <t>-</t>
        </is>
      </c>
      <c r="L65" s="262" t="inlineStr">
        <is>
          <t>-</t>
        </is>
      </c>
      <c r="M65" s="262" t="inlineStr">
        <is>
          <t>-</t>
        </is>
      </c>
      <c r="N65" s="262" t="inlineStr">
        <is>
          <t>-</t>
        </is>
      </c>
      <c r="O65" s="262" t="inlineStr">
        <is>
          <t>-</t>
        </is>
      </c>
      <c r="P65" s="262" t="inlineStr">
        <is>
          <t>-</t>
        </is>
      </c>
      <c r="Q65" s="262" t="inlineStr">
        <is>
          <t>-</t>
        </is>
      </c>
      <c r="R65" s="262" t="inlineStr">
        <is>
          <t>-</t>
        </is>
      </c>
      <c r="S65" s="262" t="inlineStr">
        <is>
          <t>-</t>
        </is>
      </c>
      <c r="T65" s="262" t="inlineStr">
        <is>
          <t>-</t>
        </is>
      </c>
      <c r="U65" s="262" t="inlineStr">
        <is>
          <t>-</t>
        </is>
      </c>
      <c r="V65" s="262" t="inlineStr">
        <is>
          <t>-</t>
        </is>
      </c>
      <c r="W65" s="262" t="inlineStr">
        <is>
          <t>-</t>
        </is>
      </c>
      <c r="X65" s="263" t="n"/>
    </row>
    <row r="66" ht="18.75" customHeight="1" s="161">
      <c r="B66" s="264" t="inlineStr">
        <is>
          <t>Inflow : 銀行借款</t>
        </is>
      </c>
      <c r="C66" s="265" t="n"/>
      <c r="D66" s="266" t="n"/>
      <c r="E66" s="266" t="n"/>
      <c r="F66" s="266" t="n"/>
      <c r="G66" s="266" t="n"/>
      <c r="H66" s="266" t="n"/>
      <c r="I66" s="266" t="n"/>
      <c r="J66" s="266" t="n"/>
      <c r="K66" s="266" t="n"/>
      <c r="L66" s="266" t="n"/>
      <c r="M66" s="266" t="n"/>
      <c r="N66" s="266" t="n"/>
      <c r="O66" s="266" t="n"/>
      <c r="P66" s="266" t="n"/>
      <c r="Q66" s="266" t="n"/>
      <c r="R66" s="266" t="n"/>
      <c r="S66" s="266" t="n"/>
      <c r="T66" s="266" t="n"/>
      <c r="U66" s="266" t="n"/>
      <c r="V66" s="266" t="n"/>
      <c r="W66" s="266" t="n"/>
      <c r="X66" s="267" t="n"/>
    </row>
    <row r="67" ht="18.75" customHeight="1" s="161">
      <c r="B67" s="268" t="inlineStr">
        <is>
          <t>Outflow : 設備折舊</t>
        </is>
      </c>
      <c r="C67" s="260" t="n"/>
      <c r="D67" s="293">
        <f>$C$44/$E$16</f>
        <v/>
      </c>
      <c r="E67" s="293">
        <f>$C$44/$E$16</f>
        <v/>
      </c>
      <c r="F67" s="293">
        <f>$C$44/$E$16</f>
        <v/>
      </c>
      <c r="G67" s="293">
        <f>$C$44/$E$16</f>
        <v/>
      </c>
      <c r="H67" s="293">
        <f>$C$44/$E$16</f>
        <v/>
      </c>
      <c r="I67" s="293">
        <f>$C$44/$E$16</f>
        <v/>
      </c>
      <c r="J67" s="293">
        <f>$C$44/$E$16</f>
        <v/>
      </c>
      <c r="K67" s="293">
        <f>$C$44/$E$16</f>
        <v/>
      </c>
      <c r="L67" s="293">
        <f>$C$44/$E$16</f>
        <v/>
      </c>
      <c r="M67" s="293">
        <f>$C$44/$E$16</f>
        <v/>
      </c>
      <c r="N67" s="293">
        <f>$C$44/$E$16</f>
        <v/>
      </c>
      <c r="O67" s="293">
        <f>$C$44/$E$16</f>
        <v/>
      </c>
      <c r="P67" s="293">
        <f>$C$44/$E$16</f>
        <v/>
      </c>
      <c r="Q67" s="293">
        <f>$C$44/$E$16</f>
        <v/>
      </c>
      <c r="R67" s="293">
        <f>$C$44/$E$16</f>
        <v/>
      </c>
      <c r="S67" s="293">
        <f>$C$44/$E$16</f>
        <v/>
      </c>
      <c r="T67" s="293">
        <f>$C$44/$E$16</f>
        <v/>
      </c>
      <c r="U67" s="293">
        <f>$C$44/$E$16</f>
        <v/>
      </c>
      <c r="V67" s="293">
        <f>$C$44/$E$16</f>
        <v/>
      </c>
      <c r="W67" s="293">
        <f>$C$44/$E$16</f>
        <v/>
      </c>
      <c r="X67" s="263" t="n"/>
    </row>
    <row r="68" ht="18.75" customHeight="1" s="161">
      <c r="B68" s="268" t="inlineStr">
        <is>
          <t>Outflow : 設備放置區域租金</t>
        </is>
      </c>
      <c r="C68" s="260" t="inlineStr">
        <is>
          <t>-</t>
        </is>
      </c>
      <c r="D68" s="270">
        <f>D44</f>
        <v/>
      </c>
      <c r="E68" s="270">
        <f>E45</f>
        <v/>
      </c>
      <c r="F68" s="270">
        <f>F45</f>
        <v/>
      </c>
      <c r="G68" s="270">
        <f>G45</f>
        <v/>
      </c>
      <c r="H68" s="270">
        <f>H45</f>
        <v/>
      </c>
      <c r="I68" s="270">
        <f>I45</f>
        <v/>
      </c>
      <c r="J68" s="270">
        <f>J45</f>
        <v/>
      </c>
      <c r="K68" s="270">
        <f>K45</f>
        <v/>
      </c>
      <c r="L68" s="270">
        <f>L45</f>
        <v/>
      </c>
      <c r="M68" s="270">
        <f>M45</f>
        <v/>
      </c>
      <c r="N68" s="270">
        <f>N45</f>
        <v/>
      </c>
      <c r="O68" s="270">
        <f>O45</f>
        <v/>
      </c>
      <c r="P68" s="270">
        <f>P45</f>
        <v/>
      </c>
      <c r="Q68" s="270">
        <f>Q45</f>
        <v/>
      </c>
      <c r="R68" s="270">
        <f>R45</f>
        <v/>
      </c>
      <c r="S68" s="270">
        <f>S45</f>
        <v/>
      </c>
      <c r="T68" s="270">
        <f>T45</f>
        <v/>
      </c>
      <c r="U68" s="270">
        <f>U45</f>
        <v/>
      </c>
      <c r="V68" s="270">
        <f>V45</f>
        <v/>
      </c>
      <c r="W68" s="270">
        <f>W45</f>
        <v/>
      </c>
      <c r="X68" s="263" t="n"/>
    </row>
    <row r="69" ht="18.75" customHeight="1" s="161">
      <c r="B69" s="268" t="inlineStr">
        <is>
          <t>Outflow : 返還借款</t>
        </is>
      </c>
      <c r="C69" s="260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3" t="n"/>
    </row>
    <row r="70" ht="18.75" customHeight="1" s="161">
      <c r="B70" s="268" t="inlineStr">
        <is>
          <t>Outflow : 利息費用</t>
        </is>
      </c>
      <c r="C70" s="260" t="inlineStr">
        <is>
          <t>-</t>
        </is>
      </c>
      <c r="D70" s="270">
        <f>-D109*$D25</f>
        <v/>
      </c>
      <c r="E70" s="270">
        <f>-E109*$D25</f>
        <v/>
      </c>
      <c r="F70" s="270">
        <f>-F109*$D25</f>
        <v/>
      </c>
      <c r="G70" s="270">
        <f>-G109*$D25</f>
        <v/>
      </c>
      <c r="H70" s="270">
        <f>-H109*$D25</f>
        <v/>
      </c>
      <c r="I70" s="270">
        <f>-I109*$D25</f>
        <v/>
      </c>
      <c r="J70" s="270">
        <f>-J109*$D25</f>
        <v/>
      </c>
      <c r="K70" s="270">
        <f>-K109*$D25</f>
        <v/>
      </c>
      <c r="L70" s="270">
        <f>-L109*$D25</f>
        <v/>
      </c>
      <c r="M70" s="270">
        <f>-M109*$D25</f>
        <v/>
      </c>
      <c r="N70" s="270">
        <f>-N109*$D25</f>
        <v/>
      </c>
      <c r="O70" s="270">
        <f>-O109*$D25</f>
        <v/>
      </c>
      <c r="P70" s="270">
        <f>-P109*$D25</f>
        <v/>
      </c>
      <c r="Q70" s="270">
        <f>-Q109*$D25</f>
        <v/>
      </c>
      <c r="R70" s="270">
        <f>-R109*$D25</f>
        <v/>
      </c>
      <c r="S70" s="270">
        <f>-S109*$D25</f>
        <v/>
      </c>
      <c r="T70" s="270">
        <f>-T109*$D25</f>
        <v/>
      </c>
      <c r="U70" s="270">
        <f>-U109*$D25</f>
        <v/>
      </c>
      <c r="V70" s="270">
        <f>-V109*$D25</f>
        <v/>
      </c>
      <c r="W70" s="270">
        <f>-W109*$D25</f>
        <v/>
      </c>
      <c r="X70" s="263" t="n"/>
    </row>
    <row r="71" ht="18.75" customHeight="1" s="161">
      <c r="B71" s="268" t="inlineStr">
        <is>
          <t>Outflow : 維運費</t>
        </is>
      </c>
      <c r="C71" s="260" t="inlineStr">
        <is>
          <t>-</t>
        </is>
      </c>
      <c r="D71" s="270">
        <f>D48</f>
        <v/>
      </c>
      <c r="E71" s="270">
        <f>E48</f>
        <v/>
      </c>
      <c r="F71" s="270">
        <f>F48</f>
        <v/>
      </c>
      <c r="G71" s="270">
        <f>G48</f>
        <v/>
      </c>
      <c r="H71" s="270">
        <f>H48</f>
        <v/>
      </c>
      <c r="I71" s="270">
        <f>I48</f>
        <v/>
      </c>
      <c r="J71" s="270">
        <f>J48</f>
        <v/>
      </c>
      <c r="K71" s="270">
        <f>K48</f>
        <v/>
      </c>
      <c r="L71" s="270">
        <f>L48</f>
        <v/>
      </c>
      <c r="M71" s="270">
        <f>M48</f>
        <v/>
      </c>
      <c r="N71" s="270">
        <f>N48</f>
        <v/>
      </c>
      <c r="O71" s="270">
        <f>O48</f>
        <v/>
      </c>
      <c r="P71" s="270">
        <f>P48</f>
        <v/>
      </c>
      <c r="Q71" s="270">
        <f>Q48</f>
        <v/>
      </c>
      <c r="R71" s="270">
        <f>R48</f>
        <v/>
      </c>
      <c r="S71" s="270">
        <f>S48</f>
        <v/>
      </c>
      <c r="T71" s="270">
        <f>T48</f>
        <v/>
      </c>
      <c r="U71" s="270">
        <f>U48</f>
        <v/>
      </c>
      <c r="V71" s="270">
        <f>V48</f>
        <v/>
      </c>
      <c r="W71" s="270">
        <f>W48</f>
        <v/>
      </c>
      <c r="X71" s="263" t="n"/>
    </row>
    <row r="72" ht="18.75" customHeight="1" s="161">
      <c r="B72" s="268" t="inlineStr">
        <is>
          <t>Outflow : 保險費</t>
        </is>
      </c>
      <c r="C72" s="260" t="inlineStr">
        <is>
          <t>-</t>
        </is>
      </c>
      <c r="D72" s="270">
        <f>D49</f>
        <v/>
      </c>
      <c r="E72" s="270">
        <f>E49</f>
        <v/>
      </c>
      <c r="F72" s="270">
        <f>F49</f>
        <v/>
      </c>
      <c r="G72" s="270">
        <f>G49</f>
        <v/>
      </c>
      <c r="H72" s="270">
        <f>H49</f>
        <v/>
      </c>
      <c r="I72" s="270">
        <f>I49</f>
        <v/>
      </c>
      <c r="J72" s="270">
        <f>J49</f>
        <v/>
      </c>
      <c r="K72" s="270">
        <f>K49</f>
        <v/>
      </c>
      <c r="L72" s="270">
        <f>L49</f>
        <v/>
      </c>
      <c r="M72" s="270">
        <f>M49</f>
        <v/>
      </c>
      <c r="N72" s="270">
        <f>N49</f>
        <v/>
      </c>
      <c r="O72" s="270">
        <f>O49</f>
        <v/>
      </c>
      <c r="P72" s="270">
        <f>P49</f>
        <v/>
      </c>
      <c r="Q72" s="270">
        <f>Q49</f>
        <v/>
      </c>
      <c r="R72" s="270">
        <f>R49</f>
        <v/>
      </c>
      <c r="S72" s="270">
        <f>S49</f>
        <v/>
      </c>
      <c r="T72" s="270">
        <f>T49</f>
        <v/>
      </c>
      <c r="U72" s="270">
        <f>U49</f>
        <v/>
      </c>
      <c r="V72" s="270">
        <f>V49</f>
        <v/>
      </c>
      <c r="W72" s="270">
        <f>W49</f>
        <v/>
      </c>
      <c r="X72" s="263" t="n"/>
    </row>
    <row r="73" ht="18.75" customHeight="1" s="161">
      <c r="B73" s="268" t="inlineStr">
        <is>
          <t>Outflow : 模組回收費</t>
        </is>
      </c>
      <c r="C73" s="260" t="n"/>
      <c r="D73" s="270">
        <f>D50</f>
        <v/>
      </c>
      <c r="E73" s="270">
        <f>E50</f>
        <v/>
      </c>
      <c r="F73" s="270">
        <f>F50</f>
        <v/>
      </c>
      <c r="G73" s="270">
        <f>G50</f>
        <v/>
      </c>
      <c r="H73" s="270">
        <f>H50</f>
        <v/>
      </c>
      <c r="I73" s="270">
        <f>I50</f>
        <v/>
      </c>
      <c r="J73" s="270">
        <f>J50</f>
        <v/>
      </c>
      <c r="K73" s="270">
        <f>K50</f>
        <v/>
      </c>
      <c r="L73" s="270">
        <f>L50</f>
        <v/>
      </c>
      <c r="M73" s="270">
        <f>M50</f>
        <v/>
      </c>
      <c r="N73" s="270">
        <f>N50</f>
        <v/>
      </c>
      <c r="O73" s="270">
        <f>O50</f>
        <v/>
      </c>
      <c r="P73" s="270">
        <f>P50</f>
        <v/>
      </c>
      <c r="Q73" s="270">
        <f>Q50</f>
        <v/>
      </c>
      <c r="R73" s="270">
        <f>R50</f>
        <v/>
      </c>
      <c r="S73" s="270">
        <f>S50</f>
        <v/>
      </c>
      <c r="T73" s="270">
        <f>T50</f>
        <v/>
      </c>
      <c r="U73" s="270">
        <f>U50</f>
        <v/>
      </c>
      <c r="V73" s="270">
        <f>V50</f>
        <v/>
      </c>
      <c r="W73" s="270">
        <f>W50</f>
        <v/>
      </c>
      <c r="X73" s="263" t="n"/>
    </row>
    <row r="74" ht="18.75" customHeight="1" s="161">
      <c r="B74" s="268" t="inlineStr">
        <is>
          <t>Outflow : 其它費用(人事薪資…等)</t>
        </is>
      </c>
      <c r="C74" s="271" t="n"/>
      <c r="D74" s="294" t="n"/>
      <c r="E74" s="295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3" t="n"/>
    </row>
    <row r="75" ht="18.75" customHeight="1" s="161">
      <c r="B75" s="268" t="inlineStr">
        <is>
          <t>1%管理費</t>
        </is>
      </c>
      <c r="C75" s="27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3" t="n"/>
    </row>
    <row r="76" ht="18.75" customHeight="1" s="161">
      <c r="B76" s="273" t="inlineStr">
        <is>
          <t>稅前淨利</t>
        </is>
      </c>
      <c r="C76" s="296" t="n"/>
      <c r="D76" s="275">
        <f>SUM(D64:D75)</f>
        <v/>
      </c>
      <c r="E76" s="275">
        <f>SUM(E64:E75)</f>
        <v/>
      </c>
      <c r="F76" s="275">
        <f>SUM(F64:F75)</f>
        <v/>
      </c>
      <c r="G76" s="275">
        <f>SUM(G64:G75)</f>
        <v/>
      </c>
      <c r="H76" s="275">
        <f>SUM(H64:H75)</f>
        <v/>
      </c>
      <c r="I76" s="275">
        <f>SUM(I64:I75)</f>
        <v/>
      </c>
      <c r="J76" s="275">
        <f>SUM(J64:J75)</f>
        <v/>
      </c>
      <c r="K76" s="275">
        <f>SUM(K64:K75)</f>
        <v/>
      </c>
      <c r="L76" s="275">
        <f>SUM(L64:L75)</f>
        <v/>
      </c>
      <c r="M76" s="275">
        <f>SUM(M64:M75)</f>
        <v/>
      </c>
      <c r="N76" s="275">
        <f>SUM(N64:N75)</f>
        <v/>
      </c>
      <c r="O76" s="275">
        <f>SUM(O64:O75)</f>
        <v/>
      </c>
      <c r="P76" s="275">
        <f>SUM(P64:P75)</f>
        <v/>
      </c>
      <c r="Q76" s="275">
        <f>SUM(Q64:Q75)</f>
        <v/>
      </c>
      <c r="R76" s="275">
        <f>SUM(R64:R75)</f>
        <v/>
      </c>
      <c r="S76" s="275">
        <f>SUM(S64:S75)</f>
        <v/>
      </c>
      <c r="T76" s="275">
        <f>SUM(T64:T75)</f>
        <v/>
      </c>
      <c r="U76" s="275">
        <f>SUM(U64:U75)</f>
        <v/>
      </c>
      <c r="V76" s="275">
        <f>SUM(V64:V75)</f>
        <v/>
      </c>
      <c r="W76" s="275">
        <f>SUM(W64:W75)</f>
        <v/>
      </c>
      <c r="X76" s="275">
        <f>SUM(X64:X75)</f>
        <v/>
      </c>
    </row>
    <row r="77" ht="18.75" customHeight="1" s="161">
      <c r="B77" s="272" t="inlineStr">
        <is>
          <t>所得稅20%</t>
        </is>
      </c>
      <c r="C77" s="271" t="n"/>
      <c r="D77" s="270">
        <f>-D76*0.2</f>
        <v/>
      </c>
      <c r="E77" s="270">
        <f>-E76*0.2</f>
        <v/>
      </c>
      <c r="F77" s="270">
        <f>-F76*0.2</f>
        <v/>
      </c>
      <c r="G77" s="270">
        <f>-G76*0.2</f>
        <v/>
      </c>
      <c r="H77" s="270">
        <f>-H76*0.2</f>
        <v/>
      </c>
      <c r="I77" s="270">
        <f>-I76*0.2</f>
        <v/>
      </c>
      <c r="J77" s="270">
        <f>-J76*0.2</f>
        <v/>
      </c>
      <c r="K77" s="270">
        <f>-K76*0.2</f>
        <v/>
      </c>
      <c r="L77" s="270">
        <f>-L76*0.2</f>
        <v/>
      </c>
      <c r="M77" s="270">
        <f>-M76*0.2</f>
        <v/>
      </c>
      <c r="N77" s="270">
        <f>-N76*0.2</f>
        <v/>
      </c>
      <c r="O77" s="270">
        <f>-O76*0.2</f>
        <v/>
      </c>
      <c r="P77" s="270">
        <f>-P76*0.2</f>
        <v/>
      </c>
      <c r="Q77" s="270">
        <f>-Q76*0.2</f>
        <v/>
      </c>
      <c r="R77" s="270">
        <f>-R76*0.2</f>
        <v/>
      </c>
      <c r="S77" s="270">
        <f>-S76*0.2</f>
        <v/>
      </c>
      <c r="T77" s="270">
        <f>-T76*0.2</f>
        <v/>
      </c>
      <c r="U77" s="270">
        <f>-U76*0.2</f>
        <v/>
      </c>
      <c r="V77" s="270">
        <f>-V76*0.2</f>
        <v/>
      </c>
      <c r="W77" s="270">
        <f>-W76*0.2</f>
        <v/>
      </c>
      <c r="X77" s="270">
        <f>-X76*0.2</f>
        <v/>
      </c>
    </row>
    <row r="78" ht="15.75" customHeight="1" s="161">
      <c r="B78" s="297" t="inlineStr">
        <is>
          <t>稅後淨利</t>
        </is>
      </c>
      <c r="D78" s="270">
        <f>SUM(D76:D77)</f>
        <v/>
      </c>
      <c r="E78" s="270">
        <f>SUM(E76:E77)</f>
        <v/>
      </c>
      <c r="F78" s="270">
        <f>SUM(F76:F77)</f>
        <v/>
      </c>
      <c r="G78" s="270">
        <f>SUM(G76:G77)</f>
        <v/>
      </c>
      <c r="H78" s="270">
        <f>SUM(H76:H77)</f>
        <v/>
      </c>
      <c r="I78" s="270">
        <f>SUM(I76:I77)</f>
        <v/>
      </c>
      <c r="J78" s="270">
        <f>SUM(J76:J77)</f>
        <v/>
      </c>
      <c r="K78" s="270">
        <f>SUM(K76:K77)</f>
        <v/>
      </c>
      <c r="L78" s="270">
        <f>SUM(L76:L77)</f>
        <v/>
      </c>
      <c r="M78" s="270">
        <f>SUM(M76:M77)</f>
        <v/>
      </c>
      <c r="N78" s="270">
        <f>SUM(N76:N77)</f>
        <v/>
      </c>
      <c r="O78" s="270">
        <f>SUM(O76:O77)</f>
        <v/>
      </c>
      <c r="P78" s="270">
        <f>SUM(P76:P77)</f>
        <v/>
      </c>
      <c r="Q78" s="270">
        <f>SUM(Q76:Q77)</f>
        <v/>
      </c>
      <c r="R78" s="270">
        <f>SUM(R76:R77)</f>
        <v/>
      </c>
      <c r="S78" s="270">
        <f>SUM(S76:S77)</f>
        <v/>
      </c>
      <c r="T78" s="270">
        <f>SUM(T76:T77)</f>
        <v/>
      </c>
      <c r="U78" s="270">
        <f>SUM(U76:U77)</f>
        <v/>
      </c>
      <c r="V78" s="270">
        <f>SUM(V76:V77)</f>
        <v/>
      </c>
      <c r="W78" s="270">
        <f>SUM(W76:W77)</f>
        <v/>
      </c>
      <c r="X78" s="270">
        <f>SUM(X76:X77)</f>
        <v/>
      </c>
    </row>
    <row r="79" ht="18.75" customHeight="1" s="161">
      <c r="B79" s="279" t="inlineStr">
        <is>
          <t>累計現金流</t>
        </is>
      </c>
      <c r="C79" s="282" t="n"/>
      <c r="D79" s="298" t="n"/>
      <c r="E79" s="298" t="n"/>
      <c r="F79" s="298" t="n"/>
      <c r="G79" s="298" t="n"/>
      <c r="H79" s="298" t="n"/>
      <c r="I79" s="298" t="n"/>
      <c r="J79" s="298" t="n"/>
      <c r="K79" s="298" t="n"/>
      <c r="L79" s="298" t="n"/>
      <c r="M79" s="298" t="n"/>
      <c r="N79" s="298" t="n"/>
      <c r="O79" s="298" t="n"/>
      <c r="P79" s="298" t="n"/>
      <c r="Q79" s="298" t="n"/>
      <c r="R79" s="298" t="n"/>
      <c r="S79" s="298" t="n"/>
      <c r="T79" s="298" t="n"/>
      <c r="U79" s="298" t="n"/>
      <c r="V79" s="298" t="n"/>
      <c r="W79" s="298" t="n"/>
      <c r="X79" s="299" t="n"/>
    </row>
    <row r="80" ht="18.75" customHeight="1" s="161">
      <c r="B80" s="300" t="inlineStr">
        <is>
          <t>回收年限評估</t>
        </is>
      </c>
      <c r="C80" s="301" t="n"/>
      <c r="D80" s="302" t="n"/>
      <c r="E80" s="302" t="n"/>
      <c r="F80" s="302" t="n"/>
      <c r="G80" s="302" t="n"/>
      <c r="H80" s="302" t="n"/>
      <c r="I80" s="302" t="n"/>
      <c r="J80" s="302" t="n"/>
      <c r="K80" s="302" t="n"/>
      <c r="L80" s="302" t="n"/>
      <c r="M80" s="302" t="n"/>
      <c r="N80" s="302" t="n"/>
      <c r="O80" s="302" t="n"/>
      <c r="P80" s="302" t="n"/>
      <c r="Q80" s="302" t="n"/>
      <c r="R80" s="302" t="n"/>
      <c r="S80" s="302" t="n"/>
      <c r="T80" s="302" t="n"/>
      <c r="U80" s="302" t="n"/>
      <c r="V80" s="302" t="n"/>
      <c r="W80" s="302" t="n"/>
      <c r="X80" s="303" t="n"/>
    </row>
    <row r="81" ht="18.75" customHeight="1" s="161">
      <c r="B81" s="288" t="n"/>
      <c r="C81" s="287" t="n"/>
      <c r="D81" s="287" t="n"/>
      <c r="E81" s="287" t="n"/>
      <c r="F81" s="288" t="n"/>
      <c r="G81" s="288" t="n"/>
      <c r="H81" s="288" t="n"/>
      <c r="I81" s="288" t="n"/>
      <c r="J81" s="288" t="n"/>
      <c r="K81" s="288" t="n"/>
      <c r="L81" s="288" t="n"/>
      <c r="M81" s="287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</row>
    <row r="82" ht="18.75" customHeight="1" s="161">
      <c r="C82" s="304" t="inlineStr">
        <is>
          <t>年份</t>
        </is>
      </c>
      <c r="D82" s="305">
        <f>D37</f>
        <v/>
      </c>
      <c r="E82" s="305">
        <f>E37</f>
        <v/>
      </c>
      <c r="F82" s="305">
        <f>F37</f>
        <v/>
      </c>
      <c r="G82" s="305">
        <f>G37</f>
        <v/>
      </c>
      <c r="H82" s="305">
        <f>H37</f>
        <v/>
      </c>
      <c r="I82" s="305">
        <f>I37</f>
        <v/>
      </c>
      <c r="J82" s="305">
        <f>J37</f>
        <v/>
      </c>
      <c r="K82" s="305">
        <f>K37</f>
        <v/>
      </c>
      <c r="L82" s="305">
        <f>L37</f>
        <v/>
      </c>
      <c r="M82" s="305">
        <f>M37</f>
        <v/>
      </c>
      <c r="N82" s="305">
        <f>N37</f>
        <v/>
      </c>
      <c r="O82" s="305">
        <f>O37</f>
        <v/>
      </c>
      <c r="P82" s="305">
        <f>P37</f>
        <v/>
      </c>
      <c r="Q82" s="305">
        <f>Q37</f>
        <v/>
      </c>
      <c r="R82" s="305">
        <f>R37</f>
        <v/>
      </c>
      <c r="S82" s="305">
        <f>S37</f>
        <v/>
      </c>
      <c r="T82" s="305">
        <f>T37</f>
        <v/>
      </c>
      <c r="U82" s="305">
        <f>U37</f>
        <v/>
      </c>
      <c r="V82" s="305">
        <f>V37</f>
        <v/>
      </c>
      <c r="W82" s="305">
        <f>W37</f>
        <v/>
      </c>
      <c r="X82" s="290" t="n"/>
    </row>
    <row r="83" ht="18.75" customHeight="1" s="161">
      <c r="X83" s="289" t="n"/>
    </row>
    <row r="84" ht="18.75" customHeight="1" s="161">
      <c r="B84" s="306" t="inlineStr">
        <is>
          <t>(Unit : Currency)</t>
        </is>
      </c>
      <c r="C84" s="306" t="n">
        <v>0</v>
      </c>
      <c r="D84" s="306" t="n">
        <v>1</v>
      </c>
      <c r="E84" s="306" t="n">
        <v>2</v>
      </c>
      <c r="F84" s="306" t="n">
        <v>3</v>
      </c>
      <c r="G84" s="306" t="n">
        <v>4</v>
      </c>
      <c r="H84" s="306" t="n">
        <v>5</v>
      </c>
      <c r="I84" s="306" t="n">
        <v>6</v>
      </c>
      <c r="J84" s="306" t="n">
        <v>7</v>
      </c>
      <c r="K84" s="306" t="n">
        <v>8</v>
      </c>
      <c r="L84" s="306" t="n">
        <v>9</v>
      </c>
      <c r="M84" s="306" t="n">
        <v>10</v>
      </c>
      <c r="N84" s="306" t="n">
        <v>11</v>
      </c>
      <c r="O84" s="306" t="n">
        <v>12</v>
      </c>
      <c r="P84" s="306" t="n">
        <v>13</v>
      </c>
      <c r="Q84" s="306" t="n">
        <v>14</v>
      </c>
      <c r="R84" s="306" t="n">
        <v>15</v>
      </c>
      <c r="S84" s="306" t="n">
        <v>16</v>
      </c>
      <c r="T84" s="306" t="n">
        <v>17</v>
      </c>
      <c r="U84" s="306" t="n">
        <v>18</v>
      </c>
      <c r="V84" s="306" t="n">
        <v>19</v>
      </c>
      <c r="W84" s="306" t="n">
        <v>20</v>
      </c>
      <c r="X84" s="307" t="n"/>
    </row>
    <row r="85" ht="18.75" customHeight="1" s="161">
      <c r="B85" s="308" t="inlineStr">
        <is>
          <t>稅後淨利</t>
        </is>
      </c>
      <c r="C85" s="308" t="n"/>
      <c r="D85" s="309">
        <f>D78</f>
        <v/>
      </c>
      <c r="E85" s="309">
        <f>E78</f>
        <v/>
      </c>
      <c r="F85" s="309">
        <f>F78</f>
        <v/>
      </c>
      <c r="G85" s="309">
        <f>G78</f>
        <v/>
      </c>
      <c r="H85" s="309">
        <f>H78</f>
        <v/>
      </c>
      <c r="I85" s="309">
        <f>I78</f>
        <v/>
      </c>
      <c r="J85" s="309">
        <f>J78</f>
        <v/>
      </c>
      <c r="K85" s="309">
        <f>K78</f>
        <v/>
      </c>
      <c r="L85" s="309">
        <f>L78</f>
        <v/>
      </c>
      <c r="M85" s="309">
        <f>M78</f>
        <v/>
      </c>
      <c r="N85" s="309">
        <f>N78</f>
        <v/>
      </c>
      <c r="O85" s="309">
        <f>O78</f>
        <v/>
      </c>
      <c r="P85" s="309">
        <f>P78</f>
        <v/>
      </c>
      <c r="Q85" s="309">
        <f>Q78</f>
        <v/>
      </c>
      <c r="R85" s="309">
        <f>R78</f>
        <v/>
      </c>
      <c r="S85" s="309">
        <f>S78</f>
        <v/>
      </c>
      <c r="T85" s="309">
        <f>T78</f>
        <v/>
      </c>
      <c r="U85" s="309">
        <f>U78</f>
        <v/>
      </c>
      <c r="V85" s="309">
        <f>V78</f>
        <v/>
      </c>
      <c r="W85" s="309">
        <f>W78</f>
        <v/>
      </c>
      <c r="X85" s="308" t="n"/>
      <c r="Y85" s="308" t="n"/>
    </row>
    <row r="86" ht="15.75" customHeight="1" s="161">
      <c r="B86" s="308" t="inlineStr">
        <is>
          <t>設備折舊</t>
        </is>
      </c>
      <c r="C86" s="308" t="n"/>
      <c r="D86" s="310">
        <f>-D67</f>
        <v/>
      </c>
      <c r="E86" s="310">
        <f>-E67</f>
        <v/>
      </c>
      <c r="F86" s="310">
        <f>-F67</f>
        <v/>
      </c>
      <c r="G86" s="310">
        <f>-G67</f>
        <v/>
      </c>
      <c r="H86" s="310">
        <f>-H67</f>
        <v/>
      </c>
      <c r="I86" s="310">
        <f>-I67</f>
        <v/>
      </c>
      <c r="J86" s="310">
        <f>-J67</f>
        <v/>
      </c>
      <c r="K86" s="310">
        <f>-K67</f>
        <v/>
      </c>
      <c r="L86" s="310">
        <f>-L67</f>
        <v/>
      </c>
      <c r="M86" s="310">
        <f>-M67</f>
        <v/>
      </c>
      <c r="N86" s="310">
        <f>-N67</f>
        <v/>
      </c>
      <c r="O86" s="310">
        <f>-O67</f>
        <v/>
      </c>
      <c r="P86" s="310">
        <f>-P67</f>
        <v/>
      </c>
      <c r="Q86" s="310">
        <f>-Q67</f>
        <v/>
      </c>
      <c r="R86" s="310">
        <f>-R67</f>
        <v/>
      </c>
      <c r="S86" s="310">
        <f>-S67</f>
        <v/>
      </c>
      <c r="T86" s="310">
        <f>-T67</f>
        <v/>
      </c>
      <c r="U86" s="310">
        <f>-U67</f>
        <v/>
      </c>
      <c r="V86" s="310">
        <f>-V67</f>
        <v/>
      </c>
      <c r="W86" s="310">
        <f>-W67</f>
        <v/>
      </c>
      <c r="X86" s="311" t="n"/>
      <c r="Y86" s="311" t="n"/>
    </row>
    <row r="87" ht="15.75" customHeight="1" s="161">
      <c r="B87" s="308" t="inlineStr">
        <is>
          <t>營運活動現金流量</t>
        </is>
      </c>
      <c r="C87" s="308" t="n"/>
      <c r="D87" s="312">
        <f>SUM(D85:D86)</f>
        <v/>
      </c>
      <c r="E87" s="312">
        <f>SUM(E85:E86)</f>
        <v/>
      </c>
      <c r="F87" s="312">
        <f>SUM(F85:F86)</f>
        <v/>
      </c>
      <c r="G87" s="312">
        <f>SUM(G85:G86)</f>
        <v/>
      </c>
      <c r="H87" s="312">
        <f>SUM(H85:H86)</f>
        <v/>
      </c>
      <c r="I87" s="312">
        <f>SUM(I85:I86)</f>
        <v/>
      </c>
      <c r="J87" s="312">
        <f>SUM(J85:J86)</f>
        <v/>
      </c>
      <c r="K87" s="312">
        <f>SUM(K85:K86)</f>
        <v/>
      </c>
      <c r="L87" s="312">
        <f>SUM(L85:L86)</f>
        <v/>
      </c>
      <c r="M87" s="312">
        <f>SUM(M85:M86)</f>
        <v/>
      </c>
      <c r="N87" s="312">
        <f>SUM(N85:N86)</f>
        <v/>
      </c>
      <c r="O87" s="312">
        <f>SUM(O85:O86)</f>
        <v/>
      </c>
      <c r="P87" s="312">
        <f>SUM(P85:P86)</f>
        <v/>
      </c>
      <c r="Q87" s="312">
        <f>SUM(Q85:Q86)</f>
        <v/>
      </c>
      <c r="R87" s="312">
        <f>SUM(R85:R86)</f>
        <v/>
      </c>
      <c r="S87" s="312">
        <f>SUM(S85:S86)</f>
        <v/>
      </c>
      <c r="T87" s="312">
        <f>SUM(T85:T86)</f>
        <v/>
      </c>
      <c r="U87" s="312">
        <f>SUM(U85:U86)</f>
        <v/>
      </c>
      <c r="V87" s="312">
        <f>SUM(V85:V86)</f>
        <v/>
      </c>
      <c r="W87" s="312">
        <f>SUM(W85:W86)</f>
        <v/>
      </c>
      <c r="X87" s="278" t="n"/>
    </row>
    <row r="88" ht="15.75" customHeight="1" s="161">
      <c r="B88" s="308" t="n"/>
      <c r="C88" s="308" t="n"/>
      <c r="D88" s="308" t="n"/>
      <c r="E88" s="308" t="n"/>
      <c r="F88" s="313" t="n"/>
      <c r="G88" s="313" t="n"/>
      <c r="H88" s="313" t="n"/>
      <c r="I88" s="313" t="n"/>
      <c r="J88" s="313" t="n"/>
      <c r="K88" s="313" t="n"/>
      <c r="L88" s="313" t="n"/>
      <c r="M88" s="313" t="n"/>
      <c r="N88" s="313" t="n"/>
      <c r="O88" s="313" t="n"/>
      <c r="P88" s="313" t="n"/>
      <c r="Q88" s="313" t="n"/>
      <c r="R88" s="313" t="n"/>
      <c r="S88" s="313" t="n"/>
      <c r="T88" s="313" t="n"/>
      <c r="U88" s="313" t="n"/>
      <c r="V88" s="313" t="n"/>
      <c r="W88" s="313" t="n"/>
      <c r="X88" s="277" t="n"/>
    </row>
    <row r="89" ht="15.75" customHeight="1" s="161">
      <c r="B89" s="314" t="inlineStr">
        <is>
          <t>投資活動-設備支出</t>
        </is>
      </c>
      <c r="C89" s="315" t="n"/>
      <c r="D89" s="316">
        <f>C44</f>
        <v/>
      </c>
      <c r="E89" s="315" t="n"/>
      <c r="F89" s="315" t="n"/>
      <c r="G89" s="315" t="n"/>
      <c r="H89" s="315" t="n"/>
      <c r="I89" s="315" t="n"/>
      <c r="J89" s="315" t="n"/>
      <c r="K89" s="315" t="n"/>
      <c r="L89" s="315" t="n"/>
      <c r="M89" s="315" t="n"/>
      <c r="N89" s="315" t="n"/>
      <c r="O89" s="315" t="n"/>
      <c r="P89" s="315" t="n"/>
      <c r="Q89" s="315" t="n"/>
      <c r="R89" s="315" t="n"/>
      <c r="S89" s="315" t="n"/>
      <c r="T89" s="315" t="n"/>
      <c r="U89" s="315" t="n"/>
      <c r="V89" s="315" t="n"/>
      <c r="W89" s="315" t="n"/>
      <c r="X89" s="317" t="n"/>
    </row>
    <row r="90" ht="15.75" customHeight="1" s="161">
      <c r="B90" s="308" t="n"/>
      <c r="C90" s="308" t="n"/>
      <c r="D90" s="308" t="n"/>
      <c r="E90" s="308" t="n"/>
      <c r="F90" s="313" t="n"/>
      <c r="G90" s="313" t="n"/>
      <c r="H90" s="313" t="n"/>
      <c r="I90" s="313" t="n"/>
      <c r="J90" s="313" t="n"/>
      <c r="K90" s="313" t="n"/>
      <c r="L90" s="313" t="n"/>
      <c r="M90" s="313" t="n"/>
      <c r="N90" s="313" t="n"/>
      <c r="O90" s="313" t="n"/>
      <c r="P90" s="313" t="n"/>
      <c r="Q90" s="313" t="n"/>
      <c r="R90" s="313" t="n"/>
      <c r="S90" s="313" t="n"/>
      <c r="T90" s="313" t="n"/>
      <c r="U90" s="313" t="n"/>
      <c r="V90" s="313" t="n"/>
      <c r="W90" s="313" t="n"/>
      <c r="X90" s="277" t="n"/>
    </row>
    <row r="91" ht="15.75" customHeight="1" s="161">
      <c r="B91" s="308" t="n"/>
      <c r="C91" s="308" t="n"/>
      <c r="D91" s="308" t="n"/>
      <c r="E91" s="308" t="n"/>
      <c r="F91" s="313" t="n"/>
      <c r="G91" s="313" t="n"/>
      <c r="H91" s="313" t="n"/>
      <c r="I91" s="313" t="n"/>
      <c r="J91" s="313" t="n"/>
      <c r="K91" s="313" t="n"/>
      <c r="L91" s="313" t="n"/>
      <c r="M91" s="313" t="n"/>
      <c r="N91" s="313" t="n"/>
      <c r="O91" s="313" t="n"/>
      <c r="P91" s="313" t="n"/>
      <c r="Q91" s="313" t="n"/>
      <c r="R91" s="313" t="n"/>
      <c r="S91" s="313" t="n"/>
      <c r="T91" s="313" t="n"/>
      <c r="U91" s="313" t="n"/>
      <c r="V91" s="313" t="n"/>
      <c r="W91" s="313" t="n"/>
      <c r="X91" s="277" t="n"/>
    </row>
    <row r="92" ht="15.75" customHeight="1" s="161">
      <c r="B92" s="314" t="inlineStr">
        <is>
          <t>理財活動-借款</t>
        </is>
      </c>
      <c r="C92" s="315" t="n"/>
      <c r="D92" s="316">
        <f>-D89*D31</f>
        <v/>
      </c>
      <c r="E92" s="315" t="n"/>
      <c r="F92" s="315" t="n"/>
      <c r="G92" s="315" t="n"/>
      <c r="H92" s="315" t="n"/>
      <c r="I92" s="315" t="n"/>
      <c r="J92" s="315" t="n"/>
      <c r="K92" s="315" t="n"/>
      <c r="L92" s="315" t="n"/>
      <c r="M92" s="315" t="n"/>
      <c r="N92" s="315" t="n"/>
      <c r="O92" s="315" t="n"/>
      <c r="P92" s="315" t="n"/>
      <c r="Q92" s="315" t="n"/>
      <c r="R92" s="315" t="n"/>
      <c r="S92" s="315" t="n"/>
      <c r="T92" s="315" t="n"/>
      <c r="U92" s="315" t="n"/>
      <c r="V92" s="315" t="n"/>
      <c r="W92" s="315" t="n"/>
      <c r="X92" s="277" t="n"/>
    </row>
    <row r="93" ht="15.75" customHeight="1" s="161">
      <c r="B93" s="308" t="inlineStr">
        <is>
          <t>理財活動-還款</t>
        </is>
      </c>
      <c r="C93" s="308" t="n"/>
      <c r="D93" s="318" t="n"/>
      <c r="E93" s="318" t="n">
        <v>-697760</v>
      </c>
      <c r="F93" s="318" t="n">
        <v>-697760</v>
      </c>
      <c r="G93" s="318" t="n">
        <v>-697760</v>
      </c>
      <c r="H93" s="318" t="n">
        <v>-697760</v>
      </c>
      <c r="I93" s="318" t="n">
        <v>-697760</v>
      </c>
      <c r="J93" s="318" t="n">
        <v>-697760</v>
      </c>
      <c r="K93" s="318" t="n">
        <v>-697760</v>
      </c>
      <c r="L93" s="318" t="n">
        <v>-697760</v>
      </c>
      <c r="M93" s="318" t="n">
        <v>-697760</v>
      </c>
      <c r="N93" s="318" t="n">
        <v>-697760</v>
      </c>
      <c r="O93" s="318" t="n">
        <v>-697760</v>
      </c>
      <c r="P93" s="318" t="n">
        <v>-697760</v>
      </c>
      <c r="Q93" s="318" t="n">
        <v>-697760</v>
      </c>
      <c r="R93" s="318" t="n">
        <v>-697760</v>
      </c>
      <c r="S93" s="318" t="n">
        <v>-697760</v>
      </c>
      <c r="T93" s="318" t="n">
        <v>0</v>
      </c>
      <c r="U93" s="318" t="n">
        <v>0</v>
      </c>
      <c r="V93" s="318" t="n">
        <v>0</v>
      </c>
      <c r="W93" s="318" t="n">
        <v>0</v>
      </c>
      <c r="X93" s="317" t="n"/>
    </row>
    <row r="94" ht="15.75" customHeight="1" s="161">
      <c r="B94" s="308" t="inlineStr">
        <is>
          <t>理財活動-現金增資</t>
        </is>
      </c>
      <c r="C94" s="313" t="n"/>
      <c r="D94" s="309">
        <f>-D89*(1-D31)</f>
        <v/>
      </c>
      <c r="E94" s="313" t="n"/>
      <c r="F94" s="313" t="n"/>
      <c r="G94" s="313" t="n"/>
      <c r="H94" s="313" t="n"/>
      <c r="I94" s="313" t="n"/>
      <c r="J94" s="313" t="n"/>
      <c r="K94" s="313" t="n"/>
      <c r="L94" s="313" t="n"/>
      <c r="M94" s="313" t="n"/>
      <c r="N94" s="313" t="n"/>
      <c r="O94" s="313" t="n"/>
      <c r="P94" s="313" t="n"/>
      <c r="Q94" s="313" t="n"/>
      <c r="R94" s="313" t="n"/>
      <c r="S94" s="313" t="n"/>
      <c r="T94" s="313" t="n"/>
      <c r="U94" s="313" t="n"/>
      <c r="V94" s="313" t="n"/>
      <c r="W94" s="313" t="n"/>
      <c r="X94" s="278" t="n"/>
    </row>
    <row r="95" ht="15.75" customHeight="1" s="161">
      <c r="B95" s="308" t="inlineStr">
        <is>
          <t>現金股利</t>
        </is>
      </c>
      <c r="C95" s="313" t="n"/>
      <c r="D95" s="313" t="n"/>
      <c r="E95" s="319">
        <f>-D85*$D$33</f>
        <v/>
      </c>
      <c r="F95" s="319">
        <f>-E85*$D$33</f>
        <v/>
      </c>
      <c r="G95" s="319">
        <f>-F85*$D$33</f>
        <v/>
      </c>
      <c r="H95" s="319">
        <f>-G85*$D$33</f>
        <v/>
      </c>
      <c r="I95" s="319">
        <f>-H85*$D$33</f>
        <v/>
      </c>
      <c r="J95" s="319">
        <f>-I85*$D$33</f>
        <v/>
      </c>
      <c r="K95" s="319">
        <f>-J85*$D$33</f>
        <v/>
      </c>
      <c r="L95" s="319">
        <f>-K85*$D$33</f>
        <v/>
      </c>
      <c r="M95" s="319">
        <f>-L85*$D$33</f>
        <v/>
      </c>
      <c r="N95" s="319">
        <f>-M85*$D$33</f>
        <v/>
      </c>
      <c r="O95" s="319">
        <f>-N85*$D$33</f>
        <v/>
      </c>
      <c r="P95" s="319">
        <f>-O85*$D$33</f>
        <v/>
      </c>
      <c r="Q95" s="319">
        <f>-P85*$D$33</f>
        <v/>
      </c>
      <c r="R95" s="319">
        <f>-Q85*$D$33</f>
        <v/>
      </c>
      <c r="S95" s="319">
        <f>-R85*$D$33</f>
        <v/>
      </c>
      <c r="T95" s="319">
        <f>-S85*$D$33</f>
        <v/>
      </c>
      <c r="U95" s="319">
        <f>-T85*$D$33</f>
        <v/>
      </c>
      <c r="V95" s="319">
        <f>-U85*$D$33</f>
        <v/>
      </c>
      <c r="W95" s="319">
        <f>-V85*$D$33</f>
        <v/>
      </c>
      <c r="X95" s="319">
        <f>-W85*$D$33</f>
        <v/>
      </c>
    </row>
    <row r="96" ht="15.75" customHeight="1" s="161">
      <c r="B96" s="320" t="inlineStr">
        <is>
          <t>年底減資</t>
        </is>
      </c>
      <c r="C96" s="321" t="n"/>
      <c r="D96" s="321" t="n">
        <v>0</v>
      </c>
      <c r="E96" s="322" t="n">
        <v>0</v>
      </c>
      <c r="F96" s="322" t="n">
        <v>0</v>
      </c>
      <c r="G96" s="322" t="n">
        <v>0</v>
      </c>
      <c r="H96" s="322" t="n">
        <v>0</v>
      </c>
      <c r="I96" s="322" t="n">
        <v>0</v>
      </c>
      <c r="J96" s="322" t="n">
        <v>0</v>
      </c>
      <c r="K96" s="322" t="n">
        <v>0</v>
      </c>
      <c r="L96" s="322" t="n">
        <v>0</v>
      </c>
      <c r="M96" s="322" t="n">
        <v>0</v>
      </c>
      <c r="N96" s="322" t="n">
        <v>0</v>
      </c>
      <c r="O96" s="322" t="n">
        <v>0</v>
      </c>
      <c r="P96" s="322" t="n">
        <v>0</v>
      </c>
      <c r="Q96" s="322" t="n">
        <v>0</v>
      </c>
      <c r="R96" s="322" t="n">
        <v>0</v>
      </c>
      <c r="S96" s="322" t="n">
        <v>0</v>
      </c>
      <c r="T96" s="322" t="n">
        <v>-654150</v>
      </c>
      <c r="U96" s="322" t="n">
        <v>-654150</v>
      </c>
      <c r="V96" s="322" t="n">
        <v>-654150</v>
      </c>
      <c r="W96" s="322" t="n">
        <v>-654150</v>
      </c>
      <c r="X96" s="323">
        <f>-W101-X95</f>
        <v/>
      </c>
    </row>
    <row r="97" ht="15.75" customHeight="1" s="161">
      <c r="B97" s="313" t="n"/>
      <c r="C97" s="313" t="n"/>
      <c r="D97" s="313" t="n"/>
      <c r="E97" s="313" t="n"/>
      <c r="F97" s="313" t="n"/>
      <c r="G97" s="313" t="n"/>
      <c r="H97" s="313" t="n"/>
      <c r="I97" s="313" t="n"/>
      <c r="J97" s="313" t="n"/>
      <c r="K97" s="313" t="n"/>
      <c r="L97" s="313" t="n"/>
      <c r="M97" s="313" t="n"/>
      <c r="N97" s="313" t="n"/>
      <c r="O97" s="313" t="n"/>
      <c r="P97" s="313" t="n"/>
      <c r="Q97" s="313" t="n"/>
      <c r="R97" s="313" t="n"/>
      <c r="S97" s="313" t="n"/>
      <c r="T97" s="313" t="n"/>
      <c r="U97" s="313" t="n"/>
      <c r="V97" s="313" t="n"/>
      <c r="W97" s="313" t="n"/>
      <c r="X97" s="278" t="n"/>
    </row>
    <row r="98" ht="15.75" customHeight="1" s="161">
      <c r="B98" s="313" t="n"/>
      <c r="C98" s="313" t="n"/>
      <c r="D98" s="313" t="n"/>
      <c r="E98" s="313" t="n"/>
      <c r="F98" s="313" t="n"/>
      <c r="G98" s="313" t="n"/>
      <c r="H98" s="313" t="n"/>
      <c r="I98" s="313" t="n"/>
      <c r="J98" s="313" t="n"/>
      <c r="K98" s="313" t="n"/>
      <c r="L98" s="313" t="n"/>
      <c r="M98" s="313" t="n"/>
      <c r="N98" s="313" t="n"/>
      <c r="O98" s="313" t="n"/>
      <c r="P98" s="313" t="n"/>
      <c r="Q98" s="313" t="n"/>
      <c r="R98" s="313" t="n"/>
      <c r="S98" s="313" t="n"/>
      <c r="T98" s="313" t="n"/>
      <c r="U98" s="313" t="n"/>
      <c r="V98" s="313" t="n"/>
      <c r="W98" s="313" t="n"/>
      <c r="X98" s="278" t="n"/>
    </row>
    <row r="99" ht="15.75" customHeight="1" s="161">
      <c r="B99" s="308" t="inlineStr">
        <is>
          <t>現金淨流入(出 )</t>
        </is>
      </c>
      <c r="C99" s="309" t="n">
        <v>0</v>
      </c>
      <c r="D99" s="309">
        <f>SUM(D87:D96)</f>
        <v/>
      </c>
      <c r="E99" s="309">
        <f>SUM(E87:E96)</f>
        <v/>
      </c>
      <c r="F99" s="309">
        <f>SUM(F87:F96)</f>
        <v/>
      </c>
      <c r="G99" s="309">
        <f>SUM(G87:G96)</f>
        <v/>
      </c>
      <c r="H99" s="309">
        <f>SUM(H87:H96)</f>
        <v/>
      </c>
      <c r="I99" s="309">
        <f>SUM(I87:I96)</f>
        <v/>
      </c>
      <c r="J99" s="309">
        <f>SUM(J87:J96)</f>
        <v/>
      </c>
      <c r="K99" s="309">
        <f>SUM(K87:K96)</f>
        <v/>
      </c>
      <c r="L99" s="309">
        <f>SUM(L87:L96)</f>
        <v/>
      </c>
      <c r="M99" s="309">
        <f>SUM(M87:M96)</f>
        <v/>
      </c>
      <c r="N99" s="309">
        <f>SUM(N87:N96)</f>
        <v/>
      </c>
      <c r="O99" s="309">
        <f>SUM(O87:O96)</f>
        <v/>
      </c>
      <c r="P99" s="309">
        <f>SUM(P87:P96)</f>
        <v/>
      </c>
      <c r="Q99" s="309">
        <f>SUM(Q87:Q96)</f>
        <v/>
      </c>
      <c r="R99" s="309">
        <f>SUM(R87:R96)</f>
        <v/>
      </c>
      <c r="S99" s="309">
        <f>SUM(S87:S96)</f>
        <v/>
      </c>
      <c r="T99" s="309">
        <f>SUM(T87:T96)</f>
        <v/>
      </c>
      <c r="U99" s="309">
        <f>SUM(U87:U96)</f>
        <v/>
      </c>
      <c r="V99" s="309">
        <f>SUM(V87:V96)</f>
        <v/>
      </c>
      <c r="W99" s="309">
        <f>SUM(W87:W96)</f>
        <v/>
      </c>
      <c r="X99" s="278" t="n"/>
    </row>
    <row r="100" ht="15.75" customHeight="1" s="161">
      <c r="B100" s="308" t="inlineStr">
        <is>
          <t>期初淨現金</t>
        </is>
      </c>
      <c r="C100" s="309" t="n">
        <v>0</v>
      </c>
      <c r="D100" s="309">
        <f>C101</f>
        <v/>
      </c>
      <c r="E100" s="309">
        <f>D101</f>
        <v/>
      </c>
      <c r="F100" s="309">
        <f>E101</f>
        <v/>
      </c>
      <c r="G100" s="309">
        <f>F101</f>
        <v/>
      </c>
      <c r="H100" s="309">
        <f>G101</f>
        <v/>
      </c>
      <c r="I100" s="309">
        <f>H101</f>
        <v/>
      </c>
      <c r="J100" s="309">
        <f>I101</f>
        <v/>
      </c>
      <c r="K100" s="309">
        <f>J101</f>
        <v/>
      </c>
      <c r="L100" s="309">
        <f>K101</f>
        <v/>
      </c>
      <c r="M100" s="309">
        <f>L101</f>
        <v/>
      </c>
      <c r="N100" s="309">
        <f>M101</f>
        <v/>
      </c>
      <c r="O100" s="309">
        <f>N101</f>
        <v/>
      </c>
      <c r="P100" s="309">
        <f>O101</f>
        <v/>
      </c>
      <c r="Q100" s="309">
        <f>P101</f>
        <v/>
      </c>
      <c r="R100" s="309">
        <f>Q101</f>
        <v/>
      </c>
      <c r="S100" s="309">
        <f>R101</f>
        <v/>
      </c>
      <c r="T100" s="309">
        <f>S101</f>
        <v/>
      </c>
      <c r="U100" s="309">
        <f>T101</f>
        <v/>
      </c>
      <c r="V100" s="309">
        <f>U101</f>
        <v/>
      </c>
      <c r="W100" s="309">
        <f>V101</f>
        <v/>
      </c>
      <c r="X100" s="277" t="n"/>
    </row>
    <row r="101" ht="15.75" customHeight="1" s="161">
      <c r="B101" s="308" t="inlineStr">
        <is>
          <t>期未淨現金</t>
        </is>
      </c>
      <c r="C101" s="309" t="n">
        <v>0</v>
      </c>
      <c r="D101" s="309">
        <f>D99+D100</f>
        <v/>
      </c>
      <c r="E101" s="309">
        <f>E99+E100</f>
        <v/>
      </c>
      <c r="F101" s="309">
        <f>F99+F100</f>
        <v/>
      </c>
      <c r="G101" s="309">
        <f>G99+G100</f>
        <v/>
      </c>
      <c r="H101" s="309">
        <f>H99+H100</f>
        <v/>
      </c>
      <c r="I101" s="309">
        <f>I99+I100</f>
        <v/>
      </c>
      <c r="J101" s="309">
        <f>J99+J100</f>
        <v/>
      </c>
      <c r="K101" s="309">
        <f>K99+K100</f>
        <v/>
      </c>
      <c r="L101" s="309">
        <f>L99+L100</f>
        <v/>
      </c>
      <c r="M101" s="309">
        <f>M99+M100</f>
        <v/>
      </c>
      <c r="N101" s="309">
        <f>N99+N100</f>
        <v/>
      </c>
      <c r="O101" s="309">
        <f>O99+O100</f>
        <v/>
      </c>
      <c r="P101" s="309">
        <f>P99+P100</f>
        <v/>
      </c>
      <c r="Q101" s="309">
        <f>Q99+Q100</f>
        <v/>
      </c>
      <c r="R101" s="309">
        <f>R99+R100</f>
        <v/>
      </c>
      <c r="S101" s="309">
        <f>S99+S100</f>
        <v/>
      </c>
      <c r="T101" s="309">
        <f>T99+T100</f>
        <v/>
      </c>
      <c r="U101" s="309">
        <f>U99+U100</f>
        <v/>
      </c>
      <c r="V101" s="309">
        <f>V99+V100</f>
        <v/>
      </c>
      <c r="W101" s="309">
        <f>W99+W100</f>
        <v/>
      </c>
      <c r="X101" s="277" t="n"/>
    </row>
    <row r="102" ht="15.75" customHeight="1" s="161">
      <c r="B102" s="308" t="n"/>
      <c r="C102" s="308" t="n"/>
      <c r="D102" s="308" t="n"/>
      <c r="E102" s="308" t="n"/>
      <c r="F102" s="308" t="n"/>
      <c r="G102" s="308" t="n"/>
      <c r="H102" s="308" t="n"/>
      <c r="I102" s="308" t="n"/>
      <c r="J102" s="308" t="n"/>
      <c r="K102" s="308" t="n"/>
      <c r="L102" s="308" t="n"/>
      <c r="M102" s="308" t="n"/>
      <c r="N102" s="308" t="n"/>
      <c r="O102" s="308" t="n"/>
      <c r="P102" s="308" t="n"/>
      <c r="Q102" s="308" t="n"/>
      <c r="R102" s="308" t="n"/>
      <c r="S102" s="308" t="n"/>
      <c r="T102" s="308" t="n"/>
      <c r="U102" s="308" t="n"/>
      <c r="V102" s="308" t="n"/>
      <c r="W102" s="308" t="n"/>
      <c r="X102" s="308" t="n"/>
    </row>
    <row r="103" ht="15.75" customHeight="1" s="161">
      <c r="B103" s="308" t="n"/>
      <c r="C103" s="308" t="n"/>
      <c r="D103" s="308" t="n"/>
      <c r="E103" s="308" t="n"/>
      <c r="F103" s="313" t="n"/>
      <c r="G103" s="308" t="n"/>
      <c r="H103" s="308" t="n"/>
      <c r="I103" s="308" t="n"/>
      <c r="J103" s="308" t="n"/>
      <c r="K103" s="308" t="n"/>
      <c r="L103" s="308" t="n"/>
      <c r="M103" s="308" t="n"/>
      <c r="N103" s="308" t="n"/>
      <c r="O103" s="308" t="n"/>
      <c r="P103" s="308" t="n"/>
      <c r="Q103" s="308" t="n"/>
      <c r="R103" s="308" t="n"/>
      <c r="S103" s="308" t="n"/>
      <c r="T103" s="308" t="n"/>
      <c r="U103" s="308" t="n"/>
      <c r="V103" s="308" t="n"/>
      <c r="W103" s="308" t="n"/>
      <c r="X103" s="308" t="n"/>
    </row>
    <row r="104" ht="15.75" customHeight="1" s="161">
      <c r="B104" s="324" t="inlineStr">
        <is>
          <t>成本法實際現金流</t>
        </is>
      </c>
      <c r="C104" s="325" t="n"/>
      <c r="D104" s="326">
        <f>-D94</f>
        <v/>
      </c>
      <c r="E104" s="312">
        <f>-E95-E96</f>
        <v/>
      </c>
      <c r="F104" s="312">
        <f>-F95-F96</f>
        <v/>
      </c>
      <c r="G104" s="312">
        <f>-G95-G96</f>
        <v/>
      </c>
      <c r="H104" s="312">
        <f>-H95-H96</f>
        <v/>
      </c>
      <c r="I104" s="312">
        <f>-I95-I96</f>
        <v/>
      </c>
      <c r="J104" s="312">
        <f>-J95-J96</f>
        <v/>
      </c>
      <c r="K104" s="312">
        <f>-K95-K96</f>
        <v/>
      </c>
      <c r="L104" s="312">
        <f>-L95-L96</f>
        <v/>
      </c>
      <c r="M104" s="312">
        <f>-M95-M96</f>
        <v/>
      </c>
      <c r="N104" s="312">
        <f>-N95-N96</f>
        <v/>
      </c>
      <c r="O104" s="312">
        <f>-O95-O96</f>
        <v/>
      </c>
      <c r="P104" s="312">
        <f>-P95-P96</f>
        <v/>
      </c>
      <c r="Q104" s="312">
        <f>-Q95-Q96</f>
        <v/>
      </c>
      <c r="R104" s="312">
        <f>-R95-R96</f>
        <v/>
      </c>
      <c r="S104" s="312">
        <f>-S95-S96</f>
        <v/>
      </c>
      <c r="T104" s="312">
        <f>-T95-T96</f>
        <v/>
      </c>
      <c r="U104" s="312">
        <f>-U95-U96</f>
        <v/>
      </c>
      <c r="V104" s="312">
        <f>-V95-V96</f>
        <v/>
      </c>
      <c r="W104" s="312">
        <f>-W95-W96</f>
        <v/>
      </c>
      <c r="X104" s="312">
        <f>-X95-X96</f>
        <v/>
      </c>
    </row>
    <row r="105" ht="15.75" customHeight="1" s="161">
      <c r="B105" s="308" t="inlineStr">
        <is>
          <t>成本法IRR</t>
        </is>
      </c>
      <c r="C105" s="327">
        <f>IRR(D104:X104)</f>
        <v/>
      </c>
      <c r="D105" s="313" t="n"/>
      <c r="E105" s="313" t="n"/>
      <c r="F105" s="308" t="n"/>
      <c r="G105" s="308" t="n"/>
      <c r="H105" s="308" t="n"/>
      <c r="I105" s="308" t="n"/>
      <c r="J105" s="308" t="n"/>
      <c r="K105" s="308" t="n"/>
      <c r="L105" s="308" t="n"/>
      <c r="M105" s="308" t="n"/>
      <c r="N105" s="308" t="n"/>
      <c r="O105" s="308" t="n"/>
      <c r="P105" s="308" t="n"/>
      <c r="Q105" s="308" t="n"/>
      <c r="R105" s="308" t="n"/>
      <c r="S105" s="308" t="n"/>
      <c r="T105" s="308" t="n"/>
      <c r="U105" s="308" t="n"/>
      <c r="V105" s="308" t="n"/>
      <c r="W105" s="308" t="n"/>
      <c r="X105" s="308" t="n"/>
    </row>
    <row r="106" ht="15.75" customHeight="1" s="161">
      <c r="B106" s="324" t="inlineStr">
        <is>
          <t>權益法實際現金流</t>
        </is>
      </c>
      <c r="C106" s="325" t="n"/>
      <c r="D106" s="326">
        <f>D85-D94</f>
        <v/>
      </c>
      <c r="E106" s="312">
        <f>E85</f>
        <v/>
      </c>
      <c r="F106" s="312">
        <f>F85-F96</f>
        <v/>
      </c>
      <c r="G106" s="312">
        <f>G85-G96</f>
        <v/>
      </c>
      <c r="H106" s="312">
        <f>H85-H96</f>
        <v/>
      </c>
      <c r="I106" s="312">
        <f>I85-I96</f>
        <v/>
      </c>
      <c r="J106" s="312">
        <f>J85-J96</f>
        <v/>
      </c>
      <c r="K106" s="312">
        <f>K85-K96</f>
        <v/>
      </c>
      <c r="L106" s="312">
        <f>L85-L96</f>
        <v/>
      </c>
      <c r="M106" s="312">
        <f>M85-M96</f>
        <v/>
      </c>
      <c r="N106" s="312">
        <f>N85-N96</f>
        <v/>
      </c>
      <c r="O106" s="312">
        <f>O85-O96</f>
        <v/>
      </c>
      <c r="P106" s="312">
        <f>P85-P96</f>
        <v/>
      </c>
      <c r="Q106" s="312">
        <f>Q85-Q96</f>
        <v/>
      </c>
      <c r="R106" s="312">
        <f>R85-R96</f>
        <v/>
      </c>
      <c r="S106" s="312">
        <f>S85-S96</f>
        <v/>
      </c>
      <c r="T106" s="312">
        <f>T85-T96</f>
        <v/>
      </c>
      <c r="U106" s="312">
        <f>U85-U96</f>
        <v/>
      </c>
      <c r="V106" s="312">
        <f>V85-V96</f>
        <v/>
      </c>
      <c r="W106" s="312">
        <f>W85-W96</f>
        <v/>
      </c>
      <c r="X106" s="317" t="n"/>
    </row>
    <row r="107" ht="15.75" customHeight="1" s="161">
      <c r="B107" s="324" t="inlineStr">
        <is>
          <t>權益法IRR</t>
        </is>
      </c>
      <c r="C107" s="327">
        <f>IRR(D106:W106)</f>
        <v/>
      </c>
      <c r="D107" s="313" t="n"/>
      <c r="E107" s="313" t="n"/>
      <c r="F107" s="308" t="n"/>
      <c r="G107" s="308" t="n"/>
      <c r="H107" s="308" t="n"/>
      <c r="I107" s="308" t="n"/>
      <c r="J107" s="308" t="n"/>
      <c r="K107" s="308" t="n"/>
      <c r="L107" s="308" t="n"/>
      <c r="M107" s="308" t="n"/>
      <c r="N107" s="308" t="n"/>
      <c r="O107" s="308" t="n"/>
      <c r="P107" s="308" t="n"/>
      <c r="Q107" s="308" t="n"/>
      <c r="R107" s="308" t="n"/>
      <c r="S107" s="308" t="n"/>
      <c r="T107" s="308" t="n"/>
      <c r="U107" s="308" t="n"/>
      <c r="V107" s="308" t="n"/>
      <c r="W107" s="308" t="n"/>
      <c r="X107" s="308" t="n"/>
    </row>
    <row r="108" ht="15.75" customHeight="1" s="161">
      <c r="B108" s="308" t="n"/>
      <c r="C108" s="308" t="n"/>
      <c r="D108" s="308" t="n"/>
      <c r="E108" s="308" t="n"/>
      <c r="F108" s="308" t="n"/>
      <c r="G108" s="308" t="n"/>
      <c r="H108" s="308" t="n"/>
      <c r="I108" s="308" t="n"/>
      <c r="J108" s="308" t="n"/>
      <c r="K108" s="308" t="n"/>
      <c r="L108" s="308" t="n"/>
      <c r="M108" s="308" t="n"/>
      <c r="N108" s="308" t="n"/>
      <c r="O108" s="308" t="n"/>
      <c r="P108" s="308" t="n"/>
      <c r="Q108" s="308" t="n"/>
      <c r="R108" s="308" t="n"/>
      <c r="S108" s="308" t="n"/>
      <c r="T108" s="308" t="n"/>
      <c r="U108" s="308" t="n"/>
      <c r="V108" s="308" t="n"/>
      <c r="W108" s="308" t="n"/>
      <c r="X108" s="308" t="n"/>
    </row>
    <row r="109" ht="15.75" customHeight="1" s="161">
      <c r="B109" s="308" t="inlineStr">
        <is>
          <t>借款餘額</t>
        </is>
      </c>
      <c r="C109" s="309" t="n">
        <v>0</v>
      </c>
      <c r="D109" s="309">
        <f>D92</f>
        <v/>
      </c>
      <c r="E109" s="309">
        <f>D109+E93</f>
        <v/>
      </c>
      <c r="F109" s="309">
        <f>E109+F93</f>
        <v/>
      </c>
      <c r="G109" s="309">
        <f>F109+G93</f>
        <v/>
      </c>
      <c r="H109" s="309">
        <f>G109+H93</f>
        <v/>
      </c>
      <c r="I109" s="309">
        <f>H109+I93</f>
        <v/>
      </c>
      <c r="J109" s="309">
        <f>I109+J93</f>
        <v/>
      </c>
      <c r="K109" s="309">
        <f>J109+K93</f>
        <v/>
      </c>
      <c r="L109" s="309">
        <f>K109+L93</f>
        <v/>
      </c>
      <c r="M109" s="309">
        <f>L109+M93</f>
        <v/>
      </c>
      <c r="N109" s="309">
        <f>M109+N93</f>
        <v/>
      </c>
      <c r="O109" s="309">
        <f>N109+O93</f>
        <v/>
      </c>
      <c r="P109" s="309">
        <f>O109+P93</f>
        <v/>
      </c>
      <c r="Q109" s="309">
        <f>P109+Q93</f>
        <v/>
      </c>
      <c r="R109" s="309">
        <f>Q109+R93</f>
        <v/>
      </c>
      <c r="S109" s="309">
        <f>R109+S93</f>
        <v/>
      </c>
      <c r="T109" s="309">
        <f>S109+T93</f>
        <v/>
      </c>
      <c r="U109" s="309">
        <f>T109+U93</f>
        <v/>
      </c>
      <c r="V109" s="309">
        <f>U109+V93</f>
        <v/>
      </c>
      <c r="W109" s="309">
        <f>V109+W93</f>
        <v/>
      </c>
      <c r="X109" s="3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B1:AJ10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73046875" defaultRowHeight="15" customHeight="0" zeroHeight="0" outlineLevelRow="0"/>
  <cols>
    <col width="8" customWidth="1" style="160" min="1" max="1"/>
    <col width="34" customWidth="1" style="160" min="2" max="2"/>
    <col width="27" customWidth="1" style="160" min="3" max="3"/>
    <col width="37" customWidth="1" style="160" min="4" max="5"/>
    <col width="50" customWidth="1" style="160" min="6" max="6"/>
    <col width="37" customWidth="1" style="160" min="7" max="12"/>
    <col width="50" customWidth="1" style="160" min="13" max="13"/>
    <col width="37" customWidth="1" style="160" min="14" max="23"/>
    <col width="30" customWidth="1" style="160" min="24" max="24"/>
    <col width="10" customWidth="1" style="160" min="25" max="27"/>
    <col width="11" customWidth="1" style="160" min="28" max="35"/>
    <col width="8" customWidth="1" style="160" min="36" max="36"/>
    <col width="9.140000000000001" customWidth="1" style="160" min="37" max="37"/>
  </cols>
  <sheetData>
    <row r="1" ht="22.5" customHeight="1" s="161">
      <c r="B1" s="162" t="inlineStr">
        <is>
          <t>電站基本資料</t>
        </is>
      </c>
      <c r="C1" s="203" t="n"/>
      <c r="D1" s="203" t="n"/>
      <c r="E1" s="204" t="n"/>
      <c r="F1" s="165" t="inlineStr">
        <is>
          <t>說明</t>
        </is>
      </c>
      <c r="P1" s="166">
        <f>1-D11</f>
        <v/>
      </c>
      <c r="Q1" s="166">
        <f>P1-$D12</f>
        <v/>
      </c>
      <c r="R1" s="166">
        <f>Q1-$D12</f>
        <v/>
      </c>
      <c r="S1" s="166">
        <f>R1-$D12</f>
        <v/>
      </c>
      <c r="T1" s="166">
        <f>S1-$D12</f>
        <v/>
      </c>
      <c r="U1" s="166">
        <f>T1-$D12</f>
        <v/>
      </c>
      <c r="V1" s="166">
        <f>U1-$D12</f>
        <v/>
      </c>
      <c r="W1" s="166">
        <f>V1-$D12</f>
        <v/>
      </c>
      <c r="X1" s="166">
        <f>W1-$D12</f>
        <v/>
      </c>
      <c r="Y1" s="166">
        <f>X1-$D12</f>
        <v/>
      </c>
      <c r="Z1" s="166">
        <f>Y1-$D12</f>
        <v/>
      </c>
      <c r="AA1" s="166">
        <f>Z1-$D12</f>
        <v/>
      </c>
      <c r="AB1" s="166">
        <f>AA1-$D12</f>
        <v/>
      </c>
      <c r="AC1" s="166">
        <f>AB1-$D12</f>
        <v/>
      </c>
      <c r="AD1" s="166">
        <f>AC1-$D12</f>
        <v/>
      </c>
      <c r="AE1" s="166">
        <f>AD1-$D12</f>
        <v/>
      </c>
      <c r="AF1" s="166">
        <f>AE1-$D12</f>
        <v/>
      </c>
      <c r="AG1" s="166">
        <f>AF1-$D12</f>
        <v/>
      </c>
      <c r="AH1" s="166">
        <f>AG1-$D12</f>
        <v/>
      </c>
      <c r="AI1" s="166">
        <f>AH1-$D12</f>
        <v/>
      </c>
    </row>
    <row r="2" ht="21.75" customHeight="1" s="161">
      <c r="B2" s="205" t="inlineStr">
        <is>
          <t>電站名稱</t>
        </is>
      </c>
      <c r="C2" s="206" t="inlineStr">
        <is>
          <t>淡江大學</t>
        </is>
      </c>
      <c r="D2" s="169" t="inlineStr">
        <is>
          <t>-</t>
        </is>
      </c>
      <c r="E2" s="170" t="inlineStr">
        <is>
          <t>-</t>
        </is>
      </c>
      <c r="F2" s="207" t="inlineStr">
        <is>
          <t>填入本案場名稱</t>
        </is>
      </c>
    </row>
    <row r="3" ht="21.75" customHeight="1" s="161">
      <c r="B3" s="208" t="inlineStr">
        <is>
          <t>電站壽命</t>
        </is>
      </c>
      <c r="C3" s="209" t="n">
        <v>20</v>
      </c>
      <c r="D3" s="174" t="inlineStr">
        <is>
          <t>-</t>
        </is>
      </c>
      <c r="E3" s="175" t="inlineStr">
        <is>
          <t>-</t>
        </is>
      </c>
      <c r="F3" s="171" t="inlineStr">
        <is>
          <t>預設 20 年，代表財務評估年期。若合約年限不同可依實際情況修改</t>
        </is>
      </c>
    </row>
    <row r="4" ht="21.75" customHeight="1" s="161">
      <c r="B4" s="208" t="inlineStr">
        <is>
          <t>建置量(kWp)</t>
        </is>
      </c>
      <c r="C4" s="209" t="n">
        <v>436.1</v>
      </c>
      <c r="D4" s="174" t="inlineStr">
        <is>
          <t>-</t>
        </is>
      </c>
      <c r="E4" s="175" t="inlineStr">
        <is>
          <t>-</t>
        </is>
      </c>
      <c r="F4" s="171" t="inlineStr">
        <is>
          <t>填入裝置容量（kWp），通常由設計圖面或報價書取得</t>
        </is>
      </c>
      <c r="M4" s="160" t="inlineStr">
        <is>
          <t>情境編號: 6</t>
        </is>
      </c>
    </row>
    <row r="5" ht="22.5" customHeight="1" s="161">
      <c r="B5" s="210" t="inlineStr">
        <is>
          <t>起始年度</t>
        </is>
      </c>
      <c r="C5" s="209" t="n">
        <v>2020</v>
      </c>
      <c r="D5" s="210" t="inlineStr">
        <is>
          <t>結束年度</t>
        </is>
      </c>
      <c r="E5" s="211" t="n">
        <v>2039</v>
      </c>
      <c r="F5" s="171" t="inlineStr">
        <is>
          <t>填入電站預計掛表的西元年份（例：2025）。結束年度會自動計算</t>
        </is>
      </c>
      <c r="M5" s="160" t="inlineStr">
        <is>
          <t>第5次滾算摘要</t>
        </is>
      </c>
    </row>
    <row r="6" ht="20.25" customHeight="1" s="161">
      <c r="B6" s="176" t="n"/>
      <c r="C6" s="176" t="n"/>
      <c r="D6" s="176" t="n"/>
      <c r="E6" s="176" t="n"/>
      <c r="M6" s="160" t="inlineStr">
        <is>
          <t>價金: 20000</t>
        </is>
      </c>
    </row>
    <row r="7" ht="22.5" customHeight="1" s="161">
      <c r="B7" s="162" t="inlineStr">
        <is>
          <t>綜合損益表</t>
        </is>
      </c>
      <c r="C7" s="203" t="n"/>
      <c r="D7" s="203" t="n"/>
      <c r="E7" s="204" t="n"/>
      <c r="M7" s="160" t="inlineStr">
        <is>
          <t>專案IRR: 9.8</t>
        </is>
      </c>
    </row>
    <row r="8" ht="22.5" customHeight="1" s="161">
      <c r="B8" s="178" t="inlineStr">
        <is>
          <t>收入</t>
        </is>
      </c>
      <c r="E8" s="212" t="n"/>
      <c r="M8" s="160" t="inlineStr">
        <is>
          <t>權益法IRR: 42.43</t>
        </is>
      </c>
    </row>
    <row r="9" ht="22.5" customHeight="1" s="161">
      <c r="B9" s="213" t="inlineStr">
        <is>
          <t>收支項目</t>
        </is>
      </c>
      <c r="C9" s="214" t="inlineStr">
        <is>
          <t>相關參數</t>
        </is>
      </c>
      <c r="D9" s="214" t="inlineStr">
        <is>
          <t>參數數值</t>
        </is>
      </c>
      <c r="E9" s="215" t="inlineStr">
        <is>
          <t>年限</t>
        </is>
      </c>
      <c r="F9" s="165" t="inlineStr">
        <is>
          <t>說明</t>
        </is>
      </c>
      <c r="M9" s="160" t="inlineStr">
        <is>
          <t>利潤率: 20.00%</t>
        </is>
      </c>
    </row>
    <row r="10" ht="30" customHeight="1" s="161">
      <c r="B10" s="216" t="inlineStr">
        <is>
          <t>電費收入</t>
        </is>
      </c>
      <c r="C10" s="217" t="inlineStr">
        <is>
          <t>年度AC併網總發電量</t>
        </is>
      </c>
      <c r="D10" s="218" t="n">
        <v>547002</v>
      </c>
      <c r="E10" s="185" t="n">
        <v>20</v>
      </c>
      <c r="F10" s="171" t="inlineStr">
        <is>
          <t>預估年發電量（kWh），通常來自 PVsyst 模擬或估算：裝置容量 × 年日照時數 × 系統效率</t>
        </is>
      </c>
      <c r="M10" s="160" t="inlineStr">
        <is>
          <t>第5次滾算，減少 2000 元 - 現金模式，每次減少 2000 元</t>
        </is>
      </c>
    </row>
    <row r="11" ht="30" customHeight="1" s="161">
      <c r="B11" s="219" t="n"/>
      <c r="C11" s="210" t="inlineStr">
        <is>
          <t>首年衰退率</t>
        </is>
      </c>
      <c r="D11" s="220" t="n">
        <v>0.01</v>
      </c>
      <c r="E11" s="221" t="n"/>
      <c r="F11" s="171" t="inlineStr">
        <is>
          <t>第一年發電衰退比率，請填小數（例：1% → 填 0.01）。一般首年衰退約 1~2%(請參考模組規格書)</t>
        </is>
      </c>
    </row>
    <row r="12" ht="30" customHeight="1" s="161">
      <c r="B12" s="219" t="n"/>
      <c r="C12" s="210" t="inlineStr">
        <is>
          <t>次年衰退率</t>
        </is>
      </c>
      <c r="D12" s="222" t="n">
        <v>0.004</v>
      </c>
      <c r="E12" s="221" t="n"/>
      <c r="F12" s="171" t="inlineStr">
        <is>
          <t>第二年起每年固定衰退比率，請填小數（例：0.4% → 填 0.004）。一般約 0.4~0.7%(請參考模組規格書)</t>
        </is>
      </c>
    </row>
    <row r="13" ht="22.5" customHeight="1" s="161">
      <c r="B13" s="219" t="n"/>
      <c r="C13" s="223" t="inlineStr">
        <is>
          <t>躉售費率(FIT) / 綠電費率</t>
        </is>
      </c>
      <c r="D13" s="224" t="n">
        <v>4</v>
      </c>
      <c r="E13" s="221" t="n"/>
      <c r="F13" s="171" t="inlineStr">
        <is>
          <t>與台電簽訂的躉購費率或綠電合約費率，單位：元/度。請參考台電公告或合約內容</t>
        </is>
      </c>
    </row>
    <row r="14" ht="22.5" customHeight="1" s="161">
      <c r="B14" s="192" t="inlineStr">
        <is>
          <t>支出</t>
        </is>
      </c>
      <c r="C14" s="203" t="n"/>
      <c r="D14" s="203" t="n"/>
      <c r="E14" s="204" t="n"/>
    </row>
    <row r="15" ht="22.5" customHeight="1" s="161">
      <c r="B15" s="213" t="inlineStr">
        <is>
          <t>收支項目</t>
        </is>
      </c>
      <c r="C15" s="214" t="inlineStr">
        <is>
          <t>相關參數</t>
        </is>
      </c>
      <c r="D15" s="214" t="inlineStr">
        <is>
          <t>參數數值</t>
        </is>
      </c>
      <c r="E15" s="215" t="inlineStr">
        <is>
          <t>攤提年限</t>
        </is>
      </c>
      <c r="F15" s="165" t="inlineStr">
        <is>
          <t>說明</t>
        </is>
      </c>
    </row>
    <row r="16" ht="21.75" customHeight="1" s="161">
      <c r="B16" s="217" t="inlineStr">
        <is>
          <t>設備費用(價金)</t>
        </is>
      </c>
      <c r="C16" s="217" t="inlineStr">
        <is>
          <t>每kWp設備成本</t>
        </is>
      </c>
      <c r="D16" s="225" t="n">
        <v>20000</v>
      </c>
      <c r="E16" s="170" t="n">
        <v>20</v>
      </c>
      <c r="F16" s="171" t="inlineStr">
        <is>
          <t>每峰瓩設備成本（元/kWp），包含模組、逆變器、支架等硬體，不含工程施工費</t>
        </is>
      </c>
    </row>
    <row r="17" ht="21.75" customHeight="1" s="161">
      <c r="B17" s="219" t="n"/>
      <c r="C17" s="210" t="inlineStr">
        <is>
          <t>信邦利潤率(ex:20%填0.2)</t>
        </is>
      </c>
      <c r="D17" s="226" t="n">
        <v>0.2</v>
      </c>
      <c r="E17" s="221" t="n"/>
      <c r="F17" s="171" t="inlineStr">
        <is>
          <t>公司在設備費用上加計的利潤比率，請填小數（例：20% → 填 0.2）</t>
        </is>
      </c>
    </row>
    <row r="18" ht="21.75" customHeight="1" s="161">
      <c r="B18" s="227" t="n"/>
      <c r="C18" s="210" t="inlineStr">
        <is>
          <t>開發費</t>
        </is>
      </c>
      <c r="D18" s="228" t="n">
        <v>2500</v>
      </c>
      <c r="E18" s="229" t="n"/>
      <c r="F18" s="171" t="inlineStr">
        <is>
          <t>前期開發費用（元），含可行性評估、申請規費、地主溝通等。若無則填 0</t>
        </is>
      </c>
    </row>
    <row r="19" ht="54" customHeight="1" s="161">
      <c r="B19" s="210" t="inlineStr">
        <is>
          <t>租金費用</t>
        </is>
      </c>
      <c r="C19" s="230" t="inlineStr">
        <is>
          <t>租金計算方式</t>
        </is>
      </c>
      <c r="D19" s="226" t="n">
        <v>1</v>
      </c>
      <c r="E19" s="170" t="n">
        <v>20</v>
      </c>
      <c r="F19" s="171" t="inlineStr">
        <is>
          <t>填 1 = 固定年租金（需填方式1參數）；填 2 = 依電費收入抽成（需填方式2參數）</t>
        </is>
      </c>
    </row>
    <row r="20" ht="20.25" customHeight="1" s="161">
      <c r="B20" s="219" t="n"/>
      <c r="C20" s="231" t="inlineStr">
        <is>
          <t>【方式1參數】每年相同價格</t>
        </is>
      </c>
      <c r="D20" s="228" t="n">
        <v>290201</v>
      </c>
      <c r="E20" s="170" t="n">
        <v>20</v>
      </c>
      <c r="F20" s="171" t="inlineStr">
        <is>
          <t>租金計算方式選「1」時填寫，固定年租金金額（元/年），套用至整個電站壽命期</t>
        </is>
      </c>
    </row>
    <row r="21" ht="30" customHeight="1" s="161">
      <c r="B21" s="227" t="n"/>
      <c r="C21" s="210" t="inlineStr">
        <is>
          <t>【方式2參數】抽成比率</t>
        </is>
      </c>
      <c r="D21" s="226" t="n">
        <v>0</v>
      </c>
      <c r="E21" s="175" t="n">
        <v>20</v>
      </c>
      <c r="F21" s="171" t="inlineStr">
        <is>
          <t>租金計算方式選「2」時填寫，請填小數（例：10% → 填 0.1）。租金 = 當年電費收入 × 抽成比率</t>
        </is>
      </c>
    </row>
    <row r="22" ht="30" customHeight="1" s="161">
      <c r="B22" s="210" t="inlineStr">
        <is>
          <t>運維費用</t>
        </is>
      </c>
      <c r="C22" s="210" t="inlineStr">
        <is>
          <t>每kw運維成本</t>
        </is>
      </c>
      <c r="D22" s="232" t="n">
        <v>400</v>
      </c>
      <c r="E22" s="175" t="n">
        <v>20</v>
      </c>
      <c r="F22" s="171" t="inlineStr">
        <is>
          <t>每峰瓩每年運維費用（元/kWp/年），含清洗、巡檢、維修等。</t>
        </is>
      </c>
    </row>
    <row r="23" ht="30" customHeight="1" s="161">
      <c r="B23" s="210" t="inlineStr">
        <is>
          <t>保險費用</t>
        </is>
      </c>
      <c r="C23" s="210" t="inlineStr">
        <is>
          <t>占整體設備費用比例</t>
        </is>
      </c>
      <c r="D23" s="226" t="n">
        <v>0.003</v>
      </c>
      <c r="E23" s="175" t="n">
        <v>20</v>
      </c>
      <c r="F23" s="171" t="inlineStr">
        <is>
          <t>保險費佔設備總費用比率，填小數（例：0.3% → 填 0.003）。預設 0.003，可依投保條件調整</t>
        </is>
      </c>
    </row>
    <row r="24" ht="30" customHeight="1" s="161">
      <c r="B24" s="210" t="inlineStr">
        <is>
          <t>模組回收費用</t>
        </is>
      </c>
      <c r="C24" s="210" t="inlineStr">
        <is>
          <t>每kw模組回收成本</t>
        </is>
      </c>
      <c r="D24" s="232" t="n">
        <v>1000</v>
      </c>
      <c r="E24" s="199" t="n">
        <v>10</v>
      </c>
      <c r="F24" s="171" t="inlineStr">
        <is>
          <t>每峰瓩模組廢棄回收費用（元/kWp），於第 1~10 年計提（攤提 10 年）。</t>
        </is>
      </c>
    </row>
    <row r="25" ht="30" customHeight="1" s="161">
      <c r="B25" s="210" t="inlineStr">
        <is>
          <t>利息費用</t>
        </is>
      </c>
      <c r="C25" s="210" t="inlineStr">
        <is>
          <t>銀行利率</t>
        </is>
      </c>
      <c r="D25" s="233" t="n">
        <v>0.0256</v>
      </c>
      <c r="E25" s="175" t="n">
        <v>20</v>
      </c>
      <c r="F25" s="171" t="inlineStr">
        <is>
          <t>向銀行貸款的年利率，填小數（例：2.56% → 填 0.0256）。請依銀行核准利率填入</t>
        </is>
      </c>
    </row>
    <row r="26" ht="30" customHeight="1" s="161">
      <c r="B26" s="210" t="inlineStr">
        <is>
          <t>所得稅</t>
        </is>
      </c>
      <c r="C26" s="210" t="inlineStr">
        <is>
          <t>所得稅率</t>
        </is>
      </c>
      <c r="D26" s="226" t="n">
        <v>0.2</v>
      </c>
      <c r="E26" s="175" t="n">
        <v>20</v>
      </c>
      <c r="F26" s="171" t="inlineStr">
        <is>
          <t>公司所得稅率，填小數（例：20% → 填 0.2）。預設 0.2，通常不需更改</t>
        </is>
      </c>
    </row>
    <row r="27" ht="20.25" customHeight="1" s="161">
      <c r="B27" s="176" t="n"/>
      <c r="C27" s="176" t="n"/>
      <c r="D27" s="176" t="n"/>
      <c r="E27" s="176" t="n"/>
    </row>
    <row r="28" ht="20.25" customHeight="1" s="161">
      <c r="B28" s="176" t="n"/>
      <c r="C28" s="176" t="n"/>
      <c r="D28" s="176" t="n"/>
      <c r="E28" s="176" t="n"/>
    </row>
    <row r="29" ht="22.5" customHeight="1" s="161">
      <c r="B29" s="162" t="inlineStr">
        <is>
          <t>現金流量表</t>
        </is>
      </c>
      <c r="C29" s="203" t="n"/>
      <c r="D29" s="204" t="n"/>
      <c r="E29" s="176" t="n"/>
    </row>
    <row r="30" ht="22.5" customHeight="1" s="161">
      <c r="B30" s="213" t="inlineStr">
        <is>
          <t>金流項目</t>
        </is>
      </c>
      <c r="C30" s="234" t="inlineStr">
        <is>
          <t>相關參數</t>
        </is>
      </c>
      <c r="D30" s="235" t="inlineStr">
        <is>
          <t>參數數值</t>
        </is>
      </c>
      <c r="E30" s="176" t="n"/>
      <c r="F30" s="165" t="inlineStr">
        <is>
          <t>說明</t>
        </is>
      </c>
    </row>
    <row r="31" ht="30" customHeight="1" s="161">
      <c r="B31" s="217" t="inlineStr">
        <is>
          <t>貸款成數</t>
        </is>
      </c>
      <c r="C31" s="205" t="inlineStr">
        <is>
          <t>占總設備費用比例</t>
        </is>
      </c>
      <c r="D31" s="236" t="n">
        <v>0.8</v>
      </c>
      <c r="E31" s="176" t="n"/>
      <c r="F31" s="171" t="inlineStr">
        <is>
          <t>貸款佔設備總費用比例，填小數（例：80% → 填 0.8）。預設 0.8 代表貸八成、自備二成</t>
        </is>
      </c>
    </row>
    <row r="32" ht="18.75" customHeight="1" s="161">
      <c r="B32" s="217" t="inlineStr">
        <is>
          <t>貸款還款</t>
        </is>
      </c>
      <c r="C32" s="205" t="inlineStr">
        <is>
          <t>攤還期數</t>
        </is>
      </c>
      <c r="D32" s="236" t="n">
        <v>15</v>
      </c>
      <c r="E32" s="176" t="n"/>
      <c r="F32" s="171" t="inlineStr">
        <is>
          <t>貸款還款年數（年）。預設 15 年，代表分 15 年平均攤還本金</t>
        </is>
      </c>
    </row>
    <row r="33" ht="18.75" customHeight="1" s="161">
      <c r="B33" s="210" t="inlineStr">
        <is>
          <t>現金股利</t>
        </is>
      </c>
      <c r="C33" s="208" t="inlineStr">
        <is>
          <t>股利比率</t>
        </is>
      </c>
      <c r="D33" s="226" t="n">
        <v>0.9</v>
      </c>
      <c r="E33" s="176" t="n"/>
      <c r="F33" s="171" t="inlineStr">
        <is>
          <t>稅後現金流中分配給股東的比例，填小數（例：90% → 填 0.9）</t>
        </is>
      </c>
    </row>
    <row r="34" ht="30" customHeight="1" s="161">
      <c r="B34" s="210" t="inlineStr">
        <is>
          <t>年底減資</t>
        </is>
      </c>
      <c r="C34" s="208" t="inlineStr">
        <is>
          <t>攤還期數</t>
        </is>
      </c>
      <c r="D34" s="226" t="n">
        <v>4</v>
      </c>
      <c r="E34" s="176" t="n"/>
      <c r="F34" s="171" t="inlineStr">
        <is>
          <t>年底減資返還股東的年數。預設 4 年，代表 倒數 4 年進行減資，加速資金返還</t>
        </is>
      </c>
    </row>
    <row r="35" ht="18.75" customHeight="1" s="161"/>
    <row r="36" ht="18.75" customHeight="1" s="161"/>
    <row r="37" ht="18.75" customHeight="1" s="161">
      <c r="B37" s="237" t="n"/>
      <c r="C37" s="238" t="inlineStr">
        <is>
          <t>年份</t>
        </is>
      </c>
      <c r="D37" s="238" t="n">
        <v>2020</v>
      </c>
      <c r="E37" s="238" t="n">
        <v>2021</v>
      </c>
      <c r="F37" s="238" t="n">
        <v>2022</v>
      </c>
      <c r="G37" s="238" t="n">
        <v>2023</v>
      </c>
      <c r="H37" s="238" t="n">
        <v>2024</v>
      </c>
      <c r="I37" s="238" t="n">
        <v>2025</v>
      </c>
      <c r="J37" s="238" t="n">
        <v>2026</v>
      </c>
      <c r="K37" s="238" t="n">
        <v>2027</v>
      </c>
      <c r="L37" s="238" t="n">
        <v>2028</v>
      </c>
      <c r="M37" s="238" t="n">
        <v>2029</v>
      </c>
      <c r="N37" s="238" t="n">
        <v>2030</v>
      </c>
      <c r="O37" s="238" t="n">
        <v>2031</v>
      </c>
      <c r="P37" s="238" t="n">
        <v>2032</v>
      </c>
      <c r="Q37" s="238" t="n">
        <v>2033</v>
      </c>
      <c r="R37" s="238" t="n">
        <v>2034</v>
      </c>
      <c r="S37" s="238" t="n">
        <v>2035</v>
      </c>
      <c r="T37" s="238" t="n">
        <v>2036</v>
      </c>
      <c r="U37" s="238" t="n">
        <v>2037</v>
      </c>
      <c r="V37" s="238" t="n">
        <v>2038</v>
      </c>
      <c r="W37" s="238" t="n">
        <v>2039</v>
      </c>
      <c r="X37" s="238" t="n"/>
    </row>
    <row r="38" ht="18.75" customHeight="1" s="161">
      <c r="B38" s="239" t="n">
        <v>0</v>
      </c>
      <c r="C38" s="240" t="n"/>
      <c r="D38" s="241" t="n"/>
      <c r="E38" s="241" t="n"/>
      <c r="F38" s="242" t="n"/>
      <c r="G38" s="243" t="n"/>
      <c r="H38" s="243" t="n"/>
      <c r="I38" s="243" t="n"/>
      <c r="J38" s="243" t="n"/>
      <c r="K38" s="243" t="n"/>
      <c r="L38" s="243" t="n"/>
      <c r="M38" s="243" t="n"/>
      <c r="N38" s="243" t="n"/>
      <c r="O38" s="243" t="n"/>
      <c r="P38" s="243" t="n"/>
      <c r="Q38" s="243" t="n"/>
      <c r="R38" s="243" t="n"/>
      <c r="S38" s="243" t="n"/>
      <c r="T38" s="244" t="n"/>
      <c r="U38" s="243" t="n"/>
      <c r="V38" s="243" t="n"/>
      <c r="W38" s="243" t="n"/>
      <c r="X38" s="245" t="n"/>
    </row>
    <row r="39" ht="18.75" customHeight="1" s="161">
      <c r="B39" s="246" t="inlineStr">
        <is>
          <t>(Unit : Currency)</t>
        </is>
      </c>
      <c r="C39" s="247" t="n">
        <v>0</v>
      </c>
      <c r="D39" s="248" t="n">
        <v>1</v>
      </c>
      <c r="E39" s="248" t="n">
        <v>2</v>
      </c>
      <c r="F39" s="248" t="n">
        <v>3</v>
      </c>
      <c r="G39" s="248" t="n">
        <v>4</v>
      </c>
      <c r="H39" s="248" t="n">
        <v>5</v>
      </c>
      <c r="I39" s="248" t="n">
        <v>6</v>
      </c>
      <c r="J39" s="248" t="n">
        <v>7</v>
      </c>
      <c r="K39" s="248" t="n">
        <v>8</v>
      </c>
      <c r="L39" s="248" t="n">
        <v>9</v>
      </c>
      <c r="M39" s="248" t="n">
        <v>10</v>
      </c>
      <c r="N39" s="248" t="n">
        <v>11</v>
      </c>
      <c r="O39" s="248" t="n">
        <v>12</v>
      </c>
      <c r="P39" s="248" t="n">
        <v>13</v>
      </c>
      <c r="Q39" s="248" t="n">
        <v>14</v>
      </c>
      <c r="R39" s="248" t="n">
        <v>15</v>
      </c>
      <c r="S39" s="248" t="n">
        <v>16</v>
      </c>
      <c r="T39" s="249" t="n">
        <v>17</v>
      </c>
      <c r="U39" s="248" t="n">
        <v>18</v>
      </c>
      <c r="V39" s="248" t="n">
        <v>19</v>
      </c>
      <c r="W39" s="248" t="n">
        <v>20</v>
      </c>
      <c r="X39" s="250" t="n"/>
    </row>
    <row r="40" ht="18.75" customHeight="1" s="161">
      <c r="B40" s="251" t="inlineStr">
        <is>
          <t>發電度數(KWH)</t>
        </is>
      </c>
      <c r="C40" s="252" t="n">
        <v>0</v>
      </c>
      <c r="D40" s="253">
        <f>$D$10*P1</f>
        <v/>
      </c>
      <c r="E40" s="253">
        <f>$D$10*Q1</f>
        <v/>
      </c>
      <c r="F40" s="253">
        <f>$D$10*R1</f>
        <v/>
      </c>
      <c r="G40" s="253">
        <f>$D$10*S1</f>
        <v/>
      </c>
      <c r="H40" s="253">
        <f>$D$10*T1</f>
        <v/>
      </c>
      <c r="I40" s="253">
        <f>$D$10*U1</f>
        <v/>
      </c>
      <c r="J40" s="253">
        <f>$D$10*V1</f>
        <v/>
      </c>
      <c r="K40" s="253">
        <f>$D$10*W1</f>
        <v/>
      </c>
      <c r="L40" s="253">
        <f>$D$10*X1</f>
        <v/>
      </c>
      <c r="M40" s="253">
        <f>$D$10*Y1</f>
        <v/>
      </c>
      <c r="N40" s="253">
        <f>$D$10*Z1</f>
        <v/>
      </c>
      <c r="O40" s="253">
        <f>$D$10*AA1</f>
        <v/>
      </c>
      <c r="P40" s="253">
        <f>$D$10*AB1</f>
        <v/>
      </c>
      <c r="Q40" s="253">
        <f>$D$10*AC1</f>
        <v/>
      </c>
      <c r="R40" s="253">
        <f>$D$10*AD1</f>
        <v/>
      </c>
      <c r="S40" s="253">
        <f>$D$10*AE1</f>
        <v/>
      </c>
      <c r="T40" s="253">
        <f>$D$10*AF1</f>
        <v/>
      </c>
      <c r="U40" s="253">
        <f>$D$10*AG1</f>
        <v/>
      </c>
      <c r="V40" s="253">
        <f>$D$10*AH1</f>
        <v/>
      </c>
      <c r="W40" s="253">
        <f>$D$10*AI1</f>
        <v/>
      </c>
      <c r="X40" s="254" t="n"/>
    </row>
    <row r="41" ht="18.75" customHeight="1" s="161">
      <c r="B41" s="255" t="inlineStr">
        <is>
          <t>Inflow : 電費收入</t>
        </is>
      </c>
      <c r="C41" s="256" t="inlineStr">
        <is>
          <t>-</t>
        </is>
      </c>
      <c r="D41" s="257">
        <f>D40*$D$13</f>
        <v/>
      </c>
      <c r="E41" s="257">
        <f>E40*$D$13</f>
        <v/>
      </c>
      <c r="F41" s="257">
        <f>F40*$D$13</f>
        <v/>
      </c>
      <c r="G41" s="257">
        <f>G40*$D$13</f>
        <v/>
      </c>
      <c r="H41" s="257">
        <f>H40*$D$13</f>
        <v/>
      </c>
      <c r="I41" s="257">
        <f>I40*$D$13</f>
        <v/>
      </c>
      <c r="J41" s="257">
        <f>J40*$D$13</f>
        <v/>
      </c>
      <c r="K41" s="257">
        <f>K40*$D$13</f>
        <v/>
      </c>
      <c r="L41" s="257">
        <f>L40*$D$13</f>
        <v/>
      </c>
      <c r="M41" s="257">
        <f>M40*$D$13</f>
        <v/>
      </c>
      <c r="N41" s="257">
        <f>N40*$D$13</f>
        <v/>
      </c>
      <c r="O41" s="257">
        <f>O40*$D$13</f>
        <v/>
      </c>
      <c r="P41" s="257">
        <f>P40*$D$13</f>
        <v/>
      </c>
      <c r="Q41" s="257">
        <f>Q40*$D$13</f>
        <v/>
      </c>
      <c r="R41" s="257">
        <f>R40*$D$13</f>
        <v/>
      </c>
      <c r="S41" s="257">
        <f>S40*$D$13</f>
        <v/>
      </c>
      <c r="T41" s="257">
        <f>T40*$D$13</f>
        <v/>
      </c>
      <c r="U41" s="257">
        <f>U40*$D$13</f>
        <v/>
      </c>
      <c r="V41" s="257">
        <f>V40*$D$13</f>
        <v/>
      </c>
      <c r="W41" s="257">
        <f>W40*$D$13</f>
        <v/>
      </c>
      <c r="X41" s="258" t="n"/>
    </row>
    <row r="42" ht="18.75" customHeight="1" s="161">
      <c r="B42" s="259" t="inlineStr">
        <is>
          <t>Inflow : 政府補助</t>
        </is>
      </c>
      <c r="C42" s="260" t="inlineStr">
        <is>
          <t>-</t>
        </is>
      </c>
      <c r="D42" s="261" t="n"/>
      <c r="E42" s="261" t="n"/>
      <c r="F42" s="261" t="n"/>
      <c r="G42" s="262" t="inlineStr">
        <is>
          <t>-</t>
        </is>
      </c>
      <c r="H42" s="262" t="inlineStr">
        <is>
          <t>-</t>
        </is>
      </c>
      <c r="I42" s="262" t="inlineStr">
        <is>
          <t>-</t>
        </is>
      </c>
      <c r="J42" s="262" t="inlineStr">
        <is>
          <t>-</t>
        </is>
      </c>
      <c r="K42" s="262" t="inlineStr">
        <is>
          <t>-</t>
        </is>
      </c>
      <c r="L42" s="262" t="inlineStr">
        <is>
          <t>-</t>
        </is>
      </c>
      <c r="M42" s="262" t="inlineStr">
        <is>
          <t>-</t>
        </is>
      </c>
      <c r="N42" s="262" t="inlineStr">
        <is>
          <t>-</t>
        </is>
      </c>
      <c r="O42" s="262" t="inlineStr">
        <is>
          <t>-</t>
        </is>
      </c>
      <c r="P42" s="262" t="inlineStr">
        <is>
          <t>-</t>
        </is>
      </c>
      <c r="Q42" s="262" t="inlineStr">
        <is>
          <t>-</t>
        </is>
      </c>
      <c r="R42" s="262" t="inlineStr">
        <is>
          <t>-</t>
        </is>
      </c>
      <c r="S42" s="262" t="inlineStr">
        <is>
          <t>-</t>
        </is>
      </c>
      <c r="T42" s="262" t="inlineStr">
        <is>
          <t>-</t>
        </is>
      </c>
      <c r="U42" s="262" t="inlineStr">
        <is>
          <t>-</t>
        </is>
      </c>
      <c r="V42" s="262" t="inlineStr">
        <is>
          <t>-</t>
        </is>
      </c>
      <c r="W42" s="262" t="inlineStr">
        <is>
          <t>-</t>
        </is>
      </c>
      <c r="X42" s="263" t="n"/>
    </row>
    <row r="43" ht="18.75" customHeight="1" s="161">
      <c r="B43" s="264" t="inlineStr">
        <is>
          <t>Inflow : 銀行借款</t>
        </is>
      </c>
      <c r="C43" s="265" t="n"/>
      <c r="D43" s="266" t="n"/>
      <c r="E43" s="266" t="n"/>
      <c r="F43" s="266" t="n"/>
      <c r="G43" s="266" t="n"/>
      <c r="H43" s="266" t="n"/>
      <c r="I43" s="266" t="n"/>
      <c r="J43" s="266" t="n"/>
      <c r="K43" s="266" t="n"/>
      <c r="L43" s="266" t="n"/>
      <c r="M43" s="266" t="n"/>
      <c r="N43" s="266" t="n"/>
      <c r="O43" s="266" t="n"/>
      <c r="P43" s="266" t="n"/>
      <c r="Q43" s="266" t="n"/>
      <c r="R43" s="266" t="n"/>
      <c r="S43" s="266" t="n"/>
      <c r="T43" s="266" t="n"/>
      <c r="U43" s="266" t="n"/>
      <c r="V43" s="266" t="n"/>
      <c r="W43" s="266" t="n"/>
      <c r="X43" s="267" t="n"/>
    </row>
    <row r="44" ht="18.75" customHeight="1" s="161">
      <c r="B44" s="268" t="inlineStr">
        <is>
          <t>Outflow : 設備費用</t>
        </is>
      </c>
      <c r="C44" s="269">
        <f>-(D16/(1-D17)+D18)*C4</f>
        <v/>
      </c>
      <c r="D44" s="270" t="n"/>
      <c r="E44" s="270" t="n"/>
      <c r="F44" s="270" t="n"/>
      <c r="G44" s="270" t="n"/>
      <c r="H44" s="270" t="n"/>
      <c r="I44" s="270" t="n"/>
      <c r="J44" s="270" t="n"/>
      <c r="K44" s="270" t="n"/>
      <c r="L44" s="270" t="n"/>
      <c r="M44" s="270" t="n"/>
      <c r="N44" s="270" t="n"/>
      <c r="O44" s="270" t="n"/>
      <c r="P44" s="270" t="n"/>
      <c r="Q44" s="270" t="n"/>
      <c r="R44" s="270" t="n"/>
      <c r="S44" s="270" t="n"/>
      <c r="T44" s="270" t="n"/>
      <c r="U44" s="270" t="n"/>
      <c r="V44" s="270" t="n"/>
      <c r="W44" s="270" t="n"/>
      <c r="X44" s="270" t="n"/>
    </row>
    <row r="45" ht="18.75" customHeight="1" s="161">
      <c r="B45" s="268" t="inlineStr">
        <is>
          <t>Outflow : 設備放置區域租金</t>
        </is>
      </c>
      <c r="C45" s="260" t="inlineStr">
        <is>
          <t>-</t>
        </is>
      </c>
      <c r="D45" s="160" t="n">
        <v>-290201</v>
      </c>
      <c r="E45" s="270" t="n">
        <v>-290201</v>
      </c>
      <c r="F45" s="270" t="n">
        <v>-290201</v>
      </c>
      <c r="G45" s="270" t="n">
        <v>-290201</v>
      </c>
      <c r="H45" s="270" t="n">
        <v>-290201</v>
      </c>
      <c r="I45" s="270" t="n">
        <v>-290201</v>
      </c>
      <c r="J45" s="270" t="n">
        <v>-290201</v>
      </c>
      <c r="K45" s="270" t="n">
        <v>-290201</v>
      </c>
      <c r="L45" s="270" t="n">
        <v>-290201</v>
      </c>
      <c r="M45" s="270" t="n">
        <v>-290201</v>
      </c>
      <c r="N45" s="270" t="n">
        <v>-290201</v>
      </c>
      <c r="O45" s="270" t="n">
        <v>-290201</v>
      </c>
      <c r="P45" s="270" t="n">
        <v>-290201</v>
      </c>
      <c r="Q45" s="270" t="n">
        <v>-290201</v>
      </c>
      <c r="R45" s="270" t="n">
        <v>-290201</v>
      </c>
      <c r="S45" s="270" t="n">
        <v>-290201</v>
      </c>
      <c r="T45" s="270" t="n">
        <v>-290201</v>
      </c>
      <c r="U45" s="270" t="n">
        <v>-290201</v>
      </c>
      <c r="V45" s="270" t="n">
        <v>-290201</v>
      </c>
      <c r="W45" s="270" t="n">
        <v>-290201</v>
      </c>
      <c r="X45" s="270" t="n"/>
    </row>
    <row r="46" ht="18.75" customHeight="1" s="161">
      <c r="B46" s="268" t="inlineStr">
        <is>
          <t>Outflow : 返還借款</t>
        </is>
      </c>
      <c r="C46" s="260" t="n"/>
      <c r="D46" s="270" t="n"/>
      <c r="E46" s="270" t="n"/>
      <c r="F46" s="270" t="n"/>
      <c r="G46" s="270" t="n"/>
      <c r="H46" s="270" t="n"/>
      <c r="I46" s="270" t="n"/>
      <c r="J46" s="270" t="n"/>
      <c r="K46" s="270" t="n"/>
      <c r="L46" s="270" t="n"/>
      <c r="M46" s="270" t="n"/>
      <c r="N46" s="270" t="n"/>
      <c r="O46" s="270" t="n"/>
      <c r="P46" s="270" t="n"/>
      <c r="Q46" s="270" t="n"/>
      <c r="R46" s="270" t="n"/>
      <c r="S46" s="270" t="n"/>
      <c r="T46" s="270" t="n"/>
      <c r="U46" s="270" t="n"/>
      <c r="V46" s="270" t="n"/>
      <c r="W46" s="270" t="n"/>
      <c r="X46" s="270" t="n"/>
    </row>
    <row r="47" ht="18.75" customHeight="1" s="161">
      <c r="B47" s="268" t="inlineStr">
        <is>
          <t>Outflow : 利息費用</t>
        </is>
      </c>
      <c r="C47" s="260" t="inlineStr">
        <is>
          <t>-</t>
        </is>
      </c>
      <c r="D47" s="270" t="n"/>
      <c r="E47" s="270" t="n"/>
      <c r="F47" s="270" t="n"/>
      <c r="G47" s="270" t="n"/>
      <c r="H47" s="270" t="n"/>
      <c r="I47" s="270" t="n"/>
      <c r="J47" s="270" t="n"/>
      <c r="K47" s="270" t="n"/>
      <c r="L47" s="270" t="n"/>
      <c r="M47" s="270" t="n"/>
      <c r="N47" s="270" t="n"/>
      <c r="O47" s="270" t="n"/>
      <c r="P47" s="270" t="n"/>
      <c r="Q47" s="270" t="n"/>
      <c r="R47" s="270" t="n"/>
      <c r="S47" s="270" t="n"/>
      <c r="T47" s="270" t="n"/>
      <c r="U47" s="270" t="n"/>
      <c r="V47" s="270" t="n"/>
      <c r="W47" s="270" t="n"/>
      <c r="X47" s="270" t="n"/>
    </row>
    <row r="48" ht="18.75" customHeight="1" s="161">
      <c r="B48" s="268" t="inlineStr">
        <is>
          <t>Outflow : 維運費</t>
        </is>
      </c>
      <c r="C48" s="260" t="inlineStr">
        <is>
          <t>-</t>
        </is>
      </c>
      <c r="D48" s="270" t="n">
        <v>-174440</v>
      </c>
      <c r="E48" s="270" t="n">
        <v>-174440</v>
      </c>
      <c r="F48" s="270" t="n">
        <v>-174440</v>
      </c>
      <c r="G48" s="270" t="n">
        <v>-174440</v>
      </c>
      <c r="H48" s="270" t="n">
        <v>-174440</v>
      </c>
      <c r="I48" s="270" t="n">
        <v>-174440</v>
      </c>
      <c r="J48" s="270" t="n">
        <v>-174440</v>
      </c>
      <c r="K48" s="270" t="n">
        <v>-174440</v>
      </c>
      <c r="L48" s="270" t="n">
        <v>-174440</v>
      </c>
      <c r="M48" s="270" t="n">
        <v>-174440</v>
      </c>
      <c r="N48" s="270" t="n">
        <v>-174440</v>
      </c>
      <c r="O48" s="270" t="n">
        <v>-174440</v>
      </c>
      <c r="P48" s="270" t="n">
        <v>-174440</v>
      </c>
      <c r="Q48" s="270" t="n">
        <v>-174440</v>
      </c>
      <c r="R48" s="270" t="n">
        <v>-174440</v>
      </c>
      <c r="S48" s="270" t="n">
        <v>-174440</v>
      </c>
      <c r="T48" s="270" t="n">
        <v>-174440</v>
      </c>
      <c r="U48" s="270" t="n">
        <v>-174440</v>
      </c>
      <c r="V48" s="270" t="n">
        <v>-174440</v>
      </c>
      <c r="W48" s="270" t="n">
        <v>-174440</v>
      </c>
      <c r="X48" s="270" t="n"/>
    </row>
    <row r="49" ht="18.75" customHeight="1" s="161">
      <c r="B49" s="268" t="inlineStr">
        <is>
          <t>Outflow : 保險費</t>
        </is>
      </c>
      <c r="C49" s="260" t="inlineStr">
        <is>
          <t>-</t>
        </is>
      </c>
      <c r="D49" s="270" t="n">
        <v>-26166</v>
      </c>
      <c r="E49" s="270" t="n">
        <v>-26166</v>
      </c>
      <c r="F49" s="270" t="n">
        <v>-26166</v>
      </c>
      <c r="G49" s="270" t="n">
        <v>-26166</v>
      </c>
      <c r="H49" s="270" t="n">
        <v>-26166</v>
      </c>
      <c r="I49" s="270" t="n">
        <v>-26166</v>
      </c>
      <c r="J49" s="270" t="n">
        <v>-26166</v>
      </c>
      <c r="K49" s="270" t="n">
        <v>-26166</v>
      </c>
      <c r="L49" s="270" t="n">
        <v>-26166</v>
      </c>
      <c r="M49" s="270" t="n">
        <v>-26166</v>
      </c>
      <c r="N49" s="270" t="n">
        <v>-26166</v>
      </c>
      <c r="O49" s="270" t="n">
        <v>-26166</v>
      </c>
      <c r="P49" s="270" t="n">
        <v>-26166</v>
      </c>
      <c r="Q49" s="270" t="n">
        <v>-26166</v>
      </c>
      <c r="R49" s="270" t="n">
        <v>-26166</v>
      </c>
      <c r="S49" s="270" t="n">
        <v>-26166</v>
      </c>
      <c r="T49" s="270" t="n">
        <v>-26166</v>
      </c>
      <c r="U49" s="270" t="n">
        <v>-26166</v>
      </c>
      <c r="V49" s="270" t="n">
        <v>-26166</v>
      </c>
      <c r="W49" s="270" t="n">
        <v>-26166</v>
      </c>
      <c r="X49" s="270" t="n"/>
    </row>
    <row r="50" ht="18.75" customHeight="1" s="161">
      <c r="B50" s="268" t="inlineStr">
        <is>
          <t>Outflow : 模組回收費</t>
        </is>
      </c>
      <c r="C50" s="260" t="n"/>
      <c r="D50" s="270" t="n">
        <v>-43610</v>
      </c>
      <c r="E50" s="270" t="n">
        <v>-43610</v>
      </c>
      <c r="F50" s="270" t="n">
        <v>-43610</v>
      </c>
      <c r="G50" s="270" t="n">
        <v>-43610</v>
      </c>
      <c r="H50" s="270" t="n">
        <v>-43610</v>
      </c>
      <c r="I50" s="270" t="n">
        <v>-43610</v>
      </c>
      <c r="J50" s="270" t="n">
        <v>-43610</v>
      </c>
      <c r="K50" s="270" t="n">
        <v>-43610</v>
      </c>
      <c r="L50" s="270" t="n">
        <v>-43610</v>
      </c>
      <c r="M50" s="270" t="n">
        <v>-43610</v>
      </c>
      <c r="N50" s="270" t="n">
        <v>0</v>
      </c>
      <c r="O50" s="270" t="n">
        <v>0</v>
      </c>
      <c r="P50" s="270" t="n">
        <v>0</v>
      </c>
      <c r="Q50" s="270" t="n">
        <v>0</v>
      </c>
      <c r="R50" s="270" t="n">
        <v>0</v>
      </c>
      <c r="S50" s="270" t="n">
        <v>0</v>
      </c>
      <c r="T50" s="270" t="n">
        <v>0</v>
      </c>
      <c r="U50" s="270" t="n">
        <v>0</v>
      </c>
      <c r="V50" s="270" t="n">
        <v>0</v>
      </c>
      <c r="W50" s="270" t="n">
        <v>0</v>
      </c>
      <c r="X50" s="270" t="n"/>
    </row>
    <row r="51" ht="18.75" customHeight="1" s="161">
      <c r="B51" s="268" t="inlineStr">
        <is>
          <t>Outflow : 其它費用(人事薪資…等)</t>
        </is>
      </c>
      <c r="C51" s="271" t="n"/>
      <c r="D51" s="270" t="n"/>
      <c r="E51" s="270" t="n"/>
      <c r="F51" s="270" t="n"/>
      <c r="G51" s="270" t="n"/>
      <c r="H51" s="270" t="n"/>
      <c r="I51" s="270" t="n"/>
      <c r="J51" s="270" t="n"/>
      <c r="K51" s="270" t="n"/>
      <c r="L51" s="270" t="n"/>
      <c r="M51" s="270" t="n"/>
      <c r="N51" s="270" t="n"/>
      <c r="O51" s="270" t="n"/>
      <c r="P51" s="270" t="n"/>
      <c r="Q51" s="270" t="n"/>
      <c r="R51" s="270" t="n"/>
      <c r="S51" s="270" t="n"/>
      <c r="T51" s="270" t="n"/>
      <c r="U51" s="270" t="n"/>
      <c r="V51" s="270" t="n"/>
      <c r="W51" s="270" t="n"/>
      <c r="X51" s="270" t="n"/>
    </row>
    <row r="52" ht="18.75" customHeight="1" s="161">
      <c r="B52" s="268" t="inlineStr">
        <is>
          <t>1%管理費</t>
        </is>
      </c>
      <c r="C52" s="271" t="n"/>
      <c r="D52" s="270" t="n"/>
      <c r="E52" s="270" t="n"/>
      <c r="F52" s="270" t="n"/>
      <c r="G52" s="270" t="n"/>
      <c r="H52" s="270" t="n"/>
      <c r="I52" s="270" t="n"/>
      <c r="J52" s="270" t="n"/>
      <c r="K52" s="270" t="n"/>
      <c r="L52" s="270" t="n"/>
      <c r="M52" s="270" t="n"/>
      <c r="N52" s="270" t="n"/>
      <c r="O52" s="270" t="n"/>
      <c r="P52" s="270" t="n"/>
      <c r="Q52" s="270" t="n"/>
      <c r="R52" s="270" t="n"/>
      <c r="S52" s="270" t="n"/>
      <c r="T52" s="270" t="n"/>
      <c r="U52" s="270" t="n"/>
      <c r="V52" s="270" t="n"/>
      <c r="W52" s="270" t="n"/>
      <c r="X52" s="270" t="n"/>
    </row>
    <row r="53" ht="18.75" customHeight="1" s="161">
      <c r="B53" s="272" t="inlineStr">
        <is>
          <t>績效獎金</t>
        </is>
      </c>
      <c r="C53" s="271" t="n"/>
      <c r="D53" s="270" t="n"/>
      <c r="E53" s="270" t="n"/>
      <c r="F53" s="270" t="n"/>
      <c r="G53" s="270" t="n"/>
      <c r="H53" s="270" t="n"/>
      <c r="I53" s="270" t="n"/>
      <c r="J53" s="270" t="n"/>
      <c r="K53" s="270" t="n"/>
      <c r="L53" s="270" t="n"/>
      <c r="M53" s="270" t="n"/>
      <c r="N53" s="270" t="n"/>
      <c r="O53" s="270" t="n"/>
      <c r="P53" s="270" t="n"/>
      <c r="Q53" s="270" t="n"/>
      <c r="R53" s="270" t="n"/>
      <c r="S53" s="270" t="n"/>
      <c r="T53" s="270" t="n"/>
      <c r="U53" s="270" t="n"/>
      <c r="V53" s="270" t="n"/>
      <c r="W53" s="270" t="n"/>
      <c r="X53" s="270" t="n"/>
    </row>
    <row r="54" ht="18.75" customHeight="1" s="161">
      <c r="B54" s="272" t="inlineStr">
        <is>
          <t>所得稅20%</t>
        </is>
      </c>
      <c r="C54" s="271" t="n"/>
      <c r="D54" s="270">
        <f>-(D64+D67+D68+D71+D72+D73+D74)*0.2</f>
        <v/>
      </c>
      <c r="E54" s="270">
        <f>-(E64+E67+E68+E71+E72+E73+E74)*0.2</f>
        <v/>
      </c>
      <c r="F54" s="270">
        <f>-(F64+F67+F68+F71+F72+F73+F74)*0.2</f>
        <v/>
      </c>
      <c r="G54" s="270">
        <f>-(G64+G67+G68+G71+G72+G73+G74)*0.2</f>
        <v/>
      </c>
      <c r="H54" s="270">
        <f>-(H64+H67+H68+H71+H72+H73+H74)*0.2</f>
        <v/>
      </c>
      <c r="I54" s="270">
        <f>-(I64+I67+I68+I71+I72+I73+I74)*0.2</f>
        <v/>
      </c>
      <c r="J54" s="270">
        <f>-(J64+J67+J68+J71+J72+J73+J74)*0.2</f>
        <v/>
      </c>
      <c r="K54" s="270">
        <f>-(K64+K67+K68+K71+K72+K73+K74)*0.2</f>
        <v/>
      </c>
      <c r="L54" s="270">
        <f>-(L64+L67+L68+L71+L72+L73+L74)*0.2</f>
        <v/>
      </c>
      <c r="M54" s="270">
        <f>-(M64+M67+M68+M71+M72+M73+M74)*0.2</f>
        <v/>
      </c>
      <c r="N54" s="270">
        <f>-(N64+N67+N68+N71+N72+N73+N74)*0.2</f>
        <v/>
      </c>
      <c r="O54" s="270">
        <f>-(O64+O67+O68+O71+O72+O73+O74)*0.2</f>
        <v/>
      </c>
      <c r="P54" s="270">
        <f>-(P64+P67+P68+P71+P72+P73+P74)*0.2</f>
        <v/>
      </c>
      <c r="Q54" s="270">
        <f>-(Q64+Q67+Q68+Q71+Q72+Q73+Q74)*0.2</f>
        <v/>
      </c>
      <c r="R54" s="270">
        <f>-(R64+R67+R68+R71+R72+R73+R74)*0.2</f>
        <v/>
      </c>
      <c r="S54" s="270">
        <f>-(S64+S67+S68+S71+S72+S73+S74)*0.2</f>
        <v/>
      </c>
      <c r="T54" s="270">
        <f>-(T64+T67+T68+T71+T72+T73+T74)*0.2</f>
        <v/>
      </c>
      <c r="U54" s="270">
        <f>-(U64+U67+U68+U71+U72+U73+U74)*0.2</f>
        <v/>
      </c>
      <c r="V54" s="270">
        <f>-(V64+V67+V68+V71+V72+V73+V74)*0.2</f>
        <v/>
      </c>
      <c r="W54" s="270">
        <f>-(W64+W67+W68+W71+W72+W73+W74)*0.2</f>
        <v/>
      </c>
      <c r="X54" s="261" t="n"/>
    </row>
    <row r="55" ht="18.75" customHeight="1" s="161">
      <c r="B55" s="273" t="inlineStr">
        <is>
          <t>現金流</t>
        </is>
      </c>
      <c r="C55" s="274">
        <f>C44</f>
        <v/>
      </c>
      <c r="D55" s="275">
        <f>SUM(D41:D54)</f>
        <v/>
      </c>
      <c r="E55" s="275">
        <f>SUM(E41:E54)</f>
        <v/>
      </c>
      <c r="F55" s="275">
        <f>SUM(F41:F54)</f>
        <v/>
      </c>
      <c r="G55" s="275">
        <f>SUM(G41:G54)</f>
        <v/>
      </c>
      <c r="H55" s="275">
        <f>SUM(H41:H54)</f>
        <v/>
      </c>
      <c r="I55" s="275">
        <f>SUM(I41:I54)</f>
        <v/>
      </c>
      <c r="J55" s="275">
        <f>SUM(J41:J54)</f>
        <v/>
      </c>
      <c r="K55" s="275">
        <f>SUM(K41:K54)</f>
        <v/>
      </c>
      <c r="L55" s="275">
        <f>SUM(L41:L54)</f>
        <v/>
      </c>
      <c r="M55" s="275">
        <f>SUM(M41:M54)</f>
        <v/>
      </c>
      <c r="N55" s="275">
        <f>SUM(N41:N54)</f>
        <v/>
      </c>
      <c r="O55" s="275">
        <f>SUM(O41:O54)</f>
        <v/>
      </c>
      <c r="P55" s="275">
        <f>SUM(P41:P54)</f>
        <v/>
      </c>
      <c r="Q55" s="275">
        <f>SUM(Q41:Q54)</f>
        <v/>
      </c>
      <c r="R55" s="275">
        <f>SUM(R41:R54)</f>
        <v/>
      </c>
      <c r="S55" s="275">
        <f>SUM(S41:S54)</f>
        <v/>
      </c>
      <c r="T55" s="275">
        <f>SUM(T41:T54)</f>
        <v/>
      </c>
      <c r="U55" s="275">
        <f>SUM(U41:U54)</f>
        <v/>
      </c>
      <c r="V55" s="275">
        <f>SUM(V41:V54)</f>
        <v/>
      </c>
      <c r="W55" s="275">
        <f>SUM(W41:W54)</f>
        <v/>
      </c>
      <c r="X55" s="276" t="n"/>
      <c r="Y55" s="277" t="n"/>
      <c r="Z55" s="278" t="n"/>
      <c r="AA55" s="277" t="n"/>
      <c r="AB55" s="277" t="n"/>
      <c r="AC55" s="277" t="n"/>
      <c r="AD55" s="277" t="n"/>
      <c r="AE55" s="277" t="n"/>
      <c r="AF55" s="277" t="n"/>
      <c r="AG55" s="277" t="n"/>
      <c r="AH55" s="277" t="n"/>
      <c r="AI55" s="277" t="n"/>
      <c r="AJ55" s="277" t="n"/>
    </row>
    <row r="56" ht="18.75" customHeight="1" s="161">
      <c r="B56" s="279" t="inlineStr">
        <is>
          <t>累計現金流</t>
        </is>
      </c>
      <c r="D56" s="280">
        <f>C55+D55</f>
        <v/>
      </c>
      <c r="E56" s="280">
        <f>D56+E55</f>
        <v/>
      </c>
      <c r="F56" s="280">
        <f>E56+F55</f>
        <v/>
      </c>
      <c r="G56" s="280">
        <f>F56+G55</f>
        <v/>
      </c>
      <c r="H56" s="280">
        <f>G56+H55</f>
        <v/>
      </c>
      <c r="I56" s="280">
        <f>H56+I55</f>
        <v/>
      </c>
      <c r="J56" s="280">
        <f>I56+J55</f>
        <v/>
      </c>
      <c r="K56" s="280">
        <f>J56+K55</f>
        <v/>
      </c>
      <c r="L56" s="280">
        <f>K56+L55</f>
        <v/>
      </c>
      <c r="M56" s="280">
        <f>L56+M55</f>
        <v/>
      </c>
      <c r="N56" s="280">
        <f>M56+N55</f>
        <v/>
      </c>
      <c r="O56" s="280">
        <f>N56+O55</f>
        <v/>
      </c>
      <c r="P56" s="280">
        <f>O56+P55</f>
        <v/>
      </c>
      <c r="Q56" s="280">
        <f>P56+Q55</f>
        <v/>
      </c>
      <c r="R56" s="280">
        <f>Q56+R55</f>
        <v/>
      </c>
      <c r="S56" s="280">
        <f>R56+S55</f>
        <v/>
      </c>
      <c r="T56" s="280">
        <f>S56+T55</f>
        <v/>
      </c>
      <c r="U56" s="280">
        <f>T56+U55</f>
        <v/>
      </c>
      <c r="V56" s="280">
        <f>U56+V55</f>
        <v/>
      </c>
      <c r="W56" s="280">
        <f>V56+W55</f>
        <v/>
      </c>
      <c r="X56" s="280">
        <f>W56+X55</f>
        <v/>
      </c>
      <c r="Y56" s="277" t="n"/>
      <c r="Z56" s="277" t="n"/>
      <c r="AA56" s="277" t="n"/>
      <c r="AB56" s="277" t="n"/>
      <c r="AC56" s="277" t="n"/>
      <c r="AD56" s="277" t="n"/>
      <c r="AE56" s="277" t="n"/>
      <c r="AF56" s="277" t="n"/>
      <c r="AG56" s="277" t="n"/>
      <c r="AH56" s="277" t="n"/>
      <c r="AI56" s="277" t="n"/>
      <c r="AJ56" s="277" t="n"/>
    </row>
    <row r="57" ht="18.75" customHeight="1" s="161">
      <c r="B57" s="281" t="inlineStr">
        <is>
          <t>回收年限評估</t>
        </is>
      </c>
      <c r="C57" s="282" t="n"/>
      <c r="D57" s="283">
        <f>IF((D56)&gt;0,"回收","未回收")</f>
        <v/>
      </c>
      <c r="E57" s="284">
        <f>IF((E56)&gt;0,"回收","未回收")</f>
        <v/>
      </c>
      <c r="F57" s="284">
        <f>IF((F56)&gt;0,"回收","未回收")</f>
        <v/>
      </c>
      <c r="G57" s="284">
        <f>IF((G56)&gt;0,"回收","未回收")</f>
        <v/>
      </c>
      <c r="H57" s="284">
        <f>IF((H56)&gt;0,"回收","未回收")</f>
        <v/>
      </c>
      <c r="I57" s="284">
        <f>IF((I56)&gt;0,"回收","未回收")</f>
        <v/>
      </c>
      <c r="J57" s="284">
        <f>IF((J56)&gt;0,"回收","未回收")</f>
        <v/>
      </c>
      <c r="K57" s="284">
        <f>IF((K56)&gt;0,"回收","未回收")</f>
        <v/>
      </c>
      <c r="L57" s="284">
        <f>IF((L56)&gt;0,"回收","未回收")</f>
        <v/>
      </c>
      <c r="M57" s="284">
        <f>IF((M56)&gt;0,"回收","未回收")</f>
        <v/>
      </c>
      <c r="N57" s="284">
        <f>IF((N56)&gt;0,"回收","未回收")</f>
        <v/>
      </c>
      <c r="O57" s="284">
        <f>IF((O56)&gt;0,"回收","未回收")</f>
        <v/>
      </c>
      <c r="P57" s="284">
        <f>IF((P56)&gt;0,"回收","未回收")</f>
        <v/>
      </c>
      <c r="Q57" s="284">
        <f>IF((Q56)&gt;0,"回收","未回收")</f>
        <v/>
      </c>
      <c r="R57" s="284">
        <f>IF((R56)&gt;0,"回收","未回收")</f>
        <v/>
      </c>
      <c r="S57" s="284">
        <f>IF((S56)&gt;0,"回收","未回收")</f>
        <v/>
      </c>
      <c r="T57" s="284">
        <f>IF((T56)&gt;0,"回收","未回收")</f>
        <v/>
      </c>
      <c r="U57" s="284">
        <f>IF((U56)&gt;0,"回收","未回收")</f>
        <v/>
      </c>
      <c r="V57" s="284">
        <f>IF((V56)&gt;0,"回收","未回收")</f>
        <v/>
      </c>
      <c r="W57" s="284">
        <f>IF((W56)&gt;0,"回收","未回收")</f>
        <v/>
      </c>
      <c r="X57" s="284">
        <f>IF((X56)&gt;0,"回收","未回收")</f>
        <v/>
      </c>
      <c r="Y57" s="277" t="n"/>
      <c r="Z57" s="277" t="n"/>
      <c r="AA57" s="277" t="n"/>
      <c r="AB57" s="277" t="n"/>
      <c r="AC57" s="277" t="n"/>
      <c r="AD57" s="277" t="n"/>
      <c r="AE57" s="277" t="n"/>
      <c r="AF57" s="277" t="n"/>
      <c r="AG57" s="277" t="n"/>
      <c r="AH57" s="277" t="n"/>
      <c r="AI57" s="277" t="n"/>
      <c r="AJ57" s="277" t="n"/>
    </row>
    <row r="58" ht="18.75" customHeight="1" s="161">
      <c r="B58" s="285" t="inlineStr">
        <is>
          <t>專案法IRR</t>
        </is>
      </c>
      <c r="C58" s="286">
        <f>IRR(C55:W55)</f>
        <v/>
      </c>
      <c r="D58" s="287" t="n"/>
      <c r="E58" s="287" t="n"/>
      <c r="F58" s="288" t="n"/>
      <c r="G58" s="288" t="n"/>
      <c r="H58" s="288" t="n"/>
      <c r="I58" s="288" t="n"/>
      <c r="J58" s="288" t="n"/>
      <c r="K58" s="288" t="n"/>
      <c r="L58" s="288" t="n"/>
      <c r="M58" s="288" t="n"/>
      <c r="N58" s="288" t="n"/>
      <c r="O58" s="288" t="n"/>
      <c r="P58" s="288" t="n"/>
      <c r="Q58" s="288" t="n"/>
      <c r="R58" s="288" t="n"/>
      <c r="S58" s="288" t="n"/>
      <c r="T58" s="288" t="n"/>
      <c r="U58" s="288" t="n"/>
      <c r="V58" s="288" t="n"/>
      <c r="W58" s="288" t="n"/>
      <c r="X58" s="288" t="n"/>
      <c r="Y58" s="289" t="n"/>
      <c r="Z58" s="289" t="n"/>
      <c r="AA58" s="289" t="n"/>
      <c r="AB58" s="289" t="n"/>
      <c r="AC58" s="289" t="n"/>
      <c r="AD58" s="289" t="n"/>
      <c r="AE58" s="289" t="n"/>
      <c r="AF58" s="289" t="n"/>
      <c r="AG58" s="289" t="n"/>
      <c r="AH58" s="289" t="n"/>
      <c r="AI58" s="289" t="n"/>
      <c r="AJ58" s="289" t="n"/>
    </row>
    <row r="59" ht="18.75" customHeight="1" s="161">
      <c r="B59" s="288" t="n"/>
      <c r="C59" s="287" t="n"/>
      <c r="D59" s="287" t="n"/>
      <c r="E59" s="287" t="n"/>
      <c r="F59" s="288" t="n"/>
      <c r="G59" s="288" t="n"/>
      <c r="H59" s="288" t="n"/>
      <c r="I59" s="288" t="n"/>
      <c r="J59" s="288" t="n"/>
      <c r="K59" s="288" t="n"/>
      <c r="L59" s="288" t="n"/>
      <c r="M59" s="287" t="n"/>
      <c r="N59" s="288" t="n"/>
      <c r="O59" s="288" t="n"/>
      <c r="P59" s="288" t="n"/>
      <c r="Q59" s="288" t="n"/>
      <c r="R59" s="288" t="n"/>
      <c r="S59" s="288" t="n"/>
      <c r="T59" s="288" t="n"/>
      <c r="U59" s="288" t="n"/>
      <c r="V59" s="288" t="n"/>
      <c r="W59" s="288" t="n"/>
      <c r="X59" s="288" t="n"/>
      <c r="Y59" s="289" t="n"/>
      <c r="Z59" s="289" t="n"/>
      <c r="AA59" s="289" t="n"/>
      <c r="AB59" s="289" t="n"/>
      <c r="AC59" s="289" t="n"/>
      <c r="AD59" s="289" t="n"/>
      <c r="AE59" s="289" t="n"/>
      <c r="AF59" s="289" t="n"/>
      <c r="AG59" s="289" t="n"/>
      <c r="AH59" s="289" t="n"/>
      <c r="AI59" s="289" t="n"/>
      <c r="AJ59" s="289" t="n"/>
    </row>
    <row r="60" ht="18.75" customHeight="1" s="161">
      <c r="B60" s="237" t="n"/>
      <c r="C60" s="238" t="inlineStr">
        <is>
          <t>年份</t>
        </is>
      </c>
      <c r="D60" s="238">
        <f>D37</f>
        <v/>
      </c>
      <c r="E60" s="238">
        <f>E37</f>
        <v/>
      </c>
      <c r="F60" s="238">
        <f>F37</f>
        <v/>
      </c>
      <c r="G60" s="238">
        <f>G37</f>
        <v/>
      </c>
      <c r="H60" s="238">
        <f>H37</f>
        <v/>
      </c>
      <c r="I60" s="238">
        <f>I37</f>
        <v/>
      </c>
      <c r="J60" s="238">
        <f>J37</f>
        <v/>
      </c>
      <c r="K60" s="238">
        <f>K37</f>
        <v/>
      </c>
      <c r="L60" s="238">
        <f>L37</f>
        <v/>
      </c>
      <c r="M60" s="238">
        <f>M37</f>
        <v/>
      </c>
      <c r="N60" s="238">
        <f>N37</f>
        <v/>
      </c>
      <c r="O60" s="238">
        <f>O37</f>
        <v/>
      </c>
      <c r="P60" s="238">
        <f>P37</f>
        <v/>
      </c>
      <c r="Q60" s="238">
        <f>Q37</f>
        <v/>
      </c>
      <c r="R60" s="238">
        <f>R37</f>
        <v/>
      </c>
      <c r="S60" s="238">
        <f>S37</f>
        <v/>
      </c>
      <c r="T60" s="238">
        <f>T37</f>
        <v/>
      </c>
      <c r="U60" s="238">
        <f>U37</f>
        <v/>
      </c>
      <c r="V60" s="238">
        <f>V37</f>
        <v/>
      </c>
      <c r="W60" s="238">
        <f>W37</f>
        <v/>
      </c>
      <c r="X60" s="238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</row>
    <row r="61" ht="18.75" customHeight="1" s="161">
      <c r="B61" s="239" t="n">
        <v>0</v>
      </c>
      <c r="C61" s="240" t="n"/>
      <c r="D61" s="241" t="n"/>
      <c r="E61" s="241" t="n"/>
      <c r="F61" s="242" t="n"/>
      <c r="G61" s="243" t="n"/>
      <c r="H61" s="243" t="n"/>
      <c r="I61" s="243" t="n"/>
      <c r="J61" s="243" t="n"/>
      <c r="K61" s="243" t="n"/>
      <c r="L61" s="243" t="n"/>
      <c r="M61" s="243" t="n"/>
      <c r="N61" s="243" t="n"/>
      <c r="O61" s="243" t="n"/>
      <c r="P61" s="243" t="n"/>
      <c r="Q61" s="243" t="n"/>
      <c r="R61" s="243" t="n"/>
      <c r="S61" s="243" t="n"/>
      <c r="T61" s="291" t="inlineStr">
        <is>
          <t>償還年限</t>
        </is>
      </c>
      <c r="U61" s="243" t="n"/>
      <c r="V61" s="243" t="n"/>
      <c r="W61" s="243" t="n"/>
      <c r="X61" s="245" t="n"/>
    </row>
    <row r="62" ht="18.75" customHeight="1" s="161">
      <c r="B62" s="246" t="inlineStr">
        <is>
          <t>(Unit : Currency)</t>
        </is>
      </c>
      <c r="C62" s="247" t="n">
        <v>0</v>
      </c>
      <c r="D62" s="248" t="n">
        <v>1</v>
      </c>
      <c r="E62" s="248" t="n">
        <v>2</v>
      </c>
      <c r="F62" s="248" t="n">
        <v>3</v>
      </c>
      <c r="G62" s="248" t="n">
        <v>4</v>
      </c>
      <c r="H62" s="248" t="n">
        <v>5</v>
      </c>
      <c r="I62" s="248" t="n">
        <v>6</v>
      </c>
      <c r="J62" s="248" t="n">
        <v>7</v>
      </c>
      <c r="K62" s="248" t="n">
        <v>8</v>
      </c>
      <c r="L62" s="248" t="n">
        <v>9</v>
      </c>
      <c r="M62" s="248" t="n">
        <v>10</v>
      </c>
      <c r="N62" s="248" t="n">
        <v>11</v>
      </c>
      <c r="O62" s="248" t="n">
        <v>12</v>
      </c>
      <c r="P62" s="248" t="n">
        <v>13</v>
      </c>
      <c r="Q62" s="248" t="n">
        <v>14</v>
      </c>
      <c r="R62" s="248" t="n">
        <v>15</v>
      </c>
      <c r="S62" s="248" t="n">
        <v>16</v>
      </c>
      <c r="T62" s="292" t="n">
        <v>17</v>
      </c>
      <c r="U62" s="248" t="n">
        <v>18</v>
      </c>
      <c r="V62" s="248" t="n">
        <v>19</v>
      </c>
      <c r="W62" s="248" t="n">
        <v>20</v>
      </c>
      <c r="X62" s="250" t="n"/>
    </row>
    <row r="63" ht="18.75" customHeight="1" s="161">
      <c r="B63" s="251" t="inlineStr">
        <is>
          <t>發電度數(KWH)</t>
        </is>
      </c>
      <c r="C63" s="252" t="n">
        <v>0</v>
      </c>
      <c r="D63" s="253">
        <f>D40</f>
        <v/>
      </c>
      <c r="E63" s="253">
        <f>E40</f>
        <v/>
      </c>
      <c r="F63" s="253">
        <f>F40</f>
        <v/>
      </c>
      <c r="G63" s="253">
        <f>G40</f>
        <v/>
      </c>
      <c r="H63" s="253">
        <f>H40</f>
        <v/>
      </c>
      <c r="I63" s="253">
        <f>I40</f>
        <v/>
      </c>
      <c r="J63" s="253">
        <f>J40</f>
        <v/>
      </c>
      <c r="K63" s="253">
        <f>K40</f>
        <v/>
      </c>
      <c r="L63" s="253">
        <f>L40</f>
        <v/>
      </c>
      <c r="M63" s="253">
        <f>M40</f>
        <v/>
      </c>
      <c r="N63" s="253">
        <f>N40</f>
        <v/>
      </c>
      <c r="O63" s="253">
        <f>O40</f>
        <v/>
      </c>
      <c r="P63" s="253">
        <f>P40</f>
        <v/>
      </c>
      <c r="Q63" s="253">
        <f>Q40</f>
        <v/>
      </c>
      <c r="R63" s="253">
        <f>R40</f>
        <v/>
      </c>
      <c r="S63" s="253">
        <f>S40</f>
        <v/>
      </c>
      <c r="T63" s="253">
        <f>T40</f>
        <v/>
      </c>
      <c r="U63" s="253">
        <f>U40</f>
        <v/>
      </c>
      <c r="V63" s="253">
        <f>V40</f>
        <v/>
      </c>
      <c r="W63" s="253">
        <f>W40</f>
        <v/>
      </c>
      <c r="X63" s="254" t="n"/>
    </row>
    <row r="64" ht="18.75" customHeight="1" s="161">
      <c r="B64" s="255" t="inlineStr">
        <is>
          <t>Inflow : 電費收入</t>
        </is>
      </c>
      <c r="C64" s="256" t="inlineStr">
        <is>
          <t>-</t>
        </is>
      </c>
      <c r="D64" s="257">
        <f>D41</f>
        <v/>
      </c>
      <c r="E64" s="257">
        <f>E41</f>
        <v/>
      </c>
      <c r="F64" s="257">
        <f>F41</f>
        <v/>
      </c>
      <c r="G64" s="257">
        <f>G41</f>
        <v/>
      </c>
      <c r="H64" s="257">
        <f>H41</f>
        <v/>
      </c>
      <c r="I64" s="257">
        <f>I41</f>
        <v/>
      </c>
      <c r="J64" s="257">
        <f>J41</f>
        <v/>
      </c>
      <c r="K64" s="257">
        <f>K41</f>
        <v/>
      </c>
      <c r="L64" s="257">
        <f>L41</f>
        <v/>
      </c>
      <c r="M64" s="257">
        <f>M41</f>
        <v/>
      </c>
      <c r="N64" s="257">
        <f>N41</f>
        <v/>
      </c>
      <c r="O64" s="257">
        <f>O41</f>
        <v/>
      </c>
      <c r="P64" s="257">
        <f>P41</f>
        <v/>
      </c>
      <c r="Q64" s="257">
        <f>Q41</f>
        <v/>
      </c>
      <c r="R64" s="257">
        <f>R41</f>
        <v/>
      </c>
      <c r="S64" s="257">
        <f>S41</f>
        <v/>
      </c>
      <c r="T64" s="257">
        <f>T41</f>
        <v/>
      </c>
      <c r="U64" s="257">
        <f>U41</f>
        <v/>
      </c>
      <c r="V64" s="257">
        <f>V41</f>
        <v/>
      </c>
      <c r="W64" s="257">
        <f>W41</f>
        <v/>
      </c>
      <c r="X64" s="258" t="n"/>
    </row>
    <row r="65" ht="18.75" customHeight="1" s="161">
      <c r="B65" s="259" t="inlineStr">
        <is>
          <t>Inflow : 政府補助</t>
        </is>
      </c>
      <c r="C65" s="260" t="inlineStr">
        <is>
          <t>-</t>
        </is>
      </c>
      <c r="D65" s="261" t="n"/>
      <c r="E65" s="261" t="n"/>
      <c r="F65" s="261" t="n"/>
      <c r="G65" s="262" t="inlineStr">
        <is>
          <t>-</t>
        </is>
      </c>
      <c r="H65" s="262" t="inlineStr">
        <is>
          <t>-</t>
        </is>
      </c>
      <c r="I65" s="262" t="inlineStr">
        <is>
          <t>-</t>
        </is>
      </c>
      <c r="J65" s="262" t="inlineStr">
        <is>
          <t>-</t>
        </is>
      </c>
      <c r="K65" s="262" t="inlineStr">
        <is>
          <t>-</t>
        </is>
      </c>
      <c r="L65" s="262" t="inlineStr">
        <is>
          <t>-</t>
        </is>
      </c>
      <c r="M65" s="262" t="inlineStr">
        <is>
          <t>-</t>
        </is>
      </c>
      <c r="N65" s="262" t="inlineStr">
        <is>
          <t>-</t>
        </is>
      </c>
      <c r="O65" s="262" t="inlineStr">
        <is>
          <t>-</t>
        </is>
      </c>
      <c r="P65" s="262" t="inlineStr">
        <is>
          <t>-</t>
        </is>
      </c>
      <c r="Q65" s="262" t="inlineStr">
        <is>
          <t>-</t>
        </is>
      </c>
      <c r="R65" s="262" t="inlineStr">
        <is>
          <t>-</t>
        </is>
      </c>
      <c r="S65" s="262" t="inlineStr">
        <is>
          <t>-</t>
        </is>
      </c>
      <c r="T65" s="262" t="inlineStr">
        <is>
          <t>-</t>
        </is>
      </c>
      <c r="U65" s="262" t="inlineStr">
        <is>
          <t>-</t>
        </is>
      </c>
      <c r="V65" s="262" t="inlineStr">
        <is>
          <t>-</t>
        </is>
      </c>
      <c r="W65" s="262" t="inlineStr">
        <is>
          <t>-</t>
        </is>
      </c>
      <c r="X65" s="263" t="n"/>
    </row>
    <row r="66" ht="18.75" customHeight="1" s="161">
      <c r="B66" s="264" t="inlineStr">
        <is>
          <t>Inflow : 銀行借款</t>
        </is>
      </c>
      <c r="C66" s="265" t="n"/>
      <c r="D66" s="266" t="n"/>
      <c r="E66" s="266" t="n"/>
      <c r="F66" s="266" t="n"/>
      <c r="G66" s="266" t="n"/>
      <c r="H66" s="266" t="n"/>
      <c r="I66" s="266" t="n"/>
      <c r="J66" s="266" t="n"/>
      <c r="K66" s="266" t="n"/>
      <c r="L66" s="266" t="n"/>
      <c r="M66" s="266" t="n"/>
      <c r="N66" s="266" t="n"/>
      <c r="O66" s="266" t="n"/>
      <c r="P66" s="266" t="n"/>
      <c r="Q66" s="266" t="n"/>
      <c r="R66" s="266" t="n"/>
      <c r="S66" s="266" t="n"/>
      <c r="T66" s="266" t="n"/>
      <c r="U66" s="266" t="n"/>
      <c r="V66" s="266" t="n"/>
      <c r="W66" s="266" t="n"/>
      <c r="X66" s="267" t="n"/>
    </row>
    <row r="67" ht="18.75" customHeight="1" s="161">
      <c r="B67" s="268" t="inlineStr">
        <is>
          <t>Outflow : 設備折舊</t>
        </is>
      </c>
      <c r="C67" s="260" t="n"/>
      <c r="D67" s="293">
        <f>$C$44/$E$16</f>
        <v/>
      </c>
      <c r="E67" s="293">
        <f>$C$44/$E$16</f>
        <v/>
      </c>
      <c r="F67" s="293">
        <f>$C$44/$E$16</f>
        <v/>
      </c>
      <c r="G67" s="293">
        <f>$C$44/$E$16</f>
        <v/>
      </c>
      <c r="H67" s="293">
        <f>$C$44/$E$16</f>
        <v/>
      </c>
      <c r="I67" s="293">
        <f>$C$44/$E$16</f>
        <v/>
      </c>
      <c r="J67" s="293">
        <f>$C$44/$E$16</f>
        <v/>
      </c>
      <c r="K67" s="293">
        <f>$C$44/$E$16</f>
        <v/>
      </c>
      <c r="L67" s="293">
        <f>$C$44/$E$16</f>
        <v/>
      </c>
      <c r="M67" s="293">
        <f>$C$44/$E$16</f>
        <v/>
      </c>
      <c r="N67" s="293">
        <f>$C$44/$E$16</f>
        <v/>
      </c>
      <c r="O67" s="293">
        <f>$C$44/$E$16</f>
        <v/>
      </c>
      <c r="P67" s="293">
        <f>$C$44/$E$16</f>
        <v/>
      </c>
      <c r="Q67" s="293">
        <f>$C$44/$E$16</f>
        <v/>
      </c>
      <c r="R67" s="293">
        <f>$C$44/$E$16</f>
        <v/>
      </c>
      <c r="S67" s="293">
        <f>$C$44/$E$16</f>
        <v/>
      </c>
      <c r="T67" s="293">
        <f>$C$44/$E$16</f>
        <v/>
      </c>
      <c r="U67" s="293">
        <f>$C$44/$E$16</f>
        <v/>
      </c>
      <c r="V67" s="293">
        <f>$C$44/$E$16</f>
        <v/>
      </c>
      <c r="W67" s="293">
        <f>$C$44/$E$16</f>
        <v/>
      </c>
      <c r="X67" s="263" t="n"/>
    </row>
    <row r="68" ht="18.75" customHeight="1" s="161">
      <c r="B68" s="268" t="inlineStr">
        <is>
          <t>Outflow : 設備放置區域租金</t>
        </is>
      </c>
      <c r="C68" s="260" t="inlineStr">
        <is>
          <t>-</t>
        </is>
      </c>
      <c r="D68" s="270">
        <f>D44</f>
        <v/>
      </c>
      <c r="E68" s="270">
        <f>E45</f>
        <v/>
      </c>
      <c r="F68" s="270">
        <f>F45</f>
        <v/>
      </c>
      <c r="G68" s="270">
        <f>G45</f>
        <v/>
      </c>
      <c r="H68" s="270">
        <f>H45</f>
        <v/>
      </c>
      <c r="I68" s="270">
        <f>I45</f>
        <v/>
      </c>
      <c r="J68" s="270">
        <f>J45</f>
        <v/>
      </c>
      <c r="K68" s="270">
        <f>K45</f>
        <v/>
      </c>
      <c r="L68" s="270">
        <f>L45</f>
        <v/>
      </c>
      <c r="M68" s="270">
        <f>M45</f>
        <v/>
      </c>
      <c r="N68" s="270">
        <f>N45</f>
        <v/>
      </c>
      <c r="O68" s="270">
        <f>O45</f>
        <v/>
      </c>
      <c r="P68" s="270">
        <f>P45</f>
        <v/>
      </c>
      <c r="Q68" s="270">
        <f>Q45</f>
        <v/>
      </c>
      <c r="R68" s="270">
        <f>R45</f>
        <v/>
      </c>
      <c r="S68" s="270">
        <f>S45</f>
        <v/>
      </c>
      <c r="T68" s="270">
        <f>T45</f>
        <v/>
      </c>
      <c r="U68" s="270">
        <f>U45</f>
        <v/>
      </c>
      <c r="V68" s="270">
        <f>V45</f>
        <v/>
      </c>
      <c r="W68" s="270">
        <f>W45</f>
        <v/>
      </c>
      <c r="X68" s="263" t="n"/>
    </row>
    <row r="69" ht="18.75" customHeight="1" s="161">
      <c r="B69" s="268" t="inlineStr">
        <is>
          <t>Outflow : 返還借款</t>
        </is>
      </c>
      <c r="C69" s="260" t="n"/>
      <c r="D69" s="261" t="n"/>
      <c r="E69" s="261" t="n"/>
      <c r="F69" s="261" t="n"/>
      <c r="G69" s="261" t="n"/>
      <c r="H69" s="261" t="n"/>
      <c r="I69" s="261" t="n"/>
      <c r="J69" s="261" t="n"/>
      <c r="K69" s="261" t="n"/>
      <c r="L69" s="261" t="n"/>
      <c r="M69" s="261" t="n"/>
      <c r="N69" s="261" t="n"/>
      <c r="O69" s="261" t="n"/>
      <c r="P69" s="261" t="n"/>
      <c r="Q69" s="261" t="n"/>
      <c r="R69" s="261" t="n"/>
      <c r="S69" s="261" t="n"/>
      <c r="T69" s="261" t="n"/>
      <c r="U69" s="261" t="n"/>
      <c r="V69" s="261" t="n"/>
      <c r="W69" s="261" t="n"/>
      <c r="X69" s="263" t="n"/>
    </row>
    <row r="70" ht="18.75" customHeight="1" s="161">
      <c r="B70" s="268" t="inlineStr">
        <is>
          <t>Outflow : 利息費用</t>
        </is>
      </c>
      <c r="C70" s="260" t="inlineStr">
        <is>
          <t>-</t>
        </is>
      </c>
      <c r="D70" s="270">
        <f>-D109*$D25</f>
        <v/>
      </c>
      <c r="E70" s="270">
        <f>-E109*$D25</f>
        <v/>
      </c>
      <c r="F70" s="270">
        <f>-F109*$D25</f>
        <v/>
      </c>
      <c r="G70" s="270">
        <f>-G109*$D25</f>
        <v/>
      </c>
      <c r="H70" s="270">
        <f>-H109*$D25</f>
        <v/>
      </c>
      <c r="I70" s="270">
        <f>-I109*$D25</f>
        <v/>
      </c>
      <c r="J70" s="270">
        <f>-J109*$D25</f>
        <v/>
      </c>
      <c r="K70" s="270">
        <f>-K109*$D25</f>
        <v/>
      </c>
      <c r="L70" s="270">
        <f>-L109*$D25</f>
        <v/>
      </c>
      <c r="M70" s="270">
        <f>-M109*$D25</f>
        <v/>
      </c>
      <c r="N70" s="270">
        <f>-N109*$D25</f>
        <v/>
      </c>
      <c r="O70" s="270">
        <f>-O109*$D25</f>
        <v/>
      </c>
      <c r="P70" s="270">
        <f>-P109*$D25</f>
        <v/>
      </c>
      <c r="Q70" s="270">
        <f>-Q109*$D25</f>
        <v/>
      </c>
      <c r="R70" s="270">
        <f>-R109*$D25</f>
        <v/>
      </c>
      <c r="S70" s="270">
        <f>-S109*$D25</f>
        <v/>
      </c>
      <c r="T70" s="270">
        <f>-T109*$D25</f>
        <v/>
      </c>
      <c r="U70" s="270">
        <f>-U109*$D25</f>
        <v/>
      </c>
      <c r="V70" s="270">
        <f>-V109*$D25</f>
        <v/>
      </c>
      <c r="W70" s="270">
        <f>-W109*$D25</f>
        <v/>
      </c>
      <c r="X70" s="263" t="n"/>
    </row>
    <row r="71" ht="18.75" customHeight="1" s="161">
      <c r="B71" s="268" t="inlineStr">
        <is>
          <t>Outflow : 維運費</t>
        </is>
      </c>
      <c r="C71" s="260" t="inlineStr">
        <is>
          <t>-</t>
        </is>
      </c>
      <c r="D71" s="270">
        <f>D48</f>
        <v/>
      </c>
      <c r="E71" s="270">
        <f>E48</f>
        <v/>
      </c>
      <c r="F71" s="270">
        <f>F48</f>
        <v/>
      </c>
      <c r="G71" s="270">
        <f>G48</f>
        <v/>
      </c>
      <c r="H71" s="270">
        <f>H48</f>
        <v/>
      </c>
      <c r="I71" s="270">
        <f>I48</f>
        <v/>
      </c>
      <c r="J71" s="270">
        <f>J48</f>
        <v/>
      </c>
      <c r="K71" s="270">
        <f>K48</f>
        <v/>
      </c>
      <c r="L71" s="270">
        <f>L48</f>
        <v/>
      </c>
      <c r="M71" s="270">
        <f>M48</f>
        <v/>
      </c>
      <c r="N71" s="270">
        <f>N48</f>
        <v/>
      </c>
      <c r="O71" s="270">
        <f>O48</f>
        <v/>
      </c>
      <c r="P71" s="270">
        <f>P48</f>
        <v/>
      </c>
      <c r="Q71" s="270">
        <f>Q48</f>
        <v/>
      </c>
      <c r="R71" s="270">
        <f>R48</f>
        <v/>
      </c>
      <c r="S71" s="270">
        <f>S48</f>
        <v/>
      </c>
      <c r="T71" s="270">
        <f>T48</f>
        <v/>
      </c>
      <c r="U71" s="270">
        <f>U48</f>
        <v/>
      </c>
      <c r="V71" s="270">
        <f>V48</f>
        <v/>
      </c>
      <c r="W71" s="270">
        <f>W48</f>
        <v/>
      </c>
      <c r="X71" s="263" t="n"/>
    </row>
    <row r="72" ht="18.75" customHeight="1" s="161">
      <c r="B72" s="268" t="inlineStr">
        <is>
          <t>Outflow : 保險費</t>
        </is>
      </c>
      <c r="C72" s="260" t="inlineStr">
        <is>
          <t>-</t>
        </is>
      </c>
      <c r="D72" s="270">
        <f>D49</f>
        <v/>
      </c>
      <c r="E72" s="270">
        <f>E49</f>
        <v/>
      </c>
      <c r="F72" s="270">
        <f>F49</f>
        <v/>
      </c>
      <c r="G72" s="270">
        <f>G49</f>
        <v/>
      </c>
      <c r="H72" s="270">
        <f>H49</f>
        <v/>
      </c>
      <c r="I72" s="270">
        <f>I49</f>
        <v/>
      </c>
      <c r="J72" s="270">
        <f>J49</f>
        <v/>
      </c>
      <c r="K72" s="270">
        <f>K49</f>
        <v/>
      </c>
      <c r="L72" s="270">
        <f>L49</f>
        <v/>
      </c>
      <c r="M72" s="270">
        <f>M49</f>
        <v/>
      </c>
      <c r="N72" s="270">
        <f>N49</f>
        <v/>
      </c>
      <c r="O72" s="270">
        <f>O49</f>
        <v/>
      </c>
      <c r="P72" s="270">
        <f>P49</f>
        <v/>
      </c>
      <c r="Q72" s="270">
        <f>Q49</f>
        <v/>
      </c>
      <c r="R72" s="270">
        <f>R49</f>
        <v/>
      </c>
      <c r="S72" s="270">
        <f>S49</f>
        <v/>
      </c>
      <c r="T72" s="270">
        <f>T49</f>
        <v/>
      </c>
      <c r="U72" s="270">
        <f>U49</f>
        <v/>
      </c>
      <c r="V72" s="270">
        <f>V49</f>
        <v/>
      </c>
      <c r="W72" s="270">
        <f>W49</f>
        <v/>
      </c>
      <c r="X72" s="263" t="n"/>
    </row>
    <row r="73" ht="18.75" customHeight="1" s="161">
      <c r="B73" s="268" t="inlineStr">
        <is>
          <t>Outflow : 模組回收費</t>
        </is>
      </c>
      <c r="C73" s="260" t="n"/>
      <c r="D73" s="270">
        <f>D50</f>
        <v/>
      </c>
      <c r="E73" s="270">
        <f>E50</f>
        <v/>
      </c>
      <c r="F73" s="270">
        <f>F50</f>
        <v/>
      </c>
      <c r="G73" s="270">
        <f>G50</f>
        <v/>
      </c>
      <c r="H73" s="270">
        <f>H50</f>
        <v/>
      </c>
      <c r="I73" s="270">
        <f>I50</f>
        <v/>
      </c>
      <c r="J73" s="270">
        <f>J50</f>
        <v/>
      </c>
      <c r="K73" s="270">
        <f>K50</f>
        <v/>
      </c>
      <c r="L73" s="270">
        <f>L50</f>
        <v/>
      </c>
      <c r="M73" s="270">
        <f>M50</f>
        <v/>
      </c>
      <c r="N73" s="270">
        <f>N50</f>
        <v/>
      </c>
      <c r="O73" s="270">
        <f>O50</f>
        <v/>
      </c>
      <c r="P73" s="270">
        <f>P50</f>
        <v/>
      </c>
      <c r="Q73" s="270">
        <f>Q50</f>
        <v/>
      </c>
      <c r="R73" s="270">
        <f>R50</f>
        <v/>
      </c>
      <c r="S73" s="270">
        <f>S50</f>
        <v/>
      </c>
      <c r="T73" s="270">
        <f>T50</f>
        <v/>
      </c>
      <c r="U73" s="270">
        <f>U50</f>
        <v/>
      </c>
      <c r="V73" s="270">
        <f>V50</f>
        <v/>
      </c>
      <c r="W73" s="270">
        <f>W50</f>
        <v/>
      </c>
      <c r="X73" s="263" t="n"/>
    </row>
    <row r="74" ht="18.75" customHeight="1" s="161">
      <c r="B74" s="268" t="inlineStr">
        <is>
          <t>Outflow : 其它費用(人事薪資…等)</t>
        </is>
      </c>
      <c r="C74" s="271" t="n"/>
      <c r="D74" s="294" t="n"/>
      <c r="E74" s="295" t="n"/>
      <c r="F74" s="261" t="n"/>
      <c r="G74" s="261" t="n"/>
      <c r="H74" s="261" t="n"/>
      <c r="I74" s="261" t="n"/>
      <c r="J74" s="261" t="n"/>
      <c r="K74" s="261" t="n"/>
      <c r="L74" s="261" t="n"/>
      <c r="M74" s="261" t="n"/>
      <c r="N74" s="261" t="n"/>
      <c r="O74" s="261" t="n"/>
      <c r="P74" s="261" t="n"/>
      <c r="Q74" s="261" t="n"/>
      <c r="R74" s="261" t="n"/>
      <c r="S74" s="261" t="n"/>
      <c r="T74" s="261" t="n"/>
      <c r="U74" s="261" t="n"/>
      <c r="V74" s="261" t="n"/>
      <c r="W74" s="261" t="n"/>
      <c r="X74" s="263" t="n"/>
    </row>
    <row r="75" ht="18.75" customHeight="1" s="161">
      <c r="B75" s="268" t="inlineStr">
        <is>
          <t>1%管理費</t>
        </is>
      </c>
      <c r="C75" s="271" t="n"/>
      <c r="D75" s="261" t="n"/>
      <c r="E75" s="261" t="n"/>
      <c r="F75" s="261" t="n"/>
      <c r="G75" s="261" t="n"/>
      <c r="H75" s="261" t="n"/>
      <c r="I75" s="261" t="n"/>
      <c r="J75" s="261" t="n"/>
      <c r="K75" s="261" t="n"/>
      <c r="L75" s="261" t="n"/>
      <c r="M75" s="261" t="n"/>
      <c r="N75" s="261" t="n"/>
      <c r="O75" s="261" t="n"/>
      <c r="P75" s="261" t="n"/>
      <c r="Q75" s="261" t="n"/>
      <c r="R75" s="261" t="n"/>
      <c r="S75" s="261" t="n"/>
      <c r="T75" s="261" t="n"/>
      <c r="U75" s="261" t="n"/>
      <c r="V75" s="261" t="n"/>
      <c r="W75" s="261" t="n"/>
      <c r="X75" s="263" t="n"/>
    </row>
    <row r="76" ht="18.75" customHeight="1" s="161">
      <c r="B76" s="273" t="inlineStr">
        <is>
          <t>稅前淨利</t>
        </is>
      </c>
      <c r="C76" s="296" t="n"/>
      <c r="D76" s="275">
        <f>SUM(D64:D75)</f>
        <v/>
      </c>
      <c r="E76" s="275">
        <f>SUM(E64:E75)</f>
        <v/>
      </c>
      <c r="F76" s="275">
        <f>SUM(F64:F75)</f>
        <v/>
      </c>
      <c r="G76" s="275">
        <f>SUM(G64:G75)</f>
        <v/>
      </c>
      <c r="H76" s="275">
        <f>SUM(H64:H75)</f>
        <v/>
      </c>
      <c r="I76" s="275">
        <f>SUM(I64:I75)</f>
        <v/>
      </c>
      <c r="J76" s="275">
        <f>SUM(J64:J75)</f>
        <v/>
      </c>
      <c r="K76" s="275">
        <f>SUM(K64:K75)</f>
        <v/>
      </c>
      <c r="L76" s="275">
        <f>SUM(L64:L75)</f>
        <v/>
      </c>
      <c r="M76" s="275">
        <f>SUM(M64:M75)</f>
        <v/>
      </c>
      <c r="N76" s="275">
        <f>SUM(N64:N75)</f>
        <v/>
      </c>
      <c r="O76" s="275">
        <f>SUM(O64:O75)</f>
        <v/>
      </c>
      <c r="P76" s="275">
        <f>SUM(P64:P75)</f>
        <v/>
      </c>
      <c r="Q76" s="275">
        <f>SUM(Q64:Q75)</f>
        <v/>
      </c>
      <c r="R76" s="275">
        <f>SUM(R64:R75)</f>
        <v/>
      </c>
      <c r="S76" s="275">
        <f>SUM(S64:S75)</f>
        <v/>
      </c>
      <c r="T76" s="275">
        <f>SUM(T64:T75)</f>
        <v/>
      </c>
      <c r="U76" s="275">
        <f>SUM(U64:U75)</f>
        <v/>
      </c>
      <c r="V76" s="275">
        <f>SUM(V64:V75)</f>
        <v/>
      </c>
      <c r="W76" s="275">
        <f>SUM(W64:W75)</f>
        <v/>
      </c>
      <c r="X76" s="275">
        <f>SUM(X64:X75)</f>
        <v/>
      </c>
    </row>
    <row r="77" ht="18.75" customHeight="1" s="161">
      <c r="B77" s="272" t="inlineStr">
        <is>
          <t>所得稅20%</t>
        </is>
      </c>
      <c r="C77" s="271" t="n"/>
      <c r="D77" s="270">
        <f>-D76*0.2</f>
        <v/>
      </c>
      <c r="E77" s="270">
        <f>-E76*0.2</f>
        <v/>
      </c>
      <c r="F77" s="270">
        <f>-F76*0.2</f>
        <v/>
      </c>
      <c r="G77" s="270">
        <f>-G76*0.2</f>
        <v/>
      </c>
      <c r="H77" s="270">
        <f>-H76*0.2</f>
        <v/>
      </c>
      <c r="I77" s="270">
        <f>-I76*0.2</f>
        <v/>
      </c>
      <c r="J77" s="270">
        <f>-J76*0.2</f>
        <v/>
      </c>
      <c r="K77" s="270">
        <f>-K76*0.2</f>
        <v/>
      </c>
      <c r="L77" s="270">
        <f>-L76*0.2</f>
        <v/>
      </c>
      <c r="M77" s="270">
        <f>-M76*0.2</f>
        <v/>
      </c>
      <c r="N77" s="270">
        <f>-N76*0.2</f>
        <v/>
      </c>
      <c r="O77" s="270">
        <f>-O76*0.2</f>
        <v/>
      </c>
      <c r="P77" s="270">
        <f>-P76*0.2</f>
        <v/>
      </c>
      <c r="Q77" s="270">
        <f>-Q76*0.2</f>
        <v/>
      </c>
      <c r="R77" s="270">
        <f>-R76*0.2</f>
        <v/>
      </c>
      <c r="S77" s="270">
        <f>-S76*0.2</f>
        <v/>
      </c>
      <c r="T77" s="270">
        <f>-T76*0.2</f>
        <v/>
      </c>
      <c r="U77" s="270">
        <f>-U76*0.2</f>
        <v/>
      </c>
      <c r="V77" s="270">
        <f>-V76*0.2</f>
        <v/>
      </c>
      <c r="W77" s="270">
        <f>-W76*0.2</f>
        <v/>
      </c>
      <c r="X77" s="270">
        <f>-X76*0.2</f>
        <v/>
      </c>
    </row>
    <row r="78" ht="15.75" customHeight="1" s="161">
      <c r="B78" s="297" t="inlineStr">
        <is>
          <t>稅後淨利</t>
        </is>
      </c>
      <c r="D78" s="270">
        <f>SUM(D76:D77)</f>
        <v/>
      </c>
      <c r="E78" s="270">
        <f>SUM(E76:E77)</f>
        <v/>
      </c>
      <c r="F78" s="270">
        <f>SUM(F76:F77)</f>
        <v/>
      </c>
      <c r="G78" s="270">
        <f>SUM(G76:G77)</f>
        <v/>
      </c>
      <c r="H78" s="270">
        <f>SUM(H76:H77)</f>
        <v/>
      </c>
      <c r="I78" s="270">
        <f>SUM(I76:I77)</f>
        <v/>
      </c>
      <c r="J78" s="270">
        <f>SUM(J76:J77)</f>
        <v/>
      </c>
      <c r="K78" s="270">
        <f>SUM(K76:K77)</f>
        <v/>
      </c>
      <c r="L78" s="270">
        <f>SUM(L76:L77)</f>
        <v/>
      </c>
      <c r="M78" s="270">
        <f>SUM(M76:M77)</f>
        <v/>
      </c>
      <c r="N78" s="270">
        <f>SUM(N76:N77)</f>
        <v/>
      </c>
      <c r="O78" s="270">
        <f>SUM(O76:O77)</f>
        <v/>
      </c>
      <c r="P78" s="270">
        <f>SUM(P76:P77)</f>
        <v/>
      </c>
      <c r="Q78" s="270">
        <f>SUM(Q76:Q77)</f>
        <v/>
      </c>
      <c r="R78" s="270">
        <f>SUM(R76:R77)</f>
        <v/>
      </c>
      <c r="S78" s="270">
        <f>SUM(S76:S77)</f>
        <v/>
      </c>
      <c r="T78" s="270">
        <f>SUM(T76:T77)</f>
        <v/>
      </c>
      <c r="U78" s="270">
        <f>SUM(U76:U77)</f>
        <v/>
      </c>
      <c r="V78" s="270">
        <f>SUM(V76:V77)</f>
        <v/>
      </c>
      <c r="W78" s="270">
        <f>SUM(W76:W77)</f>
        <v/>
      </c>
      <c r="X78" s="270">
        <f>SUM(X76:X77)</f>
        <v/>
      </c>
    </row>
    <row r="79" ht="18.75" customHeight="1" s="161">
      <c r="B79" s="279" t="inlineStr">
        <is>
          <t>累計現金流</t>
        </is>
      </c>
      <c r="C79" s="282" t="n"/>
      <c r="D79" s="298" t="n"/>
      <c r="E79" s="298" t="n"/>
      <c r="F79" s="298" t="n"/>
      <c r="G79" s="298" t="n"/>
      <c r="H79" s="298" t="n"/>
      <c r="I79" s="298" t="n"/>
      <c r="J79" s="298" t="n"/>
      <c r="K79" s="298" t="n"/>
      <c r="L79" s="298" t="n"/>
      <c r="M79" s="298" t="n"/>
      <c r="N79" s="298" t="n"/>
      <c r="O79" s="298" t="n"/>
      <c r="P79" s="298" t="n"/>
      <c r="Q79" s="298" t="n"/>
      <c r="R79" s="298" t="n"/>
      <c r="S79" s="298" t="n"/>
      <c r="T79" s="298" t="n"/>
      <c r="U79" s="298" t="n"/>
      <c r="V79" s="298" t="n"/>
      <c r="W79" s="298" t="n"/>
      <c r="X79" s="299" t="n"/>
    </row>
    <row r="80" ht="18.75" customHeight="1" s="161">
      <c r="B80" s="300" t="inlineStr">
        <is>
          <t>回收年限評估</t>
        </is>
      </c>
      <c r="C80" s="301" t="n"/>
      <c r="D80" s="302" t="n"/>
      <c r="E80" s="302" t="n"/>
      <c r="F80" s="302" t="n"/>
      <c r="G80" s="302" t="n"/>
      <c r="H80" s="302" t="n"/>
      <c r="I80" s="302" t="n"/>
      <c r="J80" s="302" t="n"/>
      <c r="K80" s="302" t="n"/>
      <c r="L80" s="302" t="n"/>
      <c r="M80" s="302" t="n"/>
      <c r="N80" s="302" t="n"/>
      <c r="O80" s="302" t="n"/>
      <c r="P80" s="302" t="n"/>
      <c r="Q80" s="302" t="n"/>
      <c r="R80" s="302" t="n"/>
      <c r="S80" s="302" t="n"/>
      <c r="T80" s="302" t="n"/>
      <c r="U80" s="302" t="n"/>
      <c r="V80" s="302" t="n"/>
      <c r="W80" s="302" t="n"/>
      <c r="X80" s="303" t="n"/>
    </row>
    <row r="81" ht="18.75" customHeight="1" s="161">
      <c r="B81" s="288" t="n"/>
      <c r="C81" s="287" t="n"/>
      <c r="D81" s="287" t="n"/>
      <c r="E81" s="287" t="n"/>
      <c r="F81" s="288" t="n"/>
      <c r="G81" s="288" t="n"/>
      <c r="H81" s="288" t="n"/>
      <c r="I81" s="288" t="n"/>
      <c r="J81" s="288" t="n"/>
      <c r="K81" s="288" t="n"/>
      <c r="L81" s="288" t="n"/>
      <c r="M81" s="287" t="n"/>
      <c r="N81" s="288" t="n"/>
      <c r="O81" s="288" t="n"/>
      <c r="P81" s="288" t="n"/>
      <c r="Q81" s="288" t="n"/>
      <c r="R81" s="288" t="n"/>
      <c r="S81" s="288" t="n"/>
      <c r="T81" s="288" t="n"/>
      <c r="U81" s="288" t="n"/>
      <c r="V81" s="288" t="n"/>
      <c r="W81" s="288" t="n"/>
      <c r="X81" s="288" t="n"/>
    </row>
    <row r="82" ht="18.75" customHeight="1" s="161">
      <c r="C82" s="304" t="inlineStr">
        <is>
          <t>年份</t>
        </is>
      </c>
      <c r="D82" s="305">
        <f>D37</f>
        <v/>
      </c>
      <c r="E82" s="305">
        <f>E37</f>
        <v/>
      </c>
      <c r="F82" s="305">
        <f>F37</f>
        <v/>
      </c>
      <c r="G82" s="305">
        <f>G37</f>
        <v/>
      </c>
      <c r="H82" s="305">
        <f>H37</f>
        <v/>
      </c>
      <c r="I82" s="305">
        <f>I37</f>
        <v/>
      </c>
      <c r="J82" s="305">
        <f>J37</f>
        <v/>
      </c>
      <c r="K82" s="305">
        <f>K37</f>
        <v/>
      </c>
      <c r="L82" s="305">
        <f>L37</f>
        <v/>
      </c>
      <c r="M82" s="305">
        <f>M37</f>
        <v/>
      </c>
      <c r="N82" s="305">
        <f>N37</f>
        <v/>
      </c>
      <c r="O82" s="305">
        <f>O37</f>
        <v/>
      </c>
      <c r="P82" s="305">
        <f>P37</f>
        <v/>
      </c>
      <c r="Q82" s="305">
        <f>Q37</f>
        <v/>
      </c>
      <c r="R82" s="305">
        <f>R37</f>
        <v/>
      </c>
      <c r="S82" s="305">
        <f>S37</f>
        <v/>
      </c>
      <c r="T82" s="305">
        <f>T37</f>
        <v/>
      </c>
      <c r="U82" s="305">
        <f>U37</f>
        <v/>
      </c>
      <c r="V82" s="305">
        <f>V37</f>
        <v/>
      </c>
      <c r="W82" s="305">
        <f>W37</f>
        <v/>
      </c>
      <c r="X82" s="290" t="n"/>
    </row>
    <row r="83" ht="18.75" customHeight="1" s="161">
      <c r="X83" s="289" t="n"/>
    </row>
    <row r="84" ht="18.75" customHeight="1" s="161">
      <c r="B84" s="306" t="inlineStr">
        <is>
          <t>(Unit : Currency)</t>
        </is>
      </c>
      <c r="C84" s="306" t="n">
        <v>0</v>
      </c>
      <c r="D84" s="306" t="n">
        <v>1</v>
      </c>
      <c r="E84" s="306" t="n">
        <v>2</v>
      </c>
      <c r="F84" s="306" t="n">
        <v>3</v>
      </c>
      <c r="G84" s="306" t="n">
        <v>4</v>
      </c>
      <c r="H84" s="306" t="n">
        <v>5</v>
      </c>
      <c r="I84" s="306" t="n">
        <v>6</v>
      </c>
      <c r="J84" s="306" t="n">
        <v>7</v>
      </c>
      <c r="K84" s="306" t="n">
        <v>8</v>
      </c>
      <c r="L84" s="306" t="n">
        <v>9</v>
      </c>
      <c r="M84" s="306" t="n">
        <v>10</v>
      </c>
      <c r="N84" s="306" t="n">
        <v>11</v>
      </c>
      <c r="O84" s="306" t="n">
        <v>12</v>
      </c>
      <c r="P84" s="306" t="n">
        <v>13</v>
      </c>
      <c r="Q84" s="306" t="n">
        <v>14</v>
      </c>
      <c r="R84" s="306" t="n">
        <v>15</v>
      </c>
      <c r="S84" s="306" t="n">
        <v>16</v>
      </c>
      <c r="T84" s="306" t="n">
        <v>17</v>
      </c>
      <c r="U84" s="306" t="n">
        <v>18</v>
      </c>
      <c r="V84" s="306" t="n">
        <v>19</v>
      </c>
      <c r="W84" s="306" t="n">
        <v>20</v>
      </c>
      <c r="X84" s="307" t="n"/>
    </row>
    <row r="85" ht="18.75" customHeight="1" s="161">
      <c r="B85" s="308" t="inlineStr">
        <is>
          <t>稅後淨利</t>
        </is>
      </c>
      <c r="C85" s="308" t="n"/>
      <c r="D85" s="309">
        <f>D78</f>
        <v/>
      </c>
      <c r="E85" s="309">
        <f>E78</f>
        <v/>
      </c>
      <c r="F85" s="309">
        <f>F78</f>
        <v/>
      </c>
      <c r="G85" s="309">
        <f>G78</f>
        <v/>
      </c>
      <c r="H85" s="309">
        <f>H78</f>
        <v/>
      </c>
      <c r="I85" s="309">
        <f>I78</f>
        <v/>
      </c>
      <c r="J85" s="309">
        <f>J78</f>
        <v/>
      </c>
      <c r="K85" s="309">
        <f>K78</f>
        <v/>
      </c>
      <c r="L85" s="309">
        <f>L78</f>
        <v/>
      </c>
      <c r="M85" s="309">
        <f>M78</f>
        <v/>
      </c>
      <c r="N85" s="309">
        <f>N78</f>
        <v/>
      </c>
      <c r="O85" s="309">
        <f>O78</f>
        <v/>
      </c>
      <c r="P85" s="309">
        <f>P78</f>
        <v/>
      </c>
      <c r="Q85" s="309">
        <f>Q78</f>
        <v/>
      </c>
      <c r="R85" s="309">
        <f>R78</f>
        <v/>
      </c>
      <c r="S85" s="309">
        <f>S78</f>
        <v/>
      </c>
      <c r="T85" s="309">
        <f>T78</f>
        <v/>
      </c>
      <c r="U85" s="309">
        <f>U78</f>
        <v/>
      </c>
      <c r="V85" s="309">
        <f>V78</f>
        <v/>
      </c>
      <c r="W85" s="309">
        <f>W78</f>
        <v/>
      </c>
      <c r="X85" s="308" t="n"/>
      <c r="Y85" s="308" t="n"/>
    </row>
    <row r="86" ht="15.75" customHeight="1" s="161">
      <c r="B86" s="308" t="inlineStr">
        <is>
          <t>設備折舊</t>
        </is>
      </c>
      <c r="C86" s="308" t="n"/>
      <c r="D86" s="310">
        <f>-D67</f>
        <v/>
      </c>
      <c r="E86" s="310">
        <f>-E67</f>
        <v/>
      </c>
      <c r="F86" s="310">
        <f>-F67</f>
        <v/>
      </c>
      <c r="G86" s="310">
        <f>-G67</f>
        <v/>
      </c>
      <c r="H86" s="310">
        <f>-H67</f>
        <v/>
      </c>
      <c r="I86" s="310">
        <f>-I67</f>
        <v/>
      </c>
      <c r="J86" s="310">
        <f>-J67</f>
        <v/>
      </c>
      <c r="K86" s="310">
        <f>-K67</f>
        <v/>
      </c>
      <c r="L86" s="310">
        <f>-L67</f>
        <v/>
      </c>
      <c r="M86" s="310">
        <f>-M67</f>
        <v/>
      </c>
      <c r="N86" s="310">
        <f>-N67</f>
        <v/>
      </c>
      <c r="O86" s="310">
        <f>-O67</f>
        <v/>
      </c>
      <c r="P86" s="310">
        <f>-P67</f>
        <v/>
      </c>
      <c r="Q86" s="310">
        <f>-Q67</f>
        <v/>
      </c>
      <c r="R86" s="310">
        <f>-R67</f>
        <v/>
      </c>
      <c r="S86" s="310">
        <f>-S67</f>
        <v/>
      </c>
      <c r="T86" s="310">
        <f>-T67</f>
        <v/>
      </c>
      <c r="U86" s="310">
        <f>-U67</f>
        <v/>
      </c>
      <c r="V86" s="310">
        <f>-V67</f>
        <v/>
      </c>
      <c r="W86" s="310">
        <f>-W67</f>
        <v/>
      </c>
      <c r="X86" s="311" t="n"/>
      <c r="Y86" s="311" t="n"/>
    </row>
    <row r="87" ht="15.75" customHeight="1" s="161">
      <c r="B87" s="308" t="inlineStr">
        <is>
          <t>營運活動現金流量</t>
        </is>
      </c>
      <c r="C87" s="308" t="n"/>
      <c r="D87" s="312">
        <f>SUM(D85:D86)</f>
        <v/>
      </c>
      <c r="E87" s="312">
        <f>SUM(E85:E86)</f>
        <v/>
      </c>
      <c r="F87" s="312">
        <f>SUM(F85:F86)</f>
        <v/>
      </c>
      <c r="G87" s="312">
        <f>SUM(G85:G86)</f>
        <v/>
      </c>
      <c r="H87" s="312">
        <f>SUM(H85:H86)</f>
        <v/>
      </c>
      <c r="I87" s="312">
        <f>SUM(I85:I86)</f>
        <v/>
      </c>
      <c r="J87" s="312">
        <f>SUM(J85:J86)</f>
        <v/>
      </c>
      <c r="K87" s="312">
        <f>SUM(K85:K86)</f>
        <v/>
      </c>
      <c r="L87" s="312">
        <f>SUM(L85:L86)</f>
        <v/>
      </c>
      <c r="M87" s="312">
        <f>SUM(M85:M86)</f>
        <v/>
      </c>
      <c r="N87" s="312">
        <f>SUM(N85:N86)</f>
        <v/>
      </c>
      <c r="O87" s="312">
        <f>SUM(O85:O86)</f>
        <v/>
      </c>
      <c r="P87" s="312">
        <f>SUM(P85:P86)</f>
        <v/>
      </c>
      <c r="Q87" s="312">
        <f>SUM(Q85:Q86)</f>
        <v/>
      </c>
      <c r="R87" s="312">
        <f>SUM(R85:R86)</f>
        <v/>
      </c>
      <c r="S87" s="312">
        <f>SUM(S85:S86)</f>
        <v/>
      </c>
      <c r="T87" s="312">
        <f>SUM(T85:T86)</f>
        <v/>
      </c>
      <c r="U87" s="312">
        <f>SUM(U85:U86)</f>
        <v/>
      </c>
      <c r="V87" s="312">
        <f>SUM(V85:V86)</f>
        <v/>
      </c>
      <c r="W87" s="312">
        <f>SUM(W85:W86)</f>
        <v/>
      </c>
      <c r="X87" s="278" t="n"/>
    </row>
    <row r="88" ht="15.75" customHeight="1" s="161">
      <c r="B88" s="308" t="n"/>
      <c r="C88" s="308" t="n"/>
      <c r="D88" s="308" t="n"/>
      <c r="E88" s="308" t="n"/>
      <c r="F88" s="313" t="n"/>
      <c r="G88" s="313" t="n"/>
      <c r="H88" s="313" t="n"/>
      <c r="I88" s="313" t="n"/>
      <c r="J88" s="313" t="n"/>
      <c r="K88" s="313" t="n"/>
      <c r="L88" s="313" t="n"/>
      <c r="M88" s="313" t="n"/>
      <c r="N88" s="313" t="n"/>
      <c r="O88" s="313" t="n"/>
      <c r="P88" s="313" t="n"/>
      <c r="Q88" s="313" t="n"/>
      <c r="R88" s="313" t="n"/>
      <c r="S88" s="313" t="n"/>
      <c r="T88" s="313" t="n"/>
      <c r="U88" s="313" t="n"/>
      <c r="V88" s="313" t="n"/>
      <c r="W88" s="313" t="n"/>
      <c r="X88" s="277" t="n"/>
    </row>
    <row r="89" ht="15.75" customHeight="1" s="161">
      <c r="B89" s="314" t="inlineStr">
        <is>
          <t>投資活動-設備支出</t>
        </is>
      </c>
      <c r="C89" s="315" t="n"/>
      <c r="D89" s="316">
        <f>C44</f>
        <v/>
      </c>
      <c r="E89" s="315" t="n"/>
      <c r="F89" s="315" t="n"/>
      <c r="G89" s="315" t="n"/>
      <c r="H89" s="315" t="n"/>
      <c r="I89" s="315" t="n"/>
      <c r="J89" s="315" t="n"/>
      <c r="K89" s="315" t="n"/>
      <c r="L89" s="315" t="n"/>
      <c r="M89" s="315" t="n"/>
      <c r="N89" s="315" t="n"/>
      <c r="O89" s="315" t="n"/>
      <c r="P89" s="315" t="n"/>
      <c r="Q89" s="315" t="n"/>
      <c r="R89" s="315" t="n"/>
      <c r="S89" s="315" t="n"/>
      <c r="T89" s="315" t="n"/>
      <c r="U89" s="315" t="n"/>
      <c r="V89" s="315" t="n"/>
      <c r="W89" s="315" t="n"/>
      <c r="X89" s="317" t="n"/>
    </row>
    <row r="90" ht="15.75" customHeight="1" s="161">
      <c r="B90" s="308" t="n"/>
      <c r="C90" s="308" t="n"/>
      <c r="D90" s="308" t="n"/>
      <c r="E90" s="308" t="n"/>
      <c r="F90" s="313" t="n"/>
      <c r="G90" s="313" t="n"/>
      <c r="H90" s="313" t="n"/>
      <c r="I90" s="313" t="n"/>
      <c r="J90" s="313" t="n"/>
      <c r="K90" s="313" t="n"/>
      <c r="L90" s="313" t="n"/>
      <c r="M90" s="313" t="n"/>
      <c r="N90" s="313" t="n"/>
      <c r="O90" s="313" t="n"/>
      <c r="P90" s="313" t="n"/>
      <c r="Q90" s="313" t="n"/>
      <c r="R90" s="313" t="n"/>
      <c r="S90" s="313" t="n"/>
      <c r="T90" s="313" t="n"/>
      <c r="U90" s="313" t="n"/>
      <c r="V90" s="313" t="n"/>
      <c r="W90" s="313" t="n"/>
      <c r="X90" s="277" t="n"/>
    </row>
    <row r="91" ht="15.75" customHeight="1" s="161">
      <c r="B91" s="308" t="n"/>
      <c r="C91" s="308" t="n"/>
      <c r="D91" s="308" t="n"/>
      <c r="E91" s="308" t="n"/>
      <c r="F91" s="313" t="n"/>
      <c r="G91" s="313" t="n"/>
      <c r="H91" s="313" t="n"/>
      <c r="I91" s="313" t="n"/>
      <c r="J91" s="313" t="n"/>
      <c r="K91" s="313" t="n"/>
      <c r="L91" s="313" t="n"/>
      <c r="M91" s="313" t="n"/>
      <c r="N91" s="313" t="n"/>
      <c r="O91" s="313" t="n"/>
      <c r="P91" s="313" t="n"/>
      <c r="Q91" s="313" t="n"/>
      <c r="R91" s="313" t="n"/>
      <c r="S91" s="313" t="n"/>
      <c r="T91" s="313" t="n"/>
      <c r="U91" s="313" t="n"/>
      <c r="V91" s="313" t="n"/>
      <c r="W91" s="313" t="n"/>
      <c r="X91" s="277" t="n"/>
    </row>
    <row r="92" ht="15.75" customHeight="1" s="161">
      <c r="B92" s="314" t="inlineStr">
        <is>
          <t>理財活動-借款</t>
        </is>
      </c>
      <c r="C92" s="315" t="n"/>
      <c r="D92" s="316">
        <f>-D89*D31</f>
        <v/>
      </c>
      <c r="E92" s="315" t="n"/>
      <c r="F92" s="315" t="n"/>
      <c r="G92" s="315" t="n"/>
      <c r="H92" s="315" t="n"/>
      <c r="I92" s="315" t="n"/>
      <c r="J92" s="315" t="n"/>
      <c r="K92" s="315" t="n"/>
      <c r="L92" s="315" t="n"/>
      <c r="M92" s="315" t="n"/>
      <c r="N92" s="315" t="n"/>
      <c r="O92" s="315" t="n"/>
      <c r="P92" s="315" t="n"/>
      <c r="Q92" s="315" t="n"/>
      <c r="R92" s="315" t="n"/>
      <c r="S92" s="315" t="n"/>
      <c r="T92" s="315" t="n"/>
      <c r="U92" s="315" t="n"/>
      <c r="V92" s="315" t="n"/>
      <c r="W92" s="315" t="n"/>
      <c r="X92" s="277" t="n"/>
    </row>
    <row r="93" ht="15.75" customHeight="1" s="161">
      <c r="B93" s="308" t="inlineStr">
        <is>
          <t>理財活動-還款</t>
        </is>
      </c>
      <c r="C93" s="308" t="n"/>
      <c r="D93" s="318" t="n"/>
      <c r="E93" s="318" t="n">
        <v>-639613.333333333</v>
      </c>
      <c r="F93" s="318" t="n">
        <v>-639613.333333333</v>
      </c>
      <c r="G93" s="318" t="n">
        <v>-639613.333333333</v>
      </c>
      <c r="H93" s="318" t="n">
        <v>-639613.333333333</v>
      </c>
      <c r="I93" s="318" t="n">
        <v>-639613.333333333</v>
      </c>
      <c r="J93" s="318" t="n">
        <v>-639613.333333333</v>
      </c>
      <c r="K93" s="318" t="n">
        <v>-639613.333333333</v>
      </c>
      <c r="L93" s="318" t="n">
        <v>-639613.333333333</v>
      </c>
      <c r="M93" s="318" t="n">
        <v>-639613.333333333</v>
      </c>
      <c r="N93" s="318" t="n">
        <v>-639613.333333333</v>
      </c>
      <c r="O93" s="318" t="n">
        <v>-639613.333333333</v>
      </c>
      <c r="P93" s="318" t="n">
        <v>-639613.333333333</v>
      </c>
      <c r="Q93" s="318" t="n">
        <v>-639613.333333333</v>
      </c>
      <c r="R93" s="318" t="n">
        <v>-639613.333333333</v>
      </c>
      <c r="S93" s="318" t="n">
        <v>-639613.333333333</v>
      </c>
      <c r="T93" s="318" t="n">
        <v>0</v>
      </c>
      <c r="U93" s="318" t="n">
        <v>0</v>
      </c>
      <c r="V93" s="318" t="n">
        <v>0</v>
      </c>
      <c r="W93" s="318" t="n">
        <v>0</v>
      </c>
      <c r="X93" s="317" t="n"/>
    </row>
    <row r="94" ht="15.75" customHeight="1" s="161">
      <c r="B94" s="308" t="inlineStr">
        <is>
          <t>理財活動-現金增資</t>
        </is>
      </c>
      <c r="C94" s="313" t="n"/>
      <c r="D94" s="309">
        <f>-D89*(1-D31)</f>
        <v/>
      </c>
      <c r="E94" s="313" t="n"/>
      <c r="F94" s="313" t="n"/>
      <c r="G94" s="313" t="n"/>
      <c r="H94" s="313" t="n"/>
      <c r="I94" s="313" t="n"/>
      <c r="J94" s="313" t="n"/>
      <c r="K94" s="313" t="n"/>
      <c r="L94" s="313" t="n"/>
      <c r="M94" s="313" t="n"/>
      <c r="N94" s="313" t="n"/>
      <c r="O94" s="313" t="n"/>
      <c r="P94" s="313" t="n"/>
      <c r="Q94" s="313" t="n"/>
      <c r="R94" s="313" t="n"/>
      <c r="S94" s="313" t="n"/>
      <c r="T94" s="313" t="n"/>
      <c r="U94" s="313" t="n"/>
      <c r="V94" s="313" t="n"/>
      <c r="W94" s="313" t="n"/>
      <c r="X94" s="278" t="n"/>
    </row>
    <row r="95" ht="15.75" customHeight="1" s="161">
      <c r="B95" s="308" t="inlineStr">
        <is>
          <t>現金股利</t>
        </is>
      </c>
      <c r="C95" s="313" t="n"/>
      <c r="D95" s="313" t="n"/>
      <c r="E95" s="319">
        <f>-D85*$D$33</f>
        <v/>
      </c>
      <c r="F95" s="319">
        <f>-E85*$D$33</f>
        <v/>
      </c>
      <c r="G95" s="319">
        <f>-F85*$D$33</f>
        <v/>
      </c>
      <c r="H95" s="319">
        <f>-G85*$D$33</f>
        <v/>
      </c>
      <c r="I95" s="319">
        <f>-H85*$D$33</f>
        <v/>
      </c>
      <c r="J95" s="319">
        <f>-I85*$D$33</f>
        <v/>
      </c>
      <c r="K95" s="319">
        <f>-J85*$D$33</f>
        <v/>
      </c>
      <c r="L95" s="319">
        <f>-K85*$D$33</f>
        <v/>
      </c>
      <c r="M95" s="319">
        <f>-L85*$D$33</f>
        <v/>
      </c>
      <c r="N95" s="319">
        <f>-M85*$D$33</f>
        <v/>
      </c>
      <c r="O95" s="319">
        <f>-N85*$D$33</f>
        <v/>
      </c>
      <c r="P95" s="319">
        <f>-O85*$D$33</f>
        <v/>
      </c>
      <c r="Q95" s="319">
        <f>-P85*$D$33</f>
        <v/>
      </c>
      <c r="R95" s="319">
        <f>-Q85*$D$33</f>
        <v/>
      </c>
      <c r="S95" s="319">
        <f>-R85*$D$33</f>
        <v/>
      </c>
      <c r="T95" s="319">
        <f>-S85*$D$33</f>
        <v/>
      </c>
      <c r="U95" s="319">
        <f>-T85*$D$33</f>
        <v/>
      </c>
      <c r="V95" s="319">
        <f>-U85*$D$33</f>
        <v/>
      </c>
      <c r="W95" s="319">
        <f>-V85*$D$33</f>
        <v/>
      </c>
      <c r="X95" s="319">
        <f>-W85*$D$33</f>
        <v/>
      </c>
    </row>
    <row r="96" ht="15.75" customHeight="1" s="161">
      <c r="B96" s="320" t="inlineStr">
        <is>
          <t>年底減資</t>
        </is>
      </c>
      <c r="C96" s="321" t="n"/>
      <c r="D96" s="321" t="n">
        <v>0</v>
      </c>
      <c r="E96" s="322" t="n">
        <v>0</v>
      </c>
      <c r="F96" s="322" t="n">
        <v>0</v>
      </c>
      <c r="G96" s="322" t="n">
        <v>0</v>
      </c>
      <c r="H96" s="322" t="n">
        <v>0</v>
      </c>
      <c r="I96" s="322" t="n">
        <v>0</v>
      </c>
      <c r="J96" s="322" t="n">
        <v>0</v>
      </c>
      <c r="K96" s="322" t="n">
        <v>0</v>
      </c>
      <c r="L96" s="322" t="n">
        <v>0</v>
      </c>
      <c r="M96" s="322" t="n">
        <v>0</v>
      </c>
      <c r="N96" s="322" t="n">
        <v>0</v>
      </c>
      <c r="O96" s="322" t="n">
        <v>0</v>
      </c>
      <c r="P96" s="322" t="n">
        <v>0</v>
      </c>
      <c r="Q96" s="322" t="n">
        <v>0</v>
      </c>
      <c r="R96" s="322" t="n">
        <v>0</v>
      </c>
      <c r="S96" s="322" t="n">
        <v>0</v>
      </c>
      <c r="T96" s="322" t="n">
        <v>-599637.5</v>
      </c>
      <c r="U96" s="322" t="n">
        <v>-599637.5</v>
      </c>
      <c r="V96" s="322" t="n">
        <v>-599637.5</v>
      </c>
      <c r="W96" s="322" t="n">
        <v>-599637.5</v>
      </c>
      <c r="X96" s="323">
        <f>-W101-X95</f>
        <v/>
      </c>
    </row>
    <row r="97" ht="15.75" customHeight="1" s="161">
      <c r="B97" s="313" t="n"/>
      <c r="C97" s="313" t="n"/>
      <c r="D97" s="313" t="n"/>
      <c r="E97" s="313" t="n"/>
      <c r="F97" s="313" t="n"/>
      <c r="G97" s="313" t="n"/>
      <c r="H97" s="313" t="n"/>
      <c r="I97" s="313" t="n"/>
      <c r="J97" s="313" t="n"/>
      <c r="K97" s="313" t="n"/>
      <c r="L97" s="313" t="n"/>
      <c r="M97" s="313" t="n"/>
      <c r="N97" s="313" t="n"/>
      <c r="O97" s="313" t="n"/>
      <c r="P97" s="313" t="n"/>
      <c r="Q97" s="313" t="n"/>
      <c r="R97" s="313" t="n"/>
      <c r="S97" s="313" t="n"/>
      <c r="T97" s="313" t="n"/>
      <c r="U97" s="313" t="n"/>
      <c r="V97" s="313" t="n"/>
      <c r="W97" s="313" t="n"/>
      <c r="X97" s="278" t="n"/>
    </row>
    <row r="98" ht="15.75" customHeight="1" s="161">
      <c r="B98" s="313" t="n"/>
      <c r="C98" s="313" t="n"/>
      <c r="D98" s="313" t="n"/>
      <c r="E98" s="313" t="n"/>
      <c r="F98" s="313" t="n"/>
      <c r="G98" s="313" t="n"/>
      <c r="H98" s="313" t="n"/>
      <c r="I98" s="313" t="n"/>
      <c r="J98" s="313" t="n"/>
      <c r="K98" s="313" t="n"/>
      <c r="L98" s="313" t="n"/>
      <c r="M98" s="313" t="n"/>
      <c r="N98" s="313" t="n"/>
      <c r="O98" s="313" t="n"/>
      <c r="P98" s="313" t="n"/>
      <c r="Q98" s="313" t="n"/>
      <c r="R98" s="313" t="n"/>
      <c r="S98" s="313" t="n"/>
      <c r="T98" s="313" t="n"/>
      <c r="U98" s="313" t="n"/>
      <c r="V98" s="313" t="n"/>
      <c r="W98" s="313" t="n"/>
      <c r="X98" s="278" t="n"/>
    </row>
    <row r="99" ht="15.75" customHeight="1" s="161">
      <c r="B99" s="308" t="inlineStr">
        <is>
          <t>現金淨流入(出 )</t>
        </is>
      </c>
      <c r="C99" s="309" t="n">
        <v>0</v>
      </c>
      <c r="D99" s="309">
        <f>SUM(D87:D96)</f>
        <v/>
      </c>
      <c r="E99" s="309">
        <f>SUM(E87:E96)</f>
        <v/>
      </c>
      <c r="F99" s="309">
        <f>SUM(F87:F96)</f>
        <v/>
      </c>
      <c r="G99" s="309">
        <f>SUM(G87:G96)</f>
        <v/>
      </c>
      <c r="H99" s="309">
        <f>SUM(H87:H96)</f>
        <v/>
      </c>
      <c r="I99" s="309">
        <f>SUM(I87:I96)</f>
        <v/>
      </c>
      <c r="J99" s="309">
        <f>SUM(J87:J96)</f>
        <v/>
      </c>
      <c r="K99" s="309">
        <f>SUM(K87:K96)</f>
        <v/>
      </c>
      <c r="L99" s="309">
        <f>SUM(L87:L96)</f>
        <v/>
      </c>
      <c r="M99" s="309">
        <f>SUM(M87:M96)</f>
        <v/>
      </c>
      <c r="N99" s="309">
        <f>SUM(N87:N96)</f>
        <v/>
      </c>
      <c r="O99" s="309">
        <f>SUM(O87:O96)</f>
        <v/>
      </c>
      <c r="P99" s="309">
        <f>SUM(P87:P96)</f>
        <v/>
      </c>
      <c r="Q99" s="309">
        <f>SUM(Q87:Q96)</f>
        <v/>
      </c>
      <c r="R99" s="309">
        <f>SUM(R87:R96)</f>
        <v/>
      </c>
      <c r="S99" s="309">
        <f>SUM(S87:S96)</f>
        <v/>
      </c>
      <c r="T99" s="309">
        <f>SUM(T87:T96)</f>
        <v/>
      </c>
      <c r="U99" s="309">
        <f>SUM(U87:U96)</f>
        <v/>
      </c>
      <c r="V99" s="309">
        <f>SUM(V87:V96)</f>
        <v/>
      </c>
      <c r="W99" s="309">
        <f>SUM(W87:W96)</f>
        <v/>
      </c>
      <c r="X99" s="278" t="n"/>
    </row>
    <row r="100" ht="15.75" customHeight="1" s="161">
      <c r="B100" s="308" t="inlineStr">
        <is>
          <t>期初淨現金</t>
        </is>
      </c>
      <c r="C100" s="309" t="n">
        <v>0</v>
      </c>
      <c r="D100" s="309">
        <f>C101</f>
        <v/>
      </c>
      <c r="E100" s="309">
        <f>D101</f>
        <v/>
      </c>
      <c r="F100" s="309">
        <f>E101</f>
        <v/>
      </c>
      <c r="G100" s="309">
        <f>F101</f>
        <v/>
      </c>
      <c r="H100" s="309">
        <f>G101</f>
        <v/>
      </c>
      <c r="I100" s="309">
        <f>H101</f>
        <v/>
      </c>
      <c r="J100" s="309">
        <f>I101</f>
        <v/>
      </c>
      <c r="K100" s="309">
        <f>J101</f>
        <v/>
      </c>
      <c r="L100" s="309">
        <f>K101</f>
        <v/>
      </c>
      <c r="M100" s="309">
        <f>L101</f>
        <v/>
      </c>
      <c r="N100" s="309">
        <f>M101</f>
        <v/>
      </c>
      <c r="O100" s="309">
        <f>N101</f>
        <v/>
      </c>
      <c r="P100" s="309">
        <f>O101</f>
        <v/>
      </c>
      <c r="Q100" s="309">
        <f>P101</f>
        <v/>
      </c>
      <c r="R100" s="309">
        <f>Q101</f>
        <v/>
      </c>
      <c r="S100" s="309">
        <f>R101</f>
        <v/>
      </c>
      <c r="T100" s="309">
        <f>S101</f>
        <v/>
      </c>
      <c r="U100" s="309">
        <f>T101</f>
        <v/>
      </c>
      <c r="V100" s="309">
        <f>U101</f>
        <v/>
      </c>
      <c r="W100" s="309">
        <f>V101</f>
        <v/>
      </c>
      <c r="X100" s="277" t="n"/>
    </row>
    <row r="101" ht="15.75" customHeight="1" s="161">
      <c r="B101" s="308" t="inlineStr">
        <is>
          <t>期未淨現金</t>
        </is>
      </c>
      <c r="C101" s="309" t="n">
        <v>0</v>
      </c>
      <c r="D101" s="309">
        <f>D99+D100</f>
        <v/>
      </c>
      <c r="E101" s="309">
        <f>E99+E100</f>
        <v/>
      </c>
      <c r="F101" s="309">
        <f>F99+F100</f>
        <v/>
      </c>
      <c r="G101" s="309">
        <f>G99+G100</f>
        <v/>
      </c>
      <c r="H101" s="309">
        <f>H99+H100</f>
        <v/>
      </c>
      <c r="I101" s="309">
        <f>I99+I100</f>
        <v/>
      </c>
      <c r="J101" s="309">
        <f>J99+J100</f>
        <v/>
      </c>
      <c r="K101" s="309">
        <f>K99+K100</f>
        <v/>
      </c>
      <c r="L101" s="309">
        <f>L99+L100</f>
        <v/>
      </c>
      <c r="M101" s="309">
        <f>M99+M100</f>
        <v/>
      </c>
      <c r="N101" s="309">
        <f>N99+N100</f>
        <v/>
      </c>
      <c r="O101" s="309">
        <f>O99+O100</f>
        <v/>
      </c>
      <c r="P101" s="309">
        <f>P99+P100</f>
        <v/>
      </c>
      <c r="Q101" s="309">
        <f>Q99+Q100</f>
        <v/>
      </c>
      <c r="R101" s="309">
        <f>R99+R100</f>
        <v/>
      </c>
      <c r="S101" s="309">
        <f>S99+S100</f>
        <v/>
      </c>
      <c r="T101" s="309">
        <f>T99+T100</f>
        <v/>
      </c>
      <c r="U101" s="309">
        <f>U99+U100</f>
        <v/>
      </c>
      <c r="V101" s="309">
        <f>V99+V100</f>
        <v/>
      </c>
      <c r="W101" s="309">
        <f>W99+W100</f>
        <v/>
      </c>
      <c r="X101" s="277" t="n"/>
    </row>
    <row r="102" ht="15.75" customHeight="1" s="161">
      <c r="B102" s="308" t="n"/>
      <c r="C102" s="308" t="n"/>
      <c r="D102" s="308" t="n"/>
      <c r="E102" s="308" t="n"/>
      <c r="F102" s="308" t="n"/>
      <c r="G102" s="308" t="n"/>
      <c r="H102" s="308" t="n"/>
      <c r="I102" s="308" t="n"/>
      <c r="J102" s="308" t="n"/>
      <c r="K102" s="308" t="n"/>
      <c r="L102" s="308" t="n"/>
      <c r="M102" s="308" t="n"/>
      <c r="N102" s="308" t="n"/>
      <c r="O102" s="308" t="n"/>
      <c r="P102" s="308" t="n"/>
      <c r="Q102" s="308" t="n"/>
      <c r="R102" s="308" t="n"/>
      <c r="S102" s="308" t="n"/>
      <c r="T102" s="308" t="n"/>
      <c r="U102" s="308" t="n"/>
      <c r="V102" s="308" t="n"/>
      <c r="W102" s="308" t="n"/>
      <c r="X102" s="308" t="n"/>
    </row>
    <row r="103" ht="15.75" customHeight="1" s="161">
      <c r="B103" s="308" t="n"/>
      <c r="C103" s="308" t="n"/>
      <c r="D103" s="308" t="n"/>
      <c r="E103" s="308" t="n"/>
      <c r="F103" s="313" t="n"/>
      <c r="G103" s="308" t="n"/>
      <c r="H103" s="308" t="n"/>
      <c r="I103" s="308" t="n"/>
      <c r="J103" s="308" t="n"/>
      <c r="K103" s="308" t="n"/>
      <c r="L103" s="308" t="n"/>
      <c r="M103" s="308" t="n"/>
      <c r="N103" s="308" t="n"/>
      <c r="O103" s="308" t="n"/>
      <c r="P103" s="308" t="n"/>
      <c r="Q103" s="308" t="n"/>
      <c r="R103" s="308" t="n"/>
      <c r="S103" s="308" t="n"/>
      <c r="T103" s="308" t="n"/>
      <c r="U103" s="308" t="n"/>
      <c r="V103" s="308" t="n"/>
      <c r="W103" s="308" t="n"/>
      <c r="X103" s="308" t="n"/>
    </row>
    <row r="104" ht="15.75" customHeight="1" s="161">
      <c r="B104" s="324" t="inlineStr">
        <is>
          <t>成本法實際現金流</t>
        </is>
      </c>
      <c r="C104" s="325" t="n"/>
      <c r="D104" s="326">
        <f>-D94</f>
        <v/>
      </c>
      <c r="E104" s="312">
        <f>-E95-E96</f>
        <v/>
      </c>
      <c r="F104" s="312">
        <f>-F95-F96</f>
        <v/>
      </c>
      <c r="G104" s="312">
        <f>-G95-G96</f>
        <v/>
      </c>
      <c r="H104" s="312">
        <f>-H95-H96</f>
        <v/>
      </c>
      <c r="I104" s="312">
        <f>-I95-I96</f>
        <v/>
      </c>
      <c r="J104" s="312">
        <f>-J95-J96</f>
        <v/>
      </c>
      <c r="K104" s="312">
        <f>-K95-K96</f>
        <v/>
      </c>
      <c r="L104" s="312">
        <f>-L95-L96</f>
        <v/>
      </c>
      <c r="M104" s="312">
        <f>-M95-M96</f>
        <v/>
      </c>
      <c r="N104" s="312">
        <f>-N95-N96</f>
        <v/>
      </c>
      <c r="O104" s="312">
        <f>-O95-O96</f>
        <v/>
      </c>
      <c r="P104" s="312">
        <f>-P95-P96</f>
        <v/>
      </c>
      <c r="Q104" s="312">
        <f>-Q95-Q96</f>
        <v/>
      </c>
      <c r="R104" s="312">
        <f>-R95-R96</f>
        <v/>
      </c>
      <c r="S104" s="312">
        <f>-S95-S96</f>
        <v/>
      </c>
      <c r="T104" s="312">
        <f>-T95-T96</f>
        <v/>
      </c>
      <c r="U104" s="312">
        <f>-U95-U96</f>
        <v/>
      </c>
      <c r="V104" s="312">
        <f>-V95-V96</f>
        <v/>
      </c>
      <c r="W104" s="312">
        <f>-W95-W96</f>
        <v/>
      </c>
      <c r="X104" s="312">
        <f>-X95-X96</f>
        <v/>
      </c>
    </row>
    <row r="105" ht="15.75" customHeight="1" s="161">
      <c r="B105" s="308" t="inlineStr">
        <is>
          <t>成本法IRR</t>
        </is>
      </c>
      <c r="C105" s="327">
        <f>IRR(D104:X104)</f>
        <v/>
      </c>
      <c r="D105" s="313" t="n"/>
      <c r="E105" s="313" t="n"/>
      <c r="F105" s="308" t="n"/>
      <c r="G105" s="308" t="n"/>
      <c r="H105" s="308" t="n"/>
      <c r="I105" s="308" t="n"/>
      <c r="J105" s="308" t="n"/>
      <c r="K105" s="308" t="n"/>
      <c r="L105" s="308" t="n"/>
      <c r="M105" s="308" t="n"/>
      <c r="N105" s="308" t="n"/>
      <c r="O105" s="308" t="n"/>
      <c r="P105" s="308" t="n"/>
      <c r="Q105" s="308" t="n"/>
      <c r="R105" s="308" t="n"/>
      <c r="S105" s="308" t="n"/>
      <c r="T105" s="308" t="n"/>
      <c r="U105" s="308" t="n"/>
      <c r="V105" s="308" t="n"/>
      <c r="W105" s="308" t="n"/>
      <c r="X105" s="308" t="n"/>
    </row>
    <row r="106" ht="15.75" customHeight="1" s="161">
      <c r="B106" s="324" t="inlineStr">
        <is>
          <t>權益法實際現金流</t>
        </is>
      </c>
      <c r="C106" s="325" t="n"/>
      <c r="D106" s="326">
        <f>D85-D94</f>
        <v/>
      </c>
      <c r="E106" s="312">
        <f>E85</f>
        <v/>
      </c>
      <c r="F106" s="312">
        <f>F85-F96</f>
        <v/>
      </c>
      <c r="G106" s="312">
        <f>G85-G96</f>
        <v/>
      </c>
      <c r="H106" s="312">
        <f>H85-H96</f>
        <v/>
      </c>
      <c r="I106" s="312">
        <f>I85-I96</f>
        <v/>
      </c>
      <c r="J106" s="312">
        <f>J85-J96</f>
        <v/>
      </c>
      <c r="K106" s="312">
        <f>K85-K96</f>
        <v/>
      </c>
      <c r="L106" s="312">
        <f>L85-L96</f>
        <v/>
      </c>
      <c r="M106" s="312">
        <f>M85-M96</f>
        <v/>
      </c>
      <c r="N106" s="312">
        <f>N85-N96</f>
        <v/>
      </c>
      <c r="O106" s="312">
        <f>O85-O96</f>
        <v/>
      </c>
      <c r="P106" s="312">
        <f>P85-P96</f>
        <v/>
      </c>
      <c r="Q106" s="312">
        <f>Q85-Q96</f>
        <v/>
      </c>
      <c r="R106" s="312">
        <f>R85-R96</f>
        <v/>
      </c>
      <c r="S106" s="312">
        <f>S85-S96</f>
        <v/>
      </c>
      <c r="T106" s="312">
        <f>T85-T96</f>
        <v/>
      </c>
      <c r="U106" s="312">
        <f>U85-U96</f>
        <v/>
      </c>
      <c r="V106" s="312">
        <f>V85-V96</f>
        <v/>
      </c>
      <c r="W106" s="312">
        <f>W85-W96</f>
        <v/>
      </c>
      <c r="X106" s="317" t="n"/>
    </row>
    <row r="107" ht="15.75" customHeight="1" s="161">
      <c r="B107" s="324" t="inlineStr">
        <is>
          <t>權益法IRR</t>
        </is>
      </c>
      <c r="C107" s="327">
        <f>IRR(D106:W106)</f>
        <v/>
      </c>
      <c r="D107" s="313" t="n"/>
      <c r="E107" s="313" t="n"/>
      <c r="F107" s="308" t="n"/>
      <c r="G107" s="308" t="n"/>
      <c r="H107" s="308" t="n"/>
      <c r="I107" s="308" t="n"/>
      <c r="J107" s="308" t="n"/>
      <c r="K107" s="308" t="n"/>
      <c r="L107" s="308" t="n"/>
      <c r="M107" s="308" t="n"/>
      <c r="N107" s="308" t="n"/>
      <c r="O107" s="308" t="n"/>
      <c r="P107" s="308" t="n"/>
      <c r="Q107" s="308" t="n"/>
      <c r="R107" s="308" t="n"/>
      <c r="S107" s="308" t="n"/>
      <c r="T107" s="308" t="n"/>
      <c r="U107" s="308" t="n"/>
      <c r="V107" s="308" t="n"/>
      <c r="W107" s="308" t="n"/>
      <c r="X107" s="308" t="n"/>
    </row>
    <row r="108" ht="15.75" customHeight="1" s="161">
      <c r="B108" s="308" t="n"/>
      <c r="C108" s="308" t="n"/>
      <c r="D108" s="308" t="n"/>
      <c r="E108" s="308" t="n"/>
      <c r="F108" s="308" t="n"/>
      <c r="G108" s="308" t="n"/>
      <c r="H108" s="308" t="n"/>
      <c r="I108" s="308" t="n"/>
      <c r="J108" s="308" t="n"/>
      <c r="K108" s="308" t="n"/>
      <c r="L108" s="308" t="n"/>
      <c r="M108" s="308" t="n"/>
      <c r="N108" s="308" t="n"/>
      <c r="O108" s="308" t="n"/>
      <c r="P108" s="308" t="n"/>
      <c r="Q108" s="308" t="n"/>
      <c r="R108" s="308" t="n"/>
      <c r="S108" s="308" t="n"/>
      <c r="T108" s="308" t="n"/>
      <c r="U108" s="308" t="n"/>
      <c r="V108" s="308" t="n"/>
      <c r="W108" s="308" t="n"/>
      <c r="X108" s="308" t="n"/>
    </row>
    <row r="109" ht="15.75" customHeight="1" s="161">
      <c r="B109" s="308" t="inlineStr">
        <is>
          <t>借款餘額</t>
        </is>
      </c>
      <c r="C109" s="309" t="n">
        <v>0</v>
      </c>
      <c r="D109" s="309">
        <f>D92</f>
        <v/>
      </c>
      <c r="E109" s="309">
        <f>D109+E93</f>
        <v/>
      </c>
      <c r="F109" s="309">
        <f>E109+F93</f>
        <v/>
      </c>
      <c r="G109" s="309">
        <f>F109+G93</f>
        <v/>
      </c>
      <c r="H109" s="309">
        <f>G109+H93</f>
        <v/>
      </c>
      <c r="I109" s="309">
        <f>H109+I93</f>
        <v/>
      </c>
      <c r="J109" s="309">
        <f>I109+J93</f>
        <v/>
      </c>
      <c r="K109" s="309">
        <f>J109+K93</f>
        <v/>
      </c>
      <c r="L109" s="309">
        <f>K109+L93</f>
        <v/>
      </c>
      <c r="M109" s="309">
        <f>L109+M93</f>
        <v/>
      </c>
      <c r="N109" s="309">
        <f>M109+N93</f>
        <v/>
      </c>
      <c r="O109" s="309">
        <f>N109+O93</f>
        <v/>
      </c>
      <c r="P109" s="309">
        <f>O109+P93</f>
        <v/>
      </c>
      <c r="Q109" s="309">
        <f>P109+Q93</f>
        <v/>
      </c>
      <c r="R109" s="309">
        <f>Q109+R93</f>
        <v/>
      </c>
      <c r="S109" s="309">
        <f>R109+S93</f>
        <v/>
      </c>
      <c r="T109" s="309">
        <f>S109+T93</f>
        <v/>
      </c>
      <c r="U109" s="309">
        <f>T109+U93</f>
        <v/>
      </c>
      <c r="V109" s="309">
        <f>U109+V93</f>
        <v/>
      </c>
      <c r="W109" s="309">
        <f>V109+W93</f>
        <v/>
      </c>
      <c r="X109" s="31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zh-TW</dc:language>
  <dcterms:created xsi:type="dcterms:W3CDTF">2026-04-12T05:27:38Z</dcterms:created>
  <dcterms:modified xsi:type="dcterms:W3CDTF">2026-04-26T18:04:28Z</dcterms:modified>
  <cp:lastModifiedBy>王竣生</cp:lastModifiedBy>
  <cp:revision>0</cp:revision>
</cp:coreProperties>
</file>