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<sst xmlns="http://schemas.openxmlformats.org/spreadsheetml/2006/main" count="2941" uniqueCount="200">
  <si>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</si>
  <si>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</si>
  <si>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</si>
  <si>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</si>
  <si>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</si>
  <si>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</si>
  <si>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</si>
  <si>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</si>
  <si>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</si>
  <si>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</si>
  <si>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</si>
  <si>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</si>
  <si>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</si>
  <si>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</si>
  <si>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</si>
  <si>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</si>
  <si>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</si>
  <si>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</si>
  <si>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</si>
  <si>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</si>
  <si>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</si>
  <si>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</si>
  <si>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</si>
  <si>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</si>
  <si>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</si>
  <si>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</si>
  <si>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</si>
  <si>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</si>
  <si>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</si>
  <si>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</si>
  <si>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</si>
  <si>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</si>
  <si>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</si>
  <si>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</si>
  <si>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</si>
  <si>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</si>
  <si>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</si>
  <si>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</si>
  <si>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</si>
  <si>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</si>
  <si>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</si>
  <si>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</si>
  <si>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</si>
  <si>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</si>
  <si>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</si>
  <si>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</si>
  <si>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</si>
  <si>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</si>
  <si>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</si>
  <si>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</si>
  <si>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</si>
  <si>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</si>
  <si>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</si>
  <si>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</si>
  <si>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</si>
  <si>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</si>
  <si>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</si>
  <si>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</si>
  <si>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</si>
  <si>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</si>
  <si>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</si>
  <si>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</si>
  <si>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</si>
  <si>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</si>
  <si>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</si>
  <si>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</si>
  <si>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</si>
  <si>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</si>
  <si>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</si>
  <si>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</si>
  <si>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</si>
  <si>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</si>
  <si>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</si>
  <si>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</si>
  <si>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</si>
  <si>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</si>
  <si>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</si>
  <si>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</si>
  <si>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</si>
  <si>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</si>
  <si>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</si>
  <si>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</si>
  <si>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</si>
  <si>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</si>
  <si>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</si>
  <si>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</si>
  <si>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</si>
  <si>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</si>
  <si>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</si>
  <si>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</si>
  <si>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</si>
  <si>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</si>
  <si>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1000 元，邊界值 20000 元</t>
  </si>
  <si>
    <t xml:space="preserve">第1次滾算，減少 1000 元 - 現金模式，每次減少 1000 元</t>
  </si>
  <si>
    <t xml:space="preserve">第2次滾算，減少 1000 元 - 現金模式，每次減少 1000 元</t>
  </si>
  <si>
    <t xml:space="preserve">第3次滾算，減少 1000 元 - 現金模式，每次減少 1000 元</t>
  </si>
  <si>
    <t xml:space="preserve">第4次滾算，減少 1000 元 - 現金模式，每次減少 1000 元</t>
  </si>
  <si>
    <t xml:space="preserve">第5次滾算，減少 1000 元 - 現金模式，每次減少 1000 元</t>
  </si>
  <si>
    <t xml:space="preserve">第6次滾算，減少 1000 元 - 現金模式，每次減少 1000 元</t>
  </si>
  <si>
    <t xml:space="preserve">第7次滾算，減少 1000 元 - 現金模式，每次減少 1000 元</t>
  </si>
  <si>
    <t xml:space="preserve">第8次滾算，減少 1000 元 - 現金模式，每次減少 1000 元</t>
  </si>
  <si>
    <t xml:space="preserve">第9次滾算，減少 1000 元 - 現金模式，每次減少 1000 元</t>
  </si>
  <si>
    <t xml:space="preserve">第10次滾算，減少 1000 元 - 現金模式，每次減少 1000 元</t>
  </si>
  <si>
    <t xml:space="preserve">第11次滾算，減少 1000 元 - 現金模式，每次減少 1000 元</t>
  </si>
  <si>
    <t xml:space="preserve">第12次滾算，減少 1000 元 - 現金模式，每次減少 1000 元</t>
  </si>
  <si>
    <t xml:space="preserve">第13次滾算，減少 1000 元 - 現金模式，每次減少 1000 元</t>
  </si>
  <si>
    <t xml:space="preserve">第14次滾算，減少 1000 元 - 現金模式，每次減少 1000 元</t>
  </si>
  <si>
    <t xml:space="preserve">第15次滾算，減少 1000 元 - 現金模式，每次減少 1000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</si>
  <si>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</si>
  <si>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</si>
  <si>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</si>
  <si>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</si>
  <si>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</si>
  <si>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</si>
  <si>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</si>
  <si>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</si>
  <si>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1000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</si>
  <si>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</si>
  <si>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</si>
  <si>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</si>
  <si>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</si>
  <si>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</si>
  <si>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</si>
  <si>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</si>
  <si>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</si>
  <si>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</si>
  <si>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</si>
  <si>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34000</t>
  </si>
  <si>
    <t xml:space="preserve">專案IRR: 1.91</t>
  </si>
  <si>
    <t xml:space="preserve">權益法IRR: 1.99</t>
  </si>
  <si>
    <t xml:space="preserve">情境編號: 3</t>
  </si>
  <si>
    <t xml:space="preserve">第2次滾算摘要</t>
  </si>
  <si>
    <t xml:space="preserve">價金: 33000</t>
  </si>
  <si>
    <t xml:space="preserve">專案IRR: 2.17</t>
  </si>
  <si>
    <t xml:space="preserve">權益法IRR: 2.75</t>
  </si>
  <si>
    <t xml:space="preserve">情境編號: 4</t>
  </si>
  <si>
    <t xml:space="preserve">第3次滾算摘要</t>
  </si>
  <si>
    <t xml:space="preserve">價金: 32000</t>
  </si>
  <si>
    <t xml:space="preserve">專案IRR: 2.44</t>
  </si>
  <si>
    <t xml:space="preserve">權益法IRR: 3.56</t>
  </si>
  <si>
    <t xml:space="preserve">情境編號: 5</t>
  </si>
  <si>
    <t xml:space="preserve">第4次滾算摘要</t>
  </si>
  <si>
    <t xml:space="preserve">價金: 31000</t>
  </si>
  <si>
    <t xml:space="preserve">專案IRR: 2.72</t>
  </si>
  <si>
    <t xml:space="preserve">權益法IRR: 4.43</t>
  </si>
  <si>
    <t xml:space="preserve">情境編號: 6</t>
  </si>
  <si>
    <t xml:space="preserve">第5次滾算摘要</t>
  </si>
  <si>
    <t xml:space="preserve">價金: 30000</t>
  </si>
  <si>
    <t xml:space="preserve">專案IRR: 3.02</t>
  </si>
  <si>
    <t xml:space="preserve">權益法IRR: 5.37</t>
  </si>
  <si>
    <t xml:space="preserve">情境編號: 7</t>
  </si>
  <si>
    <t xml:space="preserve">第6次滾算摘要</t>
  </si>
  <si>
    <t xml:space="preserve">價金: 29000</t>
  </si>
  <si>
    <t xml:space="preserve">專案IRR: 3.32</t>
  </si>
  <si>
    <t xml:space="preserve">權益法IRR: 6.37</t>
  </si>
  <si>
    <t xml:space="preserve">情境編號: 8</t>
  </si>
  <si>
    <t xml:space="preserve">第7次滾算摘要</t>
  </si>
  <si>
    <t xml:space="preserve">價金: 28000</t>
  </si>
  <si>
    <t xml:space="preserve">專案IRR: 3.65</t>
  </si>
  <si>
    <t xml:space="preserve">權益法IRR: 7.46</t>
  </si>
  <si>
    <t xml:space="preserve">情境編號: 9</t>
  </si>
  <si>
    <t xml:space="preserve">第8次滾算摘要</t>
  </si>
  <si>
    <t xml:space="preserve">價金: 27000</t>
  </si>
  <si>
    <t xml:space="preserve">專案IRR: 3.99</t>
  </si>
  <si>
    <t xml:space="preserve">權益法IRR: 8.65</t>
  </si>
  <si>
    <t xml:space="preserve">情境編號: 10</t>
  </si>
  <si>
    <t xml:space="preserve">第9次滾算摘要</t>
  </si>
  <si>
    <t xml:space="preserve">價金: 26000</t>
  </si>
  <si>
    <t xml:space="preserve">專案IRR: 4.35</t>
  </si>
  <si>
    <t xml:space="preserve">權益法IRR: 9.96</t>
  </si>
  <si>
    <t xml:space="preserve">情境編號: 11</t>
  </si>
  <si>
    <t xml:space="preserve">第10次滾算摘要</t>
  </si>
  <si>
    <t xml:space="preserve">價金: 25000</t>
  </si>
  <si>
    <t xml:space="preserve">專案IRR: 4.74</t>
  </si>
  <si>
    <t xml:space="preserve">權益法IRR: 11.4</t>
  </si>
  <si>
    <t xml:space="preserve">情境編號: 12</t>
  </si>
  <si>
    <t xml:space="preserve">第11次滾算摘要</t>
  </si>
  <si>
    <t xml:space="preserve">價金: 24000</t>
  </si>
  <si>
    <t xml:space="preserve">專案IRR: 5.14</t>
  </si>
  <si>
    <t xml:space="preserve">權益法IRR: 13.0</t>
  </si>
  <si>
    <t xml:space="preserve">情境編號: 13</t>
  </si>
  <si>
    <t xml:space="preserve">第12次滾算摘要</t>
  </si>
  <si>
    <t xml:space="preserve">價金: 23000</t>
  </si>
  <si>
    <t xml:space="preserve">專案IRR: 5.57</t>
  </si>
  <si>
    <t xml:space="preserve">權益法IRR: 14.79</t>
  </si>
  <si>
    <t xml:space="preserve">情境編號: 14</t>
  </si>
  <si>
    <t xml:space="preserve">第13次滾算摘要</t>
  </si>
  <si>
    <t xml:space="preserve">價金: 22000</t>
  </si>
  <si>
    <t xml:space="preserve">專案IRR: 6.03</t>
  </si>
  <si>
    <t xml:space="preserve">權益法IRR: 16.83</t>
  </si>
  <si>
    <t xml:space="preserve">情境編號: 15</t>
  </si>
  <si>
    <t xml:space="preserve">第14次滾算摘要</t>
  </si>
  <si>
    <t xml:space="preserve">價金: 21000</t>
  </si>
  <si>
    <t xml:space="preserve">專案IRR: 6.52</t>
  </si>
  <si>
    <t xml:space="preserve">權益法IRR: 19.16</t>
  </si>
  <si>
    <t xml:space="preserve">情境編號: 16</t>
  </si>
  <si>
    <t xml:space="preserve">第15次滾算摘要</t>
  </si>
  <si>
    <t xml:space="preserve">價金: 20000</t>
  </si>
  <si>
    <t xml:space="preserve">專案IRR: 7.05</t>
  </si>
  <si>
    <t xml:space="preserve">權益法IRR: 21.86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</si>
</sst>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34000</v>
      </c>
      <c r="C3" s="109" t="n">
        <v>0.0191</v>
      </c>
      <c r="D3" s="109" t="n">
        <v>0.0194</v>
      </c>
      <c r="E3" s="109" t="n">
        <v>0.0199</v>
      </c>
      <c r="F3" s="109" t="n">
        <v>0.3</v>
      </c>
      <c r="G3" s="0" t="n">
        <v>6354413.1</v>
      </c>
      <c r="H3" s="0" t="n">
        <v>14571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33000</v>
      </c>
      <c r="C4" s="109" t="n">
        <v>0.0217</v>
      </c>
      <c r="D4" s="109" t="n">
        <v>0.0265</v>
      </c>
      <c r="E4" s="109" t="n">
        <v>0.0275</v>
      </c>
      <c r="F4" s="109" t="n">
        <v>0.3</v>
      </c>
      <c r="G4" s="0" t="n">
        <v>6167762.3</v>
      </c>
      <c r="H4" s="0" t="n">
        <v>14143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32000</v>
      </c>
      <c r="C5" s="109" t="n">
        <v>0.0244</v>
      </c>
      <c r="D5" s="109" t="n">
        <v>0.0339</v>
      </c>
      <c r="E5" s="109" t="n">
        <v>0.0356</v>
      </c>
      <c r="F5" s="109" t="n">
        <v>0.3</v>
      </c>
      <c r="G5" s="0" t="n">
        <v>5980675.4</v>
      </c>
      <c r="H5" s="0" t="n">
        <v>13714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31000</v>
      </c>
      <c r="C6" s="109" t="n">
        <v>0.0272</v>
      </c>
      <c r="D6" s="109" t="n">
        <v>0.0416</v>
      </c>
      <c r="E6" s="109" t="n">
        <v>0.0443</v>
      </c>
      <c r="F6" s="109" t="n">
        <v>0.3</v>
      </c>
      <c r="G6" s="0" t="n">
        <v>5794024.6</v>
      </c>
      <c r="H6" s="0" t="n">
        <v>13286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30000</v>
      </c>
      <c r="C7" s="109" t="n">
        <v>0.0302</v>
      </c>
      <c r="D7" s="109" t="n">
        <v>0.0497</v>
      </c>
      <c r="E7" s="109" t="n">
        <v>0.0537</v>
      </c>
      <c r="F7" s="109" t="n">
        <v>0.3</v>
      </c>
      <c r="G7" s="0" t="n">
        <v>5606937.7</v>
      </c>
      <c r="H7" s="0" t="n">
        <v>12857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29000</v>
      </c>
      <c r="C8" s="109" t="n">
        <v>0.0332</v>
      </c>
      <c r="D8" s="109" t="n">
        <v>0.0582</v>
      </c>
      <c r="E8" s="109" t="n">
        <v>0.0637</v>
      </c>
      <c r="F8" s="109" t="n">
        <v>0.3</v>
      </c>
      <c r="G8" s="0" t="n">
        <v>5420286.9</v>
      </c>
      <c r="H8" s="0" t="n">
        <v>12429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28000</v>
      </c>
      <c r="C9" s="109" t="n">
        <v>0.0365</v>
      </c>
      <c r="D9" s="109" t="n">
        <v>0.0672</v>
      </c>
      <c r="E9" s="109" t="n">
        <v>0.0746</v>
      </c>
      <c r="F9" s="109" t="n">
        <v>0.3</v>
      </c>
      <c r="G9" s="0" t="n">
        <v>5233200</v>
      </c>
      <c r="H9" s="0" t="n">
        <v>12000</v>
      </c>
      <c r="I9" s="0" t="n">
        <v>3000</v>
      </c>
      <c r="J9" s="0" t="s">
        <v>99</v>
      </c>
    </row>
    <row r="10" customFormat="false" ht="15" hidden="false" customHeight="false" outlineLevel="0" collapsed="false">
      <c r="A10" s="0" t="n">
        <v>9</v>
      </c>
      <c r="B10" s="0" t="n">
        <v>27000</v>
      </c>
      <c r="C10" s="109" t="n">
        <v>0.0399</v>
      </c>
      <c r="D10" s="109" t="n">
        <v>0.0767</v>
      </c>
      <c r="E10" s="109" t="n">
        <v>0.0865</v>
      </c>
      <c r="F10" s="109" t="n">
        <v>0.3</v>
      </c>
      <c r="G10" s="0" t="n">
        <v>5046113.1</v>
      </c>
      <c r="H10" s="0" t="n">
        <v>11571</v>
      </c>
      <c r="I10" s="0" t="n">
        <v>3000</v>
      </c>
      <c r="J10" s="0" t="s">
        <v>100</v>
      </c>
    </row>
    <row r="11" customFormat="false" ht="15" hidden="false" customHeight="false" outlineLevel="0" collapsed="false">
      <c r="A11" s="0" t="n">
        <v>10</v>
      </c>
      <c r="B11" s="0" t="n">
        <v>26000</v>
      </c>
      <c r="C11" s="109" t="n">
        <v>0.0435</v>
      </c>
      <c r="D11" s="109" t="n">
        <v>0.0868</v>
      </c>
      <c r="E11" s="109" t="n">
        <v>0.0996</v>
      </c>
      <c r="F11" s="109" t="n">
        <v>0.3</v>
      </c>
      <c r="G11" s="0" t="n">
        <v>4859462.3</v>
      </c>
      <c r="H11" s="0" t="n">
        <v>11143</v>
      </c>
      <c r="I11" s="0" t="n">
        <v>3000</v>
      </c>
      <c r="J11" s="0" t="s">
        <v>101</v>
      </c>
    </row>
    <row r="12" customFormat="false" ht="15" hidden="false" customHeight="false" outlineLevel="0" collapsed="false">
      <c r="A12" s="0" t="n">
        <v>11</v>
      </c>
      <c r="B12" s="0" t="n">
        <v>25000</v>
      </c>
      <c r="C12" s="109" t="n">
        <v>0.0474</v>
      </c>
      <c r="D12" s="109" t="n">
        <v>0.0976</v>
      </c>
      <c r="E12" s="109" t="n">
        <v>0.114</v>
      </c>
      <c r="F12" s="109" t="n">
        <v>0.3</v>
      </c>
      <c r="G12" s="0" t="n">
        <v>4672375.4</v>
      </c>
      <c r="H12" s="0" t="n">
        <v>10714</v>
      </c>
      <c r="I12" s="0" t="n">
        <v>3000</v>
      </c>
      <c r="J12" s="0" t="s">
        <v>102</v>
      </c>
    </row>
    <row r="13" customFormat="false" ht="15" hidden="false" customHeight="false" outlineLevel="0" collapsed="false">
      <c r="A13" s="0" t="n">
        <v>12</v>
      </c>
      <c r="B13" s="0" t="n">
        <v>24000</v>
      </c>
      <c r="C13" s="109" t="n">
        <v>0.0514</v>
      </c>
      <c r="D13" s="109" t="n">
        <v>0.1092</v>
      </c>
      <c r="E13" s="109" t="n">
        <v>0.13</v>
      </c>
      <c r="F13" s="109" t="n">
        <v>0.3</v>
      </c>
      <c r="G13" s="0" t="n">
        <v>4485724.6</v>
      </c>
      <c r="H13" s="0" t="n">
        <v>10286</v>
      </c>
      <c r="I13" s="0" t="n">
        <v>3000</v>
      </c>
      <c r="J13" s="0" t="s">
        <v>103</v>
      </c>
    </row>
    <row r="14" customFormat="false" ht="15" hidden="false" customHeight="false" outlineLevel="0" collapsed="false">
      <c r="A14" s="0" t="n">
        <v>13</v>
      </c>
      <c r="B14" s="0" t="n">
        <v>23000</v>
      </c>
      <c r="C14" s="109" t="n">
        <v>0.0557</v>
      </c>
      <c r="D14" s="109" t="n">
        <v>0.1218</v>
      </c>
      <c r="E14" s="109" t="n">
        <v>0.1479</v>
      </c>
      <c r="F14" s="109" t="n">
        <v>0.3</v>
      </c>
      <c r="G14" s="0" t="n">
        <v>4298637.7</v>
      </c>
      <c r="H14" s="0" t="n">
        <v>9857</v>
      </c>
      <c r="I14" s="0" t="n">
        <v>3000</v>
      </c>
      <c r="J14" s="0" t="s">
        <v>104</v>
      </c>
    </row>
    <row r="15" customFormat="false" ht="15" hidden="false" customHeight="false" outlineLevel="0" collapsed="false">
      <c r="A15" s="0" t="n">
        <v>14</v>
      </c>
      <c r="B15" s="0" t="n">
        <v>22000</v>
      </c>
      <c r="C15" s="109" t="n">
        <v>0.0603</v>
      </c>
      <c r="D15" s="109" t="n">
        <v>0.1353</v>
      </c>
      <c r="E15" s="109" t="n">
        <v>0.1683</v>
      </c>
      <c r="F15" s="109" t="n">
        <v>0.3</v>
      </c>
      <c r="G15" s="0" t="n">
        <v>4111986.9</v>
      </c>
      <c r="H15" s="0" t="n">
        <v>9429</v>
      </c>
      <c r="I15" s="0" t="n">
        <v>3000</v>
      </c>
      <c r="J15" s="0" t="s">
        <v>105</v>
      </c>
    </row>
    <row r="16" customFormat="false" ht="15" hidden="false" customHeight="false" outlineLevel="0" collapsed="false">
      <c r="A16" s="0" t="n">
        <v>15</v>
      </c>
      <c r="B16" s="0" t="n">
        <v>21000</v>
      </c>
      <c r="C16" s="109" t="n">
        <v>0.0652</v>
      </c>
      <c r="D16" s="109" t="n">
        <v>0.1502</v>
      </c>
      <c r="E16" s="109" t="n">
        <v>0.1916</v>
      </c>
      <c r="F16" s="109" t="n">
        <v>0.3</v>
      </c>
      <c r="G16" s="0" t="n">
        <v>3924900</v>
      </c>
      <c r="H16" s="0" t="n">
        <v>9000</v>
      </c>
      <c r="I16" s="0" t="n">
        <v>3000</v>
      </c>
      <c r="J16" s="0" t="s">
        <v>106</v>
      </c>
    </row>
    <row r="17" customFormat="false" ht="15" hidden="false" customHeight="false" outlineLevel="0" collapsed="false">
      <c r="A17" s="0" t="n">
        <v>16</v>
      </c>
      <c r="B17" s="0" t="n">
        <v>20000</v>
      </c>
      <c r="C17" s="109" t="n">
        <v>0.0705</v>
      </c>
      <c r="D17" s="109" t="n">
        <v>0.1665</v>
      </c>
      <c r="E17" s="109" t="n">
        <v>0.2186</v>
      </c>
      <c r="F17" s="109" t="n">
        <v>0.3</v>
      </c>
      <c r="G17" s="0" t="n">
        <v>3737813.1</v>
      </c>
      <c r="H17" s="0" t="n">
        <v>8571</v>
      </c>
      <c r="I17" s="0" t="n">
        <v>3000</v>
      </c>
      <c r="J17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109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110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111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112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113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116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34000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-22490300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-44482.2</v>
      </c>
      <c r="E49" s="170" t="n">
        <v>-44482.2</v>
      </c>
      <c r="F49" s="170" t="n">
        <v>-44482.2</v>
      </c>
      <c r="G49" s="170" t="n">
        <v>-44482.2</v>
      </c>
      <c r="H49" s="170" t="n">
        <v>-44482.2</v>
      </c>
      <c r="I49" s="170" t="n">
        <v>-44482.2</v>
      </c>
      <c r="J49" s="170" t="n">
        <v>-44482.2</v>
      </c>
      <c r="K49" s="170" t="n">
        <v>-44482.2</v>
      </c>
      <c r="L49" s="170" t="n">
        <v>-44482.2</v>
      </c>
      <c r="M49" s="170" t="n">
        <v>-44482.2</v>
      </c>
      <c r="N49" s="170" t="n">
        <v>-44482.2</v>
      </c>
      <c r="O49" s="170" t="n">
        <v>-44482.2</v>
      </c>
      <c r="P49" s="170" t="n">
        <v>-44482.2</v>
      </c>
      <c r="Q49" s="170" t="n">
        <v>-44482.2</v>
      </c>
      <c r="R49" s="170" t="n">
        <v>-44482.2</v>
      </c>
      <c r="S49" s="170" t="n">
        <v>-44482.2</v>
      </c>
      <c r="T49" s="170" t="n">
        <v>-44482.2</v>
      </c>
      <c r="U49" s="170" t="n">
        <v>-44482.2</v>
      </c>
      <c r="V49" s="170" t="n">
        <v>-44482.2</v>
      </c>
      <c r="W49" s="170" t="n">
        <v>-44482.2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-124970.4824192</v>
      </c>
      <c r="E54" s="170" t="n">
        <f aca="false">-(E64+E67+E68+E71+E72+E73+E74)*0.2</f>
        <v>-65304.50495488</v>
      </c>
      <c r="F54" s="170" t="n">
        <f aca="false">-(F64+F67+F68+F71+F72+F73+F74)*0.2</f>
        <v>-63678.72749056</v>
      </c>
      <c r="G54" s="170" t="n">
        <f aca="false">-(G64+G67+G68+G71+G72+G73+G74)*0.2</f>
        <v>-62052.95002624</v>
      </c>
      <c r="H54" s="170" t="n">
        <f aca="false">-(H64+H67+H68+H71+H72+H73+H74)*0.2</f>
        <v>-60427.17256192</v>
      </c>
      <c r="I54" s="170" t="n">
        <f aca="false">-(I64+I67+I68+I71+I72+I73+I74)*0.2</f>
        <v>-58801.3950976</v>
      </c>
      <c r="J54" s="170" t="n">
        <f aca="false">-(J64+J67+J68+J71+J72+J73+J74)*0.2</f>
        <v>-57175.61763328</v>
      </c>
      <c r="K54" s="170" t="n">
        <f aca="false">-(K64+K67+K68+K71+K72+K73+K74)*0.2</f>
        <v>-55549.84016896</v>
      </c>
      <c r="L54" s="170" t="n">
        <f aca="false">-(L64+L67+L68+L71+L72+L73+L74)*0.2</f>
        <v>-53924.06270464</v>
      </c>
      <c r="M54" s="170" t="n">
        <f aca="false">-(M64+M67+M68+M71+M72+M73+M74)*0.2</f>
        <v>-52298.28524032</v>
      </c>
      <c r="N54" s="170" t="n">
        <f aca="false">-(N64+N67+N68+N71+N72+N73+N74)*0.2</f>
        <v>-59394.507776</v>
      </c>
      <c r="O54" s="170" t="n">
        <f aca="false">-(O64+O67+O68+O71+O72+O73+O74)*0.2</f>
        <v>-57768.73031168</v>
      </c>
      <c r="P54" s="170" t="n">
        <f aca="false">-(P64+P67+P68+P71+P72+P73+P74)*0.2</f>
        <v>-56142.95284736</v>
      </c>
      <c r="Q54" s="170" t="n">
        <f aca="false">-(Q64+Q67+Q68+Q71+Q72+Q73+Q74)*0.2</f>
        <v>-54517.17538304</v>
      </c>
      <c r="R54" s="170" t="n">
        <f aca="false">-(R64+R67+R68+R71+R72+R73+R74)*0.2</f>
        <v>-52891.39791872</v>
      </c>
      <c r="S54" s="170" t="n">
        <f aca="false">-(S64+S67+S68+S71+S72+S73+S74)*0.2</f>
        <v>-51265.6204544</v>
      </c>
      <c r="T54" s="170" t="n">
        <f aca="false">-(T64+T67+T68+T71+T72+T73+T74)*0.2</f>
        <v>-49639.8429900799</v>
      </c>
      <c r="U54" s="170" t="n">
        <f aca="false">-(U64+U67+U68+U71+U72+U73+U74)*0.2</f>
        <v>-48014.06552576</v>
      </c>
      <c r="V54" s="170" t="n">
        <f aca="false">-(V64+V67+V68+V71+V72+V73+V74)*0.2</f>
        <v>-46388.2880614399</v>
      </c>
      <c r="W54" s="170" t="n">
        <f aca="false">-(W64+W67+W68+W71+W72+W73+W74)*0.2</f>
        <v>-44762.51059712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-22490300</v>
      </c>
      <c r="D55" s="175" t="n">
        <f aca="false">SUM(D41:D54)</f>
        <v>1624396.9296768</v>
      </c>
      <c r="E55" s="175" t="n">
        <f aca="false">SUM(E41:E54)</f>
        <v>1385733.01981952</v>
      </c>
      <c r="F55" s="175" t="n">
        <f aca="false">SUM(F41:F54)</f>
        <v>1379229.90996224</v>
      </c>
      <c r="G55" s="175" t="n">
        <f aca="false">SUM(G41:G54)</f>
        <v>1372726.80010496</v>
      </c>
      <c r="H55" s="175" t="n">
        <f aca="false">SUM(H41:H54)</f>
        <v>1366223.69024768</v>
      </c>
      <c r="I55" s="175" t="n">
        <f aca="false">SUM(I41:I54)</f>
        <v>1359720.5803904</v>
      </c>
      <c r="J55" s="175" t="n">
        <f aca="false">SUM(J41:J54)</f>
        <v>1353217.47053312</v>
      </c>
      <c r="K55" s="175" t="n">
        <f aca="false">SUM(K41:K54)</f>
        <v>1346714.36067584</v>
      </c>
      <c r="L55" s="175" t="n">
        <f aca="false">SUM(L41:L54)</f>
        <v>1340211.25081856</v>
      </c>
      <c r="M55" s="175" t="n">
        <f aca="false">SUM(M41:M54)</f>
        <v>1333708.14096128</v>
      </c>
      <c r="N55" s="175" t="n">
        <f aca="false">SUM(N41:N54)</f>
        <v>1362093.031104</v>
      </c>
      <c r="O55" s="175" t="n">
        <f aca="false">SUM(O41:O54)</f>
        <v>1355589.92124672</v>
      </c>
      <c r="P55" s="175" t="n">
        <f aca="false">SUM(P41:P54)</f>
        <v>1349086.81138944</v>
      </c>
      <c r="Q55" s="175" t="n">
        <f aca="false">SUM(Q41:Q54)</f>
        <v>1342583.70153216</v>
      </c>
      <c r="R55" s="175" t="n">
        <f aca="false">SUM(R41:R54)</f>
        <v>1336080.59167488</v>
      </c>
      <c r="S55" s="175" t="n">
        <f aca="false">SUM(S41:S54)</f>
        <v>1329577.4818176</v>
      </c>
      <c r="T55" s="175" t="n">
        <f aca="false">SUM(T41:T54)</f>
        <v>1323074.37196032</v>
      </c>
      <c r="U55" s="175" t="n">
        <f aca="false">SUM(U41:U54)</f>
        <v>1316571.26210304</v>
      </c>
      <c r="V55" s="175" t="n">
        <f aca="false">SUM(V41:V54)</f>
        <v>1310068.15224576</v>
      </c>
      <c r="W55" s="175" t="n">
        <f aca="false">SUM(W41:W54)</f>
        <v>1303565.04238848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-20865903.0703232</v>
      </c>
      <c r="E56" s="180" t="n">
        <f aca="false">D56+E55</f>
        <v>-19480170.0505037</v>
      </c>
      <c r="F56" s="180" t="n">
        <f aca="false">E56+F55</f>
        <v>-18100940.1405414</v>
      </c>
      <c r="G56" s="180" t="n">
        <f aca="false">F56+G55</f>
        <v>-16728213.3404365</v>
      </c>
      <c r="H56" s="180" t="n">
        <f aca="false">G56+H55</f>
        <v>-15361989.6501888</v>
      </c>
      <c r="I56" s="180" t="n">
        <f aca="false">H56+I55</f>
        <v>-14002269.0697984</v>
      </c>
      <c r="J56" s="180" t="n">
        <f aca="false">I56+J55</f>
        <v>-12649051.5992653</v>
      </c>
      <c r="K56" s="180" t="n">
        <f aca="false">J56+K55</f>
        <v>-11302337.2385894</v>
      </c>
      <c r="L56" s="180" t="n">
        <f aca="false">K56+L55</f>
        <v>-9962125.98777088</v>
      </c>
      <c r="M56" s="180" t="n">
        <f aca="false">L56+M55</f>
        <v>-8628417.8468096</v>
      </c>
      <c r="N56" s="180" t="n">
        <f aca="false">M56+N55</f>
        <v>-7266324.8157056</v>
      </c>
      <c r="O56" s="180" t="n">
        <f aca="false">N56+O55</f>
        <v>-5910734.89445888</v>
      </c>
      <c r="P56" s="180" t="n">
        <f aca="false">O56+P55</f>
        <v>-4561648.08306944</v>
      </c>
      <c r="Q56" s="180" t="n">
        <f aca="false">P56+Q55</f>
        <v>-3219064.38153728</v>
      </c>
      <c r="R56" s="180" t="n">
        <f aca="false">Q56+R55</f>
        <v>-1882983.7898624</v>
      </c>
      <c r="S56" s="180" t="n">
        <f aca="false">R56+S55</f>
        <v>-553406.308044799</v>
      </c>
      <c r="T56" s="180" t="n">
        <f aca="false">S56+T55</f>
        <v>769668.06391552</v>
      </c>
      <c r="U56" s="180" t="n">
        <f aca="false">T56+U55</f>
        <v>2086239.32601856</v>
      </c>
      <c r="V56" s="180" t="n">
        <f aca="false">U56+V55</f>
        <v>3396307.47826432</v>
      </c>
      <c r="W56" s="180" t="n">
        <f aca="false">V56+W55</f>
        <v>4699872.5206528</v>
      </c>
      <c r="X56" s="180" t="n">
        <f aca="false">W56+X55</f>
        <v>4699872.5206528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0.0191487491224671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-1124515</v>
      </c>
      <c r="E67" s="191" t="n">
        <f aca="false">$C$44/$E$16</f>
        <v>-1124515</v>
      </c>
      <c r="F67" s="191" t="n">
        <f aca="false">$C$44/$E$16</f>
        <v>-1124515</v>
      </c>
      <c r="G67" s="191" t="n">
        <f aca="false">$C$44/$E$16</f>
        <v>-1124515</v>
      </c>
      <c r="H67" s="191" t="n">
        <f aca="false">$C$44/$E$16</f>
        <v>-1124515</v>
      </c>
      <c r="I67" s="191" t="n">
        <f aca="false">$C$44/$E$16</f>
        <v>-1124515</v>
      </c>
      <c r="J67" s="191" t="n">
        <f aca="false">$C$44/$E$16</f>
        <v>-1124515</v>
      </c>
      <c r="K67" s="191" t="n">
        <f aca="false">$C$44/$E$16</f>
        <v>-1124515</v>
      </c>
      <c r="L67" s="191" t="n">
        <f aca="false">$C$44/$E$16</f>
        <v>-1124515</v>
      </c>
      <c r="M67" s="191" t="n">
        <f aca="false">$C$44/$E$16</f>
        <v>-1124515</v>
      </c>
      <c r="N67" s="191" t="n">
        <f aca="false">$C$44/$E$16</f>
        <v>-1124515</v>
      </c>
      <c r="O67" s="191" t="n">
        <f aca="false">$C$44/$E$16</f>
        <v>-1124515</v>
      </c>
      <c r="P67" s="191" t="n">
        <f aca="false">$C$44/$E$16</f>
        <v>-1124515</v>
      </c>
      <c r="Q67" s="191" t="n">
        <f aca="false">$C$44/$E$16</f>
        <v>-1124515</v>
      </c>
      <c r="R67" s="191" t="n">
        <f aca="false">$C$44/$E$16</f>
        <v>-1124515</v>
      </c>
      <c r="S67" s="191" t="n">
        <f aca="false">$C$44/$E$16</f>
        <v>-1124515</v>
      </c>
      <c r="T67" s="191" t="n">
        <f aca="false">$C$44/$E$16</f>
        <v>-1124515</v>
      </c>
      <c r="U67" s="191" t="n">
        <f aca="false">$C$44/$E$16</f>
        <v>-1124515</v>
      </c>
      <c r="V67" s="191" t="n">
        <f aca="false">$C$44/$E$16</f>
        <v>-1124515</v>
      </c>
      <c r="W67" s="191" t="n">
        <f aca="false">$C$44/$E$16</f>
        <v>-1124515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-460511.3828</v>
      </c>
      <c r="E70" s="170" t="n">
        <f aca="false">-E109*$D25</f>
        <v>-429810.623946667</v>
      </c>
      <c r="F70" s="170" t="n">
        <f aca="false">-F109*$D25</f>
        <v>-399109.865093333</v>
      </c>
      <c r="G70" s="170" t="n">
        <f aca="false">-G109*$D25</f>
        <v>-368409.10624</v>
      </c>
      <c r="H70" s="170" t="n">
        <f aca="false">-H109*$D25</f>
        <v>-337708.347386667</v>
      </c>
      <c r="I70" s="170" t="n">
        <f aca="false">-I109*$D25</f>
        <v>-307007.588533333</v>
      </c>
      <c r="J70" s="170" t="n">
        <f aca="false">-J109*$D25</f>
        <v>-276306.82968</v>
      </c>
      <c r="K70" s="170" t="n">
        <f aca="false">-K109*$D25</f>
        <v>-245606.070826666</v>
      </c>
      <c r="L70" s="170" t="n">
        <f aca="false">-L109*$D25</f>
        <v>-214905.311973333</v>
      </c>
      <c r="M70" s="170" t="n">
        <f aca="false">-M109*$D25</f>
        <v>-184204.55312</v>
      </c>
      <c r="N70" s="170" t="n">
        <f aca="false">-N109*$D25</f>
        <v>-153503.794266666</v>
      </c>
      <c r="O70" s="170" t="n">
        <f aca="false">-O109*$D25</f>
        <v>-122803.035413333</v>
      </c>
      <c r="P70" s="170" t="n">
        <f aca="false">-P109*$D25</f>
        <v>-92102.2765599997</v>
      </c>
      <c r="Q70" s="170" t="n">
        <f aca="false">-Q109*$D25</f>
        <v>-61401.5177066664</v>
      </c>
      <c r="R70" s="170" t="n">
        <f aca="false">-R109*$D25</f>
        <v>-30700.758853333</v>
      </c>
      <c r="S70" s="170" t="n">
        <f aca="false">-S109*$D25</f>
        <v>3.09883616864681E-010</v>
      </c>
      <c r="T70" s="170" t="n">
        <f aca="false">-T109*$D25</f>
        <v>3.09883616864681E-010</v>
      </c>
      <c r="U70" s="170" t="n">
        <f aca="false">-U109*$D25</f>
        <v>3.09883616864681E-010</v>
      </c>
      <c r="V70" s="170" t="n">
        <f aca="false">-V109*$D25</f>
        <v>3.09883616864681E-010</v>
      </c>
      <c r="W70" s="170" t="n">
        <f aca="false">-W109*$D25</f>
        <v>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-44482.2</v>
      </c>
      <c r="E72" s="170" t="n">
        <f aca="false">E49</f>
        <v>-44482.2</v>
      </c>
      <c r="F72" s="170" t="n">
        <f aca="false">F49</f>
        <v>-44482.2</v>
      </c>
      <c r="G72" s="170" t="n">
        <f aca="false">G49</f>
        <v>-44482.2</v>
      </c>
      <c r="H72" s="170" t="n">
        <f aca="false">H49</f>
        <v>-44482.2</v>
      </c>
      <c r="I72" s="170" t="n">
        <f aca="false">I49</f>
        <v>-44482.2</v>
      </c>
      <c r="J72" s="170" t="n">
        <f aca="false">J49</f>
        <v>-44482.2</v>
      </c>
      <c r="K72" s="170" t="n">
        <f aca="false">K49</f>
        <v>-44482.2</v>
      </c>
      <c r="L72" s="170" t="n">
        <f aca="false">L49</f>
        <v>-44482.2</v>
      </c>
      <c r="M72" s="170" t="n">
        <f aca="false">M49</f>
        <v>-44482.2</v>
      </c>
      <c r="N72" s="170" t="n">
        <f aca="false">N49</f>
        <v>-44482.2</v>
      </c>
      <c r="O72" s="170" t="n">
        <f aca="false">O49</f>
        <v>-44482.2</v>
      </c>
      <c r="P72" s="170" t="n">
        <f aca="false">P49</f>
        <v>-44482.2</v>
      </c>
      <c r="Q72" s="170" t="n">
        <f aca="false">Q49</f>
        <v>-44482.2</v>
      </c>
      <c r="R72" s="170" t="n">
        <f aca="false">R49</f>
        <v>-44482.2</v>
      </c>
      <c r="S72" s="170" t="n">
        <f aca="false">S49</f>
        <v>-44482.2</v>
      </c>
      <c r="T72" s="170" t="n">
        <f aca="false">T49</f>
        <v>-44482.2</v>
      </c>
      <c r="U72" s="170" t="n">
        <f aca="false">U49</f>
        <v>-44482.2</v>
      </c>
      <c r="V72" s="170" t="n">
        <f aca="false">V49</f>
        <v>-44482.2</v>
      </c>
      <c r="W72" s="170" t="n">
        <f aca="false">W49</f>
        <v>-44482.2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164341.029296</v>
      </c>
      <c r="E76" s="175" t="n">
        <f aca="false">SUM(E64:E75)</f>
        <v>-103288.099172267</v>
      </c>
      <c r="F76" s="175" t="n">
        <f aca="false">SUM(F64:F75)</f>
        <v>-80716.2276405332</v>
      </c>
      <c r="G76" s="175" t="n">
        <f aca="false">SUM(G64:G75)</f>
        <v>-58144.3561087999</v>
      </c>
      <c r="H76" s="175" t="n">
        <f aca="false">SUM(H64:H75)</f>
        <v>-35572.4845770667</v>
      </c>
      <c r="I76" s="175" t="n">
        <f aca="false">SUM(I64:I75)</f>
        <v>-13000.6130453333</v>
      </c>
      <c r="J76" s="175" t="n">
        <f aca="false">SUM(J64:J75)</f>
        <v>9571.25848640026</v>
      </c>
      <c r="K76" s="175" t="n">
        <f aca="false">SUM(K64:K75)</f>
        <v>32143.1300181334</v>
      </c>
      <c r="L76" s="175" t="n">
        <f aca="false">SUM(L64:L75)</f>
        <v>54715.0015498668</v>
      </c>
      <c r="M76" s="175" t="n">
        <f aca="false">SUM(M64:M75)</f>
        <v>77286.8730816001</v>
      </c>
      <c r="N76" s="175" t="n">
        <f aca="false">SUM(N64:N75)</f>
        <v>143468.744613333</v>
      </c>
      <c r="O76" s="175" t="n">
        <f aca="false">SUM(O64:O75)</f>
        <v>166040.616145067</v>
      </c>
      <c r="P76" s="175" t="n">
        <f aca="false">SUM(P64:P75)</f>
        <v>188612.4876768</v>
      </c>
      <c r="Q76" s="175" t="n">
        <f aca="false">SUM(Q64:Q75)</f>
        <v>211184.359208533</v>
      </c>
      <c r="R76" s="175" t="n">
        <f aca="false">SUM(R64:R75)</f>
        <v>233756.230740267</v>
      </c>
      <c r="S76" s="175" t="n">
        <f aca="false">SUM(S64:S75)</f>
        <v>256328.102272</v>
      </c>
      <c r="T76" s="175" t="n">
        <f aca="false">SUM(T64:T75)</f>
        <v>248199.2149504</v>
      </c>
      <c r="U76" s="175" t="n">
        <f aca="false">SUM(U64:U75)</f>
        <v>240070.3276288</v>
      </c>
      <c r="V76" s="175" t="n">
        <f aca="false">SUM(V64:V75)</f>
        <v>231941.4403072</v>
      </c>
      <c r="W76" s="175" t="n">
        <f aca="false">SUM(W64:W75)</f>
        <v>223812.5529856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-32868.2058591999</v>
      </c>
      <c r="E77" s="170" t="n">
        <f aca="false">-E76*0.2</f>
        <v>20657.6198344534</v>
      </c>
      <c r="F77" s="170" t="n">
        <f aca="false">-F76*0.2</f>
        <v>16143.2455281066</v>
      </c>
      <c r="G77" s="170" t="n">
        <f aca="false">-G76*0.2</f>
        <v>11628.87122176</v>
      </c>
      <c r="H77" s="170" t="n">
        <f aca="false">-H76*0.2</f>
        <v>7114.49691541334</v>
      </c>
      <c r="I77" s="170" t="n">
        <f aca="false">-I76*0.2</f>
        <v>2600.12260906667</v>
      </c>
      <c r="J77" s="170" t="n">
        <f aca="false">-J76*0.2</f>
        <v>-1914.25169728005</v>
      </c>
      <c r="K77" s="170" t="n">
        <f aca="false">-K76*0.2</f>
        <v>-6428.62600362668</v>
      </c>
      <c r="L77" s="170" t="n">
        <f aca="false">-L76*0.2</f>
        <v>-10943.0003099734</v>
      </c>
      <c r="M77" s="170" t="n">
        <f aca="false">-M76*0.2</f>
        <v>-15457.37461632</v>
      </c>
      <c r="N77" s="170" t="n">
        <f aca="false">-N76*0.2</f>
        <v>-28693.7489226667</v>
      </c>
      <c r="O77" s="170" t="n">
        <f aca="false">-O76*0.2</f>
        <v>-33208.1232290134</v>
      </c>
      <c r="P77" s="170" t="n">
        <f aca="false">-P76*0.2</f>
        <v>-37722.49753536</v>
      </c>
      <c r="Q77" s="170" t="n">
        <f aca="false">-Q76*0.2</f>
        <v>-42236.8718417067</v>
      </c>
      <c r="R77" s="170" t="n">
        <f aca="false">-R76*0.2</f>
        <v>-46751.2461480534</v>
      </c>
      <c r="S77" s="170" t="n">
        <f aca="false">-S76*0.2</f>
        <v>-51265.6204544</v>
      </c>
      <c r="T77" s="170" t="n">
        <f aca="false">-T76*0.2</f>
        <v>-49639.84299008</v>
      </c>
      <c r="U77" s="170" t="n">
        <f aca="false">-U76*0.2</f>
        <v>-48014.06552576</v>
      </c>
      <c r="V77" s="170" t="n">
        <f aca="false">-V76*0.2</f>
        <v>-46388.28806144</v>
      </c>
      <c r="W77" s="170" t="n">
        <f aca="false">-W76*0.2</f>
        <v>-44762.51059712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131472.8234368</v>
      </c>
      <c r="E78" s="170" t="n">
        <f aca="false">SUM(E76:E77)</f>
        <v>-82630.4793378135</v>
      </c>
      <c r="F78" s="170" t="n">
        <f aca="false">SUM(F76:F77)</f>
        <v>-64572.9821124266</v>
      </c>
      <c r="G78" s="170" t="n">
        <f aca="false">SUM(G76:G77)</f>
        <v>-46515.4848870399</v>
      </c>
      <c r="H78" s="170" t="n">
        <f aca="false">SUM(H76:H77)</f>
        <v>-28457.9876616534</v>
      </c>
      <c r="I78" s="170" t="n">
        <f aca="false">SUM(I76:I77)</f>
        <v>-10400.4904362667</v>
      </c>
      <c r="J78" s="170" t="n">
        <f aca="false">SUM(J76:J77)</f>
        <v>7657.00678912021</v>
      </c>
      <c r="K78" s="170" t="n">
        <f aca="false">SUM(K76:K77)</f>
        <v>25714.5040145067</v>
      </c>
      <c r="L78" s="170" t="n">
        <f aca="false">SUM(L76:L77)</f>
        <v>43772.0012398934</v>
      </c>
      <c r="M78" s="170" t="n">
        <f aca="false">SUM(M76:M77)</f>
        <v>61829.4984652801</v>
      </c>
      <c r="N78" s="170" t="n">
        <f aca="false">SUM(N76:N77)</f>
        <v>114774.995690667</v>
      </c>
      <c r="O78" s="170" t="n">
        <f aca="false">SUM(O76:O77)</f>
        <v>132832.492916053</v>
      </c>
      <c r="P78" s="170" t="n">
        <f aca="false">SUM(P76:P77)</f>
        <v>150889.99014144</v>
      </c>
      <c r="Q78" s="170" t="n">
        <f aca="false">SUM(Q76:Q77)</f>
        <v>168947.487366827</v>
      </c>
      <c r="R78" s="170" t="n">
        <f aca="false">SUM(R76:R77)</f>
        <v>187004.984592213</v>
      </c>
      <c r="S78" s="170" t="n">
        <f aca="false">SUM(S76:S77)</f>
        <v>205062.4818176</v>
      </c>
      <c r="T78" s="170" t="n">
        <f aca="false">SUM(T76:T77)</f>
        <v>198559.37196032</v>
      </c>
      <c r="U78" s="170" t="n">
        <f aca="false">SUM(U76:U77)</f>
        <v>192056.26210304</v>
      </c>
      <c r="V78" s="170" t="n">
        <f aca="false">SUM(V76:V77)</f>
        <v>185553.15224576</v>
      </c>
      <c r="W78" s="170" t="n">
        <f aca="false">SUM(W76:W77)</f>
        <v>179050.04238848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131472.8234368</v>
      </c>
      <c r="E85" s="206" t="n">
        <f aca="false">E78</f>
        <v>-82630.4793378135</v>
      </c>
      <c r="F85" s="206" t="n">
        <f aca="false">F78</f>
        <v>-64572.9821124266</v>
      </c>
      <c r="G85" s="206" t="n">
        <f aca="false">G78</f>
        <v>-46515.4848870399</v>
      </c>
      <c r="H85" s="206" t="n">
        <f aca="false">H78</f>
        <v>-28457.9876616534</v>
      </c>
      <c r="I85" s="206" t="n">
        <f aca="false">I78</f>
        <v>-10400.4904362667</v>
      </c>
      <c r="J85" s="206" t="n">
        <f aca="false">J78</f>
        <v>7657.00678912021</v>
      </c>
      <c r="K85" s="206" t="n">
        <f aca="false">K78</f>
        <v>25714.5040145067</v>
      </c>
      <c r="L85" s="206" t="n">
        <f aca="false">L78</f>
        <v>43772.0012398934</v>
      </c>
      <c r="M85" s="206" t="n">
        <f aca="false">M78</f>
        <v>61829.4984652801</v>
      </c>
      <c r="N85" s="206" t="n">
        <f aca="false">N78</f>
        <v>114774.995690667</v>
      </c>
      <c r="O85" s="206" t="n">
        <f aca="false">O78</f>
        <v>132832.492916053</v>
      </c>
      <c r="P85" s="206" t="n">
        <f aca="false">P78</f>
        <v>150889.99014144</v>
      </c>
      <c r="Q85" s="206" t="n">
        <f aca="false">Q78</f>
        <v>168947.487366827</v>
      </c>
      <c r="R85" s="206" t="n">
        <f aca="false">R78</f>
        <v>187004.984592213</v>
      </c>
      <c r="S85" s="206" t="n">
        <f aca="false">S78</f>
        <v>205062.4818176</v>
      </c>
      <c r="T85" s="206" t="n">
        <f aca="false">T78</f>
        <v>198559.37196032</v>
      </c>
      <c r="U85" s="206" t="n">
        <f aca="false">U78</f>
        <v>192056.26210304</v>
      </c>
      <c r="V85" s="206" t="n">
        <f aca="false">V78</f>
        <v>185553.15224576</v>
      </c>
      <c r="W85" s="206" t="n">
        <f aca="false">W78</f>
        <v>179050.04238848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1124515</v>
      </c>
      <c r="E86" s="207" t="n">
        <f aca="false">-E67</f>
        <v>1124515</v>
      </c>
      <c r="F86" s="207" t="n">
        <f aca="false">-F67</f>
        <v>1124515</v>
      </c>
      <c r="G86" s="207" t="n">
        <f aca="false">-G67</f>
        <v>1124515</v>
      </c>
      <c r="H86" s="207" t="n">
        <f aca="false">-H67</f>
        <v>1124515</v>
      </c>
      <c r="I86" s="207" t="n">
        <f aca="false">-I67</f>
        <v>1124515</v>
      </c>
      <c r="J86" s="207" t="n">
        <f aca="false">-J67</f>
        <v>1124515</v>
      </c>
      <c r="K86" s="207" t="n">
        <f aca="false">-K67</f>
        <v>1124515</v>
      </c>
      <c r="L86" s="207" t="n">
        <f aca="false">-L67</f>
        <v>1124515</v>
      </c>
      <c r="M86" s="207" t="n">
        <f aca="false">-M67</f>
        <v>1124515</v>
      </c>
      <c r="N86" s="207" t="n">
        <f aca="false">-N67</f>
        <v>1124515</v>
      </c>
      <c r="O86" s="207" t="n">
        <f aca="false">-O67</f>
        <v>1124515</v>
      </c>
      <c r="P86" s="207" t="n">
        <f aca="false">-P67</f>
        <v>1124515</v>
      </c>
      <c r="Q86" s="207" t="n">
        <f aca="false">-Q67</f>
        <v>1124515</v>
      </c>
      <c r="R86" s="207" t="n">
        <f aca="false">-R67</f>
        <v>1124515</v>
      </c>
      <c r="S86" s="207" t="n">
        <f aca="false">-S67</f>
        <v>1124515</v>
      </c>
      <c r="T86" s="207" t="n">
        <f aca="false">-T67</f>
        <v>1124515</v>
      </c>
      <c r="U86" s="207" t="n">
        <f aca="false">-U67</f>
        <v>1124515</v>
      </c>
      <c r="V86" s="207" t="n">
        <f aca="false">-V67</f>
        <v>1124515</v>
      </c>
      <c r="W86" s="207" t="n">
        <f aca="false">-W67</f>
        <v>1124515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1255987.8234368</v>
      </c>
      <c r="E87" s="209" t="n">
        <f aca="false">SUM(E85:E86)</f>
        <v>1041884.52066219</v>
      </c>
      <c r="F87" s="209" t="n">
        <f aca="false">SUM(F85:F86)</f>
        <v>1059942.01788757</v>
      </c>
      <c r="G87" s="209" t="n">
        <f aca="false">SUM(G85:G86)</f>
        <v>1077999.51511296</v>
      </c>
      <c r="H87" s="209" t="n">
        <f aca="false">SUM(H85:H86)</f>
        <v>1096057.01233835</v>
      </c>
      <c r="I87" s="209" t="n">
        <f aca="false">SUM(I85:I86)</f>
        <v>1114114.50956373</v>
      </c>
      <c r="J87" s="209" t="n">
        <f aca="false">SUM(J85:J86)</f>
        <v>1132172.00678912</v>
      </c>
      <c r="K87" s="209" t="n">
        <f aca="false">SUM(K85:K86)</f>
        <v>1150229.50401451</v>
      </c>
      <c r="L87" s="209" t="n">
        <f aca="false">SUM(L85:L86)</f>
        <v>1168287.00123989</v>
      </c>
      <c r="M87" s="209" t="n">
        <f aca="false">SUM(M85:M86)</f>
        <v>1186344.49846528</v>
      </c>
      <c r="N87" s="209" t="n">
        <f aca="false">SUM(N85:N86)</f>
        <v>1239289.99569067</v>
      </c>
      <c r="O87" s="209" t="n">
        <f aca="false">SUM(O85:O86)</f>
        <v>1257347.49291605</v>
      </c>
      <c r="P87" s="209" t="n">
        <f aca="false">SUM(P85:P86)</f>
        <v>1275404.99014144</v>
      </c>
      <c r="Q87" s="209" t="n">
        <f aca="false">SUM(Q85:Q86)</f>
        <v>1293462.48736683</v>
      </c>
      <c r="R87" s="209" t="n">
        <f aca="false">SUM(R85:R86)</f>
        <v>1311519.98459221</v>
      </c>
      <c r="S87" s="209" t="n">
        <f aca="false">SUM(S85:S86)</f>
        <v>1329577.4818176</v>
      </c>
      <c r="T87" s="209" t="n">
        <f aca="false">SUM(T85:T86)</f>
        <v>1323074.37196032</v>
      </c>
      <c r="U87" s="209" t="n">
        <f aca="false">SUM(U85:U86)</f>
        <v>1316571.26210304</v>
      </c>
      <c r="V87" s="209" t="n">
        <f aca="false">SUM(V85:V86)</f>
        <v>1310068.15224576</v>
      </c>
      <c r="W87" s="209" t="n">
        <f aca="false">SUM(W85:W86)</f>
        <v>1303565.04238848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-22490300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17992240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-1199482.66666667</v>
      </c>
      <c r="F93" s="215" t="n">
        <v>-1199482.66666667</v>
      </c>
      <c r="G93" s="215" t="n">
        <v>-1199482.66666667</v>
      </c>
      <c r="H93" s="215" t="n">
        <v>-1199482.66666667</v>
      </c>
      <c r="I93" s="215" t="n">
        <v>-1199482.66666667</v>
      </c>
      <c r="J93" s="215" t="n">
        <v>-1199482.66666667</v>
      </c>
      <c r="K93" s="215" t="n">
        <v>-1199482.66666667</v>
      </c>
      <c r="L93" s="215" t="n">
        <v>-1199482.66666667</v>
      </c>
      <c r="M93" s="215" t="n">
        <v>-1199482.66666667</v>
      </c>
      <c r="N93" s="215" t="n">
        <v>-1199482.66666667</v>
      </c>
      <c r="O93" s="215" t="n">
        <v>-1199482.66666667</v>
      </c>
      <c r="P93" s="215" t="n">
        <v>-1199482.66666667</v>
      </c>
      <c r="Q93" s="215" t="n">
        <v>-1199482.66666667</v>
      </c>
      <c r="R93" s="215" t="n">
        <v>-1199482.66666667</v>
      </c>
      <c r="S93" s="215" t="n">
        <v>-1199482.66666667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4498060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-118325.54109312</v>
      </c>
      <c r="F95" s="216" t="n">
        <f aca="false">-E85*$D$33</f>
        <v>74367.4314040321</v>
      </c>
      <c r="G95" s="216" t="n">
        <f aca="false">-F85*$D$33</f>
        <v>58115.6839011839</v>
      </c>
      <c r="H95" s="216" t="n">
        <f aca="false">-G85*$D$33</f>
        <v>41863.9363983359</v>
      </c>
      <c r="I95" s="216" t="n">
        <f aca="false">-H85*$D$33</f>
        <v>25612.188895488</v>
      </c>
      <c r="J95" s="216" t="n">
        <f aca="false">-I85*$D$33</f>
        <v>9360.44139264001</v>
      </c>
      <c r="K95" s="216" t="n">
        <f aca="false">-J85*$D$33</f>
        <v>-6891.30611020819</v>
      </c>
      <c r="L95" s="216" t="n">
        <f aca="false">-K85*$D$33</f>
        <v>-23143.053613056</v>
      </c>
      <c r="M95" s="216" t="n">
        <f aca="false">-L85*$D$33</f>
        <v>-39394.8011159041</v>
      </c>
      <c r="N95" s="216" t="n">
        <f aca="false">-M85*$D$33</f>
        <v>-55646.5486187521</v>
      </c>
      <c r="O95" s="216" t="n">
        <f aca="false">-N85*$D$33</f>
        <v>-103297.4961216</v>
      </c>
      <c r="P95" s="216" t="n">
        <f aca="false">-O85*$D$33</f>
        <v>-119549.243624448</v>
      </c>
      <c r="Q95" s="216" t="n">
        <f aca="false">-P85*$D$33</f>
        <v>-135800.991127296</v>
      </c>
      <c r="R95" s="216" t="n">
        <f aca="false">-Q85*$D$33</f>
        <v>-152052.738630144</v>
      </c>
      <c r="S95" s="216" t="n">
        <f aca="false">-R85*$D$33</f>
        <v>-168304.486132992</v>
      </c>
      <c r="T95" s="216" t="n">
        <f aca="false">-S85*$D$33</f>
        <v>-184556.23363584</v>
      </c>
      <c r="U95" s="216" t="n">
        <f aca="false">-T85*$D$33</f>
        <v>-178703.434764288</v>
      </c>
      <c r="V95" s="216" t="n">
        <f aca="false">-U85*$D$33</f>
        <v>-172850.635892736</v>
      </c>
      <c r="W95" s="216" t="n">
        <f aca="false">-V85*$D$33</f>
        <v>-166997.837021184</v>
      </c>
      <c r="X95" s="216" t="n">
        <f aca="false">-W85*$D$33</f>
        <v>-161145.038149632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-1124515</v>
      </c>
      <c r="U96" s="219" t="n">
        <v>-1124515</v>
      </c>
      <c r="V96" s="219" t="n">
        <v>-1124515</v>
      </c>
      <c r="W96" s="219" t="n">
        <v>-1124515</v>
      </c>
      <c r="X96" s="220" t="n">
        <f aca="false">-W101-X95</f>
        <v>-175259.967073274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1255987.8234368</v>
      </c>
      <c r="E99" s="206" t="n">
        <f aca="false">SUM(E87:E96)</f>
        <v>-275923.6870976</v>
      </c>
      <c r="F99" s="206" t="n">
        <f aca="false">SUM(F87:F96)</f>
        <v>-65173.2173750614</v>
      </c>
      <c r="G99" s="206" t="n">
        <f aca="false">SUM(G87:G96)</f>
        <v>-63367.467652523</v>
      </c>
      <c r="H99" s="206" t="n">
        <f aca="false">SUM(H87:H96)</f>
        <v>-61561.7179299845</v>
      </c>
      <c r="I99" s="206" t="n">
        <f aca="false">SUM(I87:I96)</f>
        <v>-59755.9682074456</v>
      </c>
      <c r="J99" s="206" t="n">
        <f aca="false">SUM(J87:J96)</f>
        <v>-57950.2184849068</v>
      </c>
      <c r="K99" s="206" t="n">
        <f aca="false">SUM(K87:K96)</f>
        <v>-56144.4687623685</v>
      </c>
      <c r="L99" s="206" t="n">
        <f aca="false">SUM(L87:L96)</f>
        <v>-54338.7190398295</v>
      </c>
      <c r="M99" s="206" t="n">
        <f aca="false">SUM(M87:M96)</f>
        <v>-52532.969317291</v>
      </c>
      <c r="N99" s="206" t="n">
        <f aca="false">SUM(N87:N96)</f>
        <v>-15839.2195947522</v>
      </c>
      <c r="O99" s="206" t="n">
        <f aca="false">SUM(O87:O96)</f>
        <v>-45432.6698722137</v>
      </c>
      <c r="P99" s="206" t="n">
        <f aca="false">SUM(P87:P96)</f>
        <v>-43626.9201496749</v>
      </c>
      <c r="Q99" s="206" t="n">
        <f aca="false">SUM(Q87:Q96)</f>
        <v>-41821.1704271364</v>
      </c>
      <c r="R99" s="206" t="n">
        <f aca="false">SUM(R87:R96)</f>
        <v>-40015.4207045976</v>
      </c>
      <c r="S99" s="206" t="n">
        <f aca="false">SUM(S87:S96)</f>
        <v>-38209.670982059</v>
      </c>
      <c r="T99" s="206" t="n">
        <f aca="false">SUM(T87:T96)</f>
        <v>14003.13832448</v>
      </c>
      <c r="U99" s="206" t="n">
        <f aca="false">SUM(U87:U96)</f>
        <v>13352.8273387523</v>
      </c>
      <c r="V99" s="206" t="n">
        <f aca="false">SUM(V87:V96)</f>
        <v>12702.5163530237</v>
      </c>
      <c r="W99" s="206" t="n">
        <f aca="false">SUM(W87:W96)</f>
        <v>12052.2053672962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1255987.8234368</v>
      </c>
      <c r="F100" s="206" t="n">
        <f aca="false">E101</f>
        <v>980064.136339198</v>
      </c>
      <c r="G100" s="206" t="n">
        <f aca="false">F101</f>
        <v>914890.918964137</v>
      </c>
      <c r="H100" s="206" t="n">
        <f aca="false">G101</f>
        <v>851523.451311614</v>
      </c>
      <c r="I100" s="206" t="n">
        <f aca="false">H101</f>
        <v>789961.733381629</v>
      </c>
      <c r="J100" s="206" t="n">
        <f aca="false">I101</f>
        <v>730205.765174184</v>
      </c>
      <c r="K100" s="206" t="n">
        <f aca="false">J101</f>
        <v>672255.546689277</v>
      </c>
      <c r="L100" s="206" t="n">
        <f aca="false">K101</f>
        <v>616111.077926909</v>
      </c>
      <c r="M100" s="206" t="n">
        <f aca="false">L101</f>
        <v>561772.358887079</v>
      </c>
      <c r="N100" s="206" t="n">
        <f aca="false">M101</f>
        <v>509239.389569788</v>
      </c>
      <c r="O100" s="206" t="n">
        <f aca="false">N101</f>
        <v>493400.169975036</v>
      </c>
      <c r="P100" s="206" t="n">
        <f aca="false">O101</f>
        <v>447967.500102822</v>
      </c>
      <c r="Q100" s="206" t="n">
        <f aca="false">P101</f>
        <v>404340.579953147</v>
      </c>
      <c r="R100" s="206" t="n">
        <f aca="false">Q101</f>
        <v>362519.409526011</v>
      </c>
      <c r="S100" s="206" t="n">
        <f aca="false">R101</f>
        <v>322503.988821413</v>
      </c>
      <c r="T100" s="206" t="n">
        <f aca="false">S101</f>
        <v>284294.317839354</v>
      </c>
      <c r="U100" s="206" t="n">
        <f aca="false">T101</f>
        <v>298297.456163834</v>
      </c>
      <c r="V100" s="206" t="n">
        <f aca="false">U101</f>
        <v>311650.283502587</v>
      </c>
      <c r="W100" s="206" t="n">
        <f aca="false">V101</f>
        <v>324352.79985561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1255987.8234368</v>
      </c>
      <c r="E101" s="206" t="n">
        <f aca="false">E99+E100</f>
        <v>980064.136339198</v>
      </c>
      <c r="F101" s="206" t="n">
        <f aca="false">F99+F100</f>
        <v>914890.918964137</v>
      </c>
      <c r="G101" s="206" t="n">
        <f aca="false">G99+G100</f>
        <v>851523.451311614</v>
      </c>
      <c r="H101" s="206" t="n">
        <f aca="false">H99+H100</f>
        <v>789961.733381629</v>
      </c>
      <c r="I101" s="206" t="n">
        <f aca="false">I99+I100</f>
        <v>730205.765174184</v>
      </c>
      <c r="J101" s="206" t="n">
        <f aca="false">J99+J100</f>
        <v>672255.546689277</v>
      </c>
      <c r="K101" s="206" t="n">
        <f aca="false">K99+K100</f>
        <v>616111.077926909</v>
      </c>
      <c r="L101" s="206" t="n">
        <f aca="false">L99+L100</f>
        <v>561772.358887079</v>
      </c>
      <c r="M101" s="206" t="n">
        <f aca="false">M99+M100</f>
        <v>509239.389569788</v>
      </c>
      <c r="N101" s="206" t="n">
        <f aca="false">N99+N100</f>
        <v>493400.169975036</v>
      </c>
      <c r="O101" s="206" t="n">
        <f aca="false">O99+O100</f>
        <v>447967.500102822</v>
      </c>
      <c r="P101" s="206" t="n">
        <f aca="false">P99+P100</f>
        <v>404340.579953147</v>
      </c>
      <c r="Q101" s="206" t="n">
        <f aca="false">Q99+Q100</f>
        <v>362519.409526011</v>
      </c>
      <c r="R101" s="206" t="n">
        <f aca="false">R99+R100</f>
        <v>322503.988821413</v>
      </c>
      <c r="S101" s="206" t="n">
        <f aca="false">S99+S100</f>
        <v>284294.317839354</v>
      </c>
      <c r="T101" s="206" t="n">
        <f aca="false">T99+T100</f>
        <v>298297.456163834</v>
      </c>
      <c r="U101" s="206" t="n">
        <f aca="false">U99+U100</f>
        <v>311650.283502587</v>
      </c>
      <c r="V101" s="206" t="n">
        <f aca="false">V99+V100</f>
        <v>324352.79985561</v>
      </c>
      <c r="W101" s="206" t="n">
        <f aca="false">W99+W100</f>
        <v>336405.005222906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-4498060</v>
      </c>
      <c r="E104" s="209" t="n">
        <f aca="false">-E95-E96</f>
        <v>118325.54109312</v>
      </c>
      <c r="F104" s="209" t="n">
        <f aca="false">-F95-F96</f>
        <v>-74367.4314040321</v>
      </c>
      <c r="G104" s="209" t="n">
        <f aca="false">-G95-G96</f>
        <v>-58115.6839011839</v>
      </c>
      <c r="H104" s="209" t="n">
        <f aca="false">-H95-H96</f>
        <v>-41863.9363983359</v>
      </c>
      <c r="I104" s="209" t="n">
        <f aca="false">-I95-I96</f>
        <v>-25612.188895488</v>
      </c>
      <c r="J104" s="209" t="n">
        <f aca="false">-J95-J96</f>
        <v>-9360.44139264001</v>
      </c>
      <c r="K104" s="209" t="n">
        <f aca="false">-K95-K96</f>
        <v>6891.30611020819</v>
      </c>
      <c r="L104" s="209" t="n">
        <f aca="false">-L95-L96</f>
        <v>23143.053613056</v>
      </c>
      <c r="M104" s="209" t="n">
        <f aca="false">-M95-M96</f>
        <v>39394.8011159041</v>
      </c>
      <c r="N104" s="209" t="n">
        <f aca="false">-N95-N96</f>
        <v>55646.5486187521</v>
      </c>
      <c r="O104" s="209" t="n">
        <f aca="false">-O95-O96</f>
        <v>103297.4961216</v>
      </c>
      <c r="P104" s="209" t="n">
        <f aca="false">-P95-P96</f>
        <v>119549.243624448</v>
      </c>
      <c r="Q104" s="209" t="n">
        <f aca="false">-Q95-Q96</f>
        <v>135800.991127296</v>
      </c>
      <c r="R104" s="209" t="n">
        <f aca="false">-R95-R96</f>
        <v>152052.738630144</v>
      </c>
      <c r="S104" s="209" t="n">
        <f aca="false">-S95-S96</f>
        <v>168304.486132992</v>
      </c>
      <c r="T104" s="209" t="n">
        <f aca="false">-T95-T96</f>
        <v>1309071.23363584</v>
      </c>
      <c r="U104" s="209" t="n">
        <f aca="false">-U95-U96</f>
        <v>1303218.43476429</v>
      </c>
      <c r="V104" s="209" t="n">
        <f aca="false">-V95-V96</f>
        <v>1297365.63589274</v>
      </c>
      <c r="W104" s="209" t="n">
        <f aca="false">-W95-W96</f>
        <v>1291512.83702118</v>
      </c>
      <c r="X104" s="209" t="n">
        <f aca="false">-X95-X96</f>
        <v>336405.005222906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0.0193881880752035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-4366587.1765632</v>
      </c>
      <c r="E106" s="209" t="n">
        <f aca="false">E85</f>
        <v>-82630.4793378135</v>
      </c>
      <c r="F106" s="209" t="n">
        <f aca="false">F85-F96</f>
        <v>-64572.9821124266</v>
      </c>
      <c r="G106" s="209" t="n">
        <f aca="false">G85-G96</f>
        <v>-46515.4848870399</v>
      </c>
      <c r="H106" s="209" t="n">
        <f aca="false">H85-H96</f>
        <v>-28457.9876616534</v>
      </c>
      <c r="I106" s="209" t="n">
        <f aca="false">I85-I96</f>
        <v>-10400.4904362667</v>
      </c>
      <c r="J106" s="209" t="n">
        <f aca="false">J85-J96</f>
        <v>7657.00678912021</v>
      </c>
      <c r="K106" s="209" t="n">
        <f aca="false">K85-K96</f>
        <v>25714.5040145067</v>
      </c>
      <c r="L106" s="209" t="n">
        <f aca="false">L85-L96</f>
        <v>43772.0012398934</v>
      </c>
      <c r="M106" s="209" t="n">
        <f aca="false">M85-M96</f>
        <v>61829.4984652801</v>
      </c>
      <c r="N106" s="209" t="n">
        <f aca="false">N85-N96</f>
        <v>114774.995690667</v>
      </c>
      <c r="O106" s="209" t="n">
        <f aca="false">O85-O96</f>
        <v>132832.492916053</v>
      </c>
      <c r="P106" s="209" t="n">
        <f aca="false">P85-P96</f>
        <v>150889.99014144</v>
      </c>
      <c r="Q106" s="209" t="n">
        <f aca="false">Q85-Q96</f>
        <v>168947.487366827</v>
      </c>
      <c r="R106" s="209" t="n">
        <f aca="false">R85-R96</f>
        <v>187004.984592213</v>
      </c>
      <c r="S106" s="209" t="n">
        <f aca="false">S85-S96</f>
        <v>205062.4818176</v>
      </c>
      <c r="T106" s="209" t="n">
        <f aca="false">T85-T96</f>
        <v>1323074.37196032</v>
      </c>
      <c r="U106" s="209" t="n">
        <f aca="false">U85-U96</f>
        <v>1316571.26210304</v>
      </c>
      <c r="V106" s="209" t="n">
        <f aca="false">V85-V96</f>
        <v>1310068.15224576</v>
      </c>
      <c r="W106" s="209" t="n">
        <f aca="false">W85-W96</f>
        <v>1303565.04238848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0.019861644055637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17992240</v>
      </c>
      <c r="E109" s="206" t="n">
        <f aca="false">D109+E93</f>
        <v>16792757.3333333</v>
      </c>
      <c r="F109" s="206" t="n">
        <f aca="false">E109+F93</f>
        <v>15593274.6666667</v>
      </c>
      <c r="G109" s="206" t="n">
        <f aca="false">F109+G93</f>
        <v>14393792</v>
      </c>
      <c r="H109" s="206" t="n">
        <f aca="false">G109+H93</f>
        <v>13194309.3333333</v>
      </c>
      <c r="I109" s="206" t="n">
        <f aca="false">H109+I93</f>
        <v>11994826.6666667</v>
      </c>
      <c r="J109" s="206" t="n">
        <f aca="false">I109+J93</f>
        <v>10795344</v>
      </c>
      <c r="K109" s="206" t="n">
        <f aca="false">J109+K93</f>
        <v>9595861.33333333</v>
      </c>
      <c r="L109" s="206" t="n">
        <f aca="false">K109+L93</f>
        <v>8396378.66666666</v>
      </c>
      <c r="M109" s="206" t="n">
        <f aca="false">L109+M93</f>
        <v>7196895.99999999</v>
      </c>
      <c r="N109" s="206" t="n">
        <f aca="false">M109+N93</f>
        <v>5997413.33333332</v>
      </c>
      <c r="O109" s="206" t="n">
        <f aca="false">N109+O93</f>
        <v>4797930.66666666</v>
      </c>
      <c r="P109" s="206" t="n">
        <f aca="false">O109+P93</f>
        <v>3598447.99999999</v>
      </c>
      <c r="Q109" s="206" t="n">
        <f aca="false">P109+Q93</f>
        <v>2398965.33333332</v>
      </c>
      <c r="R109" s="206" t="n">
        <f aca="false">Q109+R93</f>
        <v>1199482.66666665</v>
      </c>
      <c r="S109" s="206" t="n">
        <f aca="false">R109+S93</f>
        <v>-1.21071934700012E-008</v>
      </c>
      <c r="T109" s="206" t="n">
        <f aca="false">S109+T93</f>
        <v>-1.21071934700012E-008</v>
      </c>
      <c r="U109" s="206" t="n">
        <f aca="false">T109+U93</f>
        <v>-1.21071934700012E-008</v>
      </c>
      <c r="V109" s="206" t="n">
        <f aca="false">U109+V93</f>
        <v>-1.21071934700012E-008</v>
      </c>
      <c r="W109" s="206" t="n">
        <f aca="false">V109+W93</f>
        <v>-1.21071934700012E-008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32000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-21244300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-41865.6</v>
      </c>
      <c r="E49" s="170" t="n">
        <v>-41865.6</v>
      </c>
      <c r="F49" s="170" t="n">
        <v>-41865.6</v>
      </c>
      <c r="G49" s="170" t="n">
        <v>-41865.6</v>
      </c>
      <c r="H49" s="170" t="n">
        <v>-41865.6</v>
      </c>
      <c r="I49" s="170" t="n">
        <v>-41865.6</v>
      </c>
      <c r="J49" s="170" t="n">
        <v>-41865.6</v>
      </c>
      <c r="K49" s="170" t="n">
        <v>-41865.6</v>
      </c>
      <c r="L49" s="170" t="n">
        <v>-41865.6</v>
      </c>
      <c r="M49" s="170" t="n">
        <v>-41865.6</v>
      </c>
      <c r="N49" s="170" t="n">
        <v>-41865.6</v>
      </c>
      <c r="O49" s="170" t="n">
        <v>-41865.6</v>
      </c>
      <c r="P49" s="170" t="n">
        <v>-41865.6</v>
      </c>
      <c r="Q49" s="170" t="n">
        <v>-41865.6</v>
      </c>
      <c r="R49" s="170" t="n">
        <v>-41865.6</v>
      </c>
      <c r="S49" s="170" t="n">
        <v>-41865.6</v>
      </c>
      <c r="T49" s="170" t="n">
        <v>-41865.6</v>
      </c>
      <c r="U49" s="170" t="n">
        <v>-41865.6</v>
      </c>
      <c r="V49" s="170" t="n">
        <v>-41865.6</v>
      </c>
      <c r="W49" s="170" t="n">
        <v>-41865.6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-137953.8024192</v>
      </c>
      <c r="E54" s="170" t="n">
        <f aca="false">-(E64+E67+E68+E71+E72+E73+E74)*0.2</f>
        <v>-78287.8249548799</v>
      </c>
      <c r="F54" s="170" t="n">
        <f aca="false">-(F64+F67+F68+F71+F72+F73+F74)*0.2</f>
        <v>-76662.04749056</v>
      </c>
      <c r="G54" s="170" t="n">
        <f aca="false">-(G64+G67+G68+G71+G72+G73+G74)*0.2</f>
        <v>-75036.27002624</v>
      </c>
      <c r="H54" s="170" t="n">
        <f aca="false">-(H64+H67+H68+H71+H72+H73+H74)*0.2</f>
        <v>-73410.4925619199</v>
      </c>
      <c r="I54" s="170" t="n">
        <f aca="false">-(I64+I67+I68+I71+I72+I73+I74)*0.2</f>
        <v>-71784.7150975999</v>
      </c>
      <c r="J54" s="170" t="n">
        <f aca="false">-(J64+J67+J68+J71+J72+J73+J74)*0.2</f>
        <v>-70158.93763328</v>
      </c>
      <c r="K54" s="170" t="n">
        <f aca="false">-(K64+K67+K68+K71+K72+K73+K74)*0.2</f>
        <v>-68533.1601689599</v>
      </c>
      <c r="L54" s="170" t="n">
        <f aca="false">-(L64+L67+L68+L71+L72+L73+L74)*0.2</f>
        <v>-66907.3827046399</v>
      </c>
      <c r="M54" s="170" t="n">
        <f aca="false">-(M64+M67+M68+M71+M72+M73+M74)*0.2</f>
        <v>-65281.6052403199</v>
      </c>
      <c r="N54" s="170" t="n">
        <f aca="false">-(N64+N67+N68+N71+N72+N73+N74)*0.2</f>
        <v>-72377.8277759999</v>
      </c>
      <c r="O54" s="170" t="n">
        <f aca="false">-(O64+O67+O68+O71+O72+O73+O74)*0.2</f>
        <v>-70752.0503116799</v>
      </c>
      <c r="P54" s="170" t="n">
        <f aca="false">-(P64+P67+P68+P71+P72+P73+P74)*0.2</f>
        <v>-69126.2728473599</v>
      </c>
      <c r="Q54" s="170" t="n">
        <f aca="false">-(Q64+Q67+Q68+Q71+Q72+Q73+Q74)*0.2</f>
        <v>-67500.4953830399</v>
      </c>
      <c r="R54" s="170" t="n">
        <f aca="false">-(R64+R67+R68+R71+R72+R73+R74)*0.2</f>
        <v>-65874.7179187199</v>
      </c>
      <c r="S54" s="170" t="n">
        <f aca="false">-(S64+S67+S68+S71+S72+S73+S74)*0.2</f>
        <v>-64248.9404543999</v>
      </c>
      <c r="T54" s="170" t="n">
        <f aca="false">-(T64+T67+T68+T71+T72+T73+T74)*0.2</f>
        <v>-62623.1629900799</v>
      </c>
      <c r="U54" s="170" t="n">
        <f aca="false">-(U64+U67+U68+U71+U72+U73+U74)*0.2</f>
        <v>-60997.3855257599</v>
      </c>
      <c r="V54" s="170" t="n">
        <f aca="false">-(V64+V67+V68+V71+V72+V73+V74)*0.2</f>
        <v>-59371.6080614399</v>
      </c>
      <c r="W54" s="170" t="n">
        <f aca="false">-(W64+W67+W68+W71+W72+W73+W74)*0.2</f>
        <v>-57745.8305971199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-21244300</v>
      </c>
      <c r="D55" s="175" t="n">
        <f aca="false">SUM(D41:D54)</f>
        <v>1614030.2096768</v>
      </c>
      <c r="E55" s="175" t="n">
        <f aca="false">SUM(E41:E54)</f>
        <v>1375366.29981952</v>
      </c>
      <c r="F55" s="175" t="n">
        <f aca="false">SUM(F41:F54)</f>
        <v>1368863.18996224</v>
      </c>
      <c r="G55" s="175" t="n">
        <f aca="false">SUM(G41:G54)</f>
        <v>1362360.08010496</v>
      </c>
      <c r="H55" s="175" t="n">
        <f aca="false">SUM(H41:H54)</f>
        <v>1355856.97024768</v>
      </c>
      <c r="I55" s="175" t="n">
        <f aca="false">SUM(I41:I54)</f>
        <v>1349353.8603904</v>
      </c>
      <c r="J55" s="175" t="n">
        <f aca="false">SUM(J41:J54)</f>
        <v>1342850.75053312</v>
      </c>
      <c r="K55" s="175" t="n">
        <f aca="false">SUM(K41:K54)</f>
        <v>1336347.64067584</v>
      </c>
      <c r="L55" s="175" t="n">
        <f aca="false">SUM(L41:L54)</f>
        <v>1329844.53081856</v>
      </c>
      <c r="M55" s="175" t="n">
        <f aca="false">SUM(M41:M54)</f>
        <v>1323341.42096128</v>
      </c>
      <c r="N55" s="175" t="n">
        <f aca="false">SUM(N41:N54)</f>
        <v>1351726.311104</v>
      </c>
      <c r="O55" s="175" t="n">
        <f aca="false">SUM(O41:O54)</f>
        <v>1345223.20124672</v>
      </c>
      <c r="P55" s="175" t="n">
        <f aca="false">SUM(P41:P54)</f>
        <v>1338720.09138944</v>
      </c>
      <c r="Q55" s="175" t="n">
        <f aca="false">SUM(Q41:Q54)</f>
        <v>1332216.98153216</v>
      </c>
      <c r="R55" s="175" t="n">
        <f aca="false">SUM(R41:R54)</f>
        <v>1325713.87167488</v>
      </c>
      <c r="S55" s="175" t="n">
        <f aca="false">SUM(S41:S54)</f>
        <v>1319210.7618176</v>
      </c>
      <c r="T55" s="175" t="n">
        <f aca="false">SUM(T41:T54)</f>
        <v>1312707.65196032</v>
      </c>
      <c r="U55" s="175" t="n">
        <f aca="false">SUM(U41:U54)</f>
        <v>1306204.54210304</v>
      </c>
      <c r="V55" s="175" t="n">
        <f aca="false">SUM(V41:V54)</f>
        <v>1299701.43224576</v>
      </c>
      <c r="W55" s="175" t="n">
        <f aca="false">SUM(W41:W54)</f>
        <v>1293198.32238848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-19630269.7903232</v>
      </c>
      <c r="E56" s="180" t="n">
        <f aca="false">D56+E55</f>
        <v>-18254903.4905037</v>
      </c>
      <c r="F56" s="180" t="n">
        <f aca="false">E56+F55</f>
        <v>-16886040.3005414</v>
      </c>
      <c r="G56" s="180" t="n">
        <f aca="false">F56+G55</f>
        <v>-15523680.2204365</v>
      </c>
      <c r="H56" s="180" t="n">
        <f aca="false">G56+H55</f>
        <v>-14167823.2501888</v>
      </c>
      <c r="I56" s="180" t="n">
        <f aca="false">H56+I55</f>
        <v>-12818469.3897984</v>
      </c>
      <c r="J56" s="180" t="n">
        <f aca="false">I56+J55</f>
        <v>-11475618.6392653</v>
      </c>
      <c r="K56" s="180" t="n">
        <f aca="false">J56+K55</f>
        <v>-10139270.9985894</v>
      </c>
      <c r="L56" s="180" t="n">
        <f aca="false">K56+L55</f>
        <v>-8809426.46777089</v>
      </c>
      <c r="M56" s="180" t="n">
        <f aca="false">L56+M55</f>
        <v>-7486085.04680961</v>
      </c>
      <c r="N56" s="180" t="n">
        <f aca="false">M56+N55</f>
        <v>-6134358.73570561</v>
      </c>
      <c r="O56" s="180" t="n">
        <f aca="false">N56+O55</f>
        <v>-4789135.53445889</v>
      </c>
      <c r="P56" s="180" t="n">
        <f aca="false">O56+P55</f>
        <v>-3450415.44306945</v>
      </c>
      <c r="Q56" s="180" t="n">
        <f aca="false">P56+Q55</f>
        <v>-2118198.46153729</v>
      </c>
      <c r="R56" s="180" t="n">
        <f aca="false">Q56+R55</f>
        <v>-792484.589862407</v>
      </c>
      <c r="S56" s="180" t="n">
        <f aca="false">R56+S55</f>
        <v>526726.171955193</v>
      </c>
      <c r="T56" s="180" t="n">
        <f aca="false">S56+T55</f>
        <v>1839433.82391551</v>
      </c>
      <c r="U56" s="180" t="n">
        <f aca="false">T56+U55</f>
        <v>3145638.36601855</v>
      </c>
      <c r="V56" s="180" t="n">
        <f aca="false">U56+V55</f>
        <v>4445339.79826431</v>
      </c>
      <c r="W56" s="180" t="n">
        <f aca="false">V56+W55</f>
        <v>5738538.12065279</v>
      </c>
      <c r="X56" s="180" t="n">
        <f aca="false">W56+X55</f>
        <v>5738538.12065279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0.0244031956405086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-1062215</v>
      </c>
      <c r="E67" s="191" t="n">
        <f aca="false">$C$44/$E$16</f>
        <v>-1062215</v>
      </c>
      <c r="F67" s="191" t="n">
        <f aca="false">$C$44/$E$16</f>
        <v>-1062215</v>
      </c>
      <c r="G67" s="191" t="n">
        <f aca="false">$C$44/$E$16</f>
        <v>-1062215</v>
      </c>
      <c r="H67" s="191" t="n">
        <f aca="false">$C$44/$E$16</f>
        <v>-1062215</v>
      </c>
      <c r="I67" s="191" t="n">
        <f aca="false">$C$44/$E$16</f>
        <v>-1062215</v>
      </c>
      <c r="J67" s="191" t="n">
        <f aca="false">$C$44/$E$16</f>
        <v>-1062215</v>
      </c>
      <c r="K67" s="191" t="n">
        <f aca="false">$C$44/$E$16</f>
        <v>-1062215</v>
      </c>
      <c r="L67" s="191" t="n">
        <f aca="false">$C$44/$E$16</f>
        <v>-1062215</v>
      </c>
      <c r="M67" s="191" t="n">
        <f aca="false">$C$44/$E$16</f>
        <v>-1062215</v>
      </c>
      <c r="N67" s="191" t="n">
        <f aca="false">$C$44/$E$16</f>
        <v>-1062215</v>
      </c>
      <c r="O67" s="191" t="n">
        <f aca="false">$C$44/$E$16</f>
        <v>-1062215</v>
      </c>
      <c r="P67" s="191" t="n">
        <f aca="false">$C$44/$E$16</f>
        <v>-1062215</v>
      </c>
      <c r="Q67" s="191" t="n">
        <f aca="false">$C$44/$E$16</f>
        <v>-1062215</v>
      </c>
      <c r="R67" s="191" t="n">
        <f aca="false">$C$44/$E$16</f>
        <v>-1062215</v>
      </c>
      <c r="S67" s="191" t="n">
        <f aca="false">$C$44/$E$16</f>
        <v>-1062215</v>
      </c>
      <c r="T67" s="191" t="n">
        <f aca="false">$C$44/$E$16</f>
        <v>-1062215</v>
      </c>
      <c r="U67" s="191" t="n">
        <f aca="false">$C$44/$E$16</f>
        <v>-1062215</v>
      </c>
      <c r="V67" s="191" t="n">
        <f aca="false">$C$44/$E$16</f>
        <v>-1062215</v>
      </c>
      <c r="W67" s="191" t="n">
        <f aca="false">$C$44/$E$16</f>
        <v>-1062215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-434998.2868</v>
      </c>
      <c r="E70" s="170" t="n">
        <f aca="false">-E109*$D25</f>
        <v>-405998.401013333</v>
      </c>
      <c r="F70" s="170" t="n">
        <f aca="false">-F109*$D25</f>
        <v>-376998.515226667</v>
      </c>
      <c r="G70" s="170" t="n">
        <f aca="false">-G109*$D25</f>
        <v>-347998.62944</v>
      </c>
      <c r="H70" s="170" t="n">
        <f aca="false">-H109*$D25</f>
        <v>-318998.743653334</v>
      </c>
      <c r="I70" s="170" t="n">
        <f aca="false">-I109*$D25</f>
        <v>-289998.857866667</v>
      </c>
      <c r="J70" s="170" t="n">
        <f aca="false">-J109*$D25</f>
        <v>-260998.97208</v>
      </c>
      <c r="K70" s="170" t="n">
        <f aca="false">-K109*$D25</f>
        <v>-231999.086293334</v>
      </c>
      <c r="L70" s="170" t="n">
        <f aca="false">-L109*$D25</f>
        <v>-202999.200506667</v>
      </c>
      <c r="M70" s="170" t="n">
        <f aca="false">-M109*$D25</f>
        <v>-173999.31472</v>
      </c>
      <c r="N70" s="170" t="n">
        <f aca="false">-N109*$D25</f>
        <v>-144999.428933334</v>
      </c>
      <c r="O70" s="170" t="n">
        <f aca="false">-O109*$D25</f>
        <v>-115999.543146667</v>
      </c>
      <c r="P70" s="170" t="n">
        <f aca="false">-P109*$D25</f>
        <v>-86999.6573600004</v>
      </c>
      <c r="Q70" s="170" t="n">
        <f aca="false">-Q109*$D25</f>
        <v>-57999.7715733337</v>
      </c>
      <c r="R70" s="170" t="n">
        <f aca="false">-R109*$D25</f>
        <v>-28999.885786667</v>
      </c>
      <c r="S70" s="170" t="n">
        <f aca="false">-S109*$D25</f>
        <v>-3.81395220756531E-010</v>
      </c>
      <c r="T70" s="170" t="n">
        <f aca="false">-T109*$D25</f>
        <v>-3.81395220756531E-010</v>
      </c>
      <c r="U70" s="170" t="n">
        <f aca="false">-U109*$D25</f>
        <v>-3.81395220756531E-010</v>
      </c>
      <c r="V70" s="170" t="n">
        <f aca="false">-V109*$D25</f>
        <v>-3.81395220756531E-010</v>
      </c>
      <c r="W70" s="170" t="n">
        <f aca="false">-W109*$D25</f>
        <v>-3.81395220756531E-010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-41865.6</v>
      </c>
      <c r="E72" s="170" t="n">
        <f aca="false">E49</f>
        <v>-41865.6</v>
      </c>
      <c r="F72" s="170" t="n">
        <f aca="false">F49</f>
        <v>-41865.6</v>
      </c>
      <c r="G72" s="170" t="n">
        <f aca="false">G49</f>
        <v>-41865.6</v>
      </c>
      <c r="H72" s="170" t="n">
        <f aca="false">H49</f>
        <v>-41865.6</v>
      </c>
      <c r="I72" s="170" t="n">
        <f aca="false">I49</f>
        <v>-41865.6</v>
      </c>
      <c r="J72" s="170" t="n">
        <f aca="false">J49</f>
        <v>-41865.6</v>
      </c>
      <c r="K72" s="170" t="n">
        <f aca="false">K49</f>
        <v>-41865.6</v>
      </c>
      <c r="L72" s="170" t="n">
        <f aca="false">L49</f>
        <v>-41865.6</v>
      </c>
      <c r="M72" s="170" t="n">
        <f aca="false">M49</f>
        <v>-41865.6</v>
      </c>
      <c r="N72" s="170" t="n">
        <f aca="false">N49</f>
        <v>-41865.6</v>
      </c>
      <c r="O72" s="170" t="n">
        <f aca="false">O49</f>
        <v>-41865.6</v>
      </c>
      <c r="P72" s="170" t="n">
        <f aca="false">P49</f>
        <v>-41865.6</v>
      </c>
      <c r="Q72" s="170" t="n">
        <f aca="false">Q49</f>
        <v>-41865.6</v>
      </c>
      <c r="R72" s="170" t="n">
        <f aca="false">R49</f>
        <v>-41865.6</v>
      </c>
      <c r="S72" s="170" t="n">
        <f aca="false">S49</f>
        <v>-41865.6</v>
      </c>
      <c r="T72" s="170" t="n">
        <f aca="false">T49</f>
        <v>-41865.6</v>
      </c>
      <c r="U72" s="170" t="n">
        <f aca="false">U49</f>
        <v>-41865.6</v>
      </c>
      <c r="V72" s="170" t="n">
        <f aca="false">V49</f>
        <v>-41865.6</v>
      </c>
      <c r="W72" s="170" t="n">
        <f aca="false">W49</f>
        <v>-41865.6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254770.725295999</v>
      </c>
      <c r="E76" s="175" t="n">
        <f aca="false">SUM(E64:E75)</f>
        <v>-14559.2762389339</v>
      </c>
      <c r="F76" s="175" t="n">
        <f aca="false">SUM(F64:F75)</f>
        <v>6311.72222613297</v>
      </c>
      <c r="G76" s="175" t="n">
        <f aca="false">SUM(G64:G75)</f>
        <v>27182.7206911996</v>
      </c>
      <c r="H76" s="175" t="n">
        <f aca="false">SUM(H64:H75)</f>
        <v>48053.719156266</v>
      </c>
      <c r="I76" s="175" t="n">
        <f aca="false">SUM(I64:I75)</f>
        <v>68924.7176213327</v>
      </c>
      <c r="J76" s="175" t="n">
        <f aca="false">SUM(J64:J75)</f>
        <v>89795.7160863995</v>
      </c>
      <c r="K76" s="175" t="n">
        <f aca="false">SUM(K64:K75)</f>
        <v>110666.714551466</v>
      </c>
      <c r="L76" s="175" t="n">
        <f aca="false">SUM(L64:L75)</f>
        <v>131537.713016533</v>
      </c>
      <c r="M76" s="175" t="n">
        <f aca="false">SUM(M64:M75)</f>
        <v>152408.711481599</v>
      </c>
      <c r="N76" s="175" t="n">
        <f aca="false">SUM(N64:N75)</f>
        <v>216889.709946666</v>
      </c>
      <c r="O76" s="175" t="n">
        <f aca="false">SUM(O64:O75)</f>
        <v>237760.708411733</v>
      </c>
      <c r="P76" s="175" t="n">
        <f aca="false">SUM(P64:P75)</f>
        <v>258631.706876799</v>
      </c>
      <c r="Q76" s="175" t="n">
        <f aca="false">SUM(Q64:Q75)</f>
        <v>279502.705341866</v>
      </c>
      <c r="R76" s="175" t="n">
        <f aca="false">SUM(R64:R75)</f>
        <v>300373.703806933</v>
      </c>
      <c r="S76" s="175" t="n">
        <f aca="false">SUM(S64:S75)</f>
        <v>321244.702271999</v>
      </c>
      <c r="T76" s="175" t="n">
        <f aca="false">SUM(T64:T75)</f>
        <v>313115.814950399</v>
      </c>
      <c r="U76" s="175" t="n">
        <f aca="false">SUM(U64:U75)</f>
        <v>304986.927628799</v>
      </c>
      <c r="V76" s="175" t="n">
        <f aca="false">SUM(V64:V75)</f>
        <v>296858.040307199</v>
      </c>
      <c r="W76" s="175" t="n">
        <f aca="false">SUM(W64:W75)</f>
        <v>288729.152985599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-50954.1450591999</v>
      </c>
      <c r="E77" s="170" t="n">
        <f aca="false">-E76*0.2</f>
        <v>2911.85524778679</v>
      </c>
      <c r="F77" s="170" t="n">
        <f aca="false">-F76*0.2</f>
        <v>-1262.34444522659</v>
      </c>
      <c r="G77" s="170" t="n">
        <f aca="false">-G76*0.2</f>
        <v>-5436.54413823992</v>
      </c>
      <c r="H77" s="170" t="n">
        <f aca="false">-H76*0.2</f>
        <v>-9610.7438312532</v>
      </c>
      <c r="I77" s="170" t="n">
        <f aca="false">-I76*0.2</f>
        <v>-13784.9435242665</v>
      </c>
      <c r="J77" s="170" t="n">
        <f aca="false">-J76*0.2</f>
        <v>-17959.1432172799</v>
      </c>
      <c r="K77" s="170" t="n">
        <f aca="false">-K76*0.2</f>
        <v>-22133.3429102932</v>
      </c>
      <c r="L77" s="170" t="n">
        <f aca="false">-L76*0.2</f>
        <v>-26307.5426033065</v>
      </c>
      <c r="M77" s="170" t="n">
        <f aca="false">-M76*0.2</f>
        <v>-30481.7422963199</v>
      </c>
      <c r="N77" s="170" t="n">
        <f aca="false">-N76*0.2</f>
        <v>-43377.9419893332</v>
      </c>
      <c r="O77" s="170" t="n">
        <f aca="false">-O76*0.2</f>
        <v>-47552.1416823465</v>
      </c>
      <c r="P77" s="170" t="n">
        <f aca="false">-P76*0.2</f>
        <v>-51726.3413753599</v>
      </c>
      <c r="Q77" s="170" t="n">
        <f aca="false">-Q76*0.2</f>
        <v>-55900.5410683732</v>
      </c>
      <c r="R77" s="170" t="n">
        <f aca="false">-R76*0.2</f>
        <v>-60074.7407613865</v>
      </c>
      <c r="S77" s="170" t="n">
        <f aca="false">-S76*0.2</f>
        <v>-64248.9404543999</v>
      </c>
      <c r="T77" s="170" t="n">
        <f aca="false">-T76*0.2</f>
        <v>-62623.1629900798</v>
      </c>
      <c r="U77" s="170" t="n">
        <f aca="false">-U76*0.2</f>
        <v>-60997.3855257599</v>
      </c>
      <c r="V77" s="170" t="n">
        <f aca="false">-V76*0.2</f>
        <v>-59371.6080614398</v>
      </c>
      <c r="W77" s="170" t="n">
        <f aca="false">-W76*0.2</f>
        <v>-57745.8305971199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203816.5802368</v>
      </c>
      <c r="E78" s="170" t="n">
        <f aca="false">SUM(E76:E77)</f>
        <v>-11647.4209911471</v>
      </c>
      <c r="F78" s="170" t="n">
        <f aca="false">SUM(F76:F77)</f>
        <v>5049.37778090637</v>
      </c>
      <c r="G78" s="170" t="n">
        <f aca="false">SUM(G76:G77)</f>
        <v>21746.1765529597</v>
      </c>
      <c r="H78" s="170" t="n">
        <f aca="false">SUM(H76:H77)</f>
        <v>38442.9753250128</v>
      </c>
      <c r="I78" s="170" t="n">
        <f aca="false">SUM(I76:I77)</f>
        <v>55139.7740970661</v>
      </c>
      <c r="J78" s="170" t="n">
        <f aca="false">SUM(J76:J77)</f>
        <v>71836.5728691196</v>
      </c>
      <c r="K78" s="170" t="n">
        <f aca="false">SUM(K76:K77)</f>
        <v>88533.3716411728</v>
      </c>
      <c r="L78" s="170" t="n">
        <f aca="false">SUM(L76:L77)</f>
        <v>105230.170413226</v>
      </c>
      <c r="M78" s="170" t="n">
        <f aca="false">SUM(M76:M77)</f>
        <v>121926.969185279</v>
      </c>
      <c r="N78" s="170" t="n">
        <f aca="false">SUM(N76:N77)</f>
        <v>173511.767957333</v>
      </c>
      <c r="O78" s="170" t="n">
        <f aca="false">SUM(O76:O77)</f>
        <v>190208.566729386</v>
      </c>
      <c r="P78" s="170" t="n">
        <f aca="false">SUM(P76:P77)</f>
        <v>206905.365501439</v>
      </c>
      <c r="Q78" s="170" t="n">
        <f aca="false">SUM(Q76:Q77)</f>
        <v>223602.164273493</v>
      </c>
      <c r="R78" s="170" t="n">
        <f aca="false">SUM(R76:R77)</f>
        <v>240298.963045546</v>
      </c>
      <c r="S78" s="170" t="n">
        <f aca="false">SUM(S76:S77)</f>
        <v>256995.761817599</v>
      </c>
      <c r="T78" s="170" t="n">
        <f aca="false">SUM(T76:T77)</f>
        <v>250492.651960319</v>
      </c>
      <c r="U78" s="170" t="n">
        <f aca="false">SUM(U76:U77)</f>
        <v>243989.542103039</v>
      </c>
      <c r="V78" s="170" t="n">
        <f aca="false">SUM(V76:V77)</f>
        <v>237486.432245759</v>
      </c>
      <c r="W78" s="170" t="n">
        <f aca="false">SUM(W76:W77)</f>
        <v>230983.322388479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203816.5802368</v>
      </c>
      <c r="E85" s="206" t="n">
        <f aca="false">E78</f>
        <v>-11647.4209911471</v>
      </c>
      <c r="F85" s="206" t="n">
        <f aca="false">F78</f>
        <v>5049.37778090637</v>
      </c>
      <c r="G85" s="206" t="n">
        <f aca="false">G78</f>
        <v>21746.1765529597</v>
      </c>
      <c r="H85" s="206" t="n">
        <f aca="false">H78</f>
        <v>38442.9753250128</v>
      </c>
      <c r="I85" s="206" t="n">
        <f aca="false">I78</f>
        <v>55139.7740970661</v>
      </c>
      <c r="J85" s="206" t="n">
        <f aca="false">J78</f>
        <v>71836.5728691196</v>
      </c>
      <c r="K85" s="206" t="n">
        <f aca="false">K78</f>
        <v>88533.3716411728</v>
      </c>
      <c r="L85" s="206" t="n">
        <f aca="false">L78</f>
        <v>105230.170413226</v>
      </c>
      <c r="M85" s="206" t="n">
        <f aca="false">M78</f>
        <v>121926.969185279</v>
      </c>
      <c r="N85" s="206" t="n">
        <f aca="false">N78</f>
        <v>173511.767957333</v>
      </c>
      <c r="O85" s="206" t="n">
        <f aca="false">O78</f>
        <v>190208.566729386</v>
      </c>
      <c r="P85" s="206" t="n">
        <f aca="false">P78</f>
        <v>206905.365501439</v>
      </c>
      <c r="Q85" s="206" t="n">
        <f aca="false">Q78</f>
        <v>223602.164273493</v>
      </c>
      <c r="R85" s="206" t="n">
        <f aca="false">R78</f>
        <v>240298.963045546</v>
      </c>
      <c r="S85" s="206" t="n">
        <f aca="false">S78</f>
        <v>256995.761817599</v>
      </c>
      <c r="T85" s="206" t="n">
        <f aca="false">T78</f>
        <v>250492.651960319</v>
      </c>
      <c r="U85" s="206" t="n">
        <f aca="false">U78</f>
        <v>243989.542103039</v>
      </c>
      <c r="V85" s="206" t="n">
        <f aca="false">V78</f>
        <v>237486.432245759</v>
      </c>
      <c r="W85" s="206" t="n">
        <f aca="false">W78</f>
        <v>230983.322388479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1062215</v>
      </c>
      <c r="E86" s="207" t="n">
        <f aca="false">-E67</f>
        <v>1062215</v>
      </c>
      <c r="F86" s="207" t="n">
        <f aca="false">-F67</f>
        <v>1062215</v>
      </c>
      <c r="G86" s="207" t="n">
        <f aca="false">-G67</f>
        <v>1062215</v>
      </c>
      <c r="H86" s="207" t="n">
        <f aca="false">-H67</f>
        <v>1062215</v>
      </c>
      <c r="I86" s="207" t="n">
        <f aca="false">-I67</f>
        <v>1062215</v>
      </c>
      <c r="J86" s="207" t="n">
        <f aca="false">-J67</f>
        <v>1062215</v>
      </c>
      <c r="K86" s="207" t="n">
        <f aca="false">-K67</f>
        <v>1062215</v>
      </c>
      <c r="L86" s="207" t="n">
        <f aca="false">-L67</f>
        <v>1062215</v>
      </c>
      <c r="M86" s="207" t="n">
        <f aca="false">-M67</f>
        <v>1062215</v>
      </c>
      <c r="N86" s="207" t="n">
        <f aca="false">-N67</f>
        <v>1062215</v>
      </c>
      <c r="O86" s="207" t="n">
        <f aca="false">-O67</f>
        <v>1062215</v>
      </c>
      <c r="P86" s="207" t="n">
        <f aca="false">-P67</f>
        <v>1062215</v>
      </c>
      <c r="Q86" s="207" t="n">
        <f aca="false">-Q67</f>
        <v>1062215</v>
      </c>
      <c r="R86" s="207" t="n">
        <f aca="false">-R67</f>
        <v>1062215</v>
      </c>
      <c r="S86" s="207" t="n">
        <f aca="false">-S67</f>
        <v>1062215</v>
      </c>
      <c r="T86" s="207" t="n">
        <f aca="false">-T67</f>
        <v>1062215</v>
      </c>
      <c r="U86" s="207" t="n">
        <f aca="false">-U67</f>
        <v>1062215</v>
      </c>
      <c r="V86" s="207" t="n">
        <f aca="false">-V67</f>
        <v>1062215</v>
      </c>
      <c r="W86" s="207" t="n">
        <f aca="false">-W67</f>
        <v>1062215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1266031.5802368</v>
      </c>
      <c r="E87" s="209" t="n">
        <f aca="false">SUM(E85:E86)</f>
        <v>1050567.57900885</v>
      </c>
      <c r="F87" s="209" t="n">
        <f aca="false">SUM(F85:F86)</f>
        <v>1067264.37778091</v>
      </c>
      <c r="G87" s="209" t="n">
        <f aca="false">SUM(G85:G86)</f>
        <v>1083961.17655296</v>
      </c>
      <c r="H87" s="209" t="n">
        <f aca="false">SUM(H85:H86)</f>
        <v>1100657.97532501</v>
      </c>
      <c r="I87" s="209" t="n">
        <f aca="false">SUM(I85:I86)</f>
        <v>1117354.77409707</v>
      </c>
      <c r="J87" s="209" t="n">
        <f aca="false">SUM(J85:J86)</f>
        <v>1134051.57286912</v>
      </c>
      <c r="K87" s="209" t="n">
        <f aca="false">SUM(K85:K86)</f>
        <v>1150748.37164117</v>
      </c>
      <c r="L87" s="209" t="n">
        <f aca="false">SUM(L85:L86)</f>
        <v>1167445.17041323</v>
      </c>
      <c r="M87" s="209" t="n">
        <f aca="false">SUM(M85:M86)</f>
        <v>1184141.96918528</v>
      </c>
      <c r="N87" s="209" t="n">
        <f aca="false">SUM(N85:N86)</f>
        <v>1235726.76795733</v>
      </c>
      <c r="O87" s="209" t="n">
        <f aca="false">SUM(O85:O86)</f>
        <v>1252423.56672939</v>
      </c>
      <c r="P87" s="209" t="n">
        <f aca="false">SUM(P85:P86)</f>
        <v>1269120.36550144</v>
      </c>
      <c r="Q87" s="209" t="n">
        <f aca="false">SUM(Q85:Q86)</f>
        <v>1285817.16427349</v>
      </c>
      <c r="R87" s="209" t="n">
        <f aca="false">SUM(R85:R86)</f>
        <v>1302513.96304555</v>
      </c>
      <c r="S87" s="209" t="n">
        <f aca="false">SUM(S85:S86)</f>
        <v>1319210.7618176</v>
      </c>
      <c r="T87" s="209" t="n">
        <f aca="false">SUM(T85:T86)</f>
        <v>1312707.65196032</v>
      </c>
      <c r="U87" s="209" t="n">
        <f aca="false">SUM(U85:U86)</f>
        <v>1306204.54210304</v>
      </c>
      <c r="V87" s="209" t="n">
        <f aca="false">SUM(V85:V86)</f>
        <v>1299701.43224576</v>
      </c>
      <c r="W87" s="209" t="n">
        <f aca="false">SUM(W85:W86)</f>
        <v>1293198.32238848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-21244300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16995440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-1133029.33333333</v>
      </c>
      <c r="F93" s="215" t="n">
        <v>-1133029.33333333</v>
      </c>
      <c r="G93" s="215" t="n">
        <v>-1133029.33333333</v>
      </c>
      <c r="H93" s="215" t="n">
        <v>-1133029.33333333</v>
      </c>
      <c r="I93" s="215" t="n">
        <v>-1133029.33333333</v>
      </c>
      <c r="J93" s="215" t="n">
        <v>-1133029.33333333</v>
      </c>
      <c r="K93" s="215" t="n">
        <v>-1133029.33333333</v>
      </c>
      <c r="L93" s="215" t="n">
        <v>-1133029.33333333</v>
      </c>
      <c r="M93" s="215" t="n">
        <v>-1133029.33333333</v>
      </c>
      <c r="N93" s="215" t="n">
        <v>-1133029.33333333</v>
      </c>
      <c r="O93" s="215" t="n">
        <v>-1133029.33333333</v>
      </c>
      <c r="P93" s="215" t="n">
        <v>-1133029.33333333</v>
      </c>
      <c r="Q93" s="215" t="n">
        <v>-1133029.33333333</v>
      </c>
      <c r="R93" s="215" t="n">
        <v>-1133029.33333333</v>
      </c>
      <c r="S93" s="215" t="n">
        <v>-1133029.33333333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4248860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-183434.92221312</v>
      </c>
      <c r="F95" s="216" t="n">
        <f aca="false">-E85*$D$33</f>
        <v>10482.6788920324</v>
      </c>
      <c r="G95" s="216" t="n">
        <f aca="false">-F85*$D$33</f>
        <v>-4544.44000281574</v>
      </c>
      <c r="H95" s="216" t="n">
        <f aca="false">-G85*$D$33</f>
        <v>-19571.5588976637</v>
      </c>
      <c r="I95" s="216" t="n">
        <f aca="false">-H85*$D$33</f>
        <v>-34598.6777925115</v>
      </c>
      <c r="J95" s="216" t="n">
        <f aca="false">-I85*$D$33</f>
        <v>-49625.7966873595</v>
      </c>
      <c r="K95" s="216" t="n">
        <f aca="false">-J85*$D$33</f>
        <v>-64652.9155822077</v>
      </c>
      <c r="L95" s="216" t="n">
        <f aca="false">-K85*$D$33</f>
        <v>-79680.0344770555</v>
      </c>
      <c r="M95" s="216" t="n">
        <f aca="false">-L85*$D$33</f>
        <v>-94707.1533719035</v>
      </c>
      <c r="N95" s="216" t="n">
        <f aca="false">-M85*$D$33</f>
        <v>-109734.272266751</v>
      </c>
      <c r="O95" s="216" t="n">
        <f aca="false">-N85*$D$33</f>
        <v>-156160.591161599</v>
      </c>
      <c r="P95" s="216" t="n">
        <f aca="false">-O85*$D$33</f>
        <v>-171187.710056447</v>
      </c>
      <c r="Q95" s="216" t="n">
        <f aca="false">-P85*$D$33</f>
        <v>-186214.828951295</v>
      </c>
      <c r="R95" s="216" t="n">
        <f aca="false">-Q85*$D$33</f>
        <v>-201241.947846143</v>
      </c>
      <c r="S95" s="216" t="n">
        <f aca="false">-R85*$D$33</f>
        <v>-216269.066740992</v>
      </c>
      <c r="T95" s="216" t="n">
        <f aca="false">-S85*$D$33</f>
        <v>-231296.185635839</v>
      </c>
      <c r="U95" s="216" t="n">
        <f aca="false">-T85*$D$33</f>
        <v>-225443.386764287</v>
      </c>
      <c r="V95" s="216" t="n">
        <f aca="false">-U85*$D$33</f>
        <v>-219590.587892736</v>
      </c>
      <c r="W95" s="216" t="n">
        <f aca="false">-V85*$D$33</f>
        <v>-213737.789021183</v>
      </c>
      <c r="X95" s="216" t="n">
        <f aca="false">-W85*$D$33</f>
        <v>-207884.990149631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-1062215</v>
      </c>
      <c r="U96" s="219" t="n">
        <v>-1062215</v>
      </c>
      <c r="V96" s="219" t="n">
        <v>-1062215</v>
      </c>
      <c r="W96" s="219" t="n">
        <v>-1062215</v>
      </c>
      <c r="X96" s="220" t="n">
        <f aca="false">-W101-X95</f>
        <v>-295454.908513289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1266031.5802368</v>
      </c>
      <c r="E99" s="206" t="n">
        <f aca="false">SUM(E87:E96)</f>
        <v>-265896.6765376</v>
      </c>
      <c r="F99" s="206" t="n">
        <f aca="false">SUM(F87:F96)</f>
        <v>-55282.276660394</v>
      </c>
      <c r="G99" s="206" t="n">
        <f aca="false">SUM(G87:G96)</f>
        <v>-53612.5967831888</v>
      </c>
      <c r="H99" s="206" t="n">
        <f aca="false">SUM(H87:H96)</f>
        <v>-51942.9169059837</v>
      </c>
      <c r="I99" s="206" t="n">
        <f aca="false">SUM(I87:I96)</f>
        <v>-50273.2370287782</v>
      </c>
      <c r="J99" s="206" t="n">
        <f aca="false">SUM(J87:J96)</f>
        <v>-48603.5571515726</v>
      </c>
      <c r="K99" s="206" t="n">
        <f aca="false">SUM(K87:K96)</f>
        <v>-46933.8772743677</v>
      </c>
      <c r="L99" s="206" t="n">
        <f aca="false">SUM(L87:L96)</f>
        <v>-45264.1973971622</v>
      </c>
      <c r="M99" s="206" t="n">
        <f aca="false">SUM(M87:M96)</f>
        <v>-43594.5175199568</v>
      </c>
      <c r="N99" s="206" t="n">
        <f aca="false">SUM(N87:N96)</f>
        <v>-7036.83764275147</v>
      </c>
      <c r="O99" s="206" t="n">
        <f aca="false">SUM(O87:O96)</f>
        <v>-36766.3577655462</v>
      </c>
      <c r="P99" s="206" t="n">
        <f aca="false">SUM(P87:P96)</f>
        <v>-35096.6778883408</v>
      </c>
      <c r="Q99" s="206" t="n">
        <f aca="false">SUM(Q87:Q96)</f>
        <v>-33426.9980111355</v>
      </c>
      <c r="R99" s="206" t="n">
        <f aca="false">SUM(R87:R96)</f>
        <v>-31757.3181339302</v>
      </c>
      <c r="S99" s="206" t="n">
        <f aca="false">SUM(S87:S96)</f>
        <v>-30087.6382567249</v>
      </c>
      <c r="T99" s="206" t="n">
        <f aca="false">SUM(T87:T96)</f>
        <v>19196.4663244798</v>
      </c>
      <c r="U99" s="206" t="n">
        <f aca="false">SUM(U87:U96)</f>
        <v>18546.1553387523</v>
      </c>
      <c r="V99" s="206" t="n">
        <f aca="false">SUM(V87:V96)</f>
        <v>17895.8443530239</v>
      </c>
      <c r="W99" s="206" t="n">
        <f aca="false">SUM(W87:W96)</f>
        <v>17245.5333672964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1266031.5802368</v>
      </c>
      <c r="F100" s="206" t="n">
        <f aca="false">E101</f>
        <v>1000134.9036992</v>
      </c>
      <c r="G100" s="206" t="n">
        <f aca="false">F101</f>
        <v>944852.627038807</v>
      </c>
      <c r="H100" s="206" t="n">
        <f aca="false">G101</f>
        <v>891240.030255618</v>
      </c>
      <c r="I100" s="206" t="n">
        <f aca="false">H101</f>
        <v>839297.113349634</v>
      </c>
      <c r="J100" s="206" t="n">
        <f aca="false">I101</f>
        <v>789023.876320856</v>
      </c>
      <c r="K100" s="206" t="n">
        <f aca="false">J101</f>
        <v>740420.319169283</v>
      </c>
      <c r="L100" s="206" t="n">
        <f aca="false">K101</f>
        <v>693486.441894916</v>
      </c>
      <c r="M100" s="206" t="n">
        <f aca="false">L101</f>
        <v>648222.244497754</v>
      </c>
      <c r="N100" s="206" t="n">
        <f aca="false">M101</f>
        <v>604627.726977797</v>
      </c>
      <c r="O100" s="206" t="n">
        <f aca="false">N101</f>
        <v>597590.889335045</v>
      </c>
      <c r="P100" s="206" t="n">
        <f aca="false">O101</f>
        <v>560824.531569499</v>
      </c>
      <c r="Q100" s="206" t="n">
        <f aca="false">P101</f>
        <v>525727.853681158</v>
      </c>
      <c r="R100" s="206" t="n">
        <f aca="false">Q101</f>
        <v>492300.855670023</v>
      </c>
      <c r="S100" s="206" t="n">
        <f aca="false">R101</f>
        <v>460543.537536093</v>
      </c>
      <c r="T100" s="206" t="n">
        <f aca="false">S101</f>
        <v>430455.899279368</v>
      </c>
      <c r="U100" s="206" t="n">
        <f aca="false">T101</f>
        <v>449652.365603848</v>
      </c>
      <c r="V100" s="206" t="n">
        <f aca="false">U101</f>
        <v>468198.5209426</v>
      </c>
      <c r="W100" s="206" t="n">
        <f aca="false">V101</f>
        <v>486094.365295624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1266031.5802368</v>
      </c>
      <c r="E101" s="206" t="n">
        <f aca="false">E99+E100</f>
        <v>1000134.9036992</v>
      </c>
      <c r="F101" s="206" t="n">
        <f aca="false">F99+F100</f>
        <v>944852.627038807</v>
      </c>
      <c r="G101" s="206" t="n">
        <f aca="false">G99+G100</f>
        <v>891240.030255618</v>
      </c>
      <c r="H101" s="206" t="n">
        <f aca="false">H99+H100</f>
        <v>839297.113349634</v>
      </c>
      <c r="I101" s="206" t="n">
        <f aca="false">I99+I100</f>
        <v>789023.876320856</v>
      </c>
      <c r="J101" s="206" t="n">
        <f aca="false">J99+J100</f>
        <v>740420.319169283</v>
      </c>
      <c r="K101" s="206" t="n">
        <f aca="false">K99+K100</f>
        <v>693486.441894916</v>
      </c>
      <c r="L101" s="206" t="n">
        <f aca="false">L99+L100</f>
        <v>648222.244497754</v>
      </c>
      <c r="M101" s="206" t="n">
        <f aca="false">M99+M100</f>
        <v>604627.726977797</v>
      </c>
      <c r="N101" s="206" t="n">
        <f aca="false">N99+N100</f>
        <v>597590.889335045</v>
      </c>
      <c r="O101" s="206" t="n">
        <f aca="false">O99+O100</f>
        <v>560824.531569499</v>
      </c>
      <c r="P101" s="206" t="n">
        <f aca="false">P99+P100</f>
        <v>525727.853681158</v>
      </c>
      <c r="Q101" s="206" t="n">
        <f aca="false">Q99+Q100</f>
        <v>492300.855670023</v>
      </c>
      <c r="R101" s="206" t="n">
        <f aca="false">R99+R100</f>
        <v>460543.537536093</v>
      </c>
      <c r="S101" s="206" t="n">
        <f aca="false">S99+S100</f>
        <v>430455.899279368</v>
      </c>
      <c r="T101" s="206" t="n">
        <f aca="false">T99+T100</f>
        <v>449652.365603848</v>
      </c>
      <c r="U101" s="206" t="n">
        <f aca="false">U99+U100</f>
        <v>468198.5209426</v>
      </c>
      <c r="V101" s="206" t="n">
        <f aca="false">V99+V100</f>
        <v>486094.365295624</v>
      </c>
      <c r="W101" s="206" t="n">
        <f aca="false">W99+W100</f>
        <v>503339.89866292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-4248860</v>
      </c>
      <c r="E104" s="209" t="n">
        <f aca="false">-E95-E96</f>
        <v>183434.92221312</v>
      </c>
      <c r="F104" s="209" t="n">
        <f aca="false">-F95-F96</f>
        <v>-10482.6788920324</v>
      </c>
      <c r="G104" s="209" t="n">
        <f aca="false">-G95-G96</f>
        <v>4544.44000281574</v>
      </c>
      <c r="H104" s="209" t="n">
        <f aca="false">-H95-H96</f>
        <v>19571.5588976637</v>
      </c>
      <c r="I104" s="209" t="n">
        <f aca="false">-I95-I96</f>
        <v>34598.6777925115</v>
      </c>
      <c r="J104" s="209" t="n">
        <f aca="false">-J95-J96</f>
        <v>49625.7966873595</v>
      </c>
      <c r="K104" s="209" t="n">
        <f aca="false">-K95-K96</f>
        <v>64652.9155822077</v>
      </c>
      <c r="L104" s="209" t="n">
        <f aca="false">-L95-L96</f>
        <v>79680.0344770555</v>
      </c>
      <c r="M104" s="209" t="n">
        <f aca="false">-M95-M96</f>
        <v>94707.1533719035</v>
      </c>
      <c r="N104" s="209" t="n">
        <f aca="false">-N95-N96</f>
        <v>109734.272266751</v>
      </c>
      <c r="O104" s="209" t="n">
        <f aca="false">-O95-O96</f>
        <v>156160.591161599</v>
      </c>
      <c r="P104" s="209" t="n">
        <f aca="false">-P95-P96</f>
        <v>171187.710056447</v>
      </c>
      <c r="Q104" s="209" t="n">
        <f aca="false">-Q95-Q96</f>
        <v>186214.828951295</v>
      </c>
      <c r="R104" s="209" t="n">
        <f aca="false">-R95-R96</f>
        <v>201241.947846143</v>
      </c>
      <c r="S104" s="209" t="n">
        <f aca="false">-S95-S96</f>
        <v>216269.066740992</v>
      </c>
      <c r="T104" s="209" t="n">
        <f aca="false">-T95-T96</f>
        <v>1293511.18563584</v>
      </c>
      <c r="U104" s="209" t="n">
        <f aca="false">-U95-U96</f>
        <v>1287658.38676429</v>
      </c>
      <c r="V104" s="209" t="n">
        <f aca="false">-V95-V96</f>
        <v>1281805.58789274</v>
      </c>
      <c r="W104" s="209" t="n">
        <f aca="false">-W95-W96</f>
        <v>1275952.78902118</v>
      </c>
      <c r="X104" s="209" t="n">
        <f aca="false">-X95-X96</f>
        <v>503339.89866292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0.0339055818549728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-4045043.4197632</v>
      </c>
      <c r="E106" s="209" t="n">
        <f aca="false">E85</f>
        <v>-11647.4209911471</v>
      </c>
      <c r="F106" s="209" t="n">
        <f aca="false">F85-F96</f>
        <v>5049.37778090637</v>
      </c>
      <c r="G106" s="209" t="n">
        <f aca="false">G85-G96</f>
        <v>21746.1765529597</v>
      </c>
      <c r="H106" s="209" t="n">
        <f aca="false">H85-H96</f>
        <v>38442.9753250128</v>
      </c>
      <c r="I106" s="209" t="n">
        <f aca="false">I85-I96</f>
        <v>55139.7740970661</v>
      </c>
      <c r="J106" s="209" t="n">
        <f aca="false">J85-J96</f>
        <v>71836.5728691196</v>
      </c>
      <c r="K106" s="209" t="n">
        <f aca="false">K85-K96</f>
        <v>88533.3716411728</v>
      </c>
      <c r="L106" s="209" t="n">
        <f aca="false">L85-L96</f>
        <v>105230.170413226</v>
      </c>
      <c r="M106" s="209" t="n">
        <f aca="false">M85-M96</f>
        <v>121926.969185279</v>
      </c>
      <c r="N106" s="209" t="n">
        <f aca="false">N85-N96</f>
        <v>173511.767957333</v>
      </c>
      <c r="O106" s="209" t="n">
        <f aca="false">O85-O96</f>
        <v>190208.566729386</v>
      </c>
      <c r="P106" s="209" t="n">
        <f aca="false">P85-P96</f>
        <v>206905.365501439</v>
      </c>
      <c r="Q106" s="209" t="n">
        <f aca="false">Q85-Q96</f>
        <v>223602.164273493</v>
      </c>
      <c r="R106" s="209" t="n">
        <f aca="false">R85-R96</f>
        <v>240298.963045546</v>
      </c>
      <c r="S106" s="209" t="n">
        <f aca="false">S85-S96</f>
        <v>256995.761817599</v>
      </c>
      <c r="T106" s="209" t="n">
        <f aca="false">T85-T96</f>
        <v>1312707.65196032</v>
      </c>
      <c r="U106" s="209" t="n">
        <f aca="false">U85-U96</f>
        <v>1306204.54210304</v>
      </c>
      <c r="V106" s="209" t="n">
        <f aca="false">V85-V96</f>
        <v>1299701.43224576</v>
      </c>
      <c r="W106" s="209" t="n">
        <f aca="false">W85-W96</f>
        <v>1293198.32238848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0.0356204420053227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16995440</v>
      </c>
      <c r="E109" s="206" t="n">
        <f aca="false">D109+E93</f>
        <v>15862410.6666667</v>
      </c>
      <c r="F109" s="206" t="n">
        <f aca="false">E109+F93</f>
        <v>14729381.3333333</v>
      </c>
      <c r="G109" s="206" t="n">
        <f aca="false">F109+G93</f>
        <v>13596352</v>
      </c>
      <c r="H109" s="206" t="n">
        <f aca="false">G109+H93</f>
        <v>12463322.6666667</v>
      </c>
      <c r="I109" s="206" t="n">
        <f aca="false">H109+I93</f>
        <v>11330293.3333333</v>
      </c>
      <c r="J109" s="206" t="n">
        <f aca="false">I109+J93</f>
        <v>10197264</v>
      </c>
      <c r="K109" s="206" t="n">
        <f aca="false">J109+K93</f>
        <v>9064234.66666668</v>
      </c>
      <c r="L109" s="206" t="n">
        <f aca="false">K109+L93</f>
        <v>7931205.33333335</v>
      </c>
      <c r="M109" s="206" t="n">
        <f aca="false">L109+M93</f>
        <v>6798176.00000001</v>
      </c>
      <c r="N109" s="206" t="n">
        <f aca="false">M109+N93</f>
        <v>5665146.66666668</v>
      </c>
      <c r="O109" s="206" t="n">
        <f aca="false">N109+O93</f>
        <v>4532117.33333335</v>
      </c>
      <c r="P109" s="206" t="n">
        <f aca="false">O109+P93</f>
        <v>3399088.00000001</v>
      </c>
      <c r="Q109" s="206" t="n">
        <f aca="false">P109+Q93</f>
        <v>2266058.66666668</v>
      </c>
      <c r="R109" s="206" t="n">
        <f aca="false">Q109+R93</f>
        <v>1133029.33333335</v>
      </c>
      <c r="S109" s="206" t="n">
        <f aca="false">R109+S93</f>
        <v>1.49011611938477E-008</v>
      </c>
      <c r="T109" s="206" t="n">
        <f aca="false">S109+T93</f>
        <v>1.49011611938477E-008</v>
      </c>
      <c r="U109" s="206" t="n">
        <f aca="false">T109+U93</f>
        <v>1.49011611938477E-008</v>
      </c>
      <c r="V109" s="206" t="n">
        <f aca="false">U109+V93</f>
        <v>1.49011611938477E-008</v>
      </c>
      <c r="W109" s="206" t="n">
        <f aca="false">V109+W93</f>
        <v>1.49011611938477E-008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30000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-19998300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-39249</v>
      </c>
      <c r="E49" s="170" t="n">
        <v>-39249</v>
      </c>
      <c r="F49" s="170" t="n">
        <v>-39249</v>
      </c>
      <c r="G49" s="170" t="n">
        <v>-39249</v>
      </c>
      <c r="H49" s="170" t="n">
        <v>-39249</v>
      </c>
      <c r="I49" s="170" t="n">
        <v>-39249</v>
      </c>
      <c r="J49" s="170" t="n">
        <v>-39249</v>
      </c>
      <c r="K49" s="170" t="n">
        <v>-39249</v>
      </c>
      <c r="L49" s="170" t="n">
        <v>-39249</v>
      </c>
      <c r="M49" s="170" t="n">
        <v>-39249</v>
      </c>
      <c r="N49" s="170" t="n">
        <v>-39249</v>
      </c>
      <c r="O49" s="170" t="n">
        <v>-39249</v>
      </c>
      <c r="P49" s="170" t="n">
        <v>-39249</v>
      </c>
      <c r="Q49" s="170" t="n">
        <v>-39249</v>
      </c>
      <c r="R49" s="170" t="n">
        <v>-39249</v>
      </c>
      <c r="S49" s="170" t="n">
        <v>-39249</v>
      </c>
      <c r="T49" s="170" t="n">
        <v>-39249</v>
      </c>
      <c r="U49" s="170" t="n">
        <v>-39249</v>
      </c>
      <c r="V49" s="170" t="n">
        <v>-39249</v>
      </c>
      <c r="W49" s="170" t="n">
        <v>-39249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-150937.1224192</v>
      </c>
      <c r="E54" s="170" t="n">
        <f aca="false">-(E64+E67+E68+E71+E72+E73+E74)*0.2</f>
        <v>-91271.1449548799</v>
      </c>
      <c r="F54" s="170" t="n">
        <f aca="false">-(F64+F67+F68+F71+F72+F73+F74)*0.2</f>
        <v>-89645.36749056</v>
      </c>
      <c r="G54" s="170" t="n">
        <f aca="false">-(G64+G67+G68+G71+G72+G73+G74)*0.2</f>
        <v>-88019.59002624</v>
      </c>
      <c r="H54" s="170" t="n">
        <f aca="false">-(H64+H67+H68+H71+H72+H73+H74)*0.2</f>
        <v>-86393.8125619199</v>
      </c>
      <c r="I54" s="170" t="n">
        <f aca="false">-(I64+I67+I68+I71+I72+I73+I74)*0.2</f>
        <v>-84768.0350975999</v>
      </c>
      <c r="J54" s="170" t="n">
        <f aca="false">-(J64+J67+J68+J71+J72+J73+J74)*0.2</f>
        <v>-83142.25763328</v>
      </c>
      <c r="K54" s="170" t="n">
        <f aca="false">-(K64+K67+K68+K71+K72+K73+K74)*0.2</f>
        <v>-81516.4801689599</v>
      </c>
      <c r="L54" s="170" t="n">
        <f aca="false">-(L64+L67+L68+L71+L72+L73+L74)*0.2</f>
        <v>-79890.7027046399</v>
      </c>
      <c r="M54" s="170" t="n">
        <f aca="false">-(M64+M67+M68+M71+M72+M73+M74)*0.2</f>
        <v>-78264.9252403199</v>
      </c>
      <c r="N54" s="170" t="n">
        <f aca="false">-(N64+N67+N68+N71+N72+N73+N74)*0.2</f>
        <v>-85361.1477759999</v>
      </c>
      <c r="O54" s="170" t="n">
        <f aca="false">-(O64+O67+O68+O71+O72+O73+O74)*0.2</f>
        <v>-83735.3703116799</v>
      </c>
      <c r="P54" s="170" t="n">
        <f aca="false">-(P64+P67+P68+P71+P72+P73+P74)*0.2</f>
        <v>-82109.5928473599</v>
      </c>
      <c r="Q54" s="170" t="n">
        <f aca="false">-(Q64+Q67+Q68+Q71+Q72+Q73+Q74)*0.2</f>
        <v>-80483.8153830399</v>
      </c>
      <c r="R54" s="170" t="n">
        <f aca="false">-(R64+R67+R68+R71+R72+R73+R74)*0.2</f>
        <v>-78858.0379187199</v>
      </c>
      <c r="S54" s="170" t="n">
        <f aca="false">-(S64+S67+S68+S71+S72+S73+S74)*0.2</f>
        <v>-77232.2604543999</v>
      </c>
      <c r="T54" s="170" t="n">
        <f aca="false">-(T64+T67+T68+T71+T72+T73+T74)*0.2</f>
        <v>-75606.4829900799</v>
      </c>
      <c r="U54" s="170" t="n">
        <f aca="false">-(U64+U67+U68+U71+U72+U73+U74)*0.2</f>
        <v>-73980.7055257599</v>
      </c>
      <c r="V54" s="170" t="n">
        <f aca="false">-(V64+V67+V68+V71+V72+V73+V74)*0.2</f>
        <v>-72354.9280614399</v>
      </c>
      <c r="W54" s="170" t="n">
        <f aca="false">-(W64+W67+W68+W71+W72+W73+W74)*0.2</f>
        <v>-70729.1505971199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-19998300</v>
      </c>
      <c r="D55" s="175" t="n">
        <f aca="false">SUM(D41:D54)</f>
        <v>1603663.4896768</v>
      </c>
      <c r="E55" s="175" t="n">
        <f aca="false">SUM(E41:E54)</f>
        <v>1364999.57981952</v>
      </c>
      <c r="F55" s="175" t="n">
        <f aca="false">SUM(F41:F54)</f>
        <v>1358496.46996224</v>
      </c>
      <c r="G55" s="175" t="n">
        <f aca="false">SUM(G41:G54)</f>
        <v>1351993.36010496</v>
      </c>
      <c r="H55" s="175" t="n">
        <f aca="false">SUM(H41:H54)</f>
        <v>1345490.25024768</v>
      </c>
      <c r="I55" s="175" t="n">
        <f aca="false">SUM(I41:I54)</f>
        <v>1338987.1403904</v>
      </c>
      <c r="J55" s="175" t="n">
        <f aca="false">SUM(J41:J54)</f>
        <v>1332484.03053312</v>
      </c>
      <c r="K55" s="175" t="n">
        <f aca="false">SUM(K41:K54)</f>
        <v>1325980.92067584</v>
      </c>
      <c r="L55" s="175" t="n">
        <f aca="false">SUM(L41:L54)</f>
        <v>1319477.81081856</v>
      </c>
      <c r="M55" s="175" t="n">
        <f aca="false">SUM(M41:M54)</f>
        <v>1312974.70096128</v>
      </c>
      <c r="N55" s="175" t="n">
        <f aca="false">SUM(N41:N54)</f>
        <v>1341359.591104</v>
      </c>
      <c r="O55" s="175" t="n">
        <f aca="false">SUM(O41:O54)</f>
        <v>1334856.48124672</v>
      </c>
      <c r="P55" s="175" t="n">
        <f aca="false">SUM(P41:P54)</f>
        <v>1328353.37138944</v>
      </c>
      <c r="Q55" s="175" t="n">
        <f aca="false">SUM(Q41:Q54)</f>
        <v>1321850.26153216</v>
      </c>
      <c r="R55" s="175" t="n">
        <f aca="false">SUM(R41:R54)</f>
        <v>1315347.15167488</v>
      </c>
      <c r="S55" s="175" t="n">
        <f aca="false">SUM(S41:S54)</f>
        <v>1308844.0418176</v>
      </c>
      <c r="T55" s="175" t="n">
        <f aca="false">SUM(T41:T54)</f>
        <v>1302340.93196032</v>
      </c>
      <c r="U55" s="175" t="n">
        <f aca="false">SUM(U41:U54)</f>
        <v>1295837.82210304</v>
      </c>
      <c r="V55" s="175" t="n">
        <f aca="false">SUM(V41:V54)</f>
        <v>1289334.71224576</v>
      </c>
      <c r="W55" s="175" t="n">
        <f aca="false">SUM(W41:W54)</f>
        <v>1282831.60238848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-18394636.5103232</v>
      </c>
      <c r="E56" s="180" t="n">
        <f aca="false">D56+E55</f>
        <v>-17029636.9305037</v>
      </c>
      <c r="F56" s="180" t="n">
        <f aca="false">E56+F55</f>
        <v>-15671140.4605414</v>
      </c>
      <c r="G56" s="180" t="n">
        <f aca="false">F56+G55</f>
        <v>-14319147.1004365</v>
      </c>
      <c r="H56" s="180" t="n">
        <f aca="false">G56+H55</f>
        <v>-12973656.8501888</v>
      </c>
      <c r="I56" s="180" t="n">
        <f aca="false">H56+I55</f>
        <v>-11634669.7097984</v>
      </c>
      <c r="J56" s="180" t="n">
        <f aca="false">I56+J55</f>
        <v>-10302185.6792653</v>
      </c>
      <c r="K56" s="180" t="n">
        <f aca="false">J56+K55</f>
        <v>-8976204.75858945</v>
      </c>
      <c r="L56" s="180" t="n">
        <f aca="false">K56+L55</f>
        <v>-7656726.94777089</v>
      </c>
      <c r="M56" s="180" t="n">
        <f aca="false">L56+M55</f>
        <v>-6343752.24680961</v>
      </c>
      <c r="N56" s="180" t="n">
        <f aca="false">M56+N55</f>
        <v>-5002392.65570561</v>
      </c>
      <c r="O56" s="180" t="n">
        <f aca="false">N56+O55</f>
        <v>-3667536.17445889</v>
      </c>
      <c r="P56" s="180" t="n">
        <f aca="false">O56+P55</f>
        <v>-2339182.80306945</v>
      </c>
      <c r="Q56" s="180" t="n">
        <f aca="false">P56+Q55</f>
        <v>-1017332.54153729</v>
      </c>
      <c r="R56" s="180" t="n">
        <f aca="false">Q56+R55</f>
        <v>298014.610137594</v>
      </c>
      <c r="S56" s="180" t="n">
        <f aca="false">R56+S55</f>
        <v>1606858.65195519</v>
      </c>
      <c r="T56" s="180" t="n">
        <f aca="false">S56+T55</f>
        <v>2909199.58391551</v>
      </c>
      <c r="U56" s="180" t="n">
        <f aca="false">T56+U55</f>
        <v>4205037.40601855</v>
      </c>
      <c r="V56" s="180" t="n">
        <f aca="false">U56+V55</f>
        <v>5494372.11826431</v>
      </c>
      <c r="W56" s="180" t="n">
        <f aca="false">V56+W55</f>
        <v>6777203.72065279</v>
      </c>
      <c r="X56" s="180" t="n">
        <f aca="false">W56+X55</f>
        <v>6777203.72065279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0.0301569734386716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-999915</v>
      </c>
      <c r="E67" s="191" t="n">
        <f aca="false">$C$44/$E$16</f>
        <v>-999915</v>
      </c>
      <c r="F67" s="191" t="n">
        <f aca="false">$C$44/$E$16</f>
        <v>-999915</v>
      </c>
      <c r="G67" s="191" t="n">
        <f aca="false">$C$44/$E$16</f>
        <v>-999915</v>
      </c>
      <c r="H67" s="191" t="n">
        <f aca="false">$C$44/$E$16</f>
        <v>-999915</v>
      </c>
      <c r="I67" s="191" t="n">
        <f aca="false">$C$44/$E$16</f>
        <v>-999915</v>
      </c>
      <c r="J67" s="191" t="n">
        <f aca="false">$C$44/$E$16</f>
        <v>-999915</v>
      </c>
      <c r="K67" s="191" t="n">
        <f aca="false">$C$44/$E$16</f>
        <v>-999915</v>
      </c>
      <c r="L67" s="191" t="n">
        <f aca="false">$C$44/$E$16</f>
        <v>-999915</v>
      </c>
      <c r="M67" s="191" t="n">
        <f aca="false">$C$44/$E$16</f>
        <v>-999915</v>
      </c>
      <c r="N67" s="191" t="n">
        <f aca="false">$C$44/$E$16</f>
        <v>-999915</v>
      </c>
      <c r="O67" s="191" t="n">
        <f aca="false">$C$44/$E$16</f>
        <v>-999915</v>
      </c>
      <c r="P67" s="191" t="n">
        <f aca="false">$C$44/$E$16</f>
        <v>-999915</v>
      </c>
      <c r="Q67" s="191" t="n">
        <f aca="false">$C$44/$E$16</f>
        <v>-999915</v>
      </c>
      <c r="R67" s="191" t="n">
        <f aca="false">$C$44/$E$16</f>
        <v>-999915</v>
      </c>
      <c r="S67" s="191" t="n">
        <f aca="false">$C$44/$E$16</f>
        <v>-999915</v>
      </c>
      <c r="T67" s="191" t="n">
        <f aca="false">$C$44/$E$16</f>
        <v>-999915</v>
      </c>
      <c r="U67" s="191" t="n">
        <f aca="false">$C$44/$E$16</f>
        <v>-999915</v>
      </c>
      <c r="V67" s="191" t="n">
        <f aca="false">$C$44/$E$16</f>
        <v>-999915</v>
      </c>
      <c r="W67" s="191" t="n">
        <f aca="false">$C$44/$E$16</f>
        <v>-999915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-409485.1908</v>
      </c>
      <c r="E70" s="170" t="n">
        <f aca="false">-E109*$D25</f>
        <v>-382186.17808</v>
      </c>
      <c r="F70" s="170" t="n">
        <f aca="false">-F109*$D25</f>
        <v>-354887.16536</v>
      </c>
      <c r="G70" s="170" t="n">
        <f aca="false">-G109*$D25</f>
        <v>-327588.15264</v>
      </c>
      <c r="H70" s="170" t="n">
        <f aca="false">-H109*$D25</f>
        <v>-300289.13992</v>
      </c>
      <c r="I70" s="170" t="n">
        <f aca="false">-I109*$D25</f>
        <v>-272990.1272</v>
      </c>
      <c r="J70" s="170" t="n">
        <f aca="false">-J109*$D25</f>
        <v>-245691.11448</v>
      </c>
      <c r="K70" s="170" t="n">
        <f aca="false">-K109*$D25</f>
        <v>-218392.10176</v>
      </c>
      <c r="L70" s="170" t="n">
        <f aca="false">-L109*$D25</f>
        <v>-191093.08904</v>
      </c>
      <c r="M70" s="170" t="n">
        <f aca="false">-M109*$D25</f>
        <v>-163794.07632</v>
      </c>
      <c r="N70" s="170" t="n">
        <f aca="false">-N109*$D25</f>
        <v>-136495.0636</v>
      </c>
      <c r="O70" s="170" t="n">
        <f aca="false">-O109*$D25</f>
        <v>-109196.05088</v>
      </c>
      <c r="P70" s="170" t="n">
        <f aca="false">-P109*$D25</f>
        <v>-81897.0381600001</v>
      </c>
      <c r="Q70" s="170" t="n">
        <f aca="false">-Q109*$D25</f>
        <v>-54598.0254400001</v>
      </c>
      <c r="R70" s="170" t="n">
        <f aca="false">-R109*$D25</f>
        <v>-27299.0127200001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-39249</v>
      </c>
      <c r="E72" s="170" t="n">
        <f aca="false">E49</f>
        <v>-39249</v>
      </c>
      <c r="F72" s="170" t="n">
        <f aca="false">F49</f>
        <v>-39249</v>
      </c>
      <c r="G72" s="170" t="n">
        <f aca="false">G49</f>
        <v>-39249</v>
      </c>
      <c r="H72" s="170" t="n">
        <f aca="false">H49</f>
        <v>-39249</v>
      </c>
      <c r="I72" s="170" t="n">
        <f aca="false">I49</f>
        <v>-39249</v>
      </c>
      <c r="J72" s="170" t="n">
        <f aca="false">J49</f>
        <v>-39249</v>
      </c>
      <c r="K72" s="170" t="n">
        <f aca="false">K49</f>
        <v>-39249</v>
      </c>
      <c r="L72" s="170" t="n">
        <f aca="false">L49</f>
        <v>-39249</v>
      </c>
      <c r="M72" s="170" t="n">
        <f aca="false">M49</f>
        <v>-39249</v>
      </c>
      <c r="N72" s="170" t="n">
        <f aca="false">N49</f>
        <v>-39249</v>
      </c>
      <c r="O72" s="170" t="n">
        <f aca="false">O49</f>
        <v>-39249</v>
      </c>
      <c r="P72" s="170" t="n">
        <f aca="false">P49</f>
        <v>-39249</v>
      </c>
      <c r="Q72" s="170" t="n">
        <f aca="false">Q49</f>
        <v>-39249</v>
      </c>
      <c r="R72" s="170" t="n">
        <f aca="false">R49</f>
        <v>-39249</v>
      </c>
      <c r="S72" s="170" t="n">
        <f aca="false">S49</f>
        <v>-39249</v>
      </c>
      <c r="T72" s="170" t="n">
        <f aca="false">T49</f>
        <v>-39249</v>
      </c>
      <c r="U72" s="170" t="n">
        <f aca="false">U49</f>
        <v>-39249</v>
      </c>
      <c r="V72" s="170" t="n">
        <f aca="false">V49</f>
        <v>-39249</v>
      </c>
      <c r="W72" s="170" t="n">
        <f aca="false">W49</f>
        <v>-39249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345200.421295999</v>
      </c>
      <c r="E76" s="175" t="n">
        <f aca="false">SUM(E64:E75)</f>
        <v>74169.5466943994</v>
      </c>
      <c r="F76" s="175" t="n">
        <f aca="false">SUM(F64:F75)</f>
        <v>93339.6720927997</v>
      </c>
      <c r="G76" s="175" t="n">
        <f aca="false">SUM(G64:G75)</f>
        <v>112509.7974912</v>
      </c>
      <c r="H76" s="175" t="n">
        <f aca="false">SUM(H64:H75)</f>
        <v>131679.922889599</v>
      </c>
      <c r="I76" s="175" t="n">
        <f aca="false">SUM(I64:I75)</f>
        <v>150850.048287999</v>
      </c>
      <c r="J76" s="175" t="n">
        <f aca="false">SUM(J64:J75)</f>
        <v>170020.1736864</v>
      </c>
      <c r="K76" s="175" t="n">
        <f aca="false">SUM(K64:K75)</f>
        <v>189190.299084799</v>
      </c>
      <c r="L76" s="175" t="n">
        <f aca="false">SUM(L64:L75)</f>
        <v>208360.4244832</v>
      </c>
      <c r="M76" s="175" t="n">
        <f aca="false">SUM(M64:M75)</f>
        <v>227530.5498816</v>
      </c>
      <c r="N76" s="175" t="n">
        <f aca="false">SUM(N64:N75)</f>
        <v>290310.67528</v>
      </c>
      <c r="O76" s="175" t="n">
        <f aca="false">SUM(O64:O75)</f>
        <v>309480.8006784</v>
      </c>
      <c r="P76" s="175" t="n">
        <f aca="false">SUM(P64:P75)</f>
        <v>328650.9260768</v>
      </c>
      <c r="Q76" s="175" t="n">
        <f aca="false">SUM(Q64:Q75)</f>
        <v>347821.0514752</v>
      </c>
      <c r="R76" s="175" t="n">
        <f aca="false">SUM(R64:R75)</f>
        <v>366991.1768736</v>
      </c>
      <c r="S76" s="175" t="n">
        <f aca="false">SUM(S64:S75)</f>
        <v>386161.302272</v>
      </c>
      <c r="T76" s="175" t="n">
        <f aca="false">SUM(T64:T75)</f>
        <v>378032.414950399</v>
      </c>
      <c r="U76" s="175" t="n">
        <f aca="false">SUM(U64:U75)</f>
        <v>369903.5276288</v>
      </c>
      <c r="V76" s="175" t="n">
        <f aca="false">SUM(V64:V75)</f>
        <v>361774.640307199</v>
      </c>
      <c r="W76" s="175" t="n">
        <f aca="false">SUM(W64:W75)</f>
        <v>353645.7529856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-69040.0842591999</v>
      </c>
      <c r="E77" s="170" t="n">
        <f aca="false">-E76*0.2</f>
        <v>-14833.9093388799</v>
      </c>
      <c r="F77" s="170" t="n">
        <f aca="false">-F76*0.2</f>
        <v>-18667.9344185599</v>
      </c>
      <c r="G77" s="170" t="n">
        <f aca="false">-G76*0.2</f>
        <v>-22501.9594982399</v>
      </c>
      <c r="H77" s="170" t="n">
        <f aca="false">-H76*0.2</f>
        <v>-26335.9845779199</v>
      </c>
      <c r="I77" s="170" t="n">
        <f aca="false">-I76*0.2</f>
        <v>-30170.0096575999</v>
      </c>
      <c r="J77" s="170" t="n">
        <f aca="false">-J76*0.2</f>
        <v>-34004.0347372799</v>
      </c>
      <c r="K77" s="170" t="n">
        <f aca="false">-K76*0.2</f>
        <v>-37838.0598169599</v>
      </c>
      <c r="L77" s="170" t="n">
        <f aca="false">-L76*0.2</f>
        <v>-41672.0848966399</v>
      </c>
      <c r="M77" s="170" t="n">
        <f aca="false">-M76*0.2</f>
        <v>-45506.1099763199</v>
      </c>
      <c r="N77" s="170" t="n">
        <f aca="false">-N76*0.2</f>
        <v>-58062.1350559999</v>
      </c>
      <c r="O77" s="170" t="n">
        <f aca="false">-O76*0.2</f>
        <v>-61896.1601356799</v>
      </c>
      <c r="P77" s="170" t="n">
        <f aca="false">-P76*0.2</f>
        <v>-65730.1852153599</v>
      </c>
      <c r="Q77" s="170" t="n">
        <f aca="false">-Q76*0.2</f>
        <v>-69564.2102950399</v>
      </c>
      <c r="R77" s="170" t="n">
        <f aca="false">-R76*0.2</f>
        <v>-73398.2353747199</v>
      </c>
      <c r="S77" s="170" t="n">
        <f aca="false">-S76*0.2</f>
        <v>-77232.2604543999</v>
      </c>
      <c r="T77" s="170" t="n">
        <f aca="false">-T76*0.2</f>
        <v>-75606.4829900799</v>
      </c>
      <c r="U77" s="170" t="n">
        <f aca="false">-U76*0.2</f>
        <v>-73980.7055257599</v>
      </c>
      <c r="V77" s="170" t="n">
        <f aca="false">-V76*0.2</f>
        <v>-72354.9280614399</v>
      </c>
      <c r="W77" s="170" t="n">
        <f aca="false">-W76*0.2</f>
        <v>-70729.1505971199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276160.3370368</v>
      </c>
      <c r="E78" s="170" t="n">
        <f aca="false">SUM(E76:E77)</f>
        <v>59335.6373555196</v>
      </c>
      <c r="F78" s="170" t="n">
        <f aca="false">SUM(F76:F77)</f>
        <v>74671.7376742398</v>
      </c>
      <c r="G78" s="170" t="n">
        <f aca="false">SUM(G76:G77)</f>
        <v>90007.8379929597</v>
      </c>
      <c r="H78" s="170" t="n">
        <f aca="false">SUM(H76:H77)</f>
        <v>105343.93831168</v>
      </c>
      <c r="I78" s="170" t="n">
        <f aca="false">SUM(I76:I77)</f>
        <v>120680.0386304</v>
      </c>
      <c r="J78" s="170" t="n">
        <f aca="false">SUM(J76:J77)</f>
        <v>136016.13894912</v>
      </c>
      <c r="K78" s="170" t="n">
        <f aca="false">SUM(K76:K77)</f>
        <v>151352.23926784</v>
      </c>
      <c r="L78" s="170" t="n">
        <f aca="false">SUM(L76:L77)</f>
        <v>166688.33958656</v>
      </c>
      <c r="M78" s="170" t="n">
        <f aca="false">SUM(M76:M77)</f>
        <v>182024.43990528</v>
      </c>
      <c r="N78" s="170" t="n">
        <f aca="false">SUM(N76:N77)</f>
        <v>232248.540224</v>
      </c>
      <c r="O78" s="170" t="n">
        <f aca="false">SUM(O76:O77)</f>
        <v>247584.64054272</v>
      </c>
      <c r="P78" s="170" t="n">
        <f aca="false">SUM(P76:P77)</f>
        <v>262920.74086144</v>
      </c>
      <c r="Q78" s="170" t="n">
        <f aca="false">SUM(Q76:Q77)</f>
        <v>278256.84118016</v>
      </c>
      <c r="R78" s="170" t="n">
        <f aca="false">SUM(R76:R77)</f>
        <v>293592.94149888</v>
      </c>
      <c r="S78" s="170" t="n">
        <f aca="false">SUM(S76:S77)</f>
        <v>308929.0418176</v>
      </c>
      <c r="T78" s="170" t="n">
        <f aca="false">SUM(T76:T77)</f>
        <v>302425.93196032</v>
      </c>
      <c r="U78" s="170" t="n">
        <f aca="false">SUM(U76:U77)</f>
        <v>295922.82210304</v>
      </c>
      <c r="V78" s="170" t="n">
        <f aca="false">SUM(V76:V77)</f>
        <v>289419.71224576</v>
      </c>
      <c r="W78" s="170" t="n">
        <f aca="false">SUM(W76:W77)</f>
        <v>282916.60238848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276160.3370368</v>
      </c>
      <c r="E85" s="206" t="n">
        <f aca="false">E78</f>
        <v>59335.6373555196</v>
      </c>
      <c r="F85" s="206" t="n">
        <f aca="false">F78</f>
        <v>74671.7376742398</v>
      </c>
      <c r="G85" s="206" t="n">
        <f aca="false">G78</f>
        <v>90007.8379929597</v>
      </c>
      <c r="H85" s="206" t="n">
        <f aca="false">H78</f>
        <v>105343.93831168</v>
      </c>
      <c r="I85" s="206" t="n">
        <f aca="false">I78</f>
        <v>120680.0386304</v>
      </c>
      <c r="J85" s="206" t="n">
        <f aca="false">J78</f>
        <v>136016.13894912</v>
      </c>
      <c r="K85" s="206" t="n">
        <f aca="false">K78</f>
        <v>151352.23926784</v>
      </c>
      <c r="L85" s="206" t="n">
        <f aca="false">L78</f>
        <v>166688.33958656</v>
      </c>
      <c r="M85" s="206" t="n">
        <f aca="false">M78</f>
        <v>182024.43990528</v>
      </c>
      <c r="N85" s="206" t="n">
        <f aca="false">N78</f>
        <v>232248.540224</v>
      </c>
      <c r="O85" s="206" t="n">
        <f aca="false">O78</f>
        <v>247584.64054272</v>
      </c>
      <c r="P85" s="206" t="n">
        <f aca="false">P78</f>
        <v>262920.74086144</v>
      </c>
      <c r="Q85" s="206" t="n">
        <f aca="false">Q78</f>
        <v>278256.84118016</v>
      </c>
      <c r="R85" s="206" t="n">
        <f aca="false">R78</f>
        <v>293592.94149888</v>
      </c>
      <c r="S85" s="206" t="n">
        <f aca="false">S78</f>
        <v>308929.0418176</v>
      </c>
      <c r="T85" s="206" t="n">
        <f aca="false">T78</f>
        <v>302425.93196032</v>
      </c>
      <c r="U85" s="206" t="n">
        <f aca="false">U78</f>
        <v>295922.82210304</v>
      </c>
      <c r="V85" s="206" t="n">
        <f aca="false">V78</f>
        <v>289419.71224576</v>
      </c>
      <c r="W85" s="206" t="n">
        <f aca="false">W78</f>
        <v>282916.60238848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999915</v>
      </c>
      <c r="E86" s="207" t="n">
        <f aca="false">-E67</f>
        <v>999915</v>
      </c>
      <c r="F86" s="207" t="n">
        <f aca="false">-F67</f>
        <v>999915</v>
      </c>
      <c r="G86" s="207" t="n">
        <f aca="false">-G67</f>
        <v>999915</v>
      </c>
      <c r="H86" s="207" t="n">
        <f aca="false">-H67</f>
        <v>999915</v>
      </c>
      <c r="I86" s="207" t="n">
        <f aca="false">-I67</f>
        <v>999915</v>
      </c>
      <c r="J86" s="207" t="n">
        <f aca="false">-J67</f>
        <v>999915</v>
      </c>
      <c r="K86" s="207" t="n">
        <f aca="false">-K67</f>
        <v>999915</v>
      </c>
      <c r="L86" s="207" t="n">
        <f aca="false">-L67</f>
        <v>999915</v>
      </c>
      <c r="M86" s="207" t="n">
        <f aca="false">-M67</f>
        <v>999915</v>
      </c>
      <c r="N86" s="207" t="n">
        <f aca="false">-N67</f>
        <v>999915</v>
      </c>
      <c r="O86" s="207" t="n">
        <f aca="false">-O67</f>
        <v>999915</v>
      </c>
      <c r="P86" s="207" t="n">
        <f aca="false">-P67</f>
        <v>999915</v>
      </c>
      <c r="Q86" s="207" t="n">
        <f aca="false">-Q67</f>
        <v>999915</v>
      </c>
      <c r="R86" s="207" t="n">
        <f aca="false">-R67</f>
        <v>999915</v>
      </c>
      <c r="S86" s="207" t="n">
        <f aca="false">-S67</f>
        <v>999915</v>
      </c>
      <c r="T86" s="207" t="n">
        <f aca="false">-T67</f>
        <v>999915</v>
      </c>
      <c r="U86" s="207" t="n">
        <f aca="false">-U67</f>
        <v>999915</v>
      </c>
      <c r="V86" s="207" t="n">
        <f aca="false">-V67</f>
        <v>999915</v>
      </c>
      <c r="W86" s="207" t="n">
        <f aca="false">-W67</f>
        <v>999915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1276075.3370368</v>
      </c>
      <c r="E87" s="209" t="n">
        <f aca="false">SUM(E85:E86)</f>
        <v>1059250.63735552</v>
      </c>
      <c r="F87" s="209" t="n">
        <f aca="false">SUM(F85:F86)</f>
        <v>1074586.73767424</v>
      </c>
      <c r="G87" s="209" t="n">
        <f aca="false">SUM(G85:G86)</f>
        <v>1089922.83799296</v>
      </c>
      <c r="H87" s="209" t="n">
        <f aca="false">SUM(H85:H86)</f>
        <v>1105258.93831168</v>
      </c>
      <c r="I87" s="209" t="n">
        <f aca="false">SUM(I85:I86)</f>
        <v>1120595.0386304</v>
      </c>
      <c r="J87" s="209" t="n">
        <f aca="false">SUM(J85:J86)</f>
        <v>1135931.13894912</v>
      </c>
      <c r="K87" s="209" t="n">
        <f aca="false">SUM(K85:K86)</f>
        <v>1151267.23926784</v>
      </c>
      <c r="L87" s="209" t="n">
        <f aca="false">SUM(L85:L86)</f>
        <v>1166603.33958656</v>
      </c>
      <c r="M87" s="209" t="n">
        <f aca="false">SUM(M85:M86)</f>
        <v>1181939.43990528</v>
      </c>
      <c r="N87" s="209" t="n">
        <f aca="false">SUM(N85:N86)</f>
        <v>1232163.540224</v>
      </c>
      <c r="O87" s="209" t="n">
        <f aca="false">SUM(O85:O86)</f>
        <v>1247499.64054272</v>
      </c>
      <c r="P87" s="209" t="n">
        <f aca="false">SUM(P85:P86)</f>
        <v>1262835.74086144</v>
      </c>
      <c r="Q87" s="209" t="n">
        <f aca="false">SUM(Q85:Q86)</f>
        <v>1278171.84118016</v>
      </c>
      <c r="R87" s="209" t="n">
        <f aca="false">SUM(R85:R86)</f>
        <v>1293507.94149888</v>
      </c>
      <c r="S87" s="209" t="n">
        <f aca="false">SUM(S85:S86)</f>
        <v>1308844.0418176</v>
      </c>
      <c r="T87" s="209" t="n">
        <f aca="false">SUM(T85:T86)</f>
        <v>1302340.93196032</v>
      </c>
      <c r="U87" s="209" t="n">
        <f aca="false">SUM(U85:U86)</f>
        <v>1295837.82210304</v>
      </c>
      <c r="V87" s="209" t="n">
        <f aca="false">SUM(V85:V86)</f>
        <v>1289334.71224576</v>
      </c>
      <c r="W87" s="209" t="n">
        <f aca="false">SUM(W85:W86)</f>
        <v>1282831.60238848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-19998300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15998640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-1066576</v>
      </c>
      <c r="F93" s="215" t="n">
        <v>-1066576</v>
      </c>
      <c r="G93" s="215" t="n">
        <v>-1066576</v>
      </c>
      <c r="H93" s="215" t="n">
        <v>-1066576</v>
      </c>
      <c r="I93" s="215" t="n">
        <v>-1066576</v>
      </c>
      <c r="J93" s="215" t="n">
        <v>-1066576</v>
      </c>
      <c r="K93" s="215" t="n">
        <v>-1066576</v>
      </c>
      <c r="L93" s="215" t="n">
        <v>-1066576</v>
      </c>
      <c r="M93" s="215" t="n">
        <v>-1066576</v>
      </c>
      <c r="N93" s="215" t="n">
        <v>-1066576</v>
      </c>
      <c r="O93" s="215" t="n">
        <v>-1066576</v>
      </c>
      <c r="P93" s="215" t="n">
        <v>-1066576</v>
      </c>
      <c r="Q93" s="215" t="n">
        <v>-1066576</v>
      </c>
      <c r="R93" s="215" t="n">
        <v>-1066576</v>
      </c>
      <c r="S93" s="215" t="n">
        <v>-1066576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3999660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-248544.30333312</v>
      </c>
      <c r="F95" s="216" t="n">
        <f aca="false">-E85*$D$33</f>
        <v>-53402.0736199676</v>
      </c>
      <c r="G95" s="216" t="n">
        <f aca="false">-F85*$D$33</f>
        <v>-67204.5639068158</v>
      </c>
      <c r="H95" s="216" t="n">
        <f aca="false">-G85*$D$33</f>
        <v>-81007.0541936638</v>
      </c>
      <c r="I95" s="216" t="n">
        <f aca="false">-H85*$D$33</f>
        <v>-94809.5444805116</v>
      </c>
      <c r="J95" s="216" t="n">
        <f aca="false">-I85*$D$33</f>
        <v>-108612.03476736</v>
      </c>
      <c r="K95" s="216" t="n">
        <f aca="false">-J85*$D$33</f>
        <v>-122414.525054208</v>
      </c>
      <c r="L95" s="216" t="n">
        <f aca="false">-K85*$D$33</f>
        <v>-136217.015341056</v>
      </c>
      <c r="M95" s="216" t="n">
        <f aca="false">-L85*$D$33</f>
        <v>-150019.505627904</v>
      </c>
      <c r="N95" s="216" t="n">
        <f aca="false">-M85*$D$33</f>
        <v>-163821.995914752</v>
      </c>
      <c r="O95" s="216" t="n">
        <f aca="false">-N85*$D$33</f>
        <v>-209023.6862016</v>
      </c>
      <c r="P95" s="216" t="n">
        <f aca="false">-O85*$D$33</f>
        <v>-222826.176488448</v>
      </c>
      <c r="Q95" s="216" t="n">
        <f aca="false">-P85*$D$33</f>
        <v>-236628.666775296</v>
      </c>
      <c r="R95" s="216" t="n">
        <f aca="false">-Q85*$D$33</f>
        <v>-250431.157062144</v>
      </c>
      <c r="S95" s="216" t="n">
        <f aca="false">-R85*$D$33</f>
        <v>-264233.647348992</v>
      </c>
      <c r="T95" s="216" t="n">
        <f aca="false">-S85*$D$33</f>
        <v>-278036.13763584</v>
      </c>
      <c r="U95" s="216" t="n">
        <f aca="false">-T85*$D$33</f>
        <v>-272183.338764288</v>
      </c>
      <c r="V95" s="216" t="n">
        <f aca="false">-U85*$D$33</f>
        <v>-266330.539892736</v>
      </c>
      <c r="W95" s="216" t="n">
        <f aca="false">-V85*$D$33</f>
        <v>-260477.741021184</v>
      </c>
      <c r="X95" s="216" t="n">
        <f aca="false">-W85*$D$33</f>
        <v>-254624.942149632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-999915</v>
      </c>
      <c r="U96" s="219" t="n">
        <v>-999915</v>
      </c>
      <c r="V96" s="219" t="n">
        <v>-999915</v>
      </c>
      <c r="W96" s="219" t="n">
        <v>-999915</v>
      </c>
      <c r="X96" s="220" t="n">
        <f aca="false">-W101-X95</f>
        <v>-415649.849953283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1276075.3370368</v>
      </c>
      <c r="E99" s="206" t="n">
        <f aca="false">SUM(E87:E96)</f>
        <v>-255869.6659776</v>
      </c>
      <c r="F99" s="206" t="n">
        <f aca="false">SUM(F87:F96)</f>
        <v>-45391.3359457276</v>
      </c>
      <c r="G99" s="206" t="n">
        <f aca="false">SUM(G87:G96)</f>
        <v>-43857.7259138559</v>
      </c>
      <c r="H99" s="206" t="n">
        <f aca="false">SUM(H87:H96)</f>
        <v>-42324.115881984</v>
      </c>
      <c r="I99" s="206" t="n">
        <f aca="false">SUM(I87:I96)</f>
        <v>-40790.5058501118</v>
      </c>
      <c r="J99" s="206" t="n">
        <f aca="false">SUM(J87:J96)</f>
        <v>-39256.8958182397</v>
      </c>
      <c r="K99" s="206" t="n">
        <f aca="false">SUM(K87:K96)</f>
        <v>-37723.285786368</v>
      </c>
      <c r="L99" s="206" t="n">
        <f aca="false">SUM(L87:L96)</f>
        <v>-36189.6757544957</v>
      </c>
      <c r="M99" s="206" t="n">
        <f aca="false">SUM(M87:M96)</f>
        <v>-34656.0657226239</v>
      </c>
      <c r="N99" s="206" t="n">
        <f aca="false">SUM(N87:N96)</f>
        <v>1765.54430924822</v>
      </c>
      <c r="O99" s="206" t="n">
        <f aca="false">SUM(O87:O96)</f>
        <v>-28100.0456588799</v>
      </c>
      <c r="P99" s="206" t="n">
        <f aca="false">SUM(P87:P96)</f>
        <v>-26566.4356270078</v>
      </c>
      <c r="Q99" s="206" t="n">
        <f aca="false">SUM(Q87:Q96)</f>
        <v>-25032.8255951359</v>
      </c>
      <c r="R99" s="206" t="n">
        <f aca="false">SUM(R87:R96)</f>
        <v>-23499.2155632638</v>
      </c>
      <c r="S99" s="206" t="n">
        <f aca="false">SUM(S87:S96)</f>
        <v>-21965.6055313917</v>
      </c>
      <c r="T99" s="206" t="n">
        <f aca="false">SUM(T87:T96)</f>
        <v>24389.7943244799</v>
      </c>
      <c r="U99" s="206" t="n">
        <f aca="false">SUM(U87:U96)</f>
        <v>23739.4833387523</v>
      </c>
      <c r="V99" s="206" t="n">
        <f aca="false">SUM(V87:V96)</f>
        <v>23089.172353024</v>
      </c>
      <c r="W99" s="206" t="n">
        <f aca="false">SUM(W87:W96)</f>
        <v>22438.8613672964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1276075.3370368</v>
      </c>
      <c r="F100" s="206" t="n">
        <f aca="false">E101</f>
        <v>1020205.6710592</v>
      </c>
      <c r="G100" s="206" t="n">
        <f aca="false">F101</f>
        <v>974814.335113472</v>
      </c>
      <c r="H100" s="206" t="n">
        <f aca="false">G101</f>
        <v>930956.609199616</v>
      </c>
      <c r="I100" s="206" t="n">
        <f aca="false">H101</f>
        <v>888632.493317632</v>
      </c>
      <c r="J100" s="206" t="n">
        <f aca="false">I101</f>
        <v>847841.987467521</v>
      </c>
      <c r="K100" s="206" t="n">
        <f aca="false">J101</f>
        <v>808585.091649281</v>
      </c>
      <c r="L100" s="206" t="n">
        <f aca="false">K101</f>
        <v>770861.805862913</v>
      </c>
      <c r="M100" s="206" t="n">
        <f aca="false">L101</f>
        <v>734672.130108417</v>
      </c>
      <c r="N100" s="206" t="n">
        <f aca="false">M101</f>
        <v>700016.064385793</v>
      </c>
      <c r="O100" s="206" t="n">
        <f aca="false">N101</f>
        <v>701781.608695042</v>
      </c>
      <c r="P100" s="206" t="n">
        <f aca="false">O101</f>
        <v>673681.563036162</v>
      </c>
      <c r="Q100" s="206" t="n">
        <f aca="false">P101</f>
        <v>647115.127409154</v>
      </c>
      <c r="R100" s="206" t="n">
        <f aca="false">Q101</f>
        <v>622082.301814018</v>
      </c>
      <c r="S100" s="206" t="n">
        <f aca="false">R101</f>
        <v>598583.086250754</v>
      </c>
      <c r="T100" s="206" t="n">
        <f aca="false">S101</f>
        <v>576617.480719362</v>
      </c>
      <c r="U100" s="206" t="n">
        <f aca="false">T101</f>
        <v>601007.275043842</v>
      </c>
      <c r="V100" s="206" t="n">
        <f aca="false">U101</f>
        <v>624746.758382595</v>
      </c>
      <c r="W100" s="206" t="n">
        <f aca="false">V101</f>
        <v>647835.930735619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1276075.3370368</v>
      </c>
      <c r="E101" s="206" t="n">
        <f aca="false">E99+E100</f>
        <v>1020205.6710592</v>
      </c>
      <c r="F101" s="206" t="n">
        <f aca="false">F99+F100</f>
        <v>974814.335113472</v>
      </c>
      <c r="G101" s="206" t="n">
        <f aca="false">G99+G100</f>
        <v>930956.609199616</v>
      </c>
      <c r="H101" s="206" t="n">
        <f aca="false">H99+H100</f>
        <v>888632.493317632</v>
      </c>
      <c r="I101" s="206" t="n">
        <f aca="false">I99+I100</f>
        <v>847841.987467521</v>
      </c>
      <c r="J101" s="206" t="n">
        <f aca="false">J99+J100</f>
        <v>808585.091649281</v>
      </c>
      <c r="K101" s="206" t="n">
        <f aca="false">K99+K100</f>
        <v>770861.805862913</v>
      </c>
      <c r="L101" s="206" t="n">
        <f aca="false">L99+L100</f>
        <v>734672.130108417</v>
      </c>
      <c r="M101" s="206" t="n">
        <f aca="false">M99+M100</f>
        <v>700016.064385793</v>
      </c>
      <c r="N101" s="206" t="n">
        <f aca="false">N99+N100</f>
        <v>701781.608695042</v>
      </c>
      <c r="O101" s="206" t="n">
        <f aca="false">O99+O100</f>
        <v>673681.563036162</v>
      </c>
      <c r="P101" s="206" t="n">
        <f aca="false">P99+P100</f>
        <v>647115.127409154</v>
      </c>
      <c r="Q101" s="206" t="n">
        <f aca="false">Q99+Q100</f>
        <v>622082.301814018</v>
      </c>
      <c r="R101" s="206" t="n">
        <f aca="false">R99+R100</f>
        <v>598583.086250754</v>
      </c>
      <c r="S101" s="206" t="n">
        <f aca="false">S99+S100</f>
        <v>576617.480719362</v>
      </c>
      <c r="T101" s="206" t="n">
        <f aca="false">T99+T100</f>
        <v>601007.275043842</v>
      </c>
      <c r="U101" s="206" t="n">
        <f aca="false">U99+U100</f>
        <v>624746.758382595</v>
      </c>
      <c r="V101" s="206" t="n">
        <f aca="false">V99+V100</f>
        <v>647835.930735619</v>
      </c>
      <c r="W101" s="206" t="n">
        <f aca="false">W99+W100</f>
        <v>670274.792102915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-3999660</v>
      </c>
      <c r="E104" s="209" t="n">
        <f aca="false">-E95-E96</f>
        <v>248544.30333312</v>
      </c>
      <c r="F104" s="209" t="n">
        <f aca="false">-F95-F96</f>
        <v>53402.0736199676</v>
      </c>
      <c r="G104" s="209" t="n">
        <f aca="false">-G95-G96</f>
        <v>67204.5639068158</v>
      </c>
      <c r="H104" s="209" t="n">
        <f aca="false">-H95-H96</f>
        <v>81007.0541936638</v>
      </c>
      <c r="I104" s="209" t="n">
        <f aca="false">-I95-I96</f>
        <v>94809.5444805116</v>
      </c>
      <c r="J104" s="209" t="n">
        <f aca="false">-J95-J96</f>
        <v>108612.03476736</v>
      </c>
      <c r="K104" s="209" t="n">
        <f aca="false">-K95-K96</f>
        <v>122414.525054208</v>
      </c>
      <c r="L104" s="209" t="n">
        <f aca="false">-L95-L96</f>
        <v>136217.015341056</v>
      </c>
      <c r="M104" s="209" t="n">
        <f aca="false">-M95-M96</f>
        <v>150019.505627904</v>
      </c>
      <c r="N104" s="209" t="n">
        <f aca="false">-N95-N96</f>
        <v>163821.995914752</v>
      </c>
      <c r="O104" s="209" t="n">
        <f aca="false">-O95-O96</f>
        <v>209023.6862016</v>
      </c>
      <c r="P104" s="209" t="n">
        <f aca="false">-P95-P96</f>
        <v>222826.176488448</v>
      </c>
      <c r="Q104" s="209" t="n">
        <f aca="false">-Q95-Q96</f>
        <v>236628.666775296</v>
      </c>
      <c r="R104" s="209" t="n">
        <f aca="false">-R95-R96</f>
        <v>250431.157062144</v>
      </c>
      <c r="S104" s="209" t="n">
        <f aca="false">-S95-S96</f>
        <v>264233.647348992</v>
      </c>
      <c r="T104" s="209" t="n">
        <f aca="false">-T95-T96</f>
        <v>1277951.13763584</v>
      </c>
      <c r="U104" s="209" t="n">
        <f aca="false">-U95-U96</f>
        <v>1272098.33876429</v>
      </c>
      <c r="V104" s="209" t="n">
        <f aca="false">-V95-V96</f>
        <v>1266245.53989274</v>
      </c>
      <c r="W104" s="209" t="n">
        <f aca="false">-W95-W96</f>
        <v>1260392.74102118</v>
      </c>
      <c r="X104" s="209" t="n">
        <f aca="false">-X95-X96</f>
        <v>670274.792102915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0.0497251590232519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-3723499.6629632</v>
      </c>
      <c r="E106" s="209" t="n">
        <f aca="false">E85</f>
        <v>59335.6373555196</v>
      </c>
      <c r="F106" s="209" t="n">
        <f aca="false">F85-F96</f>
        <v>74671.7376742398</v>
      </c>
      <c r="G106" s="209" t="n">
        <f aca="false">G85-G96</f>
        <v>90007.8379929597</v>
      </c>
      <c r="H106" s="209" t="n">
        <f aca="false">H85-H96</f>
        <v>105343.93831168</v>
      </c>
      <c r="I106" s="209" t="n">
        <f aca="false">I85-I96</f>
        <v>120680.0386304</v>
      </c>
      <c r="J106" s="209" t="n">
        <f aca="false">J85-J96</f>
        <v>136016.13894912</v>
      </c>
      <c r="K106" s="209" t="n">
        <f aca="false">K85-K96</f>
        <v>151352.23926784</v>
      </c>
      <c r="L106" s="209" t="n">
        <f aca="false">L85-L96</f>
        <v>166688.33958656</v>
      </c>
      <c r="M106" s="209" t="n">
        <f aca="false">M85-M96</f>
        <v>182024.43990528</v>
      </c>
      <c r="N106" s="209" t="n">
        <f aca="false">N85-N96</f>
        <v>232248.540224</v>
      </c>
      <c r="O106" s="209" t="n">
        <f aca="false">O85-O96</f>
        <v>247584.64054272</v>
      </c>
      <c r="P106" s="209" t="n">
        <f aca="false">P85-P96</f>
        <v>262920.74086144</v>
      </c>
      <c r="Q106" s="209" t="n">
        <f aca="false">Q85-Q96</f>
        <v>278256.84118016</v>
      </c>
      <c r="R106" s="209" t="n">
        <f aca="false">R85-R96</f>
        <v>293592.94149888</v>
      </c>
      <c r="S106" s="209" t="n">
        <f aca="false">S85-S96</f>
        <v>308929.0418176</v>
      </c>
      <c r="T106" s="209" t="n">
        <f aca="false">T85-T96</f>
        <v>1302340.93196032</v>
      </c>
      <c r="U106" s="209" t="n">
        <f aca="false">U85-U96</f>
        <v>1295837.82210304</v>
      </c>
      <c r="V106" s="209" t="n">
        <f aca="false">V85-V96</f>
        <v>1289334.71224576</v>
      </c>
      <c r="W106" s="209" t="n">
        <f aca="false">W85-W96</f>
        <v>1282831.60238848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0.0536516119105526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15998640</v>
      </c>
      <c r="E109" s="206" t="n">
        <f aca="false">D109+E93</f>
        <v>14932064</v>
      </c>
      <c r="F109" s="206" t="n">
        <f aca="false">E109+F93</f>
        <v>13865488</v>
      </c>
      <c r="G109" s="206" t="n">
        <f aca="false">F109+G93</f>
        <v>12798912</v>
      </c>
      <c r="H109" s="206" t="n">
        <f aca="false">G109+H93</f>
        <v>11732336</v>
      </c>
      <c r="I109" s="206" t="n">
        <f aca="false">H109+I93</f>
        <v>10665760</v>
      </c>
      <c r="J109" s="206" t="n">
        <f aca="false">I109+J93</f>
        <v>9599184</v>
      </c>
      <c r="K109" s="206" t="n">
        <f aca="false">J109+K93</f>
        <v>8532608</v>
      </c>
      <c r="L109" s="206" t="n">
        <f aca="false">K109+L93</f>
        <v>7466032</v>
      </c>
      <c r="M109" s="206" t="n">
        <f aca="false">L109+M93</f>
        <v>6399456</v>
      </c>
      <c r="N109" s="206" t="n">
        <f aca="false">M109+N93</f>
        <v>5332880</v>
      </c>
      <c r="O109" s="206" t="n">
        <f aca="false">N109+O93</f>
        <v>4266304</v>
      </c>
      <c r="P109" s="206" t="n">
        <f aca="false">O109+P93</f>
        <v>3199728</v>
      </c>
      <c r="Q109" s="206" t="n">
        <f aca="false">P109+Q93</f>
        <v>2133152</v>
      </c>
      <c r="R109" s="206" t="n">
        <f aca="false">Q109+R93</f>
        <v>1066576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150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151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152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155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156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157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28000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-18752300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-36632.4</v>
      </c>
      <c r="E49" s="170" t="n">
        <v>-36632.4</v>
      </c>
      <c r="F49" s="170" t="n">
        <v>-36632.4</v>
      </c>
      <c r="G49" s="170" t="n">
        <v>-36632.4</v>
      </c>
      <c r="H49" s="170" t="n">
        <v>-36632.4</v>
      </c>
      <c r="I49" s="170" t="n">
        <v>-36632.4</v>
      </c>
      <c r="J49" s="170" t="n">
        <v>-36632.4</v>
      </c>
      <c r="K49" s="170" t="n">
        <v>-36632.4</v>
      </c>
      <c r="L49" s="170" t="n">
        <v>-36632.4</v>
      </c>
      <c r="M49" s="170" t="n">
        <v>-36632.4</v>
      </c>
      <c r="N49" s="170" t="n">
        <v>-36632.4</v>
      </c>
      <c r="O49" s="170" t="n">
        <v>-36632.4</v>
      </c>
      <c r="P49" s="170" t="n">
        <v>-36632.4</v>
      </c>
      <c r="Q49" s="170" t="n">
        <v>-36632.4</v>
      </c>
      <c r="R49" s="170" t="n">
        <v>-36632.4</v>
      </c>
      <c r="S49" s="170" t="n">
        <v>-36632.4</v>
      </c>
      <c r="T49" s="170" t="n">
        <v>-36632.4</v>
      </c>
      <c r="U49" s="170" t="n">
        <v>-36632.4</v>
      </c>
      <c r="V49" s="170" t="n">
        <v>-36632.4</v>
      </c>
      <c r="W49" s="170" t="n">
        <v>-36632.4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-163920.4424192</v>
      </c>
      <c r="E54" s="170" t="n">
        <f aca="false">-(E64+E67+E68+E71+E72+E73+E74)*0.2</f>
        <v>-104254.46495488</v>
      </c>
      <c r="F54" s="170" t="n">
        <f aca="false">-(F64+F67+F68+F71+F72+F73+F74)*0.2</f>
        <v>-102628.68749056</v>
      </c>
      <c r="G54" s="170" t="n">
        <f aca="false">-(G64+G67+G68+G71+G72+G73+G74)*0.2</f>
        <v>-101002.91002624</v>
      </c>
      <c r="H54" s="170" t="n">
        <f aca="false">-(H64+H67+H68+H71+H72+H73+H74)*0.2</f>
        <v>-99377.13256192</v>
      </c>
      <c r="I54" s="170" t="n">
        <f aca="false">-(I64+I67+I68+I71+I72+I73+I74)*0.2</f>
        <v>-97751.3550976</v>
      </c>
      <c r="J54" s="170" t="n">
        <f aca="false">-(J64+J67+J68+J71+J72+J73+J74)*0.2</f>
        <v>-96125.57763328</v>
      </c>
      <c r="K54" s="170" t="n">
        <f aca="false">-(K64+K67+K68+K71+K72+K73+K74)*0.2</f>
        <v>-94499.80016896</v>
      </c>
      <c r="L54" s="170" t="n">
        <f aca="false">-(L64+L67+L68+L71+L72+L73+L74)*0.2</f>
        <v>-92874.02270464</v>
      </c>
      <c r="M54" s="170" t="n">
        <f aca="false">-(M64+M67+M68+M71+M72+M73+M74)*0.2</f>
        <v>-91248.24524032</v>
      </c>
      <c r="N54" s="170" t="n">
        <f aca="false">-(N64+N67+N68+N71+N72+N73+N74)*0.2</f>
        <v>-98344.467776</v>
      </c>
      <c r="O54" s="170" t="n">
        <f aca="false">-(O64+O67+O68+O71+O72+O73+O74)*0.2</f>
        <v>-96718.69031168</v>
      </c>
      <c r="P54" s="170" t="n">
        <f aca="false">-(P64+P67+P68+P71+P72+P73+P74)*0.2</f>
        <v>-95092.91284736</v>
      </c>
      <c r="Q54" s="170" t="n">
        <f aca="false">-(Q64+Q67+Q68+Q71+Q72+Q73+Q74)*0.2</f>
        <v>-93467.13538304</v>
      </c>
      <c r="R54" s="170" t="n">
        <f aca="false">-(R64+R67+R68+R71+R72+R73+R74)*0.2</f>
        <v>-91841.35791872</v>
      </c>
      <c r="S54" s="170" t="n">
        <f aca="false">-(S64+S67+S68+S71+S72+S73+S74)*0.2</f>
        <v>-90215.5804544</v>
      </c>
      <c r="T54" s="170" t="n">
        <f aca="false">-(T64+T67+T68+T71+T72+T73+T74)*0.2</f>
        <v>-88589.8029900799</v>
      </c>
      <c r="U54" s="170" t="n">
        <f aca="false">-(U64+U67+U68+U71+U72+U73+U74)*0.2</f>
        <v>-86964.02552576</v>
      </c>
      <c r="V54" s="170" t="n">
        <f aca="false">-(V64+V67+V68+V71+V72+V73+V74)*0.2</f>
        <v>-85338.2480614399</v>
      </c>
      <c r="W54" s="170" t="n">
        <f aca="false">-(W64+W67+W68+W71+W72+W73+W74)*0.2</f>
        <v>-83712.47059712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-18752300</v>
      </c>
      <c r="D55" s="175" t="n">
        <f aca="false">SUM(D41:D54)</f>
        <v>1593296.7696768</v>
      </c>
      <c r="E55" s="175" t="n">
        <f aca="false">SUM(E41:E54)</f>
        <v>1354632.85981952</v>
      </c>
      <c r="F55" s="175" t="n">
        <f aca="false">SUM(F41:F54)</f>
        <v>1348129.74996224</v>
      </c>
      <c r="G55" s="175" t="n">
        <f aca="false">SUM(G41:G54)</f>
        <v>1341626.64010496</v>
      </c>
      <c r="H55" s="175" t="n">
        <f aca="false">SUM(H41:H54)</f>
        <v>1335123.53024768</v>
      </c>
      <c r="I55" s="175" t="n">
        <f aca="false">SUM(I41:I54)</f>
        <v>1328620.4203904</v>
      </c>
      <c r="J55" s="175" t="n">
        <f aca="false">SUM(J41:J54)</f>
        <v>1322117.31053312</v>
      </c>
      <c r="K55" s="175" t="n">
        <f aca="false">SUM(K41:K54)</f>
        <v>1315614.20067584</v>
      </c>
      <c r="L55" s="175" t="n">
        <f aca="false">SUM(L41:L54)</f>
        <v>1309111.09081856</v>
      </c>
      <c r="M55" s="175" t="n">
        <f aca="false">SUM(M41:M54)</f>
        <v>1302607.98096128</v>
      </c>
      <c r="N55" s="175" t="n">
        <f aca="false">SUM(N41:N54)</f>
        <v>1330992.871104</v>
      </c>
      <c r="O55" s="175" t="n">
        <f aca="false">SUM(O41:O54)</f>
        <v>1324489.76124672</v>
      </c>
      <c r="P55" s="175" t="n">
        <f aca="false">SUM(P41:P54)</f>
        <v>1317986.65138944</v>
      </c>
      <c r="Q55" s="175" t="n">
        <f aca="false">SUM(Q41:Q54)</f>
        <v>1311483.54153216</v>
      </c>
      <c r="R55" s="175" t="n">
        <f aca="false">SUM(R41:R54)</f>
        <v>1304980.43167488</v>
      </c>
      <c r="S55" s="175" t="n">
        <f aca="false">SUM(S41:S54)</f>
        <v>1298477.3218176</v>
      </c>
      <c r="T55" s="175" t="n">
        <f aca="false">SUM(T41:T54)</f>
        <v>1291974.21196032</v>
      </c>
      <c r="U55" s="175" t="n">
        <f aca="false">SUM(U41:U54)</f>
        <v>1285471.10210304</v>
      </c>
      <c r="V55" s="175" t="n">
        <f aca="false">SUM(V41:V54)</f>
        <v>1278967.99224576</v>
      </c>
      <c r="W55" s="175" t="n">
        <f aca="false">SUM(W41:W54)</f>
        <v>1272464.88238848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-17159003.2303232</v>
      </c>
      <c r="E56" s="180" t="n">
        <f aca="false">D56+E55</f>
        <v>-15804370.3705037</v>
      </c>
      <c r="F56" s="180" t="n">
        <f aca="false">E56+F55</f>
        <v>-14456240.6205414</v>
      </c>
      <c r="G56" s="180" t="n">
        <f aca="false">F56+G55</f>
        <v>-13114613.9804365</v>
      </c>
      <c r="H56" s="180" t="n">
        <f aca="false">G56+H55</f>
        <v>-11779490.4501888</v>
      </c>
      <c r="I56" s="180" t="n">
        <f aca="false">H56+I55</f>
        <v>-10450870.0297984</v>
      </c>
      <c r="J56" s="180" t="n">
        <f aca="false">I56+J55</f>
        <v>-9128752.71926528</v>
      </c>
      <c r="K56" s="180" t="n">
        <f aca="false">J56+K55</f>
        <v>-7813138.51858944</v>
      </c>
      <c r="L56" s="180" t="n">
        <f aca="false">K56+L55</f>
        <v>-6504027.42777088</v>
      </c>
      <c r="M56" s="180" t="n">
        <f aca="false">L56+M55</f>
        <v>-5201419.4468096</v>
      </c>
      <c r="N56" s="180" t="n">
        <f aca="false">M56+N55</f>
        <v>-3870426.5757056</v>
      </c>
      <c r="O56" s="180" t="n">
        <f aca="false">N56+O55</f>
        <v>-2545936.81445888</v>
      </c>
      <c r="P56" s="180" t="n">
        <f aca="false">O56+P55</f>
        <v>-1227950.16306944</v>
      </c>
      <c r="Q56" s="180" t="n">
        <f aca="false">P56+Q55</f>
        <v>83533.3784627209</v>
      </c>
      <c r="R56" s="180" t="n">
        <f aca="false">Q56+R55</f>
        <v>1388513.8101376</v>
      </c>
      <c r="S56" s="180" t="n">
        <f aca="false">R56+S55</f>
        <v>2686991.1319552</v>
      </c>
      <c r="T56" s="180" t="n">
        <f aca="false">S56+T55</f>
        <v>3978965.34391552</v>
      </c>
      <c r="U56" s="180" t="n">
        <f aca="false">T56+U55</f>
        <v>5264436.44601856</v>
      </c>
      <c r="V56" s="180" t="n">
        <f aca="false">U56+V55</f>
        <v>6543404.43826432</v>
      </c>
      <c r="W56" s="180" t="n">
        <f aca="false">V56+W55</f>
        <v>7815869.3206528</v>
      </c>
      <c r="X56" s="180" t="n">
        <f aca="false">W56+X55</f>
        <v>7815869.3206528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0.0364969041095637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-937615</v>
      </c>
      <c r="E67" s="191" t="n">
        <f aca="false">$C$44/$E$16</f>
        <v>-937615</v>
      </c>
      <c r="F67" s="191" t="n">
        <f aca="false">$C$44/$E$16</f>
        <v>-937615</v>
      </c>
      <c r="G67" s="191" t="n">
        <f aca="false">$C$44/$E$16</f>
        <v>-937615</v>
      </c>
      <c r="H67" s="191" t="n">
        <f aca="false">$C$44/$E$16</f>
        <v>-937615</v>
      </c>
      <c r="I67" s="191" t="n">
        <f aca="false">$C$44/$E$16</f>
        <v>-937615</v>
      </c>
      <c r="J67" s="191" t="n">
        <f aca="false">$C$44/$E$16</f>
        <v>-937615</v>
      </c>
      <c r="K67" s="191" t="n">
        <f aca="false">$C$44/$E$16</f>
        <v>-937615</v>
      </c>
      <c r="L67" s="191" t="n">
        <f aca="false">$C$44/$E$16</f>
        <v>-937615</v>
      </c>
      <c r="M67" s="191" t="n">
        <f aca="false">$C$44/$E$16</f>
        <v>-937615</v>
      </c>
      <c r="N67" s="191" t="n">
        <f aca="false">$C$44/$E$16</f>
        <v>-937615</v>
      </c>
      <c r="O67" s="191" t="n">
        <f aca="false">$C$44/$E$16</f>
        <v>-937615</v>
      </c>
      <c r="P67" s="191" t="n">
        <f aca="false">$C$44/$E$16</f>
        <v>-937615</v>
      </c>
      <c r="Q67" s="191" t="n">
        <f aca="false">$C$44/$E$16</f>
        <v>-937615</v>
      </c>
      <c r="R67" s="191" t="n">
        <f aca="false">$C$44/$E$16</f>
        <v>-937615</v>
      </c>
      <c r="S67" s="191" t="n">
        <f aca="false">$C$44/$E$16</f>
        <v>-937615</v>
      </c>
      <c r="T67" s="191" t="n">
        <f aca="false">$C$44/$E$16</f>
        <v>-937615</v>
      </c>
      <c r="U67" s="191" t="n">
        <f aca="false">$C$44/$E$16</f>
        <v>-937615</v>
      </c>
      <c r="V67" s="191" t="n">
        <f aca="false">$C$44/$E$16</f>
        <v>-937615</v>
      </c>
      <c r="W67" s="191" t="n">
        <f aca="false">$C$44/$E$16</f>
        <v>-937615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-383972.0948</v>
      </c>
      <c r="E70" s="170" t="n">
        <f aca="false">-E109*$D25</f>
        <v>-358373.955146667</v>
      </c>
      <c r="F70" s="170" t="n">
        <f aca="false">-F109*$D25</f>
        <v>-332775.815493333</v>
      </c>
      <c r="G70" s="170" t="n">
        <f aca="false">-G109*$D25</f>
        <v>-307177.67584</v>
      </c>
      <c r="H70" s="170" t="n">
        <f aca="false">-H109*$D25</f>
        <v>-281579.536186667</v>
      </c>
      <c r="I70" s="170" t="n">
        <f aca="false">-I109*$D25</f>
        <v>-255981.396533333</v>
      </c>
      <c r="J70" s="170" t="n">
        <f aca="false">-J109*$D25</f>
        <v>-230383.25688</v>
      </c>
      <c r="K70" s="170" t="n">
        <f aca="false">-K109*$D25</f>
        <v>-204785.117226666</v>
      </c>
      <c r="L70" s="170" t="n">
        <f aca="false">-L109*$D25</f>
        <v>-179186.977573333</v>
      </c>
      <c r="M70" s="170" t="n">
        <f aca="false">-M109*$D25</f>
        <v>-153588.83792</v>
      </c>
      <c r="N70" s="170" t="n">
        <f aca="false">-N109*$D25</f>
        <v>-127990.698266666</v>
      </c>
      <c r="O70" s="170" t="n">
        <f aca="false">-O109*$D25</f>
        <v>-102392.558613333</v>
      </c>
      <c r="P70" s="170" t="n">
        <f aca="false">-P109*$D25</f>
        <v>-76794.4189599998</v>
      </c>
      <c r="Q70" s="170" t="n">
        <f aca="false">-Q109*$D25</f>
        <v>-51196.2793066664</v>
      </c>
      <c r="R70" s="170" t="n">
        <f aca="false">-R109*$D25</f>
        <v>-25598.1396533331</v>
      </c>
      <c r="S70" s="170" t="n">
        <f aca="false">-S109*$D25</f>
        <v>2.62209214270115E-010</v>
      </c>
      <c r="T70" s="170" t="n">
        <f aca="false">-T109*$D25</f>
        <v>2.62209214270115E-010</v>
      </c>
      <c r="U70" s="170" t="n">
        <f aca="false">-U109*$D25</f>
        <v>2.62209214270115E-010</v>
      </c>
      <c r="V70" s="170" t="n">
        <f aca="false">-V109*$D25</f>
        <v>2.62209214270115E-010</v>
      </c>
      <c r="W70" s="170" t="n">
        <f aca="false">-W109*$D25</f>
        <v>2.62209214270115E-010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-36632.4</v>
      </c>
      <c r="E72" s="170" t="n">
        <f aca="false">E49</f>
        <v>-36632.4</v>
      </c>
      <c r="F72" s="170" t="n">
        <f aca="false">F49</f>
        <v>-36632.4</v>
      </c>
      <c r="G72" s="170" t="n">
        <f aca="false">G49</f>
        <v>-36632.4</v>
      </c>
      <c r="H72" s="170" t="n">
        <f aca="false">H49</f>
        <v>-36632.4</v>
      </c>
      <c r="I72" s="170" t="n">
        <f aca="false">I49</f>
        <v>-36632.4</v>
      </c>
      <c r="J72" s="170" t="n">
        <f aca="false">J49</f>
        <v>-36632.4</v>
      </c>
      <c r="K72" s="170" t="n">
        <f aca="false">K49</f>
        <v>-36632.4</v>
      </c>
      <c r="L72" s="170" t="n">
        <f aca="false">L49</f>
        <v>-36632.4</v>
      </c>
      <c r="M72" s="170" t="n">
        <f aca="false">M49</f>
        <v>-36632.4</v>
      </c>
      <c r="N72" s="170" t="n">
        <f aca="false">N49</f>
        <v>-36632.4</v>
      </c>
      <c r="O72" s="170" t="n">
        <f aca="false">O49</f>
        <v>-36632.4</v>
      </c>
      <c r="P72" s="170" t="n">
        <f aca="false">P49</f>
        <v>-36632.4</v>
      </c>
      <c r="Q72" s="170" t="n">
        <f aca="false">Q49</f>
        <v>-36632.4</v>
      </c>
      <c r="R72" s="170" t="n">
        <f aca="false">R49</f>
        <v>-36632.4</v>
      </c>
      <c r="S72" s="170" t="n">
        <f aca="false">S49</f>
        <v>-36632.4</v>
      </c>
      <c r="T72" s="170" t="n">
        <f aca="false">T49</f>
        <v>-36632.4</v>
      </c>
      <c r="U72" s="170" t="n">
        <f aca="false">U49</f>
        <v>-36632.4</v>
      </c>
      <c r="V72" s="170" t="n">
        <f aca="false">V49</f>
        <v>-36632.4</v>
      </c>
      <c r="W72" s="170" t="n">
        <f aca="false">W49</f>
        <v>-36632.4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435630.117296</v>
      </c>
      <c r="E76" s="175" t="n">
        <f aca="false">SUM(E64:E75)</f>
        <v>162898.369627733</v>
      </c>
      <c r="F76" s="175" t="n">
        <f aca="false">SUM(F64:F75)</f>
        <v>180367.621959467</v>
      </c>
      <c r="G76" s="175" t="n">
        <f aca="false">SUM(G64:G75)</f>
        <v>197836.8742912</v>
      </c>
      <c r="H76" s="175" t="n">
        <f aca="false">SUM(H64:H75)</f>
        <v>215306.126622933</v>
      </c>
      <c r="I76" s="175" t="n">
        <f aca="false">SUM(I64:I75)</f>
        <v>232775.378954667</v>
      </c>
      <c r="J76" s="175" t="n">
        <f aca="false">SUM(J64:J75)</f>
        <v>250244.6312864</v>
      </c>
      <c r="K76" s="175" t="n">
        <f aca="false">SUM(K64:K75)</f>
        <v>267713.883618133</v>
      </c>
      <c r="L76" s="175" t="n">
        <f aca="false">SUM(L64:L75)</f>
        <v>285183.135949867</v>
      </c>
      <c r="M76" s="175" t="n">
        <f aca="false">SUM(M64:M75)</f>
        <v>302652.3882816</v>
      </c>
      <c r="N76" s="175" t="n">
        <f aca="false">SUM(N64:N75)</f>
        <v>363731.640613333</v>
      </c>
      <c r="O76" s="175" t="n">
        <f aca="false">SUM(O64:O75)</f>
        <v>381200.892945067</v>
      </c>
      <c r="P76" s="175" t="n">
        <f aca="false">SUM(P64:P75)</f>
        <v>398670.1452768</v>
      </c>
      <c r="Q76" s="175" t="n">
        <f aca="false">SUM(Q64:Q75)</f>
        <v>416139.397608533</v>
      </c>
      <c r="R76" s="175" t="n">
        <f aca="false">SUM(R64:R75)</f>
        <v>433608.649940267</v>
      </c>
      <c r="S76" s="175" t="n">
        <f aca="false">SUM(S64:S75)</f>
        <v>451077.902272</v>
      </c>
      <c r="T76" s="175" t="n">
        <f aca="false">SUM(T64:T75)</f>
        <v>442949.0149504</v>
      </c>
      <c r="U76" s="175" t="n">
        <f aca="false">SUM(U64:U75)</f>
        <v>434820.1276288</v>
      </c>
      <c r="V76" s="175" t="n">
        <f aca="false">SUM(V64:V75)</f>
        <v>426691.2403072</v>
      </c>
      <c r="W76" s="175" t="n">
        <f aca="false">SUM(W64:W75)</f>
        <v>418562.3529856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-87126.0234592</v>
      </c>
      <c r="E77" s="170" t="n">
        <f aca="false">-E76*0.2</f>
        <v>-32579.6739255466</v>
      </c>
      <c r="F77" s="170" t="n">
        <f aca="false">-F76*0.2</f>
        <v>-36073.5243918934</v>
      </c>
      <c r="G77" s="170" t="n">
        <f aca="false">-G76*0.2</f>
        <v>-39567.37485824</v>
      </c>
      <c r="H77" s="170" t="n">
        <f aca="false">-H76*0.2</f>
        <v>-43061.2253245867</v>
      </c>
      <c r="I77" s="170" t="n">
        <f aca="false">-I76*0.2</f>
        <v>-46555.0757909333</v>
      </c>
      <c r="J77" s="170" t="n">
        <f aca="false">-J76*0.2</f>
        <v>-50048.9262572801</v>
      </c>
      <c r="K77" s="170" t="n">
        <f aca="false">-K76*0.2</f>
        <v>-53542.7767236267</v>
      </c>
      <c r="L77" s="170" t="n">
        <f aca="false">-L76*0.2</f>
        <v>-57036.6271899733</v>
      </c>
      <c r="M77" s="170" t="n">
        <f aca="false">-M76*0.2</f>
        <v>-60530.47765632</v>
      </c>
      <c r="N77" s="170" t="n">
        <f aca="false">-N76*0.2</f>
        <v>-72746.3281226667</v>
      </c>
      <c r="O77" s="170" t="n">
        <f aca="false">-O76*0.2</f>
        <v>-76240.1785890134</v>
      </c>
      <c r="P77" s="170" t="n">
        <f aca="false">-P76*0.2</f>
        <v>-79734.02905536</v>
      </c>
      <c r="Q77" s="170" t="n">
        <f aca="false">-Q76*0.2</f>
        <v>-83227.8795217067</v>
      </c>
      <c r="R77" s="170" t="n">
        <f aca="false">-R76*0.2</f>
        <v>-86721.7299880534</v>
      </c>
      <c r="S77" s="170" t="n">
        <f aca="false">-S76*0.2</f>
        <v>-90215.5804544</v>
      </c>
      <c r="T77" s="170" t="n">
        <f aca="false">-T76*0.2</f>
        <v>-88589.80299008</v>
      </c>
      <c r="U77" s="170" t="n">
        <f aca="false">-U76*0.2</f>
        <v>-86964.02552576</v>
      </c>
      <c r="V77" s="170" t="n">
        <f aca="false">-V76*0.2</f>
        <v>-85338.24806144</v>
      </c>
      <c r="W77" s="170" t="n">
        <f aca="false">-W76*0.2</f>
        <v>-83712.4705971201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348504.0938368</v>
      </c>
      <c r="E78" s="170" t="n">
        <f aca="false">SUM(E76:E77)</f>
        <v>130318.695702187</v>
      </c>
      <c r="F78" s="170" t="n">
        <f aca="false">SUM(F76:F77)</f>
        <v>144294.097567573</v>
      </c>
      <c r="G78" s="170" t="n">
        <f aca="false">SUM(G76:G77)</f>
        <v>158269.49943296</v>
      </c>
      <c r="H78" s="170" t="n">
        <f aca="false">SUM(H76:H77)</f>
        <v>172244.901298347</v>
      </c>
      <c r="I78" s="170" t="n">
        <f aca="false">SUM(I76:I77)</f>
        <v>186220.303163733</v>
      </c>
      <c r="J78" s="170" t="n">
        <f aca="false">SUM(J76:J77)</f>
        <v>200195.70502912</v>
      </c>
      <c r="K78" s="170" t="n">
        <f aca="false">SUM(K76:K77)</f>
        <v>214171.106894507</v>
      </c>
      <c r="L78" s="170" t="n">
        <f aca="false">SUM(L76:L77)</f>
        <v>228146.508759893</v>
      </c>
      <c r="M78" s="170" t="n">
        <f aca="false">SUM(M76:M77)</f>
        <v>242121.91062528</v>
      </c>
      <c r="N78" s="170" t="n">
        <f aca="false">SUM(N76:N77)</f>
        <v>290985.312490667</v>
      </c>
      <c r="O78" s="170" t="n">
        <f aca="false">SUM(O76:O77)</f>
        <v>304960.714356053</v>
      </c>
      <c r="P78" s="170" t="n">
        <f aca="false">SUM(P76:P77)</f>
        <v>318936.11622144</v>
      </c>
      <c r="Q78" s="170" t="n">
        <f aca="false">SUM(Q76:Q77)</f>
        <v>332911.518086827</v>
      </c>
      <c r="R78" s="170" t="n">
        <f aca="false">SUM(R76:R77)</f>
        <v>346886.919952213</v>
      </c>
      <c r="S78" s="170" t="n">
        <f aca="false">SUM(S76:S77)</f>
        <v>360862.3218176</v>
      </c>
      <c r="T78" s="170" t="n">
        <f aca="false">SUM(T76:T77)</f>
        <v>354359.21196032</v>
      </c>
      <c r="U78" s="170" t="n">
        <f aca="false">SUM(U76:U77)</f>
        <v>347856.10210304</v>
      </c>
      <c r="V78" s="170" t="n">
        <f aca="false">SUM(V76:V77)</f>
        <v>341352.99224576</v>
      </c>
      <c r="W78" s="170" t="n">
        <f aca="false">SUM(W76:W77)</f>
        <v>334849.88238848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348504.0938368</v>
      </c>
      <c r="E85" s="206" t="n">
        <f aca="false">E78</f>
        <v>130318.695702187</v>
      </c>
      <c r="F85" s="206" t="n">
        <f aca="false">F78</f>
        <v>144294.097567573</v>
      </c>
      <c r="G85" s="206" t="n">
        <f aca="false">G78</f>
        <v>158269.49943296</v>
      </c>
      <c r="H85" s="206" t="n">
        <f aca="false">H78</f>
        <v>172244.901298347</v>
      </c>
      <c r="I85" s="206" t="n">
        <f aca="false">I78</f>
        <v>186220.303163733</v>
      </c>
      <c r="J85" s="206" t="n">
        <f aca="false">J78</f>
        <v>200195.70502912</v>
      </c>
      <c r="K85" s="206" t="n">
        <f aca="false">K78</f>
        <v>214171.106894507</v>
      </c>
      <c r="L85" s="206" t="n">
        <f aca="false">L78</f>
        <v>228146.508759893</v>
      </c>
      <c r="M85" s="206" t="n">
        <f aca="false">M78</f>
        <v>242121.91062528</v>
      </c>
      <c r="N85" s="206" t="n">
        <f aca="false">N78</f>
        <v>290985.312490667</v>
      </c>
      <c r="O85" s="206" t="n">
        <f aca="false">O78</f>
        <v>304960.714356053</v>
      </c>
      <c r="P85" s="206" t="n">
        <f aca="false">P78</f>
        <v>318936.11622144</v>
      </c>
      <c r="Q85" s="206" t="n">
        <f aca="false">Q78</f>
        <v>332911.518086827</v>
      </c>
      <c r="R85" s="206" t="n">
        <f aca="false">R78</f>
        <v>346886.919952213</v>
      </c>
      <c r="S85" s="206" t="n">
        <f aca="false">S78</f>
        <v>360862.3218176</v>
      </c>
      <c r="T85" s="206" t="n">
        <f aca="false">T78</f>
        <v>354359.21196032</v>
      </c>
      <c r="U85" s="206" t="n">
        <f aca="false">U78</f>
        <v>347856.10210304</v>
      </c>
      <c r="V85" s="206" t="n">
        <f aca="false">V78</f>
        <v>341352.99224576</v>
      </c>
      <c r="W85" s="206" t="n">
        <f aca="false">W78</f>
        <v>334849.88238848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937615</v>
      </c>
      <c r="E86" s="207" t="n">
        <f aca="false">-E67</f>
        <v>937615</v>
      </c>
      <c r="F86" s="207" t="n">
        <f aca="false">-F67</f>
        <v>937615</v>
      </c>
      <c r="G86" s="207" t="n">
        <f aca="false">-G67</f>
        <v>937615</v>
      </c>
      <c r="H86" s="207" t="n">
        <f aca="false">-H67</f>
        <v>937615</v>
      </c>
      <c r="I86" s="207" t="n">
        <f aca="false">-I67</f>
        <v>937615</v>
      </c>
      <c r="J86" s="207" t="n">
        <f aca="false">-J67</f>
        <v>937615</v>
      </c>
      <c r="K86" s="207" t="n">
        <f aca="false">-K67</f>
        <v>937615</v>
      </c>
      <c r="L86" s="207" t="n">
        <f aca="false">-L67</f>
        <v>937615</v>
      </c>
      <c r="M86" s="207" t="n">
        <f aca="false">-M67</f>
        <v>937615</v>
      </c>
      <c r="N86" s="207" t="n">
        <f aca="false">-N67</f>
        <v>937615</v>
      </c>
      <c r="O86" s="207" t="n">
        <f aca="false">-O67</f>
        <v>937615</v>
      </c>
      <c r="P86" s="207" t="n">
        <f aca="false">-P67</f>
        <v>937615</v>
      </c>
      <c r="Q86" s="207" t="n">
        <f aca="false">-Q67</f>
        <v>937615</v>
      </c>
      <c r="R86" s="207" t="n">
        <f aca="false">-R67</f>
        <v>937615</v>
      </c>
      <c r="S86" s="207" t="n">
        <f aca="false">-S67</f>
        <v>937615</v>
      </c>
      <c r="T86" s="207" t="n">
        <f aca="false">-T67</f>
        <v>937615</v>
      </c>
      <c r="U86" s="207" t="n">
        <f aca="false">-U67</f>
        <v>937615</v>
      </c>
      <c r="V86" s="207" t="n">
        <f aca="false">-V67</f>
        <v>937615</v>
      </c>
      <c r="W86" s="207" t="n">
        <f aca="false">-W67</f>
        <v>937615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1286119.0938368</v>
      </c>
      <c r="E87" s="209" t="n">
        <f aca="false">SUM(E85:E86)</f>
        <v>1067933.69570219</v>
      </c>
      <c r="F87" s="209" t="n">
        <f aca="false">SUM(F85:F86)</f>
        <v>1081909.09756757</v>
      </c>
      <c r="G87" s="209" t="n">
        <f aca="false">SUM(G85:G86)</f>
        <v>1095884.49943296</v>
      </c>
      <c r="H87" s="209" t="n">
        <f aca="false">SUM(H85:H86)</f>
        <v>1109859.90129835</v>
      </c>
      <c r="I87" s="209" t="n">
        <f aca="false">SUM(I85:I86)</f>
        <v>1123835.30316373</v>
      </c>
      <c r="J87" s="209" t="n">
        <f aca="false">SUM(J85:J86)</f>
        <v>1137810.70502912</v>
      </c>
      <c r="K87" s="209" t="n">
        <f aca="false">SUM(K85:K86)</f>
        <v>1151786.10689451</v>
      </c>
      <c r="L87" s="209" t="n">
        <f aca="false">SUM(L85:L86)</f>
        <v>1165761.50875989</v>
      </c>
      <c r="M87" s="209" t="n">
        <f aca="false">SUM(M85:M86)</f>
        <v>1179736.91062528</v>
      </c>
      <c r="N87" s="209" t="n">
        <f aca="false">SUM(N85:N86)</f>
        <v>1228600.31249067</v>
      </c>
      <c r="O87" s="209" t="n">
        <f aca="false">SUM(O85:O86)</f>
        <v>1242575.71435605</v>
      </c>
      <c r="P87" s="209" t="n">
        <f aca="false">SUM(P85:P86)</f>
        <v>1256551.11622144</v>
      </c>
      <c r="Q87" s="209" t="n">
        <f aca="false">SUM(Q85:Q86)</f>
        <v>1270526.51808683</v>
      </c>
      <c r="R87" s="209" t="n">
        <f aca="false">SUM(R85:R86)</f>
        <v>1284501.91995221</v>
      </c>
      <c r="S87" s="209" t="n">
        <f aca="false">SUM(S85:S86)</f>
        <v>1298477.3218176</v>
      </c>
      <c r="T87" s="209" t="n">
        <f aca="false">SUM(T85:T86)</f>
        <v>1291974.21196032</v>
      </c>
      <c r="U87" s="209" t="n">
        <f aca="false">SUM(U85:U86)</f>
        <v>1285471.10210304</v>
      </c>
      <c r="V87" s="209" t="n">
        <f aca="false">SUM(V85:V86)</f>
        <v>1278967.99224576</v>
      </c>
      <c r="W87" s="209" t="n">
        <f aca="false">SUM(W85:W86)</f>
        <v>1272464.88238848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-18752300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15001840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-1000122.66666667</v>
      </c>
      <c r="F93" s="215" t="n">
        <v>-1000122.66666667</v>
      </c>
      <c r="G93" s="215" t="n">
        <v>-1000122.66666667</v>
      </c>
      <c r="H93" s="215" t="n">
        <v>-1000122.66666667</v>
      </c>
      <c r="I93" s="215" t="n">
        <v>-1000122.66666667</v>
      </c>
      <c r="J93" s="215" t="n">
        <v>-1000122.66666667</v>
      </c>
      <c r="K93" s="215" t="n">
        <v>-1000122.66666667</v>
      </c>
      <c r="L93" s="215" t="n">
        <v>-1000122.66666667</v>
      </c>
      <c r="M93" s="215" t="n">
        <v>-1000122.66666667</v>
      </c>
      <c r="N93" s="215" t="n">
        <v>-1000122.66666667</v>
      </c>
      <c r="O93" s="215" t="n">
        <v>-1000122.66666667</v>
      </c>
      <c r="P93" s="215" t="n">
        <v>-1000122.66666667</v>
      </c>
      <c r="Q93" s="215" t="n">
        <v>-1000122.66666667</v>
      </c>
      <c r="R93" s="215" t="n">
        <v>-1000122.66666667</v>
      </c>
      <c r="S93" s="215" t="n">
        <v>-1000122.66666667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3750460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-313653.68445312</v>
      </c>
      <c r="F95" s="216" t="n">
        <f aca="false">-E85*$D$33</f>
        <v>-117286.826131968</v>
      </c>
      <c r="G95" s="216" t="n">
        <f aca="false">-F85*$D$33</f>
        <v>-129864.687810816</v>
      </c>
      <c r="H95" s="216" t="n">
        <f aca="false">-G85*$D$33</f>
        <v>-142442.549489664</v>
      </c>
      <c r="I95" s="216" t="n">
        <f aca="false">-H85*$D$33</f>
        <v>-155020.411168512</v>
      </c>
      <c r="J95" s="216" t="n">
        <f aca="false">-I85*$D$33</f>
        <v>-167598.27284736</v>
      </c>
      <c r="K95" s="216" t="n">
        <f aca="false">-J85*$D$33</f>
        <v>-180176.134526208</v>
      </c>
      <c r="L95" s="216" t="n">
        <f aca="false">-K85*$D$33</f>
        <v>-192753.996205056</v>
      </c>
      <c r="M95" s="216" t="n">
        <f aca="false">-L85*$D$33</f>
        <v>-205331.857883904</v>
      </c>
      <c r="N95" s="216" t="n">
        <f aca="false">-M85*$D$33</f>
        <v>-217909.719562752</v>
      </c>
      <c r="O95" s="216" t="n">
        <f aca="false">-N85*$D$33</f>
        <v>-261886.7812416</v>
      </c>
      <c r="P95" s="216" t="n">
        <f aca="false">-O85*$D$33</f>
        <v>-274464.642920448</v>
      </c>
      <c r="Q95" s="216" t="n">
        <f aca="false">-P85*$D$33</f>
        <v>-287042.504599296</v>
      </c>
      <c r="R95" s="216" t="n">
        <f aca="false">-Q85*$D$33</f>
        <v>-299620.366278144</v>
      </c>
      <c r="S95" s="216" t="n">
        <f aca="false">-R85*$D$33</f>
        <v>-312198.227956992</v>
      </c>
      <c r="T95" s="216" t="n">
        <f aca="false">-S85*$D$33</f>
        <v>-324776.08963584</v>
      </c>
      <c r="U95" s="216" t="n">
        <f aca="false">-T85*$D$33</f>
        <v>-318923.290764288</v>
      </c>
      <c r="V95" s="216" t="n">
        <f aca="false">-U85*$D$33</f>
        <v>-313070.491892736</v>
      </c>
      <c r="W95" s="216" t="n">
        <f aca="false">-V85*$D$33</f>
        <v>-307217.693021184</v>
      </c>
      <c r="X95" s="216" t="n">
        <f aca="false">-W85*$D$33</f>
        <v>-301364.894149632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-937615</v>
      </c>
      <c r="U96" s="219" t="n">
        <v>-937615</v>
      </c>
      <c r="V96" s="219" t="n">
        <v>-937615</v>
      </c>
      <c r="W96" s="219" t="n">
        <v>-937615</v>
      </c>
      <c r="X96" s="220" t="n">
        <f aca="false">-W101-X95</f>
        <v>-535844.791393274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1286119.0938368</v>
      </c>
      <c r="E99" s="206" t="n">
        <f aca="false">SUM(E87:E96)</f>
        <v>-245842.6554176</v>
      </c>
      <c r="F99" s="206" t="n">
        <f aca="false">SUM(F87:F96)</f>
        <v>-35500.3952310614</v>
      </c>
      <c r="G99" s="206" t="n">
        <f aca="false">SUM(G87:G96)</f>
        <v>-34102.855044523</v>
      </c>
      <c r="H99" s="206" t="n">
        <f aca="false">SUM(H87:H96)</f>
        <v>-32705.3148579844</v>
      </c>
      <c r="I99" s="206" t="n">
        <f aca="false">SUM(I87:I96)</f>
        <v>-31307.7746714456</v>
      </c>
      <c r="J99" s="206" t="n">
        <f aca="false">SUM(J87:J96)</f>
        <v>-29910.2344849067</v>
      </c>
      <c r="K99" s="206" t="n">
        <f aca="false">SUM(K87:K96)</f>
        <v>-28512.6942983686</v>
      </c>
      <c r="L99" s="206" t="n">
        <f aca="false">SUM(L87:L96)</f>
        <v>-27115.1541118297</v>
      </c>
      <c r="M99" s="206" t="n">
        <f aca="false">SUM(M87:M96)</f>
        <v>-25717.6139252909</v>
      </c>
      <c r="N99" s="206" t="n">
        <f aca="false">SUM(N87:N96)</f>
        <v>10567.9262612477</v>
      </c>
      <c r="O99" s="206" t="n">
        <f aca="false">SUM(O87:O96)</f>
        <v>-19433.7335522136</v>
      </c>
      <c r="P99" s="206" t="n">
        <f aca="false">SUM(P87:P96)</f>
        <v>-18036.193365675</v>
      </c>
      <c r="Q99" s="206" t="n">
        <f aca="false">SUM(Q87:Q96)</f>
        <v>-16638.6531791362</v>
      </c>
      <c r="R99" s="206" t="n">
        <f aca="false">SUM(R87:R96)</f>
        <v>-15241.1129925978</v>
      </c>
      <c r="S99" s="206" t="n">
        <f aca="false">SUM(S87:S96)</f>
        <v>-13843.5728060589</v>
      </c>
      <c r="T99" s="206" t="n">
        <f aca="false">SUM(T87:T96)</f>
        <v>29583.1223244797</v>
      </c>
      <c r="U99" s="206" t="n">
        <f aca="false">SUM(U87:U96)</f>
        <v>28932.811338752</v>
      </c>
      <c r="V99" s="206" t="n">
        <f aca="false">SUM(V87:V96)</f>
        <v>28282.5003530236</v>
      </c>
      <c r="W99" s="206" t="n">
        <f aca="false">SUM(W87:W96)</f>
        <v>27632.1893672961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1286119.0938368</v>
      </c>
      <c r="F100" s="206" t="n">
        <f aca="false">E101</f>
        <v>1040276.4384192</v>
      </c>
      <c r="G100" s="206" t="n">
        <f aca="false">F101</f>
        <v>1004776.04318814</v>
      </c>
      <c r="H100" s="206" t="n">
        <f aca="false">G101</f>
        <v>970673.188143614</v>
      </c>
      <c r="I100" s="206" t="n">
        <f aca="false">H101</f>
        <v>937967.87328563</v>
      </c>
      <c r="J100" s="206" t="n">
        <f aca="false">I101</f>
        <v>906660.098614184</v>
      </c>
      <c r="K100" s="206" t="n">
        <f aca="false">J101</f>
        <v>876749.864129277</v>
      </c>
      <c r="L100" s="206" t="n">
        <f aca="false">K101</f>
        <v>848237.169830909</v>
      </c>
      <c r="M100" s="206" t="n">
        <f aca="false">L101</f>
        <v>821122.015719079</v>
      </c>
      <c r="N100" s="206" t="n">
        <f aca="false">M101</f>
        <v>795404.401793788</v>
      </c>
      <c r="O100" s="206" t="n">
        <f aca="false">N101</f>
        <v>805972.328055036</v>
      </c>
      <c r="P100" s="206" t="n">
        <f aca="false">O101</f>
        <v>786538.594502822</v>
      </c>
      <c r="Q100" s="206" t="n">
        <f aca="false">P101</f>
        <v>768502.401137147</v>
      </c>
      <c r="R100" s="206" t="n">
        <f aca="false">Q101</f>
        <v>751863.747958011</v>
      </c>
      <c r="S100" s="206" t="n">
        <f aca="false">R101</f>
        <v>736622.634965414</v>
      </c>
      <c r="T100" s="206" t="n">
        <f aca="false">S101</f>
        <v>722779.062159355</v>
      </c>
      <c r="U100" s="206" t="n">
        <f aca="false">T101</f>
        <v>752362.184483834</v>
      </c>
      <c r="V100" s="206" t="n">
        <f aca="false">U101</f>
        <v>781294.995822586</v>
      </c>
      <c r="W100" s="206" t="n">
        <f aca="false">V101</f>
        <v>809577.49617561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1286119.0938368</v>
      </c>
      <c r="E101" s="206" t="n">
        <f aca="false">E99+E100</f>
        <v>1040276.4384192</v>
      </c>
      <c r="F101" s="206" t="n">
        <f aca="false">F99+F100</f>
        <v>1004776.04318814</v>
      </c>
      <c r="G101" s="206" t="n">
        <f aca="false">G99+G100</f>
        <v>970673.188143614</v>
      </c>
      <c r="H101" s="206" t="n">
        <f aca="false">H99+H100</f>
        <v>937967.87328563</v>
      </c>
      <c r="I101" s="206" t="n">
        <f aca="false">I99+I100</f>
        <v>906660.098614184</v>
      </c>
      <c r="J101" s="206" t="n">
        <f aca="false">J99+J100</f>
        <v>876749.864129277</v>
      </c>
      <c r="K101" s="206" t="n">
        <f aca="false">K99+K100</f>
        <v>848237.169830909</v>
      </c>
      <c r="L101" s="206" t="n">
        <f aca="false">L99+L100</f>
        <v>821122.015719079</v>
      </c>
      <c r="M101" s="206" t="n">
        <f aca="false">M99+M100</f>
        <v>795404.401793788</v>
      </c>
      <c r="N101" s="206" t="n">
        <f aca="false">N99+N100</f>
        <v>805972.328055036</v>
      </c>
      <c r="O101" s="206" t="n">
        <f aca="false">O99+O100</f>
        <v>786538.594502822</v>
      </c>
      <c r="P101" s="206" t="n">
        <f aca="false">P99+P100</f>
        <v>768502.401137147</v>
      </c>
      <c r="Q101" s="206" t="n">
        <f aca="false">Q99+Q100</f>
        <v>751863.747958011</v>
      </c>
      <c r="R101" s="206" t="n">
        <f aca="false">R99+R100</f>
        <v>736622.634965414</v>
      </c>
      <c r="S101" s="206" t="n">
        <f aca="false">S99+S100</f>
        <v>722779.062159355</v>
      </c>
      <c r="T101" s="206" t="n">
        <f aca="false">T99+T100</f>
        <v>752362.184483834</v>
      </c>
      <c r="U101" s="206" t="n">
        <f aca="false">U99+U100</f>
        <v>781294.995822586</v>
      </c>
      <c r="V101" s="206" t="n">
        <f aca="false">V99+V100</f>
        <v>809577.49617561</v>
      </c>
      <c r="W101" s="206" t="n">
        <f aca="false">W99+W100</f>
        <v>837209.685542906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-3750460</v>
      </c>
      <c r="E104" s="209" t="n">
        <f aca="false">-E95-E96</f>
        <v>313653.68445312</v>
      </c>
      <c r="F104" s="209" t="n">
        <f aca="false">-F95-F96</f>
        <v>117286.826131968</v>
      </c>
      <c r="G104" s="209" t="n">
        <f aca="false">-G95-G96</f>
        <v>129864.687810816</v>
      </c>
      <c r="H104" s="209" t="n">
        <f aca="false">-H95-H96</f>
        <v>142442.549489664</v>
      </c>
      <c r="I104" s="209" t="n">
        <f aca="false">-I95-I96</f>
        <v>155020.411168512</v>
      </c>
      <c r="J104" s="209" t="n">
        <f aca="false">-J95-J96</f>
        <v>167598.27284736</v>
      </c>
      <c r="K104" s="209" t="n">
        <f aca="false">-K95-K96</f>
        <v>180176.134526208</v>
      </c>
      <c r="L104" s="209" t="n">
        <f aca="false">-L95-L96</f>
        <v>192753.996205056</v>
      </c>
      <c r="M104" s="209" t="n">
        <f aca="false">-M95-M96</f>
        <v>205331.857883904</v>
      </c>
      <c r="N104" s="209" t="n">
        <f aca="false">-N95-N96</f>
        <v>217909.719562752</v>
      </c>
      <c r="O104" s="209" t="n">
        <f aca="false">-O95-O96</f>
        <v>261886.7812416</v>
      </c>
      <c r="P104" s="209" t="n">
        <f aca="false">-P95-P96</f>
        <v>274464.642920448</v>
      </c>
      <c r="Q104" s="209" t="n">
        <f aca="false">-Q95-Q96</f>
        <v>287042.504599296</v>
      </c>
      <c r="R104" s="209" t="n">
        <f aca="false">-R95-R96</f>
        <v>299620.366278144</v>
      </c>
      <c r="S104" s="209" t="n">
        <f aca="false">-S95-S96</f>
        <v>312198.227956992</v>
      </c>
      <c r="T104" s="209" t="n">
        <f aca="false">-T95-T96</f>
        <v>1262391.08963584</v>
      </c>
      <c r="U104" s="209" t="n">
        <f aca="false">-U95-U96</f>
        <v>1256538.29076429</v>
      </c>
      <c r="V104" s="209" t="n">
        <f aca="false">-V95-V96</f>
        <v>1250685.49189274</v>
      </c>
      <c r="W104" s="209" t="n">
        <f aca="false">-W95-W96</f>
        <v>1244832.69302118</v>
      </c>
      <c r="X104" s="209" t="n">
        <f aca="false">-X95-X96</f>
        <v>837209.685542906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0.0672048927798387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-3401955.9061632</v>
      </c>
      <c r="E106" s="209" t="n">
        <f aca="false">E85</f>
        <v>130318.695702187</v>
      </c>
      <c r="F106" s="209" t="n">
        <f aca="false">F85-F96</f>
        <v>144294.097567573</v>
      </c>
      <c r="G106" s="209" t="n">
        <f aca="false">G85-G96</f>
        <v>158269.49943296</v>
      </c>
      <c r="H106" s="209" t="n">
        <f aca="false">H85-H96</f>
        <v>172244.901298347</v>
      </c>
      <c r="I106" s="209" t="n">
        <f aca="false">I85-I96</f>
        <v>186220.303163733</v>
      </c>
      <c r="J106" s="209" t="n">
        <f aca="false">J85-J96</f>
        <v>200195.70502912</v>
      </c>
      <c r="K106" s="209" t="n">
        <f aca="false">K85-K96</f>
        <v>214171.106894507</v>
      </c>
      <c r="L106" s="209" t="n">
        <f aca="false">L85-L96</f>
        <v>228146.508759893</v>
      </c>
      <c r="M106" s="209" t="n">
        <f aca="false">M85-M96</f>
        <v>242121.91062528</v>
      </c>
      <c r="N106" s="209" t="n">
        <f aca="false">N85-N96</f>
        <v>290985.312490667</v>
      </c>
      <c r="O106" s="209" t="n">
        <f aca="false">O85-O96</f>
        <v>304960.714356053</v>
      </c>
      <c r="P106" s="209" t="n">
        <f aca="false">P85-P96</f>
        <v>318936.11622144</v>
      </c>
      <c r="Q106" s="209" t="n">
        <f aca="false">Q85-Q96</f>
        <v>332911.518086827</v>
      </c>
      <c r="R106" s="209" t="n">
        <f aca="false">R85-R96</f>
        <v>346886.919952213</v>
      </c>
      <c r="S106" s="209" t="n">
        <f aca="false">S85-S96</f>
        <v>360862.3218176</v>
      </c>
      <c r="T106" s="209" t="n">
        <f aca="false">T85-T96</f>
        <v>1291974.21196032</v>
      </c>
      <c r="U106" s="209" t="n">
        <f aca="false">U85-U96</f>
        <v>1285471.10210304</v>
      </c>
      <c r="V106" s="209" t="n">
        <f aca="false">V85-V96</f>
        <v>1278967.99224576</v>
      </c>
      <c r="W106" s="209" t="n">
        <f aca="false">W85-W96</f>
        <v>1272464.88238848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0.0746344404235887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15001840</v>
      </c>
      <c r="E109" s="206" t="n">
        <f aca="false">D109+E93</f>
        <v>14001717.3333333</v>
      </c>
      <c r="F109" s="206" t="n">
        <f aca="false">E109+F93</f>
        <v>13001594.6666667</v>
      </c>
      <c r="G109" s="206" t="n">
        <f aca="false">F109+G93</f>
        <v>12001472</v>
      </c>
      <c r="H109" s="206" t="n">
        <f aca="false">G109+H93</f>
        <v>11001349.3333333</v>
      </c>
      <c r="I109" s="206" t="n">
        <f aca="false">H109+I93</f>
        <v>10001226.6666667</v>
      </c>
      <c r="J109" s="206" t="n">
        <f aca="false">I109+J93</f>
        <v>9001103.99999999</v>
      </c>
      <c r="K109" s="206" t="n">
        <f aca="false">J109+K93</f>
        <v>8000981.33333333</v>
      </c>
      <c r="L109" s="206" t="n">
        <f aca="false">K109+L93</f>
        <v>7000858.66666666</v>
      </c>
      <c r="M109" s="206" t="n">
        <f aca="false">L109+M93</f>
        <v>6000735.99999999</v>
      </c>
      <c r="N109" s="206" t="n">
        <f aca="false">M109+N93</f>
        <v>5000613.33333333</v>
      </c>
      <c r="O109" s="206" t="n">
        <f aca="false">N109+O93</f>
        <v>4000490.66666666</v>
      </c>
      <c r="P109" s="206" t="n">
        <f aca="false">O109+P93</f>
        <v>3000367.99999999</v>
      </c>
      <c r="Q109" s="206" t="n">
        <f aca="false">P109+Q93</f>
        <v>2000245.33333332</v>
      </c>
      <c r="R109" s="206" t="n">
        <f aca="false">Q109+R93</f>
        <v>1000122.66666666</v>
      </c>
      <c r="S109" s="206" t="n">
        <f aca="false">R109+S93</f>
        <v>-1.02445483207703E-008</v>
      </c>
      <c r="T109" s="206" t="n">
        <f aca="false">S109+T93</f>
        <v>-1.02445483207703E-008</v>
      </c>
      <c r="U109" s="206" t="n">
        <f aca="false">T109+U93</f>
        <v>-1.02445483207703E-008</v>
      </c>
      <c r="V109" s="206" t="n">
        <f aca="false">U109+V93</f>
        <v>-1.02445483207703E-008</v>
      </c>
      <c r="W109" s="206" t="n">
        <f aca="false">V109+W93</f>
        <v>-1.02445483207703E-008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160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161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162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163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164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100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165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166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167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168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169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101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26000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-17506300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-34015.8</v>
      </c>
      <c r="E49" s="170" t="n">
        <v>-34015.8</v>
      </c>
      <c r="F49" s="170" t="n">
        <v>-34015.8</v>
      </c>
      <c r="G49" s="170" t="n">
        <v>-34015.8</v>
      </c>
      <c r="H49" s="170" t="n">
        <v>-34015.8</v>
      </c>
      <c r="I49" s="170" t="n">
        <v>-34015.8</v>
      </c>
      <c r="J49" s="170" t="n">
        <v>-34015.8</v>
      </c>
      <c r="K49" s="170" t="n">
        <v>-34015.8</v>
      </c>
      <c r="L49" s="170" t="n">
        <v>-34015.8</v>
      </c>
      <c r="M49" s="170" t="n">
        <v>-34015.8</v>
      </c>
      <c r="N49" s="170" t="n">
        <v>-34015.8</v>
      </c>
      <c r="O49" s="170" t="n">
        <v>-34015.8</v>
      </c>
      <c r="P49" s="170" t="n">
        <v>-34015.8</v>
      </c>
      <c r="Q49" s="170" t="n">
        <v>-34015.8</v>
      </c>
      <c r="R49" s="170" t="n">
        <v>-34015.8</v>
      </c>
      <c r="S49" s="170" t="n">
        <v>-34015.8</v>
      </c>
      <c r="T49" s="170" t="n">
        <v>-34015.8</v>
      </c>
      <c r="U49" s="170" t="n">
        <v>-34015.8</v>
      </c>
      <c r="V49" s="170" t="n">
        <v>-34015.8</v>
      </c>
      <c r="W49" s="170" t="n">
        <v>-34015.8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-176903.7624192</v>
      </c>
      <c r="E54" s="170" t="n">
        <f aca="false">-(E64+E67+E68+E71+E72+E73+E74)*0.2</f>
        <v>-117237.78495488</v>
      </c>
      <c r="F54" s="170" t="n">
        <f aca="false">-(F64+F67+F68+F71+F72+F73+F74)*0.2</f>
        <v>-115612.00749056</v>
      </c>
      <c r="G54" s="170" t="n">
        <f aca="false">-(G64+G67+G68+G71+G72+G73+G74)*0.2</f>
        <v>-113986.23002624</v>
      </c>
      <c r="H54" s="170" t="n">
        <f aca="false">-(H64+H67+H68+H71+H72+H73+H74)*0.2</f>
        <v>-112360.45256192</v>
      </c>
      <c r="I54" s="170" t="n">
        <f aca="false">-(I64+I67+I68+I71+I72+I73+I74)*0.2</f>
        <v>-110734.6750976</v>
      </c>
      <c r="J54" s="170" t="n">
        <f aca="false">-(J64+J67+J68+J71+J72+J73+J74)*0.2</f>
        <v>-109108.89763328</v>
      </c>
      <c r="K54" s="170" t="n">
        <f aca="false">-(K64+K67+K68+K71+K72+K73+K74)*0.2</f>
        <v>-107483.12016896</v>
      </c>
      <c r="L54" s="170" t="n">
        <f aca="false">-(L64+L67+L68+L71+L72+L73+L74)*0.2</f>
        <v>-105857.34270464</v>
      </c>
      <c r="M54" s="170" t="n">
        <f aca="false">-(M64+M67+M68+M71+M72+M73+M74)*0.2</f>
        <v>-104231.56524032</v>
      </c>
      <c r="N54" s="170" t="n">
        <f aca="false">-(N64+N67+N68+N71+N72+N73+N74)*0.2</f>
        <v>-111327.787776</v>
      </c>
      <c r="O54" s="170" t="n">
        <f aca="false">-(O64+O67+O68+O71+O72+O73+O74)*0.2</f>
        <v>-109702.01031168</v>
      </c>
      <c r="P54" s="170" t="n">
        <f aca="false">-(P64+P67+P68+P71+P72+P73+P74)*0.2</f>
        <v>-108076.23284736</v>
      </c>
      <c r="Q54" s="170" t="n">
        <f aca="false">-(Q64+Q67+Q68+Q71+Q72+Q73+Q74)*0.2</f>
        <v>-106450.45538304</v>
      </c>
      <c r="R54" s="170" t="n">
        <f aca="false">-(R64+R67+R68+R71+R72+R73+R74)*0.2</f>
        <v>-104824.67791872</v>
      </c>
      <c r="S54" s="170" t="n">
        <f aca="false">-(S64+S67+S68+S71+S72+S73+S74)*0.2</f>
        <v>-103198.9004544</v>
      </c>
      <c r="T54" s="170" t="n">
        <f aca="false">-(T64+T67+T68+T71+T72+T73+T74)*0.2</f>
        <v>-101573.12299008</v>
      </c>
      <c r="U54" s="170" t="n">
        <f aca="false">-(U64+U67+U68+U71+U72+U73+U74)*0.2</f>
        <v>-99947.34552576</v>
      </c>
      <c r="V54" s="170" t="n">
        <f aca="false">-(V64+V67+V68+V71+V72+V73+V74)*0.2</f>
        <v>-98321.56806144</v>
      </c>
      <c r="W54" s="170" t="n">
        <f aca="false">-(W64+W67+W68+W71+W72+W73+W74)*0.2</f>
        <v>-96695.79059712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-17506300</v>
      </c>
      <c r="D55" s="175" t="n">
        <f aca="false">SUM(D41:D54)</f>
        <v>1582930.0496768</v>
      </c>
      <c r="E55" s="175" t="n">
        <f aca="false">SUM(E41:E54)</f>
        <v>1344266.13981952</v>
      </c>
      <c r="F55" s="175" t="n">
        <f aca="false">SUM(F41:F54)</f>
        <v>1337763.02996224</v>
      </c>
      <c r="G55" s="175" t="n">
        <f aca="false">SUM(G41:G54)</f>
        <v>1331259.92010496</v>
      </c>
      <c r="H55" s="175" t="n">
        <f aca="false">SUM(H41:H54)</f>
        <v>1324756.81024768</v>
      </c>
      <c r="I55" s="175" t="n">
        <f aca="false">SUM(I41:I54)</f>
        <v>1318253.7003904</v>
      </c>
      <c r="J55" s="175" t="n">
        <f aca="false">SUM(J41:J54)</f>
        <v>1311750.59053312</v>
      </c>
      <c r="K55" s="175" t="n">
        <f aca="false">SUM(K41:K54)</f>
        <v>1305247.48067584</v>
      </c>
      <c r="L55" s="175" t="n">
        <f aca="false">SUM(L41:L54)</f>
        <v>1298744.37081856</v>
      </c>
      <c r="M55" s="175" t="n">
        <f aca="false">SUM(M41:M54)</f>
        <v>1292241.26096128</v>
      </c>
      <c r="N55" s="175" t="n">
        <f aca="false">SUM(N41:N54)</f>
        <v>1320626.151104</v>
      </c>
      <c r="O55" s="175" t="n">
        <f aca="false">SUM(O41:O54)</f>
        <v>1314123.04124672</v>
      </c>
      <c r="P55" s="175" t="n">
        <f aca="false">SUM(P41:P54)</f>
        <v>1307619.93138944</v>
      </c>
      <c r="Q55" s="175" t="n">
        <f aca="false">SUM(Q41:Q54)</f>
        <v>1301116.82153216</v>
      </c>
      <c r="R55" s="175" t="n">
        <f aca="false">SUM(R41:R54)</f>
        <v>1294613.71167488</v>
      </c>
      <c r="S55" s="175" t="n">
        <f aca="false">SUM(S41:S54)</f>
        <v>1288110.6018176</v>
      </c>
      <c r="T55" s="175" t="n">
        <f aca="false">SUM(T41:T54)</f>
        <v>1281607.49196032</v>
      </c>
      <c r="U55" s="175" t="n">
        <f aca="false">SUM(U41:U54)</f>
        <v>1275104.38210304</v>
      </c>
      <c r="V55" s="175" t="n">
        <f aca="false">SUM(V41:V54)</f>
        <v>1268601.27224576</v>
      </c>
      <c r="W55" s="175" t="n">
        <f aca="false">SUM(W41:W54)</f>
        <v>1262098.16238848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-15923369.9503232</v>
      </c>
      <c r="E56" s="180" t="n">
        <f aca="false">D56+E55</f>
        <v>-14579103.8105037</v>
      </c>
      <c r="F56" s="180" t="n">
        <f aca="false">E56+F55</f>
        <v>-13241340.7805414</v>
      </c>
      <c r="G56" s="180" t="n">
        <f aca="false">F56+G55</f>
        <v>-11910080.8604365</v>
      </c>
      <c r="H56" s="180" t="n">
        <f aca="false">G56+H55</f>
        <v>-10585324.0501888</v>
      </c>
      <c r="I56" s="180" t="n">
        <f aca="false">H56+I55</f>
        <v>-9267070.3497984</v>
      </c>
      <c r="J56" s="180" t="n">
        <f aca="false">I56+J55</f>
        <v>-7955319.75926528</v>
      </c>
      <c r="K56" s="180" t="n">
        <f aca="false">J56+K55</f>
        <v>-6650072.27858944</v>
      </c>
      <c r="L56" s="180" t="n">
        <f aca="false">K56+L55</f>
        <v>-5351327.90777088</v>
      </c>
      <c r="M56" s="180" t="n">
        <f aca="false">L56+M55</f>
        <v>-4059086.6468096</v>
      </c>
      <c r="N56" s="180" t="n">
        <f aca="false">M56+N55</f>
        <v>-2738460.4957056</v>
      </c>
      <c r="O56" s="180" t="n">
        <f aca="false">N56+O55</f>
        <v>-1424337.45445888</v>
      </c>
      <c r="P56" s="180" t="n">
        <f aca="false">O56+P55</f>
        <v>-116717.52306944</v>
      </c>
      <c r="Q56" s="180" t="n">
        <f aca="false">P56+Q55</f>
        <v>1184399.29846272</v>
      </c>
      <c r="R56" s="180" t="n">
        <f aca="false">Q56+R55</f>
        <v>2479013.0101376</v>
      </c>
      <c r="S56" s="180" t="n">
        <f aca="false">R56+S55</f>
        <v>3767123.6119552</v>
      </c>
      <c r="T56" s="180" t="n">
        <f aca="false">S56+T55</f>
        <v>5048731.10391552</v>
      </c>
      <c r="U56" s="180" t="n">
        <f aca="false">T56+U55</f>
        <v>6323835.48601856</v>
      </c>
      <c r="V56" s="180" t="n">
        <f aca="false">U56+V55</f>
        <v>7592436.75826432</v>
      </c>
      <c r="W56" s="180" t="n">
        <f aca="false">V56+W55</f>
        <v>8854534.9206528</v>
      </c>
      <c r="X56" s="180" t="n">
        <f aca="false">W56+X55</f>
        <v>8854534.9206528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0.0435329198310052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-875315</v>
      </c>
      <c r="E67" s="191" t="n">
        <f aca="false">$C$44/$E$16</f>
        <v>-875315</v>
      </c>
      <c r="F67" s="191" t="n">
        <f aca="false">$C$44/$E$16</f>
        <v>-875315</v>
      </c>
      <c r="G67" s="191" t="n">
        <f aca="false">$C$44/$E$16</f>
        <v>-875315</v>
      </c>
      <c r="H67" s="191" t="n">
        <f aca="false">$C$44/$E$16</f>
        <v>-875315</v>
      </c>
      <c r="I67" s="191" t="n">
        <f aca="false">$C$44/$E$16</f>
        <v>-875315</v>
      </c>
      <c r="J67" s="191" t="n">
        <f aca="false">$C$44/$E$16</f>
        <v>-875315</v>
      </c>
      <c r="K67" s="191" t="n">
        <f aca="false">$C$44/$E$16</f>
        <v>-875315</v>
      </c>
      <c r="L67" s="191" t="n">
        <f aca="false">$C$44/$E$16</f>
        <v>-875315</v>
      </c>
      <c r="M67" s="191" t="n">
        <f aca="false">$C$44/$E$16</f>
        <v>-875315</v>
      </c>
      <c r="N67" s="191" t="n">
        <f aca="false">$C$44/$E$16</f>
        <v>-875315</v>
      </c>
      <c r="O67" s="191" t="n">
        <f aca="false">$C$44/$E$16</f>
        <v>-875315</v>
      </c>
      <c r="P67" s="191" t="n">
        <f aca="false">$C$44/$E$16</f>
        <v>-875315</v>
      </c>
      <c r="Q67" s="191" t="n">
        <f aca="false">$C$44/$E$16</f>
        <v>-875315</v>
      </c>
      <c r="R67" s="191" t="n">
        <f aca="false">$C$44/$E$16</f>
        <v>-875315</v>
      </c>
      <c r="S67" s="191" t="n">
        <f aca="false">$C$44/$E$16</f>
        <v>-875315</v>
      </c>
      <c r="T67" s="191" t="n">
        <f aca="false">$C$44/$E$16</f>
        <v>-875315</v>
      </c>
      <c r="U67" s="191" t="n">
        <f aca="false">$C$44/$E$16</f>
        <v>-875315</v>
      </c>
      <c r="V67" s="191" t="n">
        <f aca="false">$C$44/$E$16</f>
        <v>-875315</v>
      </c>
      <c r="W67" s="191" t="n">
        <f aca="false">$C$44/$E$16</f>
        <v>-875315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-358458.9988</v>
      </c>
      <c r="E70" s="170" t="n">
        <f aca="false">-E109*$D25</f>
        <v>-334561.732213333</v>
      </c>
      <c r="F70" s="170" t="n">
        <f aca="false">-F109*$D25</f>
        <v>-310664.465626667</v>
      </c>
      <c r="G70" s="170" t="n">
        <f aca="false">-G109*$D25</f>
        <v>-286767.19904</v>
      </c>
      <c r="H70" s="170" t="n">
        <f aca="false">-H109*$D25</f>
        <v>-262869.932453333</v>
      </c>
      <c r="I70" s="170" t="n">
        <f aca="false">-I109*$D25</f>
        <v>-238972.665866667</v>
      </c>
      <c r="J70" s="170" t="n">
        <f aca="false">-J109*$D25</f>
        <v>-215075.39928</v>
      </c>
      <c r="K70" s="170" t="n">
        <f aca="false">-K109*$D25</f>
        <v>-191178.132693333</v>
      </c>
      <c r="L70" s="170" t="n">
        <f aca="false">-L109*$D25</f>
        <v>-167280.866106667</v>
      </c>
      <c r="M70" s="170" t="n">
        <f aca="false">-M109*$D25</f>
        <v>-143383.59952</v>
      </c>
      <c r="N70" s="170" t="n">
        <f aca="false">-N109*$D25</f>
        <v>-119486.332933333</v>
      </c>
      <c r="O70" s="170" t="n">
        <f aca="false">-O109*$D25</f>
        <v>-95589.0663466666</v>
      </c>
      <c r="P70" s="170" t="n">
        <f aca="false">-P109*$D25</f>
        <v>-71691.7997599999</v>
      </c>
      <c r="Q70" s="170" t="n">
        <f aca="false">-Q109*$D25</f>
        <v>-47794.5331733333</v>
      </c>
      <c r="R70" s="170" t="n">
        <f aca="false">-R109*$D25</f>
        <v>-23897.2665866666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-34015.8</v>
      </c>
      <c r="E72" s="170" t="n">
        <f aca="false">E49</f>
        <v>-34015.8</v>
      </c>
      <c r="F72" s="170" t="n">
        <f aca="false">F49</f>
        <v>-34015.8</v>
      </c>
      <c r="G72" s="170" t="n">
        <f aca="false">G49</f>
        <v>-34015.8</v>
      </c>
      <c r="H72" s="170" t="n">
        <f aca="false">H49</f>
        <v>-34015.8</v>
      </c>
      <c r="I72" s="170" t="n">
        <f aca="false">I49</f>
        <v>-34015.8</v>
      </c>
      <c r="J72" s="170" t="n">
        <f aca="false">J49</f>
        <v>-34015.8</v>
      </c>
      <c r="K72" s="170" t="n">
        <f aca="false">K49</f>
        <v>-34015.8</v>
      </c>
      <c r="L72" s="170" t="n">
        <f aca="false">L49</f>
        <v>-34015.8</v>
      </c>
      <c r="M72" s="170" t="n">
        <f aca="false">M49</f>
        <v>-34015.8</v>
      </c>
      <c r="N72" s="170" t="n">
        <f aca="false">N49</f>
        <v>-34015.8</v>
      </c>
      <c r="O72" s="170" t="n">
        <f aca="false">O49</f>
        <v>-34015.8</v>
      </c>
      <c r="P72" s="170" t="n">
        <f aca="false">P49</f>
        <v>-34015.8</v>
      </c>
      <c r="Q72" s="170" t="n">
        <f aca="false">Q49</f>
        <v>-34015.8</v>
      </c>
      <c r="R72" s="170" t="n">
        <f aca="false">R49</f>
        <v>-34015.8</v>
      </c>
      <c r="S72" s="170" t="n">
        <f aca="false">S49</f>
        <v>-34015.8</v>
      </c>
      <c r="T72" s="170" t="n">
        <f aca="false">T49</f>
        <v>-34015.8</v>
      </c>
      <c r="U72" s="170" t="n">
        <f aca="false">U49</f>
        <v>-34015.8</v>
      </c>
      <c r="V72" s="170" t="n">
        <f aca="false">V49</f>
        <v>-34015.8</v>
      </c>
      <c r="W72" s="170" t="n">
        <f aca="false">W49</f>
        <v>-34015.8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526059.813296</v>
      </c>
      <c r="E76" s="175" t="n">
        <f aca="false">SUM(E64:E75)</f>
        <v>251627.192561066</v>
      </c>
      <c r="F76" s="175" t="n">
        <f aca="false">SUM(F64:F75)</f>
        <v>267395.571826133</v>
      </c>
      <c r="G76" s="175" t="n">
        <f aca="false">SUM(G64:G75)</f>
        <v>283163.9510912</v>
      </c>
      <c r="H76" s="175" t="n">
        <f aca="false">SUM(H64:H75)</f>
        <v>298932.330356267</v>
      </c>
      <c r="I76" s="175" t="n">
        <f aca="false">SUM(I64:I75)</f>
        <v>314700.709621333</v>
      </c>
      <c r="J76" s="175" t="n">
        <f aca="false">SUM(J64:J75)</f>
        <v>330469.0888864</v>
      </c>
      <c r="K76" s="175" t="n">
        <f aca="false">SUM(K64:K75)</f>
        <v>346237.468151467</v>
      </c>
      <c r="L76" s="175" t="n">
        <f aca="false">SUM(L64:L75)</f>
        <v>362005.847416533</v>
      </c>
      <c r="M76" s="175" t="n">
        <f aca="false">SUM(M64:M75)</f>
        <v>377774.2266816</v>
      </c>
      <c r="N76" s="175" t="n">
        <f aca="false">SUM(N64:N75)</f>
        <v>437152.605946667</v>
      </c>
      <c r="O76" s="175" t="n">
        <f aca="false">SUM(O64:O75)</f>
        <v>452920.985211733</v>
      </c>
      <c r="P76" s="175" t="n">
        <f aca="false">SUM(P64:P75)</f>
        <v>468689.3644768</v>
      </c>
      <c r="Q76" s="175" t="n">
        <f aca="false">SUM(Q64:Q75)</f>
        <v>484457.743741867</v>
      </c>
      <c r="R76" s="175" t="n">
        <f aca="false">SUM(R64:R75)</f>
        <v>500226.123006933</v>
      </c>
      <c r="S76" s="175" t="n">
        <f aca="false">SUM(S64:S75)</f>
        <v>515994.502272</v>
      </c>
      <c r="T76" s="175" t="n">
        <f aca="false">SUM(T64:T75)</f>
        <v>507865.6149504</v>
      </c>
      <c r="U76" s="175" t="n">
        <f aca="false">SUM(U64:U75)</f>
        <v>499736.7276288</v>
      </c>
      <c r="V76" s="175" t="n">
        <f aca="false">SUM(V64:V75)</f>
        <v>491607.8403072</v>
      </c>
      <c r="W76" s="175" t="n">
        <f aca="false">SUM(W64:W75)</f>
        <v>483478.9529856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-105211.9626592</v>
      </c>
      <c r="E77" s="170" t="n">
        <f aca="false">-E76*0.2</f>
        <v>-50325.4385122133</v>
      </c>
      <c r="F77" s="170" t="n">
        <f aca="false">-F76*0.2</f>
        <v>-53479.1143652267</v>
      </c>
      <c r="G77" s="170" t="n">
        <f aca="false">-G76*0.2</f>
        <v>-56632.79021824</v>
      </c>
      <c r="H77" s="170" t="n">
        <f aca="false">-H76*0.2</f>
        <v>-59786.4660712533</v>
      </c>
      <c r="I77" s="170" t="n">
        <f aca="false">-I76*0.2</f>
        <v>-62940.1419242666</v>
      </c>
      <c r="J77" s="170" t="n">
        <f aca="false">-J76*0.2</f>
        <v>-66093.81777728</v>
      </c>
      <c r="K77" s="170" t="n">
        <f aca="false">-K76*0.2</f>
        <v>-69247.4936302933</v>
      </c>
      <c r="L77" s="170" t="n">
        <f aca="false">-L76*0.2</f>
        <v>-72401.1694833066</v>
      </c>
      <c r="M77" s="170" t="n">
        <f aca="false">-M76*0.2</f>
        <v>-75554.84533632</v>
      </c>
      <c r="N77" s="170" t="n">
        <f aca="false">-N76*0.2</f>
        <v>-87430.5211893333</v>
      </c>
      <c r="O77" s="170" t="n">
        <f aca="false">-O76*0.2</f>
        <v>-90584.1970423467</v>
      </c>
      <c r="P77" s="170" t="n">
        <f aca="false">-P76*0.2</f>
        <v>-93737.87289536</v>
      </c>
      <c r="Q77" s="170" t="n">
        <f aca="false">-Q76*0.2</f>
        <v>-96891.5487483733</v>
      </c>
      <c r="R77" s="170" t="n">
        <f aca="false">-R76*0.2</f>
        <v>-100045.224601387</v>
      </c>
      <c r="S77" s="170" t="n">
        <f aca="false">-S76*0.2</f>
        <v>-103198.9004544</v>
      </c>
      <c r="T77" s="170" t="n">
        <f aca="false">-T76*0.2</f>
        <v>-101573.12299008</v>
      </c>
      <c r="U77" s="170" t="n">
        <f aca="false">-U76*0.2</f>
        <v>-99947.34552576</v>
      </c>
      <c r="V77" s="170" t="n">
        <f aca="false">-V76*0.2</f>
        <v>-98321.56806144</v>
      </c>
      <c r="W77" s="170" t="n">
        <f aca="false">-W76*0.2</f>
        <v>-96695.79059712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420847.8506368</v>
      </c>
      <c r="E78" s="170" t="n">
        <f aca="false">SUM(E76:E77)</f>
        <v>201301.754048853</v>
      </c>
      <c r="F78" s="170" t="n">
        <f aca="false">SUM(F76:F77)</f>
        <v>213916.457460907</v>
      </c>
      <c r="G78" s="170" t="n">
        <f aca="false">SUM(G76:G77)</f>
        <v>226531.16087296</v>
      </c>
      <c r="H78" s="170" t="n">
        <f aca="false">SUM(H76:H77)</f>
        <v>239145.864285013</v>
      </c>
      <c r="I78" s="170" t="n">
        <f aca="false">SUM(I76:I77)</f>
        <v>251760.567697067</v>
      </c>
      <c r="J78" s="170" t="n">
        <f aca="false">SUM(J76:J77)</f>
        <v>264375.27110912</v>
      </c>
      <c r="K78" s="170" t="n">
        <f aca="false">SUM(K76:K77)</f>
        <v>276989.974521173</v>
      </c>
      <c r="L78" s="170" t="n">
        <f aca="false">SUM(L76:L77)</f>
        <v>289604.677933227</v>
      </c>
      <c r="M78" s="170" t="n">
        <f aca="false">SUM(M76:M77)</f>
        <v>302219.38134528</v>
      </c>
      <c r="N78" s="170" t="n">
        <f aca="false">SUM(N76:N77)</f>
        <v>349722.084757333</v>
      </c>
      <c r="O78" s="170" t="n">
        <f aca="false">SUM(O76:O77)</f>
        <v>362336.788169387</v>
      </c>
      <c r="P78" s="170" t="n">
        <f aca="false">SUM(P76:P77)</f>
        <v>374951.49158144</v>
      </c>
      <c r="Q78" s="170" t="n">
        <f aca="false">SUM(Q76:Q77)</f>
        <v>387566.194993493</v>
      </c>
      <c r="R78" s="170" t="n">
        <f aca="false">SUM(R76:R77)</f>
        <v>400180.898405547</v>
      </c>
      <c r="S78" s="170" t="n">
        <f aca="false">SUM(S76:S77)</f>
        <v>412795.6018176</v>
      </c>
      <c r="T78" s="170" t="n">
        <f aca="false">SUM(T76:T77)</f>
        <v>406292.49196032</v>
      </c>
      <c r="U78" s="170" t="n">
        <f aca="false">SUM(U76:U77)</f>
        <v>399789.38210304</v>
      </c>
      <c r="V78" s="170" t="n">
        <f aca="false">SUM(V76:V77)</f>
        <v>393286.27224576</v>
      </c>
      <c r="W78" s="170" t="n">
        <f aca="false">SUM(W76:W77)</f>
        <v>386783.16238848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420847.8506368</v>
      </c>
      <c r="E85" s="206" t="n">
        <f aca="false">E78</f>
        <v>201301.754048853</v>
      </c>
      <c r="F85" s="206" t="n">
        <f aca="false">F78</f>
        <v>213916.457460907</v>
      </c>
      <c r="G85" s="206" t="n">
        <f aca="false">G78</f>
        <v>226531.16087296</v>
      </c>
      <c r="H85" s="206" t="n">
        <f aca="false">H78</f>
        <v>239145.864285013</v>
      </c>
      <c r="I85" s="206" t="n">
        <f aca="false">I78</f>
        <v>251760.567697067</v>
      </c>
      <c r="J85" s="206" t="n">
        <f aca="false">J78</f>
        <v>264375.27110912</v>
      </c>
      <c r="K85" s="206" t="n">
        <f aca="false">K78</f>
        <v>276989.974521173</v>
      </c>
      <c r="L85" s="206" t="n">
        <f aca="false">L78</f>
        <v>289604.677933227</v>
      </c>
      <c r="M85" s="206" t="n">
        <f aca="false">M78</f>
        <v>302219.38134528</v>
      </c>
      <c r="N85" s="206" t="n">
        <f aca="false">N78</f>
        <v>349722.084757333</v>
      </c>
      <c r="O85" s="206" t="n">
        <f aca="false">O78</f>
        <v>362336.788169387</v>
      </c>
      <c r="P85" s="206" t="n">
        <f aca="false">P78</f>
        <v>374951.49158144</v>
      </c>
      <c r="Q85" s="206" t="n">
        <f aca="false">Q78</f>
        <v>387566.194993493</v>
      </c>
      <c r="R85" s="206" t="n">
        <f aca="false">R78</f>
        <v>400180.898405547</v>
      </c>
      <c r="S85" s="206" t="n">
        <f aca="false">S78</f>
        <v>412795.6018176</v>
      </c>
      <c r="T85" s="206" t="n">
        <f aca="false">T78</f>
        <v>406292.49196032</v>
      </c>
      <c r="U85" s="206" t="n">
        <f aca="false">U78</f>
        <v>399789.38210304</v>
      </c>
      <c r="V85" s="206" t="n">
        <f aca="false">V78</f>
        <v>393286.27224576</v>
      </c>
      <c r="W85" s="206" t="n">
        <f aca="false">W78</f>
        <v>386783.16238848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875315</v>
      </c>
      <c r="E86" s="207" t="n">
        <f aca="false">-E67</f>
        <v>875315</v>
      </c>
      <c r="F86" s="207" t="n">
        <f aca="false">-F67</f>
        <v>875315</v>
      </c>
      <c r="G86" s="207" t="n">
        <f aca="false">-G67</f>
        <v>875315</v>
      </c>
      <c r="H86" s="207" t="n">
        <f aca="false">-H67</f>
        <v>875315</v>
      </c>
      <c r="I86" s="207" t="n">
        <f aca="false">-I67</f>
        <v>875315</v>
      </c>
      <c r="J86" s="207" t="n">
        <f aca="false">-J67</f>
        <v>875315</v>
      </c>
      <c r="K86" s="207" t="n">
        <f aca="false">-K67</f>
        <v>875315</v>
      </c>
      <c r="L86" s="207" t="n">
        <f aca="false">-L67</f>
        <v>875315</v>
      </c>
      <c r="M86" s="207" t="n">
        <f aca="false">-M67</f>
        <v>875315</v>
      </c>
      <c r="N86" s="207" t="n">
        <f aca="false">-N67</f>
        <v>875315</v>
      </c>
      <c r="O86" s="207" t="n">
        <f aca="false">-O67</f>
        <v>875315</v>
      </c>
      <c r="P86" s="207" t="n">
        <f aca="false">-P67</f>
        <v>875315</v>
      </c>
      <c r="Q86" s="207" t="n">
        <f aca="false">-Q67</f>
        <v>875315</v>
      </c>
      <c r="R86" s="207" t="n">
        <f aca="false">-R67</f>
        <v>875315</v>
      </c>
      <c r="S86" s="207" t="n">
        <f aca="false">-S67</f>
        <v>875315</v>
      </c>
      <c r="T86" s="207" t="n">
        <f aca="false">-T67</f>
        <v>875315</v>
      </c>
      <c r="U86" s="207" t="n">
        <f aca="false">-U67</f>
        <v>875315</v>
      </c>
      <c r="V86" s="207" t="n">
        <f aca="false">-V67</f>
        <v>875315</v>
      </c>
      <c r="W86" s="207" t="n">
        <f aca="false">-W67</f>
        <v>875315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1296162.8506368</v>
      </c>
      <c r="E87" s="209" t="n">
        <f aca="false">SUM(E85:E86)</f>
        <v>1076616.75404885</v>
      </c>
      <c r="F87" s="209" t="n">
        <f aca="false">SUM(F85:F86)</f>
        <v>1089231.45746091</v>
      </c>
      <c r="G87" s="209" t="n">
        <f aca="false">SUM(G85:G86)</f>
        <v>1101846.16087296</v>
      </c>
      <c r="H87" s="209" t="n">
        <f aca="false">SUM(H85:H86)</f>
        <v>1114460.86428501</v>
      </c>
      <c r="I87" s="209" t="n">
        <f aca="false">SUM(I85:I86)</f>
        <v>1127075.56769707</v>
      </c>
      <c r="J87" s="209" t="n">
        <f aca="false">SUM(J85:J86)</f>
        <v>1139690.27110912</v>
      </c>
      <c r="K87" s="209" t="n">
        <f aca="false">SUM(K85:K86)</f>
        <v>1152304.97452117</v>
      </c>
      <c r="L87" s="209" t="n">
        <f aca="false">SUM(L85:L86)</f>
        <v>1164919.67793323</v>
      </c>
      <c r="M87" s="209" t="n">
        <f aca="false">SUM(M85:M86)</f>
        <v>1177534.38134528</v>
      </c>
      <c r="N87" s="209" t="n">
        <f aca="false">SUM(N85:N86)</f>
        <v>1225037.08475733</v>
      </c>
      <c r="O87" s="209" t="n">
        <f aca="false">SUM(O85:O86)</f>
        <v>1237651.78816939</v>
      </c>
      <c r="P87" s="209" t="n">
        <f aca="false">SUM(P85:P86)</f>
        <v>1250266.49158144</v>
      </c>
      <c r="Q87" s="209" t="n">
        <f aca="false">SUM(Q85:Q86)</f>
        <v>1262881.19499349</v>
      </c>
      <c r="R87" s="209" t="n">
        <f aca="false">SUM(R85:R86)</f>
        <v>1275495.89840555</v>
      </c>
      <c r="S87" s="209" t="n">
        <f aca="false">SUM(S85:S86)</f>
        <v>1288110.6018176</v>
      </c>
      <c r="T87" s="209" t="n">
        <f aca="false">SUM(T85:T86)</f>
        <v>1281607.49196032</v>
      </c>
      <c r="U87" s="209" t="n">
        <f aca="false">SUM(U85:U86)</f>
        <v>1275104.38210304</v>
      </c>
      <c r="V87" s="209" t="n">
        <f aca="false">SUM(V85:V86)</f>
        <v>1268601.27224576</v>
      </c>
      <c r="W87" s="209" t="n">
        <f aca="false">SUM(W85:W86)</f>
        <v>1262098.16238848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-17506300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14005040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-933669.333333333</v>
      </c>
      <c r="F93" s="215" t="n">
        <v>-933669.333333333</v>
      </c>
      <c r="G93" s="215" t="n">
        <v>-933669.333333333</v>
      </c>
      <c r="H93" s="215" t="n">
        <v>-933669.333333333</v>
      </c>
      <c r="I93" s="215" t="n">
        <v>-933669.333333333</v>
      </c>
      <c r="J93" s="215" t="n">
        <v>-933669.333333333</v>
      </c>
      <c r="K93" s="215" t="n">
        <v>-933669.333333333</v>
      </c>
      <c r="L93" s="215" t="n">
        <v>-933669.333333333</v>
      </c>
      <c r="M93" s="215" t="n">
        <v>-933669.333333333</v>
      </c>
      <c r="N93" s="215" t="n">
        <v>-933669.333333333</v>
      </c>
      <c r="O93" s="215" t="n">
        <v>-933669.333333333</v>
      </c>
      <c r="P93" s="215" t="n">
        <v>-933669.333333333</v>
      </c>
      <c r="Q93" s="215" t="n">
        <v>-933669.333333333</v>
      </c>
      <c r="R93" s="215" t="n">
        <v>-933669.333333333</v>
      </c>
      <c r="S93" s="215" t="n">
        <v>-933669.333333333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3501260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-378763.06557312</v>
      </c>
      <c r="F95" s="216" t="n">
        <f aca="false">-E85*$D$33</f>
        <v>-181171.578643968</v>
      </c>
      <c r="G95" s="216" t="n">
        <f aca="false">-F85*$D$33</f>
        <v>-192524.811714816</v>
      </c>
      <c r="H95" s="216" t="n">
        <f aca="false">-G85*$D$33</f>
        <v>-203878.044785664</v>
      </c>
      <c r="I95" s="216" t="n">
        <f aca="false">-H85*$D$33</f>
        <v>-215231.277856512</v>
      </c>
      <c r="J95" s="216" t="n">
        <f aca="false">-I85*$D$33</f>
        <v>-226584.51092736</v>
      </c>
      <c r="K95" s="216" t="n">
        <f aca="false">-J85*$D$33</f>
        <v>-237937.743998208</v>
      </c>
      <c r="L95" s="216" t="n">
        <f aca="false">-K85*$D$33</f>
        <v>-249290.977069056</v>
      </c>
      <c r="M95" s="216" t="n">
        <f aca="false">-L85*$D$33</f>
        <v>-260644.210139904</v>
      </c>
      <c r="N95" s="216" t="n">
        <f aca="false">-M85*$D$33</f>
        <v>-271997.443210752</v>
      </c>
      <c r="O95" s="216" t="n">
        <f aca="false">-N85*$D$33</f>
        <v>-314749.8762816</v>
      </c>
      <c r="P95" s="216" t="n">
        <f aca="false">-O85*$D$33</f>
        <v>-326103.109352448</v>
      </c>
      <c r="Q95" s="216" t="n">
        <f aca="false">-P85*$D$33</f>
        <v>-337456.342423296</v>
      </c>
      <c r="R95" s="216" t="n">
        <f aca="false">-Q85*$D$33</f>
        <v>-348809.575494144</v>
      </c>
      <c r="S95" s="216" t="n">
        <f aca="false">-R85*$D$33</f>
        <v>-360162.808564992</v>
      </c>
      <c r="T95" s="216" t="n">
        <f aca="false">-S85*$D$33</f>
        <v>-371516.04163584</v>
      </c>
      <c r="U95" s="216" t="n">
        <f aca="false">-T85*$D$33</f>
        <v>-365663.242764288</v>
      </c>
      <c r="V95" s="216" t="n">
        <f aca="false">-U85*$D$33</f>
        <v>-359810.443892736</v>
      </c>
      <c r="W95" s="216" t="n">
        <f aca="false">-V85*$D$33</f>
        <v>-353957.645021184</v>
      </c>
      <c r="X95" s="216" t="n">
        <f aca="false">-W85*$D$33</f>
        <v>-348104.846149632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-875315</v>
      </c>
      <c r="U96" s="219" t="n">
        <v>-875315</v>
      </c>
      <c r="V96" s="219" t="n">
        <v>-875315</v>
      </c>
      <c r="W96" s="219" t="n">
        <v>-875315</v>
      </c>
      <c r="X96" s="220" t="n">
        <f aca="false">-W101-X95</f>
        <v>-656039.732833277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1296162.8506368</v>
      </c>
      <c r="E99" s="206" t="n">
        <f aca="false">SUM(E87:E96)</f>
        <v>-235815.6448576</v>
      </c>
      <c r="F99" s="206" t="n">
        <f aca="false">SUM(F87:F96)</f>
        <v>-25609.4545163944</v>
      </c>
      <c r="G99" s="206" t="n">
        <f aca="false">SUM(G87:G96)</f>
        <v>-24347.9841751894</v>
      </c>
      <c r="H99" s="206" t="n">
        <f aca="false">SUM(H87:H96)</f>
        <v>-23086.5138339843</v>
      </c>
      <c r="I99" s="206" t="n">
        <f aca="false">SUM(I87:I96)</f>
        <v>-21825.0434927787</v>
      </c>
      <c r="J99" s="206" t="n">
        <f aca="false">SUM(J87:J96)</f>
        <v>-20563.5731515733</v>
      </c>
      <c r="K99" s="206" t="n">
        <f aca="false">SUM(K87:K96)</f>
        <v>-19302.1028103683</v>
      </c>
      <c r="L99" s="206" t="n">
        <f aca="false">SUM(L87:L96)</f>
        <v>-18040.6324691628</v>
      </c>
      <c r="M99" s="206" t="n">
        <f aca="false">SUM(M87:M96)</f>
        <v>-16779.1621279573</v>
      </c>
      <c r="N99" s="206" t="n">
        <f aca="false">SUM(N87:N96)</f>
        <v>19370.3082132479</v>
      </c>
      <c r="O99" s="206" t="n">
        <f aca="false">SUM(O87:O96)</f>
        <v>-10767.4214455468</v>
      </c>
      <c r="P99" s="206" t="n">
        <f aca="false">SUM(P87:P96)</f>
        <v>-9505.95110434137</v>
      </c>
      <c r="Q99" s="206" t="n">
        <f aca="false">SUM(Q87:Q96)</f>
        <v>-8244.48076313624</v>
      </c>
      <c r="R99" s="206" t="n">
        <f aca="false">SUM(R87:R96)</f>
        <v>-6983.01042193052</v>
      </c>
      <c r="S99" s="206" t="n">
        <f aca="false">SUM(S87:S96)</f>
        <v>-5721.54008072545</v>
      </c>
      <c r="T99" s="206" t="n">
        <f aca="false">SUM(T87:T96)</f>
        <v>34776.4503244797</v>
      </c>
      <c r="U99" s="206" t="n">
        <f aca="false">SUM(U87:U96)</f>
        <v>34126.139338752</v>
      </c>
      <c r="V99" s="206" t="n">
        <f aca="false">SUM(V87:V96)</f>
        <v>33475.8283530236</v>
      </c>
      <c r="W99" s="206" t="n">
        <f aca="false">SUM(W87:W96)</f>
        <v>32825.517367296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1296162.8506368</v>
      </c>
      <c r="F100" s="206" t="n">
        <f aca="false">E101</f>
        <v>1060347.2057792</v>
      </c>
      <c r="G100" s="206" t="n">
        <f aca="false">F101</f>
        <v>1034737.7512628</v>
      </c>
      <c r="H100" s="206" t="n">
        <f aca="false">G101</f>
        <v>1010389.76708762</v>
      </c>
      <c r="I100" s="206" t="n">
        <f aca="false">H101</f>
        <v>987303.253253631</v>
      </c>
      <c r="J100" s="206" t="n">
        <f aca="false">I101</f>
        <v>965478.209760852</v>
      </c>
      <c r="K100" s="206" t="n">
        <f aca="false">J101</f>
        <v>944914.636609279</v>
      </c>
      <c r="L100" s="206" t="n">
        <f aca="false">K101</f>
        <v>925612.53379891</v>
      </c>
      <c r="M100" s="206" t="n">
        <f aca="false">L101</f>
        <v>907571.901329748</v>
      </c>
      <c r="N100" s="206" t="n">
        <f aca="false">M101</f>
        <v>890792.73920179</v>
      </c>
      <c r="O100" s="206" t="n">
        <f aca="false">N101</f>
        <v>910163.047415038</v>
      </c>
      <c r="P100" s="206" t="n">
        <f aca="false">O101</f>
        <v>899395.625969491</v>
      </c>
      <c r="Q100" s="206" t="n">
        <f aca="false">P101</f>
        <v>889889.67486515</v>
      </c>
      <c r="R100" s="206" t="n">
        <f aca="false">Q101</f>
        <v>881645.194102014</v>
      </c>
      <c r="S100" s="206" t="n">
        <f aca="false">R101</f>
        <v>874662.183680083</v>
      </c>
      <c r="T100" s="206" t="n">
        <f aca="false">S101</f>
        <v>868940.643599358</v>
      </c>
      <c r="U100" s="206" t="n">
        <f aca="false">T101</f>
        <v>903717.093923837</v>
      </c>
      <c r="V100" s="206" t="n">
        <f aca="false">U101</f>
        <v>937843.233262589</v>
      </c>
      <c r="W100" s="206" t="n">
        <f aca="false">V101</f>
        <v>971319.061615613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1296162.8506368</v>
      </c>
      <c r="E101" s="206" t="n">
        <f aca="false">E99+E100</f>
        <v>1060347.2057792</v>
      </c>
      <c r="F101" s="206" t="n">
        <f aca="false">F99+F100</f>
        <v>1034737.7512628</v>
      </c>
      <c r="G101" s="206" t="n">
        <f aca="false">G99+G100</f>
        <v>1010389.76708762</v>
      </c>
      <c r="H101" s="206" t="n">
        <f aca="false">H99+H100</f>
        <v>987303.253253631</v>
      </c>
      <c r="I101" s="206" t="n">
        <f aca="false">I99+I100</f>
        <v>965478.209760852</v>
      </c>
      <c r="J101" s="206" t="n">
        <f aca="false">J99+J100</f>
        <v>944914.636609279</v>
      </c>
      <c r="K101" s="206" t="n">
        <f aca="false">K99+K100</f>
        <v>925612.53379891</v>
      </c>
      <c r="L101" s="206" t="n">
        <f aca="false">L99+L100</f>
        <v>907571.901329748</v>
      </c>
      <c r="M101" s="206" t="n">
        <f aca="false">M99+M100</f>
        <v>890792.73920179</v>
      </c>
      <c r="N101" s="206" t="n">
        <f aca="false">N99+N100</f>
        <v>910163.047415038</v>
      </c>
      <c r="O101" s="206" t="n">
        <f aca="false">O99+O100</f>
        <v>899395.625969491</v>
      </c>
      <c r="P101" s="206" t="n">
        <f aca="false">P99+P100</f>
        <v>889889.67486515</v>
      </c>
      <c r="Q101" s="206" t="n">
        <f aca="false">Q99+Q100</f>
        <v>881645.194102014</v>
      </c>
      <c r="R101" s="206" t="n">
        <f aca="false">R99+R100</f>
        <v>874662.183680083</v>
      </c>
      <c r="S101" s="206" t="n">
        <f aca="false">S99+S100</f>
        <v>868940.643599358</v>
      </c>
      <c r="T101" s="206" t="n">
        <f aca="false">T99+T100</f>
        <v>903717.093923837</v>
      </c>
      <c r="U101" s="206" t="n">
        <f aca="false">U99+U100</f>
        <v>937843.233262589</v>
      </c>
      <c r="V101" s="206" t="n">
        <f aca="false">V99+V100</f>
        <v>971319.061615613</v>
      </c>
      <c r="W101" s="206" t="n">
        <f aca="false">W99+W100</f>
        <v>1004144.57898291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-3501260</v>
      </c>
      <c r="E104" s="209" t="n">
        <f aca="false">-E95-E96</f>
        <v>378763.06557312</v>
      </c>
      <c r="F104" s="209" t="n">
        <f aca="false">-F95-F96</f>
        <v>181171.578643968</v>
      </c>
      <c r="G104" s="209" t="n">
        <f aca="false">-G95-G96</f>
        <v>192524.811714816</v>
      </c>
      <c r="H104" s="209" t="n">
        <f aca="false">-H95-H96</f>
        <v>203878.044785664</v>
      </c>
      <c r="I104" s="209" t="n">
        <f aca="false">-I95-I96</f>
        <v>215231.277856512</v>
      </c>
      <c r="J104" s="209" t="n">
        <f aca="false">-J95-J96</f>
        <v>226584.51092736</v>
      </c>
      <c r="K104" s="209" t="n">
        <f aca="false">-K95-K96</f>
        <v>237937.743998208</v>
      </c>
      <c r="L104" s="209" t="n">
        <f aca="false">-L95-L96</f>
        <v>249290.977069056</v>
      </c>
      <c r="M104" s="209" t="n">
        <f aca="false">-M95-M96</f>
        <v>260644.210139904</v>
      </c>
      <c r="N104" s="209" t="n">
        <f aca="false">-N95-N96</f>
        <v>271997.443210752</v>
      </c>
      <c r="O104" s="209" t="n">
        <f aca="false">-O95-O96</f>
        <v>314749.8762816</v>
      </c>
      <c r="P104" s="209" t="n">
        <f aca="false">-P95-P96</f>
        <v>326103.109352448</v>
      </c>
      <c r="Q104" s="209" t="n">
        <f aca="false">-Q95-Q96</f>
        <v>337456.342423296</v>
      </c>
      <c r="R104" s="209" t="n">
        <f aca="false">-R95-R96</f>
        <v>348809.575494144</v>
      </c>
      <c r="S104" s="209" t="n">
        <f aca="false">-S95-S96</f>
        <v>360162.808564992</v>
      </c>
      <c r="T104" s="209" t="n">
        <f aca="false">-T95-T96</f>
        <v>1246831.04163584</v>
      </c>
      <c r="U104" s="209" t="n">
        <f aca="false">-U95-U96</f>
        <v>1240978.24276429</v>
      </c>
      <c r="V104" s="209" t="n">
        <f aca="false">-V95-V96</f>
        <v>1235125.44389274</v>
      </c>
      <c r="W104" s="209" t="n">
        <f aca="false">-W95-W96</f>
        <v>1229272.64502118</v>
      </c>
      <c r="X104" s="209" t="n">
        <f aca="false">-X95-X96</f>
        <v>1004144.57898291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0.0868226926595413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-3080412.1493632</v>
      </c>
      <c r="E106" s="209" t="n">
        <f aca="false">E85</f>
        <v>201301.754048853</v>
      </c>
      <c r="F106" s="209" t="n">
        <f aca="false">F85-F96</f>
        <v>213916.457460907</v>
      </c>
      <c r="G106" s="209" t="n">
        <f aca="false">G85-G96</f>
        <v>226531.16087296</v>
      </c>
      <c r="H106" s="209" t="n">
        <f aca="false">H85-H96</f>
        <v>239145.864285013</v>
      </c>
      <c r="I106" s="209" t="n">
        <f aca="false">I85-I96</f>
        <v>251760.567697067</v>
      </c>
      <c r="J106" s="209" t="n">
        <f aca="false">J85-J96</f>
        <v>264375.27110912</v>
      </c>
      <c r="K106" s="209" t="n">
        <f aca="false">K85-K96</f>
        <v>276989.974521173</v>
      </c>
      <c r="L106" s="209" t="n">
        <f aca="false">L85-L96</f>
        <v>289604.677933227</v>
      </c>
      <c r="M106" s="209" t="n">
        <f aca="false">M85-M96</f>
        <v>302219.38134528</v>
      </c>
      <c r="N106" s="209" t="n">
        <f aca="false">N85-N96</f>
        <v>349722.084757333</v>
      </c>
      <c r="O106" s="209" t="n">
        <f aca="false">O85-O96</f>
        <v>362336.788169387</v>
      </c>
      <c r="P106" s="209" t="n">
        <f aca="false">P85-P96</f>
        <v>374951.49158144</v>
      </c>
      <c r="Q106" s="209" t="n">
        <f aca="false">Q85-Q96</f>
        <v>387566.194993493</v>
      </c>
      <c r="R106" s="209" t="n">
        <f aca="false">R85-R96</f>
        <v>400180.898405547</v>
      </c>
      <c r="S106" s="209" t="n">
        <f aca="false">S85-S96</f>
        <v>412795.6018176</v>
      </c>
      <c r="T106" s="209" t="n">
        <f aca="false">T85-T96</f>
        <v>1281607.49196032</v>
      </c>
      <c r="U106" s="209" t="n">
        <f aca="false">U85-U96</f>
        <v>1275104.38210304</v>
      </c>
      <c r="V106" s="209" t="n">
        <f aca="false">V85-V96</f>
        <v>1268601.27224576</v>
      </c>
      <c r="W106" s="209" t="n">
        <f aca="false">W85-W96</f>
        <v>1262098.16238848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0.0995668801082396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14005040</v>
      </c>
      <c r="E109" s="206" t="n">
        <f aca="false">D109+E93</f>
        <v>13071370.6666667</v>
      </c>
      <c r="F109" s="206" t="n">
        <f aca="false">E109+F93</f>
        <v>12137701.3333333</v>
      </c>
      <c r="G109" s="206" t="n">
        <f aca="false">F109+G93</f>
        <v>11204032</v>
      </c>
      <c r="H109" s="206" t="n">
        <f aca="false">G109+H93</f>
        <v>10270362.6666667</v>
      </c>
      <c r="I109" s="206" t="n">
        <f aca="false">H109+I93</f>
        <v>9336693.33333333</v>
      </c>
      <c r="J109" s="206" t="n">
        <f aca="false">I109+J93</f>
        <v>8403024</v>
      </c>
      <c r="K109" s="206" t="n">
        <f aca="false">J109+K93</f>
        <v>7469354.66666666</v>
      </c>
      <c r="L109" s="206" t="n">
        <f aca="false">K109+L93</f>
        <v>6535685.33333333</v>
      </c>
      <c r="M109" s="206" t="n">
        <f aca="false">L109+M93</f>
        <v>5602016</v>
      </c>
      <c r="N109" s="206" t="n">
        <f aca="false">M109+N93</f>
        <v>4668346.66666666</v>
      </c>
      <c r="O109" s="206" t="n">
        <f aca="false">N109+O93</f>
        <v>3734677.33333333</v>
      </c>
      <c r="P109" s="206" t="n">
        <f aca="false">O109+P93</f>
        <v>2801008</v>
      </c>
      <c r="Q109" s="206" t="n">
        <f aca="false">P109+Q93</f>
        <v>1867338.66666666</v>
      </c>
      <c r="R109" s="206" t="n">
        <f aca="false">Q109+R93</f>
        <v>933669.33333333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170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171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172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173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174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102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175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176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177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178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179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24000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-16260300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-31399.2</v>
      </c>
      <c r="E49" s="170" t="n">
        <v>-31399.2</v>
      </c>
      <c r="F49" s="170" t="n">
        <v>-31399.2</v>
      </c>
      <c r="G49" s="170" t="n">
        <v>-31399.2</v>
      </c>
      <c r="H49" s="170" t="n">
        <v>-31399.2</v>
      </c>
      <c r="I49" s="170" t="n">
        <v>-31399.2</v>
      </c>
      <c r="J49" s="170" t="n">
        <v>-31399.2</v>
      </c>
      <c r="K49" s="170" t="n">
        <v>-31399.2</v>
      </c>
      <c r="L49" s="170" t="n">
        <v>-31399.2</v>
      </c>
      <c r="M49" s="170" t="n">
        <v>-31399.2</v>
      </c>
      <c r="N49" s="170" t="n">
        <v>-31399.2</v>
      </c>
      <c r="O49" s="170" t="n">
        <v>-31399.2</v>
      </c>
      <c r="P49" s="170" t="n">
        <v>-31399.2</v>
      </c>
      <c r="Q49" s="170" t="n">
        <v>-31399.2</v>
      </c>
      <c r="R49" s="170" t="n">
        <v>-31399.2</v>
      </c>
      <c r="S49" s="170" t="n">
        <v>-31399.2</v>
      </c>
      <c r="T49" s="170" t="n">
        <v>-31399.2</v>
      </c>
      <c r="U49" s="170" t="n">
        <v>-31399.2</v>
      </c>
      <c r="V49" s="170" t="n">
        <v>-31399.2</v>
      </c>
      <c r="W49" s="170" t="n">
        <v>-31399.2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-189887.0824192</v>
      </c>
      <c r="E54" s="170" t="n">
        <f aca="false">-(E64+E67+E68+E71+E72+E73+E74)*0.2</f>
        <v>-130221.10495488</v>
      </c>
      <c r="F54" s="170" t="n">
        <f aca="false">-(F64+F67+F68+F71+F72+F73+F74)*0.2</f>
        <v>-128595.32749056</v>
      </c>
      <c r="G54" s="170" t="n">
        <f aca="false">-(G64+G67+G68+G71+G72+G73+G74)*0.2</f>
        <v>-126969.55002624</v>
      </c>
      <c r="H54" s="170" t="n">
        <f aca="false">-(H64+H67+H68+H71+H72+H73+H74)*0.2</f>
        <v>-125343.77256192</v>
      </c>
      <c r="I54" s="170" t="n">
        <f aca="false">-(I64+I67+I68+I71+I72+I73+I74)*0.2</f>
        <v>-123717.9950976</v>
      </c>
      <c r="J54" s="170" t="n">
        <f aca="false">-(J64+J67+J68+J71+J72+J73+J74)*0.2</f>
        <v>-122092.21763328</v>
      </c>
      <c r="K54" s="170" t="n">
        <f aca="false">-(K64+K67+K68+K71+K72+K73+K74)*0.2</f>
        <v>-120466.44016896</v>
      </c>
      <c r="L54" s="170" t="n">
        <f aca="false">-(L64+L67+L68+L71+L72+L73+L74)*0.2</f>
        <v>-118840.66270464</v>
      </c>
      <c r="M54" s="170" t="n">
        <f aca="false">-(M64+M67+M68+M71+M72+M73+M74)*0.2</f>
        <v>-117214.88524032</v>
      </c>
      <c r="N54" s="170" t="n">
        <f aca="false">-(N64+N67+N68+N71+N72+N73+N74)*0.2</f>
        <v>-124311.107776</v>
      </c>
      <c r="O54" s="170" t="n">
        <f aca="false">-(O64+O67+O68+O71+O72+O73+O74)*0.2</f>
        <v>-122685.33031168</v>
      </c>
      <c r="P54" s="170" t="n">
        <f aca="false">-(P64+P67+P68+P71+P72+P73+P74)*0.2</f>
        <v>-121059.55284736</v>
      </c>
      <c r="Q54" s="170" t="n">
        <f aca="false">-(Q64+Q67+Q68+Q71+Q72+Q73+Q74)*0.2</f>
        <v>-119433.77538304</v>
      </c>
      <c r="R54" s="170" t="n">
        <f aca="false">-(R64+R67+R68+R71+R72+R73+R74)*0.2</f>
        <v>-117807.99791872</v>
      </c>
      <c r="S54" s="170" t="n">
        <f aca="false">-(S64+S67+S68+S71+S72+S73+S74)*0.2</f>
        <v>-116182.2204544</v>
      </c>
      <c r="T54" s="170" t="n">
        <f aca="false">-(T64+T67+T68+T71+T72+T73+T74)*0.2</f>
        <v>-114556.44299008</v>
      </c>
      <c r="U54" s="170" t="n">
        <f aca="false">-(U64+U67+U68+U71+U72+U73+U74)*0.2</f>
        <v>-112930.66552576</v>
      </c>
      <c r="V54" s="170" t="n">
        <f aca="false">-(V64+V67+V68+V71+V72+V73+V74)*0.2</f>
        <v>-111304.88806144</v>
      </c>
      <c r="W54" s="170" t="n">
        <f aca="false">-(W64+W67+W68+W71+W72+W73+W74)*0.2</f>
        <v>-109679.11059712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-16260300</v>
      </c>
      <c r="D55" s="175" t="n">
        <f aca="false">SUM(D41:D54)</f>
        <v>1572563.3296768</v>
      </c>
      <c r="E55" s="175" t="n">
        <f aca="false">SUM(E41:E54)</f>
        <v>1333899.41981952</v>
      </c>
      <c r="F55" s="175" t="n">
        <f aca="false">SUM(F41:F54)</f>
        <v>1327396.30996224</v>
      </c>
      <c r="G55" s="175" t="n">
        <f aca="false">SUM(G41:G54)</f>
        <v>1320893.20010496</v>
      </c>
      <c r="H55" s="175" t="n">
        <f aca="false">SUM(H41:H54)</f>
        <v>1314390.09024768</v>
      </c>
      <c r="I55" s="175" t="n">
        <f aca="false">SUM(I41:I54)</f>
        <v>1307886.9803904</v>
      </c>
      <c r="J55" s="175" t="n">
        <f aca="false">SUM(J41:J54)</f>
        <v>1301383.87053312</v>
      </c>
      <c r="K55" s="175" t="n">
        <f aca="false">SUM(K41:K54)</f>
        <v>1294880.76067584</v>
      </c>
      <c r="L55" s="175" t="n">
        <f aca="false">SUM(L41:L54)</f>
        <v>1288377.65081856</v>
      </c>
      <c r="M55" s="175" t="n">
        <f aca="false">SUM(M41:M54)</f>
        <v>1281874.54096128</v>
      </c>
      <c r="N55" s="175" t="n">
        <f aca="false">SUM(N41:N54)</f>
        <v>1310259.431104</v>
      </c>
      <c r="O55" s="175" t="n">
        <f aca="false">SUM(O41:O54)</f>
        <v>1303756.32124672</v>
      </c>
      <c r="P55" s="175" t="n">
        <f aca="false">SUM(P41:P54)</f>
        <v>1297253.21138944</v>
      </c>
      <c r="Q55" s="175" t="n">
        <f aca="false">SUM(Q41:Q54)</f>
        <v>1290750.10153216</v>
      </c>
      <c r="R55" s="175" t="n">
        <f aca="false">SUM(R41:R54)</f>
        <v>1284246.99167488</v>
      </c>
      <c r="S55" s="175" t="n">
        <f aca="false">SUM(S41:S54)</f>
        <v>1277743.8818176</v>
      </c>
      <c r="T55" s="175" t="n">
        <f aca="false">SUM(T41:T54)</f>
        <v>1271240.77196032</v>
      </c>
      <c r="U55" s="175" t="n">
        <f aca="false">SUM(U41:U54)</f>
        <v>1264737.66210304</v>
      </c>
      <c r="V55" s="175" t="n">
        <f aca="false">SUM(V41:V54)</f>
        <v>1258234.55224576</v>
      </c>
      <c r="W55" s="175" t="n">
        <f aca="false">SUM(W41:W54)</f>
        <v>1251731.44238848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-14687736.6703232</v>
      </c>
      <c r="E56" s="180" t="n">
        <f aca="false">D56+E55</f>
        <v>-13353837.2505037</v>
      </c>
      <c r="F56" s="180" t="n">
        <f aca="false">E56+F55</f>
        <v>-12026440.9405414</v>
      </c>
      <c r="G56" s="180" t="n">
        <f aca="false">F56+G55</f>
        <v>-10705547.7404365</v>
      </c>
      <c r="H56" s="180" t="n">
        <f aca="false">G56+H55</f>
        <v>-9391157.6501888</v>
      </c>
      <c r="I56" s="180" t="n">
        <f aca="false">H56+I55</f>
        <v>-8083270.6697984</v>
      </c>
      <c r="J56" s="180" t="n">
        <f aca="false">I56+J55</f>
        <v>-6781886.79926528</v>
      </c>
      <c r="K56" s="180" t="n">
        <f aca="false">J56+K55</f>
        <v>-5487006.03858944</v>
      </c>
      <c r="L56" s="180" t="n">
        <f aca="false">K56+L55</f>
        <v>-4198628.38777088</v>
      </c>
      <c r="M56" s="180" t="n">
        <f aca="false">L56+M55</f>
        <v>-2916753.8468096</v>
      </c>
      <c r="N56" s="180" t="n">
        <f aca="false">M56+N55</f>
        <v>-1606494.4157056</v>
      </c>
      <c r="O56" s="180" t="n">
        <f aca="false">N56+O55</f>
        <v>-302738.094458884</v>
      </c>
      <c r="P56" s="180" t="n">
        <f aca="false">O56+P55</f>
        <v>994515.116930556</v>
      </c>
      <c r="Q56" s="180" t="n">
        <f aca="false">P56+Q55</f>
        <v>2285265.21846272</v>
      </c>
      <c r="R56" s="180" t="n">
        <f aca="false">Q56+R55</f>
        <v>3569512.2101376</v>
      </c>
      <c r="S56" s="180" t="n">
        <f aca="false">R56+S55</f>
        <v>4847256.0919552</v>
      </c>
      <c r="T56" s="180" t="n">
        <f aca="false">S56+T55</f>
        <v>6118496.86391552</v>
      </c>
      <c r="U56" s="180" t="n">
        <f aca="false">T56+U55</f>
        <v>7383234.52601856</v>
      </c>
      <c r="V56" s="180" t="n">
        <f aca="false">U56+V55</f>
        <v>8641469.07826432</v>
      </c>
      <c r="W56" s="180" t="n">
        <f aca="false">V56+W55</f>
        <v>9893200.5206528</v>
      </c>
      <c r="X56" s="180" t="n">
        <f aca="false">W56+X55</f>
        <v>9893200.5206528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0.051406667585481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-813015</v>
      </c>
      <c r="E67" s="191" t="n">
        <f aca="false">$C$44/$E$16</f>
        <v>-813015</v>
      </c>
      <c r="F67" s="191" t="n">
        <f aca="false">$C$44/$E$16</f>
        <v>-813015</v>
      </c>
      <c r="G67" s="191" t="n">
        <f aca="false">$C$44/$E$16</f>
        <v>-813015</v>
      </c>
      <c r="H67" s="191" t="n">
        <f aca="false">$C$44/$E$16</f>
        <v>-813015</v>
      </c>
      <c r="I67" s="191" t="n">
        <f aca="false">$C$44/$E$16</f>
        <v>-813015</v>
      </c>
      <c r="J67" s="191" t="n">
        <f aca="false">$C$44/$E$16</f>
        <v>-813015</v>
      </c>
      <c r="K67" s="191" t="n">
        <f aca="false">$C$44/$E$16</f>
        <v>-813015</v>
      </c>
      <c r="L67" s="191" t="n">
        <f aca="false">$C$44/$E$16</f>
        <v>-813015</v>
      </c>
      <c r="M67" s="191" t="n">
        <f aca="false">$C$44/$E$16</f>
        <v>-813015</v>
      </c>
      <c r="N67" s="191" t="n">
        <f aca="false">$C$44/$E$16</f>
        <v>-813015</v>
      </c>
      <c r="O67" s="191" t="n">
        <f aca="false">$C$44/$E$16</f>
        <v>-813015</v>
      </c>
      <c r="P67" s="191" t="n">
        <f aca="false">$C$44/$E$16</f>
        <v>-813015</v>
      </c>
      <c r="Q67" s="191" t="n">
        <f aca="false">$C$44/$E$16</f>
        <v>-813015</v>
      </c>
      <c r="R67" s="191" t="n">
        <f aca="false">$C$44/$E$16</f>
        <v>-813015</v>
      </c>
      <c r="S67" s="191" t="n">
        <f aca="false">$C$44/$E$16</f>
        <v>-813015</v>
      </c>
      <c r="T67" s="191" t="n">
        <f aca="false">$C$44/$E$16</f>
        <v>-813015</v>
      </c>
      <c r="U67" s="191" t="n">
        <f aca="false">$C$44/$E$16</f>
        <v>-813015</v>
      </c>
      <c r="V67" s="191" t="n">
        <f aca="false">$C$44/$E$16</f>
        <v>-813015</v>
      </c>
      <c r="W67" s="191" t="n">
        <f aca="false">$C$44/$E$16</f>
        <v>-813015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-332945.9028</v>
      </c>
      <c r="E70" s="170" t="n">
        <f aca="false">-E109*$D25</f>
        <v>-310749.50928</v>
      </c>
      <c r="F70" s="170" t="n">
        <f aca="false">-F109*$D25</f>
        <v>-288553.11576</v>
      </c>
      <c r="G70" s="170" t="n">
        <f aca="false">-G109*$D25</f>
        <v>-266356.72224</v>
      </c>
      <c r="H70" s="170" t="n">
        <f aca="false">-H109*$D25</f>
        <v>-244160.32872</v>
      </c>
      <c r="I70" s="170" t="n">
        <f aca="false">-I109*$D25</f>
        <v>-221963.9352</v>
      </c>
      <c r="J70" s="170" t="n">
        <f aca="false">-J109*$D25</f>
        <v>-199767.54168</v>
      </c>
      <c r="K70" s="170" t="n">
        <f aca="false">-K109*$D25</f>
        <v>-177571.14816</v>
      </c>
      <c r="L70" s="170" t="n">
        <f aca="false">-L109*$D25</f>
        <v>-155374.75464</v>
      </c>
      <c r="M70" s="170" t="n">
        <f aca="false">-M109*$D25</f>
        <v>-133178.36112</v>
      </c>
      <c r="N70" s="170" t="n">
        <f aca="false">-N109*$D25</f>
        <v>-110981.9676</v>
      </c>
      <c r="O70" s="170" t="n">
        <f aca="false">-O109*$D25</f>
        <v>-88785.5740800001</v>
      </c>
      <c r="P70" s="170" t="n">
        <f aca="false">-P109*$D25</f>
        <v>-66589.1805600001</v>
      </c>
      <c r="Q70" s="170" t="n">
        <f aca="false">-Q109*$D25</f>
        <v>-44392.7870400001</v>
      </c>
      <c r="R70" s="170" t="n">
        <f aca="false">-R109*$D25</f>
        <v>-22196.3935200001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-31399.2</v>
      </c>
      <c r="E72" s="170" t="n">
        <f aca="false">E49</f>
        <v>-31399.2</v>
      </c>
      <c r="F72" s="170" t="n">
        <f aca="false">F49</f>
        <v>-31399.2</v>
      </c>
      <c r="G72" s="170" t="n">
        <f aca="false">G49</f>
        <v>-31399.2</v>
      </c>
      <c r="H72" s="170" t="n">
        <f aca="false">H49</f>
        <v>-31399.2</v>
      </c>
      <c r="I72" s="170" t="n">
        <f aca="false">I49</f>
        <v>-31399.2</v>
      </c>
      <c r="J72" s="170" t="n">
        <f aca="false">J49</f>
        <v>-31399.2</v>
      </c>
      <c r="K72" s="170" t="n">
        <f aca="false">K49</f>
        <v>-31399.2</v>
      </c>
      <c r="L72" s="170" t="n">
        <f aca="false">L49</f>
        <v>-31399.2</v>
      </c>
      <c r="M72" s="170" t="n">
        <f aca="false">M49</f>
        <v>-31399.2</v>
      </c>
      <c r="N72" s="170" t="n">
        <f aca="false">N49</f>
        <v>-31399.2</v>
      </c>
      <c r="O72" s="170" t="n">
        <f aca="false">O49</f>
        <v>-31399.2</v>
      </c>
      <c r="P72" s="170" t="n">
        <f aca="false">P49</f>
        <v>-31399.2</v>
      </c>
      <c r="Q72" s="170" t="n">
        <f aca="false">Q49</f>
        <v>-31399.2</v>
      </c>
      <c r="R72" s="170" t="n">
        <f aca="false">R49</f>
        <v>-31399.2</v>
      </c>
      <c r="S72" s="170" t="n">
        <f aca="false">S49</f>
        <v>-31399.2</v>
      </c>
      <c r="T72" s="170" t="n">
        <f aca="false">T49</f>
        <v>-31399.2</v>
      </c>
      <c r="U72" s="170" t="n">
        <f aca="false">U49</f>
        <v>-31399.2</v>
      </c>
      <c r="V72" s="170" t="n">
        <f aca="false">V49</f>
        <v>-31399.2</v>
      </c>
      <c r="W72" s="170" t="n">
        <f aca="false">W49</f>
        <v>-31399.2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616489.509296</v>
      </c>
      <c r="E76" s="175" t="n">
        <f aca="false">SUM(E64:E75)</f>
        <v>340356.0154944</v>
      </c>
      <c r="F76" s="175" t="n">
        <f aca="false">SUM(F64:F75)</f>
        <v>354423.5216928</v>
      </c>
      <c r="G76" s="175" t="n">
        <f aca="false">SUM(G64:G75)</f>
        <v>368491.0278912</v>
      </c>
      <c r="H76" s="175" t="n">
        <f aca="false">SUM(H64:H75)</f>
        <v>382558.5340896</v>
      </c>
      <c r="I76" s="175" t="n">
        <f aca="false">SUM(I64:I75)</f>
        <v>396626.040288</v>
      </c>
      <c r="J76" s="175" t="n">
        <f aca="false">SUM(J64:J75)</f>
        <v>410693.5464864</v>
      </c>
      <c r="K76" s="175" t="n">
        <f aca="false">SUM(K64:K75)</f>
        <v>424761.0526848</v>
      </c>
      <c r="L76" s="175" t="n">
        <f aca="false">SUM(L64:L75)</f>
        <v>438828.5588832</v>
      </c>
      <c r="M76" s="175" t="n">
        <f aca="false">SUM(M64:M75)</f>
        <v>452896.0650816</v>
      </c>
      <c r="N76" s="175" t="n">
        <f aca="false">SUM(N64:N75)</f>
        <v>510573.57128</v>
      </c>
      <c r="O76" s="175" t="n">
        <f aca="false">SUM(O64:O75)</f>
        <v>524641.0774784</v>
      </c>
      <c r="P76" s="175" t="n">
        <f aca="false">SUM(P64:P75)</f>
        <v>538708.5836768</v>
      </c>
      <c r="Q76" s="175" t="n">
        <f aca="false">SUM(Q64:Q75)</f>
        <v>552776.0898752</v>
      </c>
      <c r="R76" s="175" t="n">
        <f aca="false">SUM(R64:R75)</f>
        <v>566843.5960736</v>
      </c>
      <c r="S76" s="175" t="n">
        <f aca="false">SUM(S64:S75)</f>
        <v>580911.102272</v>
      </c>
      <c r="T76" s="175" t="n">
        <f aca="false">SUM(T64:T75)</f>
        <v>572782.2149504</v>
      </c>
      <c r="U76" s="175" t="n">
        <f aca="false">SUM(U64:U75)</f>
        <v>564653.3276288</v>
      </c>
      <c r="V76" s="175" t="n">
        <f aca="false">SUM(V64:V75)</f>
        <v>556524.4403072</v>
      </c>
      <c r="W76" s="175" t="n">
        <f aca="false">SUM(W64:W75)</f>
        <v>548395.5529856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-123297.9018592</v>
      </c>
      <c r="E77" s="170" t="n">
        <f aca="false">-E76*0.2</f>
        <v>-68071.2030988799</v>
      </c>
      <c r="F77" s="170" t="n">
        <f aca="false">-F76*0.2</f>
        <v>-70884.70433856</v>
      </c>
      <c r="G77" s="170" t="n">
        <f aca="false">-G76*0.2</f>
        <v>-73698.20557824</v>
      </c>
      <c r="H77" s="170" t="n">
        <f aca="false">-H76*0.2</f>
        <v>-76511.7068179199</v>
      </c>
      <c r="I77" s="170" t="n">
        <f aca="false">-I76*0.2</f>
        <v>-79325.2080575999</v>
      </c>
      <c r="J77" s="170" t="n">
        <f aca="false">-J76*0.2</f>
        <v>-82138.70929728</v>
      </c>
      <c r="K77" s="170" t="n">
        <f aca="false">-K76*0.2</f>
        <v>-84952.2105369599</v>
      </c>
      <c r="L77" s="170" t="n">
        <f aca="false">-L76*0.2</f>
        <v>-87765.7117766399</v>
      </c>
      <c r="M77" s="170" t="n">
        <f aca="false">-M76*0.2</f>
        <v>-90579.21301632</v>
      </c>
      <c r="N77" s="170" t="n">
        <f aca="false">-N76*0.2</f>
        <v>-102114.714256</v>
      </c>
      <c r="O77" s="170" t="n">
        <f aca="false">-O76*0.2</f>
        <v>-104928.21549568</v>
      </c>
      <c r="P77" s="170" t="n">
        <f aca="false">-P76*0.2</f>
        <v>-107741.71673536</v>
      </c>
      <c r="Q77" s="170" t="n">
        <f aca="false">-Q76*0.2</f>
        <v>-110555.21797504</v>
      </c>
      <c r="R77" s="170" t="n">
        <f aca="false">-R76*0.2</f>
        <v>-113368.71921472</v>
      </c>
      <c r="S77" s="170" t="n">
        <f aca="false">-S76*0.2</f>
        <v>-116182.2204544</v>
      </c>
      <c r="T77" s="170" t="n">
        <f aca="false">-T76*0.2</f>
        <v>-114556.44299008</v>
      </c>
      <c r="U77" s="170" t="n">
        <f aca="false">-U76*0.2</f>
        <v>-112930.66552576</v>
      </c>
      <c r="V77" s="170" t="n">
        <f aca="false">-V76*0.2</f>
        <v>-111304.88806144</v>
      </c>
      <c r="W77" s="170" t="n">
        <f aca="false">-W76*0.2</f>
        <v>-109679.11059712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493191.6074368</v>
      </c>
      <c r="E78" s="170" t="n">
        <f aca="false">SUM(E76:E77)</f>
        <v>272284.81239552</v>
      </c>
      <c r="F78" s="170" t="n">
        <f aca="false">SUM(F76:F77)</f>
        <v>283538.81735424</v>
      </c>
      <c r="G78" s="170" t="n">
        <f aca="false">SUM(G76:G77)</f>
        <v>294792.82231296</v>
      </c>
      <c r="H78" s="170" t="n">
        <f aca="false">SUM(H76:H77)</f>
        <v>306046.82727168</v>
      </c>
      <c r="I78" s="170" t="n">
        <f aca="false">SUM(I76:I77)</f>
        <v>317300.8322304</v>
      </c>
      <c r="J78" s="170" t="n">
        <f aca="false">SUM(J76:J77)</f>
        <v>328554.83718912</v>
      </c>
      <c r="K78" s="170" t="n">
        <f aca="false">SUM(K76:K77)</f>
        <v>339808.84214784</v>
      </c>
      <c r="L78" s="170" t="n">
        <f aca="false">SUM(L76:L77)</f>
        <v>351062.84710656</v>
      </c>
      <c r="M78" s="170" t="n">
        <f aca="false">SUM(M76:M77)</f>
        <v>362316.85206528</v>
      </c>
      <c r="N78" s="170" t="n">
        <f aca="false">SUM(N76:N77)</f>
        <v>408458.857024</v>
      </c>
      <c r="O78" s="170" t="n">
        <f aca="false">SUM(O76:O77)</f>
        <v>419712.86198272</v>
      </c>
      <c r="P78" s="170" t="n">
        <f aca="false">SUM(P76:P77)</f>
        <v>430966.86694144</v>
      </c>
      <c r="Q78" s="170" t="n">
        <f aca="false">SUM(Q76:Q77)</f>
        <v>442220.87190016</v>
      </c>
      <c r="R78" s="170" t="n">
        <f aca="false">SUM(R76:R77)</f>
        <v>453474.87685888</v>
      </c>
      <c r="S78" s="170" t="n">
        <f aca="false">SUM(S76:S77)</f>
        <v>464728.8818176</v>
      </c>
      <c r="T78" s="170" t="n">
        <f aca="false">SUM(T76:T77)</f>
        <v>458225.77196032</v>
      </c>
      <c r="U78" s="170" t="n">
        <f aca="false">SUM(U76:U77)</f>
        <v>451722.66210304</v>
      </c>
      <c r="V78" s="170" t="n">
        <f aca="false">SUM(V76:V77)</f>
        <v>445219.55224576</v>
      </c>
      <c r="W78" s="170" t="n">
        <f aca="false">SUM(W76:W77)</f>
        <v>438716.44238848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493191.6074368</v>
      </c>
      <c r="E85" s="206" t="n">
        <f aca="false">E78</f>
        <v>272284.81239552</v>
      </c>
      <c r="F85" s="206" t="n">
        <f aca="false">F78</f>
        <v>283538.81735424</v>
      </c>
      <c r="G85" s="206" t="n">
        <f aca="false">G78</f>
        <v>294792.82231296</v>
      </c>
      <c r="H85" s="206" t="n">
        <f aca="false">H78</f>
        <v>306046.82727168</v>
      </c>
      <c r="I85" s="206" t="n">
        <f aca="false">I78</f>
        <v>317300.8322304</v>
      </c>
      <c r="J85" s="206" t="n">
        <f aca="false">J78</f>
        <v>328554.83718912</v>
      </c>
      <c r="K85" s="206" t="n">
        <f aca="false">K78</f>
        <v>339808.84214784</v>
      </c>
      <c r="L85" s="206" t="n">
        <f aca="false">L78</f>
        <v>351062.84710656</v>
      </c>
      <c r="M85" s="206" t="n">
        <f aca="false">M78</f>
        <v>362316.85206528</v>
      </c>
      <c r="N85" s="206" t="n">
        <f aca="false">N78</f>
        <v>408458.857024</v>
      </c>
      <c r="O85" s="206" t="n">
        <f aca="false">O78</f>
        <v>419712.86198272</v>
      </c>
      <c r="P85" s="206" t="n">
        <f aca="false">P78</f>
        <v>430966.86694144</v>
      </c>
      <c r="Q85" s="206" t="n">
        <f aca="false">Q78</f>
        <v>442220.87190016</v>
      </c>
      <c r="R85" s="206" t="n">
        <f aca="false">R78</f>
        <v>453474.87685888</v>
      </c>
      <c r="S85" s="206" t="n">
        <f aca="false">S78</f>
        <v>464728.8818176</v>
      </c>
      <c r="T85" s="206" t="n">
        <f aca="false">T78</f>
        <v>458225.77196032</v>
      </c>
      <c r="U85" s="206" t="n">
        <f aca="false">U78</f>
        <v>451722.66210304</v>
      </c>
      <c r="V85" s="206" t="n">
        <f aca="false">V78</f>
        <v>445219.55224576</v>
      </c>
      <c r="W85" s="206" t="n">
        <f aca="false">W78</f>
        <v>438716.44238848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813015</v>
      </c>
      <c r="E86" s="207" t="n">
        <f aca="false">-E67</f>
        <v>813015</v>
      </c>
      <c r="F86" s="207" t="n">
        <f aca="false">-F67</f>
        <v>813015</v>
      </c>
      <c r="G86" s="207" t="n">
        <f aca="false">-G67</f>
        <v>813015</v>
      </c>
      <c r="H86" s="207" t="n">
        <f aca="false">-H67</f>
        <v>813015</v>
      </c>
      <c r="I86" s="207" t="n">
        <f aca="false">-I67</f>
        <v>813015</v>
      </c>
      <c r="J86" s="207" t="n">
        <f aca="false">-J67</f>
        <v>813015</v>
      </c>
      <c r="K86" s="207" t="n">
        <f aca="false">-K67</f>
        <v>813015</v>
      </c>
      <c r="L86" s="207" t="n">
        <f aca="false">-L67</f>
        <v>813015</v>
      </c>
      <c r="M86" s="207" t="n">
        <f aca="false">-M67</f>
        <v>813015</v>
      </c>
      <c r="N86" s="207" t="n">
        <f aca="false">-N67</f>
        <v>813015</v>
      </c>
      <c r="O86" s="207" t="n">
        <f aca="false">-O67</f>
        <v>813015</v>
      </c>
      <c r="P86" s="207" t="n">
        <f aca="false">-P67</f>
        <v>813015</v>
      </c>
      <c r="Q86" s="207" t="n">
        <f aca="false">-Q67</f>
        <v>813015</v>
      </c>
      <c r="R86" s="207" t="n">
        <f aca="false">-R67</f>
        <v>813015</v>
      </c>
      <c r="S86" s="207" t="n">
        <f aca="false">-S67</f>
        <v>813015</v>
      </c>
      <c r="T86" s="207" t="n">
        <f aca="false">-T67</f>
        <v>813015</v>
      </c>
      <c r="U86" s="207" t="n">
        <f aca="false">-U67</f>
        <v>813015</v>
      </c>
      <c r="V86" s="207" t="n">
        <f aca="false">-V67</f>
        <v>813015</v>
      </c>
      <c r="W86" s="207" t="n">
        <f aca="false">-W67</f>
        <v>813015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1306206.6074368</v>
      </c>
      <c r="E87" s="209" t="n">
        <f aca="false">SUM(E85:E86)</f>
        <v>1085299.81239552</v>
      </c>
      <c r="F87" s="209" t="n">
        <f aca="false">SUM(F85:F86)</f>
        <v>1096553.81735424</v>
      </c>
      <c r="G87" s="209" t="n">
        <f aca="false">SUM(G85:G86)</f>
        <v>1107807.82231296</v>
      </c>
      <c r="H87" s="209" t="n">
        <f aca="false">SUM(H85:H86)</f>
        <v>1119061.82727168</v>
      </c>
      <c r="I87" s="209" t="n">
        <f aca="false">SUM(I85:I86)</f>
        <v>1130315.8322304</v>
      </c>
      <c r="J87" s="209" t="n">
        <f aca="false">SUM(J85:J86)</f>
        <v>1141569.83718912</v>
      </c>
      <c r="K87" s="209" t="n">
        <f aca="false">SUM(K85:K86)</f>
        <v>1152823.84214784</v>
      </c>
      <c r="L87" s="209" t="n">
        <f aca="false">SUM(L85:L86)</f>
        <v>1164077.84710656</v>
      </c>
      <c r="M87" s="209" t="n">
        <f aca="false">SUM(M85:M86)</f>
        <v>1175331.85206528</v>
      </c>
      <c r="N87" s="209" t="n">
        <f aca="false">SUM(N85:N86)</f>
        <v>1221473.857024</v>
      </c>
      <c r="O87" s="209" t="n">
        <f aca="false">SUM(O85:O86)</f>
        <v>1232727.86198272</v>
      </c>
      <c r="P87" s="209" t="n">
        <f aca="false">SUM(P85:P86)</f>
        <v>1243981.86694144</v>
      </c>
      <c r="Q87" s="209" t="n">
        <f aca="false">SUM(Q85:Q86)</f>
        <v>1255235.87190016</v>
      </c>
      <c r="R87" s="209" t="n">
        <f aca="false">SUM(R85:R86)</f>
        <v>1266489.87685888</v>
      </c>
      <c r="S87" s="209" t="n">
        <f aca="false">SUM(S85:S86)</f>
        <v>1277743.8818176</v>
      </c>
      <c r="T87" s="209" t="n">
        <f aca="false">SUM(T85:T86)</f>
        <v>1271240.77196032</v>
      </c>
      <c r="U87" s="209" t="n">
        <f aca="false">SUM(U85:U86)</f>
        <v>1264737.66210304</v>
      </c>
      <c r="V87" s="209" t="n">
        <f aca="false">SUM(V85:V86)</f>
        <v>1258234.55224576</v>
      </c>
      <c r="W87" s="209" t="n">
        <f aca="false">SUM(W85:W86)</f>
        <v>1251731.44238848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-16260300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13008240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-867216</v>
      </c>
      <c r="F93" s="215" t="n">
        <v>-867216</v>
      </c>
      <c r="G93" s="215" t="n">
        <v>-867216</v>
      </c>
      <c r="H93" s="215" t="n">
        <v>-867216</v>
      </c>
      <c r="I93" s="215" t="n">
        <v>-867216</v>
      </c>
      <c r="J93" s="215" t="n">
        <v>-867216</v>
      </c>
      <c r="K93" s="215" t="n">
        <v>-867216</v>
      </c>
      <c r="L93" s="215" t="n">
        <v>-867216</v>
      </c>
      <c r="M93" s="215" t="n">
        <v>-867216</v>
      </c>
      <c r="N93" s="215" t="n">
        <v>-867216</v>
      </c>
      <c r="O93" s="215" t="n">
        <v>-867216</v>
      </c>
      <c r="P93" s="215" t="n">
        <v>-867216</v>
      </c>
      <c r="Q93" s="215" t="n">
        <v>-867216</v>
      </c>
      <c r="R93" s="215" t="n">
        <v>-867216</v>
      </c>
      <c r="S93" s="215" t="n">
        <v>-867216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3252060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-443872.44669312</v>
      </c>
      <c r="F95" s="216" t="n">
        <f aca="false">-E85*$D$33</f>
        <v>-245056.331155968</v>
      </c>
      <c r="G95" s="216" t="n">
        <f aca="false">-F85*$D$33</f>
        <v>-255184.935618816</v>
      </c>
      <c r="H95" s="216" t="n">
        <f aca="false">-G85*$D$33</f>
        <v>-265313.540081664</v>
      </c>
      <c r="I95" s="216" t="n">
        <f aca="false">-H85*$D$33</f>
        <v>-275442.144544512</v>
      </c>
      <c r="J95" s="216" t="n">
        <f aca="false">-I85*$D$33</f>
        <v>-285570.74900736</v>
      </c>
      <c r="K95" s="216" t="n">
        <f aca="false">-J85*$D$33</f>
        <v>-295699.353470208</v>
      </c>
      <c r="L95" s="216" t="n">
        <f aca="false">-K85*$D$33</f>
        <v>-305827.957933056</v>
      </c>
      <c r="M95" s="216" t="n">
        <f aca="false">-L85*$D$33</f>
        <v>-315956.562395904</v>
      </c>
      <c r="N95" s="216" t="n">
        <f aca="false">-M85*$D$33</f>
        <v>-326085.166858752</v>
      </c>
      <c r="O95" s="216" t="n">
        <f aca="false">-N85*$D$33</f>
        <v>-367612.9713216</v>
      </c>
      <c r="P95" s="216" t="n">
        <f aca="false">-O85*$D$33</f>
        <v>-377741.575784448</v>
      </c>
      <c r="Q95" s="216" t="n">
        <f aca="false">-P85*$D$33</f>
        <v>-387870.180247296</v>
      </c>
      <c r="R95" s="216" t="n">
        <f aca="false">-Q85*$D$33</f>
        <v>-397998.784710144</v>
      </c>
      <c r="S95" s="216" t="n">
        <f aca="false">-R85*$D$33</f>
        <v>-408127.389172992</v>
      </c>
      <c r="T95" s="216" t="n">
        <f aca="false">-S85*$D$33</f>
        <v>-418255.99363584</v>
      </c>
      <c r="U95" s="216" t="n">
        <f aca="false">-T85*$D$33</f>
        <v>-412403.194764288</v>
      </c>
      <c r="V95" s="216" t="n">
        <f aca="false">-U85*$D$33</f>
        <v>-406550.395892736</v>
      </c>
      <c r="W95" s="216" t="n">
        <f aca="false">-V85*$D$33</f>
        <v>-400697.597021184</v>
      </c>
      <c r="X95" s="216" t="n">
        <f aca="false">-W85*$D$33</f>
        <v>-394844.798149632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-813015</v>
      </c>
      <c r="U96" s="219" t="n">
        <v>-813015</v>
      </c>
      <c r="V96" s="219" t="n">
        <v>-813015</v>
      </c>
      <c r="W96" s="219" t="n">
        <v>-813015</v>
      </c>
      <c r="X96" s="220" t="n">
        <f aca="false">-W101-X95</f>
        <v>-776234.674273281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1306206.6074368</v>
      </c>
      <c r="E99" s="206" t="n">
        <f aca="false">SUM(E87:E96)</f>
        <v>-225788.6342976</v>
      </c>
      <c r="F99" s="206" t="n">
        <f aca="false">SUM(F87:F96)</f>
        <v>-15718.5138017277</v>
      </c>
      <c r="G99" s="206" t="n">
        <f aca="false">SUM(G87:G96)</f>
        <v>-14593.113305856</v>
      </c>
      <c r="H99" s="206" t="n">
        <f aca="false">SUM(H87:H96)</f>
        <v>-13467.712809984</v>
      </c>
      <c r="I99" s="206" t="n">
        <f aca="false">SUM(I87:I96)</f>
        <v>-12342.3123141119</v>
      </c>
      <c r="J99" s="206" t="n">
        <f aca="false">SUM(J87:J96)</f>
        <v>-11216.9118182397</v>
      </c>
      <c r="K99" s="206" t="n">
        <f aca="false">SUM(K87:K96)</f>
        <v>-10091.5113223682</v>
      </c>
      <c r="L99" s="206" t="n">
        <f aca="false">SUM(L87:L96)</f>
        <v>-8966.11082649586</v>
      </c>
      <c r="M99" s="206" t="n">
        <f aca="false">SUM(M87:M96)</f>
        <v>-7840.7103306239</v>
      </c>
      <c r="N99" s="206" t="n">
        <f aca="false">SUM(N87:N96)</f>
        <v>28172.690165248</v>
      </c>
      <c r="O99" s="206" t="n">
        <f aca="false">SUM(O87:O96)</f>
        <v>-2101.10933887976</v>
      </c>
      <c r="P99" s="206" t="n">
        <f aca="false">SUM(P87:P96)</f>
        <v>-975.708843007917</v>
      </c>
      <c r="Q99" s="206" t="n">
        <f aca="false">SUM(Q87:Q96)</f>
        <v>149.691652864043</v>
      </c>
      <c r="R99" s="206" t="n">
        <f aca="false">SUM(R87:R96)</f>
        <v>1275.092148736</v>
      </c>
      <c r="S99" s="206" t="n">
        <f aca="false">SUM(S87:S96)</f>
        <v>2400.49264460814</v>
      </c>
      <c r="T99" s="206" t="n">
        <f aca="false">SUM(T87:T96)</f>
        <v>39969.7783244798</v>
      </c>
      <c r="U99" s="206" t="n">
        <f aca="false">SUM(U87:U96)</f>
        <v>39319.4673387522</v>
      </c>
      <c r="V99" s="206" t="n">
        <f aca="false">SUM(V87:V96)</f>
        <v>38669.1563530241</v>
      </c>
      <c r="W99" s="206" t="n">
        <f aca="false">SUM(W87:W96)</f>
        <v>38018.8453672964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1306206.6074368</v>
      </c>
      <c r="F100" s="206" t="n">
        <f aca="false">E101</f>
        <v>1080417.9731392</v>
      </c>
      <c r="G100" s="206" t="n">
        <f aca="false">F101</f>
        <v>1064699.45933747</v>
      </c>
      <c r="H100" s="206" t="n">
        <f aca="false">G101</f>
        <v>1050106.34603162</v>
      </c>
      <c r="I100" s="206" t="n">
        <f aca="false">H101</f>
        <v>1036638.63322163</v>
      </c>
      <c r="J100" s="206" t="n">
        <f aca="false">I101</f>
        <v>1024296.32090752</v>
      </c>
      <c r="K100" s="206" t="n">
        <f aca="false">J101</f>
        <v>1013079.40908928</v>
      </c>
      <c r="L100" s="206" t="n">
        <f aca="false">K101</f>
        <v>1002987.89776691</v>
      </c>
      <c r="M100" s="206" t="n">
        <f aca="false">L101</f>
        <v>994021.786940416</v>
      </c>
      <c r="N100" s="206" t="n">
        <f aca="false">M101</f>
        <v>986181.076609792</v>
      </c>
      <c r="O100" s="206" t="n">
        <f aca="false">N101</f>
        <v>1014353.76677504</v>
      </c>
      <c r="P100" s="206" t="n">
        <f aca="false">O101</f>
        <v>1012252.65743616</v>
      </c>
      <c r="Q100" s="206" t="n">
        <f aca="false">P101</f>
        <v>1011276.94859315</v>
      </c>
      <c r="R100" s="206" t="n">
        <f aca="false">Q101</f>
        <v>1011426.64024602</v>
      </c>
      <c r="S100" s="206" t="n">
        <f aca="false">R101</f>
        <v>1012701.73239475</v>
      </c>
      <c r="T100" s="206" t="n">
        <f aca="false">S101</f>
        <v>1015102.22503936</v>
      </c>
      <c r="U100" s="206" t="n">
        <f aca="false">T101</f>
        <v>1055072.00336384</v>
      </c>
      <c r="V100" s="206" t="n">
        <f aca="false">U101</f>
        <v>1094391.47070259</v>
      </c>
      <c r="W100" s="206" t="n">
        <f aca="false">V101</f>
        <v>1133060.62705562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1306206.6074368</v>
      </c>
      <c r="E101" s="206" t="n">
        <f aca="false">E99+E100</f>
        <v>1080417.9731392</v>
      </c>
      <c r="F101" s="206" t="n">
        <f aca="false">F99+F100</f>
        <v>1064699.45933747</v>
      </c>
      <c r="G101" s="206" t="n">
        <f aca="false">G99+G100</f>
        <v>1050106.34603162</v>
      </c>
      <c r="H101" s="206" t="n">
        <f aca="false">H99+H100</f>
        <v>1036638.63322163</v>
      </c>
      <c r="I101" s="206" t="n">
        <f aca="false">I99+I100</f>
        <v>1024296.32090752</v>
      </c>
      <c r="J101" s="206" t="n">
        <f aca="false">J99+J100</f>
        <v>1013079.40908928</v>
      </c>
      <c r="K101" s="206" t="n">
        <f aca="false">K99+K100</f>
        <v>1002987.89776691</v>
      </c>
      <c r="L101" s="206" t="n">
        <f aca="false">L99+L100</f>
        <v>994021.786940416</v>
      </c>
      <c r="M101" s="206" t="n">
        <f aca="false">M99+M100</f>
        <v>986181.076609792</v>
      </c>
      <c r="N101" s="206" t="n">
        <f aca="false">N99+N100</f>
        <v>1014353.76677504</v>
      </c>
      <c r="O101" s="206" t="n">
        <f aca="false">O99+O100</f>
        <v>1012252.65743616</v>
      </c>
      <c r="P101" s="206" t="n">
        <f aca="false">P99+P100</f>
        <v>1011276.94859315</v>
      </c>
      <c r="Q101" s="206" t="n">
        <f aca="false">Q99+Q100</f>
        <v>1011426.64024602</v>
      </c>
      <c r="R101" s="206" t="n">
        <f aca="false">R99+R100</f>
        <v>1012701.73239475</v>
      </c>
      <c r="S101" s="206" t="n">
        <f aca="false">S99+S100</f>
        <v>1015102.22503936</v>
      </c>
      <c r="T101" s="206" t="n">
        <f aca="false">T99+T100</f>
        <v>1055072.00336384</v>
      </c>
      <c r="U101" s="206" t="n">
        <f aca="false">U99+U100</f>
        <v>1094391.47070259</v>
      </c>
      <c r="V101" s="206" t="n">
        <f aca="false">V99+V100</f>
        <v>1133060.62705562</v>
      </c>
      <c r="W101" s="206" t="n">
        <f aca="false">W99+W100</f>
        <v>1171079.47242291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-3252060</v>
      </c>
      <c r="E104" s="209" t="n">
        <f aca="false">-E95-E96</f>
        <v>443872.44669312</v>
      </c>
      <c r="F104" s="209" t="n">
        <f aca="false">-F95-F96</f>
        <v>245056.331155968</v>
      </c>
      <c r="G104" s="209" t="n">
        <f aca="false">-G95-G96</f>
        <v>255184.935618816</v>
      </c>
      <c r="H104" s="209" t="n">
        <f aca="false">-H95-H96</f>
        <v>265313.540081664</v>
      </c>
      <c r="I104" s="209" t="n">
        <f aca="false">-I95-I96</f>
        <v>275442.144544512</v>
      </c>
      <c r="J104" s="209" t="n">
        <f aca="false">-J95-J96</f>
        <v>285570.74900736</v>
      </c>
      <c r="K104" s="209" t="n">
        <f aca="false">-K95-K96</f>
        <v>295699.353470208</v>
      </c>
      <c r="L104" s="209" t="n">
        <f aca="false">-L95-L96</f>
        <v>305827.957933056</v>
      </c>
      <c r="M104" s="209" t="n">
        <f aca="false">-M95-M96</f>
        <v>315956.562395904</v>
      </c>
      <c r="N104" s="209" t="n">
        <f aca="false">-N95-N96</f>
        <v>326085.166858752</v>
      </c>
      <c r="O104" s="209" t="n">
        <f aca="false">-O95-O96</f>
        <v>367612.9713216</v>
      </c>
      <c r="P104" s="209" t="n">
        <f aca="false">-P95-P96</f>
        <v>377741.575784448</v>
      </c>
      <c r="Q104" s="209" t="n">
        <f aca="false">-Q95-Q96</f>
        <v>387870.180247296</v>
      </c>
      <c r="R104" s="209" t="n">
        <f aca="false">-R95-R96</f>
        <v>397998.784710144</v>
      </c>
      <c r="S104" s="209" t="n">
        <f aca="false">-S95-S96</f>
        <v>408127.389172992</v>
      </c>
      <c r="T104" s="209" t="n">
        <f aca="false">-T95-T96</f>
        <v>1231270.99363584</v>
      </c>
      <c r="U104" s="209" t="n">
        <f aca="false">-U95-U96</f>
        <v>1225418.19476429</v>
      </c>
      <c r="V104" s="209" t="n">
        <f aca="false">-V95-V96</f>
        <v>1219565.39589274</v>
      </c>
      <c r="W104" s="209" t="n">
        <f aca="false">-W95-W96</f>
        <v>1213712.59702118</v>
      </c>
      <c r="X104" s="209" t="n">
        <f aca="false">-X95-X96</f>
        <v>1171079.47242291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0.109231980285591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-2758868.3925632</v>
      </c>
      <c r="E106" s="209" t="n">
        <f aca="false">E85</f>
        <v>272284.81239552</v>
      </c>
      <c r="F106" s="209" t="n">
        <f aca="false">F85-F96</f>
        <v>283538.81735424</v>
      </c>
      <c r="G106" s="209" t="n">
        <f aca="false">G85-G96</f>
        <v>294792.82231296</v>
      </c>
      <c r="H106" s="209" t="n">
        <f aca="false">H85-H96</f>
        <v>306046.82727168</v>
      </c>
      <c r="I106" s="209" t="n">
        <f aca="false">I85-I96</f>
        <v>317300.8322304</v>
      </c>
      <c r="J106" s="209" t="n">
        <f aca="false">J85-J96</f>
        <v>328554.83718912</v>
      </c>
      <c r="K106" s="209" t="n">
        <f aca="false">K85-K96</f>
        <v>339808.84214784</v>
      </c>
      <c r="L106" s="209" t="n">
        <f aca="false">L85-L96</f>
        <v>351062.84710656</v>
      </c>
      <c r="M106" s="209" t="n">
        <f aca="false">M85-M96</f>
        <v>362316.85206528</v>
      </c>
      <c r="N106" s="209" t="n">
        <f aca="false">N85-N96</f>
        <v>408458.857024</v>
      </c>
      <c r="O106" s="209" t="n">
        <f aca="false">O85-O96</f>
        <v>419712.86198272</v>
      </c>
      <c r="P106" s="209" t="n">
        <f aca="false">P85-P96</f>
        <v>430966.86694144</v>
      </c>
      <c r="Q106" s="209" t="n">
        <f aca="false">Q85-Q96</f>
        <v>442220.87190016</v>
      </c>
      <c r="R106" s="209" t="n">
        <f aca="false">R85-R96</f>
        <v>453474.87685888</v>
      </c>
      <c r="S106" s="209" t="n">
        <f aca="false">S85-S96</f>
        <v>464728.8818176</v>
      </c>
      <c r="T106" s="209" t="n">
        <f aca="false">T85-T96</f>
        <v>1271240.77196032</v>
      </c>
      <c r="U106" s="209" t="n">
        <f aca="false">U85-U96</f>
        <v>1264737.66210304</v>
      </c>
      <c r="V106" s="209" t="n">
        <f aca="false">V85-V96</f>
        <v>1258234.55224576</v>
      </c>
      <c r="W106" s="209" t="n">
        <f aca="false">W85-W96</f>
        <v>1251731.44238848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0.129972550465925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13008240</v>
      </c>
      <c r="E109" s="206" t="n">
        <f aca="false">D109+E93</f>
        <v>12141024</v>
      </c>
      <c r="F109" s="206" t="n">
        <f aca="false">E109+F93</f>
        <v>11273808</v>
      </c>
      <c r="G109" s="206" t="n">
        <f aca="false">F109+G93</f>
        <v>10406592</v>
      </c>
      <c r="H109" s="206" t="n">
        <f aca="false">G109+H93</f>
        <v>9539376</v>
      </c>
      <c r="I109" s="206" t="n">
        <f aca="false">H109+I93</f>
        <v>8672160</v>
      </c>
      <c r="J109" s="206" t="n">
        <f aca="false">I109+J93</f>
        <v>7804944</v>
      </c>
      <c r="K109" s="206" t="n">
        <f aca="false">J109+K93</f>
        <v>6937728</v>
      </c>
      <c r="L109" s="206" t="n">
        <f aca="false">K109+L93</f>
        <v>6070512</v>
      </c>
      <c r="M109" s="206" t="n">
        <f aca="false">L109+M93</f>
        <v>5203296</v>
      </c>
      <c r="N109" s="206" t="n">
        <f aca="false">M109+N93</f>
        <v>4336080</v>
      </c>
      <c r="O109" s="206" t="n">
        <f aca="false">N109+O93</f>
        <v>3468864</v>
      </c>
      <c r="P109" s="206" t="n">
        <f aca="false">O109+P93</f>
        <v>2601648</v>
      </c>
      <c r="Q109" s="206" t="n">
        <f aca="false">P109+Q93</f>
        <v>1734432</v>
      </c>
      <c r="R109" s="206" t="n">
        <f aca="false">Q109+R93</f>
        <v>867216.000000002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180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181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182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183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184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185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186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187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188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189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22000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-15014300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-28782.6</v>
      </c>
      <c r="E49" s="170" t="n">
        <v>-28782.6</v>
      </c>
      <c r="F49" s="170" t="n">
        <v>-28782.6</v>
      </c>
      <c r="G49" s="170" t="n">
        <v>-28782.6</v>
      </c>
      <c r="H49" s="170" t="n">
        <v>-28782.6</v>
      </c>
      <c r="I49" s="170" t="n">
        <v>-28782.6</v>
      </c>
      <c r="J49" s="170" t="n">
        <v>-28782.6</v>
      </c>
      <c r="K49" s="170" t="n">
        <v>-28782.6</v>
      </c>
      <c r="L49" s="170" t="n">
        <v>-28782.6</v>
      </c>
      <c r="M49" s="170" t="n">
        <v>-28782.6</v>
      </c>
      <c r="N49" s="170" t="n">
        <v>-28782.6</v>
      </c>
      <c r="O49" s="170" t="n">
        <v>-28782.6</v>
      </c>
      <c r="P49" s="170" t="n">
        <v>-28782.6</v>
      </c>
      <c r="Q49" s="170" t="n">
        <v>-28782.6</v>
      </c>
      <c r="R49" s="170" t="n">
        <v>-28782.6</v>
      </c>
      <c r="S49" s="170" t="n">
        <v>-28782.6</v>
      </c>
      <c r="T49" s="170" t="n">
        <v>-28782.6</v>
      </c>
      <c r="U49" s="170" t="n">
        <v>-28782.6</v>
      </c>
      <c r="V49" s="170" t="n">
        <v>-28782.6</v>
      </c>
      <c r="W49" s="170" t="n">
        <v>-28782.6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-202870.4024192</v>
      </c>
      <c r="E54" s="170" t="n">
        <f aca="false">-(E64+E67+E68+E71+E72+E73+E74)*0.2</f>
        <v>-143204.42495488</v>
      </c>
      <c r="F54" s="170" t="n">
        <f aca="false">-(F64+F67+F68+F71+F72+F73+F74)*0.2</f>
        <v>-141578.64749056</v>
      </c>
      <c r="G54" s="170" t="n">
        <f aca="false">-(G64+G67+G68+G71+G72+G73+G74)*0.2</f>
        <v>-139952.87002624</v>
      </c>
      <c r="H54" s="170" t="n">
        <f aca="false">-(H64+H67+H68+H71+H72+H73+H74)*0.2</f>
        <v>-138327.09256192</v>
      </c>
      <c r="I54" s="170" t="n">
        <f aca="false">-(I64+I67+I68+I71+I72+I73+I74)*0.2</f>
        <v>-136701.3150976</v>
      </c>
      <c r="J54" s="170" t="n">
        <f aca="false">-(J64+J67+J68+J71+J72+J73+J74)*0.2</f>
        <v>-135075.53763328</v>
      </c>
      <c r="K54" s="170" t="n">
        <f aca="false">-(K64+K67+K68+K71+K72+K73+K74)*0.2</f>
        <v>-133449.76016896</v>
      </c>
      <c r="L54" s="170" t="n">
        <f aca="false">-(L64+L67+L68+L71+L72+L73+L74)*0.2</f>
        <v>-131823.98270464</v>
      </c>
      <c r="M54" s="170" t="n">
        <f aca="false">-(M64+M67+M68+M71+M72+M73+M74)*0.2</f>
        <v>-130198.20524032</v>
      </c>
      <c r="N54" s="170" t="n">
        <f aca="false">-(N64+N67+N68+N71+N72+N73+N74)*0.2</f>
        <v>-137294.427776</v>
      </c>
      <c r="O54" s="170" t="n">
        <f aca="false">-(O64+O67+O68+O71+O72+O73+O74)*0.2</f>
        <v>-135668.65031168</v>
      </c>
      <c r="P54" s="170" t="n">
        <f aca="false">-(P64+P67+P68+P71+P72+P73+P74)*0.2</f>
        <v>-134042.87284736</v>
      </c>
      <c r="Q54" s="170" t="n">
        <f aca="false">-(Q64+Q67+Q68+Q71+Q72+Q73+Q74)*0.2</f>
        <v>-132417.09538304</v>
      </c>
      <c r="R54" s="170" t="n">
        <f aca="false">-(R64+R67+R68+R71+R72+R73+R74)*0.2</f>
        <v>-130791.31791872</v>
      </c>
      <c r="S54" s="170" t="n">
        <f aca="false">-(S64+S67+S68+S71+S72+S73+S74)*0.2</f>
        <v>-129165.5404544</v>
      </c>
      <c r="T54" s="170" t="n">
        <f aca="false">-(T64+T67+T68+T71+T72+T73+T74)*0.2</f>
        <v>-127539.76299008</v>
      </c>
      <c r="U54" s="170" t="n">
        <f aca="false">-(U64+U67+U68+U71+U72+U73+U74)*0.2</f>
        <v>-125913.98552576</v>
      </c>
      <c r="V54" s="170" t="n">
        <f aca="false">-(V64+V67+V68+V71+V72+V73+V74)*0.2</f>
        <v>-124288.20806144</v>
      </c>
      <c r="W54" s="170" t="n">
        <f aca="false">-(W64+W67+W68+W71+W72+W73+W74)*0.2</f>
        <v>-122662.43059712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-15014300</v>
      </c>
      <c r="D55" s="175" t="n">
        <f aca="false">SUM(D41:D54)</f>
        <v>1562196.6096768</v>
      </c>
      <c r="E55" s="175" t="n">
        <f aca="false">SUM(E41:E54)</f>
        <v>1323532.69981952</v>
      </c>
      <c r="F55" s="175" t="n">
        <f aca="false">SUM(F41:F54)</f>
        <v>1317029.58996224</v>
      </c>
      <c r="G55" s="175" t="n">
        <f aca="false">SUM(G41:G54)</f>
        <v>1310526.48010496</v>
      </c>
      <c r="H55" s="175" t="n">
        <f aca="false">SUM(H41:H54)</f>
        <v>1304023.37024768</v>
      </c>
      <c r="I55" s="175" t="n">
        <f aca="false">SUM(I41:I54)</f>
        <v>1297520.2603904</v>
      </c>
      <c r="J55" s="175" t="n">
        <f aca="false">SUM(J41:J54)</f>
        <v>1291017.15053312</v>
      </c>
      <c r="K55" s="175" t="n">
        <f aca="false">SUM(K41:K54)</f>
        <v>1284514.04067584</v>
      </c>
      <c r="L55" s="175" t="n">
        <f aca="false">SUM(L41:L54)</f>
        <v>1278010.93081856</v>
      </c>
      <c r="M55" s="175" t="n">
        <f aca="false">SUM(M41:M54)</f>
        <v>1271507.82096128</v>
      </c>
      <c r="N55" s="175" t="n">
        <f aca="false">SUM(N41:N54)</f>
        <v>1299892.711104</v>
      </c>
      <c r="O55" s="175" t="n">
        <f aca="false">SUM(O41:O54)</f>
        <v>1293389.60124672</v>
      </c>
      <c r="P55" s="175" t="n">
        <f aca="false">SUM(P41:P54)</f>
        <v>1286886.49138944</v>
      </c>
      <c r="Q55" s="175" t="n">
        <f aca="false">SUM(Q41:Q54)</f>
        <v>1280383.38153216</v>
      </c>
      <c r="R55" s="175" t="n">
        <f aca="false">SUM(R41:R54)</f>
        <v>1273880.27167488</v>
      </c>
      <c r="S55" s="175" t="n">
        <f aca="false">SUM(S41:S54)</f>
        <v>1267377.1618176</v>
      </c>
      <c r="T55" s="175" t="n">
        <f aca="false">SUM(T41:T54)</f>
        <v>1260874.05196032</v>
      </c>
      <c r="U55" s="175" t="n">
        <f aca="false">SUM(U41:U54)</f>
        <v>1254370.94210304</v>
      </c>
      <c r="V55" s="175" t="n">
        <f aca="false">SUM(V41:V54)</f>
        <v>1247867.83224576</v>
      </c>
      <c r="W55" s="175" t="n">
        <f aca="false">SUM(W41:W54)</f>
        <v>1241364.72238848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-13452103.3903232</v>
      </c>
      <c r="E56" s="180" t="n">
        <f aca="false">D56+E55</f>
        <v>-12128570.6905037</v>
      </c>
      <c r="F56" s="180" t="n">
        <f aca="false">E56+F55</f>
        <v>-10811541.1005414</v>
      </c>
      <c r="G56" s="180" t="n">
        <f aca="false">F56+G55</f>
        <v>-9501014.62043648</v>
      </c>
      <c r="H56" s="180" t="n">
        <f aca="false">G56+H55</f>
        <v>-8196991.2501888</v>
      </c>
      <c r="I56" s="180" t="n">
        <f aca="false">H56+I55</f>
        <v>-6899470.9897984</v>
      </c>
      <c r="J56" s="180" t="n">
        <f aca="false">I56+J55</f>
        <v>-5608453.83926528</v>
      </c>
      <c r="K56" s="180" t="n">
        <f aca="false">J56+K55</f>
        <v>-4323939.79858944</v>
      </c>
      <c r="L56" s="180" t="n">
        <f aca="false">K56+L55</f>
        <v>-3045928.86777088</v>
      </c>
      <c r="M56" s="180" t="n">
        <f aca="false">L56+M55</f>
        <v>-1774421.0468096</v>
      </c>
      <c r="N56" s="180" t="n">
        <f aca="false">M56+N55</f>
        <v>-474528.335705603</v>
      </c>
      <c r="O56" s="180" t="n">
        <f aca="false">N56+O55</f>
        <v>818861.265541117</v>
      </c>
      <c r="P56" s="180" t="n">
        <f aca="false">O56+P55</f>
        <v>2105747.75693056</v>
      </c>
      <c r="Q56" s="180" t="n">
        <f aca="false">P56+Q55</f>
        <v>3386131.13846272</v>
      </c>
      <c r="R56" s="180" t="n">
        <f aca="false">Q56+R55</f>
        <v>4660011.4101376</v>
      </c>
      <c r="S56" s="180" t="n">
        <f aca="false">R56+S55</f>
        <v>5927388.5719552</v>
      </c>
      <c r="T56" s="180" t="n">
        <f aca="false">S56+T55</f>
        <v>7188262.62391552</v>
      </c>
      <c r="U56" s="180" t="n">
        <f aca="false">T56+U55</f>
        <v>8442633.56601856</v>
      </c>
      <c r="V56" s="180" t="n">
        <f aca="false">U56+V55</f>
        <v>9690501.39826432</v>
      </c>
      <c r="W56" s="180" t="n">
        <f aca="false">V56+W55</f>
        <v>10931866.1206528</v>
      </c>
      <c r="X56" s="180" t="n">
        <f aca="false">W56+X55</f>
        <v>10931866.1206528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0.060304374742612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-750715</v>
      </c>
      <c r="E67" s="191" t="n">
        <f aca="false">$C$44/$E$16</f>
        <v>-750715</v>
      </c>
      <c r="F67" s="191" t="n">
        <f aca="false">$C$44/$E$16</f>
        <v>-750715</v>
      </c>
      <c r="G67" s="191" t="n">
        <f aca="false">$C$44/$E$16</f>
        <v>-750715</v>
      </c>
      <c r="H67" s="191" t="n">
        <f aca="false">$C$44/$E$16</f>
        <v>-750715</v>
      </c>
      <c r="I67" s="191" t="n">
        <f aca="false">$C$44/$E$16</f>
        <v>-750715</v>
      </c>
      <c r="J67" s="191" t="n">
        <f aca="false">$C$44/$E$16</f>
        <v>-750715</v>
      </c>
      <c r="K67" s="191" t="n">
        <f aca="false">$C$44/$E$16</f>
        <v>-750715</v>
      </c>
      <c r="L67" s="191" t="n">
        <f aca="false">$C$44/$E$16</f>
        <v>-750715</v>
      </c>
      <c r="M67" s="191" t="n">
        <f aca="false">$C$44/$E$16</f>
        <v>-750715</v>
      </c>
      <c r="N67" s="191" t="n">
        <f aca="false">$C$44/$E$16</f>
        <v>-750715</v>
      </c>
      <c r="O67" s="191" t="n">
        <f aca="false">$C$44/$E$16</f>
        <v>-750715</v>
      </c>
      <c r="P67" s="191" t="n">
        <f aca="false">$C$44/$E$16</f>
        <v>-750715</v>
      </c>
      <c r="Q67" s="191" t="n">
        <f aca="false">$C$44/$E$16</f>
        <v>-750715</v>
      </c>
      <c r="R67" s="191" t="n">
        <f aca="false">$C$44/$E$16</f>
        <v>-750715</v>
      </c>
      <c r="S67" s="191" t="n">
        <f aca="false">$C$44/$E$16</f>
        <v>-750715</v>
      </c>
      <c r="T67" s="191" t="n">
        <f aca="false">$C$44/$E$16</f>
        <v>-750715</v>
      </c>
      <c r="U67" s="191" t="n">
        <f aca="false">$C$44/$E$16</f>
        <v>-750715</v>
      </c>
      <c r="V67" s="191" t="n">
        <f aca="false">$C$44/$E$16</f>
        <v>-750715</v>
      </c>
      <c r="W67" s="191" t="n">
        <f aca="false">$C$44/$E$16</f>
        <v>-750715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-307432.8068</v>
      </c>
      <c r="E70" s="170" t="n">
        <f aca="false">-E109*$D25</f>
        <v>-286937.286346667</v>
      </c>
      <c r="F70" s="170" t="n">
        <f aca="false">-F109*$D25</f>
        <v>-266441.765893334</v>
      </c>
      <c r="G70" s="170" t="n">
        <f aca="false">-G109*$D25</f>
        <v>-245946.24544</v>
      </c>
      <c r="H70" s="170" t="n">
        <f aca="false">-H109*$D25</f>
        <v>-225450.724986667</v>
      </c>
      <c r="I70" s="170" t="n">
        <f aca="false">-I109*$D25</f>
        <v>-204955.204533333</v>
      </c>
      <c r="J70" s="170" t="n">
        <f aca="false">-J109*$D25</f>
        <v>-184459.68408</v>
      </c>
      <c r="K70" s="170" t="n">
        <f aca="false">-K109*$D25</f>
        <v>-163964.163626667</v>
      </c>
      <c r="L70" s="170" t="n">
        <f aca="false">-L109*$D25</f>
        <v>-143468.643173333</v>
      </c>
      <c r="M70" s="170" t="n">
        <f aca="false">-M109*$D25</f>
        <v>-122973.12272</v>
      </c>
      <c r="N70" s="170" t="n">
        <f aca="false">-N109*$D25</f>
        <v>-102477.602266667</v>
      </c>
      <c r="O70" s="170" t="n">
        <f aca="false">-O109*$D25</f>
        <v>-81982.0818133335</v>
      </c>
      <c r="P70" s="170" t="n">
        <f aca="false">-P109*$D25</f>
        <v>-61486.5613600001</v>
      </c>
      <c r="Q70" s="170" t="n">
        <f aca="false">-Q109*$D25</f>
        <v>-40991.0409066668</v>
      </c>
      <c r="R70" s="170" t="n">
        <f aca="false">-R109*$D25</f>
        <v>-20495.5204533335</v>
      </c>
      <c r="S70" s="170" t="n">
        <f aca="false">-S109*$D25</f>
        <v>-1.37063907459378E-010</v>
      </c>
      <c r="T70" s="170" t="n">
        <f aca="false">-T109*$D25</f>
        <v>-1.37063907459378E-010</v>
      </c>
      <c r="U70" s="170" t="n">
        <f aca="false">-U109*$D25</f>
        <v>-1.37063907459378E-010</v>
      </c>
      <c r="V70" s="170" t="n">
        <f aca="false">-V109*$D25</f>
        <v>-1.37063907459378E-010</v>
      </c>
      <c r="W70" s="170" t="n">
        <f aca="false">-W109*$D25</f>
        <v>-1.37063907459378E-010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-28782.6</v>
      </c>
      <c r="E72" s="170" t="n">
        <f aca="false">E49</f>
        <v>-28782.6</v>
      </c>
      <c r="F72" s="170" t="n">
        <f aca="false">F49</f>
        <v>-28782.6</v>
      </c>
      <c r="G72" s="170" t="n">
        <f aca="false">G49</f>
        <v>-28782.6</v>
      </c>
      <c r="H72" s="170" t="n">
        <f aca="false">H49</f>
        <v>-28782.6</v>
      </c>
      <c r="I72" s="170" t="n">
        <f aca="false">I49</f>
        <v>-28782.6</v>
      </c>
      <c r="J72" s="170" t="n">
        <f aca="false">J49</f>
        <v>-28782.6</v>
      </c>
      <c r="K72" s="170" t="n">
        <f aca="false">K49</f>
        <v>-28782.6</v>
      </c>
      <c r="L72" s="170" t="n">
        <f aca="false">L49</f>
        <v>-28782.6</v>
      </c>
      <c r="M72" s="170" t="n">
        <f aca="false">M49</f>
        <v>-28782.6</v>
      </c>
      <c r="N72" s="170" t="n">
        <f aca="false">N49</f>
        <v>-28782.6</v>
      </c>
      <c r="O72" s="170" t="n">
        <f aca="false">O49</f>
        <v>-28782.6</v>
      </c>
      <c r="P72" s="170" t="n">
        <f aca="false">P49</f>
        <v>-28782.6</v>
      </c>
      <c r="Q72" s="170" t="n">
        <f aca="false">Q49</f>
        <v>-28782.6</v>
      </c>
      <c r="R72" s="170" t="n">
        <f aca="false">R49</f>
        <v>-28782.6</v>
      </c>
      <c r="S72" s="170" t="n">
        <f aca="false">S49</f>
        <v>-28782.6</v>
      </c>
      <c r="T72" s="170" t="n">
        <f aca="false">T49</f>
        <v>-28782.6</v>
      </c>
      <c r="U72" s="170" t="n">
        <f aca="false">U49</f>
        <v>-28782.6</v>
      </c>
      <c r="V72" s="170" t="n">
        <f aca="false">V49</f>
        <v>-28782.6</v>
      </c>
      <c r="W72" s="170" t="n">
        <f aca="false">W49</f>
        <v>-28782.6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706919.205295999</v>
      </c>
      <c r="E76" s="175" t="n">
        <f aca="false">SUM(E64:E75)</f>
        <v>429084.838427733</v>
      </c>
      <c r="F76" s="175" t="n">
        <f aca="false">SUM(F64:F75)</f>
        <v>441451.471559466</v>
      </c>
      <c r="G76" s="175" t="n">
        <f aca="false">SUM(G64:G75)</f>
        <v>453818.1046912</v>
      </c>
      <c r="H76" s="175" t="n">
        <f aca="false">SUM(H64:H75)</f>
        <v>466184.737822933</v>
      </c>
      <c r="I76" s="175" t="n">
        <f aca="false">SUM(I64:I75)</f>
        <v>478551.370954666</v>
      </c>
      <c r="J76" s="175" t="n">
        <f aca="false">SUM(J64:J75)</f>
        <v>490918.0040864</v>
      </c>
      <c r="K76" s="175" t="n">
        <f aca="false">SUM(K64:K75)</f>
        <v>503284.637218133</v>
      </c>
      <c r="L76" s="175" t="n">
        <f aca="false">SUM(L64:L75)</f>
        <v>515651.270349866</v>
      </c>
      <c r="M76" s="175" t="n">
        <f aca="false">SUM(M64:M75)</f>
        <v>528017.9034816</v>
      </c>
      <c r="N76" s="175" t="n">
        <f aca="false">SUM(N64:N75)</f>
        <v>583994.536613333</v>
      </c>
      <c r="O76" s="175" t="n">
        <f aca="false">SUM(O64:O75)</f>
        <v>596361.169745066</v>
      </c>
      <c r="P76" s="175" t="n">
        <f aca="false">SUM(P64:P75)</f>
        <v>608727.8028768</v>
      </c>
      <c r="Q76" s="175" t="n">
        <f aca="false">SUM(Q64:Q75)</f>
        <v>621094.436008533</v>
      </c>
      <c r="R76" s="175" t="n">
        <f aca="false">SUM(R64:R75)</f>
        <v>633461.069140266</v>
      </c>
      <c r="S76" s="175" t="n">
        <f aca="false">SUM(S64:S75)</f>
        <v>645827.702272</v>
      </c>
      <c r="T76" s="175" t="n">
        <f aca="false">SUM(T64:T75)</f>
        <v>637698.814950399</v>
      </c>
      <c r="U76" s="175" t="n">
        <f aca="false">SUM(U64:U75)</f>
        <v>629569.9276288</v>
      </c>
      <c r="V76" s="175" t="n">
        <f aca="false">SUM(V64:V75)</f>
        <v>621441.040307199</v>
      </c>
      <c r="W76" s="175" t="n">
        <f aca="false">SUM(W64:W75)</f>
        <v>613312.1529856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-141383.8410592</v>
      </c>
      <c r="E77" s="170" t="n">
        <f aca="false">-E76*0.2</f>
        <v>-85816.9676855466</v>
      </c>
      <c r="F77" s="170" t="n">
        <f aca="false">-F76*0.2</f>
        <v>-88290.2943118933</v>
      </c>
      <c r="G77" s="170" t="n">
        <f aca="false">-G76*0.2</f>
        <v>-90763.6209382399</v>
      </c>
      <c r="H77" s="170" t="n">
        <f aca="false">-H76*0.2</f>
        <v>-93236.9475645866</v>
      </c>
      <c r="I77" s="170" t="n">
        <f aca="false">-I76*0.2</f>
        <v>-95710.2741909332</v>
      </c>
      <c r="J77" s="170" t="n">
        <f aca="false">-J76*0.2</f>
        <v>-98183.60081728</v>
      </c>
      <c r="K77" s="170" t="n">
        <f aca="false">-K76*0.2</f>
        <v>-100656.927443627</v>
      </c>
      <c r="L77" s="170" t="n">
        <f aca="false">-L76*0.2</f>
        <v>-103130.254069973</v>
      </c>
      <c r="M77" s="170" t="n">
        <f aca="false">-M76*0.2</f>
        <v>-105603.58069632</v>
      </c>
      <c r="N77" s="170" t="n">
        <f aca="false">-N76*0.2</f>
        <v>-116798.907322667</v>
      </c>
      <c r="O77" s="170" t="n">
        <f aca="false">-O76*0.2</f>
        <v>-119272.233949013</v>
      </c>
      <c r="P77" s="170" t="n">
        <f aca="false">-P76*0.2</f>
        <v>-121745.56057536</v>
      </c>
      <c r="Q77" s="170" t="n">
        <f aca="false">-Q76*0.2</f>
        <v>-124218.887201707</v>
      </c>
      <c r="R77" s="170" t="n">
        <f aca="false">-R76*0.2</f>
        <v>-126692.213828053</v>
      </c>
      <c r="S77" s="170" t="n">
        <f aca="false">-S76*0.2</f>
        <v>-129165.5404544</v>
      </c>
      <c r="T77" s="170" t="n">
        <f aca="false">-T76*0.2</f>
        <v>-127539.76299008</v>
      </c>
      <c r="U77" s="170" t="n">
        <f aca="false">-U76*0.2</f>
        <v>-125913.98552576</v>
      </c>
      <c r="V77" s="170" t="n">
        <f aca="false">-V76*0.2</f>
        <v>-124288.20806144</v>
      </c>
      <c r="W77" s="170" t="n">
        <f aca="false">-W76*0.2</f>
        <v>-122662.43059712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565535.3642368</v>
      </c>
      <c r="E78" s="170" t="n">
        <f aca="false">SUM(E76:E77)</f>
        <v>343267.870742186</v>
      </c>
      <c r="F78" s="170" t="n">
        <f aca="false">SUM(F76:F77)</f>
        <v>353161.177247573</v>
      </c>
      <c r="G78" s="170" t="n">
        <f aca="false">SUM(G76:G77)</f>
        <v>363054.48375296</v>
      </c>
      <c r="H78" s="170" t="n">
        <f aca="false">SUM(H76:H77)</f>
        <v>372947.790258346</v>
      </c>
      <c r="I78" s="170" t="n">
        <f aca="false">SUM(I76:I77)</f>
        <v>382841.096763733</v>
      </c>
      <c r="J78" s="170" t="n">
        <f aca="false">SUM(J76:J77)</f>
        <v>392734.40326912</v>
      </c>
      <c r="K78" s="170" t="n">
        <f aca="false">SUM(K76:K77)</f>
        <v>402627.709774506</v>
      </c>
      <c r="L78" s="170" t="n">
        <f aca="false">SUM(L76:L77)</f>
        <v>412521.016279893</v>
      </c>
      <c r="M78" s="170" t="n">
        <f aca="false">SUM(M76:M77)</f>
        <v>422414.32278528</v>
      </c>
      <c r="N78" s="170" t="n">
        <f aca="false">SUM(N76:N77)</f>
        <v>467195.629290666</v>
      </c>
      <c r="O78" s="170" t="n">
        <f aca="false">SUM(O76:O77)</f>
        <v>477088.935796053</v>
      </c>
      <c r="P78" s="170" t="n">
        <f aca="false">SUM(P76:P77)</f>
        <v>486982.24230144</v>
      </c>
      <c r="Q78" s="170" t="n">
        <f aca="false">SUM(Q76:Q77)</f>
        <v>496875.548806826</v>
      </c>
      <c r="R78" s="170" t="n">
        <f aca="false">SUM(R76:R77)</f>
        <v>506768.855312213</v>
      </c>
      <c r="S78" s="170" t="n">
        <f aca="false">SUM(S76:S77)</f>
        <v>516662.1618176</v>
      </c>
      <c r="T78" s="170" t="n">
        <f aca="false">SUM(T76:T77)</f>
        <v>510159.051960319</v>
      </c>
      <c r="U78" s="170" t="n">
        <f aca="false">SUM(U76:U77)</f>
        <v>503655.94210304</v>
      </c>
      <c r="V78" s="170" t="n">
        <f aca="false">SUM(V76:V77)</f>
        <v>497152.83224576</v>
      </c>
      <c r="W78" s="170" t="n">
        <f aca="false">SUM(W76:W77)</f>
        <v>490649.72238848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565535.3642368</v>
      </c>
      <c r="E85" s="206" t="n">
        <f aca="false">E78</f>
        <v>343267.870742186</v>
      </c>
      <c r="F85" s="206" t="n">
        <f aca="false">F78</f>
        <v>353161.177247573</v>
      </c>
      <c r="G85" s="206" t="n">
        <f aca="false">G78</f>
        <v>363054.48375296</v>
      </c>
      <c r="H85" s="206" t="n">
        <f aca="false">H78</f>
        <v>372947.790258346</v>
      </c>
      <c r="I85" s="206" t="n">
        <f aca="false">I78</f>
        <v>382841.096763733</v>
      </c>
      <c r="J85" s="206" t="n">
        <f aca="false">J78</f>
        <v>392734.40326912</v>
      </c>
      <c r="K85" s="206" t="n">
        <f aca="false">K78</f>
        <v>402627.709774506</v>
      </c>
      <c r="L85" s="206" t="n">
        <f aca="false">L78</f>
        <v>412521.016279893</v>
      </c>
      <c r="M85" s="206" t="n">
        <f aca="false">M78</f>
        <v>422414.32278528</v>
      </c>
      <c r="N85" s="206" t="n">
        <f aca="false">N78</f>
        <v>467195.629290666</v>
      </c>
      <c r="O85" s="206" t="n">
        <f aca="false">O78</f>
        <v>477088.935796053</v>
      </c>
      <c r="P85" s="206" t="n">
        <f aca="false">P78</f>
        <v>486982.24230144</v>
      </c>
      <c r="Q85" s="206" t="n">
        <f aca="false">Q78</f>
        <v>496875.548806826</v>
      </c>
      <c r="R85" s="206" t="n">
        <f aca="false">R78</f>
        <v>506768.855312213</v>
      </c>
      <c r="S85" s="206" t="n">
        <f aca="false">S78</f>
        <v>516662.1618176</v>
      </c>
      <c r="T85" s="206" t="n">
        <f aca="false">T78</f>
        <v>510159.051960319</v>
      </c>
      <c r="U85" s="206" t="n">
        <f aca="false">U78</f>
        <v>503655.94210304</v>
      </c>
      <c r="V85" s="206" t="n">
        <f aca="false">V78</f>
        <v>497152.83224576</v>
      </c>
      <c r="W85" s="206" t="n">
        <f aca="false">W78</f>
        <v>490649.72238848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750715</v>
      </c>
      <c r="E86" s="207" t="n">
        <f aca="false">-E67</f>
        <v>750715</v>
      </c>
      <c r="F86" s="207" t="n">
        <f aca="false">-F67</f>
        <v>750715</v>
      </c>
      <c r="G86" s="207" t="n">
        <f aca="false">-G67</f>
        <v>750715</v>
      </c>
      <c r="H86" s="207" t="n">
        <f aca="false">-H67</f>
        <v>750715</v>
      </c>
      <c r="I86" s="207" t="n">
        <f aca="false">-I67</f>
        <v>750715</v>
      </c>
      <c r="J86" s="207" t="n">
        <f aca="false">-J67</f>
        <v>750715</v>
      </c>
      <c r="K86" s="207" t="n">
        <f aca="false">-K67</f>
        <v>750715</v>
      </c>
      <c r="L86" s="207" t="n">
        <f aca="false">-L67</f>
        <v>750715</v>
      </c>
      <c r="M86" s="207" t="n">
        <f aca="false">-M67</f>
        <v>750715</v>
      </c>
      <c r="N86" s="207" t="n">
        <f aca="false">-N67</f>
        <v>750715</v>
      </c>
      <c r="O86" s="207" t="n">
        <f aca="false">-O67</f>
        <v>750715</v>
      </c>
      <c r="P86" s="207" t="n">
        <f aca="false">-P67</f>
        <v>750715</v>
      </c>
      <c r="Q86" s="207" t="n">
        <f aca="false">-Q67</f>
        <v>750715</v>
      </c>
      <c r="R86" s="207" t="n">
        <f aca="false">-R67</f>
        <v>750715</v>
      </c>
      <c r="S86" s="207" t="n">
        <f aca="false">-S67</f>
        <v>750715</v>
      </c>
      <c r="T86" s="207" t="n">
        <f aca="false">-T67</f>
        <v>750715</v>
      </c>
      <c r="U86" s="207" t="n">
        <f aca="false">-U67</f>
        <v>750715</v>
      </c>
      <c r="V86" s="207" t="n">
        <f aca="false">-V67</f>
        <v>750715</v>
      </c>
      <c r="W86" s="207" t="n">
        <f aca="false">-W67</f>
        <v>750715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1316250.3642368</v>
      </c>
      <c r="E87" s="209" t="n">
        <f aca="false">SUM(E85:E86)</f>
        <v>1093982.87074219</v>
      </c>
      <c r="F87" s="209" t="n">
        <f aca="false">SUM(F85:F86)</f>
        <v>1103876.17724757</v>
      </c>
      <c r="G87" s="209" t="n">
        <f aca="false">SUM(G85:G86)</f>
        <v>1113769.48375296</v>
      </c>
      <c r="H87" s="209" t="n">
        <f aca="false">SUM(H85:H86)</f>
        <v>1123662.79025835</v>
      </c>
      <c r="I87" s="209" t="n">
        <f aca="false">SUM(I85:I86)</f>
        <v>1133556.09676373</v>
      </c>
      <c r="J87" s="209" t="n">
        <f aca="false">SUM(J85:J86)</f>
        <v>1143449.40326912</v>
      </c>
      <c r="K87" s="209" t="n">
        <f aca="false">SUM(K85:K86)</f>
        <v>1153342.70977451</v>
      </c>
      <c r="L87" s="209" t="n">
        <f aca="false">SUM(L85:L86)</f>
        <v>1163236.01627989</v>
      </c>
      <c r="M87" s="209" t="n">
        <f aca="false">SUM(M85:M86)</f>
        <v>1173129.32278528</v>
      </c>
      <c r="N87" s="209" t="n">
        <f aca="false">SUM(N85:N86)</f>
        <v>1217910.62929067</v>
      </c>
      <c r="O87" s="209" t="n">
        <f aca="false">SUM(O85:O86)</f>
        <v>1227803.93579605</v>
      </c>
      <c r="P87" s="209" t="n">
        <f aca="false">SUM(P85:P86)</f>
        <v>1237697.24230144</v>
      </c>
      <c r="Q87" s="209" t="n">
        <f aca="false">SUM(Q85:Q86)</f>
        <v>1247590.54880683</v>
      </c>
      <c r="R87" s="209" t="n">
        <f aca="false">SUM(R85:R86)</f>
        <v>1257483.85531221</v>
      </c>
      <c r="S87" s="209" t="n">
        <f aca="false">SUM(S85:S86)</f>
        <v>1267377.1618176</v>
      </c>
      <c r="T87" s="209" t="n">
        <f aca="false">SUM(T85:T86)</f>
        <v>1260874.05196032</v>
      </c>
      <c r="U87" s="209" t="n">
        <f aca="false">SUM(U85:U86)</f>
        <v>1254370.94210304</v>
      </c>
      <c r="V87" s="209" t="n">
        <f aca="false">SUM(V85:V86)</f>
        <v>1247867.83224576</v>
      </c>
      <c r="W87" s="209" t="n">
        <f aca="false">SUM(W85:W86)</f>
        <v>1241364.72238848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-15014300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12011440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-800762.666666667</v>
      </c>
      <c r="F93" s="215" t="n">
        <v>-800762.666666667</v>
      </c>
      <c r="G93" s="215" t="n">
        <v>-800762.666666667</v>
      </c>
      <c r="H93" s="215" t="n">
        <v>-800762.666666667</v>
      </c>
      <c r="I93" s="215" t="n">
        <v>-800762.666666667</v>
      </c>
      <c r="J93" s="215" t="n">
        <v>-800762.666666667</v>
      </c>
      <c r="K93" s="215" t="n">
        <v>-800762.666666667</v>
      </c>
      <c r="L93" s="215" t="n">
        <v>-800762.666666667</v>
      </c>
      <c r="M93" s="215" t="n">
        <v>-800762.666666667</v>
      </c>
      <c r="N93" s="215" t="n">
        <v>-800762.666666667</v>
      </c>
      <c r="O93" s="215" t="n">
        <v>-800762.666666667</v>
      </c>
      <c r="P93" s="215" t="n">
        <v>-800762.666666667</v>
      </c>
      <c r="Q93" s="215" t="n">
        <v>-800762.666666667</v>
      </c>
      <c r="R93" s="215" t="n">
        <v>-800762.666666667</v>
      </c>
      <c r="S93" s="215" t="n">
        <v>-800762.666666667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3002860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-508981.82781312</v>
      </c>
      <c r="F95" s="216" t="n">
        <f aca="false">-E85*$D$33</f>
        <v>-308941.083667968</v>
      </c>
      <c r="G95" s="216" t="n">
        <f aca="false">-F85*$D$33</f>
        <v>-317845.059522816</v>
      </c>
      <c r="H95" s="216" t="n">
        <f aca="false">-G85*$D$33</f>
        <v>-326749.035377664</v>
      </c>
      <c r="I95" s="216" t="n">
        <f aca="false">-H85*$D$33</f>
        <v>-335653.011232512</v>
      </c>
      <c r="J95" s="216" t="n">
        <f aca="false">-I85*$D$33</f>
        <v>-344556.98708736</v>
      </c>
      <c r="K95" s="216" t="n">
        <f aca="false">-J85*$D$33</f>
        <v>-353460.962942208</v>
      </c>
      <c r="L95" s="216" t="n">
        <f aca="false">-K85*$D$33</f>
        <v>-362364.938797056</v>
      </c>
      <c r="M95" s="216" t="n">
        <f aca="false">-L85*$D$33</f>
        <v>-371268.914651904</v>
      </c>
      <c r="N95" s="216" t="n">
        <f aca="false">-M85*$D$33</f>
        <v>-380172.890506752</v>
      </c>
      <c r="O95" s="216" t="n">
        <f aca="false">-N85*$D$33</f>
        <v>-420476.0663616</v>
      </c>
      <c r="P95" s="216" t="n">
        <f aca="false">-O85*$D$33</f>
        <v>-429380.042216448</v>
      </c>
      <c r="Q95" s="216" t="n">
        <f aca="false">-P85*$D$33</f>
        <v>-438284.018071296</v>
      </c>
      <c r="R95" s="216" t="n">
        <f aca="false">-Q85*$D$33</f>
        <v>-447187.993926144</v>
      </c>
      <c r="S95" s="216" t="n">
        <f aca="false">-R85*$D$33</f>
        <v>-456091.969780992</v>
      </c>
      <c r="T95" s="216" t="n">
        <f aca="false">-S85*$D$33</f>
        <v>-464995.94563584</v>
      </c>
      <c r="U95" s="216" t="n">
        <f aca="false">-T85*$D$33</f>
        <v>-459143.146764288</v>
      </c>
      <c r="V95" s="216" t="n">
        <f aca="false">-U85*$D$33</f>
        <v>-453290.347892736</v>
      </c>
      <c r="W95" s="216" t="n">
        <f aca="false">-V85*$D$33</f>
        <v>-447437.549021184</v>
      </c>
      <c r="X95" s="216" t="n">
        <f aca="false">-W85*$D$33</f>
        <v>-441584.750149632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-750715</v>
      </c>
      <c r="U96" s="219" t="n">
        <v>-750715</v>
      </c>
      <c r="V96" s="219" t="n">
        <v>-750715</v>
      </c>
      <c r="W96" s="219" t="n">
        <v>-750715</v>
      </c>
      <c r="X96" s="220" t="n">
        <f aca="false">-W101-X95</f>
        <v>-896429.615713284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1316250.3642368</v>
      </c>
      <c r="E99" s="206" t="n">
        <f aca="false">SUM(E87:E96)</f>
        <v>-215761.6237376</v>
      </c>
      <c r="F99" s="206" t="n">
        <f aca="false">SUM(F87:F96)</f>
        <v>-5827.57308706112</v>
      </c>
      <c r="G99" s="206" t="n">
        <f aca="false">SUM(G87:G96)</f>
        <v>-4838.2424365225</v>
      </c>
      <c r="H99" s="206" t="n">
        <f aca="false">SUM(H87:H96)</f>
        <v>-3848.91178598383</v>
      </c>
      <c r="I99" s="206" t="n">
        <f aca="false">SUM(I87:I96)</f>
        <v>-2859.58113544516</v>
      </c>
      <c r="J99" s="206" t="n">
        <f aca="false">SUM(J87:J96)</f>
        <v>-1870.2504849062</v>
      </c>
      <c r="K99" s="206" t="n">
        <f aca="false">SUM(K87:K96)</f>
        <v>-880.919834367873</v>
      </c>
      <c r="L99" s="206" t="n">
        <f aca="false">SUM(L87:L96)</f>
        <v>108.410816170683</v>
      </c>
      <c r="M99" s="206" t="n">
        <f aca="false">SUM(M87:M96)</f>
        <v>1097.74146670947</v>
      </c>
      <c r="N99" s="206" t="n">
        <f aca="false">SUM(N87:N96)</f>
        <v>36975.0721172481</v>
      </c>
      <c r="O99" s="206" t="n">
        <f aca="false">SUM(O87:O96)</f>
        <v>6565.20276778686</v>
      </c>
      <c r="P99" s="206" t="n">
        <f aca="false">SUM(P87:P96)</f>
        <v>7554.53341832553</v>
      </c>
      <c r="Q99" s="206" t="n">
        <f aca="false">SUM(Q87:Q96)</f>
        <v>8543.86406886432</v>
      </c>
      <c r="R99" s="206" t="n">
        <f aca="false">SUM(R87:R96)</f>
        <v>9533.19471940299</v>
      </c>
      <c r="S99" s="206" t="n">
        <f aca="false">SUM(S87:S96)</f>
        <v>10522.5253699417</v>
      </c>
      <c r="T99" s="206" t="n">
        <f aca="false">SUM(T87:T96)</f>
        <v>45163.10632448</v>
      </c>
      <c r="U99" s="206" t="n">
        <f aca="false">SUM(U87:U96)</f>
        <v>44512.7953387525</v>
      </c>
      <c r="V99" s="206" t="n">
        <f aca="false">SUM(V87:V96)</f>
        <v>43862.4843530241</v>
      </c>
      <c r="W99" s="206" t="n">
        <f aca="false">SUM(W87:W96)</f>
        <v>43212.1733672963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1316250.3642368</v>
      </c>
      <c r="F100" s="206" t="n">
        <f aca="false">E101</f>
        <v>1100488.7404992</v>
      </c>
      <c r="G100" s="206" t="n">
        <f aca="false">F101</f>
        <v>1094661.16741214</v>
      </c>
      <c r="H100" s="206" t="n">
        <f aca="false">G101</f>
        <v>1089822.92497562</v>
      </c>
      <c r="I100" s="206" t="n">
        <f aca="false">H101</f>
        <v>1085974.01318963</v>
      </c>
      <c r="J100" s="206" t="n">
        <f aca="false">I101</f>
        <v>1083114.43205419</v>
      </c>
      <c r="K100" s="206" t="n">
        <f aca="false">J101</f>
        <v>1081244.18156928</v>
      </c>
      <c r="L100" s="206" t="n">
        <f aca="false">K101</f>
        <v>1080363.26173491</v>
      </c>
      <c r="M100" s="206" t="n">
        <f aca="false">L101</f>
        <v>1080471.67255108</v>
      </c>
      <c r="N100" s="206" t="n">
        <f aca="false">M101</f>
        <v>1081569.41401779</v>
      </c>
      <c r="O100" s="206" t="n">
        <f aca="false">N101</f>
        <v>1118544.48613504</v>
      </c>
      <c r="P100" s="206" t="n">
        <f aca="false">O101</f>
        <v>1125109.68890283</v>
      </c>
      <c r="Q100" s="206" t="n">
        <f aca="false">P101</f>
        <v>1132664.22232115</v>
      </c>
      <c r="R100" s="206" t="n">
        <f aca="false">Q101</f>
        <v>1141208.08639002</v>
      </c>
      <c r="S100" s="206" t="n">
        <f aca="false">R101</f>
        <v>1150741.28110942</v>
      </c>
      <c r="T100" s="206" t="n">
        <f aca="false">S101</f>
        <v>1161263.80647936</v>
      </c>
      <c r="U100" s="206" t="n">
        <f aca="false">T101</f>
        <v>1206426.91280384</v>
      </c>
      <c r="V100" s="206" t="n">
        <f aca="false">U101</f>
        <v>1250939.7081426</v>
      </c>
      <c r="W100" s="206" t="n">
        <f aca="false">V101</f>
        <v>1294802.19249562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1316250.3642368</v>
      </c>
      <c r="E101" s="206" t="n">
        <f aca="false">E99+E100</f>
        <v>1100488.7404992</v>
      </c>
      <c r="F101" s="206" t="n">
        <f aca="false">F99+F100</f>
        <v>1094661.16741214</v>
      </c>
      <c r="G101" s="206" t="n">
        <f aca="false">G99+G100</f>
        <v>1089822.92497562</v>
      </c>
      <c r="H101" s="206" t="n">
        <f aca="false">H99+H100</f>
        <v>1085974.01318963</v>
      </c>
      <c r="I101" s="206" t="n">
        <f aca="false">I99+I100</f>
        <v>1083114.43205419</v>
      </c>
      <c r="J101" s="206" t="n">
        <f aca="false">J99+J100</f>
        <v>1081244.18156928</v>
      </c>
      <c r="K101" s="206" t="n">
        <f aca="false">K99+K100</f>
        <v>1080363.26173491</v>
      </c>
      <c r="L101" s="206" t="n">
        <f aca="false">L99+L100</f>
        <v>1080471.67255108</v>
      </c>
      <c r="M101" s="206" t="n">
        <f aca="false">M99+M100</f>
        <v>1081569.41401779</v>
      </c>
      <c r="N101" s="206" t="n">
        <f aca="false">N99+N100</f>
        <v>1118544.48613504</v>
      </c>
      <c r="O101" s="206" t="n">
        <f aca="false">O99+O100</f>
        <v>1125109.68890283</v>
      </c>
      <c r="P101" s="206" t="n">
        <f aca="false">P99+P100</f>
        <v>1132664.22232115</v>
      </c>
      <c r="Q101" s="206" t="n">
        <f aca="false">Q99+Q100</f>
        <v>1141208.08639002</v>
      </c>
      <c r="R101" s="206" t="n">
        <f aca="false">R99+R100</f>
        <v>1150741.28110942</v>
      </c>
      <c r="S101" s="206" t="n">
        <f aca="false">S99+S100</f>
        <v>1161263.80647936</v>
      </c>
      <c r="T101" s="206" t="n">
        <f aca="false">T99+T100</f>
        <v>1206426.91280384</v>
      </c>
      <c r="U101" s="206" t="n">
        <f aca="false">U99+U100</f>
        <v>1250939.7081426</v>
      </c>
      <c r="V101" s="206" t="n">
        <f aca="false">V99+V100</f>
        <v>1294802.19249562</v>
      </c>
      <c r="W101" s="206" t="n">
        <f aca="false">W99+W100</f>
        <v>1338014.36586292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-3002860</v>
      </c>
      <c r="E104" s="209" t="n">
        <f aca="false">-E95-E96</f>
        <v>508981.82781312</v>
      </c>
      <c r="F104" s="209" t="n">
        <f aca="false">-F95-F96</f>
        <v>308941.083667968</v>
      </c>
      <c r="G104" s="209" t="n">
        <f aca="false">-G95-G96</f>
        <v>317845.059522816</v>
      </c>
      <c r="H104" s="209" t="n">
        <f aca="false">-H95-H96</f>
        <v>326749.035377664</v>
      </c>
      <c r="I104" s="209" t="n">
        <f aca="false">-I95-I96</f>
        <v>335653.011232512</v>
      </c>
      <c r="J104" s="209" t="n">
        <f aca="false">-J95-J96</f>
        <v>344556.98708736</v>
      </c>
      <c r="K104" s="209" t="n">
        <f aca="false">-K95-K96</f>
        <v>353460.962942208</v>
      </c>
      <c r="L104" s="209" t="n">
        <f aca="false">-L95-L96</f>
        <v>362364.938797056</v>
      </c>
      <c r="M104" s="209" t="n">
        <f aca="false">-M95-M96</f>
        <v>371268.914651904</v>
      </c>
      <c r="N104" s="209" t="n">
        <f aca="false">-N95-N96</f>
        <v>380172.890506752</v>
      </c>
      <c r="O104" s="209" t="n">
        <f aca="false">-O95-O96</f>
        <v>420476.0663616</v>
      </c>
      <c r="P104" s="209" t="n">
        <f aca="false">-P95-P96</f>
        <v>429380.042216448</v>
      </c>
      <c r="Q104" s="209" t="n">
        <f aca="false">-Q95-Q96</f>
        <v>438284.018071296</v>
      </c>
      <c r="R104" s="209" t="n">
        <f aca="false">-R95-R96</f>
        <v>447187.993926144</v>
      </c>
      <c r="S104" s="209" t="n">
        <f aca="false">-S95-S96</f>
        <v>456091.969780992</v>
      </c>
      <c r="T104" s="209" t="n">
        <f aca="false">-T95-T96</f>
        <v>1215710.94563584</v>
      </c>
      <c r="U104" s="209" t="n">
        <f aca="false">-U95-U96</f>
        <v>1209858.14676429</v>
      </c>
      <c r="V104" s="209" t="n">
        <f aca="false">-V95-V96</f>
        <v>1204005.34789274</v>
      </c>
      <c r="W104" s="209" t="n">
        <f aca="false">-W95-W96</f>
        <v>1198152.54902118</v>
      </c>
      <c r="X104" s="209" t="n">
        <f aca="false">-X95-X96</f>
        <v>1338014.36586292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0.135346589746868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-2437324.6357632</v>
      </c>
      <c r="E106" s="209" t="n">
        <f aca="false">E85</f>
        <v>343267.870742186</v>
      </c>
      <c r="F106" s="209" t="n">
        <f aca="false">F85-F96</f>
        <v>353161.177247573</v>
      </c>
      <c r="G106" s="209" t="n">
        <f aca="false">G85-G96</f>
        <v>363054.48375296</v>
      </c>
      <c r="H106" s="209" t="n">
        <f aca="false">H85-H96</f>
        <v>372947.790258346</v>
      </c>
      <c r="I106" s="209" t="n">
        <f aca="false">I85-I96</f>
        <v>382841.096763733</v>
      </c>
      <c r="J106" s="209" t="n">
        <f aca="false">J85-J96</f>
        <v>392734.40326912</v>
      </c>
      <c r="K106" s="209" t="n">
        <f aca="false">K85-K96</f>
        <v>402627.709774506</v>
      </c>
      <c r="L106" s="209" t="n">
        <f aca="false">L85-L96</f>
        <v>412521.016279893</v>
      </c>
      <c r="M106" s="209" t="n">
        <f aca="false">M85-M96</f>
        <v>422414.32278528</v>
      </c>
      <c r="N106" s="209" t="n">
        <f aca="false">N85-N96</f>
        <v>467195.629290666</v>
      </c>
      <c r="O106" s="209" t="n">
        <f aca="false">O85-O96</f>
        <v>477088.935796053</v>
      </c>
      <c r="P106" s="209" t="n">
        <f aca="false">P85-P96</f>
        <v>486982.24230144</v>
      </c>
      <c r="Q106" s="209" t="n">
        <f aca="false">Q85-Q96</f>
        <v>496875.548806826</v>
      </c>
      <c r="R106" s="209" t="n">
        <f aca="false">R85-R96</f>
        <v>506768.855312213</v>
      </c>
      <c r="S106" s="209" t="n">
        <f aca="false">S85-S96</f>
        <v>516662.1618176</v>
      </c>
      <c r="T106" s="209" t="n">
        <f aca="false">T85-T96</f>
        <v>1260874.05196032</v>
      </c>
      <c r="U106" s="209" t="n">
        <f aca="false">U85-U96</f>
        <v>1254370.94210304</v>
      </c>
      <c r="V106" s="209" t="n">
        <f aca="false">V85-V96</f>
        <v>1247867.83224576</v>
      </c>
      <c r="W106" s="209" t="n">
        <f aca="false">W85-W96</f>
        <v>1241364.72238848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0.168280704721196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12011440</v>
      </c>
      <c r="E109" s="206" t="n">
        <f aca="false">D109+E93</f>
        <v>11210677.3333333</v>
      </c>
      <c r="F109" s="206" t="n">
        <f aca="false">E109+F93</f>
        <v>10409914.6666667</v>
      </c>
      <c r="G109" s="206" t="n">
        <f aca="false">F109+G93</f>
        <v>9609152.00000001</v>
      </c>
      <c r="H109" s="206" t="n">
        <f aca="false">G109+H93</f>
        <v>8808389.33333334</v>
      </c>
      <c r="I109" s="206" t="n">
        <f aca="false">H109+I93</f>
        <v>8007626.66666667</v>
      </c>
      <c r="J109" s="206" t="n">
        <f aca="false">I109+J93</f>
        <v>7206864.00000001</v>
      </c>
      <c r="K109" s="206" t="n">
        <f aca="false">J109+K93</f>
        <v>6406101.33333334</v>
      </c>
      <c r="L109" s="206" t="n">
        <f aca="false">K109+L93</f>
        <v>5605338.66666667</v>
      </c>
      <c r="M109" s="206" t="n">
        <f aca="false">L109+M93</f>
        <v>4804576.00000001</v>
      </c>
      <c r="N109" s="206" t="n">
        <f aca="false">M109+N93</f>
        <v>4003813.33333334</v>
      </c>
      <c r="O109" s="206" t="n">
        <f aca="false">N109+O93</f>
        <v>3203050.66666667</v>
      </c>
      <c r="P109" s="206" t="n">
        <f aca="false">O109+P93</f>
        <v>2402288.00000001</v>
      </c>
      <c r="Q109" s="206" t="n">
        <f aca="false">P109+Q93</f>
        <v>1601525.33333334</v>
      </c>
      <c r="R109" s="206" t="n">
        <f aca="false">Q109+R93</f>
        <v>800762.666666672</v>
      </c>
      <c r="S109" s="206" t="n">
        <f aca="false">R109+S93</f>
        <v>5.355104804039E-009</v>
      </c>
      <c r="T109" s="206" t="n">
        <f aca="false">S109+T93</f>
        <v>5.355104804039E-009</v>
      </c>
      <c r="U109" s="206" t="n">
        <f aca="false">T109+U93</f>
        <v>5.355104804039E-009</v>
      </c>
      <c r="V109" s="206" t="n">
        <f aca="false">U109+V93</f>
        <v>5.355104804039E-009</v>
      </c>
      <c r="W109" s="206" t="n">
        <f aca="false">V109+W93</f>
        <v>5.355104804039E-009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190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191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192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193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194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195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196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197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198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199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20000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-13768300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-26166</v>
      </c>
      <c r="E49" s="170" t="n">
        <v>-26166</v>
      </c>
      <c r="F49" s="170" t="n">
        <v>-26166</v>
      </c>
      <c r="G49" s="170" t="n">
        <v>-26166</v>
      </c>
      <c r="H49" s="170" t="n">
        <v>-26166</v>
      </c>
      <c r="I49" s="170" t="n">
        <v>-26166</v>
      </c>
      <c r="J49" s="170" t="n">
        <v>-26166</v>
      </c>
      <c r="K49" s="170" t="n">
        <v>-26166</v>
      </c>
      <c r="L49" s="170" t="n">
        <v>-26166</v>
      </c>
      <c r="M49" s="170" t="n">
        <v>-26166</v>
      </c>
      <c r="N49" s="170" t="n">
        <v>-26166</v>
      </c>
      <c r="O49" s="170" t="n">
        <v>-26166</v>
      </c>
      <c r="P49" s="170" t="n">
        <v>-26166</v>
      </c>
      <c r="Q49" s="170" t="n">
        <v>-26166</v>
      </c>
      <c r="R49" s="170" t="n">
        <v>-26166</v>
      </c>
      <c r="S49" s="170" t="n">
        <v>-26166</v>
      </c>
      <c r="T49" s="170" t="n">
        <v>-26166</v>
      </c>
      <c r="U49" s="170" t="n">
        <v>-26166</v>
      </c>
      <c r="V49" s="170" t="n">
        <v>-26166</v>
      </c>
      <c r="W49" s="170" t="n">
        <v>-26166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-215853.7224192</v>
      </c>
      <c r="E54" s="170" t="n">
        <f aca="false">-(E64+E67+E68+E71+E72+E73+E74)*0.2</f>
        <v>-156187.74495488</v>
      </c>
      <c r="F54" s="170" t="n">
        <f aca="false">-(F64+F67+F68+F71+F72+F73+F74)*0.2</f>
        <v>-154561.96749056</v>
      </c>
      <c r="G54" s="170" t="n">
        <f aca="false">-(G64+G67+G68+G71+G72+G73+G74)*0.2</f>
        <v>-152936.19002624</v>
      </c>
      <c r="H54" s="170" t="n">
        <f aca="false">-(H64+H67+H68+H71+H72+H73+H74)*0.2</f>
        <v>-151310.41256192</v>
      </c>
      <c r="I54" s="170" t="n">
        <f aca="false">-(I64+I67+I68+I71+I72+I73+I74)*0.2</f>
        <v>-149684.6350976</v>
      </c>
      <c r="J54" s="170" t="n">
        <f aca="false">-(J64+J67+J68+J71+J72+J73+J74)*0.2</f>
        <v>-148058.85763328</v>
      </c>
      <c r="K54" s="170" t="n">
        <f aca="false">-(K64+K67+K68+K71+K72+K73+K74)*0.2</f>
        <v>-146433.08016896</v>
      </c>
      <c r="L54" s="170" t="n">
        <f aca="false">-(L64+L67+L68+L71+L72+L73+L74)*0.2</f>
        <v>-144807.30270464</v>
      </c>
      <c r="M54" s="170" t="n">
        <f aca="false">-(M64+M67+M68+M71+M72+M73+M74)*0.2</f>
        <v>-143181.52524032</v>
      </c>
      <c r="N54" s="170" t="n">
        <f aca="false">-(N64+N67+N68+N71+N72+N73+N74)*0.2</f>
        <v>-150277.747776</v>
      </c>
      <c r="O54" s="170" t="n">
        <f aca="false">-(O64+O67+O68+O71+O72+O73+O74)*0.2</f>
        <v>-148651.97031168</v>
      </c>
      <c r="P54" s="170" t="n">
        <f aca="false">-(P64+P67+P68+P71+P72+P73+P74)*0.2</f>
        <v>-147026.19284736</v>
      </c>
      <c r="Q54" s="170" t="n">
        <f aca="false">-(Q64+Q67+Q68+Q71+Q72+Q73+Q74)*0.2</f>
        <v>-145400.41538304</v>
      </c>
      <c r="R54" s="170" t="n">
        <f aca="false">-(R64+R67+R68+R71+R72+R73+R74)*0.2</f>
        <v>-143774.63791872</v>
      </c>
      <c r="S54" s="170" t="n">
        <f aca="false">-(S64+S67+S68+S71+S72+S73+S74)*0.2</f>
        <v>-142148.8604544</v>
      </c>
      <c r="T54" s="170" t="n">
        <f aca="false">-(T64+T67+T68+T71+T72+T73+T74)*0.2</f>
        <v>-140523.08299008</v>
      </c>
      <c r="U54" s="170" t="n">
        <f aca="false">-(U64+U67+U68+U71+U72+U73+U74)*0.2</f>
        <v>-138897.30552576</v>
      </c>
      <c r="V54" s="170" t="n">
        <f aca="false">-(V64+V67+V68+V71+V72+V73+V74)*0.2</f>
        <v>-137271.52806144</v>
      </c>
      <c r="W54" s="170" t="n">
        <f aca="false">-(W64+W67+W68+W71+W72+W73+W74)*0.2</f>
        <v>-135645.75059712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-13768300</v>
      </c>
      <c r="D55" s="175" t="n">
        <f aca="false">SUM(D41:D54)</f>
        <v>1551829.8896768</v>
      </c>
      <c r="E55" s="175" t="n">
        <f aca="false">SUM(E41:E54)</f>
        <v>1313165.97981952</v>
      </c>
      <c r="F55" s="175" t="n">
        <f aca="false">SUM(F41:F54)</f>
        <v>1306662.86996224</v>
      </c>
      <c r="G55" s="175" t="n">
        <f aca="false">SUM(G41:G54)</f>
        <v>1300159.76010496</v>
      </c>
      <c r="H55" s="175" t="n">
        <f aca="false">SUM(H41:H54)</f>
        <v>1293656.65024768</v>
      </c>
      <c r="I55" s="175" t="n">
        <f aca="false">SUM(I41:I54)</f>
        <v>1287153.5403904</v>
      </c>
      <c r="J55" s="175" t="n">
        <f aca="false">SUM(J41:J54)</f>
        <v>1280650.43053312</v>
      </c>
      <c r="K55" s="175" t="n">
        <f aca="false">SUM(K41:K54)</f>
        <v>1274147.32067584</v>
      </c>
      <c r="L55" s="175" t="n">
        <f aca="false">SUM(L41:L54)</f>
        <v>1267644.21081856</v>
      </c>
      <c r="M55" s="175" t="n">
        <f aca="false">SUM(M41:M54)</f>
        <v>1261141.10096128</v>
      </c>
      <c r="N55" s="175" t="n">
        <f aca="false">SUM(N41:N54)</f>
        <v>1289525.991104</v>
      </c>
      <c r="O55" s="175" t="n">
        <f aca="false">SUM(O41:O54)</f>
        <v>1283022.88124672</v>
      </c>
      <c r="P55" s="175" t="n">
        <f aca="false">SUM(P41:P54)</f>
        <v>1276519.77138944</v>
      </c>
      <c r="Q55" s="175" t="n">
        <f aca="false">SUM(Q41:Q54)</f>
        <v>1270016.66153216</v>
      </c>
      <c r="R55" s="175" t="n">
        <f aca="false">SUM(R41:R54)</f>
        <v>1263513.55167488</v>
      </c>
      <c r="S55" s="175" t="n">
        <f aca="false">SUM(S41:S54)</f>
        <v>1257010.4418176</v>
      </c>
      <c r="T55" s="175" t="n">
        <f aca="false">SUM(T41:T54)</f>
        <v>1250507.33196032</v>
      </c>
      <c r="U55" s="175" t="n">
        <f aca="false">SUM(U41:U54)</f>
        <v>1244004.22210304</v>
      </c>
      <c r="V55" s="175" t="n">
        <f aca="false">SUM(V41:V54)</f>
        <v>1237501.11224576</v>
      </c>
      <c r="W55" s="175" t="n">
        <f aca="false">SUM(W41:W54)</f>
        <v>1230998.00238848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-12216470.1103232</v>
      </c>
      <c r="E56" s="180" t="n">
        <f aca="false">D56+E55</f>
        <v>-10903304.1305037</v>
      </c>
      <c r="F56" s="180" t="n">
        <f aca="false">E56+F55</f>
        <v>-9596641.26054144</v>
      </c>
      <c r="G56" s="180" t="n">
        <f aca="false">F56+G55</f>
        <v>-8296481.50043648</v>
      </c>
      <c r="H56" s="180" t="n">
        <f aca="false">G56+H55</f>
        <v>-7002824.8501888</v>
      </c>
      <c r="I56" s="180" t="n">
        <f aca="false">H56+I55</f>
        <v>-5715671.3097984</v>
      </c>
      <c r="J56" s="180" t="n">
        <f aca="false">I56+J55</f>
        <v>-4435020.87926528</v>
      </c>
      <c r="K56" s="180" t="n">
        <f aca="false">J56+K55</f>
        <v>-3160873.55858944</v>
      </c>
      <c r="L56" s="180" t="n">
        <f aca="false">K56+L55</f>
        <v>-1893229.34777088</v>
      </c>
      <c r="M56" s="180" t="n">
        <f aca="false">L56+M55</f>
        <v>-632088.246809603</v>
      </c>
      <c r="N56" s="180" t="n">
        <f aca="false">M56+N55</f>
        <v>657437.744294397</v>
      </c>
      <c r="O56" s="180" t="n">
        <f aca="false">N56+O55</f>
        <v>1940460.62554112</v>
      </c>
      <c r="P56" s="180" t="n">
        <f aca="false">O56+P55</f>
        <v>3216980.39693056</v>
      </c>
      <c r="Q56" s="180" t="n">
        <f aca="false">P56+Q55</f>
        <v>4486997.05846272</v>
      </c>
      <c r="R56" s="180" t="n">
        <f aca="false">Q56+R55</f>
        <v>5750510.6101376</v>
      </c>
      <c r="S56" s="180" t="n">
        <f aca="false">R56+S55</f>
        <v>7007521.0519552</v>
      </c>
      <c r="T56" s="180" t="n">
        <f aca="false">S56+T55</f>
        <v>8258028.38391552</v>
      </c>
      <c r="U56" s="180" t="n">
        <f aca="false">T56+U55</f>
        <v>9502032.60601856</v>
      </c>
      <c r="V56" s="180" t="n">
        <f aca="false">U56+V55</f>
        <v>10739533.7182643</v>
      </c>
      <c r="W56" s="180" t="n">
        <f aca="false">V56+W55</f>
        <v>11970531.7206528</v>
      </c>
      <c r="X56" s="180" t="n">
        <f aca="false">W56+X55</f>
        <v>11970531.7206528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0.0704767015790127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-688415</v>
      </c>
      <c r="E67" s="191" t="n">
        <f aca="false">$C$44/$E$16</f>
        <v>-688415</v>
      </c>
      <c r="F67" s="191" t="n">
        <f aca="false">$C$44/$E$16</f>
        <v>-688415</v>
      </c>
      <c r="G67" s="191" t="n">
        <f aca="false">$C$44/$E$16</f>
        <v>-688415</v>
      </c>
      <c r="H67" s="191" t="n">
        <f aca="false">$C$44/$E$16</f>
        <v>-688415</v>
      </c>
      <c r="I67" s="191" t="n">
        <f aca="false">$C$44/$E$16</f>
        <v>-688415</v>
      </c>
      <c r="J67" s="191" t="n">
        <f aca="false">$C$44/$E$16</f>
        <v>-688415</v>
      </c>
      <c r="K67" s="191" t="n">
        <f aca="false">$C$44/$E$16</f>
        <v>-688415</v>
      </c>
      <c r="L67" s="191" t="n">
        <f aca="false">$C$44/$E$16</f>
        <v>-688415</v>
      </c>
      <c r="M67" s="191" t="n">
        <f aca="false">$C$44/$E$16</f>
        <v>-688415</v>
      </c>
      <c r="N67" s="191" t="n">
        <f aca="false">$C$44/$E$16</f>
        <v>-688415</v>
      </c>
      <c r="O67" s="191" t="n">
        <f aca="false">$C$44/$E$16</f>
        <v>-688415</v>
      </c>
      <c r="P67" s="191" t="n">
        <f aca="false">$C$44/$E$16</f>
        <v>-688415</v>
      </c>
      <c r="Q67" s="191" t="n">
        <f aca="false">$C$44/$E$16</f>
        <v>-688415</v>
      </c>
      <c r="R67" s="191" t="n">
        <f aca="false">$C$44/$E$16</f>
        <v>-688415</v>
      </c>
      <c r="S67" s="191" t="n">
        <f aca="false">$C$44/$E$16</f>
        <v>-688415</v>
      </c>
      <c r="T67" s="191" t="n">
        <f aca="false">$C$44/$E$16</f>
        <v>-688415</v>
      </c>
      <c r="U67" s="191" t="n">
        <f aca="false">$C$44/$E$16</f>
        <v>-688415</v>
      </c>
      <c r="V67" s="191" t="n">
        <f aca="false">$C$44/$E$16</f>
        <v>-688415</v>
      </c>
      <c r="W67" s="191" t="n">
        <f aca="false">$C$44/$E$16</f>
        <v>-688415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-281919.7108</v>
      </c>
      <c r="E70" s="170" t="n">
        <f aca="false">-E109*$D25</f>
        <v>-263125.063413333</v>
      </c>
      <c r="F70" s="170" t="n">
        <f aca="false">-F109*$D25</f>
        <v>-244330.416026667</v>
      </c>
      <c r="G70" s="170" t="n">
        <f aca="false">-G109*$D25</f>
        <v>-225535.76864</v>
      </c>
      <c r="H70" s="170" t="n">
        <f aca="false">-H109*$D25</f>
        <v>-206741.121253333</v>
      </c>
      <c r="I70" s="170" t="n">
        <f aca="false">-I109*$D25</f>
        <v>-187946.473866667</v>
      </c>
      <c r="J70" s="170" t="n">
        <f aca="false">-J109*$D25</f>
        <v>-169151.82648</v>
      </c>
      <c r="K70" s="170" t="n">
        <f aca="false">-K109*$D25</f>
        <v>-150357.179093333</v>
      </c>
      <c r="L70" s="170" t="n">
        <f aca="false">-L109*$D25</f>
        <v>-131562.531706667</v>
      </c>
      <c r="M70" s="170" t="n">
        <f aca="false">-M109*$D25</f>
        <v>-112767.88432</v>
      </c>
      <c r="N70" s="170" t="n">
        <f aca="false">-N109*$D25</f>
        <v>-93973.2369333334</v>
      </c>
      <c r="O70" s="170" t="n">
        <f aca="false">-O109*$D25</f>
        <v>-75178.5895466667</v>
      </c>
      <c r="P70" s="170" t="n">
        <f aca="false">-P109*$D25</f>
        <v>-56383.94216</v>
      </c>
      <c r="Q70" s="170" t="n">
        <f aca="false">-Q109*$D25</f>
        <v>-37589.2947733334</v>
      </c>
      <c r="R70" s="170" t="n">
        <f aca="false">-R109*$D25</f>
        <v>-18794.6473866667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-26166</v>
      </c>
      <c r="E72" s="170" t="n">
        <f aca="false">E49</f>
        <v>-26166</v>
      </c>
      <c r="F72" s="170" t="n">
        <f aca="false">F49</f>
        <v>-26166</v>
      </c>
      <c r="G72" s="170" t="n">
        <f aca="false">G49</f>
        <v>-26166</v>
      </c>
      <c r="H72" s="170" t="n">
        <f aca="false">H49</f>
        <v>-26166</v>
      </c>
      <c r="I72" s="170" t="n">
        <f aca="false">I49</f>
        <v>-26166</v>
      </c>
      <c r="J72" s="170" t="n">
        <f aca="false">J49</f>
        <v>-26166</v>
      </c>
      <c r="K72" s="170" t="n">
        <f aca="false">K49</f>
        <v>-26166</v>
      </c>
      <c r="L72" s="170" t="n">
        <f aca="false">L49</f>
        <v>-26166</v>
      </c>
      <c r="M72" s="170" t="n">
        <f aca="false">M49</f>
        <v>-26166</v>
      </c>
      <c r="N72" s="170" t="n">
        <f aca="false">N49</f>
        <v>-26166</v>
      </c>
      <c r="O72" s="170" t="n">
        <f aca="false">O49</f>
        <v>-26166</v>
      </c>
      <c r="P72" s="170" t="n">
        <f aca="false">P49</f>
        <v>-26166</v>
      </c>
      <c r="Q72" s="170" t="n">
        <f aca="false">Q49</f>
        <v>-26166</v>
      </c>
      <c r="R72" s="170" t="n">
        <f aca="false">R49</f>
        <v>-26166</v>
      </c>
      <c r="S72" s="170" t="n">
        <f aca="false">S49</f>
        <v>-26166</v>
      </c>
      <c r="T72" s="170" t="n">
        <f aca="false">T49</f>
        <v>-26166</v>
      </c>
      <c r="U72" s="170" t="n">
        <f aca="false">U49</f>
        <v>-26166</v>
      </c>
      <c r="V72" s="170" t="n">
        <f aca="false">V49</f>
        <v>-26166</v>
      </c>
      <c r="W72" s="170" t="n">
        <f aca="false">W49</f>
        <v>-26166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797348.901296</v>
      </c>
      <c r="E76" s="175" t="n">
        <f aca="false">SUM(E64:E75)</f>
        <v>517813.661361066</v>
      </c>
      <c r="F76" s="175" t="n">
        <f aca="false">SUM(F64:F75)</f>
        <v>528479.421426133</v>
      </c>
      <c r="G76" s="175" t="n">
        <f aca="false">SUM(G64:G75)</f>
        <v>539145.1814912</v>
      </c>
      <c r="H76" s="175" t="n">
        <f aca="false">SUM(H64:H75)</f>
        <v>549810.941556266</v>
      </c>
      <c r="I76" s="175" t="n">
        <f aca="false">SUM(I64:I75)</f>
        <v>560476.701621333</v>
      </c>
      <c r="J76" s="175" t="n">
        <f aca="false">SUM(J64:J75)</f>
        <v>571142.4616864</v>
      </c>
      <c r="K76" s="175" t="n">
        <f aca="false">SUM(K64:K75)</f>
        <v>581808.221751466</v>
      </c>
      <c r="L76" s="175" t="n">
        <f aca="false">SUM(L64:L75)</f>
        <v>592473.981816533</v>
      </c>
      <c r="M76" s="175" t="n">
        <f aca="false">SUM(M64:M75)</f>
        <v>603139.7418816</v>
      </c>
      <c r="N76" s="175" t="n">
        <f aca="false">SUM(N64:N75)</f>
        <v>657415.501946666</v>
      </c>
      <c r="O76" s="175" t="n">
        <f aca="false">SUM(O64:O75)</f>
        <v>668081.262011733</v>
      </c>
      <c r="P76" s="175" t="n">
        <f aca="false">SUM(P64:P75)</f>
        <v>678747.0220768</v>
      </c>
      <c r="Q76" s="175" t="n">
        <f aca="false">SUM(Q64:Q75)</f>
        <v>689412.782141866</v>
      </c>
      <c r="R76" s="175" t="n">
        <f aca="false">SUM(R64:R75)</f>
        <v>700078.542206933</v>
      </c>
      <c r="S76" s="175" t="n">
        <f aca="false">SUM(S64:S75)</f>
        <v>710744.302272</v>
      </c>
      <c r="T76" s="175" t="n">
        <f aca="false">SUM(T64:T75)</f>
        <v>702615.4149504</v>
      </c>
      <c r="U76" s="175" t="n">
        <f aca="false">SUM(U64:U75)</f>
        <v>694486.5276288</v>
      </c>
      <c r="V76" s="175" t="n">
        <f aca="false">SUM(V64:V75)</f>
        <v>686357.6403072</v>
      </c>
      <c r="W76" s="175" t="n">
        <f aca="false">SUM(W64:W75)</f>
        <v>678228.7529856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-159469.7802592</v>
      </c>
      <c r="E77" s="170" t="n">
        <f aca="false">-E76*0.2</f>
        <v>-103562.732272213</v>
      </c>
      <c r="F77" s="170" t="n">
        <f aca="false">-F76*0.2</f>
        <v>-105695.884285227</v>
      </c>
      <c r="G77" s="170" t="n">
        <f aca="false">-G76*0.2</f>
        <v>-107829.03629824</v>
      </c>
      <c r="H77" s="170" t="n">
        <f aca="false">-H76*0.2</f>
        <v>-109962.188311253</v>
      </c>
      <c r="I77" s="170" t="n">
        <f aca="false">-I76*0.2</f>
        <v>-112095.340324267</v>
      </c>
      <c r="J77" s="170" t="n">
        <f aca="false">-J76*0.2</f>
        <v>-114228.49233728</v>
      </c>
      <c r="K77" s="170" t="n">
        <f aca="false">-K76*0.2</f>
        <v>-116361.644350293</v>
      </c>
      <c r="L77" s="170" t="n">
        <f aca="false">-L76*0.2</f>
        <v>-118494.796363307</v>
      </c>
      <c r="M77" s="170" t="n">
        <f aca="false">-M76*0.2</f>
        <v>-120627.94837632</v>
      </c>
      <c r="N77" s="170" t="n">
        <f aca="false">-N76*0.2</f>
        <v>-131483.100389333</v>
      </c>
      <c r="O77" s="170" t="n">
        <f aca="false">-O76*0.2</f>
        <v>-133616.252402347</v>
      </c>
      <c r="P77" s="170" t="n">
        <f aca="false">-P76*0.2</f>
        <v>-135749.40441536</v>
      </c>
      <c r="Q77" s="170" t="n">
        <f aca="false">-Q76*0.2</f>
        <v>-137882.556428373</v>
      </c>
      <c r="R77" s="170" t="n">
        <f aca="false">-R76*0.2</f>
        <v>-140015.708441387</v>
      </c>
      <c r="S77" s="170" t="n">
        <f aca="false">-S76*0.2</f>
        <v>-142148.8604544</v>
      </c>
      <c r="T77" s="170" t="n">
        <f aca="false">-T76*0.2</f>
        <v>-140523.08299008</v>
      </c>
      <c r="U77" s="170" t="n">
        <f aca="false">-U76*0.2</f>
        <v>-138897.30552576</v>
      </c>
      <c r="V77" s="170" t="n">
        <f aca="false">-V76*0.2</f>
        <v>-137271.52806144</v>
      </c>
      <c r="W77" s="170" t="n">
        <f aca="false">-W76*0.2</f>
        <v>-135645.75059712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637879.1210368</v>
      </c>
      <c r="E78" s="170" t="n">
        <f aca="false">SUM(E76:E77)</f>
        <v>414250.929088853</v>
      </c>
      <c r="F78" s="170" t="n">
        <f aca="false">SUM(F76:F77)</f>
        <v>422783.537140907</v>
      </c>
      <c r="G78" s="170" t="n">
        <f aca="false">SUM(G76:G77)</f>
        <v>431316.14519296</v>
      </c>
      <c r="H78" s="170" t="n">
        <f aca="false">SUM(H76:H77)</f>
        <v>439848.753245013</v>
      </c>
      <c r="I78" s="170" t="n">
        <f aca="false">SUM(I76:I77)</f>
        <v>448381.361297066</v>
      </c>
      <c r="J78" s="170" t="n">
        <f aca="false">SUM(J76:J77)</f>
        <v>456913.96934912</v>
      </c>
      <c r="K78" s="170" t="n">
        <f aca="false">SUM(K76:K77)</f>
        <v>465446.577401173</v>
      </c>
      <c r="L78" s="170" t="n">
        <f aca="false">SUM(L76:L77)</f>
        <v>473979.185453226</v>
      </c>
      <c r="M78" s="170" t="n">
        <f aca="false">SUM(M76:M77)</f>
        <v>482511.79350528</v>
      </c>
      <c r="N78" s="170" t="n">
        <f aca="false">SUM(N76:N77)</f>
        <v>525932.401557333</v>
      </c>
      <c r="O78" s="170" t="n">
        <f aca="false">SUM(O76:O77)</f>
        <v>534465.009609386</v>
      </c>
      <c r="P78" s="170" t="n">
        <f aca="false">SUM(P76:P77)</f>
        <v>542997.61766144</v>
      </c>
      <c r="Q78" s="170" t="n">
        <f aca="false">SUM(Q76:Q77)</f>
        <v>551530.225713493</v>
      </c>
      <c r="R78" s="170" t="n">
        <f aca="false">SUM(R76:R77)</f>
        <v>560062.833765546</v>
      </c>
      <c r="S78" s="170" t="n">
        <f aca="false">SUM(S76:S77)</f>
        <v>568595.4418176</v>
      </c>
      <c r="T78" s="170" t="n">
        <f aca="false">SUM(T76:T77)</f>
        <v>562092.33196032</v>
      </c>
      <c r="U78" s="170" t="n">
        <f aca="false">SUM(U76:U77)</f>
        <v>555589.22210304</v>
      </c>
      <c r="V78" s="170" t="n">
        <f aca="false">SUM(V76:V77)</f>
        <v>549086.11224576</v>
      </c>
      <c r="W78" s="170" t="n">
        <f aca="false">SUM(W76:W77)</f>
        <v>542583.00238848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637879.1210368</v>
      </c>
      <c r="E85" s="206" t="n">
        <f aca="false">E78</f>
        <v>414250.929088853</v>
      </c>
      <c r="F85" s="206" t="n">
        <f aca="false">F78</f>
        <v>422783.537140907</v>
      </c>
      <c r="G85" s="206" t="n">
        <f aca="false">G78</f>
        <v>431316.14519296</v>
      </c>
      <c r="H85" s="206" t="n">
        <f aca="false">H78</f>
        <v>439848.753245013</v>
      </c>
      <c r="I85" s="206" t="n">
        <f aca="false">I78</f>
        <v>448381.361297066</v>
      </c>
      <c r="J85" s="206" t="n">
        <f aca="false">J78</f>
        <v>456913.96934912</v>
      </c>
      <c r="K85" s="206" t="n">
        <f aca="false">K78</f>
        <v>465446.577401173</v>
      </c>
      <c r="L85" s="206" t="n">
        <f aca="false">L78</f>
        <v>473979.185453226</v>
      </c>
      <c r="M85" s="206" t="n">
        <f aca="false">M78</f>
        <v>482511.79350528</v>
      </c>
      <c r="N85" s="206" t="n">
        <f aca="false">N78</f>
        <v>525932.401557333</v>
      </c>
      <c r="O85" s="206" t="n">
        <f aca="false">O78</f>
        <v>534465.009609386</v>
      </c>
      <c r="P85" s="206" t="n">
        <f aca="false">P78</f>
        <v>542997.61766144</v>
      </c>
      <c r="Q85" s="206" t="n">
        <f aca="false">Q78</f>
        <v>551530.225713493</v>
      </c>
      <c r="R85" s="206" t="n">
        <f aca="false">R78</f>
        <v>560062.833765546</v>
      </c>
      <c r="S85" s="206" t="n">
        <f aca="false">S78</f>
        <v>568595.4418176</v>
      </c>
      <c r="T85" s="206" t="n">
        <f aca="false">T78</f>
        <v>562092.33196032</v>
      </c>
      <c r="U85" s="206" t="n">
        <f aca="false">U78</f>
        <v>555589.22210304</v>
      </c>
      <c r="V85" s="206" t="n">
        <f aca="false">V78</f>
        <v>549086.11224576</v>
      </c>
      <c r="W85" s="206" t="n">
        <f aca="false">W78</f>
        <v>542583.00238848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688415</v>
      </c>
      <c r="E86" s="207" t="n">
        <f aca="false">-E67</f>
        <v>688415</v>
      </c>
      <c r="F86" s="207" t="n">
        <f aca="false">-F67</f>
        <v>688415</v>
      </c>
      <c r="G86" s="207" t="n">
        <f aca="false">-G67</f>
        <v>688415</v>
      </c>
      <c r="H86" s="207" t="n">
        <f aca="false">-H67</f>
        <v>688415</v>
      </c>
      <c r="I86" s="207" t="n">
        <f aca="false">-I67</f>
        <v>688415</v>
      </c>
      <c r="J86" s="207" t="n">
        <f aca="false">-J67</f>
        <v>688415</v>
      </c>
      <c r="K86" s="207" t="n">
        <f aca="false">-K67</f>
        <v>688415</v>
      </c>
      <c r="L86" s="207" t="n">
        <f aca="false">-L67</f>
        <v>688415</v>
      </c>
      <c r="M86" s="207" t="n">
        <f aca="false">-M67</f>
        <v>688415</v>
      </c>
      <c r="N86" s="207" t="n">
        <f aca="false">-N67</f>
        <v>688415</v>
      </c>
      <c r="O86" s="207" t="n">
        <f aca="false">-O67</f>
        <v>688415</v>
      </c>
      <c r="P86" s="207" t="n">
        <f aca="false">-P67</f>
        <v>688415</v>
      </c>
      <c r="Q86" s="207" t="n">
        <f aca="false">-Q67</f>
        <v>688415</v>
      </c>
      <c r="R86" s="207" t="n">
        <f aca="false">-R67</f>
        <v>688415</v>
      </c>
      <c r="S86" s="207" t="n">
        <f aca="false">-S67</f>
        <v>688415</v>
      </c>
      <c r="T86" s="207" t="n">
        <f aca="false">-T67</f>
        <v>688415</v>
      </c>
      <c r="U86" s="207" t="n">
        <f aca="false">-U67</f>
        <v>688415</v>
      </c>
      <c r="V86" s="207" t="n">
        <f aca="false">-V67</f>
        <v>688415</v>
      </c>
      <c r="W86" s="207" t="n">
        <f aca="false">-W67</f>
        <v>688415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1326294.1210368</v>
      </c>
      <c r="E87" s="209" t="n">
        <f aca="false">SUM(E85:E86)</f>
        <v>1102665.92908885</v>
      </c>
      <c r="F87" s="209" t="n">
        <f aca="false">SUM(F85:F86)</f>
        <v>1111198.53714091</v>
      </c>
      <c r="G87" s="209" t="n">
        <f aca="false">SUM(G85:G86)</f>
        <v>1119731.14519296</v>
      </c>
      <c r="H87" s="209" t="n">
        <f aca="false">SUM(H85:H86)</f>
        <v>1128263.75324501</v>
      </c>
      <c r="I87" s="209" t="n">
        <f aca="false">SUM(I85:I86)</f>
        <v>1136796.36129707</v>
      </c>
      <c r="J87" s="209" t="n">
        <f aca="false">SUM(J85:J86)</f>
        <v>1145328.96934912</v>
      </c>
      <c r="K87" s="209" t="n">
        <f aca="false">SUM(K85:K86)</f>
        <v>1153861.57740117</v>
      </c>
      <c r="L87" s="209" t="n">
        <f aca="false">SUM(L85:L86)</f>
        <v>1162394.18545323</v>
      </c>
      <c r="M87" s="209" t="n">
        <f aca="false">SUM(M85:M86)</f>
        <v>1170926.79350528</v>
      </c>
      <c r="N87" s="209" t="n">
        <f aca="false">SUM(N85:N86)</f>
        <v>1214347.40155733</v>
      </c>
      <c r="O87" s="209" t="n">
        <f aca="false">SUM(O85:O86)</f>
        <v>1222880.00960939</v>
      </c>
      <c r="P87" s="209" t="n">
        <f aca="false">SUM(P85:P86)</f>
        <v>1231412.61766144</v>
      </c>
      <c r="Q87" s="209" t="n">
        <f aca="false">SUM(Q85:Q86)</f>
        <v>1239945.22571349</v>
      </c>
      <c r="R87" s="209" t="n">
        <f aca="false">SUM(R85:R86)</f>
        <v>1248477.83376555</v>
      </c>
      <c r="S87" s="209" t="n">
        <f aca="false">SUM(S85:S86)</f>
        <v>1257010.4418176</v>
      </c>
      <c r="T87" s="209" t="n">
        <f aca="false">SUM(T85:T86)</f>
        <v>1250507.33196032</v>
      </c>
      <c r="U87" s="209" t="n">
        <f aca="false">SUM(U85:U86)</f>
        <v>1244004.22210304</v>
      </c>
      <c r="V87" s="209" t="n">
        <f aca="false">SUM(V85:V86)</f>
        <v>1237501.11224576</v>
      </c>
      <c r="W87" s="209" t="n">
        <f aca="false">SUM(W85:W86)</f>
        <v>1230998.00238848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-13768300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11014640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-734309.333333333</v>
      </c>
      <c r="F93" s="215" t="n">
        <v>-734309.333333333</v>
      </c>
      <c r="G93" s="215" t="n">
        <v>-734309.333333333</v>
      </c>
      <c r="H93" s="215" t="n">
        <v>-734309.333333333</v>
      </c>
      <c r="I93" s="215" t="n">
        <v>-734309.333333333</v>
      </c>
      <c r="J93" s="215" t="n">
        <v>-734309.333333333</v>
      </c>
      <c r="K93" s="215" t="n">
        <v>-734309.333333333</v>
      </c>
      <c r="L93" s="215" t="n">
        <v>-734309.333333333</v>
      </c>
      <c r="M93" s="215" t="n">
        <v>-734309.333333333</v>
      </c>
      <c r="N93" s="215" t="n">
        <v>-734309.333333333</v>
      </c>
      <c r="O93" s="215" t="n">
        <v>-734309.333333333</v>
      </c>
      <c r="P93" s="215" t="n">
        <v>-734309.333333333</v>
      </c>
      <c r="Q93" s="215" t="n">
        <v>-734309.333333333</v>
      </c>
      <c r="R93" s="215" t="n">
        <v>-734309.333333333</v>
      </c>
      <c r="S93" s="215" t="n">
        <v>-734309.333333333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2753660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-574091.20893312</v>
      </c>
      <c r="F95" s="216" t="n">
        <f aca="false">-E85*$D$33</f>
        <v>-372825.836179968</v>
      </c>
      <c r="G95" s="216" t="n">
        <f aca="false">-F85*$D$33</f>
        <v>-380505.183426816</v>
      </c>
      <c r="H95" s="216" t="n">
        <f aca="false">-G85*$D$33</f>
        <v>-388184.530673664</v>
      </c>
      <c r="I95" s="216" t="n">
        <f aca="false">-H85*$D$33</f>
        <v>-395863.877920512</v>
      </c>
      <c r="J95" s="216" t="n">
        <f aca="false">-I85*$D$33</f>
        <v>-403543.22516736</v>
      </c>
      <c r="K95" s="216" t="n">
        <f aca="false">-J85*$D$33</f>
        <v>-411222.572414208</v>
      </c>
      <c r="L95" s="216" t="n">
        <f aca="false">-K85*$D$33</f>
        <v>-418901.919661056</v>
      </c>
      <c r="M95" s="216" t="n">
        <f aca="false">-L85*$D$33</f>
        <v>-426581.266907904</v>
      </c>
      <c r="N95" s="216" t="n">
        <f aca="false">-M85*$D$33</f>
        <v>-434260.614154752</v>
      </c>
      <c r="O95" s="216" t="n">
        <f aca="false">-N85*$D$33</f>
        <v>-473339.1614016</v>
      </c>
      <c r="P95" s="216" t="n">
        <f aca="false">-O85*$D$33</f>
        <v>-481018.508648448</v>
      </c>
      <c r="Q95" s="216" t="n">
        <f aca="false">-P85*$D$33</f>
        <v>-488697.855895296</v>
      </c>
      <c r="R95" s="216" t="n">
        <f aca="false">-Q85*$D$33</f>
        <v>-496377.203142144</v>
      </c>
      <c r="S95" s="216" t="n">
        <f aca="false">-R85*$D$33</f>
        <v>-504056.550388992</v>
      </c>
      <c r="T95" s="216" t="n">
        <f aca="false">-S85*$D$33</f>
        <v>-511735.89763584</v>
      </c>
      <c r="U95" s="216" t="n">
        <f aca="false">-T85*$D$33</f>
        <v>-505883.098764288</v>
      </c>
      <c r="V95" s="216" t="n">
        <f aca="false">-U85*$D$33</f>
        <v>-500030.299892736</v>
      </c>
      <c r="W95" s="216" t="n">
        <f aca="false">-V85*$D$33</f>
        <v>-494177.501021184</v>
      </c>
      <c r="X95" s="216" t="n">
        <f aca="false">-W85*$D$33</f>
        <v>-488324.702149632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-688415</v>
      </c>
      <c r="U96" s="219" t="n">
        <v>-688415</v>
      </c>
      <c r="V96" s="219" t="n">
        <v>-688415</v>
      </c>
      <c r="W96" s="219" t="n">
        <v>-688415</v>
      </c>
      <c r="X96" s="220" t="n">
        <f aca="false">-W101-X95</f>
        <v>-1016624.55715328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1326294.1210368</v>
      </c>
      <c r="E99" s="206" t="n">
        <f aca="false">SUM(E87:E96)</f>
        <v>-205734.6131776</v>
      </c>
      <c r="F99" s="206" t="n">
        <f aca="false">SUM(F87:F96)</f>
        <v>4063.36762760568</v>
      </c>
      <c r="G99" s="206" t="n">
        <f aca="false">SUM(G87:G96)</f>
        <v>4916.62843281071</v>
      </c>
      <c r="H99" s="206" t="n">
        <f aca="false">SUM(H87:H96)</f>
        <v>5769.88923801575</v>
      </c>
      <c r="I99" s="206" t="n">
        <f aca="false">SUM(I87:I96)</f>
        <v>6623.15004322148</v>
      </c>
      <c r="J99" s="206" t="n">
        <f aca="false">SUM(J87:J96)</f>
        <v>7476.41084842687</v>
      </c>
      <c r="K99" s="206" t="n">
        <f aca="false">SUM(K87:K96)</f>
        <v>8329.67165363196</v>
      </c>
      <c r="L99" s="206" t="n">
        <f aca="false">SUM(L87:L96)</f>
        <v>9182.93245883734</v>
      </c>
      <c r="M99" s="206" t="n">
        <f aca="false">SUM(M87:M96)</f>
        <v>10036.1932640426</v>
      </c>
      <c r="N99" s="206" t="n">
        <f aca="false">SUM(N87:N96)</f>
        <v>45777.4540692482</v>
      </c>
      <c r="O99" s="206" t="n">
        <f aca="false">SUM(O87:O96)</f>
        <v>15231.5148744534</v>
      </c>
      <c r="P99" s="206" t="n">
        <f aca="false">SUM(P87:P96)</f>
        <v>16084.7756796586</v>
      </c>
      <c r="Q99" s="206" t="n">
        <f aca="false">SUM(Q87:Q96)</f>
        <v>16938.0364848641</v>
      </c>
      <c r="R99" s="206" t="n">
        <f aca="false">SUM(R87:R96)</f>
        <v>17791.2972900694</v>
      </c>
      <c r="S99" s="206" t="n">
        <f aca="false">SUM(S87:S96)</f>
        <v>18644.5580952746</v>
      </c>
      <c r="T99" s="206" t="n">
        <f aca="false">SUM(T87:T96)</f>
        <v>50356.4343244799</v>
      </c>
      <c r="U99" s="206" t="n">
        <f aca="false">SUM(U87:U96)</f>
        <v>49706.1233387522</v>
      </c>
      <c r="V99" s="206" t="n">
        <f aca="false">SUM(V87:V96)</f>
        <v>49055.812353024</v>
      </c>
      <c r="W99" s="206" t="n">
        <f aca="false">SUM(W87:W96)</f>
        <v>48405.5013672963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1326294.1210368</v>
      </c>
      <c r="F100" s="206" t="n">
        <f aca="false">E101</f>
        <v>1120559.5078592</v>
      </c>
      <c r="G100" s="206" t="n">
        <f aca="false">F101</f>
        <v>1124622.87548681</v>
      </c>
      <c r="H100" s="206" t="n">
        <f aca="false">G101</f>
        <v>1129539.50391962</v>
      </c>
      <c r="I100" s="206" t="n">
        <f aca="false">H101</f>
        <v>1135309.39315763</v>
      </c>
      <c r="J100" s="206" t="n">
        <f aca="false">I101</f>
        <v>1141932.54320085</v>
      </c>
      <c r="K100" s="206" t="n">
        <f aca="false">J101</f>
        <v>1149408.95404928</v>
      </c>
      <c r="L100" s="206" t="n">
        <f aca="false">K101</f>
        <v>1157738.62570291</v>
      </c>
      <c r="M100" s="206" t="n">
        <f aca="false">L101</f>
        <v>1166921.55816175</v>
      </c>
      <c r="N100" s="206" t="n">
        <f aca="false">M101</f>
        <v>1176957.75142579</v>
      </c>
      <c r="O100" s="206" t="n">
        <f aca="false">N101</f>
        <v>1222735.20549504</v>
      </c>
      <c r="P100" s="206" t="n">
        <f aca="false">O101</f>
        <v>1237966.72036949</v>
      </c>
      <c r="Q100" s="206" t="n">
        <f aca="false">P101</f>
        <v>1254051.49604915</v>
      </c>
      <c r="R100" s="206" t="n">
        <f aca="false">Q101</f>
        <v>1270989.53253402</v>
      </c>
      <c r="S100" s="206" t="n">
        <f aca="false">R101</f>
        <v>1288780.82982409</v>
      </c>
      <c r="T100" s="206" t="n">
        <f aca="false">S101</f>
        <v>1307425.38791936</v>
      </c>
      <c r="U100" s="206" t="n">
        <f aca="false">T101</f>
        <v>1357781.82224384</v>
      </c>
      <c r="V100" s="206" t="n">
        <f aca="false">U101</f>
        <v>1407487.94558259</v>
      </c>
      <c r="W100" s="206" t="n">
        <f aca="false">V101</f>
        <v>1456543.75793562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1326294.1210368</v>
      </c>
      <c r="E101" s="206" t="n">
        <f aca="false">E99+E100</f>
        <v>1120559.5078592</v>
      </c>
      <c r="F101" s="206" t="n">
        <f aca="false">F99+F100</f>
        <v>1124622.87548681</v>
      </c>
      <c r="G101" s="206" t="n">
        <f aca="false">G99+G100</f>
        <v>1129539.50391962</v>
      </c>
      <c r="H101" s="206" t="n">
        <f aca="false">H99+H100</f>
        <v>1135309.39315763</v>
      </c>
      <c r="I101" s="206" t="n">
        <f aca="false">I99+I100</f>
        <v>1141932.54320085</v>
      </c>
      <c r="J101" s="206" t="n">
        <f aca="false">J99+J100</f>
        <v>1149408.95404928</v>
      </c>
      <c r="K101" s="206" t="n">
        <f aca="false">K99+K100</f>
        <v>1157738.62570291</v>
      </c>
      <c r="L101" s="206" t="n">
        <f aca="false">L99+L100</f>
        <v>1166921.55816175</v>
      </c>
      <c r="M101" s="206" t="n">
        <f aca="false">M99+M100</f>
        <v>1176957.75142579</v>
      </c>
      <c r="N101" s="206" t="n">
        <f aca="false">N99+N100</f>
        <v>1222735.20549504</v>
      </c>
      <c r="O101" s="206" t="n">
        <f aca="false">O99+O100</f>
        <v>1237966.72036949</v>
      </c>
      <c r="P101" s="206" t="n">
        <f aca="false">P99+P100</f>
        <v>1254051.49604915</v>
      </c>
      <c r="Q101" s="206" t="n">
        <f aca="false">Q99+Q100</f>
        <v>1270989.53253402</v>
      </c>
      <c r="R101" s="206" t="n">
        <f aca="false">R99+R100</f>
        <v>1288780.82982409</v>
      </c>
      <c r="S101" s="206" t="n">
        <f aca="false">S99+S100</f>
        <v>1307425.38791936</v>
      </c>
      <c r="T101" s="206" t="n">
        <f aca="false">T99+T100</f>
        <v>1357781.82224384</v>
      </c>
      <c r="U101" s="206" t="n">
        <f aca="false">U99+U100</f>
        <v>1407487.94558259</v>
      </c>
      <c r="V101" s="206" t="n">
        <f aca="false">V99+V100</f>
        <v>1456543.75793562</v>
      </c>
      <c r="W101" s="206" t="n">
        <f aca="false">W99+W100</f>
        <v>1504949.25930291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-2753660</v>
      </c>
      <c r="E104" s="209" t="n">
        <f aca="false">-E95-E96</f>
        <v>574091.20893312</v>
      </c>
      <c r="F104" s="209" t="n">
        <f aca="false">-F95-F96</f>
        <v>372825.836179968</v>
      </c>
      <c r="G104" s="209" t="n">
        <f aca="false">-G95-G96</f>
        <v>380505.183426816</v>
      </c>
      <c r="H104" s="209" t="n">
        <f aca="false">-H95-H96</f>
        <v>388184.530673664</v>
      </c>
      <c r="I104" s="209" t="n">
        <f aca="false">-I95-I96</f>
        <v>395863.877920512</v>
      </c>
      <c r="J104" s="209" t="n">
        <f aca="false">-J95-J96</f>
        <v>403543.22516736</v>
      </c>
      <c r="K104" s="209" t="n">
        <f aca="false">-K95-K96</f>
        <v>411222.572414208</v>
      </c>
      <c r="L104" s="209" t="n">
        <f aca="false">-L95-L96</f>
        <v>418901.919661056</v>
      </c>
      <c r="M104" s="209" t="n">
        <f aca="false">-M95-M96</f>
        <v>426581.266907904</v>
      </c>
      <c r="N104" s="209" t="n">
        <f aca="false">-N95-N96</f>
        <v>434260.614154752</v>
      </c>
      <c r="O104" s="209" t="n">
        <f aca="false">-O95-O96</f>
        <v>473339.1614016</v>
      </c>
      <c r="P104" s="209" t="n">
        <f aca="false">-P95-P96</f>
        <v>481018.508648448</v>
      </c>
      <c r="Q104" s="209" t="n">
        <f aca="false">-Q95-Q96</f>
        <v>488697.855895296</v>
      </c>
      <c r="R104" s="209" t="n">
        <f aca="false">-R95-R96</f>
        <v>496377.203142144</v>
      </c>
      <c r="S104" s="209" t="n">
        <f aca="false">-S95-S96</f>
        <v>504056.550388992</v>
      </c>
      <c r="T104" s="209" t="n">
        <f aca="false">-T95-T96</f>
        <v>1200150.89763584</v>
      </c>
      <c r="U104" s="209" t="n">
        <f aca="false">-U95-U96</f>
        <v>1194298.09876429</v>
      </c>
      <c r="V104" s="209" t="n">
        <f aca="false">-V95-V96</f>
        <v>1188445.29989274</v>
      </c>
      <c r="W104" s="209" t="n">
        <f aca="false">-W95-W96</f>
        <v>1182592.50102118</v>
      </c>
      <c r="X104" s="209" t="n">
        <f aca="false">-X95-X96</f>
        <v>1504949.25930291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0.166471144824646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-2115780.8789632</v>
      </c>
      <c r="E106" s="209" t="n">
        <f aca="false">E85</f>
        <v>414250.929088853</v>
      </c>
      <c r="F106" s="209" t="n">
        <f aca="false">F85-F96</f>
        <v>422783.537140907</v>
      </c>
      <c r="G106" s="209" t="n">
        <f aca="false">G85-G96</f>
        <v>431316.14519296</v>
      </c>
      <c r="H106" s="209" t="n">
        <f aca="false">H85-H96</f>
        <v>439848.753245013</v>
      </c>
      <c r="I106" s="209" t="n">
        <f aca="false">I85-I96</f>
        <v>448381.361297066</v>
      </c>
      <c r="J106" s="209" t="n">
        <f aca="false">J85-J96</f>
        <v>456913.96934912</v>
      </c>
      <c r="K106" s="209" t="n">
        <f aca="false">K85-K96</f>
        <v>465446.577401173</v>
      </c>
      <c r="L106" s="209" t="n">
        <f aca="false">L85-L96</f>
        <v>473979.185453226</v>
      </c>
      <c r="M106" s="209" t="n">
        <f aca="false">M85-M96</f>
        <v>482511.79350528</v>
      </c>
      <c r="N106" s="209" t="n">
        <f aca="false">N85-N96</f>
        <v>525932.401557333</v>
      </c>
      <c r="O106" s="209" t="n">
        <f aca="false">O85-O96</f>
        <v>534465.009609386</v>
      </c>
      <c r="P106" s="209" t="n">
        <f aca="false">P85-P96</f>
        <v>542997.61766144</v>
      </c>
      <c r="Q106" s="209" t="n">
        <f aca="false">Q85-Q96</f>
        <v>551530.225713493</v>
      </c>
      <c r="R106" s="209" t="n">
        <f aca="false">R85-R96</f>
        <v>560062.833765546</v>
      </c>
      <c r="S106" s="209" t="n">
        <f aca="false">S85-S96</f>
        <v>568595.4418176</v>
      </c>
      <c r="T106" s="209" t="n">
        <f aca="false">T85-T96</f>
        <v>1250507.33196032</v>
      </c>
      <c r="U106" s="209" t="n">
        <f aca="false">U85-U96</f>
        <v>1244004.22210304</v>
      </c>
      <c r="V106" s="209" t="n">
        <f aca="false">V85-V96</f>
        <v>1237501.11224576</v>
      </c>
      <c r="W106" s="209" t="n">
        <f aca="false">W85-W96</f>
        <v>1230998.00238848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0.218555242305599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11014640</v>
      </c>
      <c r="E109" s="206" t="n">
        <f aca="false">D109+E93</f>
        <v>10280330.6666667</v>
      </c>
      <c r="F109" s="206" t="n">
        <f aca="false">E109+F93</f>
        <v>9546021.33333333</v>
      </c>
      <c r="G109" s="206" t="n">
        <f aca="false">F109+G93</f>
        <v>8811712</v>
      </c>
      <c r="H109" s="206" t="n">
        <f aca="false">G109+H93</f>
        <v>8077402.66666667</v>
      </c>
      <c r="I109" s="206" t="n">
        <f aca="false">H109+I93</f>
        <v>7343093.33333333</v>
      </c>
      <c r="J109" s="206" t="n">
        <f aca="false">I109+J93</f>
        <v>6608784</v>
      </c>
      <c r="K109" s="206" t="n">
        <f aca="false">J109+K93</f>
        <v>5874474.66666667</v>
      </c>
      <c r="L109" s="206" t="n">
        <f aca="false">K109+L93</f>
        <v>5140165.33333334</v>
      </c>
      <c r="M109" s="206" t="n">
        <f aca="false">L109+M93</f>
        <v>4405856</v>
      </c>
      <c r="N109" s="206" t="n">
        <f aca="false">M109+N93</f>
        <v>3671546.66666667</v>
      </c>
      <c r="O109" s="206" t="n">
        <f aca="false">N109+O93</f>
        <v>2937237.33333334</v>
      </c>
      <c r="P109" s="206" t="n">
        <f aca="false">O109+P93</f>
        <v>2202928</v>
      </c>
      <c r="Q109" s="206" t="n">
        <f aca="false">P109+Q93</f>
        <v>1468618.66666667</v>
      </c>
      <c r="R109" s="206" t="n">
        <f aca="false">Q109+R93</f>
        <v>734309.333333335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2026-03-23T14:56:18Z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