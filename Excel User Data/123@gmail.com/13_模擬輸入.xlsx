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<sst xmlns="http://schemas.openxmlformats.org/spreadsheetml/2006/main" count="229" uniqueCount="143">
  <si>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</si>
  <si>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</si>
  <si>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</si>
  <si>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</si>
  <si>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</si>
  <si>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</si>
  <si>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</si>
  <si>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</si>
  <si>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</si>
  <si>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</si>
  <si>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</si>
  <si>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</si>
  <si>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</si>
  <si>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</si>
  <si>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</si>
  <si>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</si>
  <si>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</si>
  <si>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</si>
  <si>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</si>
  <si>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</si>
  <si>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</si>
  <si>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</si>
  <si>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</si>
  <si>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</si>
  <si>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</si>
  <si>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</si>
  <si>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</si>
  <si>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</si>
  <si>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</si>
  <si>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</si>
  <si>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</si>
  <si>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</si>
  <si>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</si>
  <si>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</si>
  <si>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</si>
  <si>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</si>
  <si>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</si>
  <si>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</si>
  <si>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</si>
  <si>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</si>
  <si>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</si>
  <si>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</si>
  <si>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</si>
  <si>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</si>
  <si>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</si>
  <si>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</si>
  <si>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</si>
  <si>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</si>
  <si>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</si>
  <si>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</si>
  <si>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</si>
  <si>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</si>
  <si>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</si>
  <si>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</si>
  <si>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</si>
  <si>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</si>
  <si>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</si>
  <si>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</si>
  <si>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</si>
  <si>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</si>
  <si>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</si>
  <si>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</si>
  <si>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</si>
  <si>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</si>
  <si>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</si>
  <si>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</si>
  <si>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</si>
  <si>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</si>
  <si>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</si>
  <si>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</si>
  <si>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</si>
  <si>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</si>
  <si>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</si>
  <si>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</si>
  <si>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</si>
  <si>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</si>
  <si>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</si>
  <si>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</si>
  <si>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</si>
  <si>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</si>
  <si>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</si>
  <si>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</si>
  <si>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</si>
  <si>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</si>
  <si>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</si>
  <si>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</si>
  <si>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</si>
  <si>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</si>
  <si>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</si>
  <si>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</si>
  <si>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</si>
  <si>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</si>
  <si>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</si>
  <si>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</si>
  <si>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</si>
  <si>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</si>
  <si>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</si>
  <si>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</si>
  <si>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</si>
  <si>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</si>
  <si>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淡江大學-財務模擬案場</t>
  </si>
  <si>
    <t xml:space="preserve">情境編號: 1</t>
  </si>
  <si>
    <t xml:space="preserve">初始價金摘要</t>
  </si>
  <si>
    <t xml:space="preserve">價金: 35000</t>
  </si>
  <si>
    <t xml:space="preserve">專案IRR: 1.73</t>
  </si>
  <si>
    <t xml:space="preserve">權益法IRR: 1.75</t>
  </si>
  <si>
    <t xml:space="preserve">利潤率: 30.00%</t>
  </si>
  <si>
    <t xml:space="preserve">初始價金 - 現金模式，每次減少 2000 元</t>
  </si>
  <si>
    <t xml:space="preserve">情境編號: 2</t>
  </si>
  <si>
    <t xml:space="preserve">第1次滾算摘要</t>
  </si>
  <si>
    <t xml:space="preserve">價金: 33000</t>
  </si>
  <si>
    <t xml:space="preserve">專案IRR: 2.24</t>
  </si>
  <si>
    <t xml:space="preserve">權益法IRR: 3.29</t>
  </si>
  <si>
    <t xml:space="preserve">情境編號: 3</t>
  </si>
  <si>
    <t xml:space="preserve">第2次滾算摘要</t>
  </si>
  <si>
    <t xml:space="preserve">價金: 31000</t>
  </si>
  <si>
    <t xml:space="preserve">專案IRR: 2.8</t>
  </si>
  <si>
    <t xml:space="preserve">權益法IRR: 5.06</t>
  </si>
  <si>
    <t xml:space="preserve">情境編號: 4</t>
  </si>
  <si>
    <t xml:space="preserve">第3次滾算摘要</t>
  </si>
  <si>
    <t xml:space="preserve">價金: 29000</t>
  </si>
  <si>
    <t xml:space="preserve">專案IRR: 3.41</t>
  </si>
  <si>
    <t xml:space="preserve">權益法IRR: 7.11</t>
  </si>
  <si>
    <t xml:space="preserve">情境編號: 5</t>
  </si>
  <si>
    <t xml:space="preserve">第4次滾算摘要</t>
  </si>
  <si>
    <t xml:space="preserve">價金: 27000</t>
  </si>
  <si>
    <t xml:space="preserve">專案IRR: 4.09</t>
  </si>
  <si>
    <t xml:space="preserve">權益法IRR: 9.53</t>
  </si>
  <si>
    <t xml:space="preserve">情境編號: 6</t>
  </si>
  <si>
    <t xml:space="preserve">第5次滾算摘要</t>
  </si>
  <si>
    <t xml:space="preserve">價金: 25000</t>
  </si>
  <si>
    <t xml:space="preserve">專案IRR: 4.85</t>
  </si>
  <si>
    <t xml:space="preserve">權益法IRR: 12.47</t>
  </si>
  <si>
    <t xml:space="preserve">情境編號: 7</t>
  </si>
  <si>
    <t xml:space="preserve">第6次滾算摘要</t>
  </si>
  <si>
    <t xml:space="preserve">價金: 23000</t>
  </si>
  <si>
    <t xml:space="preserve">專案IRR: 5.7</t>
  </si>
  <si>
    <t xml:space="preserve">權益法IRR: 16.16</t>
  </si>
  <si>
    <t xml:space="preserve">情境編號: 8</t>
  </si>
  <si>
    <t xml:space="preserve">第7次滾算摘要</t>
  </si>
  <si>
    <t xml:space="preserve">價金: 21000</t>
  </si>
  <si>
    <t xml:space="preserve">專案IRR: 6.68</t>
  </si>
  <si>
    <t xml:space="preserve">權益法IRR: 20.96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</si>
</sst>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</numFmts>
  <fonts count="28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CCFFFF"/>
      </patternFill>
    </fill>
    <fill>
      <patternFill patternType="solid">
        <fgColor theme="5" tint="0.3999"/>
        <bgColor rgb="FFFFCCCC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C6C6C6"/>
      </patternFill>
    </fill>
    <fill>
      <patternFill patternType="solid">
        <fgColor rgb="FF9BC2E6"/>
        <bgColor rgb="FFC6C6C6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9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4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6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6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6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6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6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6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6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6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6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6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6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1" t="n">
        <v>2020</v>
      </c>
      <c r="C5" s="10" t="s">
        <v>7</v>
      </c>
      <c r="D5" s="10" t="n">
        <v>2039</v>
      </c>
    </row>
    <row r="6" customFormat="false" ht="20.25" hidden="false" customHeight="true" outlineLevel="0" collapsed="false">
      <c r="A6" s="12"/>
      <c r="B6" s="12"/>
      <c r="C6" s="12"/>
      <c r="D6" s="12"/>
    </row>
    <row r="7" customFormat="false" ht="22.5" hidden="false" customHeight="true" outlineLevel="0" collapsed="false">
      <c r="A7" s="13" t="s">
        <v>8</v>
      </c>
      <c r="B7" s="13"/>
      <c r="C7" s="13"/>
      <c r="D7" s="13"/>
    </row>
    <row r="8" customFormat="false" ht="22.5" hidden="false" customHeight="true" outlineLevel="0" collapsed="false">
      <c r="A8" s="14" t="s">
        <v>9</v>
      </c>
      <c r="B8" s="14"/>
      <c r="C8" s="14"/>
      <c r="D8" s="14"/>
    </row>
    <row r="9" customFormat="false" ht="22.5" hidden="false" customHeight="true" outlineLevel="0" collapsed="false">
      <c r="A9" s="15" t="s">
        <v>10</v>
      </c>
      <c r="B9" s="16" t="s">
        <v>11</v>
      </c>
      <c r="C9" s="16" t="s">
        <v>12</v>
      </c>
      <c r="D9" s="17" t="s">
        <v>13</v>
      </c>
    </row>
    <row r="10" customFormat="false" ht="21.75" hidden="false" customHeight="true" outlineLevel="0" collapsed="false">
      <c r="A10" s="18" t="s">
        <v>14</v>
      </c>
      <c r="B10" s="19" t="s">
        <v>15</v>
      </c>
      <c r="C10" s="19" t="n">
        <v>547002</v>
      </c>
      <c r="D10" s="18" t="n">
        <v>20</v>
      </c>
    </row>
    <row r="11" customFormat="false" ht="21.75" hidden="false" customHeight="true" outlineLevel="0" collapsed="false">
      <c r="A11" s="18"/>
      <c r="B11" s="10" t="s">
        <v>16</v>
      </c>
      <c r="C11" s="20" t="n">
        <v>0.01</v>
      </c>
      <c r="D11" s="18"/>
    </row>
    <row r="12" customFormat="false" ht="21.75" hidden="false" customHeight="true" outlineLevel="0" collapsed="false">
      <c r="A12" s="18"/>
      <c r="B12" s="10" t="s">
        <v>17</v>
      </c>
      <c r="C12" s="21" t="n">
        <v>0.004</v>
      </c>
      <c r="D12" s="18"/>
    </row>
    <row r="13" customFormat="false" ht="22.5" hidden="false" customHeight="true" outlineLevel="0" collapsed="false">
      <c r="A13" s="18"/>
      <c r="B13" s="22" t="s">
        <v>18</v>
      </c>
      <c r="C13" s="22" t="n">
        <v>3.7152</v>
      </c>
      <c r="D13" s="18"/>
    </row>
    <row r="14" customFormat="false" ht="22.5" hidden="false" customHeight="true" outlineLevel="0" collapsed="false">
      <c r="A14" s="23" t="s">
        <v>19</v>
      </c>
      <c r="B14" s="23"/>
      <c r="C14" s="23"/>
      <c r="D14" s="23"/>
    </row>
    <row r="15" customFormat="false" ht="22.5" hidden="false" customHeight="true" outlineLevel="0" collapsed="false">
      <c r="A15" s="15" t="s">
        <v>10</v>
      </c>
      <c r="B15" s="16" t="s">
        <v>11</v>
      </c>
      <c r="C15" s="16" t="s">
        <v>12</v>
      </c>
      <c r="D15" s="24" t="s">
        <v>20</v>
      </c>
    </row>
    <row r="16" customFormat="false" ht="21.75" hidden="false" customHeight="true" outlineLevel="0" collapsed="false">
      <c r="A16" s="19" t="s">
        <v>21</v>
      </c>
      <c r="B16" s="25" t="s">
        <v>22</v>
      </c>
      <c r="C16" s="19" t="n">
        <v>35000</v>
      </c>
      <c r="D16" s="6" t="n">
        <v>20</v>
      </c>
    </row>
    <row r="17" customFormat="false" ht="21.75" hidden="false" customHeight="true" outlineLevel="0" collapsed="false">
      <c r="A17" s="19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9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6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7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8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9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2"/>
      <c r="B27" s="12"/>
      <c r="C27" s="12"/>
      <c r="D27" s="12"/>
    </row>
    <row r="28" customFormat="false" ht="20.25" hidden="false" customHeight="true" outlineLevel="0" collapsed="false">
      <c r="A28" s="12"/>
      <c r="B28" s="12"/>
      <c r="C28" s="12"/>
      <c r="D28" s="12"/>
    </row>
    <row r="29" customFormat="false" ht="22.5" hidden="false" customHeight="true" outlineLevel="0" collapsed="false">
      <c r="A29" s="13" t="s">
        <v>39</v>
      </c>
      <c r="B29" s="13"/>
      <c r="C29" s="13"/>
      <c r="D29" s="12"/>
    </row>
    <row r="30" customFormat="false" ht="22.5" hidden="false" customHeight="true" outlineLevel="0" collapsed="false">
      <c r="A30" s="15" t="s">
        <v>40</v>
      </c>
      <c r="B30" s="30" t="s">
        <v>11</v>
      </c>
      <c r="C30" s="31" t="s">
        <v>12</v>
      </c>
      <c r="D30" s="12"/>
    </row>
    <row r="31" customFormat="false" ht="18.75" hidden="false" customHeight="true" outlineLevel="0" collapsed="false">
      <c r="A31" s="25" t="s">
        <v>41</v>
      </c>
      <c r="B31" s="4" t="s">
        <v>42</v>
      </c>
      <c r="C31" s="32" t="n">
        <v>0.8</v>
      </c>
      <c r="D31" s="12"/>
    </row>
    <row r="32" customFormat="false" ht="18.75" hidden="false" customHeight="true" outlineLevel="0" collapsed="false">
      <c r="A32" s="19" t="s">
        <v>43</v>
      </c>
      <c r="B32" s="5" t="s">
        <v>44</v>
      </c>
      <c r="C32" s="5" t="n">
        <v>15</v>
      </c>
      <c r="D32" s="12"/>
    </row>
    <row r="33" customFormat="false" ht="18.75" hidden="false" customHeight="true" outlineLevel="0" collapsed="false">
      <c r="A33" s="10" t="s">
        <v>45</v>
      </c>
      <c r="B33" s="33" t="s">
        <v>46</v>
      </c>
      <c r="C33" s="33" t="n">
        <v>0.9</v>
      </c>
      <c r="D33" s="12"/>
    </row>
    <row r="34" customFormat="false" ht="18.75" hidden="false" customHeight="true" outlineLevel="0" collapsed="false">
      <c r="A34" s="10" t="s">
        <v>47</v>
      </c>
      <c r="B34" s="33" t="s">
        <v>44</v>
      </c>
      <c r="C34" s="33" t="n">
        <v>4</v>
      </c>
      <c r="D34" s="12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4"/>
      <c r="B37" s="35" t="s">
        <v>48</v>
      </c>
      <c r="C37" s="35" t="n">
        <v>2020</v>
      </c>
      <c r="D37" s="35" t="n">
        <v>2021</v>
      </c>
      <c r="E37" s="35" t="n">
        <v>2022</v>
      </c>
      <c r="F37" s="35" t="n">
        <v>2023</v>
      </c>
      <c r="G37" s="35" t="n">
        <v>2024</v>
      </c>
      <c r="H37" s="35" t="n">
        <v>2025</v>
      </c>
      <c r="I37" s="35" t="n">
        <v>2026</v>
      </c>
      <c r="J37" s="35" t="n">
        <v>2027</v>
      </c>
      <c r="K37" s="35" t="n">
        <v>2028</v>
      </c>
      <c r="L37" s="35" t="n">
        <v>2029</v>
      </c>
      <c r="M37" s="35" t="n">
        <v>2030</v>
      </c>
      <c r="N37" s="35" t="n">
        <v>2031</v>
      </c>
      <c r="O37" s="35" t="n">
        <v>2032</v>
      </c>
      <c r="P37" s="35" t="n">
        <v>2033</v>
      </c>
      <c r="Q37" s="35" t="n">
        <v>2034</v>
      </c>
      <c r="R37" s="35" t="n">
        <v>2035</v>
      </c>
      <c r="S37" s="35" t="n">
        <v>2036</v>
      </c>
      <c r="T37" s="35" t="n">
        <v>2037</v>
      </c>
      <c r="U37" s="35" t="n">
        <v>2038</v>
      </c>
      <c r="V37" s="35" t="n">
        <v>2039</v>
      </c>
      <c r="W37" s="36"/>
    </row>
    <row r="38" customFormat="false" ht="18.75" hidden="false" customHeight="true" outlineLevel="0" collapsed="false">
      <c r="A38" s="37" t="n">
        <v>0</v>
      </c>
      <c r="B38" s="38"/>
      <c r="C38" s="39"/>
      <c r="D38" s="39"/>
      <c r="E38" s="40" t="s">
        <v>49</v>
      </c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2" t="s">
        <v>50</v>
      </c>
      <c r="T38" s="41"/>
      <c r="U38" s="41"/>
      <c r="V38" s="41"/>
      <c r="W38" s="43"/>
    </row>
    <row r="39" customFormat="false" ht="18.75" hidden="false" customHeight="true" outlineLevel="0" collapsed="false">
      <c r="A39" s="44" t="s">
        <v>51</v>
      </c>
      <c r="B39" s="45" t="n">
        <v>0</v>
      </c>
      <c r="C39" s="46" t="n">
        <v>1</v>
      </c>
      <c r="D39" s="46" t="n">
        <v>2</v>
      </c>
      <c r="E39" s="46" t="n">
        <v>3</v>
      </c>
      <c r="F39" s="46" t="n">
        <v>4</v>
      </c>
      <c r="G39" s="46" t="n">
        <v>5</v>
      </c>
      <c r="H39" s="46" t="n">
        <v>6</v>
      </c>
      <c r="I39" s="46" t="n">
        <v>7</v>
      </c>
      <c r="J39" s="46" t="n">
        <v>8</v>
      </c>
      <c r="K39" s="46" t="n">
        <v>9</v>
      </c>
      <c r="L39" s="46" t="n">
        <v>10</v>
      </c>
      <c r="M39" s="46" t="n">
        <v>11</v>
      </c>
      <c r="N39" s="46" t="n">
        <v>12</v>
      </c>
      <c r="O39" s="46" t="n">
        <v>13</v>
      </c>
      <c r="P39" s="46" t="n">
        <v>14</v>
      </c>
      <c r="Q39" s="46" t="n">
        <v>15</v>
      </c>
      <c r="R39" s="46" t="n">
        <v>16</v>
      </c>
      <c r="S39" s="47" t="n">
        <v>17</v>
      </c>
      <c r="T39" s="46" t="n">
        <v>18</v>
      </c>
      <c r="U39" s="46" t="n">
        <v>19</v>
      </c>
      <c r="V39" s="46" t="n">
        <v>20</v>
      </c>
      <c r="W39" s="48"/>
    </row>
    <row r="40" customFormat="false" ht="18.75" hidden="false" customHeight="true" outlineLevel="0" collapsed="false">
      <c r="A40" s="49" t="s">
        <v>52</v>
      </c>
      <c r="B40" s="45" t="n">
        <v>0</v>
      </c>
      <c r="C40" s="46" t="e">
        <f aca="false">#REF!</f>
        <v>#REF!</v>
      </c>
      <c r="D40" s="46" t="e">
        <f aca="false">#REF!</f>
        <v>#REF!</v>
      </c>
      <c r="E40" s="46" t="e">
        <f aca="false">#REF!</f>
        <v>#REF!</v>
      </c>
      <c r="F40" s="46" t="e">
        <f aca="false">#REF!</f>
        <v>#REF!</v>
      </c>
      <c r="G40" s="46" t="e">
        <f aca="false">#REF!</f>
        <v>#REF!</v>
      </c>
      <c r="H40" s="46" t="e">
        <f aca="false">#REF!</f>
        <v>#REF!</v>
      </c>
      <c r="I40" s="46" t="e">
        <f aca="false">#REF!</f>
        <v>#REF!</v>
      </c>
      <c r="J40" s="46" t="e">
        <f aca="false">#REF!</f>
        <v>#REF!</v>
      </c>
      <c r="K40" s="46" t="e">
        <f aca="false">#REF!</f>
        <v>#REF!</v>
      </c>
      <c r="L40" s="46" t="e">
        <f aca="false">#REF!</f>
        <v>#REF!</v>
      </c>
      <c r="M40" s="46" t="e">
        <f aca="false">#REF!</f>
        <v>#REF!</v>
      </c>
      <c r="N40" s="46" t="e">
        <f aca="false">#REF!</f>
        <v>#REF!</v>
      </c>
      <c r="O40" s="46" t="e">
        <f aca="false">#REF!</f>
        <v>#REF!</v>
      </c>
      <c r="P40" s="46" t="e">
        <f aca="false">#REF!</f>
        <v>#REF!</v>
      </c>
      <c r="Q40" s="46" t="e">
        <f aca="false">#REF!</f>
        <v>#REF!</v>
      </c>
      <c r="R40" s="46" t="e">
        <f aca="false">#REF!</f>
        <v>#REF!</v>
      </c>
      <c r="S40" s="46" t="e">
        <f aca="false">#REF!</f>
        <v>#REF!</v>
      </c>
      <c r="T40" s="46" t="e">
        <f aca="false">#REF!</f>
        <v>#REF!</v>
      </c>
      <c r="U40" s="46" t="e">
        <f aca="false">#REF!</f>
        <v>#REF!</v>
      </c>
      <c r="V40" s="46" t="e">
        <f aca="false">#REF!</f>
        <v>#REF!</v>
      </c>
      <c r="W40" s="50"/>
    </row>
    <row r="41" customFormat="false" ht="18.75" hidden="false" customHeight="true" outlineLevel="0" collapsed="false">
      <c r="A41" s="51" t="s">
        <v>53</v>
      </c>
      <c r="B41" s="52" t="s">
        <v>3</v>
      </c>
      <c r="C41" s="53" t="e">
        <f aca="false">#REF!</f>
        <v>#REF!</v>
      </c>
      <c r="D41" s="53" t="e">
        <f aca="false">#REF!</f>
        <v>#REF!</v>
      </c>
      <c r="E41" s="53" t="e">
        <f aca="false">#REF!</f>
        <v>#REF!</v>
      </c>
      <c r="F41" s="53" t="e">
        <f aca="false">#REF!</f>
        <v>#REF!</v>
      </c>
      <c r="G41" s="53" t="e">
        <f aca="false">#REF!</f>
        <v>#REF!</v>
      </c>
      <c r="H41" s="53" t="e">
        <f aca="false">#REF!</f>
        <v>#REF!</v>
      </c>
      <c r="I41" s="53" t="e">
        <f aca="false">#REF!</f>
        <v>#REF!</v>
      </c>
      <c r="J41" s="53" t="e">
        <f aca="false">#REF!</f>
        <v>#REF!</v>
      </c>
      <c r="K41" s="53" t="e">
        <f aca="false">#REF!</f>
        <v>#REF!</v>
      </c>
      <c r="L41" s="53" t="e">
        <f aca="false">#REF!</f>
        <v>#REF!</v>
      </c>
      <c r="M41" s="53" t="e">
        <f aca="false">#REF!</f>
        <v>#REF!</v>
      </c>
      <c r="N41" s="53" t="e">
        <f aca="false">#REF!</f>
        <v>#REF!</v>
      </c>
      <c r="O41" s="53" t="e">
        <f aca="false">#REF!</f>
        <v>#REF!</v>
      </c>
      <c r="P41" s="53" t="e">
        <f aca="false">#REF!</f>
        <v>#REF!</v>
      </c>
      <c r="Q41" s="53" t="e">
        <f aca="false">#REF!</f>
        <v>#REF!</v>
      </c>
      <c r="R41" s="53" t="e">
        <f aca="false">#REF!</f>
        <v>#REF!</v>
      </c>
      <c r="S41" s="53" t="e">
        <f aca="false">#REF!</f>
        <v>#REF!</v>
      </c>
      <c r="T41" s="53" t="e">
        <f aca="false">#REF!</f>
        <v>#REF!</v>
      </c>
      <c r="U41" s="53" t="e">
        <f aca="false">#REF!</f>
        <v>#REF!</v>
      </c>
      <c r="V41" s="53" t="e">
        <f aca="false">#REF!</f>
        <v>#REF!</v>
      </c>
      <c r="W41" s="54"/>
    </row>
    <row r="42" customFormat="false" ht="18.75" hidden="false" customHeight="true" outlineLevel="0" collapsed="false">
      <c r="A42" s="55" t="s">
        <v>54</v>
      </c>
      <c r="B42" s="45" t="s">
        <v>3</v>
      </c>
      <c r="C42" s="46"/>
      <c r="D42" s="46"/>
      <c r="E42" s="46" t="n">
        <v>0</v>
      </c>
      <c r="F42" s="46" t="s">
        <v>3</v>
      </c>
      <c r="G42" s="46" t="s">
        <v>3</v>
      </c>
      <c r="H42" s="46" t="s">
        <v>3</v>
      </c>
      <c r="I42" s="46" t="s">
        <v>3</v>
      </c>
      <c r="J42" s="46" t="s">
        <v>3</v>
      </c>
      <c r="K42" s="46" t="s">
        <v>3</v>
      </c>
      <c r="L42" s="46" t="s">
        <v>3</v>
      </c>
      <c r="M42" s="46" t="s">
        <v>3</v>
      </c>
      <c r="N42" s="46" t="s">
        <v>3</v>
      </c>
      <c r="O42" s="46" t="s">
        <v>3</v>
      </c>
      <c r="P42" s="46" t="s">
        <v>3</v>
      </c>
      <c r="Q42" s="46" t="s">
        <v>3</v>
      </c>
      <c r="R42" s="46" t="s">
        <v>3</v>
      </c>
      <c r="S42" s="46" t="s">
        <v>3</v>
      </c>
      <c r="T42" s="46" t="s">
        <v>3</v>
      </c>
      <c r="U42" s="46" t="s">
        <v>3</v>
      </c>
      <c r="V42" s="46" t="s">
        <v>3</v>
      </c>
      <c r="W42" s="56"/>
    </row>
    <row r="43" customFormat="false" ht="18.75" hidden="false" customHeight="true" outlineLevel="0" collapsed="false">
      <c r="A43" s="57" t="s">
        <v>55</v>
      </c>
      <c r="B43" s="58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60"/>
    </row>
    <row r="44" customFormat="false" ht="18.75" hidden="false" customHeight="true" outlineLevel="0" collapsed="false">
      <c r="A44" s="61" t="s">
        <v>56</v>
      </c>
      <c r="B44" s="45" t="e">
        <f aca="false">-#REF!</f>
        <v>#REF!</v>
      </c>
      <c r="C44" s="62"/>
      <c r="D44" s="46"/>
      <c r="E44" s="46" t="s">
        <v>3</v>
      </c>
      <c r="F44" s="46" t="s">
        <v>3</v>
      </c>
      <c r="G44" s="46" t="s">
        <v>3</v>
      </c>
      <c r="H44" s="46" t="s">
        <v>3</v>
      </c>
      <c r="I44" s="46" t="s">
        <v>3</v>
      </c>
      <c r="J44" s="46" t="s">
        <v>3</v>
      </c>
      <c r="K44" s="46" t="s">
        <v>3</v>
      </c>
      <c r="L44" s="46" t="s">
        <v>3</v>
      </c>
      <c r="M44" s="46" t="s">
        <v>3</v>
      </c>
      <c r="N44" s="46" t="s">
        <v>3</v>
      </c>
      <c r="O44" s="46" t="s">
        <v>3</v>
      </c>
      <c r="P44" s="46" t="s">
        <v>3</v>
      </c>
      <c r="Q44" s="46" t="s">
        <v>3</v>
      </c>
      <c r="R44" s="46" t="s">
        <v>3</v>
      </c>
      <c r="S44" s="46" t="s">
        <v>3</v>
      </c>
      <c r="T44" s="46" t="s">
        <v>3</v>
      </c>
      <c r="U44" s="46" t="s">
        <v>3</v>
      </c>
      <c r="V44" s="46" t="s">
        <v>3</v>
      </c>
      <c r="W44" s="56"/>
    </row>
    <row r="45" customFormat="false" ht="18.75" hidden="false" customHeight="true" outlineLevel="0" collapsed="false">
      <c r="A45" s="61" t="s">
        <v>57</v>
      </c>
      <c r="B45" s="45" t="s">
        <v>3</v>
      </c>
      <c r="C45" s="46" t="e">
        <f aca="false">-#REF!</f>
        <v>#REF!</v>
      </c>
      <c r="D45" s="46" t="e">
        <f aca="false">-#REF!</f>
        <v>#REF!</v>
      </c>
      <c r="E45" s="46" t="e">
        <f aca="false">-#REF!</f>
        <v>#REF!</v>
      </c>
      <c r="F45" s="46" t="e">
        <f aca="false">-#REF!</f>
        <v>#REF!</v>
      </c>
      <c r="G45" s="46" t="e">
        <f aca="false">-#REF!</f>
        <v>#REF!</v>
      </c>
      <c r="H45" s="46" t="e">
        <f aca="false">-#REF!</f>
        <v>#REF!</v>
      </c>
      <c r="I45" s="46" t="e">
        <f aca="false">-#REF!</f>
        <v>#REF!</v>
      </c>
      <c r="J45" s="46" t="e">
        <f aca="false">-#REF!</f>
        <v>#REF!</v>
      </c>
      <c r="K45" s="46" t="e">
        <f aca="false">-#REF!</f>
        <v>#REF!</v>
      </c>
      <c r="L45" s="46" t="e">
        <f aca="false">-#REF!</f>
        <v>#REF!</v>
      </c>
      <c r="M45" s="46" t="e">
        <f aca="false">-#REF!</f>
        <v>#REF!</v>
      </c>
      <c r="N45" s="46" t="e">
        <f aca="false">-#REF!</f>
        <v>#REF!</v>
      </c>
      <c r="O45" s="46" t="e">
        <f aca="false">-#REF!</f>
        <v>#REF!</v>
      </c>
      <c r="P45" s="46" t="e">
        <f aca="false">-#REF!</f>
        <v>#REF!</v>
      </c>
      <c r="Q45" s="46" t="e">
        <f aca="false">-#REF!</f>
        <v>#REF!</v>
      </c>
      <c r="R45" s="46" t="e">
        <f aca="false">-#REF!</f>
        <v>#REF!</v>
      </c>
      <c r="S45" s="46" t="e">
        <f aca="false">-#REF!</f>
        <v>#REF!</v>
      </c>
      <c r="T45" s="46" t="e">
        <f aca="false">-#REF!</f>
        <v>#REF!</v>
      </c>
      <c r="U45" s="46" t="e">
        <f aca="false">-#REF!</f>
        <v>#REF!</v>
      </c>
      <c r="V45" s="46" t="e">
        <f aca="false">-#REF!</f>
        <v>#REF!</v>
      </c>
      <c r="W45" s="56"/>
    </row>
    <row r="46" customFormat="false" ht="18.75" hidden="false" customHeight="true" outlineLevel="0" collapsed="false">
      <c r="A46" s="61" t="s">
        <v>58</v>
      </c>
      <c r="B46" s="45" t="n">
        <v>0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 t="n">
        <v>0</v>
      </c>
      <c r="V46" s="46" t="n">
        <v>0</v>
      </c>
      <c r="W46" s="56"/>
    </row>
    <row r="47" customFormat="false" ht="18.75" hidden="false" customHeight="true" outlineLevel="0" collapsed="false">
      <c r="A47" s="61" t="s">
        <v>59</v>
      </c>
      <c r="B47" s="45" t="s">
        <v>3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56"/>
    </row>
    <row r="48" customFormat="false" ht="18.75" hidden="false" customHeight="true" outlineLevel="0" collapsed="false">
      <c r="A48" s="61" t="s">
        <v>60</v>
      </c>
      <c r="B48" s="45" t="s">
        <v>3</v>
      </c>
      <c r="C48" s="46" t="e">
        <f aca="false">-#REF!</f>
        <v>#REF!</v>
      </c>
      <c r="D48" s="46" t="e">
        <f aca="false">-#REF!</f>
        <v>#REF!</v>
      </c>
      <c r="E48" s="46" t="e">
        <f aca="false">-#REF!</f>
        <v>#REF!</v>
      </c>
      <c r="F48" s="46" t="e">
        <f aca="false">-#REF!</f>
        <v>#REF!</v>
      </c>
      <c r="G48" s="46" t="e">
        <f aca="false">-#REF!</f>
        <v>#REF!</v>
      </c>
      <c r="H48" s="46" t="e">
        <f aca="false">-#REF!</f>
        <v>#REF!</v>
      </c>
      <c r="I48" s="46" t="e">
        <f aca="false">-#REF!</f>
        <v>#REF!</v>
      </c>
      <c r="J48" s="46" t="e">
        <f aca="false">-#REF!</f>
        <v>#REF!</v>
      </c>
      <c r="K48" s="46" t="e">
        <f aca="false">-#REF!</f>
        <v>#REF!</v>
      </c>
      <c r="L48" s="46" t="e">
        <f aca="false">-#REF!</f>
        <v>#REF!</v>
      </c>
      <c r="M48" s="46" t="e">
        <f aca="false">-#REF!</f>
        <v>#REF!</v>
      </c>
      <c r="N48" s="46" t="e">
        <f aca="false">-#REF!</f>
        <v>#REF!</v>
      </c>
      <c r="O48" s="46" t="e">
        <f aca="false">-#REF!</f>
        <v>#REF!</v>
      </c>
      <c r="P48" s="46" t="e">
        <f aca="false">-#REF!</f>
        <v>#REF!</v>
      </c>
      <c r="Q48" s="46" t="e">
        <f aca="false">-#REF!</f>
        <v>#REF!</v>
      </c>
      <c r="R48" s="46" t="e">
        <f aca="false">-#REF!</f>
        <v>#REF!</v>
      </c>
      <c r="S48" s="46" t="e">
        <f aca="false">-#REF!</f>
        <v>#REF!</v>
      </c>
      <c r="T48" s="46" t="e">
        <f aca="false">-#REF!</f>
        <v>#REF!</v>
      </c>
      <c r="U48" s="46" t="e">
        <f aca="false">-#REF!</f>
        <v>#REF!</v>
      </c>
      <c r="V48" s="46" t="e">
        <f aca="false">-#REF!</f>
        <v>#REF!</v>
      </c>
      <c r="W48" s="56"/>
    </row>
    <row r="49" customFormat="false" ht="18.75" hidden="false" customHeight="true" outlineLevel="0" collapsed="false">
      <c r="A49" s="61" t="s">
        <v>61</v>
      </c>
      <c r="B49" s="45" t="s">
        <v>3</v>
      </c>
      <c r="C49" s="46" t="e">
        <f aca="false">-#REF!</f>
        <v>#REF!</v>
      </c>
      <c r="D49" s="46" t="e">
        <f aca="false">-#REF!</f>
        <v>#REF!</v>
      </c>
      <c r="E49" s="46" t="e">
        <f aca="false">-#REF!</f>
        <v>#REF!</v>
      </c>
      <c r="F49" s="46" t="e">
        <f aca="false">-#REF!</f>
        <v>#REF!</v>
      </c>
      <c r="G49" s="46" t="e">
        <f aca="false">-#REF!</f>
        <v>#REF!</v>
      </c>
      <c r="H49" s="46" t="e">
        <f aca="false">-#REF!</f>
        <v>#REF!</v>
      </c>
      <c r="I49" s="46" t="e">
        <f aca="false">-#REF!</f>
        <v>#REF!</v>
      </c>
      <c r="J49" s="46" t="e">
        <f aca="false">-#REF!</f>
        <v>#REF!</v>
      </c>
      <c r="K49" s="46" t="e">
        <f aca="false">-#REF!</f>
        <v>#REF!</v>
      </c>
      <c r="L49" s="46" t="e">
        <f aca="false">-#REF!</f>
        <v>#REF!</v>
      </c>
      <c r="M49" s="46" t="e">
        <f aca="false">-#REF!</f>
        <v>#REF!</v>
      </c>
      <c r="N49" s="46" t="e">
        <f aca="false">-#REF!</f>
        <v>#REF!</v>
      </c>
      <c r="O49" s="46" t="e">
        <f aca="false">-#REF!</f>
        <v>#REF!</v>
      </c>
      <c r="P49" s="46" t="e">
        <f aca="false">-#REF!</f>
        <v>#REF!</v>
      </c>
      <c r="Q49" s="46" t="e">
        <f aca="false">-#REF!</f>
        <v>#REF!</v>
      </c>
      <c r="R49" s="46" t="e">
        <f aca="false">-#REF!</f>
        <v>#REF!</v>
      </c>
      <c r="S49" s="46" t="e">
        <f aca="false">-#REF!</f>
        <v>#REF!</v>
      </c>
      <c r="T49" s="46" t="e">
        <f aca="false">-#REF!</f>
        <v>#REF!</v>
      </c>
      <c r="U49" s="46" t="e">
        <f aca="false">-#REF!</f>
        <v>#REF!</v>
      </c>
      <c r="V49" s="46" t="e">
        <f aca="false">-#REF!</f>
        <v>#REF!</v>
      </c>
      <c r="W49" s="56"/>
    </row>
    <row r="50" customFormat="false" ht="18.75" hidden="false" customHeight="true" outlineLevel="0" collapsed="false">
      <c r="A50" s="61" t="s">
        <v>62</v>
      </c>
      <c r="B50" s="45"/>
      <c r="C50" s="46" t="e">
        <f aca="false">-#REF!</f>
        <v>#REF!</v>
      </c>
      <c r="D50" s="46" t="e">
        <f aca="false">-#REF!</f>
        <v>#REF!</v>
      </c>
      <c r="E50" s="46" t="e">
        <f aca="false">-#REF!</f>
        <v>#REF!</v>
      </c>
      <c r="F50" s="46" t="e">
        <f aca="false">-#REF!</f>
        <v>#REF!</v>
      </c>
      <c r="G50" s="46" t="e">
        <f aca="false">-#REF!</f>
        <v>#REF!</v>
      </c>
      <c r="H50" s="46" t="e">
        <f aca="false">-#REF!</f>
        <v>#REF!</v>
      </c>
      <c r="I50" s="46" t="e">
        <f aca="false">-#REF!</f>
        <v>#REF!</v>
      </c>
      <c r="J50" s="46" t="e">
        <f aca="false">-#REF!</f>
        <v>#REF!</v>
      </c>
      <c r="K50" s="46" t="e">
        <f aca="false">-#REF!</f>
        <v>#REF!</v>
      </c>
      <c r="L50" s="46" t="e">
        <f aca="false">-#REF!</f>
        <v>#REF!</v>
      </c>
      <c r="M50" s="46" t="e">
        <f aca="false">-#REF!</f>
        <v>#REF!</v>
      </c>
      <c r="N50" s="46" t="e">
        <f aca="false">-#REF!</f>
        <v>#REF!</v>
      </c>
      <c r="O50" s="46" t="e">
        <f aca="false">-#REF!</f>
        <v>#REF!</v>
      </c>
      <c r="P50" s="46" t="e">
        <f aca="false">-#REF!</f>
        <v>#REF!</v>
      </c>
      <c r="Q50" s="46" t="e">
        <f aca="false">-#REF!</f>
        <v>#REF!</v>
      </c>
      <c r="R50" s="46" t="e">
        <f aca="false">-#REF!</f>
        <v>#REF!</v>
      </c>
      <c r="S50" s="46" t="e">
        <f aca="false">-#REF!</f>
        <v>#REF!</v>
      </c>
      <c r="T50" s="46" t="e">
        <f aca="false">-#REF!</f>
        <v>#REF!</v>
      </c>
      <c r="U50" s="46" t="e">
        <f aca="false">-#REF!</f>
        <v>#REF!</v>
      </c>
      <c r="V50" s="46" t="e">
        <f aca="false">-#REF!</f>
        <v>#REF!</v>
      </c>
      <c r="W50" s="56"/>
    </row>
    <row r="51" customFormat="false" ht="18.75" hidden="false" customHeight="true" outlineLevel="0" collapsed="false">
      <c r="A51" s="61" t="s">
        <v>63</v>
      </c>
      <c r="B51" s="63"/>
      <c r="C51" s="64"/>
      <c r="D51" s="65"/>
      <c r="E51" s="46" t="e">
        <f aca="false">-(E41*#REF!)</f>
        <v>#REF!</v>
      </c>
      <c r="F51" s="46" t="e">
        <f aca="false">-(F41*#REF!)</f>
        <v>#REF!</v>
      </c>
      <c r="G51" s="46" t="e">
        <f aca="false">-(G41*#REF!)</f>
        <v>#REF!</v>
      </c>
      <c r="H51" s="46" t="e">
        <f aca="false">-(H41*#REF!)</f>
        <v>#REF!</v>
      </c>
      <c r="I51" s="46" t="e">
        <f aca="false">-(I41*#REF!)</f>
        <v>#REF!</v>
      </c>
      <c r="J51" s="46" t="e">
        <f aca="false">-(J41*#REF!)</f>
        <v>#REF!</v>
      </c>
      <c r="K51" s="46" t="e">
        <f aca="false">-(K41*#REF!)</f>
        <v>#REF!</v>
      </c>
      <c r="L51" s="46" t="e">
        <f aca="false">-(L41*#REF!)</f>
        <v>#REF!</v>
      </c>
      <c r="M51" s="46" t="e">
        <f aca="false">-(M41*#REF!)</f>
        <v>#REF!</v>
      </c>
      <c r="N51" s="46" t="e">
        <f aca="false">-(N41*#REF!)</f>
        <v>#REF!</v>
      </c>
      <c r="O51" s="46" t="e">
        <f aca="false">-(O41*#REF!)</f>
        <v>#REF!</v>
      </c>
      <c r="P51" s="46" t="e">
        <f aca="false">-(P41*#REF!)</f>
        <v>#REF!</v>
      </c>
      <c r="Q51" s="46" t="e">
        <f aca="false">-(Q41*#REF!)</f>
        <v>#REF!</v>
      </c>
      <c r="R51" s="46" t="e">
        <f aca="false">-(R41*#REF!)</f>
        <v>#REF!</v>
      </c>
      <c r="S51" s="46" t="e">
        <f aca="false">-(S41*#REF!)</f>
        <v>#REF!</v>
      </c>
      <c r="T51" s="46" t="e">
        <f aca="false">-(T41*#REF!)</f>
        <v>#REF!</v>
      </c>
      <c r="U51" s="46" t="e">
        <f aca="false">-(U41*#REF!)</f>
        <v>#REF!</v>
      </c>
      <c r="V51" s="46" t="e">
        <f aca="false">-(V41*#REF!)</f>
        <v>#REF!</v>
      </c>
      <c r="W51" s="56"/>
    </row>
    <row r="52" customFormat="false" ht="18.75" hidden="false" customHeight="true" outlineLevel="0" collapsed="false">
      <c r="A52" s="61" t="s">
        <v>64</v>
      </c>
      <c r="B52" s="63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56"/>
    </row>
    <row r="53" customFormat="false" ht="18.75" hidden="false" customHeight="true" outlineLevel="0" collapsed="false">
      <c r="A53" s="66" t="s">
        <v>65</v>
      </c>
      <c r="B53" s="63"/>
      <c r="C53" s="67"/>
      <c r="D53" s="67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56"/>
    </row>
    <row r="54" customFormat="false" ht="18.75" hidden="false" customHeight="true" outlineLevel="0" collapsed="false">
      <c r="A54" s="66" t="s">
        <v>66</v>
      </c>
      <c r="B54" s="63"/>
      <c r="C54" s="46" t="e">
        <f aca="false">IF((#REF!+SUM(#REF!+#REF!+#REF!+#REF!+#REF!+#REF!))&gt;0,-(#REF!+SUM(#REF!+#REF!+#REF!+#REF!+#REF!+#REF!))*0.2,0)</f>
        <v>#REF!</v>
      </c>
      <c r="D54" s="46" t="e">
        <f aca="false">IF((#REF!+SUM(#REF!+#REF!+#REF!+#REF!+#REF!+#REF!))&gt;0,-(#REF!+SUM(#REF!+#REF!+#REF!+#REF!+#REF!+#REF!))*0.2,0)</f>
        <v>#REF!</v>
      </c>
      <c r="E54" s="46" t="e">
        <f aca="false">IF((#REF!+SUM(#REF!+#REF!+#REF!+#REF!+#REF!+#REF!))&gt;0,-(#REF!+SUM(#REF!+#REF!+#REF!+#REF!+#REF!+#REF!))*0.2,0)</f>
        <v>#REF!</v>
      </c>
      <c r="F54" s="46" t="e">
        <f aca="false">IF((#REF!+SUM(#REF!+#REF!+#REF!+#REF!+#REF!+#REF!))&gt;0,-(#REF!+SUM(#REF!+#REF!+#REF!+#REF!+#REF!+#REF!))*0.2,0)</f>
        <v>#REF!</v>
      </c>
      <c r="G54" s="46" t="e">
        <f aca="false">IF((#REF!+SUM(#REF!+#REF!+#REF!+#REF!+#REF!+#REF!))&gt;0,-(#REF!+SUM(#REF!+#REF!+#REF!+#REF!+#REF!+#REF!))*0.2,0)</f>
        <v>#REF!</v>
      </c>
      <c r="H54" s="46" t="e">
        <f aca="false">IF((#REF!+SUM(#REF!+#REF!+#REF!+#REF!+#REF!+#REF!))&gt;0,-(#REF!+SUM(#REF!+#REF!+#REF!+#REF!+#REF!+#REF!))*0.2,0)</f>
        <v>#REF!</v>
      </c>
      <c r="I54" s="46" t="e">
        <f aca="false">IF((#REF!+SUM(#REF!+#REF!+#REF!+#REF!+#REF!+#REF!))&gt;0,-(#REF!+SUM(#REF!+#REF!+#REF!+#REF!+#REF!+#REF!))*0.2,0)</f>
        <v>#REF!</v>
      </c>
      <c r="J54" s="46" t="e">
        <f aca="false">IF((#REF!+SUM(#REF!+#REF!+#REF!+#REF!+#REF!+#REF!))&gt;0,-(#REF!+SUM(#REF!+#REF!+#REF!+#REF!+#REF!+#REF!))*0.2,0)</f>
        <v>#REF!</v>
      </c>
      <c r="K54" s="46" t="e">
        <f aca="false">IF((#REF!+SUM(#REF!+#REF!+#REF!+#REF!+#REF!+#REF!))&gt;0,-(#REF!+SUM(#REF!+#REF!+#REF!+#REF!+#REF!+#REF!))*0.2,0)</f>
        <v>#REF!</v>
      </c>
      <c r="L54" s="46" t="e">
        <f aca="false">IF((#REF!+SUM(#REF!+#REF!+#REF!+#REF!+#REF!+#REF!))&gt;0,-(#REF!+SUM(#REF!+#REF!+#REF!+#REF!+#REF!+#REF!))*0.2,0)</f>
        <v>#REF!</v>
      </c>
      <c r="M54" s="46" t="e">
        <f aca="false">IF((#REF!+SUM(#REF!+#REF!+#REF!+#REF!+#REF!+#REF!))&gt;0,-(#REF!+SUM(#REF!+#REF!+#REF!+#REF!+#REF!+#REF!))*0.2,0)</f>
        <v>#REF!</v>
      </c>
      <c r="N54" s="46" t="e">
        <f aca="false">IF((#REF!+SUM(#REF!+#REF!+#REF!+#REF!+#REF!+#REF!))&gt;0,-(#REF!+SUM(#REF!+#REF!+#REF!+#REF!+#REF!+#REF!))*0.2,0)</f>
        <v>#REF!</v>
      </c>
      <c r="O54" s="46" t="e">
        <f aca="false">IF((#REF!+SUM(#REF!+#REF!+#REF!+#REF!+#REF!+#REF!))&gt;0,-(#REF!+SUM(#REF!+#REF!+#REF!+#REF!+#REF!+#REF!))*0.2,0)</f>
        <v>#REF!</v>
      </c>
      <c r="P54" s="46" t="e">
        <f aca="false">IF((#REF!+SUM(#REF!+#REF!+#REF!+#REF!+#REF!+#REF!))&gt;0,-(#REF!+SUM(#REF!+#REF!+#REF!+#REF!+#REF!+#REF!))*0.2,0)</f>
        <v>#REF!</v>
      </c>
      <c r="Q54" s="46" t="e">
        <f aca="false">IF((#REF!+SUM(#REF!+#REF!+#REF!+#REF!+#REF!+#REF!))&gt;0,-(#REF!+SUM(#REF!+#REF!+#REF!+#REF!+#REF!+#REF!))*0.2,0)</f>
        <v>#REF!</v>
      </c>
      <c r="R54" s="46" t="e">
        <f aca="false">IF((#REF!+SUM(#REF!+#REF!+#REF!+#REF!+#REF!+#REF!))&gt;0,-(#REF!+SUM(#REF!+#REF!+#REF!+#REF!+#REF!+#REF!))*0.2,0)</f>
        <v>#REF!</v>
      </c>
      <c r="S54" s="46" t="e">
        <f aca="false">IF((#REF!+SUM(#REF!+#REF!+#REF!+#REF!+#REF!+#REF!))&gt;0,-(#REF!+SUM(#REF!+#REF!+#REF!+#REF!+#REF!+#REF!))*0.2,0)</f>
        <v>#REF!</v>
      </c>
      <c r="T54" s="46" t="e">
        <f aca="false">IF((#REF!+SUM(#REF!+#REF!+#REF!+#REF!+#REF!+#REF!))&gt;0,-(#REF!+SUM(#REF!+#REF!+#REF!+#REF!+#REF!+#REF!))*0.2,0)</f>
        <v>#REF!</v>
      </c>
      <c r="U54" s="46" t="e">
        <f aca="false">IF((#REF!+SUM(#REF!+#REF!+#REF!+#REF!+#REF!+#REF!))&gt;0,-(#REF!+SUM(#REF!+#REF!+#REF!+#REF!+#REF!+#REF!))*0.2,0)</f>
        <v>#REF!</v>
      </c>
      <c r="V54" s="46" t="e">
        <f aca="false">IF((#REF!+SUM(#REF!+#REF!+#REF!+#REF!+#REF!+#REF!))&gt;0,-(#REF!+SUM(#REF!+#REF!+#REF!+#REF!+#REF!+#REF!))*0.2,0)</f>
        <v>#REF!</v>
      </c>
      <c r="W54" s="56"/>
    </row>
    <row r="55" customFormat="false" ht="18.75" hidden="false" customHeight="true" outlineLevel="0" collapsed="false">
      <c r="A55" s="68"/>
      <c r="B55" s="63"/>
      <c r="C55" s="65"/>
      <c r="D55" s="65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48"/>
    </row>
    <row r="56" customFormat="false" ht="18.75" hidden="false" customHeight="true" outlineLevel="0" collapsed="false">
      <c r="A56" s="69" t="s">
        <v>67</v>
      </c>
      <c r="B56" s="70" t="e">
        <f aca="false">B44</f>
        <v>#REF!</v>
      </c>
      <c r="C56" s="71" t="e">
        <f aca="false">SUM(C41:C54)</f>
        <v>#REF!</v>
      </c>
      <c r="D56" s="70" t="e">
        <f aca="false">SUM(D41:D54)</f>
        <v>#REF!</v>
      </c>
      <c r="E56" s="70" t="e">
        <f aca="false">SUM(E41:E54)</f>
        <v>#REF!</v>
      </c>
      <c r="F56" s="70" t="e">
        <f aca="false">SUM(F41:F54)</f>
        <v>#REF!</v>
      </c>
      <c r="G56" s="70" t="e">
        <f aca="false">SUM(G41:G54)</f>
        <v>#REF!</v>
      </c>
      <c r="H56" s="70" t="e">
        <f aca="false">SUM(H41:H54)</f>
        <v>#REF!</v>
      </c>
      <c r="I56" s="70" t="e">
        <f aca="false">SUM(I41:I54)</f>
        <v>#REF!</v>
      </c>
      <c r="J56" s="70" t="e">
        <f aca="false">SUM(J41:J54)</f>
        <v>#REF!</v>
      </c>
      <c r="K56" s="70" t="e">
        <f aca="false">SUM(K41:K54)</f>
        <v>#REF!</v>
      </c>
      <c r="L56" s="70" t="e">
        <f aca="false">SUM(L41:L54)</f>
        <v>#REF!</v>
      </c>
      <c r="M56" s="70" t="e">
        <f aca="false">SUM(M41:M54)</f>
        <v>#REF!</v>
      </c>
      <c r="N56" s="70" t="e">
        <f aca="false">SUM(N41:N54)</f>
        <v>#REF!</v>
      </c>
      <c r="O56" s="70" t="e">
        <f aca="false">SUM(O41:O54)</f>
        <v>#REF!</v>
      </c>
      <c r="P56" s="70" t="e">
        <f aca="false">SUM(P41:P54)</f>
        <v>#REF!</v>
      </c>
      <c r="Q56" s="70" t="e">
        <f aca="false">SUM(Q41:Q54)</f>
        <v>#REF!</v>
      </c>
      <c r="R56" s="70" t="e">
        <f aca="false">SUM(R41:R54)</f>
        <v>#REF!</v>
      </c>
      <c r="S56" s="70" t="e">
        <f aca="false">SUM(S41:S54)</f>
        <v>#REF!</v>
      </c>
      <c r="T56" s="70" t="e">
        <f aca="false">SUM(T41:T54)</f>
        <v>#REF!</v>
      </c>
      <c r="U56" s="70" t="e">
        <f aca="false">SUM(U41:U54)</f>
        <v>#REF!</v>
      </c>
      <c r="V56" s="70" t="e">
        <f aca="false">SUM(V41:V54)</f>
        <v>#REF!</v>
      </c>
      <c r="W56" s="72"/>
      <c r="X56" s="73"/>
      <c r="Y56" s="74"/>
      <c r="Z56" s="73"/>
      <c r="AA56" s="73"/>
      <c r="AB56" s="73"/>
      <c r="AC56" s="73"/>
      <c r="AD56" s="73"/>
      <c r="AE56" s="73"/>
      <c r="AF56" s="73"/>
      <c r="AG56" s="73"/>
      <c r="AH56" s="73"/>
      <c r="AI56" s="73"/>
    </row>
    <row r="57" customFormat="false" ht="15" hidden="false" customHeight="true" outlineLevel="0" collapsed="false">
      <c r="A57" s="75" t="s">
        <v>68</v>
      </c>
      <c r="B57" s="76"/>
      <c r="C57" s="77" t="e">
        <f aca="false">C56+B56</f>
        <v>#REF!</v>
      </c>
      <c r="D57" s="77" t="e">
        <f aca="false">D56+C57</f>
        <v>#REF!</v>
      </c>
      <c r="E57" s="77" t="e">
        <f aca="false">E56+D57</f>
        <v>#REF!</v>
      </c>
      <c r="F57" s="77" t="e">
        <f aca="false">F56+E57</f>
        <v>#REF!</v>
      </c>
      <c r="G57" s="77" t="e">
        <f aca="false">G56+F57</f>
        <v>#REF!</v>
      </c>
      <c r="H57" s="77" t="e">
        <f aca="false">H56+G57</f>
        <v>#REF!</v>
      </c>
      <c r="I57" s="77" t="e">
        <f aca="false">I56+H57</f>
        <v>#REF!</v>
      </c>
      <c r="J57" s="77" t="e">
        <f aca="false">J56+I57</f>
        <v>#REF!</v>
      </c>
      <c r="K57" s="77" t="e">
        <f aca="false">K56+J57</f>
        <v>#REF!</v>
      </c>
      <c r="L57" s="77" t="e">
        <f aca="false">L56+K57</f>
        <v>#REF!</v>
      </c>
      <c r="M57" s="77" t="e">
        <f aca="false">M56+L57</f>
        <v>#REF!</v>
      </c>
      <c r="N57" s="77" t="e">
        <f aca="false">N56+M57</f>
        <v>#REF!</v>
      </c>
      <c r="O57" s="77" t="e">
        <f aca="false">O56+N57</f>
        <v>#REF!</v>
      </c>
      <c r="P57" s="77" t="e">
        <f aca="false">P56+O57</f>
        <v>#REF!</v>
      </c>
      <c r="Q57" s="77" t="e">
        <f aca="false">Q56+P57</f>
        <v>#REF!</v>
      </c>
      <c r="R57" s="77" t="e">
        <f aca="false">R56+Q57</f>
        <v>#REF!</v>
      </c>
      <c r="S57" s="77" t="e">
        <f aca="false">S56+R57</f>
        <v>#REF!</v>
      </c>
      <c r="T57" s="77" t="e">
        <f aca="false">T56+S57</f>
        <v>#REF!</v>
      </c>
      <c r="U57" s="77" t="e">
        <f aca="false">U56+T57</f>
        <v>#REF!</v>
      </c>
      <c r="V57" s="77" t="e">
        <f aca="false">V56+U57</f>
        <v>#REF!</v>
      </c>
      <c r="W57" s="78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</row>
    <row r="58" customFormat="false" ht="18.75" hidden="false" customHeight="true" outlineLevel="0" collapsed="false">
      <c r="A58" s="79" t="s">
        <v>69</v>
      </c>
      <c r="B58" s="76"/>
      <c r="C58" s="80" t="e">
        <f aca="false">IF((C57)&gt;0,"回收","未回收")</f>
        <v>#REF!</v>
      </c>
      <c r="D58" s="80" t="e">
        <f aca="false">IF((D57)&gt;0,"回收","未回收")</f>
        <v>#REF!</v>
      </c>
      <c r="E58" s="80" t="e">
        <f aca="false">IF((E57)&gt;0,"回收","未回收")</f>
        <v>#REF!</v>
      </c>
      <c r="F58" s="80" t="e">
        <f aca="false">IF((F57)&gt;0,"回收","未回收")</f>
        <v>#REF!</v>
      </c>
      <c r="G58" s="80" t="e">
        <f aca="false">IF((G57)&gt;0,"回收","未回收")</f>
        <v>#REF!</v>
      </c>
      <c r="H58" s="80" t="e">
        <f aca="false">IF((H57)&gt;0,"回收","未回收")</f>
        <v>#REF!</v>
      </c>
      <c r="I58" s="80" t="e">
        <f aca="false">IF((I57)&gt;0,"回收","未回收")</f>
        <v>#REF!</v>
      </c>
      <c r="J58" s="80" t="e">
        <f aca="false">IF((J57)&gt;0,"回收","未回收")</f>
        <v>#REF!</v>
      </c>
      <c r="K58" s="80" t="e">
        <f aca="false">IF((K57)&gt;0,"回收","未回收")</f>
        <v>#REF!</v>
      </c>
      <c r="L58" s="80" t="e">
        <f aca="false">IF((L57)&gt;0,"回收","未回收")</f>
        <v>#REF!</v>
      </c>
      <c r="M58" s="80" t="e">
        <f aca="false">IF((M57)&gt;0,"回收","未回收")</f>
        <v>#REF!</v>
      </c>
      <c r="N58" s="80" t="e">
        <f aca="false">IF((N57)&gt;0,"回收","未回收")</f>
        <v>#REF!</v>
      </c>
      <c r="O58" s="80" t="e">
        <f aca="false">IF((O57)&gt;0,"回收","未回收")</f>
        <v>#REF!</v>
      </c>
      <c r="P58" s="80" t="e">
        <f aca="false">IF((P57)&gt;0,"回收","未回收")</f>
        <v>#REF!</v>
      </c>
      <c r="Q58" s="80" t="e">
        <f aca="false">IF((Q57)&gt;0,"回收","未回收")</f>
        <v>#REF!</v>
      </c>
      <c r="R58" s="80" t="e">
        <f aca="false">IF((R57)&gt;0,"回收","未回收")</f>
        <v>#REF!</v>
      </c>
      <c r="S58" s="80" t="e">
        <f aca="false">IF((S57)&gt;0,"回收","未回收")</f>
        <v>#REF!</v>
      </c>
      <c r="T58" s="80" t="e">
        <f aca="false">IF((T57)&gt;0,"回收","未回收")</f>
        <v>#REF!</v>
      </c>
      <c r="U58" s="80" t="e">
        <f aca="false">IF((U57)&gt;0,"回收","未回收")</f>
        <v>#REF!</v>
      </c>
      <c r="V58" s="80" t="e">
        <f aca="false">IF((V57)&gt;0,"回收","未回收")</f>
        <v>#REF!</v>
      </c>
      <c r="W58" s="81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</row>
    <row r="59" customFormat="false" ht="18.75" hidden="false" customHeight="true" outlineLevel="0" collapsed="false">
      <c r="A59" s="34"/>
      <c r="B59" s="82"/>
      <c r="C59" s="82"/>
      <c r="D59" s="82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8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</row>
    <row r="60" customFormat="false" ht="18.75" hidden="false" customHeight="true" outlineLevel="0" collapsed="false">
      <c r="A60" s="34"/>
      <c r="B60" s="82"/>
      <c r="C60" s="82"/>
      <c r="D60" s="82"/>
      <c r="E60" s="65"/>
      <c r="F60" s="65"/>
      <c r="G60" s="65"/>
      <c r="H60" s="65"/>
      <c r="I60" s="65"/>
      <c r="J60" s="65"/>
      <c r="K60" s="65" t="s">
        <v>70</v>
      </c>
      <c r="L60" s="84" t="n">
        <v>0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8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</row>
    <row r="61" customFormat="false" ht="18.75" hidden="false" customHeight="true" outlineLevel="0" collapsed="false">
      <c r="A61" s="34"/>
      <c r="B61" s="82"/>
      <c r="C61" s="82"/>
      <c r="D61" s="82"/>
      <c r="E61" s="65"/>
      <c r="F61" s="65"/>
      <c r="G61" s="65"/>
      <c r="H61" s="65"/>
      <c r="I61" s="65"/>
      <c r="J61" s="65"/>
      <c r="K61" s="65" t="s">
        <v>70</v>
      </c>
      <c r="L61" s="84" t="n">
        <v>0</v>
      </c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8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</row>
    <row r="62" customFormat="false" ht="18.75" hidden="false" customHeight="true" outlineLevel="0" collapsed="false">
      <c r="B62" s="85" t="s">
        <v>48</v>
      </c>
      <c r="C62" s="86" t="n">
        <v>2020</v>
      </c>
      <c r="D62" s="86" t="n">
        <v>2021</v>
      </c>
      <c r="E62" s="86" t="n">
        <v>2022</v>
      </c>
      <c r="F62" s="86" t="n">
        <v>2023</v>
      </c>
      <c r="G62" s="86" t="n">
        <v>2024</v>
      </c>
      <c r="H62" s="86" t="n">
        <v>2025</v>
      </c>
      <c r="I62" s="86" t="n">
        <v>2026</v>
      </c>
      <c r="J62" s="86" t="n">
        <v>2027</v>
      </c>
      <c r="K62" s="86" t="n">
        <v>2028</v>
      </c>
      <c r="L62" s="86" t="n">
        <v>2029</v>
      </c>
      <c r="M62" s="86" t="n">
        <v>2030</v>
      </c>
      <c r="N62" s="86" t="n">
        <v>2031</v>
      </c>
      <c r="O62" s="86" t="n">
        <v>2032</v>
      </c>
      <c r="P62" s="86" t="n">
        <v>2033</v>
      </c>
      <c r="Q62" s="86" t="n">
        <v>2034</v>
      </c>
      <c r="R62" s="86" t="n">
        <v>2035</v>
      </c>
      <c r="S62" s="86" t="n">
        <v>2036</v>
      </c>
      <c r="T62" s="86" t="n">
        <v>2037</v>
      </c>
      <c r="U62" s="86" t="n">
        <v>2038</v>
      </c>
      <c r="V62" s="86" t="n">
        <v>2039</v>
      </c>
      <c r="W62" s="73"/>
    </row>
    <row r="63" customFormat="false" ht="18.75" hidden="false" customHeight="true" outlineLevel="0" collapsed="false">
      <c r="W63" s="73"/>
    </row>
    <row r="64" customFormat="false" ht="18.75" hidden="false" customHeight="true" outlineLevel="0" collapsed="false">
      <c r="A64" s="87" t="s">
        <v>51</v>
      </c>
      <c r="B64" s="88" t="n">
        <v>0</v>
      </c>
      <c r="C64" s="88" t="n">
        <v>1</v>
      </c>
      <c r="D64" s="88" t="n">
        <v>2</v>
      </c>
      <c r="E64" s="88" t="n">
        <v>3</v>
      </c>
      <c r="F64" s="88" t="n">
        <v>4</v>
      </c>
      <c r="G64" s="88" t="n">
        <v>5</v>
      </c>
      <c r="H64" s="88" t="n">
        <v>6</v>
      </c>
      <c r="I64" s="88" t="n">
        <v>7</v>
      </c>
      <c r="J64" s="88" t="n">
        <v>8</v>
      </c>
      <c r="K64" s="88" t="n">
        <v>9</v>
      </c>
      <c r="L64" s="88" t="n">
        <v>10</v>
      </c>
      <c r="M64" s="88" t="n">
        <v>11</v>
      </c>
      <c r="N64" s="88" t="n">
        <v>12</v>
      </c>
      <c r="O64" s="88" t="n">
        <v>13</v>
      </c>
      <c r="P64" s="88" t="n">
        <v>14</v>
      </c>
      <c r="Q64" s="88" t="n">
        <v>15</v>
      </c>
      <c r="R64" s="88" t="n">
        <v>16</v>
      </c>
      <c r="S64" s="88" t="n">
        <v>17</v>
      </c>
      <c r="T64" s="88" t="n">
        <v>18</v>
      </c>
      <c r="U64" s="88" t="n">
        <v>19</v>
      </c>
      <c r="V64" s="88" t="n">
        <v>20</v>
      </c>
      <c r="W64" s="89"/>
    </row>
    <row r="65" customFormat="false" ht="18.75" hidden="false" customHeight="true" outlineLevel="0" collapsed="false">
      <c r="A65" s="90" t="s">
        <v>71</v>
      </c>
      <c r="B65" s="91"/>
      <c r="C65" s="91" t="e">
        <f aca="false">#REF!</f>
        <v>#REF!</v>
      </c>
      <c r="D65" s="91" t="e">
        <f aca="false">#REF!</f>
        <v>#REF!</v>
      </c>
      <c r="E65" s="91" t="e">
        <f aca="false">#REF!</f>
        <v>#REF!</v>
      </c>
      <c r="F65" s="91" t="e">
        <f aca="false">#REF!</f>
        <v>#REF!</v>
      </c>
      <c r="G65" s="91" t="e">
        <f aca="false">#REF!</f>
        <v>#REF!</v>
      </c>
      <c r="H65" s="91" t="e">
        <f aca="false">#REF!</f>
        <v>#REF!</v>
      </c>
      <c r="I65" s="91" t="e">
        <f aca="false">#REF!</f>
        <v>#REF!</v>
      </c>
      <c r="J65" s="91" t="e">
        <f aca="false">#REF!</f>
        <v>#REF!</v>
      </c>
      <c r="K65" s="91" t="e">
        <f aca="false">#REF!</f>
        <v>#REF!</v>
      </c>
      <c r="L65" s="91" t="e">
        <f aca="false">#REF!</f>
        <v>#REF!</v>
      </c>
      <c r="M65" s="91" t="e">
        <f aca="false">#REF!</f>
        <v>#REF!</v>
      </c>
      <c r="N65" s="91" t="e">
        <f aca="false">#REF!</f>
        <v>#REF!</v>
      </c>
      <c r="O65" s="91" t="e">
        <f aca="false">#REF!</f>
        <v>#REF!</v>
      </c>
      <c r="P65" s="91" t="e">
        <f aca="false">#REF!</f>
        <v>#REF!</v>
      </c>
      <c r="Q65" s="91" t="e">
        <f aca="false">#REF!</f>
        <v>#REF!</v>
      </c>
      <c r="R65" s="91" t="e">
        <f aca="false">#REF!</f>
        <v>#REF!</v>
      </c>
      <c r="S65" s="91" t="e">
        <f aca="false">#REF!</f>
        <v>#REF!</v>
      </c>
      <c r="T65" s="91" t="e">
        <f aca="false">#REF!</f>
        <v>#REF!</v>
      </c>
      <c r="U65" s="91" t="e">
        <f aca="false">#REF!</f>
        <v>#REF!</v>
      </c>
      <c r="V65" s="91" t="e">
        <f aca="false">#REF!</f>
        <v>#REF!</v>
      </c>
      <c r="W65" s="92"/>
    </row>
    <row r="66" customFormat="false" ht="18.75" hidden="false" customHeight="true" outlineLevel="0" collapsed="false">
      <c r="A66" s="90" t="s">
        <v>72</v>
      </c>
      <c r="B66" s="91"/>
      <c r="C66" s="93" t="e">
        <f aca="false">-#REF!</f>
        <v>#REF!</v>
      </c>
      <c r="D66" s="93" t="e">
        <f aca="false">-#REF!</f>
        <v>#REF!</v>
      </c>
      <c r="E66" s="93" t="e">
        <f aca="false">-#REF!</f>
        <v>#REF!</v>
      </c>
      <c r="F66" s="93" t="e">
        <f aca="false">-#REF!</f>
        <v>#REF!</v>
      </c>
      <c r="G66" s="93" t="e">
        <f aca="false">-#REF!</f>
        <v>#REF!</v>
      </c>
      <c r="H66" s="93" t="e">
        <f aca="false">-#REF!</f>
        <v>#REF!</v>
      </c>
      <c r="I66" s="93" t="e">
        <f aca="false">-#REF!</f>
        <v>#REF!</v>
      </c>
      <c r="J66" s="93" t="e">
        <f aca="false">-#REF!</f>
        <v>#REF!</v>
      </c>
      <c r="K66" s="93" t="e">
        <f aca="false">-#REF!</f>
        <v>#REF!</v>
      </c>
      <c r="L66" s="93" t="e">
        <f aca="false">-#REF!</f>
        <v>#REF!</v>
      </c>
      <c r="M66" s="93" t="e">
        <f aca="false">-#REF!</f>
        <v>#REF!</v>
      </c>
      <c r="N66" s="93" t="e">
        <f aca="false">-#REF!</f>
        <v>#REF!</v>
      </c>
      <c r="O66" s="93" t="e">
        <f aca="false">-#REF!</f>
        <v>#REF!</v>
      </c>
      <c r="P66" s="93" t="e">
        <f aca="false">-#REF!</f>
        <v>#REF!</v>
      </c>
      <c r="Q66" s="93" t="e">
        <f aca="false">-#REF!</f>
        <v>#REF!</v>
      </c>
      <c r="R66" s="93" t="e">
        <f aca="false">-#REF!</f>
        <v>#REF!</v>
      </c>
      <c r="S66" s="93" t="e">
        <f aca="false">-#REF!</f>
        <v>#REF!</v>
      </c>
      <c r="T66" s="93" t="e">
        <f aca="false">-#REF!</f>
        <v>#REF!</v>
      </c>
      <c r="U66" s="93" t="e">
        <f aca="false">-#REF!</f>
        <v>#REF!</v>
      </c>
      <c r="V66" s="93" t="e">
        <f aca="false">-#REF!</f>
        <v>#REF!</v>
      </c>
      <c r="W66" s="92"/>
    </row>
    <row r="67" customFormat="false" ht="18.75" hidden="false" customHeight="true" outlineLevel="0" collapsed="false">
      <c r="A67" s="90" t="s">
        <v>73</v>
      </c>
      <c r="B67" s="91"/>
      <c r="C67" s="94" t="e">
        <f aca="false">SUM(C65:C66)</f>
        <v>#REF!</v>
      </c>
      <c r="D67" s="94" t="e">
        <f aca="false">SUM(D65:D66)</f>
        <v>#REF!</v>
      </c>
      <c r="E67" s="94" t="e">
        <f aca="false">SUM(E65:E66)</f>
        <v>#REF!</v>
      </c>
      <c r="F67" s="94" t="e">
        <f aca="false">SUM(F65:F66)</f>
        <v>#REF!</v>
      </c>
      <c r="G67" s="94" t="e">
        <f aca="false">SUM(G65:G66)</f>
        <v>#REF!</v>
      </c>
      <c r="H67" s="94" t="e">
        <f aca="false">SUM(H65:H66)</f>
        <v>#REF!</v>
      </c>
      <c r="I67" s="94" t="e">
        <f aca="false">SUM(I65:I66)</f>
        <v>#REF!</v>
      </c>
      <c r="J67" s="94" t="e">
        <f aca="false">SUM(J65:J66)</f>
        <v>#REF!</v>
      </c>
      <c r="K67" s="94" t="e">
        <f aca="false">SUM(K65:K66)</f>
        <v>#REF!</v>
      </c>
      <c r="L67" s="94" t="e">
        <f aca="false">SUM(L65:L66)</f>
        <v>#REF!</v>
      </c>
      <c r="M67" s="94" t="e">
        <f aca="false">SUM(M65:M66)</f>
        <v>#REF!</v>
      </c>
      <c r="N67" s="94" t="e">
        <f aca="false">SUM(N65:N66)</f>
        <v>#REF!</v>
      </c>
      <c r="O67" s="94" t="e">
        <f aca="false">SUM(O65:O66)</f>
        <v>#REF!</v>
      </c>
      <c r="P67" s="94" t="e">
        <f aca="false">SUM(P65:P66)</f>
        <v>#REF!</v>
      </c>
      <c r="Q67" s="94" t="e">
        <f aca="false">SUM(Q65:Q66)</f>
        <v>#REF!</v>
      </c>
      <c r="R67" s="94" t="e">
        <f aca="false">SUM(R65:R66)</f>
        <v>#REF!</v>
      </c>
      <c r="S67" s="94" t="e">
        <f aca="false">SUM(S65:S66)</f>
        <v>#REF!</v>
      </c>
      <c r="T67" s="94" t="e">
        <f aca="false">SUM(T65:T66)</f>
        <v>#REF!</v>
      </c>
      <c r="U67" s="94" t="e">
        <f aca="false">SUM(U65:U66)</f>
        <v>#REF!</v>
      </c>
      <c r="V67" s="94" t="e">
        <f aca="false">SUM(V65:V66)</f>
        <v>#REF!</v>
      </c>
      <c r="W67" s="74"/>
    </row>
    <row r="68" customFormat="false" ht="18.75" hidden="false" customHeight="true" outlineLevel="0" collapsed="false">
      <c r="A68" s="90"/>
      <c r="B68" s="91"/>
      <c r="C68" s="91"/>
      <c r="D68" s="91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73"/>
    </row>
    <row r="69" customFormat="false" ht="18.75" hidden="false" customHeight="true" outlineLevel="0" collapsed="false">
      <c r="A69" s="96" t="s">
        <v>74</v>
      </c>
      <c r="B69" s="97"/>
      <c r="C69" s="98" t="e">
        <f aca="false">B44</f>
        <v>#REF!</v>
      </c>
      <c r="D69" s="97" t="n">
        <v>0</v>
      </c>
      <c r="E69" s="97"/>
      <c r="F69" s="97" t="n">
        <v>0</v>
      </c>
      <c r="G69" s="97" t="n">
        <v>0</v>
      </c>
      <c r="H69" s="97" t="n">
        <v>0</v>
      </c>
      <c r="I69" s="97" t="n">
        <v>0</v>
      </c>
      <c r="J69" s="97" t="n">
        <v>0</v>
      </c>
      <c r="K69" s="97" t="n">
        <v>0</v>
      </c>
      <c r="L69" s="97" t="n">
        <v>0</v>
      </c>
      <c r="M69" s="97" t="n">
        <v>0</v>
      </c>
      <c r="N69" s="97" t="n">
        <v>0</v>
      </c>
      <c r="O69" s="97" t="n">
        <v>0</v>
      </c>
      <c r="P69" s="97" t="n">
        <v>0</v>
      </c>
      <c r="Q69" s="97" t="n">
        <v>0</v>
      </c>
      <c r="R69" s="97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2"/>
    </row>
    <row r="70" customFormat="false" ht="18.75" hidden="false" customHeight="true" outlineLevel="0" collapsed="false">
      <c r="A70" s="90"/>
      <c r="B70" s="91"/>
      <c r="C70" s="91"/>
      <c r="D70" s="91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73"/>
    </row>
    <row r="71" customFormat="false" ht="18.75" hidden="false" customHeight="true" outlineLevel="0" collapsed="false">
      <c r="A71" s="90"/>
      <c r="B71" s="91"/>
      <c r="C71" s="91"/>
      <c r="D71" s="91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73"/>
    </row>
    <row r="72" customFormat="false" ht="18.75" hidden="false" customHeight="true" outlineLevel="0" collapsed="false">
      <c r="A72" s="96" t="s">
        <v>75</v>
      </c>
      <c r="B72" s="97"/>
      <c r="C72" s="98" t="e">
        <f aca="false">#REF!*0.8</f>
        <v>#REF!</v>
      </c>
      <c r="D72" s="97"/>
      <c r="E72" s="97"/>
      <c r="F72" s="97" t="n">
        <v>0</v>
      </c>
      <c r="G72" s="97" t="n">
        <v>0</v>
      </c>
      <c r="H72" s="97" t="n">
        <v>0</v>
      </c>
      <c r="I72" s="97" t="n">
        <v>0</v>
      </c>
      <c r="J72" s="97" t="n">
        <v>0</v>
      </c>
      <c r="K72" s="97" t="n">
        <v>0</v>
      </c>
      <c r="L72" s="97" t="n">
        <v>0</v>
      </c>
      <c r="M72" s="97" t="n">
        <v>0</v>
      </c>
      <c r="N72" s="97" t="n">
        <v>0</v>
      </c>
      <c r="O72" s="97" t="n">
        <v>0</v>
      </c>
      <c r="P72" s="97" t="n">
        <v>0</v>
      </c>
      <c r="Q72" s="97" t="n">
        <v>0</v>
      </c>
      <c r="R72" s="97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73"/>
    </row>
    <row r="73" customFormat="false" ht="18.75" hidden="false" customHeight="true" outlineLevel="0" collapsed="false">
      <c r="A73" s="90" t="s">
        <v>76</v>
      </c>
      <c r="B73" s="91"/>
      <c r="C73" s="91"/>
      <c r="D73" s="91" t="e">
        <f aca="false">-#REF!</f>
        <v>#REF!</v>
      </c>
      <c r="E73" s="91" t="e">
        <f aca="false">-#REF!</f>
        <v>#REF!</v>
      </c>
      <c r="F73" s="91" t="e">
        <f aca="false">-#REF!</f>
        <v>#REF!</v>
      </c>
      <c r="G73" s="91" t="e">
        <f aca="false">-#REF!</f>
        <v>#REF!</v>
      </c>
      <c r="H73" s="91" t="e">
        <f aca="false">-#REF!</f>
        <v>#REF!</v>
      </c>
      <c r="I73" s="91" t="e">
        <f aca="false">-#REF!</f>
        <v>#REF!</v>
      </c>
      <c r="J73" s="91" t="e">
        <f aca="false">-#REF!</f>
        <v>#REF!</v>
      </c>
      <c r="K73" s="91" t="e">
        <f aca="false">-#REF!</f>
        <v>#REF!</v>
      </c>
      <c r="L73" s="91" t="e">
        <f aca="false">-#REF!</f>
        <v>#REF!</v>
      </c>
      <c r="M73" s="91" t="e">
        <f aca="false">-#REF!</f>
        <v>#REF!</v>
      </c>
      <c r="N73" s="91" t="e">
        <f aca="false">-#REF!</f>
        <v>#REF!</v>
      </c>
      <c r="O73" s="91" t="e">
        <f aca="false">-#REF!</f>
        <v>#REF!</v>
      </c>
      <c r="P73" s="91" t="e">
        <f aca="false">-#REF!</f>
        <v>#REF!</v>
      </c>
      <c r="Q73" s="91" t="e">
        <f aca="false">-#REF!</f>
        <v>#REF!</v>
      </c>
      <c r="R73" s="91" t="e">
        <f aca="false">-#REF!</f>
        <v>#REF!</v>
      </c>
      <c r="S73" s="95"/>
      <c r="T73" s="95"/>
      <c r="U73" s="95"/>
      <c r="V73" s="95"/>
      <c r="W73" s="92"/>
    </row>
    <row r="74" customFormat="false" ht="18.75" hidden="false" customHeight="true" outlineLevel="0" collapsed="false">
      <c r="A74" s="90" t="s">
        <v>77</v>
      </c>
      <c r="B74" s="95"/>
      <c r="C74" s="91" t="e">
        <f aca="false">#REF!*0.2</f>
        <v>#REF!</v>
      </c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74"/>
    </row>
    <row r="75" customFormat="false" ht="18.75" hidden="false" customHeight="true" outlineLevel="0" collapsed="false">
      <c r="A75" s="90" t="s">
        <v>45</v>
      </c>
      <c r="B75" s="95"/>
      <c r="C75" s="95"/>
      <c r="D75" s="99" t="e">
        <f aca="false">-C65*0.9</f>
        <v>#REF!</v>
      </c>
      <c r="E75" s="91" t="e">
        <f aca="false">-D65*0.9</f>
        <v>#REF!</v>
      </c>
      <c r="F75" s="91" t="e">
        <f aca="false">-E65*0.9</f>
        <v>#REF!</v>
      </c>
      <c r="G75" s="91" t="e">
        <f aca="false">-F65*0.9</f>
        <v>#REF!</v>
      </c>
      <c r="H75" s="91" t="e">
        <f aca="false">-G65*0.9</f>
        <v>#REF!</v>
      </c>
      <c r="I75" s="91" t="e">
        <f aca="false">-H65*0.9</f>
        <v>#REF!</v>
      </c>
      <c r="J75" s="91" t="e">
        <f aca="false">-I65*0.9</f>
        <v>#REF!</v>
      </c>
      <c r="K75" s="91" t="e">
        <f aca="false">-J65*0.9</f>
        <v>#REF!</v>
      </c>
      <c r="L75" s="91" t="e">
        <f aca="false">-K65*0.9</f>
        <v>#REF!</v>
      </c>
      <c r="M75" s="91" t="e">
        <f aca="false">-L65*0.9</f>
        <v>#REF!</v>
      </c>
      <c r="N75" s="91" t="e">
        <f aca="false">-M65*0.9</f>
        <v>#REF!</v>
      </c>
      <c r="O75" s="91" t="e">
        <f aca="false">-N65*0.9</f>
        <v>#REF!</v>
      </c>
      <c r="P75" s="91" t="e">
        <f aca="false">-O65*0.9</f>
        <v>#REF!</v>
      </c>
      <c r="Q75" s="91" t="e">
        <f aca="false">-P65*0.9</f>
        <v>#REF!</v>
      </c>
      <c r="R75" s="91" t="e">
        <f aca="false">-Q65*0.9</f>
        <v>#REF!</v>
      </c>
      <c r="S75" s="91" t="e">
        <f aca="false">-R65*0.9</f>
        <v>#REF!</v>
      </c>
      <c r="T75" s="91" t="e">
        <f aca="false">-S65*0.9</f>
        <v>#REF!</v>
      </c>
      <c r="U75" s="95"/>
      <c r="V75" s="91" t="e">
        <f aca="false">-U65*0.9</f>
        <v>#REF!</v>
      </c>
      <c r="W75" s="74"/>
    </row>
    <row r="76" customFormat="false" ht="18.75" hidden="false" customHeight="true" outlineLevel="0" collapsed="false">
      <c r="A76" s="100" t="s">
        <v>47</v>
      </c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2" t="e">
        <f aca="false">-$C$74/4</f>
        <v>#REF!</v>
      </c>
      <c r="R76" s="102" t="e">
        <f aca="false">-$C$74/4</f>
        <v>#REF!</v>
      </c>
      <c r="S76" s="102" t="e">
        <f aca="false">-$C$74/4</f>
        <v>#REF!</v>
      </c>
      <c r="T76" s="102" t="e">
        <f aca="false">-$C$74/4</f>
        <v>#REF!</v>
      </c>
      <c r="U76" s="101"/>
      <c r="V76" s="101"/>
      <c r="W76" s="74"/>
    </row>
    <row r="77" customFormat="false" ht="18.75" hidden="false" customHeight="true" outlineLevel="0" collapsed="false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74"/>
    </row>
    <row r="78" customFormat="false" ht="18.75" hidden="false" customHeight="true" outlineLevel="0" collapsed="false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74"/>
    </row>
    <row r="79" customFormat="false" ht="18.75" hidden="false" customHeight="true" outlineLevel="0" collapsed="false">
      <c r="A79" s="90" t="s">
        <v>78</v>
      </c>
      <c r="B79" s="95" t="n">
        <f aca="false">SUM(B69:B78)</f>
        <v>0</v>
      </c>
      <c r="C79" s="94" t="e">
        <f aca="false">SUM(C67:C78)</f>
        <v>#REF!</v>
      </c>
      <c r="D79" s="94" t="e">
        <f aca="false">SUM(D67:D78)</f>
        <v>#REF!</v>
      </c>
      <c r="E79" s="94" t="e">
        <f aca="false">SUM(E67:E78)</f>
        <v>#REF!</v>
      </c>
      <c r="F79" s="94" t="e">
        <f aca="false">SUM(F67:F78)</f>
        <v>#REF!</v>
      </c>
      <c r="G79" s="94" t="e">
        <f aca="false">SUM(G67:G78)</f>
        <v>#REF!</v>
      </c>
      <c r="H79" s="94" t="e">
        <f aca="false">SUM(H67:H78)</f>
        <v>#REF!</v>
      </c>
      <c r="I79" s="94" t="e">
        <f aca="false">SUM(I67:I78)</f>
        <v>#REF!</v>
      </c>
      <c r="J79" s="94" t="e">
        <f aca="false">SUM(J67:J78)</f>
        <v>#REF!</v>
      </c>
      <c r="K79" s="94" t="e">
        <f aca="false">SUM(K67:K78)</f>
        <v>#REF!</v>
      </c>
      <c r="L79" s="94" t="e">
        <f aca="false">SUM(L67:L78)</f>
        <v>#REF!</v>
      </c>
      <c r="M79" s="94" t="e">
        <f aca="false">SUM(M67:M78)</f>
        <v>#REF!</v>
      </c>
      <c r="N79" s="94" t="e">
        <f aca="false">SUM(N67:N78)</f>
        <v>#REF!</v>
      </c>
      <c r="O79" s="94" t="e">
        <f aca="false">SUM(O67:O78)</f>
        <v>#REF!</v>
      </c>
      <c r="P79" s="94" t="e">
        <f aca="false">SUM(P67:P78)</f>
        <v>#REF!</v>
      </c>
      <c r="Q79" s="94" t="e">
        <f aca="false">SUM(Q67:Q78)</f>
        <v>#REF!</v>
      </c>
      <c r="R79" s="94" t="e">
        <f aca="false">SUM(R67:R78)</f>
        <v>#REF!</v>
      </c>
      <c r="S79" s="94" t="e">
        <f aca="false">SUM(S67:S78)</f>
        <v>#REF!</v>
      </c>
      <c r="T79" s="94" t="e">
        <f aca="false">SUM(T67:T78)</f>
        <v>#REF!</v>
      </c>
      <c r="U79" s="94" t="e">
        <f aca="false">SUM(U67:U78)</f>
        <v>#REF!</v>
      </c>
      <c r="V79" s="94" t="e">
        <f aca="false">SUM(V67:V78)</f>
        <v>#REF!</v>
      </c>
      <c r="W79" s="74"/>
    </row>
    <row r="80" customFormat="false" ht="18.75" hidden="false" customHeight="true" outlineLevel="0" collapsed="false">
      <c r="A80" s="90" t="s">
        <v>79</v>
      </c>
      <c r="B80" s="95" t="n">
        <v>0</v>
      </c>
      <c r="C80" s="95" t="n">
        <f aca="false">B81</f>
        <v>0</v>
      </c>
      <c r="D80" s="91" t="e">
        <f aca="false">C81</f>
        <v>#REF!</v>
      </c>
      <c r="E80" s="91" t="e">
        <f aca="false">D81</f>
        <v>#REF!</v>
      </c>
      <c r="F80" s="91" t="e">
        <f aca="false">E81</f>
        <v>#REF!</v>
      </c>
      <c r="G80" s="91" t="e">
        <f aca="false">F81</f>
        <v>#REF!</v>
      </c>
      <c r="H80" s="91" t="e">
        <f aca="false">G81</f>
        <v>#REF!</v>
      </c>
      <c r="I80" s="91" t="e">
        <f aca="false">H81</f>
        <v>#REF!</v>
      </c>
      <c r="J80" s="91" t="e">
        <f aca="false">I81</f>
        <v>#REF!</v>
      </c>
      <c r="K80" s="91" t="e">
        <f aca="false">J81</f>
        <v>#REF!</v>
      </c>
      <c r="L80" s="91" t="e">
        <f aca="false">K81</f>
        <v>#REF!</v>
      </c>
      <c r="M80" s="91" t="e">
        <f aca="false">L81</f>
        <v>#REF!</v>
      </c>
      <c r="N80" s="91" t="e">
        <f aca="false">M81</f>
        <v>#REF!</v>
      </c>
      <c r="O80" s="91" t="e">
        <f aca="false">N81</f>
        <v>#REF!</v>
      </c>
      <c r="P80" s="91" t="e">
        <f aca="false">O81</f>
        <v>#REF!</v>
      </c>
      <c r="Q80" s="91" t="e">
        <f aca="false">P81</f>
        <v>#REF!</v>
      </c>
      <c r="R80" s="91" t="e">
        <f aca="false">Q81</f>
        <v>#REF!</v>
      </c>
      <c r="S80" s="91" t="e">
        <f aca="false">R81</f>
        <v>#REF!</v>
      </c>
      <c r="T80" s="91" t="e">
        <f aca="false">S81</f>
        <v>#REF!</v>
      </c>
      <c r="U80" s="95"/>
      <c r="V80" s="95"/>
      <c r="W80" s="73"/>
    </row>
    <row r="81" customFormat="false" ht="18.75" hidden="false" customHeight="true" outlineLevel="0" collapsed="false">
      <c r="A81" s="90" t="s">
        <v>80</v>
      </c>
      <c r="B81" s="95" t="n">
        <f aca="false">B79</f>
        <v>0</v>
      </c>
      <c r="C81" s="91" t="e">
        <f aca="false">C79+C80</f>
        <v>#REF!</v>
      </c>
      <c r="D81" s="91" t="e">
        <f aca="false">D79+D80</f>
        <v>#REF!</v>
      </c>
      <c r="E81" s="91" t="e">
        <f aca="false">E79+E80</f>
        <v>#REF!</v>
      </c>
      <c r="F81" s="91" t="e">
        <f aca="false">F79+F80</f>
        <v>#REF!</v>
      </c>
      <c r="G81" s="91" t="e">
        <f aca="false">G79+G80</f>
        <v>#REF!</v>
      </c>
      <c r="H81" s="91" t="e">
        <f aca="false">H79+H80</f>
        <v>#REF!</v>
      </c>
      <c r="I81" s="91" t="e">
        <f aca="false">I79+I80</f>
        <v>#REF!</v>
      </c>
      <c r="J81" s="91" t="e">
        <f aca="false">J79+J80</f>
        <v>#REF!</v>
      </c>
      <c r="K81" s="91" t="e">
        <f aca="false">K79+K80</f>
        <v>#REF!</v>
      </c>
      <c r="L81" s="91" t="e">
        <f aca="false">L79+L80</f>
        <v>#REF!</v>
      </c>
      <c r="M81" s="91" t="e">
        <f aca="false">M79+M80</f>
        <v>#REF!</v>
      </c>
      <c r="N81" s="91" t="e">
        <f aca="false">N79+N80</f>
        <v>#REF!</v>
      </c>
      <c r="O81" s="91" t="e">
        <f aca="false">O79+O80</f>
        <v>#REF!</v>
      </c>
      <c r="P81" s="91" t="e">
        <f aca="false">P79+P80</f>
        <v>#REF!</v>
      </c>
      <c r="Q81" s="91" t="e">
        <f aca="false">Q79+Q80</f>
        <v>#REF!</v>
      </c>
      <c r="R81" s="91" t="e">
        <f aca="false">R79+R80</f>
        <v>#REF!</v>
      </c>
      <c r="S81" s="91" t="e">
        <f aca="false">S79+S80</f>
        <v>#REF!</v>
      </c>
      <c r="T81" s="91" t="e">
        <f aca="false">T79+T80</f>
        <v>#REF!</v>
      </c>
      <c r="U81" s="95"/>
      <c r="V81" s="95"/>
      <c r="W81" s="73"/>
    </row>
    <row r="82" customFormat="false" ht="18.75" hidden="false" customHeight="true" outlineLevel="0" collapsed="false">
      <c r="A82" s="90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103"/>
    </row>
    <row r="83" customFormat="false" ht="18.75" hidden="false" customHeight="true" outlineLevel="0" collapsed="false">
      <c r="A83" s="90"/>
      <c r="B83" s="91"/>
      <c r="C83" s="91"/>
      <c r="D83" s="91"/>
      <c r="E83" s="95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103"/>
    </row>
    <row r="84" customFormat="false" ht="18.75" hidden="false" customHeight="true" outlineLevel="0" collapsed="false">
      <c r="A84" s="104" t="s">
        <v>81</v>
      </c>
      <c r="B84" s="105"/>
      <c r="C84" s="106" t="e">
        <f aca="false">-C74</f>
        <v>#REF!</v>
      </c>
      <c r="D84" s="94" t="e">
        <f aca="false">-D75-D76</f>
        <v>#REF!</v>
      </c>
      <c r="E84" s="94" t="e">
        <f aca="false">-E75-E76</f>
        <v>#REF!</v>
      </c>
      <c r="F84" s="94" t="e">
        <f aca="false">-F75-F76</f>
        <v>#REF!</v>
      </c>
      <c r="G84" s="94" t="e">
        <f aca="false">-G75-G76</f>
        <v>#REF!</v>
      </c>
      <c r="H84" s="94" t="e">
        <f aca="false">-H75-H76</f>
        <v>#REF!</v>
      </c>
      <c r="I84" s="94" t="e">
        <f aca="false">-I75-I76</f>
        <v>#REF!</v>
      </c>
      <c r="J84" s="94" t="e">
        <f aca="false">-J75-J76</f>
        <v>#REF!</v>
      </c>
      <c r="K84" s="94" t="e">
        <f aca="false">-K75-K76</f>
        <v>#REF!</v>
      </c>
      <c r="L84" s="94" t="e">
        <f aca="false">-L75-L76</f>
        <v>#REF!</v>
      </c>
      <c r="M84" s="94" t="e">
        <f aca="false">-M75-M76</f>
        <v>#REF!</v>
      </c>
      <c r="N84" s="94" t="e">
        <f aca="false">-N75-N76</f>
        <v>#REF!</v>
      </c>
      <c r="O84" s="94" t="e">
        <f aca="false">-O75-O76</f>
        <v>#REF!</v>
      </c>
      <c r="P84" s="94" t="e">
        <f aca="false">-P75-P76</f>
        <v>#REF!</v>
      </c>
      <c r="Q84" s="94" t="e">
        <f aca="false">-Q75-Q76</f>
        <v>#REF!</v>
      </c>
      <c r="R84" s="94" t="e">
        <f aca="false">-R75-R76</f>
        <v>#REF!</v>
      </c>
      <c r="S84" s="94" t="e">
        <f aca="false">-S75-S76</f>
        <v>#REF!</v>
      </c>
      <c r="T84" s="94" t="e">
        <f aca="false">-T75-T76</f>
        <v>#REF!</v>
      </c>
      <c r="U84" s="105" t="n">
        <f aca="false">-U75-U76</f>
        <v>-0</v>
      </c>
      <c r="V84" s="94" t="e">
        <f aca="false">-V75-V76</f>
        <v>#REF!</v>
      </c>
      <c r="W84" s="74"/>
    </row>
    <row r="85" customFormat="false" ht="18.75" hidden="false" customHeight="true" outlineLevel="0" collapsed="false">
      <c r="A85" s="90" t="s">
        <v>82</v>
      </c>
      <c r="B85" s="107" t="e">
        <f aca="false">IRR(C84:V84)</f>
        <v>#REF!</v>
      </c>
      <c r="C85" s="108"/>
      <c r="D85" s="108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103"/>
    </row>
    <row r="86" customFormat="false" ht="18.75" hidden="false" customHeight="true" outlineLevel="0" collapsed="false">
      <c r="A86" s="104" t="s">
        <v>83</v>
      </c>
      <c r="B86" s="105"/>
      <c r="C86" s="106" t="e">
        <f aca="false">#REF!-C74</f>
        <v>#REF!</v>
      </c>
      <c r="D86" s="94" t="e">
        <f aca="false">#REF!</f>
        <v>#REF!</v>
      </c>
      <c r="E86" s="94" t="e">
        <f aca="false">#REF!-E76</f>
        <v>#REF!</v>
      </c>
      <c r="F86" s="94" t="e">
        <f aca="false">#REF!-F76</f>
        <v>#REF!</v>
      </c>
      <c r="G86" s="94" t="e">
        <f aca="false">#REF!-G76</f>
        <v>#REF!</v>
      </c>
      <c r="H86" s="94" t="e">
        <f aca="false">#REF!-H76</f>
        <v>#REF!</v>
      </c>
      <c r="I86" s="94" t="e">
        <f aca="false">#REF!-I76</f>
        <v>#REF!</v>
      </c>
      <c r="J86" s="94" t="e">
        <f aca="false">#REF!-J76</f>
        <v>#REF!</v>
      </c>
      <c r="K86" s="94" t="e">
        <f aca="false">#REF!-K76</f>
        <v>#REF!</v>
      </c>
      <c r="L86" s="94" t="e">
        <f aca="false">#REF!-L76</f>
        <v>#REF!</v>
      </c>
      <c r="M86" s="94" t="e">
        <f aca="false">#REF!-M76</f>
        <v>#REF!</v>
      </c>
      <c r="N86" s="94" t="e">
        <f aca="false">#REF!-N76</f>
        <v>#REF!</v>
      </c>
      <c r="O86" s="94" t="e">
        <f aca="false">#REF!-O76</f>
        <v>#REF!</v>
      </c>
      <c r="P86" s="94" t="e">
        <f aca="false">#REF!-P76</f>
        <v>#REF!</v>
      </c>
      <c r="Q86" s="94" t="e">
        <f aca="false">#REF!-Q76</f>
        <v>#REF!</v>
      </c>
      <c r="R86" s="94" t="e">
        <f aca="false">#REF!-R76</f>
        <v>#REF!</v>
      </c>
      <c r="S86" s="94" t="e">
        <f aca="false">#REF!-S76</f>
        <v>#REF!</v>
      </c>
      <c r="T86" s="94" t="e">
        <f aca="false">#REF!-T76</f>
        <v>#REF!</v>
      </c>
      <c r="U86" s="94" t="e">
        <f aca="false">#REF!-U76</f>
        <v>#REF!</v>
      </c>
      <c r="V86" s="94" t="e">
        <f aca="false">#REF!-V76</f>
        <v>#REF!</v>
      </c>
      <c r="W86" s="92"/>
    </row>
    <row r="87" customFormat="false" ht="18.75" hidden="false" customHeight="true" outlineLevel="0" collapsed="false">
      <c r="A87" s="104" t="s">
        <v>84</v>
      </c>
      <c r="B87" s="107" t="e">
        <f aca="false">IRR(C86:V86)</f>
        <v>#REF!</v>
      </c>
      <c r="C87" s="108"/>
      <c r="D87" s="108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103"/>
    </row>
    <row r="88" customFormat="false" ht="18.75" hidden="false" customHeight="true" outlineLevel="0" collapsed="false">
      <c r="A88" s="90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103"/>
    </row>
    <row r="89" customFormat="false" ht="18.75" hidden="false" customHeight="true" outlineLevel="0" collapsed="false">
      <c r="A89" s="90" t="s">
        <v>85</v>
      </c>
      <c r="B89" s="95" t="n">
        <v>0</v>
      </c>
      <c r="C89" s="91" t="e">
        <f aca="false">C72</f>
        <v>#REF!</v>
      </c>
      <c r="D89" s="91" t="e">
        <f aca="false">C89+D72+D73</f>
        <v>#REF!</v>
      </c>
      <c r="E89" s="91" t="e">
        <f aca="false">D89+E72+E73</f>
        <v>#REF!</v>
      </c>
      <c r="F89" s="91" t="e">
        <f aca="false">E89+F72+F73</f>
        <v>#REF!</v>
      </c>
      <c r="G89" s="91" t="e">
        <f aca="false">F89+G72+G73</f>
        <v>#REF!</v>
      </c>
      <c r="H89" s="91" t="e">
        <f aca="false">G89+H72+H73</f>
        <v>#REF!</v>
      </c>
      <c r="I89" s="91" t="e">
        <f aca="false">H89+I72+I73</f>
        <v>#REF!</v>
      </c>
      <c r="J89" s="91" t="e">
        <f aca="false">I89+J72+J73</f>
        <v>#REF!</v>
      </c>
      <c r="K89" s="91" t="e">
        <f aca="false">J89+K72+K73</f>
        <v>#REF!</v>
      </c>
      <c r="L89" s="91" t="e">
        <f aca="false">K89+L72+L73</f>
        <v>#REF!</v>
      </c>
      <c r="M89" s="91" t="e">
        <f aca="false">L89+M72+M73</f>
        <v>#REF!</v>
      </c>
      <c r="N89" s="91" t="e">
        <f aca="false">M89+N72+N73</f>
        <v>#REF!</v>
      </c>
      <c r="O89" s="91" t="e">
        <f aca="false">N89+O72+O73</f>
        <v>#REF!</v>
      </c>
      <c r="P89" s="91" t="e">
        <f aca="false">O89+P72+P73</f>
        <v>#REF!</v>
      </c>
      <c r="Q89" s="91" t="e">
        <f aca="false">P89+Q72+Q73</f>
        <v>#REF!</v>
      </c>
      <c r="R89" s="91" t="e">
        <f aca="false">Q89+R72+R73</f>
        <v>#REF!</v>
      </c>
      <c r="S89" s="95"/>
      <c r="T89" s="95"/>
      <c r="U89" s="95"/>
      <c r="V89" s="95"/>
      <c r="W89" s="95"/>
    </row>
    <row r="90" customFormat="false" ht="18.75" hidden="false" customHeight="true" outlineLevel="0" collapsed="false"/>
    <row r="91" customFormat="false" ht="18.75" hidden="false" customHeight="true" outlineLevel="0" collapsed="false">
      <c r="A91" s="109"/>
    </row>
    <row r="92" customFormat="false" ht="18.75" hidden="false" customHeight="true" outlineLevel="0" collapsed="false">
      <c r="F92" s="74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1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10" t="n">
        <v>0.0173</v>
      </c>
      <c r="D2" s="110" t="n">
        <v>0.0171</v>
      </c>
      <c r="E2" s="110" t="n">
        <v>0.0175</v>
      </c>
      <c r="F2" s="110" t="n">
        <v>0.3</v>
      </c>
      <c r="G2" s="0" t="n">
        <v>6541500</v>
      </c>
      <c r="H2" s="0" t="n">
        <v>15000</v>
      </c>
      <c r="I2" s="0" t="n">
        <v>2000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10" t="n">
        <v>0.0224</v>
      </c>
      <c r="D3" s="110" t="n">
        <v>0.0315</v>
      </c>
      <c r="E3" s="110" t="n">
        <v>0.0329</v>
      </c>
      <c r="F3" s="110" t="n">
        <v>0.3</v>
      </c>
      <c r="G3" s="0" t="n">
        <v>6167762.3</v>
      </c>
      <c r="H3" s="0" t="n">
        <v>14143</v>
      </c>
      <c r="I3" s="0" t="n">
        <v>2000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10" t="n">
        <v>0.028</v>
      </c>
      <c r="D4" s="110" t="n">
        <v>0.0471</v>
      </c>
      <c r="E4" s="110" t="n">
        <v>0.0506</v>
      </c>
      <c r="F4" s="110" t="n">
        <v>0.3</v>
      </c>
      <c r="G4" s="0" t="n">
        <v>5794024.6</v>
      </c>
      <c r="H4" s="0" t="n">
        <v>13286</v>
      </c>
      <c r="I4" s="0" t="n">
        <v>2000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10" t="n">
        <v>0.0341</v>
      </c>
      <c r="D5" s="110" t="n">
        <v>0.0643</v>
      </c>
      <c r="E5" s="110" t="n">
        <v>0.0711</v>
      </c>
      <c r="F5" s="110" t="n">
        <v>0.3</v>
      </c>
      <c r="G5" s="0" t="n">
        <v>5420286.9</v>
      </c>
      <c r="H5" s="0" t="n">
        <v>12429</v>
      </c>
      <c r="I5" s="0" t="n">
        <v>2000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10" t="n">
        <v>0.0409</v>
      </c>
      <c r="D6" s="110" t="n">
        <v>0.0835</v>
      </c>
      <c r="E6" s="110" t="n">
        <v>0.0953</v>
      </c>
      <c r="F6" s="110" t="n">
        <v>0.3</v>
      </c>
      <c r="G6" s="0" t="n">
        <v>5046113.1</v>
      </c>
      <c r="H6" s="0" t="n">
        <v>11571</v>
      </c>
      <c r="I6" s="0" t="n">
        <v>2000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10" t="n">
        <v>0.0485</v>
      </c>
      <c r="D7" s="110" t="n">
        <v>0.1055</v>
      </c>
      <c r="E7" s="110" t="n">
        <v>0.1247</v>
      </c>
      <c r="F7" s="110" t="n">
        <v>0.3</v>
      </c>
      <c r="G7" s="0" t="n">
        <v>4672375.4</v>
      </c>
      <c r="H7" s="0" t="n">
        <v>10714</v>
      </c>
      <c r="I7" s="0" t="n">
        <v>2000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10" t="n">
        <v>0.057</v>
      </c>
      <c r="D8" s="110" t="n">
        <v>0.1309</v>
      </c>
      <c r="E8" s="110" t="n">
        <v>0.1616</v>
      </c>
      <c r="F8" s="110" t="n">
        <v>0.3</v>
      </c>
      <c r="G8" s="0" t="n">
        <v>4298637.7</v>
      </c>
      <c r="H8" s="0" t="n">
        <v>9857</v>
      </c>
      <c r="I8" s="0" t="n">
        <v>2000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10" t="n">
        <v>0.0668</v>
      </c>
      <c r="D9" s="110" t="n">
        <v>0.1612</v>
      </c>
      <c r="E9" s="110" t="n">
        <v>0.2096</v>
      </c>
      <c r="F9" s="110" t="n">
        <v>0.3</v>
      </c>
      <c r="G9" s="0" t="n">
        <v>3924900</v>
      </c>
      <c r="H9" s="0" t="n">
        <v>9000</v>
      </c>
      <c r="I9" s="0" t="n">
        <v>2000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W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3"/>
    <col collapsed="false" customWidth="true" hidden="false" outlineLevel="0" max="4" min="4" style="0" width="11"/>
    <col collapsed="false" customWidth="true" hidden="false" outlineLevel="0" max="12" min="5" style="0" width="21"/>
    <col collapsed="false" customWidth="true" hidden="false" outlineLevel="0" max="13" min="13" style="0" width="39"/>
    <col collapsed="false" customWidth="true" hidden="false" outlineLevel="0" max="19" min="14" style="0" width="21"/>
    <col collapsed="false" customWidth="true" hidden="false" outlineLevel="0" max="23" min="20" style="0" width="12"/>
  </cols>
  <sheetData>
    <row r="2" customFormat="false" ht="15" hidden="false" customHeight="false" outlineLevel="0" collapsed="false">
      <c r="C2" s="0" t="s">
        <v>100</v>
      </c>
    </row>
    <row r="3" customFormat="false" ht="15" hidden="false" customHeight="false" outlineLevel="0" collapsed="false">
      <c r="C3" s="0" t="n">
        <v>20</v>
      </c>
    </row>
    <row r="4" customFormat="false" ht="15" hidden="false" customHeight="false" outlineLevel="0" collapsed="false">
      <c r="C4" s="0" t="n">
        <v>436.1</v>
      </c>
      <c r="M4" s="0" t="s">
        <v>101</v>
      </c>
    </row>
    <row r="5" customFormat="false" ht="15" hidden="false" customHeight="false" outlineLevel="0" collapsed="false">
      <c r="C5" s="0" t="n">
        <v>2020</v>
      </c>
      <c r="E5" s="0" t="n">
        <v>2039</v>
      </c>
      <c r="M5" s="0" t="s">
        <v>102</v>
      </c>
    </row>
    <row r="6" customFormat="false" ht="15" hidden="false" customHeight="false" outlineLevel="0" collapsed="false">
      <c r="M6" s="0" t="s">
        <v>103</v>
      </c>
    </row>
    <row r="7" customFormat="false" ht="15" hidden="false" customHeight="false" outlineLevel="0" collapsed="false">
      <c r="M7" s="0" t="s">
        <v>104</v>
      </c>
    </row>
    <row r="8" customFormat="false" ht="15" hidden="false" customHeight="false" outlineLevel="0" collapsed="false">
      <c r="M8" s="0" t="s">
        <v>105</v>
      </c>
    </row>
    <row r="9" customFormat="false" ht="15" hidden="false" customHeight="false" outlineLevel="0" collapsed="false">
      <c r="M9" s="0" t="s">
        <v>106</v>
      </c>
    </row>
    <row r="10" customFormat="false" ht="15" hidden="false" customHeight="false" outlineLevel="0" collapsed="false">
      <c r="D10" s="0" t="n">
        <v>547002</v>
      </c>
      <c r="E10" s="0" t="n">
        <v>20</v>
      </c>
      <c r="M10" s="0" t="s">
        <v>107</v>
      </c>
    </row>
    <row r="11" customFormat="false" ht="15" hidden="false" customHeight="false" outlineLevel="0" collapsed="false">
      <c r="D11" s="0" t="n">
        <v>0.01</v>
      </c>
    </row>
    <row r="12" customFormat="false" ht="15" hidden="false" customHeight="false" outlineLevel="0" collapsed="false">
      <c r="D12" s="0" t="n">
        <v>0.004</v>
      </c>
    </row>
    <row r="13" customFormat="false" ht="15" hidden="false" customHeight="false" outlineLevel="0" collapsed="false">
      <c r="D13" s="0" t="n">
        <v>3.7152</v>
      </c>
    </row>
    <row r="16" customFormat="false" ht="15" hidden="false" customHeight="false" outlineLevel="0" collapsed="false">
      <c r="D16" s="0" t="n">
        <v>35000</v>
      </c>
      <c r="E16" s="0" t="n">
        <v>20</v>
      </c>
    </row>
    <row r="17" customFormat="false" ht="15" hidden="false" customHeight="false" outlineLevel="0" collapsed="false">
      <c r="D17" s="0" t="n">
        <v>0.3</v>
      </c>
    </row>
    <row r="18" customFormat="false" ht="15" hidden="false" customHeight="false" outlineLevel="0" collapsed="false">
      <c r="D18" s="0" t="n">
        <v>2000</v>
      </c>
    </row>
    <row r="19" customFormat="false" ht="15" hidden="false" customHeight="false" outlineLevel="0" collapsed="false">
      <c r="D19" s="0" t="n">
        <v>1</v>
      </c>
      <c r="E19" s="0" t="n">
        <v>0</v>
      </c>
    </row>
    <row r="20" customFormat="false" ht="15" hidden="false" customHeight="false" outlineLevel="0" collapsed="false">
      <c r="D20" s="0" t="n">
        <v>290201</v>
      </c>
      <c r="E20" s="0" t="n">
        <v>20</v>
      </c>
    </row>
    <row r="21" customFormat="false" ht="15" hidden="false" customHeight="false" outlineLevel="0" collapsed="false">
      <c r="D21" s="0" t="n">
        <v>0</v>
      </c>
      <c r="E21" s="0" t="n">
        <v>0</v>
      </c>
    </row>
    <row r="22" customFormat="false" ht="15" hidden="false" customHeight="false" outlineLevel="0" collapsed="false">
      <c r="D22" s="0" t="n">
        <v>400</v>
      </c>
      <c r="E22" s="0" t="n">
        <v>20</v>
      </c>
    </row>
    <row r="23" customFormat="false" ht="15" hidden="false" customHeight="false" outlineLevel="0" collapsed="false">
      <c r="D23" s="0" t="n">
        <v>0.003</v>
      </c>
      <c r="E23" s="0" t="n">
        <v>20</v>
      </c>
    </row>
    <row r="24" customFormat="false" ht="15" hidden="false" customHeight="false" outlineLevel="0" collapsed="false">
      <c r="D24" s="0" t="n">
        <v>1000</v>
      </c>
      <c r="E24" s="0" t="n">
        <v>10</v>
      </c>
    </row>
    <row r="25" customFormat="false" ht="15" hidden="false" customHeight="false" outlineLevel="0" collapsed="false">
      <c r="D25" s="0" t="n">
        <v>0.025595</v>
      </c>
      <c r="E25" s="0" t="n">
        <v>0</v>
      </c>
    </row>
    <row r="26" customFormat="false" ht="15" hidden="false" customHeight="false" outlineLevel="0" collapsed="false">
      <c r="D26" s="0" t="n">
        <v>0.2</v>
      </c>
      <c r="E26" s="0" t="n">
        <v>0</v>
      </c>
    </row>
    <row r="31" customFormat="false" ht="15" hidden="false" customHeight="false" outlineLevel="0" collapsed="false">
      <c r="D31" s="0" t="n">
        <v>0.8</v>
      </c>
    </row>
    <row r="32" customFormat="false" ht="15" hidden="false" customHeight="false" outlineLevel="0" collapsed="false">
      <c r="D32" s="0" t="n">
        <v>15</v>
      </c>
    </row>
    <row r="33" customFormat="false" ht="15" hidden="false" customHeight="false" outlineLevel="0" collapsed="false">
      <c r="D33" s="0" t="n">
        <v>0.9</v>
      </c>
    </row>
    <row r="34" customFormat="false" ht="15" hidden="false" customHeight="false" outlineLevel="0" collapsed="false">
      <c r="D34" s="0" t="n">
        <v>4</v>
      </c>
    </row>
    <row r="37" customFormat="false" ht="1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" hidden="false" customHeight="false" outlineLevel="0" collapsed="false">
      <c r="D49" s="0" t="n">
        <v>-45790.5</v>
      </c>
      <c r="E49" s="0" t="n">
        <v>-45790.5</v>
      </c>
      <c r="F49" s="0" t="n">
        <v>-45790.5</v>
      </c>
      <c r="G49" s="0" t="n">
        <v>-45790.5</v>
      </c>
      <c r="H49" s="0" t="n">
        <v>-45790.5</v>
      </c>
      <c r="I49" s="0" t="n">
        <v>-45790.5</v>
      </c>
      <c r="J49" s="0" t="n">
        <v>-45790.5</v>
      </c>
      <c r="K49" s="0" t="n">
        <v>-45790.5</v>
      </c>
      <c r="L49" s="0" t="n">
        <v>-45790.5</v>
      </c>
      <c r="M49" s="0" t="n">
        <v>-45790.5</v>
      </c>
      <c r="N49" s="0" t="n">
        <v>-45790.5</v>
      </c>
      <c r="O49" s="0" t="n">
        <v>-45790.5</v>
      </c>
      <c r="P49" s="0" t="n">
        <v>-45790.5</v>
      </c>
      <c r="Q49" s="0" t="n">
        <v>-45790.5</v>
      </c>
      <c r="R49" s="0" t="n">
        <v>-45790.5</v>
      </c>
      <c r="S49" s="0" t="n">
        <v>-45790.5</v>
      </c>
      <c r="T49" s="0" t="n">
        <v>-45790.5</v>
      </c>
      <c r="U49" s="0" t="n">
        <v>-45790.5</v>
      </c>
      <c r="V49" s="0" t="n">
        <v>-45790.5</v>
      </c>
      <c r="W49" s="0" t="n">
        <v>-45790.5</v>
      </c>
    </row>
    <row r="50" customFormat="false" ht="1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" hidden="false" customHeight="false" outlineLevel="0" collapsed="false">
      <c r="E93" s="0" t="n">
        <v>-1209450.66666667</v>
      </c>
      <c r="F93" s="0" t="n">
        <v>-1209450.66666667</v>
      </c>
      <c r="G93" s="0" t="n">
        <v>-1209450.66666667</v>
      </c>
      <c r="H93" s="0" t="n">
        <v>-1209450.66666667</v>
      </c>
      <c r="I93" s="0" t="n">
        <v>-1209450.66666667</v>
      </c>
      <c r="J93" s="0" t="n">
        <v>-1209450.66666667</v>
      </c>
      <c r="K93" s="0" t="n">
        <v>-1209450.66666667</v>
      </c>
      <c r="L93" s="0" t="n">
        <v>-1209450.66666667</v>
      </c>
      <c r="M93" s="0" t="n">
        <v>-1209450.66666667</v>
      </c>
      <c r="N93" s="0" t="n">
        <v>-1209450.66666667</v>
      </c>
      <c r="O93" s="0" t="n">
        <v>-1209450.66666667</v>
      </c>
      <c r="P93" s="0" t="n">
        <v>-1209450.66666667</v>
      </c>
      <c r="Q93" s="0" t="n">
        <v>-1209450.66666667</v>
      </c>
      <c r="R93" s="0" t="n">
        <v>-1209450.66666667</v>
      </c>
      <c r="S93" s="0" t="n">
        <v>-1209450.66666667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-1133860</v>
      </c>
      <c r="U96" s="0" t="n">
        <v>-1133860</v>
      </c>
      <c r="V96" s="0" t="n">
        <v>-1133860</v>
      </c>
      <c r="W96" s="0" t="n">
        <v>-1133860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W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3"/>
    <col collapsed="false" customWidth="true" hidden="false" outlineLevel="0" max="4" min="4" style="0" width="11"/>
    <col collapsed="false" customWidth="true" hidden="false" outlineLevel="0" max="12" min="5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2"/>
  </cols>
  <sheetData>
    <row r="2" customFormat="false" ht="15" hidden="false" customHeight="false" outlineLevel="0" collapsed="false">
      <c r="C2" s="0" t="s">
        <v>100</v>
      </c>
    </row>
    <row r="3" customFormat="false" ht="15" hidden="false" customHeight="false" outlineLevel="0" collapsed="false">
      <c r="C3" s="0" t="n">
        <v>20</v>
      </c>
    </row>
    <row r="4" customFormat="false" ht="15" hidden="false" customHeight="false" outlineLevel="0" collapsed="false">
      <c r="C4" s="0" t="n">
        <v>436.1</v>
      </c>
      <c r="M4" s="0" t="s">
        <v>108</v>
      </c>
    </row>
    <row r="5" customFormat="false" ht="15" hidden="false" customHeight="false" outlineLevel="0" collapsed="false">
      <c r="C5" s="0" t="n">
        <v>2020</v>
      </c>
      <c r="E5" s="0" t="n">
        <v>2039</v>
      </c>
      <c r="M5" s="0" t="s">
        <v>109</v>
      </c>
    </row>
    <row r="6" customFormat="false" ht="15" hidden="false" customHeight="false" outlineLevel="0" collapsed="false">
      <c r="M6" s="0" t="s">
        <v>110</v>
      </c>
    </row>
    <row r="7" customFormat="false" ht="15" hidden="false" customHeight="false" outlineLevel="0" collapsed="false">
      <c r="M7" s="0" t="s">
        <v>111</v>
      </c>
    </row>
    <row r="8" customFormat="false" ht="15" hidden="false" customHeight="false" outlineLevel="0" collapsed="false">
      <c r="M8" s="0" t="s">
        <v>112</v>
      </c>
    </row>
    <row r="9" customFormat="false" ht="15" hidden="false" customHeight="false" outlineLevel="0" collapsed="false">
      <c r="M9" s="0" t="s">
        <v>106</v>
      </c>
    </row>
    <row r="10" customFormat="false" ht="15" hidden="false" customHeight="false" outlineLevel="0" collapsed="false">
      <c r="D10" s="0" t="n">
        <v>547002</v>
      </c>
      <c r="E10" s="0" t="n">
        <v>20</v>
      </c>
      <c r="M10" s="0" t="s">
        <v>93</v>
      </c>
    </row>
    <row r="11" customFormat="false" ht="15" hidden="false" customHeight="false" outlineLevel="0" collapsed="false">
      <c r="D11" s="0" t="n">
        <v>0.01</v>
      </c>
    </row>
    <row r="12" customFormat="false" ht="15" hidden="false" customHeight="false" outlineLevel="0" collapsed="false">
      <c r="D12" s="0" t="n">
        <v>0.004</v>
      </c>
    </row>
    <row r="13" customFormat="false" ht="15" hidden="false" customHeight="false" outlineLevel="0" collapsed="false">
      <c r="D13" s="0" t="n">
        <v>3.7152</v>
      </c>
    </row>
    <row r="16" customFormat="false" ht="15" hidden="false" customHeight="false" outlineLevel="0" collapsed="false">
      <c r="D16" s="0" t="n">
        <v>33000</v>
      </c>
      <c r="E16" s="0" t="n">
        <v>20</v>
      </c>
    </row>
    <row r="17" customFormat="false" ht="15" hidden="false" customHeight="false" outlineLevel="0" collapsed="false">
      <c r="D17" s="0" t="n">
        <v>0.3</v>
      </c>
    </row>
    <row r="18" customFormat="false" ht="15" hidden="false" customHeight="false" outlineLevel="0" collapsed="false">
      <c r="D18" s="0" t="n">
        <v>2000</v>
      </c>
    </row>
    <row r="19" customFormat="false" ht="15" hidden="false" customHeight="false" outlineLevel="0" collapsed="false">
      <c r="D19" s="0" t="n">
        <v>1</v>
      </c>
      <c r="E19" s="0" t="n">
        <v>0</v>
      </c>
    </row>
    <row r="20" customFormat="false" ht="15" hidden="false" customHeight="false" outlineLevel="0" collapsed="false">
      <c r="D20" s="0" t="n">
        <v>290201</v>
      </c>
      <c r="E20" s="0" t="n">
        <v>20</v>
      </c>
    </row>
    <row r="21" customFormat="false" ht="15" hidden="false" customHeight="false" outlineLevel="0" collapsed="false">
      <c r="D21" s="0" t="n">
        <v>0</v>
      </c>
      <c r="E21" s="0" t="n">
        <v>0</v>
      </c>
    </row>
    <row r="22" customFormat="false" ht="15" hidden="false" customHeight="false" outlineLevel="0" collapsed="false">
      <c r="D22" s="0" t="n">
        <v>400</v>
      </c>
      <c r="E22" s="0" t="n">
        <v>20</v>
      </c>
    </row>
    <row r="23" customFormat="false" ht="15" hidden="false" customHeight="false" outlineLevel="0" collapsed="false">
      <c r="D23" s="0" t="n">
        <v>0.003</v>
      </c>
      <c r="E23" s="0" t="n">
        <v>20</v>
      </c>
    </row>
    <row r="24" customFormat="false" ht="15" hidden="false" customHeight="false" outlineLevel="0" collapsed="false">
      <c r="D24" s="0" t="n">
        <v>1000</v>
      </c>
      <c r="E24" s="0" t="n">
        <v>10</v>
      </c>
    </row>
    <row r="25" customFormat="false" ht="15" hidden="false" customHeight="false" outlineLevel="0" collapsed="false">
      <c r="D25" s="0" t="n">
        <v>0.025595</v>
      </c>
      <c r="E25" s="0" t="n">
        <v>0</v>
      </c>
    </row>
    <row r="26" customFormat="false" ht="15" hidden="false" customHeight="false" outlineLevel="0" collapsed="false">
      <c r="D26" s="0" t="n">
        <v>0.2</v>
      </c>
      <c r="E26" s="0" t="n">
        <v>0</v>
      </c>
    </row>
    <row r="31" customFormat="false" ht="15" hidden="false" customHeight="false" outlineLevel="0" collapsed="false">
      <c r="D31" s="0" t="n">
        <v>0.8</v>
      </c>
    </row>
    <row r="32" customFormat="false" ht="15" hidden="false" customHeight="false" outlineLevel="0" collapsed="false">
      <c r="D32" s="0" t="n">
        <v>15</v>
      </c>
    </row>
    <row r="33" customFormat="false" ht="15" hidden="false" customHeight="false" outlineLevel="0" collapsed="false">
      <c r="D33" s="0" t="n">
        <v>0.9</v>
      </c>
    </row>
    <row r="34" customFormat="false" ht="15" hidden="false" customHeight="false" outlineLevel="0" collapsed="false">
      <c r="D34" s="0" t="n">
        <v>4</v>
      </c>
    </row>
    <row r="37" customFormat="false" ht="1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" hidden="false" customHeight="false" outlineLevel="0" collapsed="false">
      <c r="D49" s="0" t="n">
        <v>-43173.9</v>
      </c>
      <c r="E49" s="0" t="n">
        <v>-43173.9</v>
      </c>
      <c r="F49" s="0" t="n">
        <v>-43173.9</v>
      </c>
      <c r="G49" s="0" t="n">
        <v>-43173.9</v>
      </c>
      <c r="H49" s="0" t="n">
        <v>-43173.9</v>
      </c>
      <c r="I49" s="0" t="n">
        <v>-43173.9</v>
      </c>
      <c r="J49" s="0" t="n">
        <v>-43173.9</v>
      </c>
      <c r="K49" s="0" t="n">
        <v>-43173.9</v>
      </c>
      <c r="L49" s="0" t="n">
        <v>-43173.9</v>
      </c>
      <c r="M49" s="0" t="n">
        <v>-43173.9</v>
      </c>
      <c r="N49" s="0" t="n">
        <v>-43173.9</v>
      </c>
      <c r="O49" s="0" t="n">
        <v>-43173.9</v>
      </c>
      <c r="P49" s="0" t="n">
        <v>-43173.9</v>
      </c>
      <c r="Q49" s="0" t="n">
        <v>-43173.9</v>
      </c>
      <c r="R49" s="0" t="n">
        <v>-43173.9</v>
      </c>
      <c r="S49" s="0" t="n">
        <v>-43173.9</v>
      </c>
      <c r="T49" s="0" t="n">
        <v>-43173.9</v>
      </c>
      <c r="U49" s="0" t="n">
        <v>-43173.9</v>
      </c>
      <c r="V49" s="0" t="n">
        <v>-43173.9</v>
      </c>
      <c r="W49" s="0" t="n">
        <v>-43173.9</v>
      </c>
    </row>
    <row r="50" customFormat="false" ht="1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" hidden="false" customHeight="false" outlineLevel="0" collapsed="false">
      <c r="E93" s="0" t="n">
        <v>-1142997.33333333</v>
      </c>
      <c r="F93" s="0" t="n">
        <v>-1142997.33333333</v>
      </c>
      <c r="G93" s="0" t="n">
        <v>-1142997.33333333</v>
      </c>
      <c r="H93" s="0" t="n">
        <v>-1142997.33333333</v>
      </c>
      <c r="I93" s="0" t="n">
        <v>-1142997.33333333</v>
      </c>
      <c r="J93" s="0" t="n">
        <v>-1142997.33333333</v>
      </c>
      <c r="K93" s="0" t="n">
        <v>-1142997.33333333</v>
      </c>
      <c r="L93" s="0" t="n">
        <v>-1142997.33333333</v>
      </c>
      <c r="M93" s="0" t="n">
        <v>-1142997.33333333</v>
      </c>
      <c r="N93" s="0" t="n">
        <v>-1142997.33333333</v>
      </c>
      <c r="O93" s="0" t="n">
        <v>-1142997.33333333</v>
      </c>
      <c r="P93" s="0" t="n">
        <v>-1142997.33333333</v>
      </c>
      <c r="Q93" s="0" t="n">
        <v>-1142997.33333333</v>
      </c>
      <c r="R93" s="0" t="n">
        <v>-1142997.33333333</v>
      </c>
      <c r="S93" s="0" t="n">
        <v>-1142997.33333333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-1071560</v>
      </c>
      <c r="U96" s="0" t="n">
        <v>-1071560</v>
      </c>
      <c r="V96" s="0" t="n">
        <v>-1071560</v>
      </c>
      <c r="W96" s="0" t="n">
        <v>-1071560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W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3"/>
    <col collapsed="false" customWidth="true" hidden="false" outlineLevel="0" max="4" min="4" style="0" width="11"/>
    <col collapsed="false" customWidth="true" hidden="false" outlineLevel="0" max="12" min="5" style="0" width="12"/>
    <col collapsed="false" customWidth="true" hidden="false" outlineLevel="0" max="13" min="13" style="0" width="50"/>
    <col collapsed="false" customWidth="true" hidden="false" outlineLevel="0" max="23" min="14" style="0" width="12"/>
  </cols>
  <sheetData>
    <row r="2" customFormat="false" ht="15" hidden="false" customHeight="false" outlineLevel="0" collapsed="false">
      <c r="C2" s="0" t="s">
        <v>100</v>
      </c>
    </row>
    <row r="3" customFormat="false" ht="15" hidden="false" customHeight="false" outlineLevel="0" collapsed="false">
      <c r="C3" s="0" t="n">
        <v>20</v>
      </c>
    </row>
    <row r="4" customFormat="false" ht="15" hidden="false" customHeight="false" outlineLevel="0" collapsed="false">
      <c r="C4" s="0" t="n">
        <v>436.1</v>
      </c>
      <c r="M4" s="0" t="s">
        <v>113</v>
      </c>
    </row>
    <row r="5" customFormat="false" ht="15" hidden="false" customHeight="false" outlineLevel="0" collapsed="false">
      <c r="C5" s="0" t="n">
        <v>2020</v>
      </c>
      <c r="E5" s="0" t="n">
        <v>2039</v>
      </c>
      <c r="M5" s="0" t="s">
        <v>114</v>
      </c>
    </row>
    <row r="6" customFormat="false" ht="15" hidden="false" customHeight="false" outlineLevel="0" collapsed="false">
      <c r="M6" s="0" t="s">
        <v>115</v>
      </c>
    </row>
    <row r="7" customFormat="false" ht="15" hidden="false" customHeight="false" outlineLevel="0" collapsed="false">
      <c r="M7" s="0" t="s">
        <v>116</v>
      </c>
    </row>
    <row r="8" customFormat="false" ht="15" hidden="false" customHeight="false" outlineLevel="0" collapsed="false">
      <c r="M8" s="0" t="s">
        <v>117</v>
      </c>
    </row>
    <row r="9" customFormat="false" ht="15" hidden="false" customHeight="false" outlineLevel="0" collapsed="false">
      <c r="M9" s="0" t="s">
        <v>106</v>
      </c>
    </row>
    <row r="10" customFormat="false" ht="15" hidden="false" customHeight="false" outlineLevel="0" collapsed="false">
      <c r="D10" s="0" t="n">
        <v>547002</v>
      </c>
      <c r="E10" s="0" t="n">
        <v>20</v>
      </c>
      <c r="M10" s="0" t="s">
        <v>94</v>
      </c>
    </row>
    <row r="11" customFormat="false" ht="15" hidden="false" customHeight="false" outlineLevel="0" collapsed="false">
      <c r="D11" s="0" t="n">
        <v>0.01</v>
      </c>
    </row>
    <row r="12" customFormat="false" ht="15" hidden="false" customHeight="false" outlineLevel="0" collapsed="false">
      <c r="D12" s="0" t="n">
        <v>0.004</v>
      </c>
    </row>
    <row r="13" customFormat="false" ht="15" hidden="false" customHeight="false" outlineLevel="0" collapsed="false">
      <c r="D13" s="0" t="n">
        <v>3.7152</v>
      </c>
    </row>
    <row r="16" customFormat="false" ht="15" hidden="false" customHeight="false" outlineLevel="0" collapsed="false">
      <c r="D16" s="0" t="n">
        <v>31000</v>
      </c>
      <c r="E16" s="0" t="n">
        <v>20</v>
      </c>
    </row>
    <row r="17" customFormat="false" ht="15" hidden="false" customHeight="false" outlineLevel="0" collapsed="false">
      <c r="D17" s="0" t="n">
        <v>0.3</v>
      </c>
    </row>
    <row r="18" customFormat="false" ht="15" hidden="false" customHeight="false" outlineLevel="0" collapsed="false">
      <c r="D18" s="0" t="n">
        <v>2000</v>
      </c>
    </row>
    <row r="19" customFormat="false" ht="15" hidden="false" customHeight="false" outlineLevel="0" collapsed="false">
      <c r="D19" s="0" t="n">
        <v>1</v>
      </c>
      <c r="E19" s="0" t="n">
        <v>0</v>
      </c>
    </row>
    <row r="20" customFormat="false" ht="15" hidden="false" customHeight="false" outlineLevel="0" collapsed="false">
      <c r="D20" s="0" t="n">
        <v>290201</v>
      </c>
      <c r="E20" s="0" t="n">
        <v>20</v>
      </c>
    </row>
    <row r="21" customFormat="false" ht="15" hidden="false" customHeight="false" outlineLevel="0" collapsed="false">
      <c r="D21" s="0" t="n">
        <v>0</v>
      </c>
      <c r="E21" s="0" t="n">
        <v>0</v>
      </c>
    </row>
    <row r="22" customFormat="false" ht="15" hidden="false" customHeight="false" outlineLevel="0" collapsed="false">
      <c r="D22" s="0" t="n">
        <v>400</v>
      </c>
      <c r="E22" s="0" t="n">
        <v>20</v>
      </c>
    </row>
    <row r="23" customFormat="false" ht="15" hidden="false" customHeight="false" outlineLevel="0" collapsed="false">
      <c r="D23" s="0" t="n">
        <v>0.003</v>
      </c>
      <c r="E23" s="0" t="n">
        <v>20</v>
      </c>
    </row>
    <row r="24" customFormat="false" ht="15" hidden="false" customHeight="false" outlineLevel="0" collapsed="false">
      <c r="D24" s="0" t="n">
        <v>1000</v>
      </c>
      <c r="E24" s="0" t="n">
        <v>10</v>
      </c>
    </row>
    <row r="25" customFormat="false" ht="15" hidden="false" customHeight="false" outlineLevel="0" collapsed="false">
      <c r="D25" s="0" t="n">
        <v>0.025595</v>
      </c>
      <c r="E25" s="0" t="n">
        <v>0</v>
      </c>
    </row>
    <row r="26" customFormat="false" ht="15" hidden="false" customHeight="false" outlineLevel="0" collapsed="false">
      <c r="D26" s="0" t="n">
        <v>0.2</v>
      </c>
      <c r="E26" s="0" t="n">
        <v>0</v>
      </c>
    </row>
    <row r="31" customFormat="false" ht="15" hidden="false" customHeight="false" outlineLevel="0" collapsed="false">
      <c r="D31" s="0" t="n">
        <v>0.8</v>
      </c>
    </row>
    <row r="32" customFormat="false" ht="15" hidden="false" customHeight="false" outlineLevel="0" collapsed="false">
      <c r="D32" s="0" t="n">
        <v>15</v>
      </c>
    </row>
    <row r="33" customFormat="false" ht="15" hidden="false" customHeight="false" outlineLevel="0" collapsed="false">
      <c r="D33" s="0" t="n">
        <v>0.9</v>
      </c>
    </row>
    <row r="34" customFormat="false" ht="15" hidden="false" customHeight="false" outlineLevel="0" collapsed="false">
      <c r="D34" s="0" t="n">
        <v>4</v>
      </c>
    </row>
    <row r="37" customFormat="false" ht="1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" hidden="false" customHeight="false" outlineLevel="0" collapsed="false">
      <c r="D49" s="0" t="n">
        <v>-40557.3</v>
      </c>
      <c r="E49" s="0" t="n">
        <v>-40557.3</v>
      </c>
      <c r="F49" s="0" t="n">
        <v>-40557.3</v>
      </c>
      <c r="G49" s="0" t="n">
        <v>-40557.3</v>
      </c>
      <c r="H49" s="0" t="n">
        <v>-40557.3</v>
      </c>
      <c r="I49" s="0" t="n">
        <v>-40557.3</v>
      </c>
      <c r="J49" s="0" t="n">
        <v>-40557.3</v>
      </c>
      <c r="K49" s="0" t="n">
        <v>-40557.3</v>
      </c>
      <c r="L49" s="0" t="n">
        <v>-40557.3</v>
      </c>
      <c r="M49" s="0" t="n">
        <v>-40557.3</v>
      </c>
      <c r="N49" s="0" t="n">
        <v>-40557.3</v>
      </c>
      <c r="O49" s="0" t="n">
        <v>-40557.3</v>
      </c>
      <c r="P49" s="0" t="n">
        <v>-40557.3</v>
      </c>
      <c r="Q49" s="0" t="n">
        <v>-40557.3</v>
      </c>
      <c r="R49" s="0" t="n">
        <v>-40557.3</v>
      </c>
      <c r="S49" s="0" t="n">
        <v>-40557.3</v>
      </c>
      <c r="T49" s="0" t="n">
        <v>-40557.3</v>
      </c>
      <c r="U49" s="0" t="n">
        <v>-40557.3</v>
      </c>
      <c r="V49" s="0" t="n">
        <v>-40557.3</v>
      </c>
      <c r="W49" s="0" t="n">
        <v>-40557.3</v>
      </c>
    </row>
    <row r="50" customFormat="false" ht="1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" hidden="false" customHeight="false" outlineLevel="0" collapsed="false">
      <c r="E93" s="0" t="n">
        <v>-1076544</v>
      </c>
      <c r="F93" s="0" t="n">
        <v>-1076544</v>
      </c>
      <c r="G93" s="0" t="n">
        <v>-1076544</v>
      </c>
      <c r="H93" s="0" t="n">
        <v>-1076544</v>
      </c>
      <c r="I93" s="0" t="n">
        <v>-1076544</v>
      </c>
      <c r="J93" s="0" t="n">
        <v>-1076544</v>
      </c>
      <c r="K93" s="0" t="n">
        <v>-1076544</v>
      </c>
      <c r="L93" s="0" t="n">
        <v>-1076544</v>
      </c>
      <c r="M93" s="0" t="n">
        <v>-1076544</v>
      </c>
      <c r="N93" s="0" t="n">
        <v>-1076544</v>
      </c>
      <c r="O93" s="0" t="n">
        <v>-1076544</v>
      </c>
      <c r="P93" s="0" t="n">
        <v>-1076544</v>
      </c>
      <c r="Q93" s="0" t="n">
        <v>-1076544</v>
      </c>
      <c r="R93" s="0" t="n">
        <v>-1076544</v>
      </c>
      <c r="S93" s="0" t="n">
        <v>-1076544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-1009260</v>
      </c>
      <c r="U96" s="0" t="n">
        <v>-1009260</v>
      </c>
      <c r="V96" s="0" t="n">
        <v>-1009260</v>
      </c>
      <c r="W96" s="0" t="n">
        <v>-1009260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W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3"/>
    <col collapsed="false" customWidth="true" hidden="false" outlineLevel="0" max="4" min="4" style="0" width="11"/>
    <col collapsed="false" customWidth="true" hidden="false" outlineLevel="0" max="12" min="5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1"/>
  </cols>
  <sheetData>
    <row r="2" customFormat="false" ht="15" hidden="false" customHeight="false" outlineLevel="0" collapsed="false">
      <c r="C2" s="0" t="s">
        <v>100</v>
      </c>
    </row>
    <row r="3" customFormat="false" ht="15" hidden="false" customHeight="false" outlineLevel="0" collapsed="false">
      <c r="C3" s="0" t="n">
        <v>20</v>
      </c>
    </row>
    <row r="4" customFormat="false" ht="15" hidden="false" customHeight="false" outlineLevel="0" collapsed="false">
      <c r="C4" s="0" t="n">
        <v>436.1</v>
      </c>
      <c r="M4" s="0" t="s">
        <v>118</v>
      </c>
    </row>
    <row r="5" customFormat="false" ht="15" hidden="false" customHeight="false" outlineLevel="0" collapsed="false">
      <c r="C5" s="0" t="n">
        <v>2020</v>
      </c>
      <c r="E5" s="0" t="n">
        <v>2039</v>
      </c>
      <c r="M5" s="0" t="s">
        <v>119</v>
      </c>
    </row>
    <row r="6" customFormat="false" ht="15" hidden="false" customHeight="false" outlineLevel="0" collapsed="false">
      <c r="M6" s="0" t="s">
        <v>120</v>
      </c>
    </row>
    <row r="7" customFormat="false" ht="15" hidden="false" customHeight="false" outlineLevel="0" collapsed="false">
      <c r="M7" s="0" t="s">
        <v>121</v>
      </c>
    </row>
    <row r="8" customFormat="false" ht="15" hidden="false" customHeight="false" outlineLevel="0" collapsed="false">
      <c r="M8" s="0" t="s">
        <v>122</v>
      </c>
    </row>
    <row r="9" customFormat="false" ht="15" hidden="false" customHeight="false" outlineLevel="0" collapsed="false">
      <c r="M9" s="0" t="s">
        <v>106</v>
      </c>
    </row>
    <row r="10" customFormat="false" ht="15" hidden="false" customHeight="false" outlineLevel="0" collapsed="false">
      <c r="D10" s="0" t="n">
        <v>547002</v>
      </c>
      <c r="E10" s="0" t="n">
        <v>20</v>
      </c>
      <c r="M10" s="0" t="s">
        <v>95</v>
      </c>
    </row>
    <row r="11" customFormat="false" ht="15" hidden="false" customHeight="false" outlineLevel="0" collapsed="false">
      <c r="D11" s="0" t="n">
        <v>0.01</v>
      </c>
    </row>
    <row r="12" customFormat="false" ht="15" hidden="false" customHeight="false" outlineLevel="0" collapsed="false">
      <c r="D12" s="0" t="n">
        <v>0.004</v>
      </c>
    </row>
    <row r="13" customFormat="false" ht="15" hidden="false" customHeight="false" outlineLevel="0" collapsed="false">
      <c r="D13" s="0" t="n">
        <v>3.7152</v>
      </c>
    </row>
    <row r="16" customFormat="false" ht="15" hidden="false" customHeight="false" outlineLevel="0" collapsed="false">
      <c r="D16" s="0" t="n">
        <v>29000</v>
      </c>
      <c r="E16" s="0" t="n">
        <v>20</v>
      </c>
    </row>
    <row r="17" customFormat="false" ht="15" hidden="false" customHeight="false" outlineLevel="0" collapsed="false">
      <c r="D17" s="0" t="n">
        <v>0.3</v>
      </c>
    </row>
    <row r="18" customFormat="false" ht="15" hidden="false" customHeight="false" outlineLevel="0" collapsed="false">
      <c r="D18" s="0" t="n">
        <v>2000</v>
      </c>
    </row>
    <row r="19" customFormat="false" ht="15" hidden="false" customHeight="false" outlineLevel="0" collapsed="false">
      <c r="D19" s="0" t="n">
        <v>1</v>
      </c>
      <c r="E19" s="0" t="n">
        <v>0</v>
      </c>
    </row>
    <row r="20" customFormat="false" ht="15" hidden="false" customHeight="false" outlineLevel="0" collapsed="false">
      <c r="D20" s="0" t="n">
        <v>290201</v>
      </c>
      <c r="E20" s="0" t="n">
        <v>20</v>
      </c>
    </row>
    <row r="21" customFormat="false" ht="15" hidden="false" customHeight="false" outlineLevel="0" collapsed="false">
      <c r="D21" s="0" t="n">
        <v>0</v>
      </c>
      <c r="E21" s="0" t="n">
        <v>0</v>
      </c>
    </row>
    <row r="22" customFormat="false" ht="15" hidden="false" customHeight="false" outlineLevel="0" collapsed="false">
      <c r="D22" s="0" t="n">
        <v>400</v>
      </c>
      <c r="E22" s="0" t="n">
        <v>20</v>
      </c>
    </row>
    <row r="23" customFormat="false" ht="15" hidden="false" customHeight="false" outlineLevel="0" collapsed="false">
      <c r="D23" s="0" t="n">
        <v>0.003</v>
      </c>
      <c r="E23" s="0" t="n">
        <v>20</v>
      </c>
    </row>
    <row r="24" customFormat="false" ht="15" hidden="false" customHeight="false" outlineLevel="0" collapsed="false">
      <c r="D24" s="0" t="n">
        <v>1000</v>
      </c>
      <c r="E24" s="0" t="n">
        <v>10</v>
      </c>
    </row>
    <row r="25" customFormat="false" ht="15" hidden="false" customHeight="false" outlineLevel="0" collapsed="false">
      <c r="D25" s="0" t="n">
        <v>0.025595</v>
      </c>
      <c r="E25" s="0" t="n">
        <v>0</v>
      </c>
    </row>
    <row r="26" customFormat="false" ht="15" hidden="false" customHeight="false" outlineLevel="0" collapsed="false">
      <c r="D26" s="0" t="n">
        <v>0.2</v>
      </c>
      <c r="E26" s="0" t="n">
        <v>0</v>
      </c>
    </row>
    <row r="31" customFormat="false" ht="15" hidden="false" customHeight="false" outlineLevel="0" collapsed="false">
      <c r="D31" s="0" t="n">
        <v>0.8</v>
      </c>
    </row>
    <row r="32" customFormat="false" ht="15" hidden="false" customHeight="false" outlineLevel="0" collapsed="false">
      <c r="D32" s="0" t="n">
        <v>15</v>
      </c>
    </row>
    <row r="33" customFormat="false" ht="15" hidden="false" customHeight="false" outlineLevel="0" collapsed="false">
      <c r="D33" s="0" t="n">
        <v>0.9</v>
      </c>
    </row>
    <row r="34" customFormat="false" ht="15" hidden="false" customHeight="false" outlineLevel="0" collapsed="false">
      <c r="D34" s="0" t="n">
        <v>4</v>
      </c>
    </row>
    <row r="37" customFormat="false" ht="1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" hidden="false" customHeight="false" outlineLevel="0" collapsed="false">
      <c r="D49" s="0" t="n">
        <v>-37940.7</v>
      </c>
      <c r="E49" s="0" t="n">
        <v>-37940.7</v>
      </c>
      <c r="F49" s="0" t="n">
        <v>-37940.7</v>
      </c>
      <c r="G49" s="0" t="n">
        <v>-37940.7</v>
      </c>
      <c r="H49" s="0" t="n">
        <v>-37940.7</v>
      </c>
      <c r="I49" s="0" t="n">
        <v>-37940.7</v>
      </c>
      <c r="J49" s="0" t="n">
        <v>-37940.7</v>
      </c>
      <c r="K49" s="0" t="n">
        <v>-37940.7</v>
      </c>
      <c r="L49" s="0" t="n">
        <v>-37940.7</v>
      </c>
      <c r="M49" s="0" t="n">
        <v>-37940.7</v>
      </c>
      <c r="N49" s="0" t="n">
        <v>-37940.7</v>
      </c>
      <c r="O49" s="0" t="n">
        <v>-37940.7</v>
      </c>
      <c r="P49" s="0" t="n">
        <v>-37940.7</v>
      </c>
      <c r="Q49" s="0" t="n">
        <v>-37940.7</v>
      </c>
      <c r="R49" s="0" t="n">
        <v>-37940.7</v>
      </c>
      <c r="S49" s="0" t="n">
        <v>-37940.7</v>
      </c>
      <c r="T49" s="0" t="n">
        <v>-37940.7</v>
      </c>
      <c r="U49" s="0" t="n">
        <v>-37940.7</v>
      </c>
      <c r="V49" s="0" t="n">
        <v>-37940.7</v>
      </c>
      <c r="W49" s="0" t="n">
        <v>-37940.7</v>
      </c>
    </row>
    <row r="50" customFormat="false" ht="1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" hidden="false" customHeight="false" outlineLevel="0" collapsed="false">
      <c r="E93" s="0" t="n">
        <v>-1010090.66666667</v>
      </c>
      <c r="F93" s="0" t="n">
        <v>-1010090.66666667</v>
      </c>
      <c r="G93" s="0" t="n">
        <v>-1010090.66666667</v>
      </c>
      <c r="H93" s="0" t="n">
        <v>-1010090.66666667</v>
      </c>
      <c r="I93" s="0" t="n">
        <v>-1010090.66666667</v>
      </c>
      <c r="J93" s="0" t="n">
        <v>-1010090.66666667</v>
      </c>
      <c r="K93" s="0" t="n">
        <v>-1010090.66666667</v>
      </c>
      <c r="L93" s="0" t="n">
        <v>-1010090.66666667</v>
      </c>
      <c r="M93" s="0" t="n">
        <v>-1010090.66666667</v>
      </c>
      <c r="N93" s="0" t="n">
        <v>-1010090.66666667</v>
      </c>
      <c r="O93" s="0" t="n">
        <v>-1010090.66666667</v>
      </c>
      <c r="P93" s="0" t="n">
        <v>-1010090.66666667</v>
      </c>
      <c r="Q93" s="0" t="n">
        <v>-1010090.66666667</v>
      </c>
      <c r="R93" s="0" t="n">
        <v>-1010090.66666667</v>
      </c>
      <c r="S93" s="0" t="n">
        <v>-1010090.66666667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-946960</v>
      </c>
      <c r="U96" s="0" t="n">
        <v>-946960</v>
      </c>
      <c r="V96" s="0" t="n">
        <v>-946960</v>
      </c>
      <c r="W96" s="0" t="n">
        <v>-946960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W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3"/>
    <col collapsed="false" customWidth="true" hidden="false" outlineLevel="0" max="4" min="4" style="0" width="11"/>
    <col collapsed="false" customWidth="true" hidden="false" outlineLevel="0" max="12" min="5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</cols>
  <sheetData>
    <row r="2" customFormat="false" ht="15" hidden="false" customHeight="false" outlineLevel="0" collapsed="false">
      <c r="C2" s="0" t="s">
        <v>100</v>
      </c>
    </row>
    <row r="3" customFormat="false" ht="15" hidden="false" customHeight="false" outlineLevel="0" collapsed="false">
      <c r="C3" s="0" t="n">
        <v>20</v>
      </c>
    </row>
    <row r="4" customFormat="false" ht="15" hidden="false" customHeight="false" outlineLevel="0" collapsed="false">
      <c r="C4" s="0" t="n">
        <v>436.1</v>
      </c>
      <c r="M4" s="0" t="s">
        <v>123</v>
      </c>
    </row>
    <row r="5" customFormat="false" ht="15" hidden="false" customHeight="false" outlineLevel="0" collapsed="false">
      <c r="C5" s="0" t="n">
        <v>2020</v>
      </c>
      <c r="E5" s="0" t="n">
        <v>2039</v>
      </c>
      <c r="M5" s="0" t="s">
        <v>124</v>
      </c>
    </row>
    <row r="6" customFormat="false" ht="15" hidden="false" customHeight="false" outlineLevel="0" collapsed="false">
      <c r="M6" s="0" t="s">
        <v>125</v>
      </c>
    </row>
    <row r="7" customFormat="false" ht="15" hidden="false" customHeight="false" outlineLevel="0" collapsed="false">
      <c r="M7" s="0" t="s">
        <v>126</v>
      </c>
    </row>
    <row r="8" customFormat="false" ht="15" hidden="false" customHeight="false" outlineLevel="0" collapsed="false">
      <c r="M8" s="0" t="s">
        <v>127</v>
      </c>
    </row>
    <row r="9" customFormat="false" ht="15" hidden="false" customHeight="false" outlineLevel="0" collapsed="false">
      <c r="M9" s="0" t="s">
        <v>106</v>
      </c>
    </row>
    <row r="10" customFormat="false" ht="15" hidden="false" customHeight="false" outlineLevel="0" collapsed="false">
      <c r="D10" s="0" t="n">
        <v>547002</v>
      </c>
      <c r="E10" s="0" t="n">
        <v>20</v>
      </c>
      <c r="M10" s="0" t="s">
        <v>96</v>
      </c>
    </row>
    <row r="11" customFormat="false" ht="15" hidden="false" customHeight="false" outlineLevel="0" collapsed="false">
      <c r="D11" s="0" t="n">
        <v>0.01</v>
      </c>
    </row>
    <row r="12" customFormat="false" ht="15" hidden="false" customHeight="false" outlineLevel="0" collapsed="false">
      <c r="D12" s="0" t="n">
        <v>0.004</v>
      </c>
    </row>
    <row r="13" customFormat="false" ht="15" hidden="false" customHeight="false" outlineLevel="0" collapsed="false">
      <c r="D13" s="0" t="n">
        <v>3.7152</v>
      </c>
    </row>
    <row r="16" customFormat="false" ht="15" hidden="false" customHeight="false" outlineLevel="0" collapsed="false">
      <c r="D16" s="0" t="n">
        <v>27000</v>
      </c>
      <c r="E16" s="0" t="n">
        <v>20</v>
      </c>
    </row>
    <row r="17" customFormat="false" ht="15" hidden="false" customHeight="false" outlineLevel="0" collapsed="false">
      <c r="D17" s="0" t="n">
        <v>0.3</v>
      </c>
    </row>
    <row r="18" customFormat="false" ht="15" hidden="false" customHeight="false" outlineLevel="0" collapsed="false">
      <c r="D18" s="0" t="n">
        <v>2000</v>
      </c>
    </row>
    <row r="19" customFormat="false" ht="15" hidden="false" customHeight="false" outlineLevel="0" collapsed="false">
      <c r="D19" s="0" t="n">
        <v>1</v>
      </c>
      <c r="E19" s="0" t="n">
        <v>0</v>
      </c>
    </row>
    <row r="20" customFormat="false" ht="15" hidden="false" customHeight="false" outlineLevel="0" collapsed="false">
      <c r="D20" s="0" t="n">
        <v>290201</v>
      </c>
      <c r="E20" s="0" t="n">
        <v>20</v>
      </c>
    </row>
    <row r="21" customFormat="false" ht="15" hidden="false" customHeight="false" outlineLevel="0" collapsed="false">
      <c r="D21" s="0" t="n">
        <v>0</v>
      </c>
      <c r="E21" s="0" t="n">
        <v>0</v>
      </c>
    </row>
    <row r="22" customFormat="false" ht="15" hidden="false" customHeight="false" outlineLevel="0" collapsed="false">
      <c r="D22" s="0" t="n">
        <v>400</v>
      </c>
      <c r="E22" s="0" t="n">
        <v>20</v>
      </c>
    </row>
    <row r="23" customFormat="false" ht="15" hidden="false" customHeight="false" outlineLevel="0" collapsed="false">
      <c r="D23" s="0" t="n">
        <v>0.003</v>
      </c>
      <c r="E23" s="0" t="n">
        <v>20</v>
      </c>
    </row>
    <row r="24" customFormat="false" ht="15" hidden="false" customHeight="false" outlineLevel="0" collapsed="false">
      <c r="D24" s="0" t="n">
        <v>1000</v>
      </c>
      <c r="E24" s="0" t="n">
        <v>10</v>
      </c>
    </row>
    <row r="25" customFormat="false" ht="15" hidden="false" customHeight="false" outlineLevel="0" collapsed="false">
      <c r="D25" s="0" t="n">
        <v>0.025595</v>
      </c>
      <c r="E25" s="0" t="n">
        <v>0</v>
      </c>
    </row>
    <row r="26" customFormat="false" ht="15" hidden="false" customHeight="false" outlineLevel="0" collapsed="false">
      <c r="D26" s="0" t="n">
        <v>0.2</v>
      </c>
      <c r="E26" s="0" t="n">
        <v>0</v>
      </c>
    </row>
    <row r="31" customFormat="false" ht="15" hidden="false" customHeight="false" outlineLevel="0" collapsed="false">
      <c r="D31" s="0" t="n">
        <v>0.8</v>
      </c>
    </row>
    <row r="32" customFormat="false" ht="15" hidden="false" customHeight="false" outlineLevel="0" collapsed="false">
      <c r="D32" s="0" t="n">
        <v>15</v>
      </c>
    </row>
    <row r="33" customFormat="false" ht="15" hidden="false" customHeight="false" outlineLevel="0" collapsed="false">
      <c r="D33" s="0" t="n">
        <v>0.9</v>
      </c>
    </row>
    <row r="34" customFormat="false" ht="15" hidden="false" customHeight="false" outlineLevel="0" collapsed="false">
      <c r="D34" s="0" t="n">
        <v>4</v>
      </c>
    </row>
    <row r="37" customFormat="false" ht="1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" hidden="false" customHeight="false" outlineLevel="0" collapsed="false">
      <c r="D49" s="0" t="n">
        <v>-35324.1</v>
      </c>
      <c r="E49" s="0" t="n">
        <v>-35324.1</v>
      </c>
      <c r="F49" s="0" t="n">
        <v>-35324.1</v>
      </c>
      <c r="G49" s="0" t="n">
        <v>-35324.1</v>
      </c>
      <c r="H49" s="0" t="n">
        <v>-35324.1</v>
      </c>
      <c r="I49" s="0" t="n">
        <v>-35324.1</v>
      </c>
      <c r="J49" s="0" t="n">
        <v>-35324.1</v>
      </c>
      <c r="K49" s="0" t="n">
        <v>-35324.1</v>
      </c>
      <c r="L49" s="0" t="n">
        <v>-35324.1</v>
      </c>
      <c r="M49" s="0" t="n">
        <v>-35324.1</v>
      </c>
      <c r="N49" s="0" t="n">
        <v>-35324.1</v>
      </c>
      <c r="O49" s="0" t="n">
        <v>-35324.1</v>
      </c>
      <c r="P49" s="0" t="n">
        <v>-35324.1</v>
      </c>
      <c r="Q49" s="0" t="n">
        <v>-35324.1</v>
      </c>
      <c r="R49" s="0" t="n">
        <v>-35324.1</v>
      </c>
      <c r="S49" s="0" t="n">
        <v>-35324.1</v>
      </c>
      <c r="T49" s="0" t="n">
        <v>-35324.1</v>
      </c>
      <c r="U49" s="0" t="n">
        <v>-35324.1</v>
      </c>
      <c r="V49" s="0" t="n">
        <v>-35324.1</v>
      </c>
      <c r="W49" s="0" t="n">
        <v>-35324.1</v>
      </c>
    </row>
    <row r="50" customFormat="false" ht="1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" hidden="false" customHeight="false" outlineLevel="0" collapsed="false">
      <c r="E93" s="0" t="n">
        <v>-943637.333333333</v>
      </c>
      <c r="F93" s="0" t="n">
        <v>-943637.333333333</v>
      </c>
      <c r="G93" s="0" t="n">
        <v>-943637.333333333</v>
      </c>
      <c r="H93" s="0" t="n">
        <v>-943637.333333333</v>
      </c>
      <c r="I93" s="0" t="n">
        <v>-943637.333333333</v>
      </c>
      <c r="J93" s="0" t="n">
        <v>-943637.333333333</v>
      </c>
      <c r="K93" s="0" t="n">
        <v>-943637.333333333</v>
      </c>
      <c r="L93" s="0" t="n">
        <v>-943637.333333333</v>
      </c>
      <c r="M93" s="0" t="n">
        <v>-943637.333333333</v>
      </c>
      <c r="N93" s="0" t="n">
        <v>-943637.333333333</v>
      </c>
      <c r="O93" s="0" t="n">
        <v>-943637.333333333</v>
      </c>
      <c r="P93" s="0" t="n">
        <v>-943637.333333333</v>
      </c>
      <c r="Q93" s="0" t="n">
        <v>-943637.333333333</v>
      </c>
      <c r="R93" s="0" t="n">
        <v>-943637.333333333</v>
      </c>
      <c r="S93" s="0" t="n">
        <v>-943637.333333333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-884660</v>
      </c>
      <c r="U96" s="0" t="n">
        <v>-884660</v>
      </c>
      <c r="V96" s="0" t="n">
        <v>-884660</v>
      </c>
      <c r="W96" s="0" t="n">
        <v>-884660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W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3"/>
    <col collapsed="false" customWidth="true" hidden="false" outlineLevel="0" max="12" min="4" style="0" width="11"/>
    <col collapsed="false" customWidth="true" hidden="false" outlineLevel="0" max="13" min="13" style="0" width="50"/>
    <col collapsed="false" customWidth="true" hidden="false" outlineLevel="0" max="23" min="14" style="0" width="11"/>
  </cols>
  <sheetData>
    <row r="2" customFormat="false" ht="15" hidden="false" customHeight="false" outlineLevel="0" collapsed="false">
      <c r="C2" s="0" t="s">
        <v>100</v>
      </c>
    </row>
    <row r="3" customFormat="false" ht="15" hidden="false" customHeight="false" outlineLevel="0" collapsed="false">
      <c r="C3" s="0" t="n">
        <v>20</v>
      </c>
    </row>
    <row r="4" customFormat="false" ht="15" hidden="false" customHeight="false" outlineLevel="0" collapsed="false">
      <c r="C4" s="0" t="n">
        <v>436.1</v>
      </c>
      <c r="M4" s="0" t="s">
        <v>128</v>
      </c>
    </row>
    <row r="5" customFormat="false" ht="15" hidden="false" customHeight="false" outlineLevel="0" collapsed="false">
      <c r="C5" s="0" t="n">
        <v>2020</v>
      </c>
      <c r="E5" s="0" t="n">
        <v>2039</v>
      </c>
      <c r="M5" s="0" t="s">
        <v>129</v>
      </c>
    </row>
    <row r="6" customFormat="false" ht="15" hidden="false" customHeight="false" outlineLevel="0" collapsed="false">
      <c r="M6" s="0" t="s">
        <v>130</v>
      </c>
    </row>
    <row r="7" customFormat="false" ht="15" hidden="false" customHeight="false" outlineLevel="0" collapsed="false">
      <c r="M7" s="0" t="s">
        <v>131</v>
      </c>
    </row>
    <row r="8" customFormat="false" ht="15" hidden="false" customHeight="false" outlineLevel="0" collapsed="false">
      <c r="M8" s="0" t="s">
        <v>132</v>
      </c>
    </row>
    <row r="9" customFormat="false" ht="15" hidden="false" customHeight="false" outlineLevel="0" collapsed="false">
      <c r="M9" s="0" t="s">
        <v>106</v>
      </c>
    </row>
    <row r="10" customFormat="false" ht="15" hidden="false" customHeight="false" outlineLevel="0" collapsed="false">
      <c r="D10" s="0" t="n">
        <v>547002</v>
      </c>
      <c r="E10" s="0" t="n">
        <v>20</v>
      </c>
      <c r="M10" s="0" t="s">
        <v>97</v>
      </c>
    </row>
    <row r="11" customFormat="false" ht="15" hidden="false" customHeight="false" outlineLevel="0" collapsed="false">
      <c r="D11" s="0" t="n">
        <v>0.01</v>
      </c>
    </row>
    <row r="12" customFormat="false" ht="15" hidden="false" customHeight="false" outlineLevel="0" collapsed="false">
      <c r="D12" s="0" t="n">
        <v>0.004</v>
      </c>
    </row>
    <row r="13" customFormat="false" ht="15" hidden="false" customHeight="false" outlineLevel="0" collapsed="false">
      <c r="D13" s="0" t="n">
        <v>3.7152</v>
      </c>
    </row>
    <row r="16" customFormat="false" ht="15" hidden="false" customHeight="false" outlineLevel="0" collapsed="false">
      <c r="D16" s="0" t="n">
        <v>25000</v>
      </c>
      <c r="E16" s="0" t="n">
        <v>20</v>
      </c>
    </row>
    <row r="17" customFormat="false" ht="15" hidden="false" customHeight="false" outlineLevel="0" collapsed="false">
      <c r="D17" s="0" t="n">
        <v>0.3</v>
      </c>
    </row>
    <row r="18" customFormat="false" ht="15" hidden="false" customHeight="false" outlineLevel="0" collapsed="false">
      <c r="D18" s="0" t="n">
        <v>2000</v>
      </c>
    </row>
    <row r="19" customFormat="false" ht="15" hidden="false" customHeight="false" outlineLevel="0" collapsed="false">
      <c r="D19" s="0" t="n">
        <v>1</v>
      </c>
      <c r="E19" s="0" t="n">
        <v>0</v>
      </c>
    </row>
    <row r="20" customFormat="false" ht="15" hidden="false" customHeight="false" outlineLevel="0" collapsed="false">
      <c r="D20" s="0" t="n">
        <v>290201</v>
      </c>
      <c r="E20" s="0" t="n">
        <v>20</v>
      </c>
    </row>
    <row r="21" customFormat="false" ht="15" hidden="false" customHeight="false" outlineLevel="0" collapsed="false">
      <c r="D21" s="0" t="n">
        <v>0</v>
      </c>
      <c r="E21" s="0" t="n">
        <v>0</v>
      </c>
    </row>
    <row r="22" customFormat="false" ht="15" hidden="false" customHeight="false" outlineLevel="0" collapsed="false">
      <c r="D22" s="0" t="n">
        <v>400</v>
      </c>
      <c r="E22" s="0" t="n">
        <v>20</v>
      </c>
    </row>
    <row r="23" customFormat="false" ht="15" hidden="false" customHeight="false" outlineLevel="0" collapsed="false">
      <c r="D23" s="0" t="n">
        <v>0.003</v>
      </c>
      <c r="E23" s="0" t="n">
        <v>20</v>
      </c>
    </row>
    <row r="24" customFormat="false" ht="15" hidden="false" customHeight="false" outlineLevel="0" collapsed="false">
      <c r="D24" s="0" t="n">
        <v>1000</v>
      </c>
      <c r="E24" s="0" t="n">
        <v>10</v>
      </c>
    </row>
    <row r="25" customFormat="false" ht="15" hidden="false" customHeight="false" outlineLevel="0" collapsed="false">
      <c r="D25" s="0" t="n">
        <v>0.025595</v>
      </c>
      <c r="E25" s="0" t="n">
        <v>0</v>
      </c>
    </row>
    <row r="26" customFormat="false" ht="15" hidden="false" customHeight="false" outlineLevel="0" collapsed="false">
      <c r="D26" s="0" t="n">
        <v>0.2</v>
      </c>
      <c r="E26" s="0" t="n">
        <v>0</v>
      </c>
    </row>
    <row r="31" customFormat="false" ht="15" hidden="false" customHeight="false" outlineLevel="0" collapsed="false">
      <c r="D31" s="0" t="n">
        <v>0.8</v>
      </c>
    </row>
    <row r="32" customFormat="false" ht="15" hidden="false" customHeight="false" outlineLevel="0" collapsed="false">
      <c r="D32" s="0" t="n">
        <v>15</v>
      </c>
    </row>
    <row r="33" customFormat="false" ht="15" hidden="false" customHeight="false" outlineLevel="0" collapsed="false">
      <c r="D33" s="0" t="n">
        <v>0.9</v>
      </c>
    </row>
    <row r="34" customFormat="false" ht="15" hidden="false" customHeight="false" outlineLevel="0" collapsed="false">
      <c r="D34" s="0" t="n">
        <v>4</v>
      </c>
    </row>
    <row r="37" customFormat="false" ht="1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" hidden="false" customHeight="false" outlineLevel="0" collapsed="false">
      <c r="D49" s="0" t="n">
        <v>-32707.5</v>
      </c>
      <c r="E49" s="0" t="n">
        <v>-32707.5</v>
      </c>
      <c r="F49" s="0" t="n">
        <v>-32707.5</v>
      </c>
      <c r="G49" s="0" t="n">
        <v>-32707.5</v>
      </c>
      <c r="H49" s="0" t="n">
        <v>-32707.5</v>
      </c>
      <c r="I49" s="0" t="n">
        <v>-32707.5</v>
      </c>
      <c r="J49" s="0" t="n">
        <v>-32707.5</v>
      </c>
      <c r="K49" s="0" t="n">
        <v>-32707.5</v>
      </c>
      <c r="L49" s="0" t="n">
        <v>-32707.5</v>
      </c>
      <c r="M49" s="0" t="n">
        <v>-32707.5</v>
      </c>
      <c r="N49" s="0" t="n">
        <v>-32707.5</v>
      </c>
      <c r="O49" s="0" t="n">
        <v>-32707.5</v>
      </c>
      <c r="P49" s="0" t="n">
        <v>-32707.5</v>
      </c>
      <c r="Q49" s="0" t="n">
        <v>-32707.5</v>
      </c>
      <c r="R49" s="0" t="n">
        <v>-32707.5</v>
      </c>
      <c r="S49" s="0" t="n">
        <v>-32707.5</v>
      </c>
      <c r="T49" s="0" t="n">
        <v>-32707.5</v>
      </c>
      <c r="U49" s="0" t="n">
        <v>-32707.5</v>
      </c>
      <c r="V49" s="0" t="n">
        <v>-32707.5</v>
      </c>
      <c r="W49" s="0" t="n">
        <v>-32707.5</v>
      </c>
    </row>
    <row r="50" customFormat="false" ht="1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" hidden="false" customHeight="false" outlineLevel="0" collapsed="false">
      <c r="E93" s="0" t="n">
        <v>-877184</v>
      </c>
      <c r="F93" s="0" t="n">
        <v>-877184</v>
      </c>
      <c r="G93" s="0" t="n">
        <v>-877184</v>
      </c>
      <c r="H93" s="0" t="n">
        <v>-877184</v>
      </c>
      <c r="I93" s="0" t="n">
        <v>-877184</v>
      </c>
      <c r="J93" s="0" t="n">
        <v>-877184</v>
      </c>
      <c r="K93" s="0" t="n">
        <v>-877184</v>
      </c>
      <c r="L93" s="0" t="n">
        <v>-877184</v>
      </c>
      <c r="M93" s="0" t="n">
        <v>-877184</v>
      </c>
      <c r="N93" s="0" t="n">
        <v>-877184</v>
      </c>
      <c r="O93" s="0" t="n">
        <v>-877184</v>
      </c>
      <c r="P93" s="0" t="n">
        <v>-877184</v>
      </c>
      <c r="Q93" s="0" t="n">
        <v>-877184</v>
      </c>
      <c r="R93" s="0" t="n">
        <v>-877184</v>
      </c>
      <c r="S93" s="0" t="n">
        <v>-877184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-822360</v>
      </c>
      <c r="U96" s="0" t="n">
        <v>-822360</v>
      </c>
      <c r="V96" s="0" t="n">
        <v>-822360</v>
      </c>
      <c r="W96" s="0" t="n">
        <v>-822360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W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3"/>
    <col collapsed="false" customWidth="true" hidden="false" outlineLevel="0" max="4" min="4" style="0" width="11"/>
    <col collapsed="false" customWidth="true" hidden="false" outlineLevel="0" max="12" min="5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</cols>
  <sheetData>
    <row r="2" customFormat="false" ht="15" hidden="false" customHeight="false" outlineLevel="0" collapsed="false">
      <c r="C2" s="0" t="s">
        <v>100</v>
      </c>
    </row>
    <row r="3" customFormat="false" ht="15" hidden="false" customHeight="false" outlineLevel="0" collapsed="false">
      <c r="C3" s="0" t="n">
        <v>20</v>
      </c>
    </row>
    <row r="4" customFormat="false" ht="15" hidden="false" customHeight="false" outlineLevel="0" collapsed="false">
      <c r="C4" s="0" t="n">
        <v>436.1</v>
      </c>
      <c r="M4" s="0" t="s">
        <v>133</v>
      </c>
    </row>
    <row r="5" customFormat="false" ht="15" hidden="false" customHeight="false" outlineLevel="0" collapsed="false">
      <c r="C5" s="0" t="n">
        <v>2020</v>
      </c>
      <c r="E5" s="0" t="n">
        <v>2039</v>
      </c>
      <c r="M5" s="0" t="s">
        <v>134</v>
      </c>
    </row>
    <row r="6" customFormat="false" ht="15" hidden="false" customHeight="false" outlineLevel="0" collapsed="false">
      <c r="M6" s="0" t="s">
        <v>135</v>
      </c>
    </row>
    <row r="7" customFormat="false" ht="15" hidden="false" customHeight="false" outlineLevel="0" collapsed="false">
      <c r="M7" s="0" t="s">
        <v>136</v>
      </c>
    </row>
    <row r="8" customFormat="false" ht="15" hidden="false" customHeight="false" outlineLevel="0" collapsed="false">
      <c r="M8" s="0" t="s">
        <v>137</v>
      </c>
    </row>
    <row r="9" customFormat="false" ht="15" hidden="false" customHeight="false" outlineLevel="0" collapsed="false">
      <c r="M9" s="0" t="s">
        <v>106</v>
      </c>
    </row>
    <row r="10" customFormat="false" ht="15" hidden="false" customHeight="false" outlineLevel="0" collapsed="false">
      <c r="D10" s="0" t="n">
        <v>547002</v>
      </c>
      <c r="E10" s="0" t="n">
        <v>20</v>
      </c>
      <c r="M10" s="0" t="s">
        <v>98</v>
      </c>
    </row>
    <row r="11" customFormat="false" ht="15" hidden="false" customHeight="false" outlineLevel="0" collapsed="false">
      <c r="D11" s="0" t="n">
        <v>0.01</v>
      </c>
    </row>
    <row r="12" customFormat="false" ht="15" hidden="false" customHeight="false" outlineLevel="0" collapsed="false">
      <c r="D12" s="0" t="n">
        <v>0.004</v>
      </c>
    </row>
    <row r="13" customFormat="false" ht="15" hidden="false" customHeight="false" outlineLevel="0" collapsed="false">
      <c r="D13" s="0" t="n">
        <v>3.7152</v>
      </c>
    </row>
    <row r="16" customFormat="false" ht="15" hidden="false" customHeight="false" outlineLevel="0" collapsed="false">
      <c r="D16" s="0" t="n">
        <v>23000</v>
      </c>
      <c r="E16" s="0" t="n">
        <v>20</v>
      </c>
    </row>
    <row r="17" customFormat="false" ht="15" hidden="false" customHeight="false" outlineLevel="0" collapsed="false">
      <c r="D17" s="0" t="n">
        <v>0.3</v>
      </c>
    </row>
    <row r="18" customFormat="false" ht="15" hidden="false" customHeight="false" outlineLevel="0" collapsed="false">
      <c r="D18" s="0" t="n">
        <v>2000</v>
      </c>
    </row>
    <row r="19" customFormat="false" ht="15" hidden="false" customHeight="false" outlineLevel="0" collapsed="false">
      <c r="D19" s="0" t="n">
        <v>1</v>
      </c>
      <c r="E19" s="0" t="n">
        <v>0</v>
      </c>
    </row>
    <row r="20" customFormat="false" ht="15" hidden="false" customHeight="false" outlineLevel="0" collapsed="false">
      <c r="D20" s="0" t="n">
        <v>290201</v>
      </c>
      <c r="E20" s="0" t="n">
        <v>20</v>
      </c>
    </row>
    <row r="21" customFormat="false" ht="15" hidden="false" customHeight="false" outlineLevel="0" collapsed="false">
      <c r="D21" s="0" t="n">
        <v>0</v>
      </c>
      <c r="E21" s="0" t="n">
        <v>0</v>
      </c>
    </row>
    <row r="22" customFormat="false" ht="15" hidden="false" customHeight="false" outlineLevel="0" collapsed="false">
      <c r="D22" s="0" t="n">
        <v>400</v>
      </c>
      <c r="E22" s="0" t="n">
        <v>20</v>
      </c>
    </row>
    <row r="23" customFormat="false" ht="15" hidden="false" customHeight="false" outlineLevel="0" collapsed="false">
      <c r="D23" s="0" t="n">
        <v>0.003</v>
      </c>
      <c r="E23" s="0" t="n">
        <v>20</v>
      </c>
    </row>
    <row r="24" customFormat="false" ht="15" hidden="false" customHeight="false" outlineLevel="0" collapsed="false">
      <c r="D24" s="0" t="n">
        <v>1000</v>
      </c>
      <c r="E24" s="0" t="n">
        <v>10</v>
      </c>
    </row>
    <row r="25" customFormat="false" ht="15" hidden="false" customHeight="false" outlineLevel="0" collapsed="false">
      <c r="D25" s="0" t="n">
        <v>0.025595</v>
      </c>
      <c r="E25" s="0" t="n">
        <v>0</v>
      </c>
    </row>
    <row r="26" customFormat="false" ht="15" hidden="false" customHeight="false" outlineLevel="0" collapsed="false">
      <c r="D26" s="0" t="n">
        <v>0.2</v>
      </c>
      <c r="E26" s="0" t="n">
        <v>0</v>
      </c>
    </row>
    <row r="31" customFormat="false" ht="15" hidden="false" customHeight="false" outlineLevel="0" collapsed="false">
      <c r="D31" s="0" t="n">
        <v>0.8</v>
      </c>
    </row>
    <row r="32" customFormat="false" ht="15" hidden="false" customHeight="false" outlineLevel="0" collapsed="false">
      <c r="D32" s="0" t="n">
        <v>15</v>
      </c>
    </row>
    <row r="33" customFormat="false" ht="15" hidden="false" customHeight="false" outlineLevel="0" collapsed="false">
      <c r="D33" s="0" t="n">
        <v>0.9</v>
      </c>
    </row>
    <row r="34" customFormat="false" ht="15" hidden="false" customHeight="false" outlineLevel="0" collapsed="false">
      <c r="D34" s="0" t="n">
        <v>4</v>
      </c>
    </row>
    <row r="37" customFormat="false" ht="1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" hidden="false" customHeight="false" outlineLevel="0" collapsed="false">
      <c r="D49" s="0" t="n">
        <v>-30090.9</v>
      </c>
      <c r="E49" s="0" t="n">
        <v>-30090.9</v>
      </c>
      <c r="F49" s="0" t="n">
        <v>-30090.9</v>
      </c>
      <c r="G49" s="0" t="n">
        <v>-30090.9</v>
      </c>
      <c r="H49" s="0" t="n">
        <v>-30090.9</v>
      </c>
      <c r="I49" s="0" t="n">
        <v>-30090.9</v>
      </c>
      <c r="J49" s="0" t="n">
        <v>-30090.9</v>
      </c>
      <c r="K49" s="0" t="n">
        <v>-30090.9</v>
      </c>
      <c r="L49" s="0" t="n">
        <v>-30090.9</v>
      </c>
      <c r="M49" s="0" t="n">
        <v>-30090.9</v>
      </c>
      <c r="N49" s="0" t="n">
        <v>-30090.9</v>
      </c>
      <c r="O49" s="0" t="n">
        <v>-30090.9</v>
      </c>
      <c r="P49" s="0" t="n">
        <v>-30090.9</v>
      </c>
      <c r="Q49" s="0" t="n">
        <v>-30090.9</v>
      </c>
      <c r="R49" s="0" t="n">
        <v>-30090.9</v>
      </c>
      <c r="S49" s="0" t="n">
        <v>-30090.9</v>
      </c>
      <c r="T49" s="0" t="n">
        <v>-30090.9</v>
      </c>
      <c r="U49" s="0" t="n">
        <v>-30090.9</v>
      </c>
      <c r="V49" s="0" t="n">
        <v>-30090.9</v>
      </c>
      <c r="W49" s="0" t="n">
        <v>-30090.9</v>
      </c>
    </row>
    <row r="50" customFormat="false" ht="1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" hidden="false" customHeight="false" outlineLevel="0" collapsed="false">
      <c r="E93" s="0" t="n">
        <v>-810730.666666667</v>
      </c>
      <c r="F93" s="0" t="n">
        <v>-810730.666666667</v>
      </c>
      <c r="G93" s="0" t="n">
        <v>-810730.666666667</v>
      </c>
      <c r="H93" s="0" t="n">
        <v>-810730.666666667</v>
      </c>
      <c r="I93" s="0" t="n">
        <v>-810730.666666667</v>
      </c>
      <c r="J93" s="0" t="n">
        <v>-810730.666666667</v>
      </c>
      <c r="K93" s="0" t="n">
        <v>-810730.666666667</v>
      </c>
      <c r="L93" s="0" t="n">
        <v>-810730.666666667</v>
      </c>
      <c r="M93" s="0" t="n">
        <v>-810730.666666667</v>
      </c>
      <c r="N93" s="0" t="n">
        <v>-810730.666666667</v>
      </c>
      <c r="O93" s="0" t="n">
        <v>-810730.666666667</v>
      </c>
      <c r="P93" s="0" t="n">
        <v>-810730.666666667</v>
      </c>
      <c r="Q93" s="0" t="n">
        <v>-810730.666666667</v>
      </c>
      <c r="R93" s="0" t="n">
        <v>-810730.666666667</v>
      </c>
      <c r="S93" s="0" t="n">
        <v>-810730.666666667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-760060</v>
      </c>
      <c r="U96" s="0" t="n">
        <v>-760060</v>
      </c>
      <c r="V96" s="0" t="n">
        <v>-760060</v>
      </c>
      <c r="W96" s="0" t="n">
        <v>-760060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W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3"/>
    <col collapsed="false" customWidth="true" hidden="false" outlineLevel="0" max="4" min="4" style="0" width="11"/>
    <col collapsed="false" customWidth="true" hidden="false" outlineLevel="0" max="12" min="5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</cols>
  <sheetData>
    <row r="2" customFormat="false" ht="15" hidden="false" customHeight="false" outlineLevel="0" collapsed="false">
      <c r="C2" s="0" t="s">
        <v>100</v>
      </c>
    </row>
    <row r="3" customFormat="false" ht="15" hidden="false" customHeight="false" outlineLevel="0" collapsed="false">
      <c r="C3" s="0" t="n">
        <v>20</v>
      </c>
    </row>
    <row r="4" customFormat="false" ht="15" hidden="false" customHeight="false" outlineLevel="0" collapsed="false">
      <c r="C4" s="0" t="n">
        <v>436.1</v>
      </c>
      <c r="M4" s="0" t="s">
        <v>138</v>
      </c>
    </row>
    <row r="5" customFormat="false" ht="15" hidden="false" customHeight="false" outlineLevel="0" collapsed="false">
      <c r="C5" s="0" t="n">
        <v>2020</v>
      </c>
      <c r="E5" s="0" t="n">
        <v>2039</v>
      </c>
      <c r="M5" s="0" t="s">
        <v>139</v>
      </c>
    </row>
    <row r="6" customFormat="false" ht="15" hidden="false" customHeight="false" outlineLevel="0" collapsed="false">
      <c r="M6" s="0" t="s">
        <v>140</v>
      </c>
    </row>
    <row r="7" customFormat="false" ht="15" hidden="false" customHeight="false" outlineLevel="0" collapsed="false">
      <c r="M7" s="0" t="s">
        <v>141</v>
      </c>
    </row>
    <row r="8" customFormat="false" ht="15" hidden="false" customHeight="false" outlineLevel="0" collapsed="false">
      <c r="M8" s="0" t="s">
        <v>142</v>
      </c>
    </row>
    <row r="9" customFormat="false" ht="15" hidden="false" customHeight="false" outlineLevel="0" collapsed="false">
      <c r="M9" s="0" t="s">
        <v>106</v>
      </c>
    </row>
    <row r="10" customFormat="false" ht="15" hidden="false" customHeight="false" outlineLevel="0" collapsed="false">
      <c r="D10" s="0" t="n">
        <v>547002</v>
      </c>
      <c r="E10" s="0" t="n">
        <v>20</v>
      </c>
      <c r="M10" s="0" t="s">
        <v>99</v>
      </c>
    </row>
    <row r="11" customFormat="false" ht="15" hidden="false" customHeight="false" outlineLevel="0" collapsed="false">
      <c r="D11" s="0" t="n">
        <v>0.01</v>
      </c>
    </row>
    <row r="12" customFormat="false" ht="15" hidden="false" customHeight="false" outlineLevel="0" collapsed="false">
      <c r="D12" s="0" t="n">
        <v>0.004</v>
      </c>
    </row>
    <row r="13" customFormat="false" ht="15" hidden="false" customHeight="false" outlineLevel="0" collapsed="false">
      <c r="D13" s="0" t="n">
        <v>3.7152</v>
      </c>
    </row>
    <row r="16" customFormat="false" ht="15" hidden="false" customHeight="false" outlineLevel="0" collapsed="false">
      <c r="D16" s="0" t="n">
        <v>21000</v>
      </c>
      <c r="E16" s="0" t="n">
        <v>20</v>
      </c>
    </row>
    <row r="17" customFormat="false" ht="15" hidden="false" customHeight="false" outlineLevel="0" collapsed="false">
      <c r="D17" s="0" t="n">
        <v>0.3</v>
      </c>
    </row>
    <row r="18" customFormat="false" ht="15" hidden="false" customHeight="false" outlineLevel="0" collapsed="false">
      <c r="D18" s="0" t="n">
        <v>2000</v>
      </c>
    </row>
    <row r="19" customFormat="false" ht="15" hidden="false" customHeight="false" outlineLevel="0" collapsed="false">
      <c r="D19" s="0" t="n">
        <v>1</v>
      </c>
      <c r="E19" s="0" t="n">
        <v>0</v>
      </c>
    </row>
    <row r="20" customFormat="false" ht="15" hidden="false" customHeight="false" outlineLevel="0" collapsed="false">
      <c r="D20" s="0" t="n">
        <v>290201</v>
      </c>
      <c r="E20" s="0" t="n">
        <v>20</v>
      </c>
    </row>
    <row r="21" customFormat="false" ht="15" hidden="false" customHeight="false" outlineLevel="0" collapsed="false">
      <c r="D21" s="0" t="n">
        <v>0</v>
      </c>
      <c r="E21" s="0" t="n">
        <v>0</v>
      </c>
    </row>
    <row r="22" customFormat="false" ht="15" hidden="false" customHeight="false" outlineLevel="0" collapsed="false">
      <c r="D22" s="0" t="n">
        <v>400</v>
      </c>
      <c r="E22" s="0" t="n">
        <v>20</v>
      </c>
    </row>
    <row r="23" customFormat="false" ht="15" hidden="false" customHeight="false" outlineLevel="0" collapsed="false">
      <c r="D23" s="0" t="n">
        <v>0.003</v>
      </c>
      <c r="E23" s="0" t="n">
        <v>20</v>
      </c>
    </row>
    <row r="24" customFormat="false" ht="15" hidden="false" customHeight="false" outlineLevel="0" collapsed="false">
      <c r="D24" s="0" t="n">
        <v>1000</v>
      </c>
      <c r="E24" s="0" t="n">
        <v>10</v>
      </c>
    </row>
    <row r="25" customFormat="false" ht="15" hidden="false" customHeight="false" outlineLevel="0" collapsed="false">
      <c r="D25" s="0" t="n">
        <v>0.025595</v>
      </c>
      <c r="E25" s="0" t="n">
        <v>0</v>
      </c>
    </row>
    <row r="26" customFormat="false" ht="15" hidden="false" customHeight="false" outlineLevel="0" collapsed="false">
      <c r="D26" s="0" t="n">
        <v>0.2</v>
      </c>
      <c r="E26" s="0" t="n">
        <v>0</v>
      </c>
    </row>
    <row r="31" customFormat="false" ht="15" hidden="false" customHeight="false" outlineLevel="0" collapsed="false">
      <c r="D31" s="0" t="n">
        <v>0.8</v>
      </c>
    </row>
    <row r="32" customFormat="false" ht="15" hidden="false" customHeight="false" outlineLevel="0" collapsed="false">
      <c r="D32" s="0" t="n">
        <v>15</v>
      </c>
    </row>
    <row r="33" customFormat="false" ht="15" hidden="false" customHeight="false" outlineLevel="0" collapsed="false">
      <c r="D33" s="0" t="n">
        <v>0.9</v>
      </c>
    </row>
    <row r="34" customFormat="false" ht="15" hidden="false" customHeight="false" outlineLevel="0" collapsed="false">
      <c r="D34" s="0" t="n">
        <v>4</v>
      </c>
    </row>
    <row r="37" customFormat="false" ht="1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" hidden="false" customHeight="false" outlineLevel="0" collapsed="false">
      <c r="D49" s="0" t="n">
        <v>-27474.3</v>
      </c>
      <c r="E49" s="0" t="n">
        <v>-27474.3</v>
      </c>
      <c r="F49" s="0" t="n">
        <v>-27474.3</v>
      </c>
      <c r="G49" s="0" t="n">
        <v>-27474.3</v>
      </c>
      <c r="H49" s="0" t="n">
        <v>-27474.3</v>
      </c>
      <c r="I49" s="0" t="n">
        <v>-27474.3</v>
      </c>
      <c r="J49" s="0" t="n">
        <v>-27474.3</v>
      </c>
      <c r="K49" s="0" t="n">
        <v>-27474.3</v>
      </c>
      <c r="L49" s="0" t="n">
        <v>-27474.3</v>
      </c>
      <c r="M49" s="0" t="n">
        <v>-27474.3</v>
      </c>
      <c r="N49" s="0" t="n">
        <v>-27474.3</v>
      </c>
      <c r="O49" s="0" t="n">
        <v>-27474.3</v>
      </c>
      <c r="P49" s="0" t="n">
        <v>-27474.3</v>
      </c>
      <c r="Q49" s="0" t="n">
        <v>-27474.3</v>
      </c>
      <c r="R49" s="0" t="n">
        <v>-27474.3</v>
      </c>
      <c r="S49" s="0" t="n">
        <v>-27474.3</v>
      </c>
      <c r="T49" s="0" t="n">
        <v>-27474.3</v>
      </c>
      <c r="U49" s="0" t="n">
        <v>-27474.3</v>
      </c>
      <c r="V49" s="0" t="n">
        <v>-27474.3</v>
      </c>
      <c r="W49" s="0" t="n">
        <v>-27474.3</v>
      </c>
    </row>
    <row r="50" customFormat="false" ht="1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" hidden="false" customHeight="false" outlineLevel="0" collapsed="false">
      <c r="E93" s="0" t="n">
        <v>-744277.333333333</v>
      </c>
      <c r="F93" s="0" t="n">
        <v>-744277.333333333</v>
      </c>
      <c r="G93" s="0" t="n">
        <v>-744277.333333333</v>
      </c>
      <c r="H93" s="0" t="n">
        <v>-744277.333333333</v>
      </c>
      <c r="I93" s="0" t="n">
        <v>-744277.333333333</v>
      </c>
      <c r="J93" s="0" t="n">
        <v>-744277.333333333</v>
      </c>
      <c r="K93" s="0" t="n">
        <v>-744277.333333333</v>
      </c>
      <c r="L93" s="0" t="n">
        <v>-744277.333333333</v>
      </c>
      <c r="M93" s="0" t="n">
        <v>-744277.333333333</v>
      </c>
      <c r="N93" s="0" t="n">
        <v>-744277.333333333</v>
      </c>
      <c r="O93" s="0" t="n">
        <v>-744277.333333333</v>
      </c>
      <c r="P93" s="0" t="n">
        <v>-744277.333333333</v>
      </c>
      <c r="Q93" s="0" t="n">
        <v>-744277.333333333</v>
      </c>
      <c r="R93" s="0" t="n">
        <v>-744277.333333333</v>
      </c>
      <c r="S93" s="0" t="n">
        <v>-744277.333333333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-697760</v>
      </c>
      <c r="U96" s="0" t="n">
        <v>-697760</v>
      </c>
      <c r="V96" s="0" t="n">
        <v>-697760</v>
      </c>
      <c r="W96" s="0" t="n">
        <v>-697760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2026-04-14T12:15:31Z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